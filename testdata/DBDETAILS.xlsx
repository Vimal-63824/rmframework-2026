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0640" windowHeight="9120" activeTab="7"/>
  </bookViews>
  <sheets>
    <sheet name="test" sheetId="1" r:id="rId1"/>
    <sheet name="DBDetails2" sheetId="2" r:id="rId2"/>
    <sheet name="Sheet3" sheetId="3" r:id="rId3"/>
    <sheet name="Sheet1" sheetId="4" r:id="rId4"/>
    <sheet name="Sheet4" sheetId="5" r:id="rId5"/>
    <sheet name="POSER" sheetId="6" r:id="rId6"/>
    <sheet name="POGENUD" sheetId="7" r:id="rId7"/>
    <sheet name="ToleranceQty" sheetId="33" r:id="rId8"/>
    <sheet name="FreePassDirectGRNUserDefined" sheetId="40" r:id="rId9"/>
    <sheet name="POwithGrnWithoutQualityEnabled" sheetId="23" r:id="rId10"/>
    <sheet name="PriceListGenWOQE" sheetId="27" r:id="rId11"/>
    <sheet name="POWithRateContractGen" sheetId="8" r:id="rId12"/>
    <sheet name="POwithoutQualityRateGen" sheetId="25" r:id="rId13"/>
    <sheet name="PriceListMaterial" sheetId="28" r:id="rId14"/>
    <sheet name="POwithRateContractMat" sheetId="9" r:id="rId15"/>
    <sheet name="POMATUD" sheetId="10" r:id="rId16"/>
    <sheet name="PurchaseWithImportSupplier" sheetId="62" r:id="rId17"/>
    <sheet name="STRateContract" sheetId="13" r:id="rId18"/>
    <sheet name="StockTransferItemGeneralType" sheetId="14" r:id="rId19"/>
    <sheet name="FreePassUdRateSer" sheetId="37" r:id="rId20"/>
    <sheet name="FreePassDirectGRNSerUserDefined" sheetId="42" r:id="rId21"/>
    <sheet name="RateContractSer" sheetId="11" r:id="rId22"/>
    <sheet name="PriceListItemGen" sheetId="12" r:id="rId23"/>
    <sheet name="FreePassUdGen" sheetId="34" r:id="rId24"/>
    <sheet name="FreePassUDRatContract" sheetId="36" r:id="rId25"/>
    <sheet name="StockTransferFreePassUD" sheetId="57" r:id="rId26"/>
    <sheet name="FreePassUdService" sheetId="35" r:id="rId27"/>
    <sheet name="FreePassSerPrice" sheetId="39" r:id="rId28"/>
    <sheet name="PriceListItemSer" sheetId="15" r:id="rId29"/>
    <sheet name="StockTransferPriceList" sheetId="16" r:id="rId30"/>
    <sheet name="StockTransferPOUserDefined" sheetId="54" r:id="rId31"/>
    <sheet name="StockTransferSameRateContract" sheetId="59" r:id="rId32"/>
    <sheet name="DifferentUOMUD" sheetId="18" r:id="rId33"/>
    <sheet name="DirectPOWithFreePassItem" sheetId="49" r:id="rId34"/>
    <sheet name="StockTransferRateDifferent" sheetId="51" r:id="rId35"/>
    <sheet name="DirectPOPriceListFreePassGRN" sheetId="50" r:id="rId36"/>
    <sheet name="StocktransferPriceListDifferent" sheetId="52" r:id="rId37"/>
    <sheet name="PoToGrnRateContractGenWQE" sheetId="31" r:id="rId38"/>
    <sheet name="PotoGRNDiffUOMPriceListGenWQE" sheetId="32" r:id="rId39"/>
    <sheet name="PoToGrnDifferentUomGenWOQE" sheetId="30" r:id="rId40"/>
    <sheet name="DifferentUOMRateGen" sheetId="21" r:id="rId41"/>
    <sheet name="StockTransferPricelistFreePass" sheetId="53" r:id="rId42"/>
    <sheet name="DifferentUOMPriceListGen" sheetId="29" r:id="rId43"/>
    <sheet name="StockTransferUDDifferentUOM" sheetId="67" r:id="rId44"/>
    <sheet name="DifferentUOMMATUD" sheetId="19" r:id="rId45"/>
    <sheet name="DifferentUOMStocktransferUD" sheetId="20" r:id="rId46"/>
    <sheet name="DifferentUOMRateMat" sheetId="22" r:id="rId47"/>
    <sheet name="POwithGrnWithoutQEMaterial" sheetId="24" r:id="rId48"/>
    <sheet name="POwithoutQualityRateMat" sheetId="26" r:id="rId49"/>
    <sheet name="FreePassDirectGRNRateGen" sheetId="43" r:id="rId50"/>
    <sheet name="FreePassDirectRateSer" sheetId="44" r:id="rId51"/>
    <sheet name="FreePassDirectPriceListGen" sheetId="45" r:id="rId52"/>
    <sheet name="FreePassDirectGRNPriceListSer" sheetId="46" r:id="rId53"/>
    <sheet name="DirectGrnDifFreePassRateContGen" sheetId="47" r:id="rId54"/>
    <sheet name="DirectgrndiffFreePassPricelistG" sheetId="48" r:id="rId55"/>
    <sheet name="StockTransferPORateContract" sheetId="55" r:id="rId56"/>
    <sheet name="StockTransferPOpriceList" sheetId="56" r:id="rId57"/>
    <sheet name="StocktransferPriceListPO" sheetId="58" r:id="rId58"/>
    <sheet name="TvsMrvApplicationControl" sheetId="60" r:id="rId59"/>
    <sheet name="MrvLineWiseCancel" sheetId="61" r:id="rId60"/>
    <sheet name="LocalUnregisterSuplier" sheetId="63" r:id="rId61"/>
    <sheet name="InterstateSupplierUnregister" sheetId="64" r:id="rId62"/>
    <sheet name="CESS" sheetId="66" r:id="rId63"/>
    <sheet name="FreePassGenPrice" sheetId="38" r:id="rId64"/>
    <sheet name="WithoutDiscount" sheetId="65" r:id="rId65"/>
    <sheet name="FreePassMatPrice" sheetId="68" r:id="rId66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24" i="49"/>
  <c r="BP23"/>
  <c r="AK25" i="68"/>
  <c r="AD25"/>
  <c r="H25"/>
  <c r="AM24"/>
  <c r="AW24" s="1"/>
  <c r="AK24"/>
  <c r="AP24" s="1"/>
  <c r="Y24"/>
  <c r="W24"/>
  <c r="V24"/>
  <c r="L24"/>
  <c r="M24" s="1"/>
  <c r="H24"/>
  <c r="AW23"/>
  <c r="AY23" s="1"/>
  <c r="AM23"/>
  <c r="AK23"/>
  <c r="AP23" s="1"/>
  <c r="Y23"/>
  <c r="W23"/>
  <c r="W25" s="1"/>
  <c r="V23"/>
  <c r="M23"/>
  <c r="N23" s="1"/>
  <c r="L23"/>
  <c r="H23"/>
  <c r="H18"/>
  <c r="H17"/>
  <c r="H16"/>
  <c r="H15"/>
  <c r="H14"/>
  <c r="H13"/>
  <c r="H12"/>
  <c r="H11"/>
  <c r="H10"/>
  <c r="H9"/>
  <c r="H8"/>
  <c r="H7"/>
  <c r="H6"/>
  <c r="H5"/>
  <c r="H19" s="1"/>
  <c r="H4"/>
  <c r="BP24" i="13"/>
  <c r="BP23"/>
  <c r="AD25" i="40"/>
  <c r="AM24"/>
  <c r="AW24" s="1"/>
  <c r="AK24"/>
  <c r="AP24" s="1"/>
  <c r="Y24"/>
  <c r="X24"/>
  <c r="M24"/>
  <c r="L24"/>
  <c r="H24"/>
  <c r="AM23"/>
  <c r="AW23" s="1"/>
  <c r="AY23" s="1"/>
  <c r="AK23"/>
  <c r="AP23" s="1"/>
  <c r="Y23"/>
  <c r="X23"/>
  <c r="X25" s="1"/>
  <c r="H23"/>
  <c r="H25" s="1"/>
  <c r="H18"/>
  <c r="H17"/>
  <c r="H16"/>
  <c r="H15"/>
  <c r="H14"/>
  <c r="H13"/>
  <c r="H12"/>
  <c r="H11"/>
  <c r="H10"/>
  <c r="H9"/>
  <c r="H8"/>
  <c r="H7"/>
  <c r="H6"/>
  <c r="H19" s="1"/>
  <c r="H5"/>
  <c r="H4"/>
  <c r="H4" i="23"/>
  <c r="H5"/>
  <c r="H19" s="1"/>
  <c r="H6"/>
  <c r="H7"/>
  <c r="H8"/>
  <c r="H9"/>
  <c r="H10"/>
  <c r="H11"/>
  <c r="H12"/>
  <c r="H13"/>
  <c r="H14"/>
  <c r="H15"/>
  <c r="H16"/>
  <c r="H17"/>
  <c r="H18"/>
  <c r="H23"/>
  <c r="L23"/>
  <c r="M23" s="1"/>
  <c r="X23"/>
  <c r="X25" s="1"/>
  <c r="Y23"/>
  <c r="AK23"/>
  <c r="AM23"/>
  <c r="AP23"/>
  <c r="AW23"/>
  <c r="AY23"/>
  <c r="H24"/>
  <c r="X24"/>
  <c r="Y24"/>
  <c r="AK24"/>
  <c r="AP24" s="1"/>
  <c r="AM24"/>
  <c r="AW24" s="1"/>
  <c r="H25"/>
  <c r="AD25"/>
  <c r="AK25"/>
  <c r="AD24" i="42"/>
  <c r="AW23"/>
  <c r="AY23" s="1"/>
  <c r="AM23"/>
  <c r="AK23"/>
  <c r="AK24" s="1"/>
  <c r="Y23"/>
  <c r="Y24" s="1"/>
  <c r="W23"/>
  <c r="W24" s="1"/>
  <c r="V23"/>
  <c r="V24" s="1"/>
  <c r="L23"/>
  <c r="M23" s="1"/>
  <c r="H23"/>
  <c r="H18"/>
  <c r="H17"/>
  <c r="H16"/>
  <c r="H15"/>
  <c r="H14"/>
  <c r="H13"/>
  <c r="H12"/>
  <c r="H11"/>
  <c r="H10"/>
  <c r="H9"/>
  <c r="H8"/>
  <c r="H7"/>
  <c r="H6"/>
  <c r="H5"/>
  <c r="H4"/>
  <c r="H19" s="1"/>
  <c r="BM34" i="50"/>
  <c r="BN33"/>
  <c r="BM37" s="1"/>
  <c r="BN37" s="1"/>
  <c r="BM33"/>
  <c r="AH25"/>
  <c r="AD25"/>
  <c r="Z25"/>
  <c r="H25"/>
  <c r="I27" s="1"/>
  <c r="AM24"/>
  <c r="AK24"/>
  <c r="AH24"/>
  <c r="AG24"/>
  <c r="AG25" s="1"/>
  <c r="AE24"/>
  <c r="Y24"/>
  <c r="W24"/>
  <c r="V24"/>
  <c r="L24"/>
  <c r="M24" s="1"/>
  <c r="H24"/>
  <c r="AM23"/>
  <c r="AW23" s="1"/>
  <c r="AK23"/>
  <c r="AP23" s="1"/>
  <c r="AH23"/>
  <c r="AG23"/>
  <c r="AJ23" s="1"/>
  <c r="AE23"/>
  <c r="AE25" s="1"/>
  <c r="Y23"/>
  <c r="Y25" s="1"/>
  <c r="W23"/>
  <c r="W25" s="1"/>
  <c r="V23"/>
  <c r="H23"/>
  <c r="H18"/>
  <c r="H17"/>
  <c r="H16"/>
  <c r="H15"/>
  <c r="H14"/>
  <c r="H13"/>
  <c r="H12"/>
  <c r="H11"/>
  <c r="H10"/>
  <c r="H9"/>
  <c r="H8"/>
  <c r="H7"/>
  <c r="H6"/>
  <c r="H19" s="1"/>
  <c r="H5"/>
  <c r="H4"/>
  <c r="BM33" i="53"/>
  <c r="BN32"/>
  <c r="BM32"/>
  <c r="AH24"/>
  <c r="AD24"/>
  <c r="Z24"/>
  <c r="AM23"/>
  <c r="AW23" s="1"/>
  <c r="BP23" s="1"/>
  <c r="AK23"/>
  <c r="AK24" s="1"/>
  <c r="AH23"/>
  <c r="AG23"/>
  <c r="AG24" s="1"/>
  <c r="AE23"/>
  <c r="AE24" s="1"/>
  <c r="Y23"/>
  <c r="Y24" s="1"/>
  <c r="X23"/>
  <c r="X24" s="1"/>
  <c r="H23"/>
  <c r="H18"/>
  <c r="H17"/>
  <c r="H16"/>
  <c r="H15"/>
  <c r="H14"/>
  <c r="H13"/>
  <c r="H12"/>
  <c r="H11"/>
  <c r="H10"/>
  <c r="H9"/>
  <c r="H8"/>
  <c r="H7"/>
  <c r="H6"/>
  <c r="H5"/>
  <c r="H4"/>
  <c r="BM34" i="49"/>
  <c r="BN33"/>
  <c r="BM33"/>
  <c r="AD25"/>
  <c r="AH25" s="1"/>
  <c r="Z25"/>
  <c r="AM24"/>
  <c r="AW24" s="1"/>
  <c r="AK24"/>
  <c r="AH24"/>
  <c r="AJ24" s="1"/>
  <c r="AO24" s="1"/>
  <c r="AG24"/>
  <c r="Y24"/>
  <c r="X24"/>
  <c r="H24"/>
  <c r="AM23"/>
  <c r="AW23" s="1"/>
  <c r="AK23"/>
  <c r="AK25" s="1"/>
  <c r="AG23"/>
  <c r="AG25" s="1"/>
  <c r="AE23"/>
  <c r="Y23"/>
  <c r="X23"/>
  <c r="H23"/>
  <c r="L23" s="1"/>
  <c r="M23" s="1"/>
  <c r="H18"/>
  <c r="H17"/>
  <c r="H16"/>
  <c r="H15"/>
  <c r="H14"/>
  <c r="H13"/>
  <c r="H12"/>
  <c r="H11"/>
  <c r="H10"/>
  <c r="H9"/>
  <c r="H8"/>
  <c r="H7"/>
  <c r="H6"/>
  <c r="H5"/>
  <c r="H4"/>
  <c r="AD25" i="39"/>
  <c r="V25"/>
  <c r="AM24"/>
  <c r="AW24" s="1"/>
  <c r="AK24"/>
  <c r="AP24" s="1"/>
  <c r="Y24"/>
  <c r="W24"/>
  <c r="V24"/>
  <c r="H24"/>
  <c r="AM23"/>
  <c r="AW23" s="1"/>
  <c r="AK23"/>
  <c r="AP23" s="1"/>
  <c r="Y23"/>
  <c r="Y25" s="1"/>
  <c r="W23"/>
  <c r="W25" s="1"/>
  <c r="V23"/>
  <c r="H23"/>
  <c r="H18"/>
  <c r="H17"/>
  <c r="H16"/>
  <c r="H15"/>
  <c r="H14"/>
  <c r="H13"/>
  <c r="H12"/>
  <c r="H11"/>
  <c r="H10"/>
  <c r="H9"/>
  <c r="H19" s="1"/>
  <c r="H8"/>
  <c r="H7"/>
  <c r="H6"/>
  <c r="H5"/>
  <c r="H4"/>
  <c r="AD25" i="38"/>
  <c r="AW24"/>
  <c r="AY24" s="1"/>
  <c r="AM24"/>
  <c r="AK24"/>
  <c r="AP24" s="1"/>
  <c r="Y24"/>
  <c r="H24"/>
  <c r="AM23"/>
  <c r="AW23" s="1"/>
  <c r="AK23"/>
  <c r="AP23" s="1"/>
  <c r="Y23"/>
  <c r="H23"/>
  <c r="H18"/>
  <c r="H17"/>
  <c r="H16"/>
  <c r="H15"/>
  <c r="H14"/>
  <c r="H13"/>
  <c r="H12"/>
  <c r="H11"/>
  <c r="H10"/>
  <c r="H9"/>
  <c r="H8"/>
  <c r="H7"/>
  <c r="H6"/>
  <c r="H5"/>
  <c r="H4"/>
  <c r="H19" s="1"/>
  <c r="AD25" i="36"/>
  <c r="AW24"/>
  <c r="AY24" s="1"/>
  <c r="AM24"/>
  <c r="AK24"/>
  <c r="AP24" s="1"/>
  <c r="Y24"/>
  <c r="W24"/>
  <c r="V24"/>
  <c r="H24"/>
  <c r="AM23"/>
  <c r="AW23" s="1"/>
  <c r="AK23"/>
  <c r="AP23" s="1"/>
  <c r="Y23"/>
  <c r="W23"/>
  <c r="V23"/>
  <c r="V25" s="1"/>
  <c r="H23"/>
  <c r="H18"/>
  <c r="H17"/>
  <c r="H16"/>
  <c r="H15"/>
  <c r="H14"/>
  <c r="H13"/>
  <c r="H12"/>
  <c r="H11"/>
  <c r="H10"/>
  <c r="H9"/>
  <c r="H8"/>
  <c r="H7"/>
  <c r="H6"/>
  <c r="H5"/>
  <c r="H4"/>
  <c r="H19" s="1"/>
  <c r="AD24" i="57"/>
  <c r="AM23"/>
  <c r="AW23" s="1"/>
  <c r="AK23"/>
  <c r="AK24" s="1"/>
  <c r="Y23"/>
  <c r="Y24" s="1"/>
  <c r="W23"/>
  <c r="W24" s="1"/>
  <c r="V23"/>
  <c r="V24" s="1"/>
  <c r="L23"/>
  <c r="M23" s="1"/>
  <c r="H23"/>
  <c r="H18"/>
  <c r="H17"/>
  <c r="H16"/>
  <c r="H15"/>
  <c r="H14"/>
  <c r="H13"/>
  <c r="H12"/>
  <c r="H11"/>
  <c r="H10"/>
  <c r="H9"/>
  <c r="H8"/>
  <c r="H7"/>
  <c r="H6"/>
  <c r="H5"/>
  <c r="H4"/>
  <c r="AD25" i="35"/>
  <c r="W25"/>
  <c r="AY24"/>
  <c r="AW24"/>
  <c r="AM24"/>
  <c r="AK24"/>
  <c r="AP24" s="1"/>
  <c r="Y24"/>
  <c r="W24"/>
  <c r="V24"/>
  <c r="H24"/>
  <c r="AM23"/>
  <c r="AW23" s="1"/>
  <c r="AK23"/>
  <c r="AK25" s="1"/>
  <c r="Y23"/>
  <c r="Y25" s="1"/>
  <c r="W23"/>
  <c r="V23"/>
  <c r="V25" s="1"/>
  <c r="H23"/>
  <c r="H18"/>
  <c r="H17"/>
  <c r="H16"/>
  <c r="H15"/>
  <c r="H14"/>
  <c r="H13"/>
  <c r="H12"/>
  <c r="H11"/>
  <c r="H10"/>
  <c r="H9"/>
  <c r="H8"/>
  <c r="H7"/>
  <c r="H6"/>
  <c r="H5"/>
  <c r="H4"/>
  <c r="H19" s="1"/>
  <c r="AD25" i="34"/>
  <c r="AW24"/>
  <c r="AY24" s="1"/>
  <c r="AM24"/>
  <c r="AK24"/>
  <c r="AP24" s="1"/>
  <c r="Y24"/>
  <c r="X24"/>
  <c r="H24"/>
  <c r="AP23"/>
  <c r="AM23"/>
  <c r="AW23" s="1"/>
  <c r="AK23"/>
  <c r="AK25" s="1"/>
  <c r="Y23"/>
  <c r="X23"/>
  <c r="H23"/>
  <c r="H18"/>
  <c r="H17"/>
  <c r="H16"/>
  <c r="H15"/>
  <c r="H14"/>
  <c r="H13"/>
  <c r="H12"/>
  <c r="H11"/>
  <c r="H10"/>
  <c r="H9"/>
  <c r="H8"/>
  <c r="H7"/>
  <c r="H6"/>
  <c r="H5"/>
  <c r="H4"/>
  <c r="H19" s="1"/>
  <c r="AD25" i="54"/>
  <c r="AY24"/>
  <c r="AW24"/>
  <c r="AM24"/>
  <c r="AK24"/>
  <c r="AP24" s="1"/>
  <c r="Y24"/>
  <c r="W24"/>
  <c r="V24"/>
  <c r="H24"/>
  <c r="AP23"/>
  <c r="AM23"/>
  <c r="AW23" s="1"/>
  <c r="AK23"/>
  <c r="AK25" s="1"/>
  <c r="Y23"/>
  <c r="Y25" s="1"/>
  <c r="W23"/>
  <c r="W25" s="1"/>
  <c r="V23"/>
  <c r="L23"/>
  <c r="M23" s="1"/>
  <c r="H23"/>
  <c r="H18"/>
  <c r="H17"/>
  <c r="H16"/>
  <c r="H15"/>
  <c r="H14"/>
  <c r="H13"/>
  <c r="H12"/>
  <c r="H11"/>
  <c r="H10"/>
  <c r="H9"/>
  <c r="H8"/>
  <c r="H7"/>
  <c r="H6"/>
  <c r="H5"/>
  <c r="H4"/>
  <c r="H19" s="1"/>
  <c r="AK24" i="59"/>
  <c r="AD24"/>
  <c r="AM23"/>
  <c r="AW23" s="1"/>
  <c r="AK23"/>
  <c r="AP23" s="1"/>
  <c r="Y23"/>
  <c r="Y24" s="1"/>
  <c r="W23"/>
  <c r="W24" s="1"/>
  <c r="V23"/>
  <c r="V24" s="1"/>
  <c r="H23"/>
  <c r="H24" s="1"/>
  <c r="H18"/>
  <c r="H17"/>
  <c r="H16"/>
  <c r="H15"/>
  <c r="H14"/>
  <c r="H13"/>
  <c r="H12"/>
  <c r="H11"/>
  <c r="H10"/>
  <c r="H9"/>
  <c r="H8"/>
  <c r="H7"/>
  <c r="H6"/>
  <c r="H5"/>
  <c r="H4"/>
  <c r="BM37" i="52"/>
  <c r="BM34"/>
  <c r="BN37" s="1"/>
  <c r="BN33"/>
  <c r="BM33"/>
  <c r="AH25"/>
  <c r="AG25"/>
  <c r="AD25"/>
  <c r="Z25"/>
  <c r="Y25"/>
  <c r="AM24"/>
  <c r="AW24" s="1"/>
  <c r="AK24"/>
  <c r="AP24" s="1"/>
  <c r="AH24"/>
  <c r="AG24"/>
  <c r="AJ24" s="1"/>
  <c r="AO24" s="1"/>
  <c r="AE24"/>
  <c r="Y24"/>
  <c r="W24"/>
  <c r="W25" s="1"/>
  <c r="V24"/>
  <c r="H24"/>
  <c r="AM23"/>
  <c r="AP23" s="1"/>
  <c r="AK23"/>
  <c r="AH23"/>
  <c r="AG23"/>
  <c r="AJ23" s="1"/>
  <c r="AE23"/>
  <c r="AE25" s="1"/>
  <c r="Y23"/>
  <c r="W23"/>
  <c r="V23"/>
  <c r="V25" s="1"/>
  <c r="H23"/>
  <c r="H18"/>
  <c r="H17"/>
  <c r="H16"/>
  <c r="H15"/>
  <c r="H14"/>
  <c r="H13"/>
  <c r="H12"/>
  <c r="H11"/>
  <c r="H10"/>
  <c r="H9"/>
  <c r="H8"/>
  <c r="H7"/>
  <c r="H6"/>
  <c r="H5"/>
  <c r="H4"/>
  <c r="H19" s="1"/>
  <c r="BM34" i="51"/>
  <c r="BN33"/>
  <c r="BM33"/>
  <c r="BM37" s="1"/>
  <c r="AH25"/>
  <c r="AD25"/>
  <c r="Z25"/>
  <c r="AM24"/>
  <c r="AK24"/>
  <c r="AH24"/>
  <c r="AG24"/>
  <c r="AE24"/>
  <c r="Y24"/>
  <c r="L24"/>
  <c r="M24" s="1"/>
  <c r="H24"/>
  <c r="AW23"/>
  <c r="AM23"/>
  <c r="AK23"/>
  <c r="AP23" s="1"/>
  <c r="AH23"/>
  <c r="AJ23" s="1"/>
  <c r="AG23"/>
  <c r="AE23"/>
  <c r="AE25" s="1"/>
  <c r="Y23"/>
  <c r="Y25" s="1"/>
  <c r="H23"/>
  <c r="H18"/>
  <c r="H17"/>
  <c r="H16"/>
  <c r="H15"/>
  <c r="H14"/>
  <c r="H13"/>
  <c r="H12"/>
  <c r="H11"/>
  <c r="H10"/>
  <c r="H9"/>
  <c r="H8"/>
  <c r="H7"/>
  <c r="H6"/>
  <c r="H5"/>
  <c r="H4"/>
  <c r="AD24" i="62"/>
  <c r="AM23"/>
  <c r="AW23" s="1"/>
  <c r="AK23"/>
  <c r="AP23" s="1"/>
  <c r="Y23"/>
  <c r="Y24" s="1"/>
  <c r="X23"/>
  <c r="X24" s="1"/>
  <c r="H23"/>
  <c r="L23" s="1"/>
  <c r="M23" s="1"/>
  <c r="H18"/>
  <c r="H17"/>
  <c r="H16"/>
  <c r="H15"/>
  <c r="H14"/>
  <c r="H13"/>
  <c r="H12"/>
  <c r="H11"/>
  <c r="H10"/>
  <c r="H9"/>
  <c r="H8"/>
  <c r="H7"/>
  <c r="H6"/>
  <c r="H5"/>
  <c r="H4"/>
  <c r="AD24" i="33"/>
  <c r="AM23"/>
  <c r="AW23" s="1"/>
  <c r="AK23"/>
  <c r="Y23"/>
  <c r="X23"/>
  <c r="X24" s="1"/>
  <c r="M23"/>
  <c r="N23" s="1"/>
  <c r="L23"/>
  <c r="H23"/>
  <c r="H24" s="1"/>
  <c r="H18"/>
  <c r="H17"/>
  <c r="H16"/>
  <c r="H15"/>
  <c r="H14"/>
  <c r="H13"/>
  <c r="H12"/>
  <c r="H11"/>
  <c r="H10"/>
  <c r="H9"/>
  <c r="H8"/>
  <c r="H7"/>
  <c r="H6"/>
  <c r="H5"/>
  <c r="H4"/>
  <c r="BM37" i="32"/>
  <c r="BN37" s="1"/>
  <c r="BM34"/>
  <c r="BN33"/>
  <c r="BM33"/>
  <c r="AK25"/>
  <c r="AH25"/>
  <c r="AG25"/>
  <c r="AD25"/>
  <c r="Z25"/>
  <c r="Y25"/>
  <c r="AW24"/>
  <c r="AY24" s="1"/>
  <c r="AM24"/>
  <c r="AP24" s="1"/>
  <c r="AK24"/>
  <c r="AH24"/>
  <c r="AG24"/>
  <c r="AJ24" s="1"/>
  <c r="AO24" s="1"/>
  <c r="AE24"/>
  <c r="Y24"/>
  <c r="X24"/>
  <c r="N24"/>
  <c r="M24"/>
  <c r="L24"/>
  <c r="H24"/>
  <c r="BP23"/>
  <c r="AW23"/>
  <c r="AO23"/>
  <c r="AM23"/>
  <c r="AP23" s="1"/>
  <c r="AK23"/>
  <c r="AJ23"/>
  <c r="AH23"/>
  <c r="AG23"/>
  <c r="AE23"/>
  <c r="AE25" s="1"/>
  <c r="Y23"/>
  <c r="X23"/>
  <c r="X25" s="1"/>
  <c r="H23"/>
  <c r="H18"/>
  <c r="H17"/>
  <c r="H16"/>
  <c r="H15"/>
  <c r="H14"/>
  <c r="H13"/>
  <c r="H12"/>
  <c r="H11"/>
  <c r="H10"/>
  <c r="H9"/>
  <c r="H8"/>
  <c r="H7"/>
  <c r="H6"/>
  <c r="H5"/>
  <c r="H4"/>
  <c r="H19" s="1"/>
  <c r="BM34" i="31"/>
  <c r="BN33"/>
  <c r="BM37" s="1"/>
  <c r="BN37" s="1"/>
  <c r="BM33"/>
  <c r="AK25"/>
  <c r="AH25"/>
  <c r="AG25"/>
  <c r="AD25"/>
  <c r="Z25"/>
  <c r="Y25"/>
  <c r="AM24"/>
  <c r="AP24" s="1"/>
  <c r="AK24"/>
  <c r="AH24"/>
  <c r="AG24"/>
  <c r="AJ24" s="1"/>
  <c r="AO24" s="1"/>
  <c r="AE24"/>
  <c r="Y24"/>
  <c r="X24"/>
  <c r="M24"/>
  <c r="L24"/>
  <c r="H24"/>
  <c r="AW23"/>
  <c r="AM23"/>
  <c r="AK23"/>
  <c r="AP23" s="1"/>
  <c r="AH23"/>
  <c r="AJ23" s="1"/>
  <c r="AG23"/>
  <c r="AE23"/>
  <c r="AE25" s="1"/>
  <c r="Y23"/>
  <c r="X23"/>
  <c r="X25" s="1"/>
  <c r="H23"/>
  <c r="H18"/>
  <c r="H17"/>
  <c r="H16"/>
  <c r="H15"/>
  <c r="H14"/>
  <c r="H13"/>
  <c r="H12"/>
  <c r="H11"/>
  <c r="H10"/>
  <c r="H9"/>
  <c r="H8"/>
  <c r="H7"/>
  <c r="H19" s="1"/>
  <c r="H6"/>
  <c r="H5"/>
  <c r="H4"/>
  <c r="H4" i="30"/>
  <c r="H5"/>
  <c r="H6"/>
  <c r="H7"/>
  <c r="H8"/>
  <c r="H9"/>
  <c r="H10"/>
  <c r="H11"/>
  <c r="H12"/>
  <c r="H13"/>
  <c r="H14"/>
  <c r="H15"/>
  <c r="H16"/>
  <c r="H17"/>
  <c r="H18"/>
  <c r="H23"/>
  <c r="L23" s="1"/>
  <c r="M23" s="1"/>
  <c r="X23"/>
  <c r="X25" s="1"/>
  <c r="Y23"/>
  <c r="AK23"/>
  <c r="AP23" s="1"/>
  <c r="AM23"/>
  <c r="AW23" s="1"/>
  <c r="H24"/>
  <c r="X24"/>
  <c r="Y24"/>
  <c r="AK24"/>
  <c r="AM24"/>
  <c r="AW24" s="1"/>
  <c r="Y25"/>
  <c r="Z25"/>
  <c r="AD25"/>
  <c r="BM33"/>
  <c r="BM37" s="1"/>
  <c r="BN37" s="1"/>
  <c r="BN33"/>
  <c r="BM34"/>
  <c r="AD25" i="27"/>
  <c r="H25"/>
  <c r="AP24"/>
  <c r="AM24"/>
  <c r="AW24" s="1"/>
  <c r="AK24"/>
  <c r="Y24"/>
  <c r="X24"/>
  <c r="L24"/>
  <c r="M24" s="1"/>
  <c r="H24"/>
  <c r="AM23"/>
  <c r="AW23" s="1"/>
  <c r="AK23"/>
  <c r="AP23" s="1"/>
  <c r="Y23"/>
  <c r="X23"/>
  <c r="X25" s="1"/>
  <c r="H23"/>
  <c r="L23" s="1"/>
  <c r="M23" s="1"/>
  <c r="H18"/>
  <c r="H17"/>
  <c r="H16"/>
  <c r="H15"/>
  <c r="H14"/>
  <c r="H13"/>
  <c r="H12"/>
  <c r="H11"/>
  <c r="H10"/>
  <c r="H9"/>
  <c r="H8"/>
  <c r="H7"/>
  <c r="H6"/>
  <c r="H5"/>
  <c r="H4"/>
  <c r="H19" s="1"/>
  <c r="AD25" i="25"/>
  <c r="AW24"/>
  <c r="AY24" s="1"/>
  <c r="AM24"/>
  <c r="AK24"/>
  <c r="AP24" s="1"/>
  <c r="Y24"/>
  <c r="X24"/>
  <c r="H24"/>
  <c r="BP23"/>
  <c r="AY23"/>
  <c r="AW23"/>
  <c r="AM23"/>
  <c r="AK23"/>
  <c r="AP23" s="1"/>
  <c r="Y23"/>
  <c r="Y25" s="1"/>
  <c r="X23"/>
  <c r="X25" s="1"/>
  <c r="L23"/>
  <c r="M23" s="1"/>
  <c r="H23"/>
  <c r="H18"/>
  <c r="H17"/>
  <c r="H16"/>
  <c r="H15"/>
  <c r="H14"/>
  <c r="H13"/>
  <c r="H12"/>
  <c r="H11"/>
  <c r="H10"/>
  <c r="H9"/>
  <c r="H8"/>
  <c r="H7"/>
  <c r="H6"/>
  <c r="H5"/>
  <c r="H4"/>
  <c r="H19" s="1"/>
  <c r="BM37" i="29"/>
  <c r="BN37" s="1"/>
  <c r="BM34"/>
  <c r="BN33"/>
  <c r="BM33"/>
  <c r="AK25"/>
  <c r="AD25"/>
  <c r="AH25" s="1"/>
  <c r="Z25"/>
  <c r="AM24"/>
  <c r="AW24" s="1"/>
  <c r="AK24"/>
  <c r="AP24" s="1"/>
  <c r="AH24"/>
  <c r="Y24"/>
  <c r="X24"/>
  <c r="H24"/>
  <c r="AW23"/>
  <c r="AM23"/>
  <c r="AK23"/>
  <c r="AP23" s="1"/>
  <c r="Y23"/>
  <c r="Y25" s="1"/>
  <c r="X23"/>
  <c r="X25" s="1"/>
  <c r="L23"/>
  <c r="M23" s="1"/>
  <c r="H23"/>
  <c r="H18"/>
  <c r="H17"/>
  <c r="H16"/>
  <c r="H15"/>
  <c r="H14"/>
  <c r="H13"/>
  <c r="H12"/>
  <c r="H11"/>
  <c r="H10"/>
  <c r="H9"/>
  <c r="H8"/>
  <c r="H7"/>
  <c r="H19" s="1"/>
  <c r="H6"/>
  <c r="H5"/>
  <c r="H4"/>
  <c r="AD25" i="28"/>
  <c r="AM24"/>
  <c r="AW24" s="1"/>
  <c r="AK24"/>
  <c r="AP24" s="1"/>
  <c r="Y24"/>
  <c r="X24"/>
  <c r="H24"/>
  <c r="BP23"/>
  <c r="AW23"/>
  <c r="AY23" s="1"/>
  <c r="AP23"/>
  <c r="AM23"/>
  <c r="AK23"/>
  <c r="AK25" s="1"/>
  <c r="Y23"/>
  <c r="Y25" s="1"/>
  <c r="X23"/>
  <c r="X25" s="1"/>
  <c r="H23"/>
  <c r="H18"/>
  <c r="H17"/>
  <c r="H16"/>
  <c r="H15"/>
  <c r="H14"/>
  <c r="H13"/>
  <c r="H12"/>
  <c r="H11"/>
  <c r="H10"/>
  <c r="H9"/>
  <c r="H8"/>
  <c r="H7"/>
  <c r="H6"/>
  <c r="H5"/>
  <c r="H4"/>
  <c r="H19" s="1"/>
  <c r="BM37" i="21"/>
  <c r="BN37" s="1"/>
  <c r="BM34"/>
  <c r="BN33"/>
  <c r="BM33"/>
  <c r="AH25"/>
  <c r="AG25"/>
  <c r="AE25"/>
  <c r="AD25"/>
  <c r="Z25"/>
  <c r="AM24"/>
  <c r="AW24" s="1"/>
  <c r="AK24"/>
  <c r="AP24" s="1"/>
  <c r="AH24"/>
  <c r="AG24"/>
  <c r="AJ24" s="1"/>
  <c r="AO24" s="1"/>
  <c r="AE24"/>
  <c r="Y24"/>
  <c r="W24"/>
  <c r="V24"/>
  <c r="H24"/>
  <c r="AM23"/>
  <c r="AK23"/>
  <c r="AK25" s="1"/>
  <c r="AJ23"/>
  <c r="AO23" s="1"/>
  <c r="AH23"/>
  <c r="AG23"/>
  <c r="AE23"/>
  <c r="Y23"/>
  <c r="W23"/>
  <c r="W25" s="1"/>
  <c r="V23"/>
  <c r="V25" s="1"/>
  <c r="H23"/>
  <c r="H18"/>
  <c r="H17"/>
  <c r="H16"/>
  <c r="H15"/>
  <c r="H14"/>
  <c r="H13"/>
  <c r="H12"/>
  <c r="H11"/>
  <c r="H10"/>
  <c r="H9"/>
  <c r="H8"/>
  <c r="H19" s="1"/>
  <c r="H7"/>
  <c r="H6"/>
  <c r="H5"/>
  <c r="H4"/>
  <c r="BM34" i="67"/>
  <c r="BN33"/>
  <c r="BM33"/>
  <c r="AH25"/>
  <c r="AD25"/>
  <c r="Z25"/>
  <c r="AP24"/>
  <c r="AM24"/>
  <c r="AW24" s="1"/>
  <c r="BP24" s="1"/>
  <c r="AK24"/>
  <c r="AH24"/>
  <c r="AG24"/>
  <c r="AJ24" s="1"/>
  <c r="AE24"/>
  <c r="Y24"/>
  <c r="X24"/>
  <c r="H24"/>
  <c r="L24" s="1"/>
  <c r="M24" s="1"/>
  <c r="AW23"/>
  <c r="AM23"/>
  <c r="AK23"/>
  <c r="AK25" s="1"/>
  <c r="AH23"/>
  <c r="AG23"/>
  <c r="AE23"/>
  <c r="Y23"/>
  <c r="Y25" s="1"/>
  <c r="X23"/>
  <c r="X25" s="1"/>
  <c r="L23"/>
  <c r="M23" s="1"/>
  <c r="H23"/>
  <c r="H18"/>
  <c r="H17"/>
  <c r="H16"/>
  <c r="H15"/>
  <c r="H14"/>
  <c r="H13"/>
  <c r="H12"/>
  <c r="H11"/>
  <c r="H10"/>
  <c r="H9"/>
  <c r="H8"/>
  <c r="H7"/>
  <c r="H6"/>
  <c r="H5"/>
  <c r="H4"/>
  <c r="BP25" i="18"/>
  <c r="BO25"/>
  <c r="AZ25"/>
  <c r="AY25"/>
  <c r="AX25"/>
  <c r="AW25"/>
  <c r="BP24"/>
  <c r="AY24"/>
  <c r="AX24"/>
  <c r="AZ24" s="1"/>
  <c r="BO24" s="1"/>
  <c r="AW24"/>
  <c r="BP23"/>
  <c r="AY23"/>
  <c r="AX23"/>
  <c r="AW23"/>
  <c r="AZ23" s="1"/>
  <c r="BO23" s="1"/>
  <c r="Z26"/>
  <c r="AI24"/>
  <c r="AI25"/>
  <c r="AC24"/>
  <c r="AA24"/>
  <c r="AA25"/>
  <c r="Y24"/>
  <c r="Y25"/>
  <c r="X24"/>
  <c r="X25"/>
  <c r="W24"/>
  <c r="W25"/>
  <c r="V24"/>
  <c r="V25"/>
  <c r="AA23"/>
  <c r="AA26" s="1"/>
  <c r="Y23"/>
  <c r="Y26" s="1"/>
  <c r="X23"/>
  <c r="W23"/>
  <c r="V23"/>
  <c r="AC25" s="1"/>
  <c r="V23" i="12"/>
  <c r="AK25" i="16"/>
  <c r="AD25"/>
  <c r="Y25"/>
  <c r="H25"/>
  <c r="AP24"/>
  <c r="AM24"/>
  <c r="AW24" s="1"/>
  <c r="AK24"/>
  <c r="Y24"/>
  <c r="W24"/>
  <c r="V24"/>
  <c r="L24"/>
  <c r="M24" s="1"/>
  <c r="H24"/>
  <c r="N24" s="1"/>
  <c r="AP23"/>
  <c r="AM23"/>
  <c r="AW23" s="1"/>
  <c r="AK23"/>
  <c r="Y23"/>
  <c r="W23"/>
  <c r="W25" s="1"/>
  <c r="V23"/>
  <c r="V25" s="1"/>
  <c r="M23"/>
  <c r="L23"/>
  <c r="H23"/>
  <c r="N23" s="1"/>
  <c r="H18"/>
  <c r="H17"/>
  <c r="H16"/>
  <c r="H15"/>
  <c r="H14"/>
  <c r="H13"/>
  <c r="H12"/>
  <c r="H11"/>
  <c r="H10"/>
  <c r="H9"/>
  <c r="H8"/>
  <c r="H7"/>
  <c r="H6"/>
  <c r="H5"/>
  <c r="H4"/>
  <c r="H19" s="1"/>
  <c r="AK24" i="15"/>
  <c r="AD24"/>
  <c r="H24"/>
  <c r="AP23"/>
  <c r="AM23"/>
  <c r="AW23" s="1"/>
  <c r="AK23"/>
  <c r="Y23"/>
  <c r="Y24" s="1"/>
  <c r="X23"/>
  <c r="X24" s="1"/>
  <c r="L23"/>
  <c r="M23" s="1"/>
  <c r="H23"/>
  <c r="H18"/>
  <c r="H17"/>
  <c r="H16"/>
  <c r="H15"/>
  <c r="H14"/>
  <c r="H13"/>
  <c r="H12"/>
  <c r="H11"/>
  <c r="H10"/>
  <c r="H9"/>
  <c r="H8"/>
  <c r="H7"/>
  <c r="H6"/>
  <c r="H5"/>
  <c r="H4"/>
  <c r="H19" s="1"/>
  <c r="AD25" i="14"/>
  <c r="AW24"/>
  <c r="AY24" s="1"/>
  <c r="AM24"/>
  <c r="AK24"/>
  <c r="AP24" s="1"/>
  <c r="Y24"/>
  <c r="Y25" s="1"/>
  <c r="W24"/>
  <c r="V24"/>
  <c r="V25" s="1"/>
  <c r="L24"/>
  <c r="M24" s="1"/>
  <c r="H24"/>
  <c r="AM23"/>
  <c r="AW23" s="1"/>
  <c r="AK23"/>
  <c r="AP23" s="1"/>
  <c r="Y23"/>
  <c r="W23"/>
  <c r="V23"/>
  <c r="H23"/>
  <c r="H18"/>
  <c r="H17"/>
  <c r="H16"/>
  <c r="H15"/>
  <c r="H14"/>
  <c r="H13"/>
  <c r="H12"/>
  <c r="H11"/>
  <c r="H10"/>
  <c r="H9"/>
  <c r="H8"/>
  <c r="H7"/>
  <c r="H6"/>
  <c r="H5"/>
  <c r="H4"/>
  <c r="H19" s="1"/>
  <c r="AD25" i="13"/>
  <c r="AW24"/>
  <c r="AY24" s="1"/>
  <c r="AM24"/>
  <c r="AK24"/>
  <c r="AP24" s="1"/>
  <c r="Y24"/>
  <c r="X24"/>
  <c r="H24"/>
  <c r="AP23"/>
  <c r="AM23"/>
  <c r="AW23" s="1"/>
  <c r="AK23"/>
  <c r="AK25" s="1"/>
  <c r="Y23"/>
  <c r="Y25" s="1"/>
  <c r="X23"/>
  <c r="X25" s="1"/>
  <c r="H23"/>
  <c r="H18"/>
  <c r="H17"/>
  <c r="H16"/>
  <c r="H15"/>
  <c r="H14"/>
  <c r="H13"/>
  <c r="H12"/>
  <c r="H11"/>
  <c r="H10"/>
  <c r="H9"/>
  <c r="H8"/>
  <c r="H7"/>
  <c r="H6"/>
  <c r="H5"/>
  <c r="H4"/>
  <c r="H19" s="1"/>
  <c r="H24" i="12"/>
  <c r="L24" s="1"/>
  <c r="M24" s="1"/>
  <c r="H23"/>
  <c r="X23"/>
  <c r="Y23"/>
  <c r="AK23"/>
  <c r="AK25" s="1"/>
  <c r="AM23"/>
  <c r="AW23" s="1"/>
  <c r="X24"/>
  <c r="Y24"/>
  <c r="Y25" s="1"/>
  <c r="AK24"/>
  <c r="AP24" s="1"/>
  <c r="AM24"/>
  <c r="AW24" s="1"/>
  <c r="X25"/>
  <c r="AD25"/>
  <c r="H18"/>
  <c r="H17"/>
  <c r="H16"/>
  <c r="H15"/>
  <c r="H14"/>
  <c r="H13"/>
  <c r="H12"/>
  <c r="H11"/>
  <c r="H10"/>
  <c r="H9"/>
  <c r="H8"/>
  <c r="H7"/>
  <c r="H6"/>
  <c r="H5"/>
  <c r="H4"/>
  <c r="H19" s="1"/>
  <c r="AK24" i="37"/>
  <c r="AD24"/>
  <c r="Y24"/>
  <c r="AM23"/>
  <c r="AW23" s="1"/>
  <c r="AK23"/>
  <c r="AP23" s="1"/>
  <c r="Y23"/>
  <c r="X23"/>
  <c r="X24" s="1"/>
  <c r="L23"/>
  <c r="M23" s="1"/>
  <c r="H23"/>
  <c r="H24" s="1"/>
  <c r="H18"/>
  <c r="H17"/>
  <c r="H16"/>
  <c r="H15"/>
  <c r="H14"/>
  <c r="H13"/>
  <c r="H12"/>
  <c r="H11"/>
  <c r="H10"/>
  <c r="H9"/>
  <c r="H8"/>
  <c r="H7"/>
  <c r="H6"/>
  <c r="H5"/>
  <c r="H4"/>
  <c r="H19" s="1"/>
  <c r="AK24" i="11"/>
  <c r="AD24"/>
  <c r="BP23"/>
  <c r="AW23"/>
  <c r="AY23" s="1"/>
  <c r="AM23"/>
  <c r="AK23"/>
  <c r="AP23" s="1"/>
  <c r="Y23"/>
  <c r="Y24" s="1"/>
  <c r="X23"/>
  <c r="X24" s="1"/>
  <c r="H23"/>
  <c r="H24" s="1"/>
  <c r="H18"/>
  <c r="H17"/>
  <c r="H16"/>
  <c r="H15"/>
  <c r="H14"/>
  <c r="H13"/>
  <c r="H12"/>
  <c r="H11"/>
  <c r="H10"/>
  <c r="H9"/>
  <c r="H8"/>
  <c r="H7"/>
  <c r="H6"/>
  <c r="H5"/>
  <c r="H4"/>
  <c r="AA24" i="10"/>
  <c r="AA23"/>
  <c r="AK25"/>
  <c r="AD25"/>
  <c r="AW24"/>
  <c r="AY24" s="1"/>
  <c r="AP24"/>
  <c r="AM24"/>
  <c r="AK24"/>
  <c r="Y24"/>
  <c r="X24"/>
  <c r="X25" s="1"/>
  <c r="L24"/>
  <c r="M24" s="1"/>
  <c r="H24"/>
  <c r="AM23"/>
  <c r="AW23" s="1"/>
  <c r="AK23"/>
  <c r="Y23"/>
  <c r="Y25" s="1"/>
  <c r="X23"/>
  <c r="H23"/>
  <c r="H18"/>
  <c r="H17"/>
  <c r="H16"/>
  <c r="H15"/>
  <c r="H14"/>
  <c r="H13"/>
  <c r="H12"/>
  <c r="H11"/>
  <c r="H10"/>
  <c r="H9"/>
  <c r="H8"/>
  <c r="H7"/>
  <c r="H6"/>
  <c r="H5"/>
  <c r="H4"/>
  <c r="H19" s="1"/>
  <c r="AY24" i="8"/>
  <c r="AW24"/>
  <c r="AY23"/>
  <c r="H25"/>
  <c r="AD25"/>
  <c r="AM24"/>
  <c r="AK24"/>
  <c r="AP24" s="1"/>
  <c r="Y24"/>
  <c r="X24"/>
  <c r="L24"/>
  <c r="M24" s="1"/>
  <c r="H24"/>
  <c r="AM23"/>
  <c r="AW23" s="1"/>
  <c r="AK23"/>
  <c r="AK25" s="1"/>
  <c r="Y23"/>
  <c r="Y25" s="1"/>
  <c r="X23"/>
  <c r="X25" s="1"/>
  <c r="H23"/>
  <c r="L23" s="1"/>
  <c r="M23" s="1"/>
  <c r="H18"/>
  <c r="H17"/>
  <c r="H16"/>
  <c r="H15"/>
  <c r="H14"/>
  <c r="H13"/>
  <c r="H12"/>
  <c r="H11"/>
  <c r="H10"/>
  <c r="H9"/>
  <c r="H8"/>
  <c r="H7"/>
  <c r="H6"/>
  <c r="H5"/>
  <c r="H4"/>
  <c r="H19" s="1"/>
  <c r="AI24" i="7"/>
  <c r="AM24"/>
  <c r="AW24" s="1"/>
  <c r="AK24"/>
  <c r="AP24" s="1"/>
  <c r="Y24"/>
  <c r="X24"/>
  <c r="M24"/>
  <c r="L24"/>
  <c r="H24"/>
  <c r="N24" s="1"/>
  <c r="AD25"/>
  <c r="AM23"/>
  <c r="AW23" s="1"/>
  <c r="AK23"/>
  <c r="AP23" s="1"/>
  <c r="Y23"/>
  <c r="X23"/>
  <c r="X25" s="1"/>
  <c r="H23"/>
  <c r="H18"/>
  <c r="H17"/>
  <c r="H16"/>
  <c r="H15"/>
  <c r="H14"/>
  <c r="H13"/>
  <c r="H12"/>
  <c r="H11"/>
  <c r="H10"/>
  <c r="H9"/>
  <c r="H8"/>
  <c r="H7"/>
  <c r="H6"/>
  <c r="H5"/>
  <c r="H4"/>
  <c r="AD24" i="6"/>
  <c r="AM23"/>
  <c r="AJ23"/>
  <c r="AJ24" s="1"/>
  <c r="AA23"/>
  <c r="Y23"/>
  <c r="X23"/>
  <c r="X24" s="1"/>
  <c r="W23"/>
  <c r="W24" s="1"/>
  <c r="V23"/>
  <c r="V24" s="1"/>
  <c r="L23"/>
  <c r="M23" s="1"/>
  <c r="H23"/>
  <c r="H18"/>
  <c r="H17"/>
  <c r="H16"/>
  <c r="H15"/>
  <c r="H14"/>
  <c r="H13"/>
  <c r="H12"/>
  <c r="H11"/>
  <c r="H10"/>
  <c r="H9"/>
  <c r="H8"/>
  <c r="H7"/>
  <c r="H6"/>
  <c r="H5"/>
  <c r="H4"/>
  <c r="H19" s="1"/>
  <c r="AK24" i="65"/>
  <c r="AJ24"/>
  <c r="AI24"/>
  <c r="AH24"/>
  <c r="AG24"/>
  <c r="AE24"/>
  <c r="AD24"/>
  <c r="AC24"/>
  <c r="AB24"/>
  <c r="X24"/>
  <c r="W24"/>
  <c r="V24"/>
  <c r="S24"/>
  <c r="R24"/>
  <c r="H24"/>
  <c r="BP23"/>
  <c r="BO23"/>
  <c r="AZ23"/>
  <c r="AY23"/>
  <c r="AX23"/>
  <c r="AW23"/>
  <c r="AR23"/>
  <c r="AP23"/>
  <c r="AO23"/>
  <c r="AN23"/>
  <c r="AM23"/>
  <c r="AK23"/>
  <c r="AJ23"/>
  <c r="AI23"/>
  <c r="AH23"/>
  <c r="AG23"/>
  <c r="AE23"/>
  <c r="AC23"/>
  <c r="AB23"/>
  <c r="AA23"/>
  <c r="Y23"/>
  <c r="X23"/>
  <c r="W23"/>
  <c r="V23"/>
  <c r="S23"/>
  <c r="R23"/>
  <c r="Q23"/>
  <c r="P23"/>
  <c r="O23"/>
  <c r="M23"/>
  <c r="H23"/>
  <c r="H19"/>
  <c r="H18"/>
  <c r="H17"/>
  <c r="H16"/>
  <c r="H15"/>
  <c r="H14"/>
  <c r="H13"/>
  <c r="H12"/>
  <c r="H11"/>
  <c r="H10"/>
  <c r="H9"/>
  <c r="H8"/>
  <c r="H7"/>
  <c r="H6"/>
  <c r="H5"/>
  <c r="H4"/>
  <c r="AK24" i="66"/>
  <c r="AJ24"/>
  <c r="AI24"/>
  <c r="AH24"/>
  <c r="AG24"/>
  <c r="AE24"/>
  <c r="AD24"/>
  <c r="AC24"/>
  <c r="AB24"/>
  <c r="X24"/>
  <c r="W24"/>
  <c r="V24"/>
  <c r="S24"/>
  <c r="R24"/>
  <c r="H24"/>
  <c r="BP23"/>
  <c r="BO23"/>
  <c r="AZ23"/>
  <c r="AY23"/>
  <c r="AX23"/>
  <c r="AW23"/>
  <c r="AR23"/>
  <c r="AP23"/>
  <c r="AO23"/>
  <c r="AN23"/>
  <c r="AM23"/>
  <c r="AK23"/>
  <c r="AJ23"/>
  <c r="AI23"/>
  <c r="AH23"/>
  <c r="AG23"/>
  <c r="AE23"/>
  <c r="AC23"/>
  <c r="AB23"/>
  <c r="AA23"/>
  <c r="Y23"/>
  <c r="X23"/>
  <c r="W23"/>
  <c r="V23"/>
  <c r="S23"/>
  <c r="R23"/>
  <c r="Q23"/>
  <c r="P23"/>
  <c r="O23"/>
  <c r="M23"/>
  <c r="H23"/>
  <c r="H19"/>
  <c r="H18"/>
  <c r="H17"/>
  <c r="H16"/>
  <c r="H15"/>
  <c r="H14"/>
  <c r="H13"/>
  <c r="H12"/>
  <c r="H11"/>
  <c r="H10"/>
  <c r="H9"/>
  <c r="H8"/>
  <c r="H7"/>
  <c r="H6"/>
  <c r="H5"/>
  <c r="H4"/>
  <c r="AK24" i="64"/>
  <c r="AJ24"/>
  <c r="AI24"/>
  <c r="AH24"/>
  <c r="AG24"/>
  <c r="AE24"/>
  <c r="AD24"/>
  <c r="AC24"/>
  <c r="AB24"/>
  <c r="X24"/>
  <c r="W24"/>
  <c r="V24"/>
  <c r="S24"/>
  <c r="R24"/>
  <c r="H24"/>
  <c r="BP23"/>
  <c r="BO23"/>
  <c r="AZ23"/>
  <c r="AY23"/>
  <c r="AX23"/>
  <c r="AW23"/>
  <c r="AR23"/>
  <c r="AP23"/>
  <c r="AO23"/>
  <c r="AN23"/>
  <c r="AM23"/>
  <c r="AK23"/>
  <c r="AJ23"/>
  <c r="AI23"/>
  <c r="AH23"/>
  <c r="AG23"/>
  <c r="AE23"/>
  <c r="AC23"/>
  <c r="AB23"/>
  <c r="AA23"/>
  <c r="Y23"/>
  <c r="X23"/>
  <c r="W23"/>
  <c r="V23"/>
  <c r="S23"/>
  <c r="R23"/>
  <c r="Q23"/>
  <c r="P23"/>
  <c r="O23"/>
  <c r="N23"/>
  <c r="M23"/>
  <c r="L23"/>
  <c r="H23"/>
  <c r="H19"/>
  <c r="H18"/>
  <c r="H17"/>
  <c r="H16"/>
  <c r="H15"/>
  <c r="H14"/>
  <c r="H13"/>
  <c r="H12"/>
  <c r="H11"/>
  <c r="H10"/>
  <c r="H9"/>
  <c r="H8"/>
  <c r="H7"/>
  <c r="H6"/>
  <c r="H5"/>
  <c r="H4"/>
  <c r="AK24" i="63"/>
  <c r="AJ24"/>
  <c r="AI24"/>
  <c r="AH24"/>
  <c r="AG24"/>
  <c r="AE24"/>
  <c r="AD24"/>
  <c r="AC24"/>
  <c r="AB24"/>
  <c r="X24"/>
  <c r="W24"/>
  <c r="V24"/>
  <c r="S24"/>
  <c r="R24"/>
  <c r="H24"/>
  <c r="BP23"/>
  <c r="BO23"/>
  <c r="AZ23"/>
  <c r="AY23"/>
  <c r="AX23"/>
  <c r="AW23"/>
  <c r="AR23"/>
  <c r="AP23"/>
  <c r="AO23"/>
  <c r="AN23"/>
  <c r="AM23"/>
  <c r="AK23"/>
  <c r="AJ23"/>
  <c r="AI23"/>
  <c r="AH23"/>
  <c r="AG23"/>
  <c r="AE23"/>
  <c r="AC23"/>
  <c r="AB23"/>
  <c r="AA23"/>
  <c r="Y23"/>
  <c r="X23"/>
  <c r="W23"/>
  <c r="V23"/>
  <c r="S23"/>
  <c r="R23"/>
  <c r="Q23"/>
  <c r="P23"/>
  <c r="O23"/>
  <c r="N23"/>
  <c r="M23"/>
  <c r="L23"/>
  <c r="H23"/>
  <c r="H19"/>
  <c r="H18"/>
  <c r="H17"/>
  <c r="H16"/>
  <c r="H15"/>
  <c r="H14"/>
  <c r="H13"/>
  <c r="H12"/>
  <c r="H11"/>
  <c r="H10"/>
  <c r="H9"/>
  <c r="H8"/>
  <c r="H7"/>
  <c r="H6"/>
  <c r="H5"/>
  <c r="H4"/>
  <c r="AK24" i="61"/>
  <c r="AJ24"/>
  <c r="AI24"/>
  <c r="AH24"/>
  <c r="AG24"/>
  <c r="AE24"/>
  <c r="AD24"/>
  <c r="AC24"/>
  <c r="AB24"/>
  <c r="X24"/>
  <c r="W24"/>
  <c r="V24"/>
  <c r="S24"/>
  <c r="R24"/>
  <c r="H24"/>
  <c r="BP23"/>
  <c r="BO23"/>
  <c r="AZ23"/>
  <c r="AY23"/>
  <c r="AX23"/>
  <c r="AW23"/>
  <c r="AR23"/>
  <c r="AP23"/>
  <c r="AO23"/>
  <c r="AN23"/>
  <c r="AM23"/>
  <c r="AK23"/>
  <c r="AJ23"/>
  <c r="AI23"/>
  <c r="AH23"/>
  <c r="AG23"/>
  <c r="AE23"/>
  <c r="AC23"/>
  <c r="AB23"/>
  <c r="AA23"/>
  <c r="Y23"/>
  <c r="X23"/>
  <c r="W23"/>
  <c r="V23"/>
  <c r="S23"/>
  <c r="R23"/>
  <c r="Q23"/>
  <c r="P23"/>
  <c r="O23"/>
  <c r="N23"/>
  <c r="M23"/>
  <c r="L23"/>
  <c r="H23"/>
  <c r="H19"/>
  <c r="H18"/>
  <c r="H17"/>
  <c r="H16"/>
  <c r="H15"/>
  <c r="H14"/>
  <c r="H13"/>
  <c r="H12"/>
  <c r="H11"/>
  <c r="H10"/>
  <c r="H9"/>
  <c r="H8"/>
  <c r="H7"/>
  <c r="H6"/>
  <c r="H5"/>
  <c r="H4"/>
  <c r="AH25" i="60"/>
  <c r="AG25"/>
  <c r="AF25"/>
  <c r="AE25"/>
  <c r="AD25"/>
  <c r="AB25"/>
  <c r="AA25"/>
  <c r="Z25"/>
  <c r="Y25"/>
  <c r="X25"/>
  <c r="W25"/>
  <c r="V25"/>
  <c r="S25"/>
  <c r="R25"/>
  <c r="H25"/>
  <c r="BM24"/>
  <c r="BL24"/>
  <c r="AW24"/>
  <c r="AV24"/>
  <c r="AU24"/>
  <c r="AT24"/>
  <c r="AO24"/>
  <c r="AM24"/>
  <c r="AL24"/>
  <c r="AK24"/>
  <c r="AJ24"/>
  <c r="AH24"/>
  <c r="AG24"/>
  <c r="AF24"/>
  <c r="AE24"/>
  <c r="AD24"/>
  <c r="AB24"/>
  <c r="Z24"/>
  <c r="Y24"/>
  <c r="X24"/>
  <c r="W24"/>
  <c r="V24"/>
  <c r="S24"/>
  <c r="R24"/>
  <c r="Q24"/>
  <c r="P24"/>
  <c r="O24"/>
  <c r="N24"/>
  <c r="M24"/>
  <c r="L24"/>
  <c r="H24"/>
  <c r="BM23"/>
  <c r="BL23"/>
  <c r="AW23"/>
  <c r="AV23"/>
  <c r="AU23"/>
  <c r="AT23"/>
  <c r="AO23"/>
  <c r="AM23"/>
  <c r="AL23"/>
  <c r="AK23"/>
  <c r="AJ23"/>
  <c r="AH23"/>
  <c r="AG23"/>
  <c r="AF23"/>
  <c r="AE23"/>
  <c r="AD23"/>
  <c r="AB23"/>
  <c r="Z23"/>
  <c r="Y23"/>
  <c r="X23"/>
  <c r="W23"/>
  <c r="V23"/>
  <c r="S23"/>
  <c r="R23"/>
  <c r="Q23"/>
  <c r="P23"/>
  <c r="O23"/>
  <c r="N23"/>
  <c r="M23"/>
  <c r="L23"/>
  <c r="H23"/>
  <c r="H19"/>
  <c r="H18"/>
  <c r="H17"/>
  <c r="H16"/>
  <c r="H15"/>
  <c r="H14"/>
  <c r="H13"/>
  <c r="H12"/>
  <c r="H11"/>
  <c r="H10"/>
  <c r="H9"/>
  <c r="H8"/>
  <c r="H7"/>
  <c r="H6"/>
  <c r="H5"/>
  <c r="H4"/>
  <c r="AH24" i="58"/>
  <c r="AG24"/>
  <c r="AF24"/>
  <c r="AE24"/>
  <c r="AD24"/>
  <c r="AB24"/>
  <c r="AA24"/>
  <c r="Z24"/>
  <c r="Y24"/>
  <c r="X24"/>
  <c r="W24"/>
  <c r="V24"/>
  <c r="S24"/>
  <c r="R24"/>
  <c r="H24"/>
  <c r="BL23"/>
  <c r="AW23"/>
  <c r="AT23"/>
  <c r="AO23"/>
  <c r="AM23"/>
  <c r="AL23"/>
  <c r="AK23"/>
  <c r="AJ23"/>
  <c r="AH23"/>
  <c r="AG23"/>
  <c r="AF23"/>
  <c r="AE23"/>
  <c r="AD23"/>
  <c r="AB23"/>
  <c r="Z23"/>
  <c r="Y23"/>
  <c r="X23"/>
  <c r="W23"/>
  <c r="V23"/>
  <c r="S23"/>
  <c r="R23"/>
  <c r="Q23"/>
  <c r="P23"/>
  <c r="O23"/>
  <c r="N23"/>
  <c r="M23"/>
  <c r="L23"/>
  <c r="H23"/>
  <c r="H19"/>
  <c r="H18"/>
  <c r="H17"/>
  <c r="H16"/>
  <c r="H15"/>
  <c r="H14"/>
  <c r="H13"/>
  <c r="H12"/>
  <c r="H11"/>
  <c r="H10"/>
  <c r="H9"/>
  <c r="H8"/>
  <c r="H7"/>
  <c r="H6"/>
  <c r="H5"/>
  <c r="H4"/>
  <c r="AH25" i="56"/>
  <c r="AG25"/>
  <c r="AF25"/>
  <c r="AE25"/>
  <c r="AD25"/>
  <c r="AB25"/>
  <c r="AA25"/>
  <c r="Z25"/>
  <c r="Y25"/>
  <c r="X25"/>
  <c r="W25"/>
  <c r="V25"/>
  <c r="S25"/>
  <c r="R25"/>
  <c r="H25"/>
  <c r="BL24"/>
  <c r="AW24"/>
  <c r="AT24"/>
  <c r="AO24"/>
  <c r="AM24"/>
  <c r="AL24"/>
  <c r="AK24"/>
  <c r="AJ24"/>
  <c r="AH24"/>
  <c r="AG24"/>
  <c r="AF24"/>
  <c r="AE24"/>
  <c r="AD24"/>
  <c r="AB24"/>
  <c r="Z24"/>
  <c r="Y24"/>
  <c r="X24"/>
  <c r="W24"/>
  <c r="V24"/>
  <c r="S24"/>
  <c r="R24"/>
  <c r="Q24"/>
  <c r="P24"/>
  <c r="O24"/>
  <c r="N24"/>
  <c r="M24"/>
  <c r="L24"/>
  <c r="H24"/>
  <c r="BL23"/>
  <c r="AW23"/>
  <c r="AT23"/>
  <c r="AO23"/>
  <c r="AM23"/>
  <c r="AL23"/>
  <c r="AK23"/>
  <c r="AJ23"/>
  <c r="AH23"/>
  <c r="AG23"/>
  <c r="AF23"/>
  <c r="AE23"/>
  <c r="AD23"/>
  <c r="AB23"/>
  <c r="Z23"/>
  <c r="Y23"/>
  <c r="X23"/>
  <c r="W23"/>
  <c r="V23"/>
  <c r="S23"/>
  <c r="R23"/>
  <c r="Q23"/>
  <c r="P23"/>
  <c r="O23"/>
  <c r="N23"/>
  <c r="M23"/>
  <c r="L23"/>
  <c r="H23"/>
  <c r="H19"/>
  <c r="H18"/>
  <c r="H17"/>
  <c r="H16"/>
  <c r="H15"/>
  <c r="H14"/>
  <c r="H13"/>
  <c r="H12"/>
  <c r="H11"/>
  <c r="H10"/>
  <c r="H9"/>
  <c r="H8"/>
  <c r="H7"/>
  <c r="H6"/>
  <c r="H5"/>
  <c r="H4"/>
  <c r="AH25" i="55"/>
  <c r="AG25"/>
  <c r="AF25"/>
  <c r="AE25"/>
  <c r="AD25"/>
  <c r="AB25"/>
  <c r="AA25"/>
  <c r="Z25"/>
  <c r="Y25"/>
  <c r="X25"/>
  <c r="W25"/>
  <c r="V25"/>
  <c r="S25"/>
  <c r="R25"/>
  <c r="H25"/>
  <c r="BL24"/>
  <c r="AW24"/>
  <c r="AT24"/>
  <c r="AO24"/>
  <c r="AM24"/>
  <c r="AL24"/>
  <c r="AK24"/>
  <c r="AJ24"/>
  <c r="AH24"/>
  <c r="AG24"/>
  <c r="AF24"/>
  <c r="AE24"/>
  <c r="AD24"/>
  <c r="AB24"/>
  <c r="Z24"/>
  <c r="Y24"/>
  <c r="X24"/>
  <c r="W24"/>
  <c r="V24"/>
  <c r="S24"/>
  <c r="R24"/>
  <c r="Q24"/>
  <c r="P24"/>
  <c r="O24"/>
  <c r="N24"/>
  <c r="M24"/>
  <c r="L24"/>
  <c r="H24"/>
  <c r="BL23"/>
  <c r="AW23"/>
  <c r="AT23"/>
  <c r="AO23"/>
  <c r="AM23"/>
  <c r="AL23"/>
  <c r="AK23"/>
  <c r="AJ23"/>
  <c r="AH23"/>
  <c r="AG23"/>
  <c r="AF23"/>
  <c r="AE23"/>
  <c r="AD23"/>
  <c r="AB23"/>
  <c r="Z23"/>
  <c r="Y23"/>
  <c r="X23"/>
  <c r="W23"/>
  <c r="V23"/>
  <c r="S23"/>
  <c r="R23"/>
  <c r="Q23"/>
  <c r="P23"/>
  <c r="O23"/>
  <c r="N23"/>
  <c r="M23"/>
  <c r="L23"/>
  <c r="H23"/>
  <c r="H19"/>
  <c r="H18"/>
  <c r="H17"/>
  <c r="H16"/>
  <c r="H15"/>
  <c r="H14"/>
  <c r="H13"/>
  <c r="H12"/>
  <c r="H11"/>
  <c r="H10"/>
  <c r="H9"/>
  <c r="H8"/>
  <c r="H7"/>
  <c r="H6"/>
  <c r="H5"/>
  <c r="H4"/>
  <c r="BJ34" i="48"/>
  <c r="BK33"/>
  <c r="BJ33"/>
  <c r="I31"/>
  <c r="I30"/>
  <c r="I29"/>
  <c r="I28"/>
  <c r="I27"/>
  <c r="AH25"/>
  <c r="AG25"/>
  <c r="AF25"/>
  <c r="AE25"/>
  <c r="AD25"/>
  <c r="AB25"/>
  <c r="AA25"/>
  <c r="Z25"/>
  <c r="Y25"/>
  <c r="X25"/>
  <c r="W25"/>
  <c r="V25"/>
  <c r="S25"/>
  <c r="R25"/>
  <c r="H25"/>
  <c r="BM24"/>
  <c r="BL24"/>
  <c r="AW24"/>
  <c r="AV24"/>
  <c r="AU24"/>
  <c r="AT24"/>
  <c r="AO24"/>
  <c r="AM24"/>
  <c r="AL24"/>
  <c r="AK24"/>
  <c r="AJ24"/>
  <c r="AH24"/>
  <c r="AG24"/>
  <c r="AF24"/>
  <c r="AE24"/>
  <c r="AD24"/>
  <c r="AB24"/>
  <c r="Z24"/>
  <c r="Y24"/>
  <c r="X24"/>
  <c r="W24"/>
  <c r="V24"/>
  <c r="S24"/>
  <c r="R24"/>
  <c r="Q24"/>
  <c r="P24"/>
  <c r="O24"/>
  <c r="N24"/>
  <c r="M24"/>
  <c r="L24"/>
  <c r="H24"/>
  <c r="BM23"/>
  <c r="BL23"/>
  <c r="AW23"/>
  <c r="AV23"/>
  <c r="AU23"/>
  <c r="AT23"/>
  <c r="AO23"/>
  <c r="AM23"/>
  <c r="AL23"/>
  <c r="AK23"/>
  <c r="AJ23"/>
  <c r="AH23"/>
  <c r="AG23"/>
  <c r="AF23"/>
  <c r="AE23"/>
  <c r="AD23"/>
  <c r="AB23"/>
  <c r="Z23"/>
  <c r="Y23"/>
  <c r="X23"/>
  <c r="W23"/>
  <c r="V23"/>
  <c r="S23"/>
  <c r="R23"/>
  <c r="Q23"/>
  <c r="P23"/>
  <c r="O23"/>
  <c r="N23"/>
  <c r="M23"/>
  <c r="L23"/>
  <c r="H23"/>
  <c r="H19"/>
  <c r="H18"/>
  <c r="H17"/>
  <c r="H16"/>
  <c r="H15"/>
  <c r="H14"/>
  <c r="H13"/>
  <c r="H12"/>
  <c r="H11"/>
  <c r="H10"/>
  <c r="H9"/>
  <c r="H8"/>
  <c r="H7"/>
  <c r="H6"/>
  <c r="H5"/>
  <c r="H4"/>
  <c r="BJ34" i="47"/>
  <c r="BK33"/>
  <c r="BJ33"/>
  <c r="I31"/>
  <c r="I30"/>
  <c r="I29"/>
  <c r="I28"/>
  <c r="I27"/>
  <c r="AH25"/>
  <c r="AG25"/>
  <c r="AF25"/>
  <c r="AE25"/>
  <c r="AD25"/>
  <c r="AB25"/>
  <c r="AA25"/>
  <c r="Z25"/>
  <c r="Y25"/>
  <c r="X25"/>
  <c r="W25"/>
  <c r="V25"/>
  <c r="S25"/>
  <c r="R25"/>
  <c r="H25"/>
  <c r="BM24"/>
  <c r="BL24"/>
  <c r="AW24"/>
  <c r="AV24"/>
  <c r="AU24"/>
  <c r="AT24"/>
  <c r="AO24"/>
  <c r="AM24"/>
  <c r="AL24"/>
  <c r="AK24"/>
  <c r="AJ24"/>
  <c r="AH24"/>
  <c r="AG24"/>
  <c r="AF24"/>
  <c r="AE24"/>
  <c r="AD24"/>
  <c r="AB24"/>
  <c r="Z24"/>
  <c r="Y24"/>
  <c r="X24"/>
  <c r="W24"/>
  <c r="V24"/>
  <c r="S24"/>
  <c r="R24"/>
  <c r="Q24"/>
  <c r="P24"/>
  <c r="O24"/>
  <c r="N24"/>
  <c r="M24"/>
  <c r="L24"/>
  <c r="H24"/>
  <c r="BM23"/>
  <c r="BL23"/>
  <c r="AW23"/>
  <c r="AV23"/>
  <c r="AU23"/>
  <c r="AT23"/>
  <c r="AO23"/>
  <c r="AM23"/>
  <c r="AL23"/>
  <c r="AK23"/>
  <c r="AJ23"/>
  <c r="AH23"/>
  <c r="AG23"/>
  <c r="AF23"/>
  <c r="AE23"/>
  <c r="AD23"/>
  <c r="AB23"/>
  <c r="Z23"/>
  <c r="Y23"/>
  <c r="X23"/>
  <c r="W23"/>
  <c r="V23"/>
  <c r="S23"/>
  <c r="R23"/>
  <c r="Q23"/>
  <c r="P23"/>
  <c r="O23"/>
  <c r="N23"/>
  <c r="M23"/>
  <c r="L23"/>
  <c r="H23"/>
  <c r="H19"/>
  <c r="H18"/>
  <c r="H17"/>
  <c r="H16"/>
  <c r="H15"/>
  <c r="H14"/>
  <c r="H13"/>
  <c r="H12"/>
  <c r="H11"/>
  <c r="H10"/>
  <c r="H9"/>
  <c r="H8"/>
  <c r="H7"/>
  <c r="H6"/>
  <c r="H5"/>
  <c r="H4"/>
  <c r="AH24" i="46"/>
  <c r="AG24"/>
  <c r="AF24"/>
  <c r="AE24"/>
  <c r="AD24"/>
  <c r="AB24"/>
  <c r="AA24"/>
  <c r="Z24"/>
  <c r="Y24"/>
  <c r="X24"/>
  <c r="W24"/>
  <c r="V24"/>
  <c r="S24"/>
  <c r="R24"/>
  <c r="H24"/>
  <c r="BM23"/>
  <c r="BL23"/>
  <c r="AW23"/>
  <c r="AV23"/>
  <c r="AU23"/>
  <c r="AT23"/>
  <c r="AO23"/>
  <c r="AM23"/>
  <c r="AL23"/>
  <c r="AK23"/>
  <c r="AJ23"/>
  <c r="AH23"/>
  <c r="AG23"/>
  <c r="AF23"/>
  <c r="AE23"/>
  <c r="AD23"/>
  <c r="AB23"/>
  <c r="Z23"/>
  <c r="Y23"/>
  <c r="X23"/>
  <c r="W23"/>
  <c r="V23"/>
  <c r="S23"/>
  <c r="R23"/>
  <c r="Q23"/>
  <c r="P23"/>
  <c r="O23"/>
  <c r="N23"/>
  <c r="M23"/>
  <c r="L23"/>
  <c r="H23"/>
  <c r="H19"/>
  <c r="H18"/>
  <c r="H17"/>
  <c r="H16"/>
  <c r="H15"/>
  <c r="H14"/>
  <c r="H13"/>
  <c r="H12"/>
  <c r="H11"/>
  <c r="H10"/>
  <c r="H9"/>
  <c r="H8"/>
  <c r="H7"/>
  <c r="H6"/>
  <c r="H5"/>
  <c r="H4"/>
  <c r="AH25" i="45"/>
  <c r="AG25"/>
  <c r="AF25"/>
  <c r="AE25"/>
  <c r="AD25"/>
  <c r="AB25"/>
  <c r="AA25"/>
  <c r="Z25"/>
  <c r="Y25"/>
  <c r="X25"/>
  <c r="W25"/>
  <c r="V25"/>
  <c r="S25"/>
  <c r="R25"/>
  <c r="H25"/>
  <c r="BM24"/>
  <c r="BL24"/>
  <c r="AW24"/>
  <c r="AV24"/>
  <c r="AU24"/>
  <c r="AT24"/>
  <c r="AO24"/>
  <c r="AM24"/>
  <c r="AL24"/>
  <c r="AK24"/>
  <c r="AJ24"/>
  <c r="AH24"/>
  <c r="AG24"/>
  <c r="AF24"/>
  <c r="AE24"/>
  <c r="AD24"/>
  <c r="AB24"/>
  <c r="Z24"/>
  <c r="Y24"/>
  <c r="X24"/>
  <c r="W24"/>
  <c r="V24"/>
  <c r="S24"/>
  <c r="R24"/>
  <c r="Q24"/>
  <c r="P24"/>
  <c r="O24"/>
  <c r="N24"/>
  <c r="M24"/>
  <c r="L24"/>
  <c r="H24"/>
  <c r="BM23"/>
  <c r="BL23"/>
  <c r="AW23"/>
  <c r="AV23"/>
  <c r="AU23"/>
  <c r="AT23"/>
  <c r="AO23"/>
  <c r="AM23"/>
  <c r="AL23"/>
  <c r="AK23"/>
  <c r="AJ23"/>
  <c r="AH23"/>
  <c r="AG23"/>
  <c r="AF23"/>
  <c r="AE23"/>
  <c r="AD23"/>
  <c r="AB23"/>
  <c r="Z23"/>
  <c r="Y23"/>
  <c r="X23"/>
  <c r="W23"/>
  <c r="V23"/>
  <c r="S23"/>
  <c r="R23"/>
  <c r="Q23"/>
  <c r="P23"/>
  <c r="O23"/>
  <c r="N23"/>
  <c r="M23"/>
  <c r="L23"/>
  <c r="H23"/>
  <c r="H19"/>
  <c r="H18"/>
  <c r="H17"/>
  <c r="H16"/>
  <c r="H15"/>
  <c r="H14"/>
  <c r="H13"/>
  <c r="H12"/>
  <c r="H11"/>
  <c r="H10"/>
  <c r="H9"/>
  <c r="H8"/>
  <c r="H7"/>
  <c r="H6"/>
  <c r="H5"/>
  <c r="H4"/>
  <c r="AH24" i="44"/>
  <c r="AG24"/>
  <c r="AF24"/>
  <c r="AE24"/>
  <c r="AD24"/>
  <c r="AB24"/>
  <c r="AA24"/>
  <c r="Z24"/>
  <c r="Y24"/>
  <c r="X24"/>
  <c r="W24"/>
  <c r="V24"/>
  <c r="S24"/>
  <c r="R24"/>
  <c r="H24"/>
  <c r="BM23"/>
  <c r="BL23"/>
  <c r="AW23"/>
  <c r="AV23"/>
  <c r="AU23"/>
  <c r="AT23"/>
  <c r="AO23"/>
  <c r="AM23"/>
  <c r="AL23"/>
  <c r="AK23"/>
  <c r="AJ23"/>
  <c r="AH23"/>
  <c r="AG23"/>
  <c r="AF23"/>
  <c r="AE23"/>
  <c r="AD23"/>
  <c r="AB23"/>
  <c r="Z23"/>
  <c r="Y23"/>
  <c r="X23"/>
  <c r="W23"/>
  <c r="V23"/>
  <c r="S23"/>
  <c r="R23"/>
  <c r="Q23"/>
  <c r="P23"/>
  <c r="O23"/>
  <c r="N23"/>
  <c r="M23"/>
  <c r="L23"/>
  <c r="H23"/>
  <c r="H19"/>
  <c r="H18"/>
  <c r="H17"/>
  <c r="H16"/>
  <c r="H15"/>
  <c r="H14"/>
  <c r="H13"/>
  <c r="H12"/>
  <c r="H11"/>
  <c r="H10"/>
  <c r="H9"/>
  <c r="H8"/>
  <c r="H7"/>
  <c r="H6"/>
  <c r="H5"/>
  <c r="H4"/>
  <c r="AH25" i="43"/>
  <c r="AG25"/>
  <c r="AF25"/>
  <c r="AE25"/>
  <c r="AD25"/>
  <c r="AB25"/>
  <c r="AA25"/>
  <c r="Z25"/>
  <c r="Y25"/>
  <c r="X25"/>
  <c r="W25"/>
  <c r="V25"/>
  <c r="S25"/>
  <c r="R25"/>
  <c r="H25"/>
  <c r="BM24"/>
  <c r="BL24"/>
  <c r="AW24"/>
  <c r="AV24"/>
  <c r="AU24"/>
  <c r="AT24"/>
  <c r="AO24"/>
  <c r="AM24"/>
  <c r="AL24"/>
  <c r="AK24"/>
  <c r="AJ24"/>
  <c r="AH24"/>
  <c r="AG24"/>
  <c r="AF24"/>
  <c r="AE24"/>
  <c r="AD24"/>
  <c r="AB24"/>
  <c r="Z24"/>
  <c r="Y24"/>
  <c r="X24"/>
  <c r="W24"/>
  <c r="V24"/>
  <c r="S24"/>
  <c r="R24"/>
  <c r="Q24"/>
  <c r="P24"/>
  <c r="O24"/>
  <c r="N24"/>
  <c r="M24"/>
  <c r="L24"/>
  <c r="H24"/>
  <c r="BM23"/>
  <c r="BL23"/>
  <c r="AW23"/>
  <c r="AV23"/>
  <c r="AU23"/>
  <c r="AT23"/>
  <c r="AO23"/>
  <c r="AM23"/>
  <c r="AL23"/>
  <c r="AK23"/>
  <c r="AJ23"/>
  <c r="AH23"/>
  <c r="AG23"/>
  <c r="AF23"/>
  <c r="AE23"/>
  <c r="AD23"/>
  <c r="AB23"/>
  <c r="Z23"/>
  <c r="Y23"/>
  <c r="X23"/>
  <c r="W23"/>
  <c r="V23"/>
  <c r="S23"/>
  <c r="R23"/>
  <c r="Q23"/>
  <c r="P23"/>
  <c r="O23"/>
  <c r="N23"/>
  <c r="M23"/>
  <c r="L23"/>
  <c r="H23"/>
  <c r="H19"/>
  <c r="H18"/>
  <c r="H17"/>
  <c r="H16"/>
  <c r="H15"/>
  <c r="H14"/>
  <c r="H13"/>
  <c r="H12"/>
  <c r="H11"/>
  <c r="H10"/>
  <c r="H9"/>
  <c r="H8"/>
  <c r="H7"/>
  <c r="H6"/>
  <c r="H5"/>
  <c r="H4"/>
  <c r="AH25" i="26"/>
  <c r="AG25"/>
  <c r="AF25"/>
  <c r="AE25"/>
  <c r="AD25"/>
  <c r="AB25"/>
  <c r="AA25"/>
  <c r="Z25"/>
  <c r="Y25"/>
  <c r="X25"/>
  <c r="W25"/>
  <c r="V25"/>
  <c r="S25"/>
  <c r="R25"/>
  <c r="H25"/>
  <c r="BM24"/>
  <c r="BL24"/>
  <c r="AW24"/>
  <c r="AV24"/>
  <c r="AU24"/>
  <c r="AT24"/>
  <c r="AO24"/>
  <c r="AM24"/>
  <c r="AL24"/>
  <c r="AK24"/>
  <c r="AJ24"/>
  <c r="AH24"/>
  <c r="AG24"/>
  <c r="AF24"/>
  <c r="AE24"/>
  <c r="AD24"/>
  <c r="AB24"/>
  <c r="Z24"/>
  <c r="Y24"/>
  <c r="X24"/>
  <c r="W24"/>
  <c r="V24"/>
  <c r="S24"/>
  <c r="R24"/>
  <c r="Q24"/>
  <c r="P24"/>
  <c r="O24"/>
  <c r="N24"/>
  <c r="M24"/>
  <c r="L24"/>
  <c r="H24"/>
  <c r="BM23"/>
  <c r="BL23"/>
  <c r="AW23"/>
  <c r="AV23"/>
  <c r="AU23"/>
  <c r="AT23"/>
  <c r="AO23"/>
  <c r="AM23"/>
  <c r="AL23"/>
  <c r="AK23"/>
  <c r="AJ23"/>
  <c r="AH23"/>
  <c r="AG23"/>
  <c r="AF23"/>
  <c r="AE23"/>
  <c r="AD23"/>
  <c r="AB23"/>
  <c r="Z23"/>
  <c r="Y23"/>
  <c r="X23"/>
  <c r="W23"/>
  <c r="V23"/>
  <c r="S23"/>
  <c r="R23"/>
  <c r="Q23"/>
  <c r="P23"/>
  <c r="O23"/>
  <c r="N23"/>
  <c r="M23"/>
  <c r="L23"/>
  <c r="H23"/>
  <c r="H19"/>
  <c r="H18"/>
  <c r="H17"/>
  <c r="H16"/>
  <c r="H15"/>
  <c r="H14"/>
  <c r="H13"/>
  <c r="H12"/>
  <c r="H11"/>
  <c r="H10"/>
  <c r="H9"/>
  <c r="H8"/>
  <c r="H7"/>
  <c r="H6"/>
  <c r="H5"/>
  <c r="H4"/>
  <c r="AH25" i="24"/>
  <c r="AG25"/>
  <c r="AF25"/>
  <c r="AE25"/>
  <c r="AD25"/>
  <c r="AB25"/>
  <c r="AA25"/>
  <c r="Z25"/>
  <c r="Y25"/>
  <c r="X25"/>
  <c r="W25"/>
  <c r="V25"/>
  <c r="S25"/>
  <c r="R25"/>
  <c r="H25"/>
  <c r="BM24"/>
  <c r="BL24"/>
  <c r="AW24"/>
  <c r="AV24"/>
  <c r="AU24"/>
  <c r="AT24"/>
  <c r="AO24"/>
  <c r="AM24"/>
  <c r="AL24"/>
  <c r="AK24"/>
  <c r="AJ24"/>
  <c r="AH24"/>
  <c r="AG24"/>
  <c r="AF24"/>
  <c r="AE24"/>
  <c r="AD24"/>
  <c r="AB24"/>
  <c r="Z24"/>
  <c r="Y24"/>
  <c r="X24"/>
  <c r="W24"/>
  <c r="V24"/>
  <c r="S24"/>
  <c r="R24"/>
  <c r="Q24"/>
  <c r="P24"/>
  <c r="O24"/>
  <c r="N24"/>
  <c r="M24"/>
  <c r="L24"/>
  <c r="H24"/>
  <c r="BM23"/>
  <c r="BL23"/>
  <c r="AW23"/>
  <c r="AV23"/>
  <c r="AU23"/>
  <c r="AT23"/>
  <c r="AO23"/>
  <c r="AM23"/>
  <c r="AL23"/>
  <c r="AK23"/>
  <c r="AJ23"/>
  <c r="AH23"/>
  <c r="AG23"/>
  <c r="AF23"/>
  <c r="AE23"/>
  <c r="AD23"/>
  <c r="AB23"/>
  <c r="Z23"/>
  <c r="Y23"/>
  <c r="X23"/>
  <c r="W23"/>
  <c r="V23"/>
  <c r="S23"/>
  <c r="R23"/>
  <c r="Q23"/>
  <c r="P23"/>
  <c r="O23"/>
  <c r="N23"/>
  <c r="M23"/>
  <c r="L23"/>
  <c r="H23"/>
  <c r="H19"/>
  <c r="H18"/>
  <c r="H17"/>
  <c r="H16"/>
  <c r="H15"/>
  <c r="H14"/>
  <c r="H13"/>
  <c r="H12"/>
  <c r="H11"/>
  <c r="H10"/>
  <c r="H9"/>
  <c r="H8"/>
  <c r="H7"/>
  <c r="H6"/>
  <c r="H5"/>
  <c r="H4"/>
  <c r="BJ34" i="22"/>
  <c r="BK33"/>
  <c r="BJ33"/>
  <c r="I31"/>
  <c r="I30"/>
  <c r="I29"/>
  <c r="I28"/>
  <c r="I27"/>
  <c r="AH25"/>
  <c r="AG25"/>
  <c r="AF25"/>
  <c r="AE25"/>
  <c r="AD25"/>
  <c r="AB25"/>
  <c r="AA25"/>
  <c r="Z25"/>
  <c r="Y25"/>
  <c r="X25"/>
  <c r="W25"/>
  <c r="V25"/>
  <c r="S25"/>
  <c r="R25"/>
  <c r="H25"/>
  <c r="BM24"/>
  <c r="BL24"/>
  <c r="AW24"/>
  <c r="AV24"/>
  <c r="AU24"/>
  <c r="AT24"/>
  <c r="AO24"/>
  <c r="AM24"/>
  <c r="AL24"/>
  <c r="AK24"/>
  <c r="AJ24"/>
  <c r="AH24"/>
  <c r="AG24"/>
  <c r="AF24"/>
  <c r="AE24"/>
  <c r="AD24"/>
  <c r="AB24"/>
  <c r="Z24"/>
  <c r="Y24"/>
  <c r="X24"/>
  <c r="W24"/>
  <c r="V24"/>
  <c r="S24"/>
  <c r="R24"/>
  <c r="Q24"/>
  <c r="P24"/>
  <c r="O24"/>
  <c r="N24"/>
  <c r="M24"/>
  <c r="L24"/>
  <c r="H24"/>
  <c r="BM23"/>
  <c r="BL23"/>
  <c r="AW23"/>
  <c r="AV23"/>
  <c r="AU23"/>
  <c r="AT23"/>
  <c r="AO23"/>
  <c r="AM23"/>
  <c r="AL23"/>
  <c r="AK23"/>
  <c r="AJ23"/>
  <c r="AH23"/>
  <c r="AG23"/>
  <c r="AF23"/>
  <c r="AE23"/>
  <c r="AD23"/>
  <c r="AB23"/>
  <c r="Z23"/>
  <c r="Y23"/>
  <c r="X23"/>
  <c r="W23"/>
  <c r="V23"/>
  <c r="S23"/>
  <c r="R23"/>
  <c r="Q23"/>
  <c r="P23"/>
  <c r="O23"/>
  <c r="N23"/>
  <c r="M23"/>
  <c r="L23"/>
  <c r="H23"/>
  <c r="H19"/>
  <c r="H18"/>
  <c r="H17"/>
  <c r="H16"/>
  <c r="H15"/>
  <c r="H14"/>
  <c r="H13"/>
  <c r="H12"/>
  <c r="H11"/>
  <c r="H10"/>
  <c r="H9"/>
  <c r="H8"/>
  <c r="H7"/>
  <c r="H6"/>
  <c r="H5"/>
  <c r="H4"/>
  <c r="BJ34" i="20"/>
  <c r="BK33"/>
  <c r="BJ33"/>
  <c r="I31"/>
  <c r="I30"/>
  <c r="I29"/>
  <c r="I28"/>
  <c r="I27"/>
  <c r="AH25"/>
  <c r="AG25"/>
  <c r="AF25"/>
  <c r="AE25"/>
  <c r="AD25"/>
  <c r="AB25"/>
  <c r="AA25"/>
  <c r="Z25"/>
  <c r="Y25"/>
  <c r="X25"/>
  <c r="W25"/>
  <c r="V25"/>
  <c r="S25"/>
  <c r="R25"/>
  <c r="H25"/>
  <c r="BM24"/>
  <c r="BL24"/>
  <c r="AW24"/>
  <c r="AV24"/>
  <c r="AU24"/>
  <c r="AT24"/>
  <c r="AO24"/>
  <c r="AM24"/>
  <c r="AL24"/>
  <c r="AK24"/>
  <c r="AJ24"/>
  <c r="AH24"/>
  <c r="AG24"/>
  <c r="AF24"/>
  <c r="AE24"/>
  <c r="AD24"/>
  <c r="AB24"/>
  <c r="Z24"/>
  <c r="Y24"/>
  <c r="X24"/>
  <c r="W24"/>
  <c r="V24"/>
  <c r="S24"/>
  <c r="R24"/>
  <c r="Q24"/>
  <c r="P24"/>
  <c r="O24"/>
  <c r="N24"/>
  <c r="M24"/>
  <c r="L24"/>
  <c r="H24"/>
  <c r="BM23"/>
  <c r="BL23"/>
  <c r="AW23"/>
  <c r="AV23"/>
  <c r="AU23"/>
  <c r="AT23"/>
  <c r="AO23"/>
  <c r="AM23"/>
  <c r="AL23"/>
  <c r="AK23"/>
  <c r="AJ23"/>
  <c r="AH23"/>
  <c r="AG23"/>
  <c r="AF23"/>
  <c r="AE23"/>
  <c r="AD23"/>
  <c r="AB23"/>
  <c r="Z23"/>
  <c r="Y23"/>
  <c r="X23"/>
  <c r="W23"/>
  <c r="V23"/>
  <c r="S23"/>
  <c r="R23"/>
  <c r="Q23"/>
  <c r="P23"/>
  <c r="O23"/>
  <c r="N23"/>
  <c r="M23"/>
  <c r="L23"/>
  <c r="H23"/>
  <c r="H19"/>
  <c r="H18"/>
  <c r="H17"/>
  <c r="H16"/>
  <c r="H15"/>
  <c r="H14"/>
  <c r="H13"/>
  <c r="H12"/>
  <c r="H11"/>
  <c r="H10"/>
  <c r="H9"/>
  <c r="H8"/>
  <c r="H7"/>
  <c r="H6"/>
  <c r="H5"/>
  <c r="H4"/>
  <c r="BJ34" i="19"/>
  <c r="BK33"/>
  <c r="BJ33"/>
  <c r="I31"/>
  <c r="I30"/>
  <c r="I29"/>
  <c r="I28"/>
  <c r="I27"/>
  <c r="AH25"/>
  <c r="AG25"/>
  <c r="AF25"/>
  <c r="AE25"/>
  <c r="AD25"/>
  <c r="AB25"/>
  <c r="AA25"/>
  <c r="Z25"/>
  <c r="Y25"/>
  <c r="X25"/>
  <c r="W25"/>
  <c r="V25"/>
  <c r="S25"/>
  <c r="R25"/>
  <c r="H25"/>
  <c r="BM24"/>
  <c r="BL24"/>
  <c r="AW24"/>
  <c r="AV24"/>
  <c r="AU24"/>
  <c r="AT24"/>
  <c r="AO24"/>
  <c r="AM24"/>
  <c r="AL24"/>
  <c r="AK24"/>
  <c r="AJ24"/>
  <c r="AH24"/>
  <c r="AG24"/>
  <c r="AF24"/>
  <c r="AE24"/>
  <c r="AD24"/>
  <c r="AB24"/>
  <c r="Z24"/>
  <c r="Y24"/>
  <c r="X24"/>
  <c r="W24"/>
  <c r="V24"/>
  <c r="S24"/>
  <c r="R24"/>
  <c r="Q24"/>
  <c r="P24"/>
  <c r="O24"/>
  <c r="N24"/>
  <c r="M24"/>
  <c r="L24"/>
  <c r="H24"/>
  <c r="BM23"/>
  <c r="BL23"/>
  <c r="AW23"/>
  <c r="AV23"/>
  <c r="AU23"/>
  <c r="AT23"/>
  <c r="AO23"/>
  <c r="AM23"/>
  <c r="AL23"/>
  <c r="AK23"/>
  <c r="AJ23"/>
  <c r="AH23"/>
  <c r="AG23"/>
  <c r="AF23"/>
  <c r="AE23"/>
  <c r="AD23"/>
  <c r="AB23"/>
  <c r="Z23"/>
  <c r="Y23"/>
  <c r="X23"/>
  <c r="W23"/>
  <c r="V23"/>
  <c r="S23"/>
  <c r="R23"/>
  <c r="Q23"/>
  <c r="P23"/>
  <c r="O23"/>
  <c r="N23"/>
  <c r="M23"/>
  <c r="L23"/>
  <c r="H23"/>
  <c r="H19"/>
  <c r="H18"/>
  <c r="H17"/>
  <c r="H16"/>
  <c r="H15"/>
  <c r="H14"/>
  <c r="H13"/>
  <c r="H12"/>
  <c r="H11"/>
  <c r="H10"/>
  <c r="H9"/>
  <c r="H8"/>
  <c r="H7"/>
  <c r="H6"/>
  <c r="H5"/>
  <c r="H4"/>
  <c r="BM35" i="18"/>
  <c r="BN34"/>
  <c r="BM34"/>
  <c r="BM38" s="1"/>
  <c r="BN38" s="1"/>
  <c r="AD26"/>
  <c r="AH26" s="1"/>
  <c r="AM25"/>
  <c r="AK25"/>
  <c r="H25"/>
  <c r="L25" s="1"/>
  <c r="M25" s="1"/>
  <c r="AM24"/>
  <c r="AK24"/>
  <c r="AE24"/>
  <c r="H24"/>
  <c r="L24" s="1"/>
  <c r="M24" s="1"/>
  <c r="AM23"/>
  <c r="AK23"/>
  <c r="AE23"/>
  <c r="H23"/>
  <c r="L23" s="1"/>
  <c r="M23" s="1"/>
  <c r="H18"/>
  <c r="H17"/>
  <c r="H16"/>
  <c r="H15"/>
  <c r="H14"/>
  <c r="H13"/>
  <c r="H12"/>
  <c r="H11"/>
  <c r="H10"/>
  <c r="H9"/>
  <c r="H8"/>
  <c r="H7"/>
  <c r="H6"/>
  <c r="H5"/>
  <c r="H4"/>
  <c r="AV33" i="9"/>
  <c r="AU28"/>
  <c r="AH25"/>
  <c r="AG25"/>
  <c r="AF25"/>
  <c r="AE25"/>
  <c r="AD25"/>
  <c r="AB25"/>
  <c r="AA25"/>
  <c r="Z25"/>
  <c r="Y25"/>
  <c r="X25"/>
  <c r="W25"/>
  <c r="V25"/>
  <c r="S25"/>
  <c r="R25"/>
  <c r="H25"/>
  <c r="BM24"/>
  <c r="BL24"/>
  <c r="AW24"/>
  <c r="AV24"/>
  <c r="AU24"/>
  <c r="AT24"/>
  <c r="AO24"/>
  <c r="AM24"/>
  <c r="AL24"/>
  <c r="AK24"/>
  <c r="AJ24"/>
  <c r="AH24"/>
  <c r="AG24"/>
  <c r="AF24"/>
  <c r="AE24"/>
  <c r="AD24"/>
  <c r="AB24"/>
  <c r="Z24"/>
  <c r="Y24"/>
  <c r="X24"/>
  <c r="W24"/>
  <c r="V24"/>
  <c r="S24"/>
  <c r="R24"/>
  <c r="Q24"/>
  <c r="P24"/>
  <c r="O24"/>
  <c r="N24"/>
  <c r="M24"/>
  <c r="L24"/>
  <c r="H24"/>
  <c r="BM23"/>
  <c r="BL23"/>
  <c r="AW23"/>
  <c r="AV23"/>
  <c r="AU23"/>
  <c r="AT23"/>
  <c r="AO23"/>
  <c r="AM23"/>
  <c r="AL23"/>
  <c r="AK23"/>
  <c r="AJ23"/>
  <c r="AH23"/>
  <c r="AG23"/>
  <c r="AF23"/>
  <c r="AE23"/>
  <c r="AD23"/>
  <c r="AB23"/>
  <c r="Z23"/>
  <c r="Y23"/>
  <c r="X23"/>
  <c r="W23"/>
  <c r="V23"/>
  <c r="S23"/>
  <c r="R23"/>
  <c r="Q23"/>
  <c r="P23"/>
  <c r="O23"/>
  <c r="N23"/>
  <c r="M23"/>
  <c r="L23"/>
  <c r="H23"/>
  <c r="H19"/>
  <c r="H18"/>
  <c r="H17"/>
  <c r="H16"/>
  <c r="H15"/>
  <c r="H14"/>
  <c r="H13"/>
  <c r="H12"/>
  <c r="H11"/>
  <c r="H10"/>
  <c r="H9"/>
  <c r="H8"/>
  <c r="H7"/>
  <c r="H6"/>
  <c r="H5"/>
  <c r="H4"/>
  <c r="M25" i="5"/>
  <c r="H25"/>
  <c r="M24"/>
  <c r="H24"/>
  <c r="M23"/>
  <c r="H23"/>
  <c r="M22"/>
  <c r="H22"/>
  <c r="M21"/>
  <c r="H21"/>
  <c r="W18"/>
  <c r="V18"/>
  <c r="U18"/>
  <c r="T18"/>
  <c r="R18"/>
  <c r="Q18"/>
  <c r="G18"/>
  <c r="W17"/>
  <c r="V17"/>
  <c r="U17"/>
  <c r="T17"/>
  <c r="R17"/>
  <c r="Q17"/>
  <c r="P17"/>
  <c r="O17"/>
  <c r="N17"/>
  <c r="M17"/>
  <c r="L17"/>
  <c r="K17"/>
  <c r="G17"/>
  <c r="W16"/>
  <c r="V16"/>
  <c r="U16"/>
  <c r="T16"/>
  <c r="R16"/>
  <c r="Q16"/>
  <c r="P16"/>
  <c r="O16"/>
  <c r="N16"/>
  <c r="M16"/>
  <c r="L16"/>
  <c r="K16"/>
  <c r="G16"/>
  <c r="W15"/>
  <c r="V15"/>
  <c r="U15"/>
  <c r="T15"/>
  <c r="R15"/>
  <c r="Q15"/>
  <c r="P15"/>
  <c r="O15"/>
  <c r="N15"/>
  <c r="M15"/>
  <c r="L15"/>
  <c r="K15"/>
  <c r="G15"/>
  <c r="W14"/>
  <c r="V14"/>
  <c r="U14"/>
  <c r="T14"/>
  <c r="R14"/>
  <c r="Q14"/>
  <c r="P14"/>
  <c r="O14"/>
  <c r="N14"/>
  <c r="M14"/>
  <c r="L14"/>
  <c r="K14"/>
  <c r="G14"/>
  <c r="W13"/>
  <c r="V13"/>
  <c r="U13"/>
  <c r="T13"/>
  <c r="R13"/>
  <c r="Q13"/>
  <c r="P13"/>
  <c r="O13"/>
  <c r="N13"/>
  <c r="M13"/>
  <c r="L13"/>
  <c r="K13"/>
  <c r="G13"/>
  <c r="W12"/>
  <c r="V12"/>
  <c r="U12"/>
  <c r="T12"/>
  <c r="R12"/>
  <c r="Q12"/>
  <c r="P12"/>
  <c r="O12"/>
  <c r="N12"/>
  <c r="M12"/>
  <c r="L12"/>
  <c r="K12"/>
  <c r="G12"/>
  <c r="W11"/>
  <c r="V11"/>
  <c r="U11"/>
  <c r="T11"/>
  <c r="R11"/>
  <c r="Q11"/>
  <c r="P11"/>
  <c r="O11"/>
  <c r="N11"/>
  <c r="M11"/>
  <c r="L11"/>
  <c r="K11"/>
  <c r="G11"/>
  <c r="W10"/>
  <c r="V10"/>
  <c r="U10"/>
  <c r="T10"/>
  <c r="R10"/>
  <c r="Q10"/>
  <c r="P10"/>
  <c r="O10"/>
  <c r="N10"/>
  <c r="M10"/>
  <c r="L10"/>
  <c r="K10"/>
  <c r="G10"/>
  <c r="W9"/>
  <c r="V9"/>
  <c r="U9"/>
  <c r="T9"/>
  <c r="R9"/>
  <c r="Q9"/>
  <c r="P9"/>
  <c r="O9"/>
  <c r="N9"/>
  <c r="M9"/>
  <c r="L9"/>
  <c r="K9"/>
  <c r="G9"/>
  <c r="W8"/>
  <c r="V8"/>
  <c r="U8"/>
  <c r="T8"/>
  <c r="R8"/>
  <c r="Q8"/>
  <c r="P8"/>
  <c r="O8"/>
  <c r="N8"/>
  <c r="M8"/>
  <c r="L8"/>
  <c r="K8"/>
  <c r="G8"/>
  <c r="W7"/>
  <c r="V7"/>
  <c r="U7"/>
  <c r="T7"/>
  <c r="R7"/>
  <c r="Q7"/>
  <c r="P7"/>
  <c r="O7"/>
  <c r="N7"/>
  <c r="M7"/>
  <c r="L7"/>
  <c r="K7"/>
  <c r="G7"/>
  <c r="W6"/>
  <c r="V6"/>
  <c r="U6"/>
  <c r="T6"/>
  <c r="R6"/>
  <c r="Q6"/>
  <c r="P6"/>
  <c r="O6"/>
  <c r="N6"/>
  <c r="M6"/>
  <c r="L6"/>
  <c r="K6"/>
  <c r="G6"/>
  <c r="W5"/>
  <c r="V5"/>
  <c r="U5"/>
  <c r="T5"/>
  <c r="R5"/>
  <c r="Q5"/>
  <c r="P5"/>
  <c r="O5"/>
  <c r="N5"/>
  <c r="M5"/>
  <c r="L5"/>
  <c r="K5"/>
  <c r="G5"/>
  <c r="W4"/>
  <c r="V4"/>
  <c r="U4"/>
  <c r="T4"/>
  <c r="R4"/>
  <c r="Q4"/>
  <c r="P4"/>
  <c r="O4"/>
  <c r="N4"/>
  <c r="M4"/>
  <c r="L4"/>
  <c r="K4"/>
  <c r="G4"/>
  <c r="W3"/>
  <c r="V3"/>
  <c r="U3"/>
  <c r="T3"/>
  <c r="R3"/>
  <c r="Q3"/>
  <c r="P3"/>
  <c r="O3"/>
  <c r="N3"/>
  <c r="M3"/>
  <c r="L3"/>
  <c r="K3"/>
  <c r="G3"/>
  <c r="M28" i="4"/>
  <c r="H28"/>
  <c r="M27"/>
  <c r="H27"/>
  <c r="M26"/>
  <c r="H26"/>
  <c r="M25"/>
  <c r="H25"/>
  <c r="M24"/>
  <c r="H24"/>
  <c r="V21"/>
  <c r="U21"/>
  <c r="T21"/>
  <c r="R21"/>
  <c r="Q21"/>
  <c r="G21"/>
  <c r="W20"/>
  <c r="V20"/>
  <c r="U20"/>
  <c r="T20"/>
  <c r="R20"/>
  <c r="Q20"/>
  <c r="P20"/>
  <c r="O20"/>
  <c r="N20"/>
  <c r="M20"/>
  <c r="L20"/>
  <c r="K20"/>
  <c r="G20"/>
  <c r="W19"/>
  <c r="V19"/>
  <c r="U19"/>
  <c r="T19"/>
  <c r="R19"/>
  <c r="Q19"/>
  <c r="P19"/>
  <c r="O19"/>
  <c r="N19"/>
  <c r="M19"/>
  <c r="L19"/>
  <c r="K19"/>
  <c r="G19"/>
  <c r="W18"/>
  <c r="V18"/>
  <c r="U18"/>
  <c r="T18"/>
  <c r="R18"/>
  <c r="Q18"/>
  <c r="P18"/>
  <c r="O18"/>
  <c r="N18"/>
  <c r="M18"/>
  <c r="L18"/>
  <c r="K18"/>
  <c r="G18"/>
  <c r="W17"/>
  <c r="V17"/>
  <c r="U17"/>
  <c r="T17"/>
  <c r="R17"/>
  <c r="Q17"/>
  <c r="P17"/>
  <c r="O17"/>
  <c r="N17"/>
  <c r="M17"/>
  <c r="L17"/>
  <c r="K17"/>
  <c r="G17"/>
  <c r="W16"/>
  <c r="V16"/>
  <c r="U16"/>
  <c r="T16"/>
  <c r="R16"/>
  <c r="Q16"/>
  <c r="P16"/>
  <c r="O16"/>
  <c r="N16"/>
  <c r="M16"/>
  <c r="L16"/>
  <c r="K16"/>
  <c r="G16"/>
  <c r="W15"/>
  <c r="V15"/>
  <c r="U15"/>
  <c r="T15"/>
  <c r="R15"/>
  <c r="Q15"/>
  <c r="P15"/>
  <c r="O15"/>
  <c r="N15"/>
  <c r="M15"/>
  <c r="L15"/>
  <c r="K15"/>
  <c r="G15"/>
  <c r="W14"/>
  <c r="V14"/>
  <c r="U14"/>
  <c r="T14"/>
  <c r="R14"/>
  <c r="Q14"/>
  <c r="P14"/>
  <c r="O14"/>
  <c r="N14"/>
  <c r="M14"/>
  <c r="L14"/>
  <c r="K14"/>
  <c r="G14"/>
  <c r="W13"/>
  <c r="V13"/>
  <c r="U13"/>
  <c r="T13"/>
  <c r="R13"/>
  <c r="Q13"/>
  <c r="P13"/>
  <c r="O13"/>
  <c r="N13"/>
  <c r="M13"/>
  <c r="L13"/>
  <c r="K13"/>
  <c r="G13"/>
  <c r="W12"/>
  <c r="V12"/>
  <c r="U12"/>
  <c r="T12"/>
  <c r="R12"/>
  <c r="Q12"/>
  <c r="P12"/>
  <c r="O12"/>
  <c r="N12"/>
  <c r="M12"/>
  <c r="L12"/>
  <c r="K12"/>
  <c r="G12"/>
  <c r="W11"/>
  <c r="V11"/>
  <c r="U11"/>
  <c r="T11"/>
  <c r="R11"/>
  <c r="Q11"/>
  <c r="P11"/>
  <c r="O11"/>
  <c r="N11"/>
  <c r="M11"/>
  <c r="L11"/>
  <c r="K11"/>
  <c r="G11"/>
  <c r="W10"/>
  <c r="V10"/>
  <c r="U10"/>
  <c r="T10"/>
  <c r="R10"/>
  <c r="Q10"/>
  <c r="P10"/>
  <c r="O10"/>
  <c r="N10"/>
  <c r="M10"/>
  <c r="L10"/>
  <c r="K10"/>
  <c r="G10"/>
  <c r="W9"/>
  <c r="V9"/>
  <c r="U9"/>
  <c r="T9"/>
  <c r="R9"/>
  <c r="Q9"/>
  <c r="P9"/>
  <c r="O9"/>
  <c r="N9"/>
  <c r="M9"/>
  <c r="L9"/>
  <c r="K9"/>
  <c r="G9"/>
  <c r="W8"/>
  <c r="V8"/>
  <c r="U8"/>
  <c r="T8"/>
  <c r="R8"/>
  <c r="Q8"/>
  <c r="P8"/>
  <c r="O8"/>
  <c r="N8"/>
  <c r="M8"/>
  <c r="L8"/>
  <c r="K8"/>
  <c r="G8"/>
  <c r="W7"/>
  <c r="V7"/>
  <c r="U7"/>
  <c r="T7"/>
  <c r="R7"/>
  <c r="Q7"/>
  <c r="P7"/>
  <c r="O7"/>
  <c r="N7"/>
  <c r="M7"/>
  <c r="L7"/>
  <c r="K7"/>
  <c r="G7"/>
  <c r="W6"/>
  <c r="V6"/>
  <c r="U6"/>
  <c r="T6"/>
  <c r="R6"/>
  <c r="Q6"/>
  <c r="P6"/>
  <c r="O6"/>
  <c r="N6"/>
  <c r="M6"/>
  <c r="L6"/>
  <c r="K6"/>
  <c r="G6"/>
  <c r="I44" i="3"/>
  <c r="I43"/>
  <c r="I42"/>
  <c r="I41"/>
  <c r="I40"/>
  <c r="V38"/>
  <c r="U38"/>
  <c r="S38"/>
  <c r="R38"/>
  <c r="H38"/>
  <c r="W37"/>
  <c r="V37"/>
  <c r="U37"/>
  <c r="S37"/>
  <c r="R37"/>
  <c r="Q37"/>
  <c r="P37"/>
  <c r="O37"/>
  <c r="N37"/>
  <c r="M37"/>
  <c r="L37"/>
  <c r="H37"/>
  <c r="W36"/>
  <c r="V36"/>
  <c r="U36"/>
  <c r="S36"/>
  <c r="R36"/>
  <c r="Q36"/>
  <c r="P36"/>
  <c r="O36"/>
  <c r="N36"/>
  <c r="M36"/>
  <c r="L36"/>
  <c r="H36"/>
  <c r="W35"/>
  <c r="V35"/>
  <c r="U35"/>
  <c r="S35"/>
  <c r="R35"/>
  <c r="Q35"/>
  <c r="P35"/>
  <c r="O35"/>
  <c r="N35"/>
  <c r="M35"/>
  <c r="L35"/>
  <c r="H35"/>
  <c r="W34"/>
  <c r="V34"/>
  <c r="U34"/>
  <c r="S34"/>
  <c r="R34"/>
  <c r="Q34"/>
  <c r="P34"/>
  <c r="O34"/>
  <c r="N34"/>
  <c r="M34"/>
  <c r="L34"/>
  <c r="H34"/>
  <c r="W33"/>
  <c r="V33"/>
  <c r="U33"/>
  <c r="S33"/>
  <c r="R33"/>
  <c r="Q33"/>
  <c r="P33"/>
  <c r="O33"/>
  <c r="N33"/>
  <c r="M33"/>
  <c r="L33"/>
  <c r="H33"/>
  <c r="W32"/>
  <c r="V32"/>
  <c r="U32"/>
  <c r="S32"/>
  <c r="R32"/>
  <c r="Q32"/>
  <c r="P32"/>
  <c r="O32"/>
  <c r="N32"/>
  <c r="M32"/>
  <c r="L32"/>
  <c r="H32"/>
  <c r="W31"/>
  <c r="V31"/>
  <c r="U31"/>
  <c r="S31"/>
  <c r="R31"/>
  <c r="Q31"/>
  <c r="P31"/>
  <c r="O31"/>
  <c r="N31"/>
  <c r="M31"/>
  <c r="L31"/>
  <c r="H31"/>
  <c r="W30"/>
  <c r="V30"/>
  <c r="U30"/>
  <c r="S30"/>
  <c r="R30"/>
  <c r="Q30"/>
  <c r="P30"/>
  <c r="O30"/>
  <c r="N30"/>
  <c r="M30"/>
  <c r="L30"/>
  <c r="H30"/>
  <c r="W29"/>
  <c r="V29"/>
  <c r="U29"/>
  <c r="S29"/>
  <c r="R29"/>
  <c r="Q29"/>
  <c r="P29"/>
  <c r="O29"/>
  <c r="N29"/>
  <c r="M29"/>
  <c r="L29"/>
  <c r="H29"/>
  <c r="W28"/>
  <c r="V28"/>
  <c r="U28"/>
  <c r="S28"/>
  <c r="R28"/>
  <c r="Q28"/>
  <c r="P28"/>
  <c r="O28"/>
  <c r="N28"/>
  <c r="M28"/>
  <c r="L28"/>
  <c r="H28"/>
  <c r="W27"/>
  <c r="V27"/>
  <c r="U27"/>
  <c r="S27"/>
  <c r="R27"/>
  <c r="Q27"/>
  <c r="P27"/>
  <c r="O27"/>
  <c r="N27"/>
  <c r="M27"/>
  <c r="L27"/>
  <c r="H27"/>
  <c r="W26"/>
  <c r="V26"/>
  <c r="U26"/>
  <c r="S26"/>
  <c r="R26"/>
  <c r="Q26"/>
  <c r="P26"/>
  <c r="O26"/>
  <c r="N26"/>
  <c r="M26"/>
  <c r="L26"/>
  <c r="H26"/>
  <c r="AE25"/>
  <c r="AD25"/>
  <c r="AC25"/>
  <c r="AB25"/>
  <c r="W25"/>
  <c r="V25"/>
  <c r="U25"/>
  <c r="S25"/>
  <c r="R25"/>
  <c r="Q25"/>
  <c r="P25"/>
  <c r="O25"/>
  <c r="N25"/>
  <c r="M25"/>
  <c r="L25"/>
  <c r="H25"/>
  <c r="AE24"/>
  <c r="AD24"/>
  <c r="AC24"/>
  <c r="AB24"/>
  <c r="W24"/>
  <c r="V24"/>
  <c r="U24"/>
  <c r="S24"/>
  <c r="R24"/>
  <c r="Q24"/>
  <c r="P24"/>
  <c r="O24"/>
  <c r="N24"/>
  <c r="M24"/>
  <c r="L24"/>
  <c r="H24"/>
  <c r="AE23"/>
  <c r="AD23"/>
  <c r="AC23"/>
  <c r="AB23"/>
  <c r="W23"/>
  <c r="V23"/>
  <c r="U23"/>
  <c r="S23"/>
  <c r="R23"/>
  <c r="Q23"/>
  <c r="P23"/>
  <c r="O23"/>
  <c r="N23"/>
  <c r="M23"/>
  <c r="L23"/>
  <c r="H23"/>
  <c r="G29" i="2"/>
  <c r="AH26"/>
  <c r="AG26"/>
  <c r="AF26"/>
  <c r="AE26"/>
  <c r="AD26"/>
  <c r="AB26"/>
  <c r="AA26"/>
  <c r="Z26"/>
  <c r="Y26"/>
  <c r="X26"/>
  <c r="W26"/>
  <c r="V26"/>
  <c r="S26"/>
  <c r="R26"/>
  <c r="H26"/>
  <c r="AW25"/>
  <c r="AV25"/>
  <c r="AU25"/>
  <c r="AT25"/>
  <c r="AO25"/>
  <c r="AM25"/>
  <c r="AL25"/>
  <c r="AK25"/>
  <c r="AJ25"/>
  <c r="AH25"/>
  <c r="AG25"/>
  <c r="AF25"/>
  <c r="AE25"/>
  <c r="AD25"/>
  <c r="AB25"/>
  <c r="Z25"/>
  <c r="Y25"/>
  <c r="X25"/>
  <c r="W25"/>
  <c r="V25"/>
  <c r="S25"/>
  <c r="R25"/>
  <c r="Q25"/>
  <c r="P25"/>
  <c r="O25"/>
  <c r="N25"/>
  <c r="M25"/>
  <c r="L25"/>
  <c r="H25"/>
  <c r="AW24"/>
  <c r="AV24"/>
  <c r="AU24"/>
  <c r="AT24"/>
  <c r="AO24"/>
  <c r="AM24"/>
  <c r="AL24"/>
  <c r="AK24"/>
  <c r="AJ24"/>
  <c r="AH24"/>
  <c r="AG24"/>
  <c r="AF24"/>
  <c r="AE24"/>
  <c r="AD24"/>
  <c r="AB24"/>
  <c r="Z24"/>
  <c r="Y24"/>
  <c r="X24"/>
  <c r="W24"/>
  <c r="V24"/>
  <c r="S24"/>
  <c r="R24"/>
  <c r="Q24"/>
  <c r="P24"/>
  <c r="O24"/>
  <c r="N24"/>
  <c r="M24"/>
  <c r="L24"/>
  <c r="H24"/>
  <c r="AW23"/>
  <c r="AV23"/>
  <c r="AU23"/>
  <c r="AT23"/>
  <c r="AO23"/>
  <c r="AM23"/>
  <c r="AL23"/>
  <c r="AK23"/>
  <c r="AJ23"/>
  <c r="AH23"/>
  <c r="AG23"/>
  <c r="AF23"/>
  <c r="AE23"/>
  <c r="AD23"/>
  <c r="AB23"/>
  <c r="Z23"/>
  <c r="Y23"/>
  <c r="X23"/>
  <c r="W23"/>
  <c r="V23"/>
  <c r="S23"/>
  <c r="R23"/>
  <c r="Q23"/>
  <c r="P23"/>
  <c r="O23"/>
  <c r="N23"/>
  <c r="M23"/>
  <c r="L23"/>
  <c r="H23"/>
  <c r="H19"/>
  <c r="H18"/>
  <c r="H17"/>
  <c r="H16"/>
  <c r="H15"/>
  <c r="H14"/>
  <c r="H13"/>
  <c r="H12"/>
  <c r="H11"/>
  <c r="H10"/>
  <c r="H9"/>
  <c r="H8"/>
  <c r="H7"/>
  <c r="H6"/>
  <c r="H5"/>
  <c r="H4"/>
  <c r="F4" i="1"/>
  <c r="E4"/>
  <c r="F3"/>
  <c r="E3"/>
  <c r="F2"/>
  <c r="E2"/>
  <c r="Y25" i="68" l="1"/>
  <c r="V25"/>
  <c r="O23"/>
  <c r="N24"/>
  <c r="AY24"/>
  <c r="BP24"/>
  <c r="BP23"/>
  <c r="Y25" i="38"/>
  <c r="Y25" i="36"/>
  <c r="W25"/>
  <c r="N23" i="40"/>
  <c r="O23" s="1"/>
  <c r="L23"/>
  <c r="M23" s="1"/>
  <c r="BP24"/>
  <c r="AY24"/>
  <c r="BP23"/>
  <c r="AK25"/>
  <c r="P23"/>
  <c r="Q23" s="1"/>
  <c r="R23" s="1"/>
  <c r="N24"/>
  <c r="N23" i="23"/>
  <c r="AY24"/>
  <c r="BP24"/>
  <c r="BP23"/>
  <c r="L24"/>
  <c r="M24" s="1"/>
  <c r="N23" i="42"/>
  <c r="AP23"/>
  <c r="H24"/>
  <c r="BP23"/>
  <c r="AK25" i="50"/>
  <c r="AP24"/>
  <c r="BP23"/>
  <c r="AY23"/>
  <c r="AO23"/>
  <c r="AJ24"/>
  <c r="AO24" s="1"/>
  <c r="V25"/>
  <c r="N24"/>
  <c r="AW24"/>
  <c r="N23"/>
  <c r="L23"/>
  <c r="M23" s="1"/>
  <c r="H19" i="53"/>
  <c r="AP23"/>
  <c r="BM36"/>
  <c r="BN36" s="1"/>
  <c r="AY23"/>
  <c r="AJ23"/>
  <c r="H24"/>
  <c r="I26" s="1"/>
  <c r="L23"/>
  <c r="M23" s="1"/>
  <c r="N23" s="1"/>
  <c r="AP24" i="49"/>
  <c r="X25"/>
  <c r="H19"/>
  <c r="AP23"/>
  <c r="BM37"/>
  <c r="BN37" s="1"/>
  <c r="AH23"/>
  <c r="AE24"/>
  <c r="AE25" s="1"/>
  <c r="Y25"/>
  <c r="AY24"/>
  <c r="AY23"/>
  <c r="AJ23"/>
  <c r="N23"/>
  <c r="H25"/>
  <c r="I27" s="1"/>
  <c r="L24"/>
  <c r="M24" s="1"/>
  <c r="N24" s="1"/>
  <c r="AY23" i="39"/>
  <c r="BP23"/>
  <c r="AY24"/>
  <c r="BP24"/>
  <c r="L24"/>
  <c r="M24" s="1"/>
  <c r="N24" s="1"/>
  <c r="H25"/>
  <c r="AK25"/>
  <c r="L23"/>
  <c r="M23" s="1"/>
  <c r="AY23" i="38"/>
  <c r="BP23"/>
  <c r="N23"/>
  <c r="L24"/>
  <c r="M24" s="1"/>
  <c r="H25"/>
  <c r="AK25"/>
  <c r="L23"/>
  <c r="M23" s="1"/>
  <c r="BP24"/>
  <c r="AY23" i="36"/>
  <c r="BP23"/>
  <c r="L24"/>
  <c r="M24" s="1"/>
  <c r="H25"/>
  <c r="AK25"/>
  <c r="L23"/>
  <c r="M23" s="1"/>
  <c r="N23" s="1"/>
  <c r="BP24"/>
  <c r="AP23" i="57"/>
  <c r="H19"/>
  <c r="AY23"/>
  <c r="BP23"/>
  <c r="N23"/>
  <c r="H24"/>
  <c r="AY23" i="35"/>
  <c r="BP23"/>
  <c r="L24"/>
  <c r="M24" s="1"/>
  <c r="H25"/>
  <c r="L23"/>
  <c r="M23" s="1"/>
  <c r="N23" s="1"/>
  <c r="AP23"/>
  <c r="BP24"/>
  <c r="X25" i="34"/>
  <c r="Y25"/>
  <c r="AY23"/>
  <c r="BP23"/>
  <c r="L24"/>
  <c r="M24" s="1"/>
  <c r="H25"/>
  <c r="BP24"/>
  <c r="L23"/>
  <c r="M23" s="1"/>
  <c r="N23" i="54"/>
  <c r="AY23"/>
  <c r="BP23"/>
  <c r="L24"/>
  <c r="M24" s="1"/>
  <c r="N24" s="1"/>
  <c r="H25"/>
  <c r="BP24"/>
  <c r="V25"/>
  <c r="H19" i="59"/>
  <c r="L23"/>
  <c r="M23" s="1"/>
  <c r="N23" s="1"/>
  <c r="O23" s="1"/>
  <c r="P23" s="1"/>
  <c r="Q23" s="1"/>
  <c r="R23" s="1"/>
  <c r="AY23"/>
  <c r="BP23"/>
  <c r="AY24" i="52"/>
  <c r="BP24"/>
  <c r="AO23"/>
  <c r="AJ25"/>
  <c r="AW23"/>
  <c r="AK25"/>
  <c r="L24"/>
  <c r="M24" s="1"/>
  <c r="N24" s="1"/>
  <c r="H25"/>
  <c r="I27" s="1"/>
  <c r="L23"/>
  <c r="M23" s="1"/>
  <c r="N23" s="1"/>
  <c r="AG25" i="51"/>
  <c r="AJ24"/>
  <c r="AO24" s="1"/>
  <c r="BN37"/>
  <c r="H19"/>
  <c r="AP24"/>
  <c r="AO23"/>
  <c r="AY23"/>
  <c r="N24"/>
  <c r="AW24"/>
  <c r="AK25"/>
  <c r="H25"/>
  <c r="I27" s="1"/>
  <c r="L23"/>
  <c r="M23" s="1"/>
  <c r="BP23"/>
  <c r="H19" i="62"/>
  <c r="N23"/>
  <c r="O23" s="1"/>
  <c r="AY23"/>
  <c r="BP23"/>
  <c r="H24"/>
  <c r="AK24"/>
  <c r="AP23" i="33"/>
  <c r="H19"/>
  <c r="AY23"/>
  <c r="BP23"/>
  <c r="O23"/>
  <c r="P23" s="1"/>
  <c r="Q23" s="1"/>
  <c r="R23" s="1"/>
  <c r="AK24"/>
  <c r="P24" i="32"/>
  <c r="Q24" s="1"/>
  <c r="AJ25"/>
  <c r="AY23"/>
  <c r="O24"/>
  <c r="H25"/>
  <c r="I27" s="1"/>
  <c r="L23"/>
  <c r="M23" s="1"/>
  <c r="N23" s="1"/>
  <c r="BP24"/>
  <c r="AO23" i="31"/>
  <c r="AJ25"/>
  <c r="AY23"/>
  <c r="N24"/>
  <c r="AW24"/>
  <c r="H25"/>
  <c r="I27" s="1"/>
  <c r="L23"/>
  <c r="M23" s="1"/>
  <c r="BP23"/>
  <c r="AK25" i="30"/>
  <c r="H19"/>
  <c r="N23"/>
  <c r="AY24"/>
  <c r="BP24"/>
  <c r="AY23"/>
  <c r="BP23"/>
  <c r="AE23"/>
  <c r="AH25"/>
  <c r="AE24"/>
  <c r="AG23"/>
  <c r="AP24"/>
  <c r="AG24"/>
  <c r="L24"/>
  <c r="M24" s="1"/>
  <c r="AH23"/>
  <c r="H25"/>
  <c r="I27" s="1"/>
  <c r="AH24"/>
  <c r="AY23" i="27"/>
  <c r="BP23"/>
  <c r="BP24"/>
  <c r="AY24"/>
  <c r="N23"/>
  <c r="AK25"/>
  <c r="N24"/>
  <c r="N23" i="25"/>
  <c r="L24"/>
  <c r="M24" s="1"/>
  <c r="N24" s="1"/>
  <c r="H25"/>
  <c r="AK25"/>
  <c r="BP24"/>
  <c r="N23" i="29"/>
  <c r="AY24"/>
  <c r="BP24"/>
  <c r="AY23"/>
  <c r="AH23"/>
  <c r="L24"/>
  <c r="M24" s="1"/>
  <c r="AG24"/>
  <c r="AJ24" s="1"/>
  <c r="AO24" s="1"/>
  <c r="H25"/>
  <c r="I27" s="1"/>
  <c r="AG23"/>
  <c r="AE24"/>
  <c r="AE23"/>
  <c r="BP23"/>
  <c r="AY24" i="28"/>
  <c r="BP24"/>
  <c r="L24"/>
  <c r="M24" s="1"/>
  <c r="H25"/>
  <c r="L23"/>
  <c r="M23" s="1"/>
  <c r="N23" s="1"/>
  <c r="Y25" i="21"/>
  <c r="AP23"/>
  <c r="AY24"/>
  <c r="BP24"/>
  <c r="N23"/>
  <c r="AW23"/>
  <c r="L24"/>
  <c r="M24" s="1"/>
  <c r="H25"/>
  <c r="I27" s="1"/>
  <c r="AJ25"/>
  <c r="L23"/>
  <c r="M23" s="1"/>
  <c r="AO24" i="67"/>
  <c r="AE25"/>
  <c r="BM37"/>
  <c r="BN37" s="1"/>
  <c r="H19"/>
  <c r="AP23"/>
  <c r="AG25"/>
  <c r="N23"/>
  <c r="AY24"/>
  <c r="AY23"/>
  <c r="AJ23"/>
  <c r="N24"/>
  <c r="H25"/>
  <c r="I27" s="1"/>
  <c r="BP23"/>
  <c r="AB23" i="18"/>
  <c r="AB26" s="1"/>
  <c r="AB24"/>
  <c r="AB25"/>
  <c r="AK26"/>
  <c r="AP25"/>
  <c r="H19"/>
  <c r="X26"/>
  <c r="AP24"/>
  <c r="AG25"/>
  <c r="AE25"/>
  <c r="AE26" s="1"/>
  <c r="AH23"/>
  <c r="AH24"/>
  <c r="H26"/>
  <c r="I28" s="1"/>
  <c r="AG23"/>
  <c r="AG24"/>
  <c r="AH25"/>
  <c r="N25"/>
  <c r="AP23"/>
  <c r="N24"/>
  <c r="N23"/>
  <c r="O23" i="16"/>
  <c r="P23" s="1"/>
  <c r="Q23" s="1"/>
  <c r="O24"/>
  <c r="AY23"/>
  <c r="BP23"/>
  <c r="AY24"/>
  <c r="BP24"/>
  <c r="N23" i="15"/>
  <c r="AY23"/>
  <c r="BP23"/>
  <c r="AK25" i="14"/>
  <c r="W25"/>
  <c r="N24"/>
  <c r="AY23"/>
  <c r="BP23"/>
  <c r="H25"/>
  <c r="L23"/>
  <c r="M23" s="1"/>
  <c r="N23" s="1"/>
  <c r="BP24"/>
  <c r="AY23" i="13"/>
  <c r="L24"/>
  <c r="M24" s="1"/>
  <c r="N24" s="1"/>
  <c r="H25"/>
  <c r="L23"/>
  <c r="M23" s="1"/>
  <c r="H25" i="12"/>
  <c r="AY24"/>
  <c r="BP24"/>
  <c r="AY23"/>
  <c r="BP23"/>
  <c r="N24"/>
  <c r="AP23"/>
  <c r="L23"/>
  <c r="M23" s="1"/>
  <c r="N23" i="37"/>
  <c r="O23" s="1"/>
  <c r="P23" s="1"/>
  <c r="Q23" s="1"/>
  <c r="AY23"/>
  <c r="BP23"/>
  <c r="H19" i="11"/>
  <c r="L23"/>
  <c r="M23" s="1"/>
  <c r="N23" s="1"/>
  <c r="N24" i="10"/>
  <c r="AY23"/>
  <c r="BP23"/>
  <c r="H25"/>
  <c r="L23"/>
  <c r="M23" s="1"/>
  <c r="N23" s="1"/>
  <c r="AP23"/>
  <c r="BP24"/>
  <c r="AP23" i="8"/>
  <c r="BP23"/>
  <c r="BP24"/>
  <c r="N24"/>
  <c r="N23"/>
  <c r="AY24" i="7"/>
  <c r="BP24"/>
  <c r="O24"/>
  <c r="AK25"/>
  <c r="H19"/>
  <c r="AY23"/>
  <c r="BP23"/>
  <c r="L23"/>
  <c r="M23" s="1"/>
  <c r="N23" s="1"/>
  <c r="H25"/>
  <c r="AO23" i="6"/>
  <c r="AB23"/>
  <c r="AB24" s="1"/>
  <c r="N23"/>
  <c r="AW23"/>
  <c r="H24"/>
  <c r="R23" i="68" l="1"/>
  <c r="O24"/>
  <c r="P23"/>
  <c r="Q23" s="1"/>
  <c r="R25" i="40"/>
  <c r="S23"/>
  <c r="O24"/>
  <c r="O23" i="23"/>
  <c r="P23" s="1"/>
  <c r="Q23" s="1"/>
  <c r="N24"/>
  <c r="O23" i="42"/>
  <c r="O24" i="50"/>
  <c r="P24" s="1"/>
  <c r="Q24" s="1"/>
  <c r="AY24"/>
  <c r="BP24"/>
  <c r="AJ25"/>
  <c r="O23"/>
  <c r="P23"/>
  <c r="Q23" s="1"/>
  <c r="R23" s="1"/>
  <c r="O23" i="53"/>
  <c r="P23"/>
  <c r="Q23" s="1"/>
  <c r="AO23"/>
  <c r="AJ24"/>
  <c r="O24" i="49"/>
  <c r="P24"/>
  <c r="Q24" s="1"/>
  <c r="R24" s="1"/>
  <c r="S24" s="1"/>
  <c r="O23"/>
  <c r="AO23"/>
  <c r="AJ25"/>
  <c r="O24" i="39"/>
  <c r="N23"/>
  <c r="O23" i="38"/>
  <c r="N24"/>
  <c r="O23" i="36"/>
  <c r="N24"/>
  <c r="O23" i="57"/>
  <c r="P23" s="1"/>
  <c r="Q23" s="1"/>
  <c r="O23" i="35"/>
  <c r="P23" s="1"/>
  <c r="Q23" s="1"/>
  <c r="R23" s="1"/>
  <c r="N24"/>
  <c r="N23" i="34"/>
  <c r="N24"/>
  <c r="P24" i="54"/>
  <c r="Q24" s="1"/>
  <c r="O24"/>
  <c r="R24" s="1"/>
  <c r="S24" s="1"/>
  <c r="O23"/>
  <c r="P23" s="1"/>
  <c r="Q23" s="1"/>
  <c r="S23" i="59"/>
  <c r="O24" i="52"/>
  <c r="O23"/>
  <c r="BP23"/>
  <c r="AY23"/>
  <c r="AJ25" i="51"/>
  <c r="O24"/>
  <c r="P24" s="1"/>
  <c r="Q24" s="1"/>
  <c r="BP24"/>
  <c r="AY24"/>
  <c r="N23"/>
  <c r="P23" i="62"/>
  <c r="Q23" s="1"/>
  <c r="R23" s="1"/>
  <c r="R24" i="33"/>
  <c r="S23"/>
  <c r="O23" i="32"/>
  <c r="R23" s="1"/>
  <c r="P23"/>
  <c r="Q23" s="1"/>
  <c r="R24"/>
  <c r="S24" s="1"/>
  <c r="P24" i="31"/>
  <c r="Q24" s="1"/>
  <c r="O24"/>
  <c r="N23"/>
  <c r="AY24"/>
  <c r="BP24"/>
  <c r="AE25" i="30"/>
  <c r="AJ24"/>
  <c r="AO24" s="1"/>
  <c r="AJ23"/>
  <c r="AG25"/>
  <c r="O23"/>
  <c r="P23" s="1"/>
  <c r="Q23" s="1"/>
  <c r="N24"/>
  <c r="O24" i="27"/>
  <c r="P24"/>
  <c r="Q24" s="1"/>
  <c r="O23"/>
  <c r="O24" i="25"/>
  <c r="R24" s="1"/>
  <c r="S24" s="1"/>
  <c r="P24"/>
  <c r="Q24" s="1"/>
  <c r="O23"/>
  <c r="AG25" i="29"/>
  <c r="AJ23"/>
  <c r="AE25"/>
  <c r="O23"/>
  <c r="P23" s="1"/>
  <c r="Q23" s="1"/>
  <c r="N24"/>
  <c r="O23" i="28"/>
  <c r="N24"/>
  <c r="O23" i="21"/>
  <c r="P23"/>
  <c r="Q23" s="1"/>
  <c r="R23" s="1"/>
  <c r="BP23"/>
  <c r="AY23"/>
  <c r="N24"/>
  <c r="O24" i="67"/>
  <c r="AO23"/>
  <c r="AJ25"/>
  <c r="O23"/>
  <c r="P23" s="1"/>
  <c r="Q23" s="1"/>
  <c r="AC23" i="18"/>
  <c r="AC26" s="1"/>
  <c r="AG26"/>
  <c r="AJ24"/>
  <c r="AO24" s="1"/>
  <c r="AJ25"/>
  <c r="AO25" s="1"/>
  <c r="AJ23"/>
  <c r="O24"/>
  <c r="P24" s="1"/>
  <c r="Q24" s="1"/>
  <c r="O25"/>
  <c r="O23"/>
  <c r="R24" i="16"/>
  <c r="S24" s="1"/>
  <c r="P24"/>
  <c r="Q24" s="1"/>
  <c r="R23"/>
  <c r="O23" i="15"/>
  <c r="O23" i="14"/>
  <c r="O24"/>
  <c r="O24" i="13"/>
  <c r="P24" s="1"/>
  <c r="Q24" s="1"/>
  <c r="N23"/>
  <c r="P24" i="12"/>
  <c r="Q24" s="1"/>
  <c r="O24"/>
  <c r="N23"/>
  <c r="R23" i="37"/>
  <c r="O23" i="11"/>
  <c r="O23" i="10"/>
  <c r="O24"/>
  <c r="O23" i="8"/>
  <c r="P23" s="1"/>
  <c r="Q23" s="1"/>
  <c r="O24"/>
  <c r="R24" i="7"/>
  <c r="S24" s="1"/>
  <c r="P24"/>
  <c r="Q24" s="1"/>
  <c r="O23"/>
  <c r="O23" i="6"/>
  <c r="BP23"/>
  <c r="AY23"/>
  <c r="P24" i="68" l="1"/>
  <c r="Q24" s="1"/>
  <c r="R24" s="1"/>
  <c r="S23"/>
  <c r="V23" i="40"/>
  <c r="W23"/>
  <c r="W25" s="1"/>
  <c r="AI23"/>
  <c r="S25"/>
  <c r="AH23" s="1"/>
  <c r="AH25" s="1"/>
  <c r="AA23"/>
  <c r="R24"/>
  <c r="S24" s="1"/>
  <c r="P24"/>
  <c r="Q24" s="1"/>
  <c r="O24" i="23"/>
  <c r="P24" s="1"/>
  <c r="Q24" s="1"/>
  <c r="R23"/>
  <c r="P23" i="42"/>
  <c r="Q23" s="1"/>
  <c r="R23" s="1"/>
  <c r="S23" i="50"/>
  <c r="R24"/>
  <c r="S24" s="1"/>
  <c r="R23" i="53"/>
  <c r="S23"/>
  <c r="AC24" i="49"/>
  <c r="V24"/>
  <c r="AB24" s="1"/>
  <c r="W24"/>
  <c r="AI24"/>
  <c r="AN24" s="1"/>
  <c r="AR24" s="1"/>
  <c r="AX24" s="1"/>
  <c r="AZ24" s="1"/>
  <c r="BO24" s="1"/>
  <c r="AA24"/>
  <c r="R23"/>
  <c r="P23"/>
  <c r="Q23" s="1"/>
  <c r="R24" i="39"/>
  <c r="S24" s="1"/>
  <c r="O23"/>
  <c r="P24"/>
  <c r="Q24" s="1"/>
  <c r="O24" i="38"/>
  <c r="P23"/>
  <c r="Q23" s="1"/>
  <c r="R23" s="1"/>
  <c r="O24" i="36"/>
  <c r="P23"/>
  <c r="Q23" s="1"/>
  <c r="R23" s="1"/>
  <c r="R23" i="57"/>
  <c r="S23" i="35"/>
  <c r="O24"/>
  <c r="P24" s="1"/>
  <c r="Q24" s="1"/>
  <c r="O24" i="34"/>
  <c r="P24"/>
  <c r="Q24" s="1"/>
  <c r="O23"/>
  <c r="AI24" i="54"/>
  <c r="AN24" s="1"/>
  <c r="X24"/>
  <c r="AB24" s="1"/>
  <c r="AA24"/>
  <c r="AC24"/>
  <c r="R23"/>
  <c r="AI23" i="59"/>
  <c r="X23"/>
  <c r="AA23"/>
  <c r="R24" i="52"/>
  <c r="S24" s="1"/>
  <c r="R23"/>
  <c r="P23"/>
  <c r="Q23" s="1"/>
  <c r="P24"/>
  <c r="Q24" s="1"/>
  <c r="O23" i="51"/>
  <c r="P23" s="1"/>
  <c r="Q23" s="1"/>
  <c r="R24"/>
  <c r="S24" s="1"/>
  <c r="X24" s="1"/>
  <c r="S23" i="62"/>
  <c r="V23" i="33"/>
  <c r="W23"/>
  <c r="W24" s="1"/>
  <c r="AI23"/>
  <c r="S24"/>
  <c r="AH23" s="1"/>
  <c r="AH24" s="1"/>
  <c r="AA23"/>
  <c r="R25" i="32"/>
  <c r="I28" s="1"/>
  <c r="S23"/>
  <c r="AA24"/>
  <c r="AC24"/>
  <c r="V24"/>
  <c r="W24"/>
  <c r="AI24"/>
  <c r="AN24" s="1"/>
  <c r="AR24" s="1"/>
  <c r="AX24" s="1"/>
  <c r="AZ24" s="1"/>
  <c r="BO24" s="1"/>
  <c r="R24" i="31"/>
  <c r="S24" s="1"/>
  <c r="O23"/>
  <c r="P23" s="1"/>
  <c r="Q23" s="1"/>
  <c r="AJ25" i="30"/>
  <c r="AO23"/>
  <c r="R23"/>
  <c r="O24"/>
  <c r="P24" s="1"/>
  <c r="Q24" s="1"/>
  <c r="R24" i="27"/>
  <c r="S24" s="1"/>
  <c r="R23"/>
  <c r="P23"/>
  <c r="Q23" s="1"/>
  <c r="W24" i="25"/>
  <c r="AI24"/>
  <c r="AN24" s="1"/>
  <c r="AA24"/>
  <c r="AC24"/>
  <c r="V24"/>
  <c r="AB24" s="1"/>
  <c r="P23"/>
  <c r="Q23" s="1"/>
  <c r="R23" s="1"/>
  <c r="O24" i="29"/>
  <c r="P24" s="1"/>
  <c r="Q24" s="1"/>
  <c r="AO23"/>
  <c r="AJ25"/>
  <c r="R23"/>
  <c r="O24" i="28"/>
  <c r="P23"/>
  <c r="Q23" s="1"/>
  <c r="R23" s="1"/>
  <c r="S23" i="21"/>
  <c r="P24"/>
  <c r="Q24" s="1"/>
  <c r="O24"/>
  <c r="R23" i="67"/>
  <c r="R24"/>
  <c r="S24" s="1"/>
  <c r="P24"/>
  <c r="Q24" s="1"/>
  <c r="AO23" i="18"/>
  <c r="AJ26"/>
  <c r="R24"/>
  <c r="S24" s="1"/>
  <c r="P25"/>
  <c r="Q25" s="1"/>
  <c r="R25" s="1"/>
  <c r="S25" s="1"/>
  <c r="P23"/>
  <c r="Q23" s="1"/>
  <c r="R23" s="1"/>
  <c r="AI24" i="16"/>
  <c r="AN24" s="1"/>
  <c r="X24"/>
  <c r="AB24" s="1"/>
  <c r="AA24"/>
  <c r="AC24"/>
  <c r="R25"/>
  <c r="S23"/>
  <c r="P23" i="15"/>
  <c r="Q23" s="1"/>
  <c r="R23" s="1"/>
  <c r="R23" i="14"/>
  <c r="P23"/>
  <c r="Q23" s="1"/>
  <c r="R24"/>
  <c r="S24" s="1"/>
  <c r="P24"/>
  <c r="Q24" s="1"/>
  <c r="O23" i="13"/>
  <c r="R24"/>
  <c r="S24" s="1"/>
  <c r="O23" i="12"/>
  <c r="R24"/>
  <c r="S24" s="1"/>
  <c r="R24" i="37"/>
  <c r="S23"/>
  <c r="P23" i="11"/>
  <c r="Q23" s="1"/>
  <c r="R23" s="1"/>
  <c r="R23" i="10"/>
  <c r="P23"/>
  <c r="Q23" s="1"/>
  <c r="P24"/>
  <c r="Q24" s="1"/>
  <c r="R24" s="1"/>
  <c r="S24" s="1"/>
  <c r="R23" i="8"/>
  <c r="R25" s="1"/>
  <c r="R24"/>
  <c r="S24" s="1"/>
  <c r="P24"/>
  <c r="Q24" s="1"/>
  <c r="AG24" i="7"/>
  <c r="AJ24" s="1"/>
  <c r="AO24" s="1"/>
  <c r="V24"/>
  <c r="AB24" s="1"/>
  <c r="AH24"/>
  <c r="W24"/>
  <c r="AN24"/>
  <c r="AA24"/>
  <c r="AC24"/>
  <c r="AE24"/>
  <c r="R23"/>
  <c r="P23"/>
  <c r="Q23" s="1"/>
  <c r="R23" i="6"/>
  <c r="P23"/>
  <c r="Q23" s="1"/>
  <c r="S24" i="68" l="1"/>
  <c r="R25"/>
  <c r="AI23"/>
  <c r="X23"/>
  <c r="AA23"/>
  <c r="V25" i="40"/>
  <c r="AB23"/>
  <c r="AE23"/>
  <c r="AE25" s="1"/>
  <c r="AG23"/>
  <c r="AE24"/>
  <c r="AG24"/>
  <c r="AJ24" s="1"/>
  <c r="AO24" s="1"/>
  <c r="V24"/>
  <c r="AB24" s="1"/>
  <c r="AH24"/>
  <c r="W24"/>
  <c r="AI24"/>
  <c r="AN24" s="1"/>
  <c r="AA24"/>
  <c r="AC24"/>
  <c r="AI25"/>
  <c r="AN23"/>
  <c r="R25" i="23"/>
  <c r="S23"/>
  <c r="R24"/>
  <c r="S24" s="1"/>
  <c r="R24" i="42"/>
  <c r="S23"/>
  <c r="AI23" i="50"/>
  <c r="X23"/>
  <c r="S25"/>
  <c r="I29" s="1"/>
  <c r="AA23"/>
  <c r="R25"/>
  <c r="I28" s="1"/>
  <c r="AA24"/>
  <c r="AC24"/>
  <c r="AI24"/>
  <c r="AN24" s="1"/>
  <c r="AR24" s="1"/>
  <c r="AX24" s="1"/>
  <c r="AZ24" s="1"/>
  <c r="BO24" s="1"/>
  <c r="X24"/>
  <c r="R24" i="53"/>
  <c r="I27" s="1"/>
  <c r="V23"/>
  <c r="W23"/>
  <c r="AI23"/>
  <c r="S24"/>
  <c r="I28" s="1"/>
  <c r="AA23"/>
  <c r="R25" i="49"/>
  <c r="I28" s="1"/>
  <c r="S23"/>
  <c r="AI24" i="39"/>
  <c r="AN24" s="1"/>
  <c r="X24"/>
  <c r="AA24"/>
  <c r="AC24"/>
  <c r="P23"/>
  <c r="Q23" s="1"/>
  <c r="R23" s="1"/>
  <c r="S23" i="38"/>
  <c r="P24"/>
  <c r="Q24" s="1"/>
  <c r="R24" s="1"/>
  <c r="S23" i="36"/>
  <c r="R24"/>
  <c r="S24" s="1"/>
  <c r="P24"/>
  <c r="Q24" s="1"/>
  <c r="R24" i="57"/>
  <c r="S23"/>
  <c r="AI23" i="35"/>
  <c r="X23"/>
  <c r="AA23"/>
  <c r="R24"/>
  <c r="R24" i="34"/>
  <c r="S24" s="1"/>
  <c r="R23"/>
  <c r="P23"/>
  <c r="Q23" s="1"/>
  <c r="R25" i="54"/>
  <c r="S23"/>
  <c r="R24" i="59"/>
  <c r="AN23"/>
  <c r="AB23"/>
  <c r="AA24" i="52"/>
  <c r="AC24"/>
  <c r="AI24"/>
  <c r="AN24" s="1"/>
  <c r="AR24" s="1"/>
  <c r="AX24" s="1"/>
  <c r="AZ24" s="1"/>
  <c r="BO24" s="1"/>
  <c r="X24"/>
  <c r="R25"/>
  <c r="I28" s="1"/>
  <c r="S23"/>
  <c r="R23" i="51"/>
  <c r="AC24"/>
  <c r="V24"/>
  <c r="W24"/>
  <c r="AI24"/>
  <c r="AN24" s="1"/>
  <c r="AR24" s="1"/>
  <c r="AX24" s="1"/>
  <c r="AZ24" s="1"/>
  <c r="BO24" s="1"/>
  <c r="AA24"/>
  <c r="AI23" i="62"/>
  <c r="AA23"/>
  <c r="V23"/>
  <c r="W23"/>
  <c r="AE23" i="33"/>
  <c r="AE24" s="1"/>
  <c r="AG23"/>
  <c r="V24"/>
  <c r="AB23"/>
  <c r="AI24"/>
  <c r="AN23"/>
  <c r="V23" i="32"/>
  <c r="W23"/>
  <c r="W25" s="1"/>
  <c r="AI23"/>
  <c r="S25"/>
  <c r="I29" s="1"/>
  <c r="AA23"/>
  <c r="AA25" s="1"/>
  <c r="AB24"/>
  <c r="AA24" i="31"/>
  <c r="AC24"/>
  <c r="V24"/>
  <c r="AB24" s="1"/>
  <c r="W24"/>
  <c r="AI24"/>
  <c r="AN24" s="1"/>
  <c r="AR24" s="1"/>
  <c r="AX24" s="1"/>
  <c r="AZ24" s="1"/>
  <c r="BO24" s="1"/>
  <c r="R23"/>
  <c r="S23" i="30"/>
  <c r="R24"/>
  <c r="S24" s="1"/>
  <c r="V24" i="27"/>
  <c r="W24"/>
  <c r="AI24"/>
  <c r="AN24" s="1"/>
  <c r="AA24"/>
  <c r="AC24"/>
  <c r="R25"/>
  <c r="S23"/>
  <c r="R25" i="25"/>
  <c r="S23"/>
  <c r="S23" i="29"/>
  <c r="R24"/>
  <c r="S24" s="1"/>
  <c r="S23" i="28"/>
  <c r="P24"/>
  <c r="Q24" s="1"/>
  <c r="R24" s="1"/>
  <c r="AI23" i="21"/>
  <c r="X23"/>
  <c r="AA23"/>
  <c r="R24"/>
  <c r="R25" i="67"/>
  <c r="I28" s="1"/>
  <c r="S23"/>
  <c r="AC24"/>
  <c r="V24"/>
  <c r="W24"/>
  <c r="AI24"/>
  <c r="AN24" s="1"/>
  <c r="AR24" s="1"/>
  <c r="AX24" s="1"/>
  <c r="AZ24" s="1"/>
  <c r="BO24" s="1"/>
  <c r="AA24"/>
  <c r="AN24" i="18"/>
  <c r="AR24" s="1"/>
  <c r="R26"/>
  <c r="I29" s="1"/>
  <c r="S23"/>
  <c r="AN25"/>
  <c r="AR25" s="1"/>
  <c r="AI23" i="16"/>
  <c r="X23"/>
  <c r="S25"/>
  <c r="AA23"/>
  <c r="AA25" s="1"/>
  <c r="AG23"/>
  <c r="AE23"/>
  <c r="AE25" s="1"/>
  <c r="R24" i="15"/>
  <c r="S23"/>
  <c r="AI24" i="14"/>
  <c r="AN24" s="1"/>
  <c r="X24"/>
  <c r="AA24"/>
  <c r="AC24"/>
  <c r="R25"/>
  <c r="S23"/>
  <c r="W24" i="13"/>
  <c r="AI24"/>
  <c r="AN24" s="1"/>
  <c r="AA24"/>
  <c r="AC24"/>
  <c r="V24"/>
  <c r="R23"/>
  <c r="P23"/>
  <c r="Q23" s="1"/>
  <c r="AA24" i="12"/>
  <c r="AI24"/>
  <c r="AN24" s="1"/>
  <c r="W24"/>
  <c r="V24"/>
  <c r="AC24"/>
  <c r="P23"/>
  <c r="Q23" s="1"/>
  <c r="R23" s="1"/>
  <c r="AH23" i="37"/>
  <c r="AH24" s="1"/>
  <c r="W23"/>
  <c r="W24" s="1"/>
  <c r="S24"/>
  <c r="AG23" s="1"/>
  <c r="AI23"/>
  <c r="V23"/>
  <c r="AA23"/>
  <c r="AA24" s="1"/>
  <c r="R24" i="11"/>
  <c r="S23"/>
  <c r="W24" i="10"/>
  <c r="AI24"/>
  <c r="AN24" s="1"/>
  <c r="AC24"/>
  <c r="V24"/>
  <c r="R25"/>
  <c r="S23"/>
  <c r="V24" i="8"/>
  <c r="W24"/>
  <c r="AC24"/>
  <c r="AI24"/>
  <c r="AN24" s="1"/>
  <c r="AA24"/>
  <c r="S23"/>
  <c r="S25" s="1"/>
  <c r="AR24" i="7"/>
  <c r="AX24" s="1"/>
  <c r="AZ24" s="1"/>
  <c r="BO24" s="1"/>
  <c r="R25"/>
  <c r="S23"/>
  <c r="R24" i="6"/>
  <c r="S23"/>
  <c r="AH24" i="68" l="1"/>
  <c r="AI24"/>
  <c r="AN24" s="1"/>
  <c r="AR24" s="1"/>
  <c r="AX24" s="1"/>
  <c r="AZ24" s="1"/>
  <c r="BO24" s="1"/>
  <c r="X24"/>
  <c r="AB24" s="1"/>
  <c r="AA24"/>
  <c r="AC24"/>
  <c r="AG24"/>
  <c r="AJ24" s="1"/>
  <c r="AO24" s="1"/>
  <c r="AN23"/>
  <c r="AI25"/>
  <c r="X25"/>
  <c r="AB23"/>
  <c r="S25"/>
  <c r="AA25"/>
  <c r="V23" i="38"/>
  <c r="W23"/>
  <c r="AB25" i="40"/>
  <c r="AC23"/>
  <c r="AC25" s="1"/>
  <c r="AG25"/>
  <c r="AJ23"/>
  <c r="AA24" i="23"/>
  <c r="AI24"/>
  <c r="AN24" s="1"/>
  <c r="W24"/>
  <c r="V24"/>
  <c r="AC24"/>
  <c r="AA23"/>
  <c r="S25"/>
  <c r="AE24" s="1"/>
  <c r="AI23"/>
  <c r="W23"/>
  <c r="W25" s="1"/>
  <c r="V23"/>
  <c r="AG23"/>
  <c r="AH23" i="42"/>
  <c r="AH24" s="1"/>
  <c r="S24"/>
  <c r="AG23" s="1"/>
  <c r="AI23"/>
  <c r="X23"/>
  <c r="AA23"/>
  <c r="AA24" s="1"/>
  <c r="AN23" i="50"/>
  <c r="AR23" s="1"/>
  <c r="AX23" s="1"/>
  <c r="AZ23" s="1"/>
  <c r="BO23" s="1"/>
  <c r="AI25"/>
  <c r="AB24"/>
  <c r="X25"/>
  <c r="AB23"/>
  <c r="AA25"/>
  <c r="AN23" i="53"/>
  <c r="AR23" s="1"/>
  <c r="AX23" s="1"/>
  <c r="AZ23" s="1"/>
  <c r="BO23" s="1"/>
  <c r="AI24"/>
  <c r="AA24"/>
  <c r="W24"/>
  <c r="AB23"/>
  <c r="V24"/>
  <c r="V23" i="49"/>
  <c r="W23"/>
  <c r="W25" s="1"/>
  <c r="AI23"/>
  <c r="S25"/>
  <c r="I29" s="1"/>
  <c r="AA23"/>
  <c r="AA25" s="1"/>
  <c r="R25" i="39"/>
  <c r="S23"/>
  <c r="AB24"/>
  <c r="S24" i="38"/>
  <c r="R25"/>
  <c r="AI23"/>
  <c r="X23"/>
  <c r="AA23"/>
  <c r="R25" i="36"/>
  <c r="AI23"/>
  <c r="X23"/>
  <c r="S25"/>
  <c r="AH24" s="1"/>
  <c r="AA23"/>
  <c r="AI24"/>
  <c r="AN24" s="1"/>
  <c r="X24"/>
  <c r="AB24" s="1"/>
  <c r="AA24"/>
  <c r="AC24"/>
  <c r="AI23" i="57"/>
  <c r="X23"/>
  <c r="S24"/>
  <c r="AG23" s="1"/>
  <c r="AA23"/>
  <c r="AA24" s="1"/>
  <c r="S24" i="35"/>
  <c r="R25"/>
  <c r="AN23"/>
  <c r="AB23"/>
  <c r="W24" i="34"/>
  <c r="AI24"/>
  <c r="AN24" s="1"/>
  <c r="AA24"/>
  <c r="AC24"/>
  <c r="V24"/>
  <c r="R25"/>
  <c r="S23"/>
  <c r="AI23" i="54"/>
  <c r="X23"/>
  <c r="S25"/>
  <c r="AA23"/>
  <c r="AA25" s="1"/>
  <c r="AA24" i="59"/>
  <c r="S24"/>
  <c r="AC23"/>
  <c r="AC24" s="1"/>
  <c r="AB24" i="52"/>
  <c r="AI23"/>
  <c r="X23"/>
  <c r="S25"/>
  <c r="I29" s="1"/>
  <c r="AA23"/>
  <c r="AA25" s="1"/>
  <c r="AB24" i="51"/>
  <c r="R25"/>
  <c r="I28" s="1"/>
  <c r="S23"/>
  <c r="X23" s="1"/>
  <c r="X25" s="1"/>
  <c r="AN23" i="62"/>
  <c r="AB23"/>
  <c r="R24"/>
  <c r="AB24" i="33"/>
  <c r="AC23"/>
  <c r="AC24" s="1"/>
  <c r="AG24"/>
  <c r="AJ23"/>
  <c r="AB23" i="32"/>
  <c r="V25"/>
  <c r="AN23"/>
  <c r="AR23" s="1"/>
  <c r="AX23" s="1"/>
  <c r="AZ23" s="1"/>
  <c r="BO23" s="1"/>
  <c r="AI25"/>
  <c r="R25" i="31"/>
  <c r="I28" s="1"/>
  <c r="S23"/>
  <c r="R25" i="30"/>
  <c r="I28" s="1"/>
  <c r="AA23"/>
  <c r="S25"/>
  <c r="I29" s="1"/>
  <c r="AI23"/>
  <c r="W23"/>
  <c r="V23"/>
  <c r="AA24"/>
  <c r="AI24"/>
  <c r="AN24" s="1"/>
  <c r="AR24" s="1"/>
  <c r="AX24" s="1"/>
  <c r="AZ24" s="1"/>
  <c r="BO24" s="1"/>
  <c r="W24"/>
  <c r="V24"/>
  <c r="AC24"/>
  <c r="V23" i="27"/>
  <c r="W23"/>
  <c r="W25" s="1"/>
  <c r="AI23"/>
  <c r="S25"/>
  <c r="AE23" s="1"/>
  <c r="AE25" s="1"/>
  <c r="AA23"/>
  <c r="AB24"/>
  <c r="AI23" i="25"/>
  <c r="S25"/>
  <c r="AA23"/>
  <c r="AA25" s="1"/>
  <c r="AG23"/>
  <c r="V23"/>
  <c r="AH23"/>
  <c r="AH25" s="1"/>
  <c r="W23"/>
  <c r="W25" s="1"/>
  <c r="V23" i="29"/>
  <c r="W23"/>
  <c r="AI23"/>
  <c r="S25"/>
  <c r="I29" s="1"/>
  <c r="AA23"/>
  <c r="AA25" s="1"/>
  <c r="R25"/>
  <c r="I28" s="1"/>
  <c r="AA24"/>
  <c r="AC24"/>
  <c r="V24"/>
  <c r="AB24" s="1"/>
  <c r="W24"/>
  <c r="AI24"/>
  <c r="AN24" s="1"/>
  <c r="AR24" s="1"/>
  <c r="AX24" s="1"/>
  <c r="AZ24" s="1"/>
  <c r="BO24" s="1"/>
  <c r="S24" i="28"/>
  <c r="R25"/>
  <c r="AI23"/>
  <c r="S25"/>
  <c r="AA23"/>
  <c r="AE23"/>
  <c r="AE25" s="1"/>
  <c r="AG23"/>
  <c r="V23"/>
  <c r="AH23"/>
  <c r="AH25" s="1"/>
  <c r="W23"/>
  <c r="AB23" i="21"/>
  <c r="S24"/>
  <c r="R25"/>
  <c r="I28" s="1"/>
  <c r="AN23"/>
  <c r="AR23" s="1"/>
  <c r="AX23" s="1"/>
  <c r="AZ23" s="1"/>
  <c r="BO23" s="1"/>
  <c r="AB24" i="67"/>
  <c r="W23"/>
  <c r="W25" s="1"/>
  <c r="AI23"/>
  <c r="V23"/>
  <c r="S25"/>
  <c r="I29" s="1"/>
  <c r="AA23"/>
  <c r="AA25" s="1"/>
  <c r="AI23" i="18"/>
  <c r="W26"/>
  <c r="S26"/>
  <c r="I30" s="1"/>
  <c r="I31"/>
  <c r="V26"/>
  <c r="AN23" i="16"/>
  <c r="AI25"/>
  <c r="X25"/>
  <c r="AB23"/>
  <c r="AG24"/>
  <c r="AJ24" s="1"/>
  <c r="AO24" s="1"/>
  <c r="AR24" s="1"/>
  <c r="AX24" s="1"/>
  <c r="AZ24" s="1"/>
  <c r="BO24" s="1"/>
  <c r="AH24"/>
  <c r="AE24"/>
  <c r="AG25"/>
  <c r="AH23"/>
  <c r="AH25" s="1"/>
  <c r="AH23" i="15"/>
  <c r="AH24" s="1"/>
  <c r="W23"/>
  <c r="W24" s="1"/>
  <c r="S24"/>
  <c r="AG23" s="1"/>
  <c r="AI23"/>
  <c r="V23"/>
  <c r="AA23"/>
  <c r="AA24" s="1"/>
  <c r="AE23"/>
  <c r="AE24" s="1"/>
  <c r="AB24" i="14"/>
  <c r="AI23"/>
  <c r="X23"/>
  <c r="S25"/>
  <c r="AE23" s="1"/>
  <c r="AE25" s="1"/>
  <c r="AA23"/>
  <c r="AA25" s="1"/>
  <c r="AH23"/>
  <c r="AH25" s="1"/>
  <c r="AB24" i="13"/>
  <c r="R25"/>
  <c r="S23"/>
  <c r="R25" i="12"/>
  <c r="S23"/>
  <c r="AB24"/>
  <c r="AE23" i="37"/>
  <c r="AE24" s="1"/>
  <c r="AJ23"/>
  <c r="AG24"/>
  <c r="AI24"/>
  <c r="AN23"/>
  <c r="V24"/>
  <c r="AB23"/>
  <c r="AI23" i="11"/>
  <c r="S24"/>
  <c r="AE23" s="1"/>
  <c r="AE24" s="1"/>
  <c r="AH23"/>
  <c r="AH24" s="1"/>
  <c r="AA23"/>
  <c r="AA24" s="1"/>
  <c r="W23"/>
  <c r="W24" s="1"/>
  <c r="AG23"/>
  <c r="V23"/>
  <c r="AB24" i="10"/>
  <c r="AI23"/>
  <c r="S25"/>
  <c r="AE23" s="1"/>
  <c r="AE25" s="1"/>
  <c r="AA25"/>
  <c r="V23"/>
  <c r="W23"/>
  <c r="W25" s="1"/>
  <c r="AB24" i="8"/>
  <c r="V23"/>
  <c r="V25" s="1"/>
  <c r="W23"/>
  <c r="W25" s="1"/>
  <c r="AI23"/>
  <c r="AI25" s="1"/>
  <c r="AA23"/>
  <c r="AA25" s="1"/>
  <c r="V23" i="7"/>
  <c r="W23"/>
  <c r="W25" s="1"/>
  <c r="S25"/>
  <c r="AH23" s="1"/>
  <c r="AH25" s="1"/>
  <c r="AI23"/>
  <c r="AA23"/>
  <c r="AE23" i="6"/>
  <c r="AG23"/>
  <c r="AG24" s="1"/>
  <c r="AH23"/>
  <c r="AH24" s="1"/>
  <c r="S24"/>
  <c r="AI23"/>
  <c r="AC23"/>
  <c r="AC24" s="1"/>
  <c r="AB25" i="68" l="1"/>
  <c r="AC23"/>
  <c r="AC25" s="1"/>
  <c r="AE23"/>
  <c r="AE25" s="1"/>
  <c r="AG23"/>
  <c r="AH23"/>
  <c r="AH25" s="1"/>
  <c r="AE24"/>
  <c r="W24" i="38"/>
  <c r="W25" s="1"/>
  <c r="V24"/>
  <c r="V25" s="1"/>
  <c r="AE24" i="36"/>
  <c r="AE23"/>
  <c r="AE25" s="1"/>
  <c r="AG24"/>
  <c r="AJ24" s="1"/>
  <c r="AO24" s="1"/>
  <c r="AR24" s="1"/>
  <c r="AX24" s="1"/>
  <c r="AZ24" s="1"/>
  <c r="BO24" s="1"/>
  <c r="AG23"/>
  <c r="AH23"/>
  <c r="AH25" s="1"/>
  <c r="AJ25" i="40"/>
  <c r="AO23"/>
  <c r="AG25" i="23"/>
  <c r="AE23"/>
  <c r="AE25" s="1"/>
  <c r="AN23"/>
  <c r="AI25"/>
  <c r="AH24"/>
  <c r="AB24"/>
  <c r="AB23"/>
  <c r="V25"/>
  <c r="AH23"/>
  <c r="AH25" s="1"/>
  <c r="AG24"/>
  <c r="AJ23" i="42"/>
  <c r="AG24"/>
  <c r="AI24"/>
  <c r="AN23"/>
  <c r="X24"/>
  <c r="AB23"/>
  <c r="AE23"/>
  <c r="AE24" s="1"/>
  <c r="AB25" i="50"/>
  <c r="I30" s="1"/>
  <c r="I31" s="1"/>
  <c r="AC23"/>
  <c r="AC25" s="1"/>
  <c r="AC23" i="53"/>
  <c r="AC24" s="1"/>
  <c r="AB24"/>
  <c r="I29" s="1"/>
  <c r="I30" s="1"/>
  <c r="V25" i="49"/>
  <c r="AB23"/>
  <c r="AN23"/>
  <c r="AR23" s="1"/>
  <c r="AX23" s="1"/>
  <c r="AZ23" s="1"/>
  <c r="BO23" s="1"/>
  <c r="AI25"/>
  <c r="AI23" i="39"/>
  <c r="X23"/>
  <c r="S25"/>
  <c r="AH23" s="1"/>
  <c r="AH25" s="1"/>
  <c r="AA23"/>
  <c r="AA25" s="1"/>
  <c r="AE23"/>
  <c r="AE25" s="1"/>
  <c r="AI24" i="38"/>
  <c r="AN24" s="1"/>
  <c r="X24"/>
  <c r="X25" s="1"/>
  <c r="AA24"/>
  <c r="AA25" s="1"/>
  <c r="AC24"/>
  <c r="AN23"/>
  <c r="AB23"/>
  <c r="S25"/>
  <c r="AH24" s="1"/>
  <c r="X25" i="36"/>
  <c r="AB23"/>
  <c r="AJ23"/>
  <c r="AG25"/>
  <c r="AA25"/>
  <c r="AN23"/>
  <c r="AI25"/>
  <c r="X24" i="57"/>
  <c r="AB23"/>
  <c r="AN23"/>
  <c r="AI24"/>
  <c r="AE23"/>
  <c r="AE24" s="1"/>
  <c r="AG24"/>
  <c r="AH23"/>
  <c r="AH24" s="1"/>
  <c r="AI24" i="35"/>
  <c r="X24"/>
  <c r="AA24"/>
  <c r="AA25" s="1"/>
  <c r="AC24"/>
  <c r="AE24"/>
  <c r="AG24"/>
  <c r="S25"/>
  <c r="AC23"/>
  <c r="AB24" i="34"/>
  <c r="AI23"/>
  <c r="AG23"/>
  <c r="S25"/>
  <c r="AH23" s="1"/>
  <c r="AH25" s="1"/>
  <c r="AA23"/>
  <c r="AA25" s="1"/>
  <c r="V23"/>
  <c r="W23"/>
  <c r="W25" s="1"/>
  <c r="X25" i="54"/>
  <c r="AB23"/>
  <c r="AG24"/>
  <c r="AJ24" s="1"/>
  <c r="AO24" s="1"/>
  <c r="AR24" s="1"/>
  <c r="AX24" s="1"/>
  <c r="AZ24" s="1"/>
  <c r="BO24" s="1"/>
  <c r="AE24"/>
  <c r="AH24"/>
  <c r="AE23"/>
  <c r="AE25" s="1"/>
  <c r="AG23"/>
  <c r="AN23"/>
  <c r="AI25"/>
  <c r="AH23"/>
  <c r="AH25" s="1"/>
  <c r="AI24" i="59"/>
  <c r="AB24"/>
  <c r="X24"/>
  <c r="AG23"/>
  <c r="AE23"/>
  <c r="AE24" s="1"/>
  <c r="AH23"/>
  <c r="AH24" s="1"/>
  <c r="AN23" i="52"/>
  <c r="AR23" s="1"/>
  <c r="AX23" s="1"/>
  <c r="AZ23" s="1"/>
  <c r="BO23" s="1"/>
  <c r="AI25"/>
  <c r="X25"/>
  <c r="AB23"/>
  <c r="V23" i="51"/>
  <c r="W23"/>
  <c r="W25" s="1"/>
  <c r="AI23"/>
  <c r="S25"/>
  <c r="I29" s="1"/>
  <c r="AA23"/>
  <c r="AA25" s="1"/>
  <c r="AC23" i="62"/>
  <c r="AC24" s="1"/>
  <c r="W24"/>
  <c r="AA24"/>
  <c r="S24"/>
  <c r="AJ24" i="33"/>
  <c r="AO23"/>
  <c r="AR23" s="1"/>
  <c r="AX23" s="1"/>
  <c r="AZ23" s="1"/>
  <c r="BO23" s="1"/>
  <c r="AB25" i="32"/>
  <c r="I30" s="1"/>
  <c r="I31" s="1"/>
  <c r="AC23"/>
  <c r="AC25" s="1"/>
  <c r="V23" i="31"/>
  <c r="W23"/>
  <c r="W25" s="1"/>
  <c r="AI23"/>
  <c r="S25"/>
  <c r="I29" s="1"/>
  <c r="AA23"/>
  <c r="AA25" s="1"/>
  <c r="W25" i="30"/>
  <c r="AB23"/>
  <c r="V25"/>
  <c r="AN23"/>
  <c r="AR23" s="1"/>
  <c r="AX23" s="1"/>
  <c r="AZ23" s="1"/>
  <c r="BO23" s="1"/>
  <c r="AI25"/>
  <c r="AB24"/>
  <c r="AA25"/>
  <c r="V25" i="27"/>
  <c r="AB23"/>
  <c r="AH24"/>
  <c r="AG24"/>
  <c r="AJ24" s="1"/>
  <c r="AO24" s="1"/>
  <c r="AR24" s="1"/>
  <c r="AX24" s="1"/>
  <c r="AZ24" s="1"/>
  <c r="BO24" s="1"/>
  <c r="AE24"/>
  <c r="AI25"/>
  <c r="AN23"/>
  <c r="AG23"/>
  <c r="AH23"/>
  <c r="AH25" s="1"/>
  <c r="V25" i="25"/>
  <c r="AB23"/>
  <c r="AN23"/>
  <c r="AI25"/>
  <c r="AJ23"/>
  <c r="AG25"/>
  <c r="AH24"/>
  <c r="AG24"/>
  <c r="AE24"/>
  <c r="AE23"/>
  <c r="AE25" s="1"/>
  <c r="AB23" i="29"/>
  <c r="V25"/>
  <c r="W25"/>
  <c r="AN23"/>
  <c r="AR23" s="1"/>
  <c r="AX23" s="1"/>
  <c r="AZ23" s="1"/>
  <c r="BO23" s="1"/>
  <c r="AI25"/>
  <c r="AJ23" i="28"/>
  <c r="AG25"/>
  <c r="AB23"/>
  <c r="AH24"/>
  <c r="W24"/>
  <c r="W25" s="1"/>
  <c r="AI24"/>
  <c r="AN24" s="1"/>
  <c r="AA24"/>
  <c r="AC24"/>
  <c r="AE24"/>
  <c r="AG24"/>
  <c r="AJ24" s="1"/>
  <c r="AO24" s="1"/>
  <c r="V24"/>
  <c r="V25" s="1"/>
  <c r="AN23"/>
  <c r="AI25"/>
  <c r="AA25"/>
  <c r="AC23" i="21"/>
  <c r="AA24"/>
  <c r="AA25" s="1"/>
  <c r="AC24"/>
  <c r="AI24"/>
  <c r="X24"/>
  <c r="S25"/>
  <c r="I29" s="1"/>
  <c r="V25" i="67"/>
  <c r="AB23"/>
  <c r="AN23"/>
  <c r="AR23" s="1"/>
  <c r="AX23" s="1"/>
  <c r="AZ23" s="1"/>
  <c r="BO23" s="1"/>
  <c r="AI25"/>
  <c r="I32" i="18"/>
  <c r="AN23"/>
  <c r="AR23" s="1"/>
  <c r="AI26"/>
  <c r="AB25" i="16"/>
  <c r="AC23"/>
  <c r="AC25" s="1"/>
  <c r="AJ23"/>
  <c r="AJ23" i="15"/>
  <c r="AG24"/>
  <c r="V24"/>
  <c r="AB23"/>
  <c r="AI24"/>
  <c r="AN23"/>
  <c r="AG23" i="14"/>
  <c r="AJ23" s="1"/>
  <c r="AN23"/>
  <c r="AI25"/>
  <c r="X25"/>
  <c r="AB23"/>
  <c r="AG25"/>
  <c r="AG24"/>
  <c r="AJ24" s="1"/>
  <c r="AO24" s="1"/>
  <c r="AR24" s="1"/>
  <c r="AX24" s="1"/>
  <c r="AZ24" s="1"/>
  <c r="BO24" s="1"/>
  <c r="AE24"/>
  <c r="AH24"/>
  <c r="AI23" i="13"/>
  <c r="V23"/>
  <c r="S25"/>
  <c r="AA23"/>
  <c r="AA25" s="1"/>
  <c r="AH23"/>
  <c r="AH25" s="1"/>
  <c r="W23"/>
  <c r="W25" s="1"/>
  <c r="AG23"/>
  <c r="AA23" i="12"/>
  <c r="AA25" s="1"/>
  <c r="S25"/>
  <c r="AE23" s="1"/>
  <c r="AE25" s="1"/>
  <c r="AI23"/>
  <c r="W23"/>
  <c r="W25" s="1"/>
  <c r="AJ24" i="37"/>
  <c r="AO23"/>
  <c r="AR23" s="1"/>
  <c r="AX23" s="1"/>
  <c r="AZ23" s="1"/>
  <c r="BO23" s="1"/>
  <c r="AB24"/>
  <c r="AC23"/>
  <c r="AC24" s="1"/>
  <c r="AN23" i="11"/>
  <c r="AI24"/>
  <c r="AJ23"/>
  <c r="AG24"/>
  <c r="V24"/>
  <c r="AB23"/>
  <c r="AN23" i="10"/>
  <c r="AI25"/>
  <c r="AG23"/>
  <c r="AG24"/>
  <c r="AJ24" s="1"/>
  <c r="AO24" s="1"/>
  <c r="AR24" s="1"/>
  <c r="AX24" s="1"/>
  <c r="AZ24" s="1"/>
  <c r="BO24" s="1"/>
  <c r="AE24"/>
  <c r="AH24"/>
  <c r="V25"/>
  <c r="AB23"/>
  <c r="AH23"/>
  <c r="AH25" s="1"/>
  <c r="AB23" i="8"/>
  <c r="AB25" s="1"/>
  <c r="AN23"/>
  <c r="AH24"/>
  <c r="AG24"/>
  <c r="AE24"/>
  <c r="AE23"/>
  <c r="AE25" s="1"/>
  <c r="AG23"/>
  <c r="AH23"/>
  <c r="AH25" s="1"/>
  <c r="AN23" i="7"/>
  <c r="AI25"/>
  <c r="AE23"/>
  <c r="AE25" s="1"/>
  <c r="AG23"/>
  <c r="V25"/>
  <c r="AB23"/>
  <c r="AI24" i="6"/>
  <c r="AN23"/>
  <c r="AE24"/>
  <c r="AK23"/>
  <c r="AJ23" i="68" l="1"/>
  <c r="AG25"/>
  <c r="AB24" i="38"/>
  <c r="AB25" s="1"/>
  <c r="AI25"/>
  <c r="AG24"/>
  <c r="AR24" i="40"/>
  <c r="AX24" s="1"/>
  <c r="AZ24" s="1"/>
  <c r="BO24" s="1"/>
  <c r="AR23"/>
  <c r="AX23" s="1"/>
  <c r="AZ23" s="1"/>
  <c r="BO23" s="1"/>
  <c r="AB25" i="23"/>
  <c r="AC23"/>
  <c r="AC25" s="1"/>
  <c r="AJ23"/>
  <c r="AJ24"/>
  <c r="AO24" s="1"/>
  <c r="AR24" s="1"/>
  <c r="AX24" s="1"/>
  <c r="AZ24" s="1"/>
  <c r="BO24" s="1"/>
  <c r="AR23" i="42"/>
  <c r="AX23" s="1"/>
  <c r="AZ23" s="1"/>
  <c r="BO23" s="1"/>
  <c r="AJ24"/>
  <c r="AO23"/>
  <c r="AB24"/>
  <c r="AC23"/>
  <c r="AC24" s="1"/>
  <c r="AB25" i="49"/>
  <c r="I30" s="1"/>
  <c r="I31" s="1"/>
  <c r="AC23"/>
  <c r="AC25" s="1"/>
  <c r="AN23" i="39"/>
  <c r="AI25"/>
  <c r="AG23"/>
  <c r="X25"/>
  <c r="AB23"/>
  <c r="AG24"/>
  <c r="AJ24" s="1"/>
  <c r="AO24" s="1"/>
  <c r="AR24" s="1"/>
  <c r="AX24" s="1"/>
  <c r="AZ24" s="1"/>
  <c r="BO24" s="1"/>
  <c r="AE24"/>
  <c r="AH24"/>
  <c r="AJ24" i="38"/>
  <c r="AO24" s="1"/>
  <c r="AR24" s="1"/>
  <c r="AX24" s="1"/>
  <c r="AZ24" s="1"/>
  <c r="BO24" s="1"/>
  <c r="AC23"/>
  <c r="AC25" s="1"/>
  <c r="AH23"/>
  <c r="AH25" s="1"/>
  <c r="AG23"/>
  <c r="AE23"/>
  <c r="AE25" s="1"/>
  <c r="AE24"/>
  <c r="AO23" i="36"/>
  <c r="AR23" s="1"/>
  <c r="AX23" s="1"/>
  <c r="AZ23" s="1"/>
  <c r="BO23" s="1"/>
  <c r="AJ25"/>
  <c r="AB25"/>
  <c r="AC23"/>
  <c r="AC25" s="1"/>
  <c r="AJ23" i="57"/>
  <c r="AJ24" s="1"/>
  <c r="AB24"/>
  <c r="AC23"/>
  <c r="AC24" s="1"/>
  <c r="AH23" i="35"/>
  <c r="AH25" s="1"/>
  <c r="AG23"/>
  <c r="AE23"/>
  <c r="AE25" s="1"/>
  <c r="AJ24"/>
  <c r="AO24" s="1"/>
  <c r="AH24"/>
  <c r="AN24"/>
  <c r="AR24" s="1"/>
  <c r="AX24" s="1"/>
  <c r="AZ24" s="1"/>
  <c r="BO24" s="1"/>
  <c r="AI25"/>
  <c r="AB24"/>
  <c r="AB25" s="1"/>
  <c r="X25"/>
  <c r="AC25"/>
  <c r="V25" i="34"/>
  <c r="AB23"/>
  <c r="AE23"/>
  <c r="AE25" s="1"/>
  <c r="AN23"/>
  <c r="AI25"/>
  <c r="AJ23"/>
  <c r="AG25"/>
  <c r="AH24"/>
  <c r="AG24"/>
  <c r="AJ24" s="1"/>
  <c r="AO24" s="1"/>
  <c r="AR24" s="1"/>
  <c r="AX24" s="1"/>
  <c r="AZ24" s="1"/>
  <c r="BO24" s="1"/>
  <c r="AE24"/>
  <c r="AB25" i="54"/>
  <c r="AC23"/>
  <c r="AC25" s="1"/>
  <c r="AJ23"/>
  <c r="AG25"/>
  <c r="AJ23" i="59"/>
  <c r="AG24"/>
  <c r="AB25" i="52"/>
  <c r="I30" s="1"/>
  <c r="I31" s="1"/>
  <c r="AC23"/>
  <c r="AC25" s="1"/>
  <c r="V25" i="51"/>
  <c r="AB23"/>
  <c r="AN23"/>
  <c r="AR23" s="1"/>
  <c r="AX23" s="1"/>
  <c r="AZ23" s="1"/>
  <c r="BO23" s="1"/>
  <c r="AI25"/>
  <c r="AI24" i="62"/>
  <c r="AB24"/>
  <c r="V24"/>
  <c r="AE23"/>
  <c r="AE24" s="1"/>
  <c r="AG23"/>
  <c r="AH23"/>
  <c r="AH24" s="1"/>
  <c r="AB23" i="31"/>
  <c r="V25"/>
  <c r="AN23"/>
  <c r="AR23" s="1"/>
  <c r="AX23" s="1"/>
  <c r="AZ23" s="1"/>
  <c r="BO23" s="1"/>
  <c r="AI25"/>
  <c r="AB25" i="30"/>
  <c r="I30" s="1"/>
  <c r="I31" s="1"/>
  <c r="AC23"/>
  <c r="AC25" s="1"/>
  <c r="AB25" i="27"/>
  <c r="AC23"/>
  <c r="AC25" s="1"/>
  <c r="AG25"/>
  <c r="AJ23"/>
  <c r="AB25" i="25"/>
  <c r="AC23"/>
  <c r="AC25" s="1"/>
  <c r="AO23"/>
  <c r="AR23" s="1"/>
  <c r="AX23" s="1"/>
  <c r="AZ23" s="1"/>
  <c r="BO23" s="1"/>
  <c r="AJ25"/>
  <c r="AJ24"/>
  <c r="AO24" s="1"/>
  <c r="AR24" s="1"/>
  <c r="AX24" s="1"/>
  <c r="AZ24" s="1"/>
  <c r="BO24" s="1"/>
  <c r="AB25" i="29"/>
  <c r="I30" s="1"/>
  <c r="I31" s="1"/>
  <c r="AC23"/>
  <c r="AC25" s="1"/>
  <c r="AO23" i="28"/>
  <c r="AJ25"/>
  <c r="AR24"/>
  <c r="AX24" s="1"/>
  <c r="AZ24" s="1"/>
  <c r="BO24" s="1"/>
  <c r="AC23"/>
  <c r="AC25" s="1"/>
  <c r="AB24"/>
  <c r="AB25" s="1"/>
  <c r="AR23"/>
  <c r="AX23" s="1"/>
  <c r="AZ23" s="1"/>
  <c r="BO23" s="1"/>
  <c r="AC25" i="21"/>
  <c r="AN24"/>
  <c r="AR24" s="1"/>
  <c r="AX24" s="1"/>
  <c r="AZ24" s="1"/>
  <c r="BO24" s="1"/>
  <c r="AI25"/>
  <c r="AB24"/>
  <c r="AB25" s="1"/>
  <c r="I30" s="1"/>
  <c r="I31" s="1"/>
  <c r="X25"/>
  <c r="AB25" i="67"/>
  <c r="I30" s="1"/>
  <c r="I31" s="1"/>
  <c r="AC23"/>
  <c r="AC25" s="1"/>
  <c r="AO23" i="16"/>
  <c r="AR23" s="1"/>
  <c r="AX23" s="1"/>
  <c r="AZ23" s="1"/>
  <c r="BO23" s="1"/>
  <c r="AJ25"/>
  <c r="AJ24" i="15"/>
  <c r="AO23"/>
  <c r="AR23" s="1"/>
  <c r="AX23" s="1"/>
  <c r="AZ23" s="1"/>
  <c r="BO23" s="1"/>
  <c r="AB24"/>
  <c r="AC23"/>
  <c r="AC24" s="1"/>
  <c r="AB25" i="14"/>
  <c r="AC23"/>
  <c r="AC25" s="1"/>
  <c r="AR23"/>
  <c r="AX23" s="1"/>
  <c r="AZ23" s="1"/>
  <c r="BO23" s="1"/>
  <c r="AO23"/>
  <c r="AJ25"/>
  <c r="AJ23" i="13"/>
  <c r="AG25"/>
  <c r="AN23"/>
  <c r="AI25"/>
  <c r="V25"/>
  <c r="AB23"/>
  <c r="AE24"/>
  <c r="AH24"/>
  <c r="AG24"/>
  <c r="AJ24" s="1"/>
  <c r="AO24" s="1"/>
  <c r="AR24" s="1"/>
  <c r="AX24" s="1"/>
  <c r="AZ24" s="1"/>
  <c r="BO24" s="1"/>
  <c r="AE23"/>
  <c r="AE25" s="1"/>
  <c r="AG23" i="12"/>
  <c r="AJ23" s="1"/>
  <c r="AG24"/>
  <c r="AH24"/>
  <c r="AE24"/>
  <c r="AB23"/>
  <c r="V25"/>
  <c r="AN23"/>
  <c r="AI25"/>
  <c r="AH23"/>
  <c r="AH25" s="1"/>
  <c r="AR23" i="11"/>
  <c r="AX23" s="1"/>
  <c r="AZ23" s="1"/>
  <c r="BO23" s="1"/>
  <c r="AB24"/>
  <c r="AC23"/>
  <c r="AC24" s="1"/>
  <c r="AO23"/>
  <c r="AJ24"/>
  <c r="AJ23" i="10"/>
  <c r="AG25"/>
  <c r="AB25"/>
  <c r="AC23"/>
  <c r="AC25" s="1"/>
  <c r="AJ24" i="8"/>
  <c r="AO24" s="1"/>
  <c r="AR24" s="1"/>
  <c r="AX24" s="1"/>
  <c r="AZ24" s="1"/>
  <c r="BO24" s="1"/>
  <c r="AG25"/>
  <c r="AJ23"/>
  <c r="AC23"/>
  <c r="AC25" s="1"/>
  <c r="AG25" i="7"/>
  <c r="AJ23"/>
  <c r="AB25"/>
  <c r="AC23"/>
  <c r="AC25" s="1"/>
  <c r="AP23" i="6"/>
  <c r="AR23" s="1"/>
  <c r="AX23" s="1"/>
  <c r="AZ23" s="1"/>
  <c r="BO23" s="1"/>
  <c r="AK24"/>
  <c r="AO23" i="68" l="1"/>
  <c r="AR23" s="1"/>
  <c r="AX23" s="1"/>
  <c r="AZ23" s="1"/>
  <c r="BO23" s="1"/>
  <c r="AJ25"/>
  <c r="AJ25" i="23"/>
  <c r="AO23"/>
  <c r="AR23" s="1"/>
  <c r="AX23" s="1"/>
  <c r="AZ23" s="1"/>
  <c r="BO23" s="1"/>
  <c r="AJ23" i="39"/>
  <c r="AG25"/>
  <c r="AB25"/>
  <c r="AC23"/>
  <c r="AC25" s="1"/>
  <c r="AJ23" i="38"/>
  <c r="AG25"/>
  <c r="AO23" i="57"/>
  <c r="AR23" s="1"/>
  <c r="AX23" s="1"/>
  <c r="AZ23" s="1"/>
  <c r="BO23" s="1"/>
  <c r="AJ23" i="35"/>
  <c r="AG25"/>
  <c r="AB25" i="34"/>
  <c r="AC23"/>
  <c r="AC25" s="1"/>
  <c r="AR23"/>
  <c r="AX23" s="1"/>
  <c r="AZ23" s="1"/>
  <c r="BO23" s="1"/>
  <c r="AO23"/>
  <c r="AJ25"/>
  <c r="AO23" i="54"/>
  <c r="AR23" s="1"/>
  <c r="AX23" s="1"/>
  <c r="AZ23" s="1"/>
  <c r="BO23" s="1"/>
  <c r="AJ25"/>
  <c r="AO23" i="59"/>
  <c r="AR23" s="1"/>
  <c r="AX23" s="1"/>
  <c r="AZ23" s="1"/>
  <c r="BO23" s="1"/>
  <c r="AJ24"/>
  <c r="AB25" i="51"/>
  <c r="I30" s="1"/>
  <c r="I31" s="1"/>
  <c r="AC23"/>
  <c r="AC25" s="1"/>
  <c r="AJ23" i="62"/>
  <c r="AG24"/>
  <c r="AB25" i="31"/>
  <c r="I30" s="1"/>
  <c r="I31" s="1"/>
  <c r="AC23"/>
  <c r="AC25" s="1"/>
  <c r="AJ25" i="27"/>
  <c r="AO23"/>
  <c r="AR23" s="1"/>
  <c r="AX23" s="1"/>
  <c r="AZ23" s="1"/>
  <c r="BO23" s="1"/>
  <c r="AO23" i="13"/>
  <c r="AR23" s="1"/>
  <c r="AX23" s="1"/>
  <c r="AZ23" s="1"/>
  <c r="BO23" s="1"/>
  <c r="AJ25"/>
  <c r="AB25"/>
  <c r="AC23"/>
  <c r="AC25" s="1"/>
  <c r="AJ24" i="12"/>
  <c r="AO24" s="1"/>
  <c r="AR24" s="1"/>
  <c r="AX24" s="1"/>
  <c r="AZ24" s="1"/>
  <c r="BO24" s="1"/>
  <c r="AG25"/>
  <c r="AJ25"/>
  <c r="AO23"/>
  <c r="AR23" s="1"/>
  <c r="AX23" s="1"/>
  <c r="AZ23" s="1"/>
  <c r="BO23" s="1"/>
  <c r="AB25"/>
  <c r="AC23"/>
  <c r="AC25" s="1"/>
  <c r="AO23" i="10"/>
  <c r="AR23" s="1"/>
  <c r="AX23" s="1"/>
  <c r="AZ23" s="1"/>
  <c r="BO23" s="1"/>
  <c r="AJ25"/>
  <c r="AJ25" i="8"/>
  <c r="AO23"/>
  <c r="AR23" s="1"/>
  <c r="AO23" i="7"/>
  <c r="AR23" s="1"/>
  <c r="AX23" s="1"/>
  <c r="AZ23" s="1"/>
  <c r="BO23" s="1"/>
  <c r="AJ25"/>
  <c r="AO23" i="39" l="1"/>
  <c r="AR23" s="1"/>
  <c r="AX23" s="1"/>
  <c r="AZ23" s="1"/>
  <c r="BO23" s="1"/>
  <c r="AJ25"/>
  <c r="AO23" i="38"/>
  <c r="AR23" s="1"/>
  <c r="AX23" s="1"/>
  <c r="AZ23" s="1"/>
  <c r="BO23" s="1"/>
  <c r="AJ25"/>
  <c r="AO23" i="35"/>
  <c r="AR23" s="1"/>
  <c r="AX23" s="1"/>
  <c r="AZ23" s="1"/>
  <c r="BO23" s="1"/>
  <c r="AJ25"/>
  <c r="AO23" i="62"/>
  <c r="AR23" s="1"/>
  <c r="AX23" s="1"/>
  <c r="AZ23" s="1"/>
  <c r="BO23" s="1"/>
  <c r="AJ24"/>
  <c r="BO23" i="8"/>
  <c r="AX23"/>
  <c r="AZ23" s="1"/>
</calcChain>
</file>

<file path=xl/sharedStrings.xml><?xml version="1.0" encoding="utf-8"?>
<sst xmlns="http://schemas.openxmlformats.org/spreadsheetml/2006/main" count="11876" uniqueCount="565">
  <si>
    <t>Before StockQty</t>
  </si>
  <si>
    <t>Before StockCost</t>
  </si>
  <si>
    <t>current qty</t>
  </si>
  <si>
    <t>current unit cost</t>
  </si>
  <si>
    <t>AfterQty</t>
  </si>
  <si>
    <t>After UnitCost</t>
  </si>
  <si>
    <t>ITEM_NAME</t>
  </si>
  <si>
    <t>LOT_SERIAL</t>
  </si>
  <si>
    <t>LOT_NUMBER</t>
  </si>
  <si>
    <t>SERIAL_NUMBER</t>
  </si>
  <si>
    <t>WH</t>
  </si>
  <si>
    <t>Gross Amount</t>
  </si>
  <si>
    <t>TDA</t>
  </si>
  <si>
    <t>TD</t>
  </si>
  <si>
    <t>TDAMNT</t>
  </si>
  <si>
    <t>SPDA</t>
  </si>
  <si>
    <t>SPD</t>
  </si>
  <si>
    <t>SDAMNT</t>
  </si>
  <si>
    <t>CDA</t>
  </si>
  <si>
    <t>CD</t>
  </si>
  <si>
    <t>CDAMNT</t>
  </si>
  <si>
    <t>LINE AMOUNT</t>
  </si>
  <si>
    <t>ChargesBasis</t>
  </si>
  <si>
    <t>ItemName</t>
  </si>
  <si>
    <t>Amount</t>
  </si>
  <si>
    <t>GLAccount</t>
  </si>
  <si>
    <t>1142.6</t>
  </si>
  <si>
    <t>138.84932</t>
  </si>
  <si>
    <t>TVS-RM-NA-10001</t>
  </si>
  <si>
    <t>NA</t>
  </si>
  <si>
    <t>RM</t>
  </si>
  <si>
    <t>R100</t>
  </si>
  <si>
    <t>P</t>
  </si>
  <si>
    <t>FRIEGHT CHARGES</t>
  </si>
  <si>
    <t>EXPENSE DOCUMENT 3</t>
  </si>
  <si>
    <t>8662</t>
  </si>
  <si>
    <t>100.66498</t>
  </si>
  <si>
    <t>HK-RM-LOT-PULL ITEM-10001</t>
  </si>
  <si>
    <t>LOT</t>
  </si>
  <si>
    <t>RMS</t>
  </si>
  <si>
    <t>V</t>
  </si>
  <si>
    <t>PACKING CHARGES</t>
  </si>
  <si>
    <t>11402</t>
  </si>
  <si>
    <t>262.41303</t>
  </si>
  <si>
    <t>HK-FIFO-SER-BATCH-10001</t>
  </si>
  <si>
    <t>SERIAL</t>
  </si>
  <si>
    <t>Scenario  : Local Purchase - Stock UOM and Purchase UOM (Similar)</t>
  </si>
  <si>
    <t xml:space="preserve">Purchase Request </t>
  </si>
  <si>
    <t>S. No.</t>
  </si>
  <si>
    <t>Item</t>
  </si>
  <si>
    <t>Item Desc.</t>
  </si>
  <si>
    <t>Stk. UOM</t>
  </si>
  <si>
    <t>Pur. UOM</t>
  </si>
  <si>
    <t>Qty</t>
  </si>
  <si>
    <t>Unit Cost</t>
  </si>
  <si>
    <t>Gross Amt.</t>
  </si>
  <si>
    <t>RM1001</t>
  </si>
  <si>
    <t>Raw Material - 1001</t>
  </si>
  <si>
    <t>NOS</t>
  </si>
  <si>
    <t>RM1002</t>
  </si>
  <si>
    <t>Raw Material - 1002</t>
  </si>
  <si>
    <t>RM1003</t>
  </si>
  <si>
    <t>Raw Material - 1003</t>
  </si>
  <si>
    <t>RM1004</t>
  </si>
  <si>
    <t>Raw Material - 1004</t>
  </si>
  <si>
    <t>RM1005</t>
  </si>
  <si>
    <t>Raw Material - 1005</t>
  </si>
  <si>
    <t>RM1006</t>
  </si>
  <si>
    <t>Raw Material - 1006</t>
  </si>
  <si>
    <t>RM1007</t>
  </si>
  <si>
    <t>Raw Material - 1007</t>
  </si>
  <si>
    <t>RM1008</t>
  </si>
  <si>
    <t>Raw Material - 1008</t>
  </si>
  <si>
    <t>RM1009</t>
  </si>
  <si>
    <t>Raw Material - 1009</t>
  </si>
  <si>
    <t>RM1010</t>
  </si>
  <si>
    <t>Raw Material - 1010</t>
  </si>
  <si>
    <t>RM1011</t>
  </si>
  <si>
    <t>Raw Material - 1011</t>
  </si>
  <si>
    <t>RM1012</t>
  </si>
  <si>
    <t>Raw Material - 1012</t>
  </si>
  <si>
    <t>RM1013</t>
  </si>
  <si>
    <t>Raw Material - 1013</t>
  </si>
  <si>
    <t>RM1014</t>
  </si>
  <si>
    <t>Raw Material - 1014</t>
  </si>
  <si>
    <t>RM1015</t>
  </si>
  <si>
    <t>Raw Material - 1015</t>
  </si>
  <si>
    <t>Total</t>
  </si>
  <si>
    <t>Purchase Order &amp; GRN</t>
  </si>
  <si>
    <t>GST Purchase</t>
  </si>
  <si>
    <t>(1 - Local Purchase,2 Interstate Purchase, 3 Import Purchase)</t>
  </si>
  <si>
    <t xml:space="preserve">Cur. </t>
  </si>
  <si>
    <t>INR</t>
  </si>
  <si>
    <t>Ex. Rate</t>
  </si>
  <si>
    <t>Apportion Basis</t>
  </si>
  <si>
    <t>1 - Value Based, 2 Weight/Volume Based</t>
  </si>
  <si>
    <t>Order Qty (Pur UOM)</t>
  </si>
  <si>
    <t>TD%</t>
  </si>
  <si>
    <t>SD%</t>
  </si>
  <si>
    <t>CD%</t>
  </si>
  <si>
    <t>TD Asbl. Val.</t>
  </si>
  <si>
    <t>TD Amt.</t>
  </si>
  <si>
    <t>SD Asbl. Val.</t>
  </si>
  <si>
    <t>SD Amt.</t>
  </si>
  <si>
    <t>CD Asbl. Val.</t>
  </si>
  <si>
    <t>CD Amt.</t>
  </si>
  <si>
    <t>Disc. Amt.</t>
  </si>
  <si>
    <t>Pur. Val.</t>
  </si>
  <si>
    <t>HSN</t>
  </si>
  <si>
    <t>Tax Rate</t>
  </si>
  <si>
    <t>CGST</t>
  </si>
  <si>
    <t>SGST</t>
  </si>
  <si>
    <t>IGST</t>
  </si>
  <si>
    <t>Tax amt</t>
  </si>
  <si>
    <t>Net Amt</t>
  </si>
  <si>
    <t>Weight/Vol</t>
  </si>
  <si>
    <t>Customs Duty</t>
  </si>
  <si>
    <t>IGST (Import)</t>
  </si>
  <si>
    <t>Packing &amp; Forwarding</t>
  </si>
  <si>
    <t>Freight</t>
  </si>
  <si>
    <t>Pur Amt (BC)</t>
  </si>
  <si>
    <t>Chargeable Cost</t>
  </si>
  <si>
    <t>Landed Cost</t>
  </si>
  <si>
    <t>Conv. Factor</t>
  </si>
  <si>
    <t>Eqv.  Stock Qty</t>
  </si>
  <si>
    <t>Pur. Unit Cost (chr)</t>
  </si>
  <si>
    <t>Chrg. Unit Cost</t>
  </si>
  <si>
    <t>Landed Cost Unit Cost</t>
  </si>
  <si>
    <t>Stock UOM</t>
  </si>
  <si>
    <t>Unit Cost (Stock UOM)</t>
  </si>
  <si>
    <t>Sou. WH</t>
  </si>
  <si>
    <t>Qty Before Post</t>
  </si>
  <si>
    <t>Unit Cost Before Post</t>
  </si>
  <si>
    <t>Receipt Qty</t>
  </si>
  <si>
    <t>Receipt Unit cost</t>
  </si>
  <si>
    <t>Qty After Post</t>
  </si>
  <si>
    <t>Unit Cost After Post</t>
  </si>
  <si>
    <t>Result (Ok/Not OK)</t>
  </si>
  <si>
    <t>Stock Transaction</t>
  </si>
  <si>
    <t>Lot / Serial Type</t>
  </si>
  <si>
    <t>Locator Trans</t>
  </si>
  <si>
    <t>Batch Stocks</t>
  </si>
  <si>
    <t>Stock Ledger</t>
  </si>
  <si>
    <t>Stock As on Date (Qty)</t>
  </si>
  <si>
    <t>Stock As on Date (Qty &amp; vALUE)</t>
  </si>
  <si>
    <t/>
  </si>
  <si>
    <t>HSN1</t>
  </si>
  <si>
    <t>1152.6</t>
  </si>
  <si>
    <t>138.28799</t>
  </si>
  <si>
    <t>Receipt Qty &amp; Unit cost</t>
  </si>
  <si>
    <t>8682</t>
  </si>
  <si>
    <t>100.77471</t>
  </si>
  <si>
    <t>RML</t>
  </si>
  <si>
    <t>Tax</t>
  </si>
  <si>
    <t>Local Purchase - Stock UOM and Purchase UOM (Different)</t>
  </si>
  <si>
    <t>No.</t>
  </si>
  <si>
    <t>Item Desc</t>
  </si>
  <si>
    <t>VD Asbl. Val.</t>
  </si>
  <si>
    <t>Pur. Value</t>
  </si>
  <si>
    <t>Tax%</t>
  </si>
  <si>
    <t>Unit cost (Stk. UOM)</t>
  </si>
  <si>
    <t>RM2001</t>
  </si>
  <si>
    <t>Raw Material - 2001</t>
  </si>
  <si>
    <t>KGS</t>
  </si>
  <si>
    <t>RM2002</t>
  </si>
  <si>
    <t>Raw Material - 2002</t>
  </si>
  <si>
    <t>RM2003</t>
  </si>
  <si>
    <t>Raw Material - 2003</t>
  </si>
  <si>
    <t>RM2004</t>
  </si>
  <si>
    <t>Raw Material - 2004</t>
  </si>
  <si>
    <t>RM2005</t>
  </si>
  <si>
    <t>Raw Material - 2005</t>
  </si>
  <si>
    <t>RM2006</t>
  </si>
  <si>
    <t>Raw Material - 2006</t>
  </si>
  <si>
    <t>RM2007</t>
  </si>
  <si>
    <t>Raw Material - 2007</t>
  </si>
  <si>
    <t>MTR</t>
  </si>
  <si>
    <t>RM2008</t>
  </si>
  <si>
    <t>Raw Material - 2008</t>
  </si>
  <si>
    <t>RM2009</t>
  </si>
  <si>
    <t>Raw Material - 2009</t>
  </si>
  <si>
    <t>RM2010</t>
  </si>
  <si>
    <t>Raw Material - 2010</t>
  </si>
  <si>
    <t>RM2011</t>
  </si>
  <si>
    <t>Raw Material - 2011</t>
  </si>
  <si>
    <t>MT</t>
  </si>
  <si>
    <t>RM2012</t>
  </si>
  <si>
    <t>Raw Material - 2012</t>
  </si>
  <si>
    <t>RM2013</t>
  </si>
  <si>
    <t>Raw Material - 2013</t>
  </si>
  <si>
    <t>RM2014</t>
  </si>
  <si>
    <t>Raw Material - 2014</t>
  </si>
  <si>
    <t>RM2015</t>
  </si>
  <si>
    <t>Raw Material - 2015</t>
  </si>
  <si>
    <t>Gross Purchase</t>
  </si>
  <si>
    <t>Conv factor</t>
  </si>
  <si>
    <t>Disc amt</t>
  </si>
  <si>
    <t>Net Purchase</t>
  </si>
  <si>
    <t>Tax Amt</t>
  </si>
  <si>
    <t>Gross Amont</t>
  </si>
  <si>
    <t>Import Purchase - Stock UOM and Purchase UOM (Similar)</t>
  </si>
  <si>
    <t>Curr: USD</t>
  </si>
  <si>
    <t>Exchange Rate</t>
  </si>
  <si>
    <t>Tot. Disc Amt</t>
  </si>
  <si>
    <t>Line Amt</t>
  </si>
  <si>
    <t>Net Amt (Base)</t>
  </si>
  <si>
    <t>Supplier Currency</t>
  </si>
  <si>
    <t>Base Currency</t>
  </si>
  <si>
    <t>Import Purchase - Stock UOM and Purchase UOM (Different)</t>
  </si>
  <si>
    <t>Net Amt (Supp.)</t>
  </si>
  <si>
    <t>GWL_SERVICES_02</t>
  </si>
  <si>
    <t>Ins. WH</t>
  </si>
  <si>
    <t>Lot / Serial Trans</t>
  </si>
  <si>
    <t>Sou.WH</t>
  </si>
  <si>
    <t>Unitcost Before Post For Source Warehouse</t>
  </si>
  <si>
    <t>Qty Before Post For Source WareHouse</t>
  </si>
  <si>
    <t>Qty After Post forSource Warehouse</t>
  </si>
  <si>
    <t>INS KD</t>
  </si>
  <si>
    <t>4</t>
  </si>
  <si>
    <t>0</t>
  </si>
  <si>
    <t>123.30333</t>
  </si>
  <si>
    <t>RMM</t>
  </si>
  <si>
    <t>PK-SER-MAC-10001</t>
  </si>
  <si>
    <t>524</t>
  </si>
  <si>
    <t>2</t>
  </si>
  <si>
    <t>16387</t>
  </si>
  <si>
    <t>PK-NA-MAC-10001</t>
  </si>
  <si>
    <t>232</t>
  </si>
  <si>
    <t>2.32</t>
  </si>
  <si>
    <t>12246</t>
  </si>
  <si>
    <t>old qty</t>
  </si>
  <si>
    <t>old unit cost</t>
  </si>
  <si>
    <t>513.39166</t>
  </si>
  <si>
    <t>509.25058</t>
  </si>
  <si>
    <t>513.25356</t>
  </si>
  <si>
    <t>202</t>
  </si>
  <si>
    <t>225.96069</t>
  </si>
  <si>
    <t>226.54416</t>
  </si>
  <si>
    <t>3569</t>
  </si>
  <si>
    <t>TVS-SIM-204686</t>
  </si>
  <si>
    <t>234.33</t>
  </si>
  <si>
    <t>TVS-SIM-293931</t>
  </si>
  <si>
    <t>PK-SERV-MAC-NA-01</t>
  </si>
  <si>
    <t>TVS-RM-KDK-26</t>
  </si>
  <si>
    <t>1230</t>
  </si>
  <si>
    <t>1</t>
  </si>
  <si>
    <t>430</t>
  </si>
  <si>
    <t>1187.66439</t>
  </si>
  <si>
    <t>1160.78015</t>
  </si>
  <si>
    <t>220</t>
  </si>
  <si>
    <t>TVS-RM-KDK-25</t>
  </si>
  <si>
    <t>253</t>
  </si>
  <si>
    <t>340</t>
  </si>
  <si>
    <t>248.56973</t>
  </si>
  <si>
    <t>247.55629</t>
  </si>
  <si>
    <t>339</t>
  </si>
  <si>
    <t>TVS-SIM-257793</t>
  </si>
  <si>
    <t>2.1</t>
  </si>
  <si>
    <t>INS WH</t>
  </si>
  <si>
    <t>RM LWH</t>
  </si>
  <si>
    <t>TVS-SIM-395809</t>
  </si>
  <si>
    <t>TVS-SIM-493509</t>
  </si>
  <si>
    <t>100</t>
  </si>
  <si>
    <t>25</t>
  </si>
  <si>
    <t>TVS-SIM-450890</t>
  </si>
  <si>
    <t>TVS-SER-10005</t>
  </si>
  <si>
    <t>TVS-SIM-599803</t>
  </si>
  <si>
    <t>TVS-SIM-050035</t>
  </si>
  <si>
    <t>345</t>
  </si>
  <si>
    <t>TVS-RM-KDConvers-222</t>
  </si>
  <si>
    <t>487.4072</t>
  </si>
  <si>
    <t>RM KD</t>
  </si>
  <si>
    <t>TVS-RM-KDConvers-223</t>
  </si>
  <si>
    <t>HSN2</t>
  </si>
  <si>
    <t>355.91161</t>
  </si>
  <si>
    <t>TVS-RM-KDConvers-224</t>
  </si>
  <si>
    <t>HSN3</t>
  </si>
  <si>
    <t>RMN</t>
  </si>
  <si>
    <t>ACPT</t>
  </si>
  <si>
    <t>Acpt Qty. * Insp. Unit Cost + OLD. Qty in GRN WH * OLD Unitcost in GRN WH / Acpt. Qty + OLD. Qty in GRN WH</t>
  </si>
  <si>
    <t>REJ</t>
  </si>
  <si>
    <t>Rej Qty. * Insp. Unit Cost + OLD. Qty in REJ WH * OLD Unitcost in REJ WH / Acpt. Qty + OLD. Qty in REJ WH</t>
  </si>
  <si>
    <t>old</t>
  </si>
  <si>
    <t>new</t>
  </si>
  <si>
    <t>acpt Qty</t>
  </si>
  <si>
    <t>Inspection Unit Cost</t>
  </si>
  <si>
    <t>old Qty</t>
  </si>
  <si>
    <t>old UnitCost</t>
  </si>
  <si>
    <t>TVS-RM-KPK-01</t>
  </si>
  <si>
    <t>115</t>
  </si>
  <si>
    <t>312.03245</t>
  </si>
  <si>
    <t>RMLG</t>
  </si>
  <si>
    <t>RMG</t>
  </si>
  <si>
    <t>139.07433</t>
  </si>
  <si>
    <t>192.5</t>
  </si>
  <si>
    <t>KD-DISS-896601</t>
  </si>
  <si>
    <t>76</t>
  </si>
  <si>
    <t>219.51529</t>
  </si>
  <si>
    <t>RML2</t>
  </si>
  <si>
    <t>164.96657</t>
  </si>
  <si>
    <t>124</t>
  </si>
  <si>
    <t>KD-DISS-989088</t>
  </si>
  <si>
    <t>KD-DISS-126597</t>
  </si>
  <si>
    <t>89.6</t>
  </si>
  <si>
    <t>KD-DISS-989200</t>
  </si>
  <si>
    <t>12.5</t>
  </si>
  <si>
    <t>KD-DISS-989201</t>
  </si>
  <si>
    <t>3</t>
  </si>
  <si>
    <t>14</t>
  </si>
  <si>
    <t>TVS-DIS-942242</t>
  </si>
  <si>
    <t>78.7</t>
  </si>
  <si>
    <t>147.388</t>
  </si>
  <si>
    <t>TVS-DIS-184603</t>
  </si>
  <si>
    <t>85</t>
  </si>
  <si>
    <t>157.56214</t>
  </si>
  <si>
    <t>TVS-SIM-135377</t>
  </si>
  <si>
    <t>TVS-SIM-135256</t>
  </si>
  <si>
    <t>10</t>
  </si>
  <si>
    <t>TVS-SIM-135400</t>
  </si>
  <si>
    <t>235.26667</t>
  </si>
  <si>
    <t>TVS-SIM-135410</t>
  </si>
  <si>
    <t>2.34</t>
  </si>
  <si>
    <t>TVS-SIM-135411</t>
  </si>
  <si>
    <t>3.4</t>
  </si>
  <si>
    <t>TVS-SIM-135421</t>
  </si>
  <si>
    <t>786</t>
  </si>
  <si>
    <t>736.825</t>
  </si>
  <si>
    <t>TVS-SIM-135422</t>
  </si>
  <si>
    <t>435</t>
  </si>
  <si>
    <t>2.3</t>
  </si>
  <si>
    <t>407.40667</t>
  </si>
  <si>
    <t>TVS-SIM-135431</t>
  </si>
  <si>
    <t>TVS-SIM-135432</t>
  </si>
  <si>
    <t>TVS-DIS-632351</t>
  </si>
  <si>
    <t>187.2776</t>
  </si>
  <si>
    <t>TVS-DIS-051586</t>
  </si>
  <si>
    <t>28</t>
  </si>
  <si>
    <t>187.27786</t>
  </si>
  <si>
    <t>KD-DISS-126600</t>
  </si>
  <si>
    <t>KD-DISS-126601</t>
  </si>
  <si>
    <t>KD-DISS-126640</t>
  </si>
  <si>
    <t>KD-DISS-126641</t>
  </si>
  <si>
    <t>2.5</t>
  </si>
  <si>
    <t>KD-DISS-126700</t>
  </si>
  <si>
    <t>KD-DISS-126701</t>
  </si>
  <si>
    <t>TVS-SIM-799722</t>
  </si>
  <si>
    <t>TVS-SIM-741823</t>
  </si>
  <si>
    <t>INS.WH7</t>
  </si>
  <si>
    <t>RM7</t>
  </si>
  <si>
    <t>TVS-SIM-743669</t>
  </si>
  <si>
    <t>TVS-SIM-975953</t>
  </si>
  <si>
    <t>TVS-SIM-003386</t>
  </si>
  <si>
    <t>TVS-SIM-059311</t>
  </si>
  <si>
    <t>TVS-SIM-709479</t>
  </si>
  <si>
    <t>244</t>
  </si>
  <si>
    <t>228.97</t>
  </si>
  <si>
    <t>TVS-SIM-7646</t>
  </si>
  <si>
    <t>344</t>
  </si>
  <si>
    <t>TVS-SIM-634899</t>
  </si>
  <si>
    <t>TVS-SIM-757992</t>
  </si>
  <si>
    <t>234</t>
  </si>
  <si>
    <t>168.44078</t>
  </si>
  <si>
    <t>2338.6</t>
  </si>
  <si>
    <t>100.89088</t>
  </si>
  <si>
    <t>8727</t>
  </si>
  <si>
    <t>13335</t>
  </si>
  <si>
    <t>513.27864</t>
  </si>
  <si>
    <t>513.44005</t>
  </si>
  <si>
    <t>193</t>
  </si>
  <si>
    <t>226.5457</t>
  </si>
  <si>
    <t>226.59783</t>
  </si>
  <si>
    <t>3150</t>
  </si>
  <si>
    <t>104.17</t>
  </si>
  <si>
    <t>1396.6172</t>
  </si>
  <si>
    <t>1533.41725</t>
  </si>
  <si>
    <t>20.833</t>
  </si>
  <si>
    <t>450</t>
  </si>
  <si>
    <t>2.4</t>
  </si>
  <si>
    <t>116.67</t>
  </si>
  <si>
    <t>1814.25253</t>
  </si>
  <si>
    <t>1991.95463</t>
  </si>
  <si>
    <t>23.333</t>
  </si>
  <si>
    <t>TVS-DIS-620830</t>
  </si>
  <si>
    <t>TVS-DIS-620831</t>
  </si>
  <si>
    <t>TVS-DIS-620832</t>
  </si>
  <si>
    <t>TVS-DIS-620833</t>
  </si>
  <si>
    <t>TVS-DIS-620840</t>
  </si>
  <si>
    <t>TVS-SIM-493999</t>
  </si>
  <si>
    <t>TVS-SIM-494000</t>
  </si>
  <si>
    <t>TVS-SIM-494001</t>
  </si>
  <si>
    <t>TVS-SIM-494002</t>
  </si>
  <si>
    <t>TVS-SIM-494003</t>
  </si>
  <si>
    <t>688</t>
  </si>
  <si>
    <t>TVS-SIM-494004</t>
  </si>
  <si>
    <t>TVS-SIM-494005</t>
  </si>
  <si>
    <t>TVS-SIM-494006</t>
  </si>
  <si>
    <t>TVS-SIM-135402</t>
  </si>
  <si>
    <t>TVS-SIM-135403</t>
  </si>
  <si>
    <t>(1 - Local Purchase,2 Interstate Purchase, 3 Import Purchase,4-UTGST,, 5-CESS)</t>
  </si>
  <si>
    <t>UTGST</t>
  </si>
  <si>
    <t>Cess%</t>
  </si>
  <si>
    <t>CESS</t>
  </si>
  <si>
    <t>(1 - Local Purchase,2 Interstate Purchase, 3 Import Purchase,4-UTGST, 5-CESS)</t>
  </si>
  <si>
    <t>TVS-SIM-135555</t>
  </si>
  <si>
    <t>6</t>
  </si>
  <si>
    <t>242.29</t>
  </si>
  <si>
    <t>3577.438</t>
  </si>
  <si>
    <t>12</t>
  </si>
  <si>
    <t>(1 - Local Purchase,2 Interstate Purchase, 3 Import Purchase,4-UTGST)</t>
  </si>
  <si>
    <t>(1 - Registered, 2 - Unregistered)</t>
  </si>
  <si>
    <t>4246.0596</t>
  </si>
  <si>
    <t>248.26</t>
  </si>
  <si>
    <t>2744.89475</t>
  </si>
  <si>
    <t>16</t>
  </si>
  <si>
    <t>PK-SER-MAC-50001</t>
  </si>
  <si>
    <t>PK-NA-MAC-50001</t>
  </si>
  <si>
    <t>250</t>
  </si>
  <si>
    <t>234.6</t>
  </si>
  <si>
    <t>215.105</t>
  </si>
  <si>
    <t>30</t>
  </si>
  <si>
    <t>330.98625</t>
  </si>
  <si>
    <t>24</t>
  </si>
  <si>
    <t>269.19614</t>
  </si>
  <si>
    <t>TVS-SIM-976756</t>
  </si>
  <si>
    <t>3.2</t>
  </si>
  <si>
    <t>455</t>
  </si>
  <si>
    <t>1243</t>
  </si>
  <si>
    <t>74</t>
  </si>
  <si>
    <t>104</t>
  </si>
  <si>
    <t>675</t>
  </si>
  <si>
    <t>1.34</t>
  </si>
  <si>
    <t>323.75</t>
  </si>
  <si>
    <t>455.67</t>
  </si>
  <si>
    <t>0.0847</t>
  </si>
  <si>
    <t>84.2752</t>
  </si>
  <si>
    <t>639.51643</t>
  </si>
  <si>
    <t>45</t>
  </si>
  <si>
    <t>821.05</t>
  </si>
  <si>
    <t>878</t>
  </si>
  <si>
    <t>243</t>
  </si>
  <si>
    <t>222.54</t>
  </si>
  <si>
    <t>238</t>
  </si>
  <si>
    <t>2.35</t>
  </si>
  <si>
    <t>3.34</t>
  </si>
  <si>
    <t>214.73</t>
  </si>
  <si>
    <t>284.72929</t>
  </si>
  <si>
    <t>440.2256</t>
  </si>
  <si>
    <t>849.63</t>
  </si>
  <si>
    <t>237</t>
  </si>
  <si>
    <t>2.8</t>
  </si>
  <si>
    <t>456</t>
  </si>
  <si>
    <t>1351.5928</t>
  </si>
  <si>
    <t>649.70143</t>
  </si>
  <si>
    <t>723.55</t>
  </si>
  <si>
    <t>2.25</t>
  </si>
  <si>
    <t>356</t>
  </si>
  <si>
    <t>4.5</t>
  </si>
  <si>
    <t>249.255</t>
  </si>
  <si>
    <t>18</t>
  </si>
  <si>
    <t>2467.60144</t>
  </si>
  <si>
    <t>TVS-DIS-6208565</t>
  </si>
  <si>
    <t>TVS-DIS-6208566</t>
  </si>
  <si>
    <t>TVS-DIS-6208577</t>
  </si>
  <si>
    <t>TVS-DIS-6208555</t>
  </si>
  <si>
    <t>654</t>
  </si>
  <si>
    <t>TVS-SIM-4940190</t>
  </si>
  <si>
    <t>400</t>
  </si>
  <si>
    <t>431.965</t>
  </si>
  <si>
    <t>1166.005</t>
  </si>
  <si>
    <t>239.835</t>
  </si>
  <si>
    <t>544.88833</t>
  </si>
  <si>
    <t>8</t>
  </si>
  <si>
    <t>152.43625</t>
  </si>
  <si>
    <t>646.1088</t>
  </si>
  <si>
    <t>656.94321</t>
  </si>
  <si>
    <t>230</t>
  </si>
  <si>
    <t>1.24</t>
  </si>
  <si>
    <t>642.0008</t>
  </si>
  <si>
    <t>441.62929</t>
  </si>
  <si>
    <t>75</t>
  </si>
  <si>
    <t>84</t>
  </si>
  <si>
    <t>87.5</t>
  </si>
  <si>
    <t>98</t>
  </si>
  <si>
    <t>319.51</t>
  </si>
  <si>
    <t>236</t>
  </si>
  <si>
    <t>2.89</t>
  </si>
  <si>
    <t>453</t>
  </si>
  <si>
    <t>293</t>
  </si>
  <si>
    <t>3453</t>
  </si>
  <si>
    <t>1162.57255</t>
  </si>
  <si>
    <t>357</t>
  </si>
  <si>
    <t>247.59472</t>
  </si>
  <si>
    <t>112.5</t>
  </si>
  <si>
    <t>126</t>
  </si>
  <si>
    <t>2376.6</t>
  </si>
  <si>
    <t>169.49546</t>
  </si>
  <si>
    <t>7736</t>
  </si>
  <si>
    <t>100.91397</t>
  </si>
  <si>
    <t>234.3341</t>
  </si>
  <si>
    <t>234.35005</t>
  </si>
  <si>
    <t>1061.73279</t>
  </si>
  <si>
    <t>1386.17162</t>
  </si>
  <si>
    <t>1186.33583</t>
  </si>
  <si>
    <t>247.8929</t>
  </si>
  <si>
    <t>1203.88213</t>
  </si>
  <si>
    <t>1217.86585</t>
  </si>
  <si>
    <t>154.38711</t>
  </si>
  <si>
    <t>198.9515</t>
  </si>
  <si>
    <t>58</t>
  </si>
  <si>
    <t>45.28361</t>
  </si>
  <si>
    <t>113</t>
  </si>
  <si>
    <t>37.94162</t>
  </si>
  <si>
    <t>432.56339</t>
  </si>
  <si>
    <t>447</t>
  </si>
  <si>
    <t>450.76792</t>
  </si>
  <si>
    <t>776</t>
  </si>
  <si>
    <t>337.89797</t>
  </si>
  <si>
    <t>375</t>
  </si>
  <si>
    <t>336</t>
  </si>
  <si>
    <t>1110000</t>
  </si>
  <si>
    <t>50</t>
  </si>
  <si>
    <t>188.43056</t>
  </si>
  <si>
    <t>188.18419</t>
  </si>
  <si>
    <t>137.5</t>
  </si>
  <si>
    <t>187.38241</t>
  </si>
  <si>
    <t>154</t>
  </si>
  <si>
    <t>187.36025</t>
  </si>
  <si>
    <t>37</t>
  </si>
  <si>
    <t>201.94054</t>
  </si>
  <si>
    <t>224.80718</t>
  </si>
  <si>
    <t>224.92775</t>
  </si>
  <si>
    <t>102.667</t>
  </si>
  <si>
    <t>926.87436</t>
  </si>
  <si>
    <t>855.44667</t>
  </si>
  <si>
    <t>189.89286</t>
  </si>
  <si>
    <t>319.76857</t>
  </si>
  <si>
    <t>258.69657</t>
  </si>
  <si>
    <t>148.80873</t>
  </si>
  <si>
    <t>269.41738</t>
  </si>
  <si>
    <t>123.77096</t>
  </si>
  <si>
    <t>1186.24171</t>
  </si>
  <si>
    <t>247.84578</t>
  </si>
  <si>
    <t>1162.77145</t>
  </si>
  <si>
    <t>359</t>
  </si>
  <si>
    <t>247.59612</t>
  </si>
  <si>
    <t>1186.66432</t>
  </si>
  <si>
    <t>1146</t>
  </si>
  <si>
    <t>1216.5072</t>
  </si>
  <si>
    <t>22</t>
  </si>
  <si>
    <t>214.88428</t>
  </si>
  <si>
    <t>565</t>
  </si>
  <si>
    <t>5</t>
  </si>
  <si>
    <t>342</t>
  </si>
  <si>
    <t>2.9</t>
  </si>
  <si>
    <t>513.96</t>
  </si>
  <si>
    <t>317.98</t>
  </si>
  <si>
    <t>231.44945</t>
  </si>
  <si>
    <t>318.28167</t>
  </si>
  <si>
    <t>300</t>
  </si>
  <si>
    <t>272.9</t>
  </si>
  <si>
    <t>371.53</t>
  </si>
  <si>
    <t>49.998</t>
  </si>
  <si>
    <t>27.999</t>
  </si>
  <si>
    <t>20</t>
  </si>
  <si>
    <t>215.10486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</si>
</sst>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0">
    <font>
      <sz val="11"/>
      <color theme="1"/>
      <name val="Calibri"/>
      <charset val="134"/>
      <scheme val="minor"/>
    </font>
    <font>
      <b/>
      <u/>
      <sz val="14"/>
      <color theme="1"/>
      <name val="Cambria"/>
      <charset val="134"/>
      <scheme val="major"/>
    </font>
    <font>
      <b/>
      <sz val="11"/>
      <color theme="1"/>
      <name val="Cambria"/>
      <charset val="134"/>
      <scheme val="major"/>
    </font>
    <font>
      <sz val="11"/>
      <color theme="1"/>
      <name val="Cambria"/>
      <charset val="134"/>
      <scheme val="major"/>
    </font>
    <font>
      <sz val="10"/>
      <color rgb="FF000000"/>
      <name val="Consolas"/>
      <charset val="134"/>
    </font>
    <font>
      <sz val="9"/>
      <color rgb="FF000000"/>
      <name val="Arial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  <scheme val="major"/>
    </font>
    <font>
      <b/>
      <sz val="11"/>
      <color theme="1"/>
      <name val="Calibri"/>
      <charset val="134"/>
      <scheme val="minor"/>
    </font>
    <font>
      <sz val="9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5117038483843"/>
        <bgColor indexed="64"/>
      </patternFill>
    </fill>
  </fills>
  <borders count="28">
    <border>
      <left/>
      <right/>
      <top/>
      <bottom/>
      <diagonal/>
    </border>
    <border>
      <left style="double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0070C0"/>
      </right>
      <top style="double">
        <color rgb="FF0070C0"/>
      </top>
      <bottom style="thin">
        <color rgb="FF0070C0"/>
      </bottom>
      <diagonal/>
    </border>
    <border>
      <left style="double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0070C0"/>
      </right>
      <top style="thin">
        <color rgb="FF0070C0"/>
      </top>
      <bottom style="thin">
        <color rgb="FF0070C0"/>
      </bottom>
      <diagonal/>
    </border>
    <border>
      <left style="double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rgb="FF0070C0"/>
      </left>
      <right style="double">
        <color rgb="FF0070C0"/>
      </right>
      <top style="thin">
        <color rgb="FF0070C0"/>
      </top>
      <bottom style="double">
        <color rgb="FF0070C0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/>
      <top style="double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double">
        <color rgb="FF0070C0"/>
      </top>
      <bottom/>
      <diagonal/>
    </border>
    <border>
      <left/>
      <right/>
      <top style="double">
        <color rgb="FF0070C0"/>
      </top>
      <bottom/>
      <diagonal/>
    </border>
    <border>
      <left/>
      <right style="medium">
        <color rgb="FF0070C0"/>
      </right>
      <top style="double">
        <color rgb="FF0070C0"/>
      </top>
      <bottom/>
      <diagonal/>
    </border>
  </borders>
  <cellStyleXfs count="3">
    <xf numFmtId="0" fontId="0" fillId="0" borderId="0"/>
    <xf numFmtId="0" fontId="6" fillId="0" borderId="0">
      <alignment vertical="center"/>
    </xf>
    <xf numFmtId="0" fontId="6" fillId="0" borderId="0">
      <alignment vertical="center"/>
    </xf>
  </cellStyleXfs>
  <cellXfs count="174">
    <xf numFmtId="0" fontId="0" fillId="0" borderId="0" xfId="0"/>
    <xf numFmtId="0" fontId="1" fillId="0" borderId="0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164" fontId="3" fillId="0" borderId="5" xfId="0" applyNumberFormat="1" applyFont="1" applyBorder="1"/>
    <xf numFmtId="2" fontId="3" fillId="0" borderId="5" xfId="0" applyNumberFormat="1" applyFont="1" applyBorder="1"/>
    <xf numFmtId="2" fontId="3" fillId="0" borderId="6" xfId="0" applyNumberFormat="1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0" applyNumberFormat="1" applyFont="1" applyBorder="1"/>
    <xf numFmtId="2" fontId="3" fillId="0" borderId="8" xfId="0" applyNumberFormat="1" applyFont="1" applyBorder="1"/>
    <xf numFmtId="2" fontId="3" fillId="0" borderId="9" xfId="0" applyNumberFormat="1" applyFont="1" applyBorder="1"/>
    <xf numFmtId="0" fontId="3" fillId="0" borderId="0" xfId="0" applyFont="1"/>
    <xf numFmtId="0" fontId="2" fillId="3" borderId="11" xfId="0" applyFont="1" applyFill="1" applyBorder="1" applyAlignment="1">
      <alignment vertical="top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3" fillId="0" borderId="13" xfId="0" applyNumberFormat="1" applyFont="1" applyBorder="1"/>
    <xf numFmtId="0" fontId="0" fillId="0" borderId="0" xfId="0" applyBorder="1" applyAlignment="1"/>
    <xf numFmtId="0" fontId="2" fillId="3" borderId="14" xfId="0" applyFont="1" applyFill="1" applyBorder="1" applyAlignment="1"/>
    <xf numFmtId="0" fontId="2" fillId="3" borderId="15" xfId="0" applyFont="1" applyFill="1" applyBorder="1" applyAlignment="1"/>
    <xf numFmtId="0" fontId="2" fillId="3" borderId="13" xfId="0" applyFont="1" applyFill="1" applyBorder="1"/>
    <xf numFmtId="10" fontId="3" fillId="0" borderId="0" xfId="0" applyNumberFormat="1" applyFont="1" applyFill="1" applyBorder="1"/>
    <xf numFmtId="2" fontId="3" fillId="0" borderId="0" xfId="0" applyNumberFormat="1" applyFont="1" applyFill="1" applyBorder="1"/>
    <xf numFmtId="0" fontId="3" fillId="0" borderId="0" xfId="0" applyFont="1" applyBorder="1"/>
    <xf numFmtId="0" fontId="3" fillId="0" borderId="0" xfId="0" applyFont="1" applyFill="1" applyBorder="1"/>
    <xf numFmtId="0" fontId="2" fillId="4" borderId="1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4" fillId="0" borderId="0" xfId="0" applyFont="1"/>
    <xf numFmtId="0" fontId="2" fillId="6" borderId="12" xfId="0" applyFont="1" applyFill="1" applyBorder="1" applyAlignment="1">
      <alignment horizontal="center" vertical="center"/>
    </xf>
    <xf numFmtId="0" fontId="2" fillId="3" borderId="13" xfId="0" applyNumberFormat="1" applyFont="1" applyFill="1" applyBorder="1"/>
    <xf numFmtId="2" fontId="2" fillId="3" borderId="13" xfId="0" applyNumberFormat="1" applyFont="1" applyFill="1" applyBorder="1"/>
    <xf numFmtId="0" fontId="2" fillId="7" borderId="12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 wrapText="1"/>
    </xf>
    <xf numFmtId="10" fontId="3" fillId="0" borderId="13" xfId="0" applyNumberFormat="1" applyFont="1" applyBorder="1"/>
    <xf numFmtId="0" fontId="2" fillId="7" borderId="13" xfId="0" applyFont="1" applyFill="1" applyBorder="1"/>
    <xf numFmtId="2" fontId="2" fillId="7" borderId="13" xfId="0" applyNumberFormat="1" applyFont="1" applyFill="1" applyBorder="1"/>
    <xf numFmtId="0" fontId="2" fillId="8" borderId="12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3" fillId="0" borderId="5" xfId="0" applyNumberFormat="1" applyFont="1" applyBorder="1"/>
    <xf numFmtId="0" fontId="3" fillId="2" borderId="16" xfId="0" applyFont="1" applyFill="1" applyBorder="1"/>
    <xf numFmtId="0" fontId="0" fillId="0" borderId="5" xfId="0" applyNumberFormat="1" applyBorder="1"/>
    <xf numFmtId="0" fontId="0" fillId="0" borderId="17" xfId="0" applyNumberFormat="1" applyFont="1" applyBorder="1" applyAlignment="1">
      <alignment vertical="center"/>
    </xf>
    <xf numFmtId="0" fontId="3" fillId="2" borderId="2" xfId="0" applyFont="1" applyFill="1" applyBorder="1" applyAlignment="1"/>
    <xf numFmtId="0" fontId="0" fillId="0" borderId="0" xfId="0" applyNumberFormat="1"/>
    <xf numFmtId="0" fontId="0" fillId="0" borderId="0" xfId="0" applyNumberFormat="1" applyAlignment="1">
      <alignment horizontal="center"/>
    </xf>
    <xf numFmtId="2" fontId="3" fillId="0" borderId="13" xfId="0" applyNumberFormat="1" applyFont="1" applyBorder="1"/>
    <xf numFmtId="0" fontId="3" fillId="2" borderId="18" xfId="0" applyFont="1" applyFill="1" applyBorder="1"/>
    <xf numFmtId="0" fontId="3" fillId="2" borderId="18" xfId="0" applyFont="1" applyFill="1" applyBorder="1" applyAlignment="1">
      <alignment horizontal="center"/>
    </xf>
    <xf numFmtId="0" fontId="0" fillId="0" borderId="17" xfId="0" applyNumberFormat="1" applyBorder="1" applyAlignment="1">
      <alignment vertical="center"/>
    </xf>
    <xf numFmtId="0" fontId="5" fillId="9" borderId="19" xfId="0" applyFont="1" applyFill="1" applyBorder="1"/>
    <xf numFmtId="0" fontId="5" fillId="10" borderId="19" xfId="0" applyFont="1" applyFill="1" applyBorder="1"/>
    <xf numFmtId="0" fontId="2" fillId="2" borderId="13" xfId="0" applyFont="1" applyFill="1" applyBorder="1" applyAlignment="1">
      <alignment horizontal="center" vertical="center"/>
    </xf>
    <xf numFmtId="0" fontId="2" fillId="3" borderId="21" xfId="0" applyFont="1" applyFill="1" applyBorder="1" applyAlignment="1"/>
    <xf numFmtId="0" fontId="2" fillId="4" borderId="13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3" fillId="0" borderId="0" xfId="0" applyFont="1" applyAlignment="1"/>
    <xf numFmtId="0" fontId="3" fillId="0" borderId="12" xfId="0" applyFont="1" applyBorder="1"/>
    <xf numFmtId="0" fontId="2" fillId="6" borderId="1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0" xfId="0" applyAlignment="1">
      <alignment vertical="center"/>
    </xf>
    <xf numFmtId="0" fontId="3" fillId="2" borderId="22" xfId="0" applyFont="1" applyFill="1" applyBorder="1"/>
    <xf numFmtId="0" fontId="3" fillId="2" borderId="17" xfId="0" applyFont="1" applyFill="1" applyBorder="1"/>
    <xf numFmtId="0" fontId="3" fillId="2" borderId="17" xfId="0" applyFont="1" applyFill="1" applyBorder="1" applyAlignment="1"/>
    <xf numFmtId="0" fontId="3" fillId="0" borderId="23" xfId="0" applyFont="1" applyBorder="1"/>
    <xf numFmtId="0" fontId="3" fillId="0" borderId="17" xfId="0" applyNumberFormat="1" applyFont="1" applyBorder="1"/>
    <xf numFmtId="0" fontId="3" fillId="0" borderId="17" xfId="0" applyFont="1" applyBorder="1"/>
    <xf numFmtId="0" fontId="3" fillId="2" borderId="17" xfId="0" applyFont="1" applyFill="1" applyBorder="1" applyAlignment="1">
      <alignment horizontal="center"/>
    </xf>
    <xf numFmtId="0" fontId="0" fillId="0" borderId="17" xfId="0" applyNumberFormat="1" applyBorder="1"/>
    <xf numFmtId="0" fontId="0" fillId="0" borderId="17" xfId="0" applyNumberFormat="1" applyBorder="1" applyAlignment="1">
      <alignment horizontal="center"/>
    </xf>
    <xf numFmtId="164" fontId="3" fillId="0" borderId="13" xfId="0" applyNumberFormat="1" applyFont="1" applyBorder="1"/>
    <xf numFmtId="0" fontId="6" fillId="0" borderId="17" xfId="0" applyFont="1" applyBorder="1"/>
    <xf numFmtId="0" fontId="0" fillId="0" borderId="17" xfId="0" applyBorder="1"/>
    <xf numFmtId="0" fontId="0" fillId="0" borderId="17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3" fillId="0" borderId="2" xfId="0" applyFont="1" applyBorder="1"/>
    <xf numFmtId="0" fontId="0" fillId="0" borderId="24" xfId="0" applyBorder="1"/>
    <xf numFmtId="0" fontId="3" fillId="0" borderId="3" xfId="0" applyFont="1" applyBorder="1"/>
    <xf numFmtId="0" fontId="3" fillId="0" borderId="6" xfId="0" applyFont="1" applyBorder="1"/>
    <xf numFmtId="9" fontId="3" fillId="0" borderId="13" xfId="0" applyNumberFormat="1" applyFont="1" applyBorder="1"/>
    <xf numFmtId="0" fontId="7" fillId="0" borderId="13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7" borderId="13" xfId="0" applyFont="1" applyFill="1" applyBorder="1" applyAlignment="1">
      <alignment horizontal="center" vertical="center" wrapText="1"/>
    </xf>
    <xf numFmtId="165" fontId="3" fillId="0" borderId="13" xfId="0" applyNumberFormat="1" applyFont="1" applyBorder="1"/>
    <xf numFmtId="0" fontId="2" fillId="7" borderId="13" xfId="0" applyNumberFormat="1" applyFont="1" applyFill="1" applyBorder="1"/>
    <xf numFmtId="10" fontId="0" fillId="0" borderId="0" xfId="0" applyNumberFormat="1" applyAlignment="1">
      <alignment horizontal="left"/>
    </xf>
    <xf numFmtId="2" fontId="0" fillId="0" borderId="0" xfId="0" applyNumberFormat="1"/>
    <xf numFmtId="2" fontId="3" fillId="0" borderId="0" xfId="0" applyNumberFormat="1" applyFont="1"/>
    <xf numFmtId="0" fontId="3" fillId="0" borderId="0" xfId="0" applyFont="1" applyFill="1" applyBorder="1" applyAlignment="1">
      <alignment horizontal="left"/>
    </xf>
    <xf numFmtId="2" fontId="8" fillId="0" borderId="0" xfId="0" applyNumberFormat="1" applyFont="1" applyFill="1" applyBorder="1"/>
    <xf numFmtId="0" fontId="8" fillId="7" borderId="17" xfId="0" applyFont="1" applyFill="1" applyBorder="1"/>
    <xf numFmtId="0" fontId="0" fillId="7" borderId="17" xfId="0" applyFill="1" applyBorder="1"/>
    <xf numFmtId="0" fontId="0" fillId="0" borderId="0" xfId="0" applyBorder="1"/>
    <xf numFmtId="0" fontId="0" fillId="7" borderId="17" xfId="0" applyFill="1" applyBorder="1" applyAlignment="1">
      <alignment vertical="center"/>
    </xf>
    <xf numFmtId="0" fontId="3" fillId="0" borderId="0" xfId="0" quotePrefix="1" applyFont="1"/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9" fillId="10" borderId="19" xfId="0" applyFont="1" applyFill="1" applyBorder="1"/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9" fontId="2" fillId="3" borderId="13" xfId="0" applyNumberFormat="1" applyFont="1" applyFill="1" applyBorder="1"/>
    <xf numFmtId="0" fontId="1" fillId="0" borderId="0" xfId="0" applyFont="1" applyBorder="1" applyAlignment="1">
      <alignment horizontal="left" vertical="top"/>
    </xf>
    <xf numFmtId="0" fontId="3" fillId="0" borderId="5" xfId="1" applyFont="1" applyBorder="1" applyAlignment="1"/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2" fillId="3" borderId="1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left" vertical="center"/>
    </xf>
    <xf numFmtId="2" fontId="2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left"/>
    </xf>
    <xf numFmtId="0" fontId="1" fillId="0" borderId="20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/>
    </xf>
    <xf numFmtId="0" fontId="3" fillId="0" borderId="2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2" fillId="0" borderId="13" xfId="0" applyFont="1" applyBorder="1" applyAlignment="1">
      <alignment horizontal="right"/>
    </xf>
    <xf numFmtId="0" fontId="2" fillId="11" borderId="21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right"/>
    </xf>
    <xf numFmtId="0" fontId="2" fillId="12" borderId="13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7" borderId="13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 vertical="top"/>
    </xf>
    <xf numFmtId="0" fontId="2" fillId="3" borderId="26" xfId="0" applyFont="1" applyFill="1" applyBorder="1" applyAlignment="1">
      <alignment horizontal="center" vertical="top"/>
    </xf>
    <xf numFmtId="0" fontId="2" fillId="3" borderId="27" xfId="0" applyFont="1" applyFill="1" applyBorder="1" applyAlignment="1">
      <alignment horizontal="center" vertical="top"/>
    </xf>
    <xf numFmtId="0" fontId="3" fillId="0" borderId="20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2" fillId="7" borderId="21" xfId="0" applyFont="1" applyFill="1" applyBorder="1" applyAlignment="1">
      <alignment horizontal="right"/>
    </xf>
    <xf numFmtId="0" fontId="2" fillId="7" borderId="15" xfId="0" applyFont="1" applyFill="1" applyBorder="1" applyAlignment="1">
      <alignment horizontal="right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worksheets/sheet55.xml" Type="http://schemas.openxmlformats.org/officeDocument/2006/relationships/worksheet"/><Relationship Id="rId56" Target="worksheets/sheet56.xml" Type="http://schemas.openxmlformats.org/officeDocument/2006/relationships/worksheet"/><Relationship Id="rId57" Target="worksheets/sheet57.xml" Type="http://schemas.openxmlformats.org/officeDocument/2006/relationships/worksheet"/><Relationship Id="rId58" Target="worksheets/sheet58.xml" Type="http://schemas.openxmlformats.org/officeDocument/2006/relationships/worksheet"/><Relationship Id="rId59" Target="worksheets/sheet59.xml" Type="http://schemas.openxmlformats.org/officeDocument/2006/relationships/worksheet"/><Relationship Id="rId6" Target="worksheets/sheet6.xml" Type="http://schemas.openxmlformats.org/officeDocument/2006/relationships/worksheet"/><Relationship Id="rId60" Target="worksheets/sheet60.xml" Type="http://schemas.openxmlformats.org/officeDocument/2006/relationships/worksheet"/><Relationship Id="rId61" Target="worksheets/sheet61.xml" Type="http://schemas.openxmlformats.org/officeDocument/2006/relationships/worksheet"/><Relationship Id="rId62" Target="worksheets/sheet62.xml" Type="http://schemas.openxmlformats.org/officeDocument/2006/relationships/worksheet"/><Relationship Id="rId63" Target="worksheets/sheet63.xml" Type="http://schemas.openxmlformats.org/officeDocument/2006/relationships/worksheet"/><Relationship Id="rId64" Target="worksheets/sheet64.xml" Type="http://schemas.openxmlformats.org/officeDocument/2006/relationships/worksheet"/><Relationship Id="rId65" Target="worksheets/sheet65.xml" Type="http://schemas.openxmlformats.org/officeDocument/2006/relationships/worksheet"/><Relationship Id="rId66" Target="worksheets/sheet66.xml" Type="http://schemas.openxmlformats.org/officeDocument/2006/relationships/worksheet"/><Relationship Id="rId67" Target="theme/theme1.xml" Type="http://schemas.openxmlformats.org/officeDocument/2006/relationships/theme"/><Relationship Id="rId68" Target="styles.xml" Type="http://schemas.openxmlformats.org/officeDocument/2006/relationships/styles"/><Relationship Id="rId69" Target="sharedStrings.xml" Type="http://schemas.openxmlformats.org/officeDocument/2006/relationships/sharedStrings"/><Relationship Id="rId7" Target="worksheets/sheet7.xml" Type="http://schemas.openxmlformats.org/officeDocument/2006/relationships/worksheet"/><Relationship Id="rId70" Target="calcChain.xml" Type="http://schemas.openxmlformats.org/officeDocument/2006/relationships/calcChain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5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2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workbookViewId="0">
      <selection activeCell="A4" sqref="A4"/>
    </sheetView>
  </sheetViews>
  <sheetFormatPr defaultColWidth="9" defaultRowHeight="15"/>
  <cols>
    <col min="1" max="1" customWidth="true" width="15.42578125"/>
    <col min="2" max="2" customWidth="true" width="16.140625"/>
    <col min="3" max="3" customWidth="true" width="10.7109375"/>
    <col min="4" max="4" customWidth="true" width="15.5703125"/>
    <col min="5" max="5" customWidth="true" width="8.7109375"/>
    <col min="6" max="6" customWidth="true" width="13.7109375"/>
    <col min="7" max="7" customWidth="true" width="26.85546875"/>
    <col min="8" max="8" customWidth="true" width="11.140625"/>
    <col min="9" max="9" customWidth="true" width="13.140625"/>
    <col min="10" max="10" customWidth="true" width="15.7109375"/>
    <col min="22" max="22" customWidth="true" width="13.5703125"/>
    <col min="23" max="23" customWidth="true" width="12.42578125"/>
    <col min="24" max="24" customWidth="true" width="17.85546875"/>
    <col min="25" max="25" customWidth="true" width="8.140625"/>
    <col min="26" max="26" customWidth="true" width="21.140625"/>
  </cols>
  <sheetData>
    <row r="1" spans="1:26">
      <c r="A1" s="104" t="s">
        <v>0</v>
      </c>
      <c r="B1" s="104" t="s">
        <v>1</v>
      </c>
      <c r="C1" s="104" t="s">
        <v>2</v>
      </c>
      <c r="D1" s="105" t="s">
        <v>3</v>
      </c>
      <c r="E1" s="105" t="s">
        <v>4</v>
      </c>
      <c r="F1" s="105" t="s">
        <v>5</v>
      </c>
      <c r="G1" s="105" t="s">
        <v>6</v>
      </c>
      <c r="H1" s="105" t="s">
        <v>7</v>
      </c>
      <c r="I1" s="105" t="s">
        <v>8</v>
      </c>
      <c r="J1" s="105" t="s">
        <v>9</v>
      </c>
      <c r="K1" s="105" t="s">
        <v>10</v>
      </c>
      <c r="L1" s="105" t="s">
        <v>11</v>
      </c>
      <c r="M1" s="105" t="s">
        <v>12</v>
      </c>
      <c r="N1" s="105" t="s">
        <v>13</v>
      </c>
      <c r="O1" s="105" t="s">
        <v>14</v>
      </c>
      <c r="P1" s="105" t="s">
        <v>15</v>
      </c>
      <c r="Q1" s="105" t="s">
        <v>16</v>
      </c>
      <c r="R1" s="105" t="s">
        <v>17</v>
      </c>
      <c r="S1" s="105" t="s">
        <v>18</v>
      </c>
      <c r="T1" s="105" t="s">
        <v>19</v>
      </c>
      <c r="U1" s="105" t="s">
        <v>20</v>
      </c>
      <c r="V1" s="105" t="s">
        <v>21</v>
      </c>
      <c r="W1" s="107" t="s">
        <v>22</v>
      </c>
      <c r="X1" s="107" t="s">
        <v>23</v>
      </c>
      <c r="Y1" s="107" t="s">
        <v>24</v>
      </c>
      <c r="Z1" s="107" t="s">
        <v>25</v>
      </c>
    </row>
    <row r="2" spans="1:26">
      <c r="A2" t="s" s="0">
        <v>26</v>
      </c>
      <c r="B2" t="s" s="0">
        <v>27</v>
      </c>
      <c r="C2" s="84">
        <v>10</v>
      </c>
      <c r="D2" s="80">
        <v>100</v>
      </c>
      <c r="E2" s="84">
        <f>A2+C2</f>
        <v>1152.5999999999999</v>
      </c>
      <c r="F2" s="84">
        <f t="shared" ref="F2:F4" si="0">ROUND(((A2*B2)+(C2*D2))/(C2+A2),5)</f>
        <v>138.51226</v>
      </c>
      <c r="G2" s="84" t="s">
        <v>28</v>
      </c>
      <c r="H2" s="84" t="s">
        <v>29</v>
      </c>
      <c r="I2" s="84" t="s">
        <v>30</v>
      </c>
      <c r="J2" s="84">
        <v>2</v>
      </c>
      <c r="K2" s="84" t="s">
        <v>31</v>
      </c>
      <c r="L2" s="84">
        <v>1000</v>
      </c>
      <c r="M2" s="84">
        <v>1000</v>
      </c>
      <c r="N2" s="84">
        <v>10</v>
      </c>
      <c r="O2" s="84">
        <v>100</v>
      </c>
      <c r="P2" s="84">
        <v>900</v>
      </c>
      <c r="Q2" s="84">
        <v>10</v>
      </c>
      <c r="R2" s="84">
        <v>90</v>
      </c>
      <c r="S2" s="84">
        <v>810</v>
      </c>
      <c r="T2" s="84">
        <v>10</v>
      </c>
      <c r="U2" s="84">
        <v>81</v>
      </c>
      <c r="V2" s="84">
        <v>729</v>
      </c>
      <c r="W2" s="86" t="s">
        <v>32</v>
      </c>
      <c r="X2" s="86" t="s">
        <v>33</v>
      </c>
      <c r="Y2" s="86">
        <v>5</v>
      </c>
      <c r="Z2" s="86" t="s">
        <v>34</v>
      </c>
    </row>
    <row r="3" spans="1:26">
      <c r="A3" t="s" s="0">
        <v>35</v>
      </c>
      <c r="B3" t="s" s="0">
        <v>36</v>
      </c>
      <c r="C3" s="84">
        <v>20</v>
      </c>
      <c r="D3" s="84">
        <v>200</v>
      </c>
      <c r="E3" s="84">
        <f t="shared" ref="E3:E4" si="1">A3+C3</f>
        <v>8682</v>
      </c>
      <c r="F3" s="84">
        <f t="shared" si="0"/>
        <v>100.89381</v>
      </c>
      <c r="G3" s="84" t="s">
        <v>37</v>
      </c>
      <c r="H3" s="84" t="s">
        <v>38</v>
      </c>
      <c r="I3" s="84" t="s">
        <v>30</v>
      </c>
      <c r="J3" s="84" t="s">
        <v>39</v>
      </c>
      <c r="K3" s="84" t="s">
        <v>31</v>
      </c>
      <c r="L3" s="84">
        <v>4000</v>
      </c>
      <c r="M3" s="84">
        <v>4000</v>
      </c>
      <c r="N3" s="84">
        <v>10</v>
      </c>
      <c r="O3" s="84">
        <v>400</v>
      </c>
      <c r="P3" s="84">
        <v>3600</v>
      </c>
      <c r="Q3" s="84">
        <v>10</v>
      </c>
      <c r="R3" s="84">
        <v>360</v>
      </c>
      <c r="S3" s="84">
        <v>3240</v>
      </c>
      <c r="T3" s="84">
        <v>10</v>
      </c>
      <c r="U3" s="84">
        <v>324</v>
      </c>
      <c r="V3" s="84">
        <v>2916</v>
      </c>
      <c r="W3" s="86" t="s">
        <v>40</v>
      </c>
      <c r="X3" s="86" t="s">
        <v>41</v>
      </c>
      <c r="Y3" s="86">
        <v>100</v>
      </c>
      <c r="Z3" s="86" t="s">
        <v>34</v>
      </c>
    </row>
    <row r="4" spans="1:26">
      <c r="A4" t="s" s="0">
        <v>42</v>
      </c>
      <c r="B4" t="s" s="0">
        <v>43</v>
      </c>
      <c r="C4" s="84">
        <v>10</v>
      </c>
      <c r="D4" s="84">
        <v>300</v>
      </c>
      <c r="E4" s="84">
        <f t="shared" si="1"/>
        <v>11412</v>
      </c>
      <c r="F4" s="84">
        <f t="shared" si="0"/>
        <v>262.44596999999999</v>
      </c>
      <c r="G4" s="84" t="s">
        <v>44</v>
      </c>
      <c r="H4" s="84" t="s">
        <v>45</v>
      </c>
      <c r="I4" s="84" t="s">
        <v>30</v>
      </c>
      <c r="J4" s="84" t="s">
        <v>39</v>
      </c>
      <c r="K4" s="84" t="s">
        <v>31</v>
      </c>
      <c r="L4" s="84">
        <v>3000</v>
      </c>
      <c r="M4" s="84">
        <v>3000</v>
      </c>
      <c r="N4" s="84">
        <v>10</v>
      </c>
      <c r="O4" s="84">
        <v>300</v>
      </c>
      <c r="P4" s="84">
        <v>2700</v>
      </c>
      <c r="Q4" s="84">
        <v>10</v>
      </c>
      <c r="R4" s="84">
        <v>270</v>
      </c>
      <c r="S4" s="84">
        <v>2430</v>
      </c>
      <c r="T4" s="84">
        <v>10</v>
      </c>
      <c r="U4" s="84">
        <v>243</v>
      </c>
      <c r="V4" s="84">
        <v>2187</v>
      </c>
    </row>
    <row r="5" spans="1:26">
      <c r="A5" s="106"/>
      <c r="B5" s="106"/>
      <c r="C5" s="106"/>
    </row>
    <row r="6" spans="1:26">
      <c r="A6" s="106"/>
      <c r="B6" s="106"/>
      <c r="C6" s="106"/>
    </row>
    <row r="7" spans="1:26">
      <c r="A7" s="106"/>
      <c r="B7" s="106"/>
      <c r="C7" s="106"/>
    </row>
    <row r="8" spans="1:26">
      <c r="A8" s="106"/>
      <c r="B8" s="106"/>
      <c r="C8" s="106"/>
    </row>
    <row r="9" spans="1:26">
      <c r="A9" s="106"/>
      <c r="B9" s="106"/>
      <c r="C9" s="106"/>
    </row>
    <row r="10" spans="1:26">
      <c r="A10" s="106"/>
      <c r="B10" s="106"/>
      <c r="C10" s="106"/>
    </row>
    <row r="11" spans="1:26">
      <c r="A11" s="106"/>
      <c r="B11" s="106"/>
      <c r="C11" s="106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49"/>
  <sheetViews>
    <sheetView topLeftCell="A7" workbookViewId="0">
      <selection activeCell="AZ25" sqref="AZ25"/>
    </sheetView>
  </sheetViews>
  <sheetFormatPr defaultColWidth="10.140625" defaultRowHeight="15"/>
  <cols>
    <col min="2" max="2" customWidth="true" width="21.42578125"/>
    <col min="3" max="3" customWidth="true" width="26.85546875"/>
    <col min="4" max="4" customWidth="true" width="62.7109375"/>
    <col min="5" max="5" customWidth="true" width="11.28515625"/>
    <col min="6" max="6" customWidth="true" width="17.5703125"/>
    <col min="9" max="9" customWidth="true" width="15.28515625"/>
    <col min="12" max="12" customWidth="true" width="16.28515625"/>
    <col min="13" max="13" customWidth="true" width="13.85546875"/>
    <col min="14" max="14" customWidth="true" width="18.85546875"/>
    <col min="15" max="15" customWidth="true" width="19.0"/>
    <col min="16" max="16" customWidth="true" width="21.7109375"/>
    <col min="17" max="17" customWidth="true" width="37.7109375"/>
    <col min="18" max="18" customWidth="true" width="13.7109375"/>
    <col min="19" max="19" customWidth="true" width="12.42578125"/>
    <col min="20" max="20" customWidth="true" width="12.5703125"/>
    <col min="22" max="22" customWidth="true" width="30.5703125"/>
    <col min="23" max="23" customWidth="true" width="9.42578125"/>
    <col min="24" max="24" customWidth="true" width="10.7109375"/>
    <col min="27" max="27" customWidth="true" width="12.85546875"/>
    <col min="28" max="28" customWidth="true" width="10.7109375"/>
    <col min="30" max="31" customWidth="true" width="10.7109375"/>
    <col min="32" max="32" customWidth="true" width="14.28515625"/>
    <col min="33" max="33" customWidth="true" width="10.7109375"/>
    <col min="35" max="35" customWidth="true" width="13.5703125"/>
    <col min="36" max="36" customWidth="true" width="15.5703125"/>
    <col min="40" max="40" customWidth="true" width="11.85546875"/>
    <col min="41" max="41" customWidth="true" width="23.28515625"/>
    <col min="42" max="42" customWidth="true" width="9.42578125"/>
    <col min="43" max="43" customWidth="true" width="11.85546875"/>
    <col min="44" max="44" customWidth="true" width="15.28515625"/>
    <col min="45" max="45" customWidth="true" width="20.28515625"/>
    <col min="46" max="46" customWidth="true" width="11.42578125"/>
    <col min="47" max="47" customWidth="true" width="16.28515625"/>
    <col min="48" max="48" customWidth="true" width="13.85546875"/>
    <col min="49" max="49" customWidth="true" width="18.85546875"/>
    <col min="50" max="50" customWidth="true" width="19.0"/>
    <col min="51" max="51" customWidth="true" width="21.7109375"/>
    <col min="52" max="52" customWidth="true" width="16.5703125"/>
    <col min="53" max="53" customWidth="true" width="14.28515625"/>
    <col min="54" max="54" customWidth="true" width="17.28515625"/>
    <col min="55" max="55" customWidth="true" width="13.7109375"/>
    <col min="56" max="56" customWidth="true" width="12.42578125"/>
    <col min="57" max="57" customWidth="true" width="12.5703125"/>
    <col min="58" max="58" customWidth="true" width="21.7109375"/>
    <col min="59" max="59" customWidth="true" width="30.5703125"/>
  </cols>
  <sheetData>
    <row r="1" spans="1:42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6"/>
      <c r="AP1" s="16"/>
    </row>
    <row r="2" spans="1:42" ht="18">
      <c r="A2" s="1" t="s">
        <v>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6"/>
      <c r="AP2" s="16"/>
    </row>
    <row r="3" spans="1:42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16"/>
    </row>
    <row r="4" spans="1:42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16"/>
    </row>
    <row r="5" spans="1:42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16"/>
    </row>
    <row r="6" spans="1:42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16"/>
    </row>
    <row r="7" spans="1:42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16"/>
    </row>
    <row r="8" spans="1:42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16"/>
    </row>
    <row r="9" spans="1:42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16"/>
    </row>
    <row r="10" spans="1:42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16"/>
    </row>
    <row r="11" spans="1:42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16"/>
    </row>
    <row r="12" spans="1:42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16"/>
    </row>
    <row r="13" spans="1:42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2507.6799999999998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16"/>
    </row>
    <row r="14" spans="1:42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16"/>
    </row>
    <row r="15" spans="1:42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16"/>
    </row>
    <row r="16" spans="1:42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16"/>
    </row>
    <row r="17" spans="1:6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>
        <v>5858.27</v>
      </c>
      <c r="T17" s="32"/>
      <c r="U17" s="31"/>
      <c r="V17" s="31"/>
      <c r="W17" s="31"/>
      <c r="X17" s="31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16"/>
    </row>
    <row r="18" spans="1:60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16"/>
    </row>
    <row r="19" spans="1:60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6"/>
    </row>
    <row r="20" spans="1:6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6"/>
    </row>
    <row r="21" spans="1:60">
      <c r="A21" s="151" t="s">
        <v>89</v>
      </c>
      <c r="B21" s="151"/>
      <c r="C21" s="20">
        <v>1</v>
      </c>
      <c r="D21" s="21" t="s">
        <v>90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6"/>
    </row>
    <row r="22" spans="1:60" ht="57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113</v>
      </c>
      <c r="Z22" s="41" t="s">
        <v>114</v>
      </c>
      <c r="AA22" s="41" t="s">
        <v>115</v>
      </c>
      <c r="AB22" s="42" t="s">
        <v>116</v>
      </c>
      <c r="AC22" s="42" t="s">
        <v>117</v>
      </c>
      <c r="AD22" s="42" t="s">
        <v>118</v>
      </c>
      <c r="AE22" s="41" t="s">
        <v>119</v>
      </c>
      <c r="AF22" s="41" t="s">
        <v>120</v>
      </c>
      <c r="AG22" s="42" t="s">
        <v>121</v>
      </c>
      <c r="AH22" s="42" t="s">
        <v>122</v>
      </c>
      <c r="AI22" s="41" t="s">
        <v>123</v>
      </c>
      <c r="AJ22" s="41" t="s">
        <v>124</v>
      </c>
      <c r="AK22" s="42" t="s">
        <v>125</v>
      </c>
      <c r="AL22" s="42" t="s">
        <v>126</v>
      </c>
      <c r="AM22" s="42" t="s">
        <v>127</v>
      </c>
      <c r="AN22" s="41" t="s">
        <v>128</v>
      </c>
      <c r="AO22" s="46" t="s">
        <v>129</v>
      </c>
      <c r="AP22" s="3" t="s">
        <v>130</v>
      </c>
      <c r="AQ22" s="3" t="s">
        <v>128</v>
      </c>
      <c r="AR22" s="47" t="s">
        <v>131</v>
      </c>
      <c r="AS22" s="47" t="s">
        <v>132</v>
      </c>
      <c r="AT22" s="87" t="s">
        <v>133</v>
      </c>
      <c r="AU22" s="87" t="s">
        <v>134</v>
      </c>
      <c r="AV22" s="47" t="s">
        <v>135</v>
      </c>
      <c r="AW22" s="47" t="s">
        <v>136</v>
      </c>
      <c r="AX22" s="47" t="s">
        <v>137</v>
      </c>
      <c r="AY22" s="47" t="s">
        <v>138</v>
      </c>
      <c r="AZ22" s="49" t="s">
        <v>139</v>
      </c>
      <c r="BA22" s="49" t="s">
        <v>8</v>
      </c>
      <c r="BB22" s="49" t="s">
        <v>9</v>
      </c>
      <c r="BC22" s="47" t="s">
        <v>140</v>
      </c>
      <c r="BD22" s="47" t="s">
        <v>141</v>
      </c>
      <c r="BE22" s="87" t="s">
        <v>142</v>
      </c>
      <c r="BF22" s="87" t="s">
        <v>143</v>
      </c>
      <c r="BG22" s="87" t="s">
        <v>144</v>
      </c>
      <c r="BH22" s="89"/>
    </row>
    <row r="23" spans="1:60">
      <c r="A23" s="25">
        <v>1</v>
      </c>
      <c r="B23" s="84" t="s">
        <v>28</v>
      </c>
      <c r="C23" s="25" t="s">
        <v>57</v>
      </c>
      <c r="D23" s="25" t="s">
        <v>58</v>
      </c>
      <c r="E23" s="25" t="s">
        <v>58</v>
      </c>
      <c r="F23" s="82">
        <v>25</v>
      </c>
      <c r="G23" t="s" s="0">
        <v>145</v>
      </c>
      <c r="H23" s="55" t="e">
        <f>F23*G23</f>
        <v>#VALUE!</v>
      </c>
      <c r="I23" s="26">
        <v>2.21</v>
      </c>
      <c r="J23" s="26">
        <v>1.79</v>
      </c>
      <c r="K23" s="26">
        <v>2.5</v>
      </c>
      <c r="L23" s="55" t="e">
        <f>H23</f>
        <v>#VALUE!</v>
      </c>
      <c r="M23" s="55" t="e">
        <f>ROUND(L23*I23%,2)</f>
        <v>#VALUE!</v>
      </c>
      <c r="N23" s="55" t="e">
        <f>H23-M23</f>
        <v>#VALUE!</v>
      </c>
      <c r="O23" s="55" t="e">
        <f>ROUND(N23*J23%,2)</f>
        <v>#VALUE!</v>
      </c>
      <c r="P23" s="55" t="e">
        <f>ROUND(N23-O23,2)</f>
        <v>#VALUE!</v>
      </c>
      <c r="Q23" s="55" t="e">
        <f>ROUND(P23*K23%,2)</f>
        <v>#VALUE!</v>
      </c>
      <c r="R23" s="55" t="e">
        <f>M23+O23+Q23</f>
        <v>#VALUE!</v>
      </c>
      <c r="S23" s="26" t="e">
        <f>(H23-R23)</f>
        <v>#VALUE!</v>
      </c>
      <c r="T23" s="55" t="s">
        <v>146</v>
      </c>
      <c r="U23" s="43">
        <v>0.18</v>
      </c>
      <c r="V23" s="55" t="e">
        <f>IF($C$21=1,ROUND(((S23*U23)/2),2),0)</f>
        <v>#VALUE!</v>
      </c>
      <c r="W23" s="55" t="e">
        <f>IF($C$21=1,ROUND(((S23*U23)/2),2),0)</f>
        <v>#VALUE!</v>
      </c>
      <c r="X23" s="26">
        <f>IF($C$21=2,ROUND(((S23*U23)),2),0)</f>
        <v>0</v>
      </c>
      <c r="Y23" s="55" t="e">
        <f>V23+W23+X23</f>
        <v>#VALUE!</v>
      </c>
      <c r="Z23" s="55" t="e">
        <f t="shared" ref="Z23:Z25" si="1">S23+Y23</f>
        <v>#VALUE!</v>
      </c>
      <c r="AA23" s="55">
        <v>120</v>
      </c>
      <c r="AB23" s="55" t="e">
        <f>IF($P$21=1,(S23/$S$26)*$E$37,AA23/$AA$26*$E$37)</f>
        <v>#VALUE!</v>
      </c>
      <c r="AC23" s="55"/>
      <c r="AD23" s="55" t="e">
        <f>IF($P$21=1,(S23/$S$26)*$E$39,AA23/$AA$26*$E$39)</f>
        <v>#VALUE!</v>
      </c>
      <c r="AE23" s="55" t="e">
        <f>IF($P$21=1,(S23/$S$26)*$E$39,AA23/$AA$26*$E$39)</f>
        <v>#VALUE!</v>
      </c>
      <c r="AF23" s="55" t="e">
        <f t="shared" ref="AF23:AF25" si="2">S23*$M$21</f>
        <v>#VALUE!</v>
      </c>
      <c r="AG23" s="55" t="e">
        <f t="shared" ref="AG23:AG25" si="3">IF($C$21=3,0,AD23+AE23)</f>
        <v>#VALUE!</v>
      </c>
      <c r="AH23" s="55">
        <f t="shared" ref="AH23:AH25" si="4">IF($C$21=3,AB23+AD23+AE23,0)</f>
        <v>0</v>
      </c>
      <c r="AI23" s="82">
        <v>1</v>
      </c>
      <c r="AJ23" s="55">
        <f t="shared" ref="AJ23:AJ25" si="5">F23/AI23</f>
        <v>25</v>
      </c>
      <c r="AK23" s="55" t="e">
        <f>AF23/AJ23</f>
        <v>#VALUE!</v>
      </c>
      <c r="AL23" s="55" t="e">
        <f>AG23/AJ23</f>
        <v>#VALUE!</v>
      </c>
      <c r="AM23" s="55">
        <f>AH23/AJ23</f>
        <v>0</v>
      </c>
      <c r="AN23" s="55" t="s">
        <v>58</v>
      </c>
      <c r="AO23" s="55" t="e">
        <f>AK23+AL23+AM23</f>
        <v>#VALUE!</v>
      </c>
      <c r="AP23" s="7" t="s">
        <v>31</v>
      </c>
      <c r="AQ23" s="7" t="s">
        <v>58</v>
      </c>
      <c r="AR23" t="s" s="0">
        <v>147</v>
      </c>
      <c r="AS23" t="s" s="0">
        <v>148</v>
      </c>
      <c r="AT23" s="9">
        <f>AJ23</f>
        <v>25</v>
      </c>
      <c r="AU23" s="9" t="e">
        <f>AO23</f>
        <v>#VALUE!</v>
      </c>
      <c r="AV23" s="9">
        <f>AR23+AT23</f>
        <v>1177.5999999999999</v>
      </c>
      <c r="AW23" s="7" t="e">
        <f>ROUND(((AR23*AS23)+(AT23*AU23))/(AR23+AT23),5)</f>
        <v>#VALUE!</v>
      </c>
      <c r="AX23" s="71"/>
      <c r="AY23" s="71" t="s">
        <v>149</v>
      </c>
      <c r="AZ23" s="84" t="s">
        <v>29</v>
      </c>
      <c r="BA23" s="71"/>
      <c r="BB23" s="71"/>
      <c r="BC23" s="88"/>
      <c r="BD23" s="71"/>
      <c r="BE23" s="7"/>
      <c r="BF23" s="7"/>
      <c r="BG23" s="7"/>
      <c r="BH23" s="90"/>
    </row>
    <row r="24" spans="1:60">
      <c r="A24" s="25">
        <v>2</v>
      </c>
      <c r="B24" s="83" t="s">
        <v>37</v>
      </c>
      <c r="C24" s="25" t="s">
        <v>60</v>
      </c>
      <c r="D24" s="25" t="s">
        <v>58</v>
      </c>
      <c r="E24" s="25" t="s">
        <v>58</v>
      </c>
      <c r="F24" s="82">
        <v>35</v>
      </c>
      <c r="G24" t="s" s="0">
        <v>145</v>
      </c>
      <c r="H24" s="55" t="e">
        <f t="shared" ref="H24:H25" si="6">F24*G24</f>
        <v>#VALUE!</v>
      </c>
      <c r="I24" s="26">
        <v>1.25</v>
      </c>
      <c r="J24" s="26">
        <v>1.68</v>
      </c>
      <c r="K24" s="26">
        <v>2.5</v>
      </c>
      <c r="L24" s="55" t="e">
        <f>H24</f>
        <v>#VALUE!</v>
      </c>
      <c r="M24" s="55" t="e">
        <f>ROUND(L24*I24%,2)</f>
        <v>#VALUE!</v>
      </c>
      <c r="N24" s="55" t="e">
        <f t="shared" ref="N24:N25" si="7">H24-M24</f>
        <v>#VALUE!</v>
      </c>
      <c r="O24" s="55" t="e">
        <f t="shared" ref="O24:O25" si="8">ROUND(N24*J24%,2)</f>
        <v>#VALUE!</v>
      </c>
      <c r="P24" s="55" t="e">
        <f t="shared" ref="P24:P25" si="9">ROUND(N24-O24,2)</f>
        <v>#VALUE!</v>
      </c>
      <c r="Q24" s="55" t="e">
        <f t="shared" ref="Q24:Q25" si="10">ROUND(P24*K24%,2)</f>
        <v>#VALUE!</v>
      </c>
      <c r="R24" s="55" t="e">
        <f t="shared" ref="R24:R25" si="11">M24+O24+Q24</f>
        <v>#VALUE!</v>
      </c>
      <c r="S24" s="26" t="e">
        <f t="shared" ref="S24:S25" si="12">(H24-R24)</f>
        <v>#VALUE!</v>
      </c>
      <c r="T24" s="55" t="s">
        <v>146</v>
      </c>
      <c r="U24" s="43">
        <v>0.18</v>
      </c>
      <c r="V24" s="55" t="e">
        <f t="shared" ref="V24:V25" si="13">IF($C$21=1,ROUND(((S24*U24)/2),2),0)</f>
        <v>#VALUE!</v>
      </c>
      <c r="W24" s="55" t="e">
        <f t="shared" ref="W24:W25" si="14">IF($C$21=1,ROUND(((S24*U24)/2),2),0)</f>
        <v>#VALUE!</v>
      </c>
      <c r="X24" s="26">
        <f t="shared" ref="X24:X25" si="15">IF($C$21=2,ROUND(((S24*U24)),2),0)</f>
        <v>0</v>
      </c>
      <c r="Y24" s="55" t="e">
        <f t="shared" ref="Y24:Y25" si="16">V24+W24+X24</f>
        <v>#VALUE!</v>
      </c>
      <c r="Z24" s="55" t="e">
        <f t="shared" si="1"/>
        <v>#VALUE!</v>
      </c>
      <c r="AA24" s="55">
        <v>200</v>
      </c>
      <c r="AB24" s="55" t="e">
        <f>IF($P$21=1,(S24/$S$26)*$E$37,AA24/$AA$26*$E$37)</f>
        <v>#VALUE!</v>
      </c>
      <c r="AC24" s="55"/>
      <c r="AD24" s="55" t="e">
        <f>IF($P$21=1,(S24/$S$26)*$E$39,AA24/$AA$26*$E$39)</f>
        <v>#VALUE!</v>
      </c>
      <c r="AE24" s="55" t="e">
        <f>IF($P$21=1,(S24/$S$26)*$E$39,AA24/$AA$26*$E$39)</f>
        <v>#VALUE!</v>
      </c>
      <c r="AF24" s="55" t="e">
        <f t="shared" si="2"/>
        <v>#VALUE!</v>
      </c>
      <c r="AG24" s="55" t="e">
        <f t="shared" si="3"/>
        <v>#VALUE!</v>
      </c>
      <c r="AH24" s="55">
        <f t="shared" si="4"/>
        <v>0</v>
      </c>
      <c r="AI24" s="82">
        <v>1</v>
      </c>
      <c r="AJ24" s="55">
        <f t="shared" si="5"/>
        <v>35</v>
      </c>
      <c r="AK24" s="55" t="e">
        <f t="shared" ref="AK24:AK25" si="17">AF24/AJ24</f>
        <v>#VALUE!</v>
      </c>
      <c r="AL24" s="55" t="e">
        <f t="shared" ref="AL24:AL25" si="18">AG24/AJ24</f>
        <v>#VALUE!</v>
      </c>
      <c r="AM24" s="55">
        <f t="shared" ref="AM24:AM25" si="19">AH24/AJ24</f>
        <v>0</v>
      </c>
      <c r="AN24" s="55" t="s">
        <v>58</v>
      </c>
      <c r="AO24" s="55" t="e">
        <f t="shared" ref="AO24:AO25" si="20">AK24+AL24+AM24</f>
        <v>#VALUE!</v>
      </c>
      <c r="AP24" s="7" t="s">
        <v>31</v>
      </c>
      <c r="AQ24" s="7" t="s">
        <v>58</v>
      </c>
      <c r="AR24" t="s" s="0">
        <v>150</v>
      </c>
      <c r="AS24" t="s" s="0">
        <v>151</v>
      </c>
      <c r="AT24" s="9">
        <f>AJ24</f>
        <v>35</v>
      </c>
      <c r="AU24" s="9" t="e">
        <f>AO24</f>
        <v>#VALUE!</v>
      </c>
      <c r="AV24" s="9">
        <f t="shared" ref="AV24:AV25" si="21">AR24+AT24</f>
        <v>8717</v>
      </c>
      <c r="AW24" s="7" t="e">
        <f t="shared" ref="AW24:AW25" si="22">((AR24*AS24)+(AT24*AU24))/(AR24+AT24)</f>
        <v>#VALUE!</v>
      </c>
      <c r="AX24" s="71"/>
      <c r="AY24" s="71"/>
      <c r="AZ24" s="84" t="s">
        <v>38</v>
      </c>
      <c r="BA24" s="71" t="s">
        <v>152</v>
      </c>
      <c r="BB24" s="71"/>
      <c r="BC24" s="88"/>
      <c r="BD24" s="71"/>
      <c r="BE24" s="7"/>
      <c r="BF24" s="7"/>
      <c r="BG24" s="7"/>
      <c r="BH24" s="90"/>
    </row>
    <row r="25" spans="1:60">
      <c r="A25" s="25">
        <v>3</v>
      </c>
      <c r="B25" s="84" t="s">
        <v>44</v>
      </c>
      <c r="C25" s="25" t="s">
        <v>62</v>
      </c>
      <c r="D25" s="25" t="s">
        <v>58</v>
      </c>
      <c r="E25" s="25" t="s">
        <v>58</v>
      </c>
      <c r="F25" s="82">
        <v>45</v>
      </c>
      <c r="G25" t="s" s="0">
        <v>145</v>
      </c>
      <c r="H25" s="55" t="e">
        <f t="shared" si="6"/>
        <v>#VALUE!</v>
      </c>
      <c r="I25" s="26">
        <v>1.25</v>
      </c>
      <c r="J25" s="26">
        <v>0.25</v>
      </c>
      <c r="K25" s="26">
        <v>2.5</v>
      </c>
      <c r="L25" s="55" t="e">
        <f>H25</f>
        <v>#VALUE!</v>
      </c>
      <c r="M25" s="55" t="e">
        <f>ROUND(L25*I25%,2)</f>
        <v>#VALUE!</v>
      </c>
      <c r="N25" s="55" t="e">
        <f t="shared" si="7"/>
        <v>#VALUE!</v>
      </c>
      <c r="O25" s="55" t="e">
        <f t="shared" si="8"/>
        <v>#VALUE!</v>
      </c>
      <c r="P25" s="55" t="e">
        <f t="shared" si="9"/>
        <v>#VALUE!</v>
      </c>
      <c r="Q25" s="55" t="e">
        <f t="shared" si="10"/>
        <v>#VALUE!</v>
      </c>
      <c r="R25" s="55" t="e">
        <f t="shared" si="11"/>
        <v>#VALUE!</v>
      </c>
      <c r="S25" s="26" t="e">
        <f t="shared" si="12"/>
        <v>#VALUE!</v>
      </c>
      <c r="T25" s="55" t="s">
        <v>146</v>
      </c>
      <c r="U25" s="43">
        <v>0.18</v>
      </c>
      <c r="V25" s="55" t="e">
        <f t="shared" si="13"/>
        <v>#VALUE!</v>
      </c>
      <c r="W25" s="55" t="e">
        <f t="shared" si="14"/>
        <v>#VALUE!</v>
      </c>
      <c r="X25" s="26">
        <f t="shared" si="15"/>
        <v>0</v>
      </c>
      <c r="Y25" s="55" t="e">
        <f t="shared" si="16"/>
        <v>#VALUE!</v>
      </c>
      <c r="Z25" s="55" t="e">
        <f t="shared" si="1"/>
        <v>#VALUE!</v>
      </c>
      <c r="AA25" s="55">
        <v>150</v>
      </c>
      <c r="AB25" s="55" t="e">
        <f>IF($P$21=1,(S25/$S$26)*$E$37,AA25/$AA$26*$E$37)</f>
        <v>#VALUE!</v>
      </c>
      <c r="AC25" s="55"/>
      <c r="AD25" s="55" t="e">
        <f>IF($P$21=1,(S25/$S$26)*$E$39,AA25/$AA$26*$E$39)</f>
        <v>#VALUE!</v>
      </c>
      <c r="AE25" s="55" t="e">
        <f>IF($P$21=1,(S25/$S$26)*$E$39,AA25/$AA$26*$E$39)</f>
        <v>#VALUE!</v>
      </c>
      <c r="AF25" s="55" t="e">
        <f t="shared" si="2"/>
        <v>#VALUE!</v>
      </c>
      <c r="AG25" s="55" t="e">
        <f t="shared" si="3"/>
        <v>#VALUE!</v>
      </c>
      <c r="AH25" s="55">
        <f t="shared" si="4"/>
        <v>0</v>
      </c>
      <c r="AI25" s="82">
        <v>1</v>
      </c>
      <c r="AJ25" s="55">
        <f t="shared" si="5"/>
        <v>45</v>
      </c>
      <c r="AK25" s="55" t="e">
        <f t="shared" si="17"/>
        <v>#VALUE!</v>
      </c>
      <c r="AL25" s="55" t="e">
        <f t="shared" si="18"/>
        <v>#VALUE!</v>
      </c>
      <c r="AM25" s="55">
        <f t="shared" si="19"/>
        <v>0</v>
      </c>
      <c r="AN25" s="55" t="s">
        <v>58</v>
      </c>
      <c r="AO25" s="55" t="e">
        <f t="shared" si="20"/>
        <v>#VALUE!</v>
      </c>
      <c r="AP25" s="7" t="s">
        <v>31</v>
      </c>
      <c r="AQ25" s="7" t="s">
        <v>58</v>
      </c>
      <c r="AR25" t="s" s="0">
        <v>42</v>
      </c>
      <c r="AS25" t="s" s="0">
        <v>43</v>
      </c>
      <c r="AT25" s="9">
        <f>AJ25</f>
        <v>45</v>
      </c>
      <c r="AU25" s="9" t="e">
        <f>AO25</f>
        <v>#VALUE!</v>
      </c>
      <c r="AV25" s="9">
        <f t="shared" si="21"/>
        <v>11447</v>
      </c>
      <c r="AW25" s="7" t="e">
        <f t="shared" si="22"/>
        <v>#VALUE!</v>
      </c>
      <c r="AX25" s="71"/>
      <c r="AY25" s="71"/>
      <c r="AZ25" s="84" t="s">
        <v>45</v>
      </c>
      <c r="BA25" s="71"/>
      <c r="BB25" s="71" t="s">
        <v>39</v>
      </c>
      <c r="BC25" s="88"/>
      <c r="BD25" s="71"/>
      <c r="BE25" s="7"/>
      <c r="BF25" s="7"/>
      <c r="BG25" s="7"/>
      <c r="BH25" s="90"/>
    </row>
    <row r="26" spans="1:60" ht="15" customHeight="1">
      <c r="A26" s="16"/>
      <c r="B26" s="27"/>
      <c r="C26" s="27"/>
      <c r="D26" s="28" t="s">
        <v>87</v>
      </c>
      <c r="E26" s="28"/>
      <c r="F26" s="28"/>
      <c r="G26" s="29"/>
      <c r="H26" s="30" t="e">
        <f>SUM(H23:H25)</f>
        <v>#VALUE!</v>
      </c>
      <c r="I26" s="25"/>
      <c r="J26" s="25"/>
      <c r="K26" s="25"/>
      <c r="L26" s="25"/>
      <c r="M26" s="25"/>
      <c r="N26" s="25"/>
      <c r="O26" s="25"/>
      <c r="P26" s="25"/>
      <c r="Q26" s="25"/>
      <c r="R26" s="30" t="e">
        <f>SUM(R23:R25)</f>
        <v>#VALUE!</v>
      </c>
      <c r="S26" s="39" t="e">
        <f>SUM(S23:S25)</f>
        <v>#VALUE!</v>
      </c>
      <c r="T26" s="30"/>
      <c r="U26" s="30"/>
      <c r="V26" s="40" t="e">
        <f t="shared" ref="V26:AB26" si="23">SUM(V23:V25)</f>
        <v>#VALUE!</v>
      </c>
      <c r="W26" s="40" t="e">
        <f t="shared" si="23"/>
        <v>#VALUE!</v>
      </c>
      <c r="X26" s="40">
        <f t="shared" si="23"/>
        <v>0</v>
      </c>
      <c r="Y26" s="30" t="e">
        <f t="shared" si="23"/>
        <v>#VALUE!</v>
      </c>
      <c r="Z26" s="44" t="e">
        <f t="shared" si="23"/>
        <v>#VALUE!</v>
      </c>
      <c r="AA26" s="45">
        <f t="shared" si="23"/>
        <v>470</v>
      </c>
      <c r="AB26" s="45" t="e">
        <f t="shared" si="23"/>
        <v>#VALUE!</v>
      </c>
      <c r="AC26" s="44"/>
      <c r="AD26" s="45" t="e">
        <f>SUM(AD23:AD25)</f>
        <v>#VALUE!</v>
      </c>
      <c r="AE26" s="45" t="e">
        <f>SUM(AE23:AE25)</f>
        <v>#VALUE!</v>
      </c>
      <c r="AF26" s="45" t="e">
        <f>SUM(AF23:AF25)</f>
        <v>#VALUE!</v>
      </c>
      <c r="AG26" s="45" t="e">
        <f>SUM(AG23:AG25)</f>
        <v>#VALUE!</v>
      </c>
      <c r="AH26" s="45">
        <f>SUM(AH23:AH25)</f>
        <v>0</v>
      </c>
      <c r="AI26" s="44"/>
      <c r="AJ26" s="44"/>
      <c r="AK26" s="44"/>
      <c r="AL26" s="44"/>
      <c r="AM26" s="44"/>
      <c r="AN26" s="44"/>
      <c r="AO26" s="44"/>
      <c r="AP26" s="16"/>
    </row>
    <row r="27" spans="1:60">
      <c r="A27" s="16"/>
      <c r="B27" s="27"/>
      <c r="C27" s="27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</row>
    <row r="28" spans="1:60">
      <c r="A28" s="16"/>
      <c r="B28" s="16"/>
      <c r="C28" s="16"/>
      <c r="D28" s="16"/>
      <c r="E28" s="16" t="s">
        <v>153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</row>
    <row r="29" spans="1:60">
      <c r="A29" s="16"/>
      <c r="D29" s="16"/>
      <c r="E29" s="16"/>
      <c r="F29" s="16"/>
      <c r="G29" s="16">
        <f>E29*F29</f>
        <v>0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</row>
    <row r="30" spans="1:60">
      <c r="A30" s="16"/>
      <c r="B30" s="99"/>
      <c r="C30" s="100"/>
      <c r="D30" s="101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</row>
    <row r="31" spans="1:60">
      <c r="A31" s="16"/>
      <c r="B31" s="99"/>
      <c r="C31" s="100"/>
      <c r="D31" s="101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</row>
    <row r="32" spans="1:60">
      <c r="A32" s="16"/>
      <c r="B32" s="99"/>
      <c r="C32" s="100"/>
      <c r="D32" s="101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</row>
    <row r="33" spans="1:42">
      <c r="A33" s="16"/>
      <c r="B33" s="99"/>
      <c r="C33" s="100"/>
      <c r="D33" s="101"/>
      <c r="E33" s="16"/>
      <c r="F33" s="16"/>
      <c r="G33" s="16"/>
      <c r="H33" s="102"/>
      <c r="I33" s="152"/>
      <c r="J33" s="152"/>
      <c r="K33" s="65"/>
      <c r="L33" s="16"/>
      <c r="M33" s="16"/>
      <c r="N33" s="16"/>
      <c r="O33" s="16"/>
      <c r="P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</row>
    <row r="34" spans="1:42">
      <c r="A34" s="16"/>
      <c r="B34" s="99"/>
      <c r="C34" s="53"/>
      <c r="D34" s="103"/>
      <c r="E34" s="16"/>
      <c r="F34" s="16"/>
      <c r="G34" s="16"/>
      <c r="H34" s="102"/>
      <c r="I34" s="152"/>
      <c r="J34" s="152"/>
      <c r="K34" s="16"/>
      <c r="L34" s="16"/>
      <c r="M34" s="16"/>
      <c r="N34" s="16"/>
      <c r="O34" s="16"/>
      <c r="P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</row>
    <row r="35" spans="1:42">
      <c r="A35" s="16"/>
      <c r="B35" s="16"/>
      <c r="C35" s="16"/>
      <c r="D35" s="16"/>
      <c r="E35" s="16"/>
      <c r="F35" s="16"/>
      <c r="G35" s="16"/>
      <c r="H35" s="102"/>
      <c r="I35" s="152"/>
      <c r="J35" s="152"/>
      <c r="K35" s="16"/>
      <c r="L35" s="16"/>
      <c r="M35" s="16"/>
      <c r="N35" s="16"/>
      <c r="O35" s="16"/>
      <c r="P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</row>
    <row r="36" spans="1:42">
      <c r="A36" s="16"/>
      <c r="B36" s="16"/>
      <c r="C36" s="16"/>
      <c r="D36" s="16"/>
      <c r="E36" s="16"/>
      <c r="F36" s="16"/>
      <c r="G36" s="153"/>
      <c r="H36" s="153"/>
      <c r="I36" s="152"/>
      <c r="J36" s="152"/>
      <c r="K36" s="16"/>
      <c r="L36" s="16"/>
      <c r="M36" s="16"/>
      <c r="N36" s="16"/>
      <c r="O36" s="16"/>
      <c r="P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</row>
    <row r="37" spans="1:42">
      <c r="A37" s="16"/>
      <c r="B37" s="16"/>
      <c r="C37" s="16"/>
      <c r="D37" s="16"/>
      <c r="E37" s="16"/>
      <c r="F37" s="16"/>
      <c r="G37" s="153"/>
      <c r="H37" s="153"/>
      <c r="I37" s="152"/>
      <c r="J37" s="152"/>
      <c r="K37" s="16"/>
      <c r="L37" s="16"/>
      <c r="M37" s="16"/>
      <c r="N37" s="16"/>
      <c r="O37" s="16"/>
      <c r="P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</row>
    <row r="38" spans="1:42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</row>
    <row r="39" spans="1:42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</row>
    <row r="40" spans="1:42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</row>
    <row r="41" spans="1:42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</row>
    <row r="42" spans="1: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</row>
    <row r="43" spans="1:42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</row>
    <row r="44" spans="1:4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</row>
    <row r="45" spans="1:42">
      <c r="A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</row>
    <row r="46" spans="1:42">
      <c r="A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</row>
    <row r="47" spans="1:42">
      <c r="A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</row>
    <row r="48" spans="1:42">
      <c r="A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</row>
    <row r="49" spans="1:42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</row>
  </sheetData>
  <mergeCells count="10">
    <mergeCell ref="I35:J35"/>
    <mergeCell ref="G36:H36"/>
    <mergeCell ref="I36:J36"/>
    <mergeCell ref="G37:H37"/>
    <mergeCell ref="I37:J37"/>
    <mergeCell ref="A1:Z1"/>
    <mergeCell ref="B19:G19"/>
    <mergeCell ref="A21:B21"/>
    <mergeCell ref="I33:J33"/>
    <mergeCell ref="I34:J3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21:AP44"/>
  <sheetViews>
    <sheetView topLeftCell="A25" workbookViewId="0">
      <selection activeCell="AB22" sqref="AB22"/>
    </sheetView>
  </sheetViews>
  <sheetFormatPr defaultColWidth="9" defaultRowHeight="15"/>
  <cols>
    <col min="8" max="8" customWidth="true" width="11.85546875"/>
    <col min="12" max="12" customWidth="true" width="13.85546875"/>
    <col min="14" max="14" customWidth="true" width="13.7109375"/>
    <col min="19" max="19" customWidth="true" width="11.5703125"/>
    <col min="25" max="25" customWidth="true" width="9.7109375"/>
    <col min="28" max="29" customWidth="true" width="9.140625"/>
    <col min="30" max="30" customWidth="true" width="9.42578125"/>
    <col min="31" max="31" customWidth="true" width="9.140625"/>
    <col min="35" max="35" customWidth="true" width="14.28515625"/>
    <col min="36" max="36" customWidth="true" width="17.28515625"/>
    <col min="37" max="37" customWidth="true" width="13.7109375"/>
    <col min="38" max="38" customWidth="true" width="12.42578125"/>
    <col min="39" max="39" customWidth="true" width="12.5703125"/>
    <col min="40" max="40" customWidth="true" width="21.7109375"/>
    <col min="41" max="41" customWidth="true" width="30.5703125"/>
  </cols>
  <sheetData>
    <row r="21" spans="1:42" ht="18">
      <c r="A21" s="154" t="s">
        <v>154</v>
      </c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6"/>
    </row>
    <row r="22" spans="1:42" ht="57">
      <c r="A22" s="61" t="s">
        <v>155</v>
      </c>
      <c r="B22" s="61" t="s">
        <v>49</v>
      </c>
      <c r="C22" s="61" t="s">
        <v>156</v>
      </c>
      <c r="D22" s="61" t="s">
        <v>51</v>
      </c>
      <c r="E22" s="61" t="s">
        <v>52</v>
      </c>
      <c r="F22" s="61" t="s">
        <v>53</v>
      </c>
      <c r="G22" s="61" t="s">
        <v>54</v>
      </c>
      <c r="H22" s="61" t="s">
        <v>55</v>
      </c>
      <c r="I22" s="63" t="s">
        <v>97</v>
      </c>
      <c r="J22" s="63" t="s">
        <v>99</v>
      </c>
      <c r="K22" s="63" t="s">
        <v>98</v>
      </c>
      <c r="L22" s="64" t="s">
        <v>100</v>
      </c>
      <c r="M22" s="64" t="s">
        <v>101</v>
      </c>
      <c r="N22" s="64" t="s">
        <v>104</v>
      </c>
      <c r="O22" s="64" t="s">
        <v>105</v>
      </c>
      <c r="P22" s="64" t="s">
        <v>157</v>
      </c>
      <c r="Q22" s="64" t="s">
        <v>103</v>
      </c>
      <c r="R22" s="63" t="s">
        <v>106</v>
      </c>
      <c r="S22" s="61" t="s">
        <v>158</v>
      </c>
      <c r="T22" s="67" t="s">
        <v>159</v>
      </c>
      <c r="U22" s="67" t="s">
        <v>113</v>
      </c>
      <c r="V22" s="69" t="s">
        <v>114</v>
      </c>
      <c r="W22" s="70" t="s">
        <v>160</v>
      </c>
      <c r="X22" s="3" t="s">
        <v>130</v>
      </c>
      <c r="Y22" s="3" t="s">
        <v>128</v>
      </c>
      <c r="Z22" s="47" t="s">
        <v>131</v>
      </c>
      <c r="AA22" s="47" t="s">
        <v>132</v>
      </c>
      <c r="AB22" s="87" t="s">
        <v>133</v>
      </c>
      <c r="AC22" s="87" t="s">
        <v>134</v>
      </c>
      <c r="AD22" s="47" t="s">
        <v>135</v>
      </c>
      <c r="AE22" s="47" t="s">
        <v>136</v>
      </c>
      <c r="AF22" s="47" t="s">
        <v>137</v>
      </c>
      <c r="AG22" s="47" t="s">
        <v>138</v>
      </c>
      <c r="AH22" s="49" t="s">
        <v>139</v>
      </c>
      <c r="AI22" s="49" t="s">
        <v>8</v>
      </c>
      <c r="AJ22" s="49" t="s">
        <v>9</v>
      </c>
      <c r="AK22" s="47" t="s">
        <v>140</v>
      </c>
      <c r="AL22" s="47" t="s">
        <v>141</v>
      </c>
      <c r="AM22" s="87" t="s">
        <v>142</v>
      </c>
      <c r="AN22" s="87" t="s">
        <v>143</v>
      </c>
      <c r="AO22" s="87" t="s">
        <v>144</v>
      </c>
      <c r="AP22" s="89"/>
    </row>
    <row r="23" spans="1:42">
      <c r="A23" s="25">
        <v>1</v>
      </c>
      <c r="B23" s="25" t="s">
        <v>161</v>
      </c>
      <c r="C23" s="25" t="s">
        <v>162</v>
      </c>
      <c r="D23" s="25" t="s">
        <v>58</v>
      </c>
      <c r="E23" s="25" t="s">
        <v>163</v>
      </c>
      <c r="F23" s="25">
        <v>40</v>
      </c>
      <c r="G23" s="55">
        <v>257.63</v>
      </c>
      <c r="H23" s="55">
        <f>F23*G23</f>
        <v>10305.200000000001</v>
      </c>
      <c r="I23" s="26">
        <v>1</v>
      </c>
      <c r="J23" s="26">
        <v>2</v>
      </c>
      <c r="K23" s="26">
        <v>2.5</v>
      </c>
      <c r="L23" s="26">
        <f>H23</f>
        <v>10305.200000000001</v>
      </c>
      <c r="M23" s="26">
        <f>ROUND(L23*I23%,2)</f>
        <v>103.05</v>
      </c>
      <c r="N23" s="26">
        <f>H23-M23</f>
        <v>10202.15</v>
      </c>
      <c r="O23" s="26">
        <f>ROUND(N23*J23%,2)</f>
        <v>204.04</v>
      </c>
      <c r="P23" s="26">
        <f>ROUND(N23-O23,2)</f>
        <v>9998.11</v>
      </c>
      <c r="Q23" s="26">
        <f>ROUND(P23*K23%,2)</f>
        <v>249.95</v>
      </c>
      <c r="R23" s="26">
        <f>ROUND((M23+O23+Q23),2)</f>
        <v>557.04</v>
      </c>
      <c r="S23" s="26">
        <f>ROUND((H23-R23),2)</f>
        <v>9748.16</v>
      </c>
      <c r="T23" s="26">
        <v>0.18</v>
      </c>
      <c r="U23" s="26">
        <f>ROUND((S23*18%),2)</f>
        <v>1754.67</v>
      </c>
      <c r="V23" s="26">
        <f>S23+U23</f>
        <v>11502.83</v>
      </c>
      <c r="W23" s="26">
        <f t="shared" ref="W23:W28" si="0">ROUND(G23*$O$41,2)</f>
        <v>515.26</v>
      </c>
      <c r="X23" s="7" t="s">
        <v>31</v>
      </c>
      <c r="Y23" s="7" t="s">
        <v>58</v>
      </c>
      <c r="Z23" s="0">
        <v>1152.5999999999999</v>
      </c>
      <c r="AA23" s="0">
        <v>138.28799000000001</v>
      </c>
      <c r="AB23" s="9">
        <f>R23</f>
        <v>557.04</v>
      </c>
      <c r="AC23" s="9">
        <f>W23</f>
        <v>515.26</v>
      </c>
      <c r="AD23" s="9">
        <f>Z23+AB23</f>
        <v>1709.64</v>
      </c>
      <c r="AE23" s="7">
        <f>ROUND(((Z23*AA23)+(AB23*AC23))/(Z23+AB23),5)</f>
        <v>261.11412999999999</v>
      </c>
      <c r="AF23" s="71"/>
      <c r="AG23" s="71" t="s">
        <v>149</v>
      </c>
      <c r="AH23" s="84" t="s">
        <v>29</v>
      </c>
      <c r="AI23" s="71"/>
      <c r="AJ23" s="71"/>
      <c r="AK23" s="88"/>
      <c r="AL23" s="71"/>
      <c r="AM23" s="7"/>
      <c r="AN23" s="7"/>
      <c r="AO23" s="7"/>
      <c r="AP23" s="90"/>
    </row>
    <row r="24" spans="1:42">
      <c r="A24" s="25">
        <v>2</v>
      </c>
      <c r="B24" s="25" t="s">
        <v>164</v>
      </c>
      <c r="C24" s="25" t="s">
        <v>165</v>
      </c>
      <c r="D24" s="25" t="s">
        <v>58</v>
      </c>
      <c r="E24" s="25" t="s">
        <v>163</v>
      </c>
      <c r="F24" s="25">
        <v>35</v>
      </c>
      <c r="G24" s="55">
        <v>125.45</v>
      </c>
      <c r="H24" s="55">
        <f>F24*G24</f>
        <v>4390.75</v>
      </c>
      <c r="I24" s="26">
        <v>1</v>
      </c>
      <c r="J24" s="26">
        <v>2</v>
      </c>
      <c r="K24" s="26">
        <v>2.5</v>
      </c>
      <c r="L24" s="26">
        <f>H24</f>
        <v>4390.75</v>
      </c>
      <c r="M24" s="26">
        <f t="shared" ref="M24:M37" si="1">ROUND(L24*I24%,2)</f>
        <v>43.91</v>
      </c>
      <c r="N24" s="26">
        <f>H24-M24</f>
        <v>4346.84</v>
      </c>
      <c r="O24" s="26">
        <f t="shared" ref="O24:O37" si="2">ROUND(N24*J24%,2)</f>
        <v>86.94</v>
      </c>
      <c r="P24" s="26">
        <f>ROUND(N24-O24,2)</f>
        <v>4259.8999999999996</v>
      </c>
      <c r="Q24" s="26">
        <f t="shared" ref="Q24:Q37" si="3">ROUND(P24*K24%,2)</f>
        <v>106.5</v>
      </c>
      <c r="R24" s="26">
        <f>ROUND((M24+O24+Q24),2)</f>
        <v>237.35</v>
      </c>
      <c r="S24" s="26">
        <f>ROUND((H24-R24),2)</f>
        <v>4153.3999999999996</v>
      </c>
      <c r="T24" s="26">
        <v>0.18</v>
      </c>
      <c r="U24" s="26">
        <f>ROUND((S24*18%),2)</f>
        <v>747.61</v>
      </c>
      <c r="V24" s="26">
        <f>S24+U24</f>
        <v>4901.01</v>
      </c>
      <c r="W24" s="26">
        <f t="shared" si="0"/>
        <v>250.9</v>
      </c>
      <c r="X24" s="7" t="s">
        <v>31</v>
      </c>
      <c r="Y24" s="7" t="s">
        <v>58</v>
      </c>
      <c r="Z24" t="s" s="0">
        <v>150</v>
      </c>
      <c r="AA24" t="s" s="0">
        <v>151</v>
      </c>
      <c r="AB24" s="9">
        <f>R24</f>
        <v>237.35</v>
      </c>
      <c r="AC24" s="9">
        <f>W24</f>
        <v>250.9</v>
      </c>
      <c r="AD24" s="9">
        <f t="shared" ref="AD24:AD25" si="4">Z24+AB24</f>
        <v>8919.35</v>
      </c>
      <c r="AE24" s="7">
        <f t="shared" ref="AE24:AE25" si="5">((Z24*AA24)+(AB24*AC24))/(Z24+AB24)</f>
        <v>104.76964657962699</v>
      </c>
      <c r="AF24" s="71"/>
      <c r="AG24" s="71"/>
      <c r="AH24" s="84" t="s">
        <v>38</v>
      </c>
      <c r="AI24" s="71" t="s">
        <v>152</v>
      </c>
      <c r="AJ24" s="71"/>
      <c r="AK24" s="88"/>
      <c r="AL24" s="71"/>
      <c r="AM24" s="7"/>
      <c r="AN24" s="7"/>
      <c r="AO24" s="7"/>
      <c r="AP24" s="90"/>
    </row>
    <row r="25" spans="1:42">
      <c r="A25" s="25">
        <v>3</v>
      </c>
      <c r="B25" s="25" t="s">
        <v>166</v>
      </c>
      <c r="C25" s="25" t="s">
        <v>167</v>
      </c>
      <c r="D25" s="25" t="s">
        <v>58</v>
      </c>
      <c r="E25" s="25" t="s">
        <v>163</v>
      </c>
      <c r="F25" s="25">
        <v>45</v>
      </c>
      <c r="G25" s="55">
        <v>125.36</v>
      </c>
      <c r="H25" s="55">
        <f>F25*G25</f>
        <v>5641.2</v>
      </c>
      <c r="I25" s="26">
        <v>1</v>
      </c>
      <c r="J25" s="26">
        <v>2</v>
      </c>
      <c r="K25" s="26">
        <v>2.5</v>
      </c>
      <c r="L25" s="26">
        <f>H25</f>
        <v>5641.2</v>
      </c>
      <c r="M25" s="26">
        <f t="shared" si="1"/>
        <v>56.41</v>
      </c>
      <c r="N25" s="26">
        <f>H25-M25</f>
        <v>5584.79</v>
      </c>
      <c r="O25" s="26">
        <f t="shared" si="2"/>
        <v>111.7</v>
      </c>
      <c r="P25" s="26">
        <f>ROUND(N25-O25,2)</f>
        <v>5473.09</v>
      </c>
      <c r="Q25" s="26">
        <f t="shared" si="3"/>
        <v>136.83000000000001</v>
      </c>
      <c r="R25" s="26">
        <f>ROUND((M25+O25+Q25),2)</f>
        <v>304.94</v>
      </c>
      <c r="S25" s="26">
        <f>ROUND((H25-R25),2)</f>
        <v>5336.26</v>
      </c>
      <c r="T25" s="26">
        <v>0.18</v>
      </c>
      <c r="U25" s="26">
        <f>ROUND((S25*18%),2)</f>
        <v>960.53</v>
      </c>
      <c r="V25" s="26">
        <f>S25+U25</f>
        <v>6296.79</v>
      </c>
      <c r="W25" s="26">
        <f t="shared" si="0"/>
        <v>250.72</v>
      </c>
      <c r="X25" s="7" t="s">
        <v>31</v>
      </c>
      <c r="Y25" s="7" t="s">
        <v>58</v>
      </c>
      <c r="Z25" t="s" s="0">
        <v>42</v>
      </c>
      <c r="AA25" t="s" s="0">
        <v>43</v>
      </c>
      <c r="AB25" s="9">
        <f>R25</f>
        <v>304.94</v>
      </c>
      <c r="AC25" s="9">
        <f>W25</f>
        <v>250.72</v>
      </c>
      <c r="AD25" s="9">
        <f t="shared" si="4"/>
        <v>11706.94</v>
      </c>
      <c r="AE25" s="7">
        <f t="shared" si="5"/>
        <v>262.10845232486002</v>
      </c>
      <c r="AF25" s="71"/>
      <c r="AG25" s="71"/>
      <c r="AH25" s="84" t="s">
        <v>45</v>
      </c>
      <c r="AI25" s="71"/>
      <c r="AJ25" s="71" t="s">
        <v>39</v>
      </c>
      <c r="AK25" s="88"/>
      <c r="AL25" s="71"/>
      <c r="AM25" s="7"/>
      <c r="AN25" s="7"/>
      <c r="AO25" s="7"/>
      <c r="AP25" s="90"/>
    </row>
    <row r="26" spans="1:42">
      <c r="A26" s="25">
        <v>4</v>
      </c>
      <c r="B26" s="25" t="s">
        <v>168</v>
      </c>
      <c r="C26" s="25" t="s">
        <v>169</v>
      </c>
      <c r="D26" s="25" t="s">
        <v>58</v>
      </c>
      <c r="E26" s="25" t="s">
        <v>163</v>
      </c>
      <c r="F26" s="25">
        <v>55</v>
      </c>
      <c r="G26" s="55">
        <v>45.25</v>
      </c>
      <c r="H26" s="55">
        <f t="shared" ref="H26:H37" si="6">F26*G26</f>
        <v>2488.75</v>
      </c>
      <c r="I26" s="26">
        <v>1</v>
      </c>
      <c r="J26" s="26">
        <v>2</v>
      </c>
      <c r="K26" s="26">
        <v>2.5</v>
      </c>
      <c r="L26" s="26">
        <f t="shared" ref="L26:L37" si="7">H26</f>
        <v>2488.75</v>
      </c>
      <c r="M26" s="26">
        <f t="shared" si="1"/>
        <v>24.89</v>
      </c>
      <c r="N26" s="26">
        <f t="shared" ref="N26:N37" si="8">H26-M26</f>
        <v>2463.86</v>
      </c>
      <c r="O26" s="26">
        <f t="shared" si="2"/>
        <v>49.28</v>
      </c>
      <c r="P26" s="26">
        <f t="shared" ref="P26:P37" si="9">ROUND(N26-O26,2)</f>
        <v>2414.58</v>
      </c>
      <c r="Q26" s="26">
        <f t="shared" si="3"/>
        <v>60.36</v>
      </c>
      <c r="R26" s="26">
        <f t="shared" ref="R26:R37" si="10">ROUND((M26+O26+Q26),2)</f>
        <v>134.53</v>
      </c>
      <c r="S26" s="26">
        <f t="shared" ref="S26:S37" si="11">ROUND((H26-R26),2)</f>
        <v>2354.2199999999998</v>
      </c>
      <c r="T26" s="26">
        <v>0.18</v>
      </c>
      <c r="U26" s="26">
        <f t="shared" ref="U26:U37" si="12">ROUND((S26*18%),2)</f>
        <v>423.76</v>
      </c>
      <c r="V26" s="26">
        <f t="shared" ref="V26:V37" si="13">S26+U26</f>
        <v>2777.98</v>
      </c>
      <c r="W26" s="26">
        <f t="shared" si="0"/>
        <v>90.5</v>
      </c>
    </row>
    <row r="27" spans="1:42">
      <c r="A27" s="25">
        <v>5</v>
      </c>
      <c r="B27" s="25" t="s">
        <v>170</v>
      </c>
      <c r="C27" s="25" t="s">
        <v>171</v>
      </c>
      <c r="D27" s="25" t="s">
        <v>58</v>
      </c>
      <c r="E27" s="25" t="s">
        <v>163</v>
      </c>
      <c r="F27" s="25">
        <v>60</v>
      </c>
      <c r="G27" s="55">
        <v>45.5</v>
      </c>
      <c r="H27" s="55">
        <f t="shared" si="6"/>
        <v>2730</v>
      </c>
      <c r="I27" s="26">
        <v>1</v>
      </c>
      <c r="J27" s="26">
        <v>2</v>
      </c>
      <c r="K27" s="26">
        <v>2.5</v>
      </c>
      <c r="L27" s="26">
        <f t="shared" si="7"/>
        <v>2730</v>
      </c>
      <c r="M27" s="26">
        <f t="shared" si="1"/>
        <v>27.3</v>
      </c>
      <c r="N27" s="26">
        <f t="shared" si="8"/>
        <v>2702.7</v>
      </c>
      <c r="O27" s="26">
        <f t="shared" si="2"/>
        <v>54.05</v>
      </c>
      <c r="P27" s="26">
        <f t="shared" si="9"/>
        <v>2648.65</v>
      </c>
      <c r="Q27" s="26">
        <f t="shared" si="3"/>
        <v>66.22</v>
      </c>
      <c r="R27" s="26">
        <f t="shared" si="10"/>
        <v>147.57</v>
      </c>
      <c r="S27" s="26">
        <f t="shared" si="11"/>
        <v>2582.4299999999998</v>
      </c>
      <c r="T27" s="26">
        <v>0.18</v>
      </c>
      <c r="U27" s="26">
        <f t="shared" si="12"/>
        <v>464.84</v>
      </c>
      <c r="V27" s="26">
        <f t="shared" si="13"/>
        <v>3047.27</v>
      </c>
      <c r="W27" s="26">
        <f t="shared" si="0"/>
        <v>91</v>
      </c>
    </row>
    <row r="28" spans="1:42">
      <c r="A28" s="25">
        <v>6</v>
      </c>
      <c r="B28" s="25" t="s">
        <v>172</v>
      </c>
      <c r="C28" s="25" t="s">
        <v>173</v>
      </c>
      <c r="D28" s="25" t="s">
        <v>58</v>
      </c>
      <c r="E28" s="25" t="s">
        <v>163</v>
      </c>
      <c r="F28" s="25">
        <v>75</v>
      </c>
      <c r="G28" s="55">
        <v>125.25</v>
      </c>
      <c r="H28" s="55">
        <f t="shared" si="6"/>
        <v>9393.75</v>
      </c>
      <c r="I28" s="26">
        <v>1</v>
      </c>
      <c r="J28" s="26">
        <v>2</v>
      </c>
      <c r="K28" s="26">
        <v>2.5</v>
      </c>
      <c r="L28" s="26">
        <f t="shared" si="7"/>
        <v>9393.75</v>
      </c>
      <c r="M28" s="26">
        <f t="shared" si="1"/>
        <v>93.94</v>
      </c>
      <c r="N28" s="26">
        <f t="shared" si="8"/>
        <v>9299.81</v>
      </c>
      <c r="O28" s="26">
        <f t="shared" si="2"/>
        <v>186</v>
      </c>
      <c r="P28" s="26">
        <f t="shared" si="9"/>
        <v>9113.81</v>
      </c>
      <c r="Q28" s="26">
        <f t="shared" si="3"/>
        <v>227.85</v>
      </c>
      <c r="R28" s="26">
        <f t="shared" si="10"/>
        <v>507.79</v>
      </c>
      <c r="S28" s="26">
        <f t="shared" si="11"/>
        <v>8885.9599999999991</v>
      </c>
      <c r="T28" s="26">
        <v>0.18</v>
      </c>
      <c r="U28" s="26">
        <f t="shared" si="12"/>
        <v>1599.47</v>
      </c>
      <c r="V28" s="26">
        <f t="shared" si="13"/>
        <v>10485.43</v>
      </c>
      <c r="W28" s="26">
        <f t="shared" si="0"/>
        <v>250.5</v>
      </c>
    </row>
    <row r="29" spans="1:42">
      <c r="A29" s="25">
        <v>7</v>
      </c>
      <c r="B29" s="25" t="s">
        <v>174</v>
      </c>
      <c r="C29" s="25" t="s">
        <v>175</v>
      </c>
      <c r="D29" s="25" t="s">
        <v>58</v>
      </c>
      <c r="E29" s="25" t="s">
        <v>176</v>
      </c>
      <c r="F29" s="25">
        <v>28</v>
      </c>
      <c r="G29" s="55">
        <v>150.5</v>
      </c>
      <c r="H29" s="55">
        <f t="shared" si="6"/>
        <v>4214</v>
      </c>
      <c r="I29" s="26">
        <v>1</v>
      </c>
      <c r="J29" s="26">
        <v>2</v>
      </c>
      <c r="K29" s="26">
        <v>2.5</v>
      </c>
      <c r="L29" s="26">
        <f t="shared" si="7"/>
        <v>4214</v>
      </c>
      <c r="M29" s="26">
        <f t="shared" si="1"/>
        <v>42.14</v>
      </c>
      <c r="N29" s="26">
        <f t="shared" si="8"/>
        <v>4171.8599999999997</v>
      </c>
      <c r="O29" s="26">
        <f t="shared" si="2"/>
        <v>83.44</v>
      </c>
      <c r="P29" s="26">
        <f t="shared" si="9"/>
        <v>4088.42</v>
      </c>
      <c r="Q29" s="26">
        <f t="shared" si="3"/>
        <v>102.21</v>
      </c>
      <c r="R29" s="26">
        <f t="shared" si="10"/>
        <v>227.79</v>
      </c>
      <c r="S29" s="26">
        <f t="shared" si="11"/>
        <v>3986.21</v>
      </c>
      <c r="T29" s="26">
        <v>0.18</v>
      </c>
      <c r="U29" s="26">
        <f t="shared" si="12"/>
        <v>717.52</v>
      </c>
      <c r="V29" s="26">
        <f t="shared" si="13"/>
        <v>4703.7299999999996</v>
      </c>
      <c r="W29" s="26">
        <f>ROUND(G29*$O$42,2)</f>
        <v>376.25</v>
      </c>
    </row>
    <row r="30" spans="1:42">
      <c r="A30" s="25">
        <v>8</v>
      </c>
      <c r="B30" s="25" t="s">
        <v>177</v>
      </c>
      <c r="C30" s="25" t="s">
        <v>178</v>
      </c>
      <c r="D30" s="25" t="s">
        <v>58</v>
      </c>
      <c r="E30" s="25" t="s">
        <v>176</v>
      </c>
      <c r="F30" s="25">
        <v>30</v>
      </c>
      <c r="G30" s="55">
        <v>65.319999999999993</v>
      </c>
      <c r="H30" s="55">
        <f t="shared" si="6"/>
        <v>1959.6</v>
      </c>
      <c r="I30" s="26">
        <v>1</v>
      </c>
      <c r="J30" s="26">
        <v>2</v>
      </c>
      <c r="K30" s="26">
        <v>2.5</v>
      </c>
      <c r="L30" s="26">
        <f t="shared" si="7"/>
        <v>1959.6</v>
      </c>
      <c r="M30" s="26">
        <f t="shared" si="1"/>
        <v>19.600000000000001</v>
      </c>
      <c r="N30" s="26">
        <f t="shared" si="8"/>
        <v>1940</v>
      </c>
      <c r="O30" s="26">
        <f t="shared" si="2"/>
        <v>38.799999999999997</v>
      </c>
      <c r="P30" s="26">
        <f t="shared" si="9"/>
        <v>1901.2</v>
      </c>
      <c r="Q30" s="26">
        <f t="shared" si="3"/>
        <v>47.53</v>
      </c>
      <c r="R30" s="26">
        <f t="shared" si="10"/>
        <v>105.93</v>
      </c>
      <c r="S30" s="26">
        <f t="shared" si="11"/>
        <v>1853.67</v>
      </c>
      <c r="T30" s="26">
        <v>0.18</v>
      </c>
      <c r="U30" s="26">
        <f t="shared" si="12"/>
        <v>333.66</v>
      </c>
      <c r="V30" s="26">
        <f t="shared" si="13"/>
        <v>2187.33</v>
      </c>
      <c r="W30" s="26">
        <f>ROUND(G30*$O$42,2)</f>
        <v>163.30000000000001</v>
      </c>
    </row>
    <row r="31" spans="1:42">
      <c r="A31" s="25">
        <v>9</v>
      </c>
      <c r="B31" s="25" t="s">
        <v>179</v>
      </c>
      <c r="C31" s="25" t="s">
        <v>180</v>
      </c>
      <c r="D31" s="25" t="s">
        <v>58</v>
      </c>
      <c r="E31" s="25" t="s">
        <v>176</v>
      </c>
      <c r="F31" s="25">
        <v>25</v>
      </c>
      <c r="G31" s="55">
        <v>74.89</v>
      </c>
      <c r="H31" s="55">
        <f t="shared" si="6"/>
        <v>1872.25</v>
      </c>
      <c r="I31" s="26">
        <v>1</v>
      </c>
      <c r="J31" s="26">
        <v>2</v>
      </c>
      <c r="K31" s="26">
        <v>2.5</v>
      </c>
      <c r="L31" s="26">
        <f t="shared" si="7"/>
        <v>1872.25</v>
      </c>
      <c r="M31" s="26">
        <f t="shared" si="1"/>
        <v>18.72</v>
      </c>
      <c r="N31" s="26">
        <f t="shared" si="8"/>
        <v>1853.53</v>
      </c>
      <c r="O31" s="26">
        <f t="shared" si="2"/>
        <v>37.07</v>
      </c>
      <c r="P31" s="26">
        <f t="shared" si="9"/>
        <v>1816.46</v>
      </c>
      <c r="Q31" s="26">
        <f t="shared" si="3"/>
        <v>45.41</v>
      </c>
      <c r="R31" s="26">
        <f t="shared" si="10"/>
        <v>101.2</v>
      </c>
      <c r="S31" s="26">
        <f t="shared" si="11"/>
        <v>1771.05</v>
      </c>
      <c r="T31" s="26">
        <v>0.18</v>
      </c>
      <c r="U31" s="26">
        <f t="shared" si="12"/>
        <v>318.79000000000002</v>
      </c>
      <c r="V31" s="26">
        <f t="shared" si="13"/>
        <v>2089.84</v>
      </c>
      <c r="W31" s="26">
        <f>ROUND(G31*$O$42,2)</f>
        <v>187.23</v>
      </c>
    </row>
    <row r="32" spans="1:42">
      <c r="A32" s="25">
        <v>10</v>
      </c>
      <c r="B32" s="25" t="s">
        <v>181</v>
      </c>
      <c r="C32" s="25" t="s">
        <v>182</v>
      </c>
      <c r="D32" s="25" t="s">
        <v>58</v>
      </c>
      <c r="E32" s="25" t="s">
        <v>176</v>
      </c>
      <c r="F32" s="25">
        <v>28</v>
      </c>
      <c r="G32" s="55">
        <v>89.56</v>
      </c>
      <c r="H32" s="55">
        <f t="shared" si="6"/>
        <v>2507.6799999999998</v>
      </c>
      <c r="I32" s="26">
        <v>1</v>
      </c>
      <c r="J32" s="26">
        <v>2</v>
      </c>
      <c r="K32" s="26">
        <v>2.5</v>
      </c>
      <c r="L32" s="26">
        <f t="shared" si="7"/>
        <v>2507.6799999999998</v>
      </c>
      <c r="M32" s="26">
        <f t="shared" si="1"/>
        <v>25.08</v>
      </c>
      <c r="N32" s="26">
        <f t="shared" si="8"/>
        <v>2482.6</v>
      </c>
      <c r="O32" s="26">
        <f t="shared" si="2"/>
        <v>49.65</v>
      </c>
      <c r="P32" s="26">
        <f t="shared" si="9"/>
        <v>2432.9499999999998</v>
      </c>
      <c r="Q32" s="26">
        <f t="shared" si="3"/>
        <v>60.82</v>
      </c>
      <c r="R32" s="26">
        <f t="shared" si="10"/>
        <v>135.55000000000001</v>
      </c>
      <c r="S32" s="26">
        <f t="shared" si="11"/>
        <v>2372.13</v>
      </c>
      <c r="T32" s="26">
        <v>0.18</v>
      </c>
      <c r="U32" s="26">
        <f t="shared" si="12"/>
        <v>426.98</v>
      </c>
      <c r="V32" s="26">
        <f t="shared" si="13"/>
        <v>2799.11</v>
      </c>
      <c r="W32" s="26">
        <f>ROUND(G32*$O$42,2)</f>
        <v>223.9</v>
      </c>
    </row>
    <row r="33" spans="1:23">
      <c r="A33" s="25">
        <v>11</v>
      </c>
      <c r="B33" s="25" t="s">
        <v>183</v>
      </c>
      <c r="C33" s="25" t="s">
        <v>184</v>
      </c>
      <c r="D33" s="25" t="s">
        <v>163</v>
      </c>
      <c r="E33" s="25" t="s">
        <v>185</v>
      </c>
      <c r="F33" s="25">
        <v>37</v>
      </c>
      <c r="G33" s="55">
        <v>89.54</v>
      </c>
      <c r="H33" s="55">
        <f t="shared" si="6"/>
        <v>3312.98</v>
      </c>
      <c r="I33" s="26">
        <v>1</v>
      </c>
      <c r="J33" s="26">
        <v>2</v>
      </c>
      <c r="K33" s="26">
        <v>2.5</v>
      </c>
      <c r="L33" s="26">
        <f t="shared" si="7"/>
        <v>3312.98</v>
      </c>
      <c r="M33" s="26">
        <f t="shared" si="1"/>
        <v>33.130000000000003</v>
      </c>
      <c r="N33" s="26">
        <f t="shared" si="8"/>
        <v>3279.85</v>
      </c>
      <c r="O33" s="26">
        <f t="shared" si="2"/>
        <v>65.599999999999994</v>
      </c>
      <c r="P33" s="26">
        <f t="shared" si="9"/>
        <v>3214.25</v>
      </c>
      <c r="Q33" s="26">
        <f t="shared" si="3"/>
        <v>80.36</v>
      </c>
      <c r="R33" s="26">
        <f t="shared" si="10"/>
        <v>179.09</v>
      </c>
      <c r="S33" s="26">
        <f t="shared" si="11"/>
        <v>3133.89</v>
      </c>
      <c r="T33" s="26">
        <v>0.18</v>
      </c>
      <c r="U33" s="26">
        <f t="shared" si="12"/>
        <v>564.1</v>
      </c>
      <c r="V33" s="26">
        <f t="shared" si="13"/>
        <v>3697.99</v>
      </c>
      <c r="W33" s="26">
        <f>ROUND(G33*$O$43,2)</f>
        <v>0.09</v>
      </c>
    </row>
    <row r="34" spans="1:23">
      <c r="A34" s="25">
        <v>12</v>
      </c>
      <c r="B34" s="25" t="s">
        <v>186</v>
      </c>
      <c r="C34" s="25" t="s">
        <v>187</v>
      </c>
      <c r="D34" s="25" t="s">
        <v>163</v>
      </c>
      <c r="E34" s="25" t="s">
        <v>185</v>
      </c>
      <c r="F34" s="25">
        <v>39</v>
      </c>
      <c r="G34" s="55">
        <v>35.200000000000003</v>
      </c>
      <c r="H34" s="55">
        <f t="shared" si="6"/>
        <v>1372.8</v>
      </c>
      <c r="I34" s="26">
        <v>1</v>
      </c>
      <c r="J34" s="26">
        <v>2</v>
      </c>
      <c r="K34" s="26">
        <v>2.5</v>
      </c>
      <c r="L34" s="26">
        <f t="shared" si="7"/>
        <v>1372.8</v>
      </c>
      <c r="M34" s="26">
        <f t="shared" si="1"/>
        <v>13.73</v>
      </c>
      <c r="N34" s="26">
        <f t="shared" si="8"/>
        <v>1359.07</v>
      </c>
      <c r="O34" s="26">
        <f t="shared" si="2"/>
        <v>27.18</v>
      </c>
      <c r="P34" s="26">
        <f t="shared" si="9"/>
        <v>1331.89</v>
      </c>
      <c r="Q34" s="26">
        <f t="shared" si="3"/>
        <v>33.299999999999997</v>
      </c>
      <c r="R34" s="26">
        <f t="shared" si="10"/>
        <v>74.209999999999994</v>
      </c>
      <c r="S34" s="26">
        <f t="shared" si="11"/>
        <v>1298.5899999999999</v>
      </c>
      <c r="T34" s="26">
        <v>0.18</v>
      </c>
      <c r="U34" s="26">
        <f t="shared" si="12"/>
        <v>233.75</v>
      </c>
      <c r="V34" s="26">
        <f t="shared" si="13"/>
        <v>1532.34</v>
      </c>
      <c r="W34" s="26">
        <f>ROUND(G34*$O$43,2)</f>
        <v>0.04</v>
      </c>
    </row>
    <row r="35" spans="1:23">
      <c r="A35" s="25">
        <v>13</v>
      </c>
      <c r="B35" s="25" t="s">
        <v>188</v>
      </c>
      <c r="C35" s="25" t="s">
        <v>189</v>
      </c>
      <c r="D35" s="25" t="s">
        <v>163</v>
      </c>
      <c r="E35" s="25" t="s">
        <v>185</v>
      </c>
      <c r="F35" s="25">
        <v>70</v>
      </c>
      <c r="G35" s="55">
        <v>102.25</v>
      </c>
      <c r="H35" s="55">
        <f t="shared" si="6"/>
        <v>7157.5</v>
      </c>
      <c r="I35" s="26">
        <v>1</v>
      </c>
      <c r="J35" s="26">
        <v>2</v>
      </c>
      <c r="K35" s="26">
        <v>2.5</v>
      </c>
      <c r="L35" s="26">
        <f t="shared" si="7"/>
        <v>7157.5</v>
      </c>
      <c r="M35" s="26">
        <f t="shared" si="1"/>
        <v>71.58</v>
      </c>
      <c r="N35" s="26">
        <f t="shared" si="8"/>
        <v>7085.92</v>
      </c>
      <c r="O35" s="26">
        <f t="shared" si="2"/>
        <v>141.72</v>
      </c>
      <c r="P35" s="26">
        <f t="shared" si="9"/>
        <v>6944.2</v>
      </c>
      <c r="Q35" s="26">
        <f t="shared" si="3"/>
        <v>173.61</v>
      </c>
      <c r="R35" s="26">
        <f t="shared" si="10"/>
        <v>386.91</v>
      </c>
      <c r="S35" s="26">
        <f t="shared" si="11"/>
        <v>6770.59</v>
      </c>
      <c r="T35" s="26">
        <v>0.18</v>
      </c>
      <c r="U35" s="26">
        <f t="shared" si="12"/>
        <v>1218.71</v>
      </c>
      <c r="V35" s="26">
        <f t="shared" si="13"/>
        <v>7989.3</v>
      </c>
      <c r="W35" s="26">
        <f>ROUND(G35*$O$43,2)</f>
        <v>0.1</v>
      </c>
    </row>
    <row r="36" spans="1:23">
      <c r="A36" s="25">
        <v>14</v>
      </c>
      <c r="B36" s="25" t="s">
        <v>190</v>
      </c>
      <c r="C36" s="25" t="s">
        <v>191</v>
      </c>
      <c r="D36" s="25" t="s">
        <v>163</v>
      </c>
      <c r="E36" s="25" t="s">
        <v>185</v>
      </c>
      <c r="F36" s="25">
        <v>100</v>
      </c>
      <c r="G36" s="55">
        <v>125.23</v>
      </c>
      <c r="H36" s="55">
        <f t="shared" si="6"/>
        <v>12523</v>
      </c>
      <c r="I36" s="26">
        <v>1</v>
      </c>
      <c r="J36" s="26">
        <v>2</v>
      </c>
      <c r="K36" s="26">
        <v>2.5</v>
      </c>
      <c r="L36" s="26">
        <f t="shared" si="7"/>
        <v>12523</v>
      </c>
      <c r="M36" s="26">
        <f t="shared" si="1"/>
        <v>125.23</v>
      </c>
      <c r="N36" s="26">
        <f t="shared" si="8"/>
        <v>12397.77</v>
      </c>
      <c r="O36" s="26">
        <f t="shared" si="2"/>
        <v>247.96</v>
      </c>
      <c r="P36" s="26">
        <f t="shared" si="9"/>
        <v>12149.81</v>
      </c>
      <c r="Q36" s="26">
        <f t="shared" si="3"/>
        <v>303.75</v>
      </c>
      <c r="R36" s="26">
        <f t="shared" si="10"/>
        <v>676.94</v>
      </c>
      <c r="S36" s="26">
        <f t="shared" si="11"/>
        <v>11846.06</v>
      </c>
      <c r="T36" s="26">
        <v>0.18</v>
      </c>
      <c r="U36" s="26">
        <f t="shared" si="12"/>
        <v>2132.29</v>
      </c>
      <c r="V36" s="26">
        <f t="shared" si="13"/>
        <v>13978.35</v>
      </c>
      <c r="W36" s="26">
        <f>ROUND(G36*$O$43,2)</f>
        <v>0.13</v>
      </c>
    </row>
    <row r="37" spans="1:23">
      <c r="A37" s="25">
        <v>15</v>
      </c>
      <c r="B37" s="25" t="s">
        <v>192</v>
      </c>
      <c r="C37" s="25" t="s">
        <v>193</v>
      </c>
      <c r="D37" s="25" t="s">
        <v>163</v>
      </c>
      <c r="E37" s="25" t="s">
        <v>185</v>
      </c>
      <c r="F37" s="25">
        <v>85</v>
      </c>
      <c r="G37" s="55">
        <v>65.48</v>
      </c>
      <c r="H37" s="55">
        <f t="shared" si="6"/>
        <v>5565.8</v>
      </c>
      <c r="I37" s="26">
        <v>1</v>
      </c>
      <c r="J37" s="26">
        <v>2</v>
      </c>
      <c r="K37" s="26">
        <v>2.5</v>
      </c>
      <c r="L37" s="26">
        <f t="shared" si="7"/>
        <v>5565.8</v>
      </c>
      <c r="M37" s="26">
        <f t="shared" si="1"/>
        <v>55.66</v>
      </c>
      <c r="N37" s="26">
        <f t="shared" si="8"/>
        <v>5510.14</v>
      </c>
      <c r="O37" s="26">
        <f t="shared" si="2"/>
        <v>110.2</v>
      </c>
      <c r="P37" s="26">
        <f t="shared" si="9"/>
        <v>5399.94</v>
      </c>
      <c r="Q37" s="26">
        <f t="shared" si="3"/>
        <v>135</v>
      </c>
      <c r="R37" s="26">
        <f t="shared" si="10"/>
        <v>300.86</v>
      </c>
      <c r="S37" s="26">
        <f t="shared" si="11"/>
        <v>5264.94</v>
      </c>
      <c r="T37" s="26">
        <v>0.18</v>
      </c>
      <c r="U37" s="26">
        <f t="shared" si="12"/>
        <v>947.69</v>
      </c>
      <c r="V37" s="26">
        <f t="shared" si="13"/>
        <v>6212.63</v>
      </c>
      <c r="W37" s="26">
        <f>ROUND(G37*$O$43,2)</f>
        <v>7.0000000000000007E-2</v>
      </c>
    </row>
    <row r="38" spans="1:23">
      <c r="A38" s="16"/>
      <c r="B38" s="155" t="s">
        <v>87</v>
      </c>
      <c r="C38" s="155"/>
      <c r="D38" s="155"/>
      <c r="E38" s="155"/>
      <c r="F38" s="155"/>
      <c r="G38" s="155"/>
      <c r="H38" s="30">
        <f>SUM(H23:H37)</f>
        <v>75435.259999999995</v>
      </c>
      <c r="I38" s="25"/>
      <c r="J38" s="25"/>
      <c r="K38" s="25"/>
      <c r="L38" s="26"/>
      <c r="M38" s="26"/>
      <c r="N38" s="26"/>
      <c r="O38" s="26"/>
      <c r="P38" s="26"/>
      <c r="Q38" s="26"/>
      <c r="R38" s="39">
        <f>SUM(R23:R37)</f>
        <v>4077.7</v>
      </c>
      <c r="S38" s="39">
        <f>SUM(S23:S37)</f>
        <v>71357.56</v>
      </c>
      <c r="T38" s="39"/>
      <c r="U38" s="39">
        <f>SUM(U23:U37)</f>
        <v>12844.37</v>
      </c>
      <c r="V38" s="98">
        <f t="shared" ref="V38" si="14">SUM(V23:V37)</f>
        <v>84201.93</v>
      </c>
      <c r="W38" s="98"/>
    </row>
    <row r="39" spans="1:2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spans="1:23">
      <c r="A40" s="16"/>
      <c r="B40" s="16"/>
      <c r="C40" s="16"/>
      <c r="D40" s="16"/>
      <c r="E40" s="16"/>
      <c r="F40" s="16"/>
      <c r="G40" s="156" t="s">
        <v>194</v>
      </c>
      <c r="H40" s="157"/>
      <c r="I40" s="158">
        <f>H38</f>
        <v>75435.259999999995</v>
      </c>
      <c r="J40" s="158"/>
      <c r="K40" s="65"/>
      <c r="L40" s="16"/>
      <c r="M40" s="159" t="s">
        <v>195</v>
      </c>
      <c r="N40" s="160"/>
      <c r="O40" s="160"/>
      <c r="P40" s="161"/>
      <c r="Q40" s="16"/>
      <c r="R40" s="16"/>
      <c r="S40" s="16"/>
      <c r="T40" s="16"/>
      <c r="U40" s="16"/>
      <c r="V40" s="16"/>
      <c r="W40" s="16"/>
    </row>
    <row r="41" spans="1:23">
      <c r="A41" s="16"/>
      <c r="B41" s="16"/>
      <c r="C41" s="16"/>
      <c r="D41" s="16"/>
      <c r="E41" s="16"/>
      <c r="F41" s="16"/>
      <c r="G41" s="156" t="s">
        <v>196</v>
      </c>
      <c r="H41" s="157"/>
      <c r="I41" s="158">
        <f>R38</f>
        <v>4077.7</v>
      </c>
      <c r="J41" s="158"/>
      <c r="K41" s="16"/>
      <c r="L41" s="16"/>
      <c r="M41" s="66">
        <v>1</v>
      </c>
      <c r="N41" s="66" t="s">
        <v>58</v>
      </c>
      <c r="O41" s="66">
        <v>2</v>
      </c>
      <c r="P41" s="66" t="s">
        <v>163</v>
      </c>
      <c r="Q41" s="16"/>
      <c r="R41" s="16"/>
      <c r="S41" s="16"/>
      <c r="T41" s="16"/>
      <c r="U41" s="16"/>
      <c r="V41" s="16"/>
      <c r="W41" s="16"/>
    </row>
    <row r="42" spans="1:23">
      <c r="A42" s="16"/>
      <c r="B42" s="16"/>
      <c r="C42" s="16"/>
      <c r="D42" s="16"/>
      <c r="E42" s="16"/>
      <c r="F42" s="16"/>
      <c r="G42" s="156" t="s">
        <v>197</v>
      </c>
      <c r="H42" s="157"/>
      <c r="I42" s="158">
        <f>S38</f>
        <v>71357.56</v>
      </c>
      <c r="J42" s="158"/>
      <c r="K42" s="16"/>
      <c r="L42" s="16"/>
      <c r="M42" s="25">
        <v>1</v>
      </c>
      <c r="N42" s="25" t="s">
        <v>58</v>
      </c>
      <c r="O42" s="25">
        <v>2.5</v>
      </c>
      <c r="P42" s="25" t="s">
        <v>176</v>
      </c>
      <c r="Q42" s="16"/>
      <c r="R42" s="16"/>
      <c r="S42" s="16"/>
      <c r="T42" s="16"/>
      <c r="U42" s="16"/>
      <c r="V42" s="16"/>
      <c r="W42" s="16"/>
    </row>
    <row r="43" spans="1:23">
      <c r="A43" s="16"/>
      <c r="B43" s="16"/>
      <c r="C43" s="16"/>
      <c r="D43" s="16"/>
      <c r="E43" s="16"/>
      <c r="F43" s="16"/>
      <c r="G43" s="156" t="s">
        <v>198</v>
      </c>
      <c r="H43" s="157"/>
      <c r="I43" s="158">
        <f>U38</f>
        <v>12844.37</v>
      </c>
      <c r="J43" s="158"/>
      <c r="K43" s="16"/>
      <c r="L43" s="16"/>
      <c r="M43" s="25">
        <v>1</v>
      </c>
      <c r="N43" s="25" t="s">
        <v>163</v>
      </c>
      <c r="O43" s="25">
        <v>1E-3</v>
      </c>
      <c r="P43" s="25" t="s">
        <v>185</v>
      </c>
      <c r="Q43" s="16"/>
      <c r="R43" s="16"/>
      <c r="S43" s="16"/>
      <c r="T43" s="16"/>
      <c r="U43" s="16"/>
      <c r="V43" s="16"/>
      <c r="W43" s="16"/>
    </row>
    <row r="44" spans="1:23">
      <c r="A44" s="16"/>
      <c r="B44" s="16"/>
      <c r="C44" s="16"/>
      <c r="D44" s="16"/>
      <c r="E44" s="16"/>
      <c r="F44" s="16"/>
      <c r="G44" s="156" t="s">
        <v>199</v>
      </c>
      <c r="H44" s="157"/>
      <c r="I44" s="162">
        <f>I42+I43</f>
        <v>84201.93</v>
      </c>
      <c r="J44" s="162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</sheetData>
  <mergeCells count="13">
    <mergeCell ref="G44:H44"/>
    <mergeCell ref="I44:J44"/>
    <mergeCell ref="G41:H41"/>
    <mergeCell ref="I41:J41"/>
    <mergeCell ref="G42:H42"/>
    <mergeCell ref="I42:J42"/>
    <mergeCell ref="G43:H43"/>
    <mergeCell ref="I43:J43"/>
    <mergeCell ref="A21:V21"/>
    <mergeCell ref="B38:G38"/>
    <mergeCell ref="G40:H40"/>
    <mergeCell ref="I40:J40"/>
    <mergeCell ref="M40:P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4:W28"/>
  <sheetViews>
    <sheetView topLeftCell="A7" workbookViewId="0">
      <selection activeCell="A4" sqref="A4:P4"/>
    </sheetView>
  </sheetViews>
  <sheetFormatPr defaultColWidth="9" defaultRowHeight="15"/>
  <cols>
    <col min="2" max="2" customWidth="true" width="8.5703125"/>
    <col min="13" max="13" customWidth="true" width="13.7109375"/>
    <col min="14" max="14" customWidth="true" width="9.0"/>
    <col min="15" max="15" customWidth="true" width="13.5703125"/>
    <col min="17" max="17" customWidth="true" width="14.42578125"/>
    <col min="18" max="18" customWidth="true" width="19.5703125"/>
    <col min="19" max="19" customWidth="true" width="7.140625"/>
    <col min="20" max="21" customWidth="true" width="11.5703125"/>
    <col min="22" max="22" customWidth="true" width="16.0"/>
    <col min="23" max="23" customWidth="true" width="12.42578125"/>
  </cols>
  <sheetData>
    <row r="4" spans="1:23" ht="18">
      <c r="A4" s="154" t="s">
        <v>200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92" t="s">
        <v>201</v>
      </c>
      <c r="R4" s="92" t="s">
        <v>202</v>
      </c>
      <c r="S4" s="93"/>
      <c r="T4" s="92">
        <v>82.92</v>
      </c>
      <c r="U4" s="94"/>
      <c r="V4" s="95"/>
      <c r="W4" s="16"/>
    </row>
    <row r="5" spans="1:23" ht="42.75">
      <c r="A5" s="61" t="s">
        <v>155</v>
      </c>
      <c r="B5" s="61" t="s">
        <v>49</v>
      </c>
      <c r="C5" s="61" t="s">
        <v>51</v>
      </c>
      <c r="D5" s="61" t="s">
        <v>52</v>
      </c>
      <c r="E5" s="61" t="s">
        <v>53</v>
      </c>
      <c r="F5" s="61" t="s">
        <v>54</v>
      </c>
      <c r="G5" s="61" t="s">
        <v>55</v>
      </c>
      <c r="H5" s="63" t="s">
        <v>97</v>
      </c>
      <c r="I5" s="63" t="s">
        <v>99</v>
      </c>
      <c r="J5" s="63" t="s">
        <v>98</v>
      </c>
      <c r="K5" s="64" t="s">
        <v>100</v>
      </c>
      <c r="L5" s="64" t="s">
        <v>101</v>
      </c>
      <c r="M5" s="64" t="s">
        <v>104</v>
      </c>
      <c r="N5" s="64" t="s">
        <v>105</v>
      </c>
      <c r="O5" s="64" t="s">
        <v>102</v>
      </c>
      <c r="P5" s="64" t="s">
        <v>103</v>
      </c>
      <c r="Q5" s="63" t="s">
        <v>203</v>
      </c>
      <c r="R5" s="61" t="s">
        <v>204</v>
      </c>
      <c r="S5" s="67" t="s">
        <v>159</v>
      </c>
      <c r="T5" s="67" t="s">
        <v>113</v>
      </c>
      <c r="U5" s="69" t="s">
        <v>114</v>
      </c>
      <c r="V5" s="69" t="s">
        <v>205</v>
      </c>
      <c r="W5" s="70" t="s">
        <v>129</v>
      </c>
    </row>
    <row r="6" spans="1:23">
      <c r="A6" s="25">
        <v>1</v>
      </c>
      <c r="B6" s="25" t="s">
        <v>56</v>
      </c>
      <c r="C6" s="25" t="s">
        <v>58</v>
      </c>
      <c r="D6" s="25" t="s">
        <v>58</v>
      </c>
      <c r="E6" s="25">
        <v>25</v>
      </c>
      <c r="F6" s="25">
        <v>257.63</v>
      </c>
      <c r="G6" s="25">
        <f>E6*F6</f>
        <v>6440.75</v>
      </c>
      <c r="H6" s="91">
        <v>0.01</v>
      </c>
      <c r="I6" s="91">
        <v>0.02</v>
      </c>
      <c r="J6" s="97">
        <v>2.5000000000000001E-2</v>
      </c>
      <c r="K6" s="25">
        <f>G6</f>
        <v>6440.75</v>
      </c>
      <c r="L6" s="25">
        <f>ROUND(K6*H6,2)</f>
        <v>64.41</v>
      </c>
      <c r="M6" s="25">
        <f>G6-L6</f>
        <v>6376.34</v>
      </c>
      <c r="N6" s="25">
        <f>ROUND(M6*I6,2)</f>
        <v>127.53</v>
      </c>
      <c r="O6" s="25">
        <f>ROUND(M6-N6,2)</f>
        <v>6248.81</v>
      </c>
      <c r="P6" s="25">
        <f>ROUND(O6*J6,2)</f>
        <v>156.22</v>
      </c>
      <c r="Q6" s="25">
        <f>ROUND((L6+N6+P6),2)</f>
        <v>348.16</v>
      </c>
      <c r="R6" s="25">
        <f>ROUND((G6-Q6),2)</f>
        <v>6092.59</v>
      </c>
      <c r="S6" s="91">
        <v>0.18</v>
      </c>
      <c r="T6" s="25">
        <f>ROUND((R6*18%),2)</f>
        <v>1096.67</v>
      </c>
      <c r="U6" s="25">
        <f>R6+T6</f>
        <v>7189.26</v>
      </c>
      <c r="V6" s="25">
        <f>U6*$T$4</f>
        <v>596133.43920000002</v>
      </c>
      <c r="W6" s="25">
        <f>F6*$T$4</f>
        <v>21362.679599999999</v>
      </c>
    </row>
    <row r="7" spans="1:23">
      <c r="A7" s="25">
        <v>2</v>
      </c>
      <c r="B7" s="25" t="s">
        <v>59</v>
      </c>
      <c r="C7" s="25" t="s">
        <v>58</v>
      </c>
      <c r="D7" s="25" t="s">
        <v>58</v>
      </c>
      <c r="E7" s="25">
        <v>35</v>
      </c>
      <c r="F7" s="25">
        <v>125.45</v>
      </c>
      <c r="G7" s="25">
        <f>E7*F7</f>
        <v>4390.75</v>
      </c>
      <c r="H7" s="91">
        <v>0.01</v>
      </c>
      <c r="I7" s="91">
        <v>0.02</v>
      </c>
      <c r="J7" s="97">
        <v>2.5000000000000001E-2</v>
      </c>
      <c r="K7" s="25">
        <f>G7</f>
        <v>4390.75</v>
      </c>
      <c r="L7" s="25">
        <f>ROUND(K7*H7,2)</f>
        <v>43.91</v>
      </c>
      <c r="M7" s="25">
        <f>G7-L7</f>
        <v>4346.84</v>
      </c>
      <c r="N7" s="25">
        <f>ROUND(M7*I7,2)</f>
        <v>86.94</v>
      </c>
      <c r="O7" s="25">
        <f>ROUND(M7-N7,2)</f>
        <v>4259.8999999999996</v>
      </c>
      <c r="P7" s="25">
        <f>ROUND(O7*J7,2)</f>
        <v>106.5</v>
      </c>
      <c r="Q7" s="25">
        <f>ROUND((L7+N7+P7),2)</f>
        <v>237.35</v>
      </c>
      <c r="R7" s="25">
        <f>ROUND((G7-Q7),2)</f>
        <v>4153.3999999999996</v>
      </c>
      <c r="S7" s="91">
        <v>0.18</v>
      </c>
      <c r="T7" s="25">
        <f>ROUND((R7*18%),2)</f>
        <v>747.61</v>
      </c>
      <c r="U7" s="25">
        <f>R7+T7</f>
        <v>4901.01</v>
      </c>
      <c r="V7" s="25">
        <f t="shared" ref="V7:V20" si="0">U7*$T$4</f>
        <v>406391.74920000002</v>
      </c>
      <c r="W7" s="25">
        <f t="shared" ref="W7:W20" si="1">F7*$T$4</f>
        <v>10402.314</v>
      </c>
    </row>
    <row r="8" spans="1:23">
      <c r="A8" s="25">
        <v>3</v>
      </c>
      <c r="B8" s="25" t="s">
        <v>61</v>
      </c>
      <c r="C8" s="25" t="s">
        <v>58</v>
      </c>
      <c r="D8" s="25" t="s">
        <v>58</v>
      </c>
      <c r="E8" s="25">
        <v>45</v>
      </c>
      <c r="F8" s="25">
        <v>125.36</v>
      </c>
      <c r="G8" s="25">
        <f>E8*F8</f>
        <v>5641.2</v>
      </c>
      <c r="H8" s="91">
        <v>0.01</v>
      </c>
      <c r="I8" s="91">
        <v>0.02</v>
      </c>
      <c r="J8" s="97">
        <v>2.5000000000000001E-2</v>
      </c>
      <c r="K8" s="25">
        <f>G8</f>
        <v>5641.2</v>
      </c>
      <c r="L8" s="25">
        <f>ROUND(K8*H8,2)</f>
        <v>56.41</v>
      </c>
      <c r="M8" s="25">
        <f>G8-L8</f>
        <v>5584.79</v>
      </c>
      <c r="N8" s="25">
        <f>ROUND(M8*I8,2)</f>
        <v>111.7</v>
      </c>
      <c r="O8" s="25">
        <f>ROUND(M8-N8,2)</f>
        <v>5473.09</v>
      </c>
      <c r="P8" s="25">
        <f>ROUND(O8*J8,2)</f>
        <v>136.83000000000001</v>
      </c>
      <c r="Q8" s="25">
        <f>ROUND((L8+N8+P8),2)</f>
        <v>304.94</v>
      </c>
      <c r="R8" s="25">
        <f>ROUND((G8-Q8),2)</f>
        <v>5336.26</v>
      </c>
      <c r="S8" s="91">
        <v>0.18</v>
      </c>
      <c r="T8" s="25">
        <f>ROUND((R8*18%),2)</f>
        <v>960.53</v>
      </c>
      <c r="U8" s="25">
        <f>R8+T8</f>
        <v>6296.79</v>
      </c>
      <c r="V8" s="25">
        <f t="shared" si="0"/>
        <v>522129.82679999998</v>
      </c>
      <c r="W8" s="25">
        <f t="shared" si="1"/>
        <v>10394.851199999999</v>
      </c>
    </row>
    <row r="9" spans="1:23">
      <c r="A9" s="25">
        <v>4</v>
      </c>
      <c r="B9" s="25" t="s">
        <v>63</v>
      </c>
      <c r="C9" s="25" t="s">
        <v>58</v>
      </c>
      <c r="D9" s="25" t="s">
        <v>58</v>
      </c>
      <c r="E9" s="25">
        <v>55</v>
      </c>
      <c r="F9" s="25">
        <v>45.25</v>
      </c>
      <c r="G9" s="25">
        <f t="shared" ref="G9:G20" si="2">E9*F9</f>
        <v>2488.75</v>
      </c>
      <c r="H9" s="91">
        <v>0.01</v>
      </c>
      <c r="I9" s="91">
        <v>0.02</v>
      </c>
      <c r="J9" s="97">
        <v>2.5000000000000001E-2</v>
      </c>
      <c r="K9" s="25">
        <f t="shared" ref="K9:K20" si="3">G9</f>
        <v>2488.75</v>
      </c>
      <c r="L9" s="25">
        <f t="shared" ref="L9:L20" si="4">ROUND(K9*H9,2)</f>
        <v>24.89</v>
      </c>
      <c r="M9" s="25">
        <f t="shared" ref="M9:M20" si="5">G9-L9</f>
        <v>2463.86</v>
      </c>
      <c r="N9" s="25">
        <f t="shared" ref="N9:N20" si="6">ROUND(M9*I9,2)</f>
        <v>49.28</v>
      </c>
      <c r="O9" s="25">
        <f t="shared" ref="O9:O20" si="7">ROUND(M9-N9,2)</f>
        <v>2414.58</v>
      </c>
      <c r="P9" s="25">
        <f t="shared" ref="P9:P20" si="8">ROUND(O9*J9,2)</f>
        <v>60.36</v>
      </c>
      <c r="Q9" s="25">
        <f t="shared" ref="Q9:Q20" si="9">ROUND((L9+N9+P9),2)</f>
        <v>134.53</v>
      </c>
      <c r="R9" s="25">
        <f t="shared" ref="R9:R20" si="10">ROUND((G9-Q9),2)</f>
        <v>2354.2199999999998</v>
      </c>
      <c r="S9" s="91">
        <v>0.18</v>
      </c>
      <c r="T9" s="25">
        <f t="shared" ref="T9:T20" si="11">ROUND((R9*18%),2)</f>
        <v>423.76</v>
      </c>
      <c r="U9" s="25">
        <f t="shared" ref="U9:U20" si="12">R9+T9</f>
        <v>2777.98</v>
      </c>
      <c r="V9" s="25">
        <f t="shared" si="0"/>
        <v>230350.10159999999</v>
      </c>
      <c r="W9" s="25">
        <f t="shared" si="1"/>
        <v>3752.13</v>
      </c>
    </row>
    <row r="10" spans="1:23">
      <c r="A10" s="25">
        <v>5</v>
      </c>
      <c r="B10" s="25" t="s">
        <v>65</v>
      </c>
      <c r="C10" s="25" t="s">
        <v>58</v>
      </c>
      <c r="D10" s="25" t="s">
        <v>58</v>
      </c>
      <c r="E10" s="25">
        <v>60</v>
      </c>
      <c r="F10" s="25">
        <v>45.5</v>
      </c>
      <c r="G10" s="25">
        <f t="shared" si="2"/>
        <v>2730</v>
      </c>
      <c r="H10" s="91">
        <v>0.01</v>
      </c>
      <c r="I10" s="91">
        <v>0.02</v>
      </c>
      <c r="J10" s="97">
        <v>2.5000000000000001E-2</v>
      </c>
      <c r="K10" s="25">
        <f t="shared" si="3"/>
        <v>2730</v>
      </c>
      <c r="L10" s="25">
        <f t="shared" si="4"/>
        <v>27.3</v>
      </c>
      <c r="M10" s="25">
        <f t="shared" si="5"/>
        <v>2702.7</v>
      </c>
      <c r="N10" s="25">
        <f t="shared" si="6"/>
        <v>54.05</v>
      </c>
      <c r="O10" s="25">
        <f t="shared" si="7"/>
        <v>2648.65</v>
      </c>
      <c r="P10" s="25">
        <f t="shared" si="8"/>
        <v>66.22</v>
      </c>
      <c r="Q10" s="25">
        <f t="shared" si="9"/>
        <v>147.57</v>
      </c>
      <c r="R10" s="25">
        <f t="shared" si="10"/>
        <v>2582.4299999999998</v>
      </c>
      <c r="S10" s="91">
        <v>0.18</v>
      </c>
      <c r="T10" s="25">
        <f t="shared" si="11"/>
        <v>464.84</v>
      </c>
      <c r="U10" s="25">
        <f t="shared" si="12"/>
        <v>3047.27</v>
      </c>
      <c r="V10" s="25">
        <f t="shared" si="0"/>
        <v>252679.62839999999</v>
      </c>
      <c r="W10" s="25">
        <f t="shared" si="1"/>
        <v>3772.86</v>
      </c>
    </row>
    <row r="11" spans="1:23">
      <c r="A11" s="25">
        <v>6</v>
      </c>
      <c r="B11" s="25" t="s">
        <v>67</v>
      </c>
      <c r="C11" s="25" t="s">
        <v>58</v>
      </c>
      <c r="D11" s="25" t="s">
        <v>58</v>
      </c>
      <c r="E11" s="25">
        <v>75</v>
      </c>
      <c r="F11" s="25">
        <v>125.25</v>
      </c>
      <c r="G11" s="25">
        <f t="shared" si="2"/>
        <v>9393.75</v>
      </c>
      <c r="H11" s="91">
        <v>0.01</v>
      </c>
      <c r="I11" s="91">
        <v>0.02</v>
      </c>
      <c r="J11" s="97">
        <v>2.5000000000000001E-2</v>
      </c>
      <c r="K11" s="25">
        <f t="shared" si="3"/>
        <v>9393.75</v>
      </c>
      <c r="L11" s="25">
        <f t="shared" si="4"/>
        <v>93.94</v>
      </c>
      <c r="M11" s="25">
        <f t="shared" si="5"/>
        <v>9299.81</v>
      </c>
      <c r="N11" s="25">
        <f t="shared" si="6"/>
        <v>186</v>
      </c>
      <c r="O11" s="25">
        <f t="shared" si="7"/>
        <v>9113.81</v>
      </c>
      <c r="P11" s="25">
        <f t="shared" si="8"/>
        <v>227.85</v>
      </c>
      <c r="Q11" s="25">
        <f t="shared" si="9"/>
        <v>507.79</v>
      </c>
      <c r="R11" s="25">
        <f t="shared" si="10"/>
        <v>8885.9599999999991</v>
      </c>
      <c r="S11" s="91">
        <v>0.18</v>
      </c>
      <c r="T11" s="25">
        <f t="shared" si="11"/>
        <v>1599.47</v>
      </c>
      <c r="U11" s="25">
        <f t="shared" si="12"/>
        <v>10485.43</v>
      </c>
      <c r="V11" s="25">
        <f t="shared" si="0"/>
        <v>869451.85560000001</v>
      </c>
      <c r="W11" s="25">
        <f t="shared" si="1"/>
        <v>10385.73</v>
      </c>
    </row>
    <row r="12" spans="1:23">
      <c r="A12" s="25">
        <v>7</v>
      </c>
      <c r="B12" s="25" t="s">
        <v>69</v>
      </c>
      <c r="C12" s="25" t="s">
        <v>58</v>
      </c>
      <c r="D12" s="25" t="s">
        <v>58</v>
      </c>
      <c r="E12" s="25">
        <v>28</v>
      </c>
      <c r="F12" s="25">
        <v>150.5</v>
      </c>
      <c r="G12" s="25">
        <f t="shared" si="2"/>
        <v>4214</v>
      </c>
      <c r="H12" s="91">
        <v>0.01</v>
      </c>
      <c r="I12" s="91">
        <v>0.02</v>
      </c>
      <c r="J12" s="97">
        <v>2.5000000000000001E-2</v>
      </c>
      <c r="K12" s="25">
        <f t="shared" si="3"/>
        <v>4214</v>
      </c>
      <c r="L12" s="25">
        <f t="shared" si="4"/>
        <v>42.14</v>
      </c>
      <c r="M12" s="25">
        <f t="shared" si="5"/>
        <v>4171.8599999999997</v>
      </c>
      <c r="N12" s="25">
        <f t="shared" si="6"/>
        <v>83.44</v>
      </c>
      <c r="O12" s="25">
        <f t="shared" si="7"/>
        <v>4088.42</v>
      </c>
      <c r="P12" s="25">
        <f t="shared" si="8"/>
        <v>102.21</v>
      </c>
      <c r="Q12" s="25">
        <f t="shared" si="9"/>
        <v>227.79</v>
      </c>
      <c r="R12" s="25">
        <f t="shared" si="10"/>
        <v>3986.21</v>
      </c>
      <c r="S12" s="91">
        <v>0.18</v>
      </c>
      <c r="T12" s="25">
        <f t="shared" si="11"/>
        <v>717.52</v>
      </c>
      <c r="U12" s="25">
        <f t="shared" si="12"/>
        <v>4703.7299999999996</v>
      </c>
      <c r="V12" s="25">
        <f t="shared" si="0"/>
        <v>390033.2916</v>
      </c>
      <c r="W12" s="25">
        <f t="shared" si="1"/>
        <v>12479.46</v>
      </c>
    </row>
    <row r="13" spans="1:23">
      <c r="A13" s="25">
        <v>8</v>
      </c>
      <c r="B13" s="25" t="s">
        <v>71</v>
      </c>
      <c r="C13" s="25" t="s">
        <v>58</v>
      </c>
      <c r="D13" s="25" t="s">
        <v>58</v>
      </c>
      <c r="E13" s="25">
        <v>30</v>
      </c>
      <c r="F13" s="25">
        <v>65.319999999999993</v>
      </c>
      <c r="G13" s="25">
        <f t="shared" si="2"/>
        <v>1959.6</v>
      </c>
      <c r="H13" s="91">
        <v>0.01</v>
      </c>
      <c r="I13" s="91">
        <v>0.02</v>
      </c>
      <c r="J13" s="97">
        <v>2.5000000000000001E-2</v>
      </c>
      <c r="K13" s="25">
        <f t="shared" si="3"/>
        <v>1959.6</v>
      </c>
      <c r="L13" s="25">
        <f t="shared" si="4"/>
        <v>19.600000000000001</v>
      </c>
      <c r="M13" s="25">
        <f t="shared" si="5"/>
        <v>1940</v>
      </c>
      <c r="N13" s="25">
        <f t="shared" si="6"/>
        <v>38.799999999999997</v>
      </c>
      <c r="O13" s="25">
        <f t="shared" si="7"/>
        <v>1901.2</v>
      </c>
      <c r="P13" s="25">
        <f t="shared" si="8"/>
        <v>47.53</v>
      </c>
      <c r="Q13" s="25">
        <f t="shared" si="9"/>
        <v>105.93</v>
      </c>
      <c r="R13" s="25">
        <f t="shared" si="10"/>
        <v>1853.67</v>
      </c>
      <c r="S13" s="91">
        <v>0.18</v>
      </c>
      <c r="T13" s="25">
        <f t="shared" si="11"/>
        <v>333.66</v>
      </c>
      <c r="U13" s="25">
        <f t="shared" si="12"/>
        <v>2187.33</v>
      </c>
      <c r="V13" s="25">
        <f t="shared" si="0"/>
        <v>181373.40359999999</v>
      </c>
      <c r="W13" s="25">
        <f t="shared" si="1"/>
        <v>5416.3343999999997</v>
      </c>
    </row>
    <row r="14" spans="1:23">
      <c r="A14" s="25">
        <v>9</v>
      </c>
      <c r="B14" s="25" t="s">
        <v>73</v>
      </c>
      <c r="C14" s="25" t="s">
        <v>58</v>
      </c>
      <c r="D14" s="25" t="s">
        <v>58</v>
      </c>
      <c r="E14" s="25">
        <v>25</v>
      </c>
      <c r="F14" s="25">
        <v>74.89</v>
      </c>
      <c r="G14" s="25">
        <f t="shared" si="2"/>
        <v>1872.25</v>
      </c>
      <c r="H14" s="91">
        <v>0.01</v>
      </c>
      <c r="I14" s="91">
        <v>0.02</v>
      </c>
      <c r="J14" s="97">
        <v>2.5000000000000001E-2</v>
      </c>
      <c r="K14" s="25">
        <f t="shared" si="3"/>
        <v>1872.25</v>
      </c>
      <c r="L14" s="25">
        <f t="shared" si="4"/>
        <v>18.72</v>
      </c>
      <c r="M14" s="25">
        <f t="shared" si="5"/>
        <v>1853.53</v>
      </c>
      <c r="N14" s="25">
        <f t="shared" si="6"/>
        <v>37.07</v>
      </c>
      <c r="O14" s="25">
        <f t="shared" si="7"/>
        <v>1816.46</v>
      </c>
      <c r="P14" s="25">
        <f t="shared" si="8"/>
        <v>45.41</v>
      </c>
      <c r="Q14" s="25">
        <f t="shared" si="9"/>
        <v>101.2</v>
      </c>
      <c r="R14" s="25">
        <f t="shared" si="10"/>
        <v>1771.05</v>
      </c>
      <c r="S14" s="91">
        <v>0.18</v>
      </c>
      <c r="T14" s="25">
        <f t="shared" si="11"/>
        <v>318.79000000000002</v>
      </c>
      <c r="U14" s="25">
        <f t="shared" si="12"/>
        <v>2089.84</v>
      </c>
      <c r="V14" s="25">
        <f t="shared" si="0"/>
        <v>173289.53279999999</v>
      </c>
      <c r="W14" s="25">
        <f t="shared" si="1"/>
        <v>6209.8788000000004</v>
      </c>
    </row>
    <row r="15" spans="1:23">
      <c r="A15" s="25">
        <v>10</v>
      </c>
      <c r="B15" s="25" t="s">
        <v>75</v>
      </c>
      <c r="C15" s="25" t="s">
        <v>58</v>
      </c>
      <c r="D15" s="25" t="s">
        <v>58</v>
      </c>
      <c r="E15" s="25">
        <v>28</v>
      </c>
      <c r="F15" s="25">
        <v>89.56</v>
      </c>
      <c r="G15" s="25">
        <f t="shared" si="2"/>
        <v>2507.6799999999998</v>
      </c>
      <c r="H15" s="91">
        <v>0.01</v>
      </c>
      <c r="I15" s="91">
        <v>0.02</v>
      </c>
      <c r="J15" s="97">
        <v>2.5000000000000001E-2</v>
      </c>
      <c r="K15" s="25">
        <f t="shared" si="3"/>
        <v>2507.6799999999998</v>
      </c>
      <c r="L15" s="25">
        <f t="shared" si="4"/>
        <v>25.08</v>
      </c>
      <c r="M15" s="25">
        <f t="shared" si="5"/>
        <v>2482.6</v>
      </c>
      <c r="N15" s="25">
        <f t="shared" si="6"/>
        <v>49.65</v>
      </c>
      <c r="O15" s="25">
        <f t="shared" si="7"/>
        <v>2432.9499999999998</v>
      </c>
      <c r="P15" s="25">
        <f t="shared" si="8"/>
        <v>60.82</v>
      </c>
      <c r="Q15" s="25">
        <f t="shared" si="9"/>
        <v>135.55000000000001</v>
      </c>
      <c r="R15" s="25">
        <f t="shared" si="10"/>
        <v>2372.13</v>
      </c>
      <c r="S15" s="91">
        <v>0.18</v>
      </c>
      <c r="T15" s="25">
        <f t="shared" si="11"/>
        <v>426.98</v>
      </c>
      <c r="U15" s="25">
        <f t="shared" si="12"/>
        <v>2799.11</v>
      </c>
      <c r="V15" s="25">
        <f t="shared" si="0"/>
        <v>232102.20120000001</v>
      </c>
      <c r="W15" s="25">
        <f t="shared" si="1"/>
        <v>7426.3152</v>
      </c>
    </row>
    <row r="16" spans="1:23">
      <c r="A16" s="25">
        <v>11</v>
      </c>
      <c r="B16" s="25" t="s">
        <v>77</v>
      </c>
      <c r="C16" s="25" t="s">
        <v>58</v>
      </c>
      <c r="D16" s="25" t="s">
        <v>58</v>
      </c>
      <c r="E16" s="25">
        <v>37</v>
      </c>
      <c r="F16" s="25">
        <v>89.54</v>
      </c>
      <c r="G16" s="25">
        <f t="shared" si="2"/>
        <v>3312.98</v>
      </c>
      <c r="H16" s="91">
        <v>0.01</v>
      </c>
      <c r="I16" s="91">
        <v>0.02</v>
      </c>
      <c r="J16" s="97">
        <v>2.5000000000000001E-2</v>
      </c>
      <c r="K16" s="25">
        <f t="shared" si="3"/>
        <v>3312.98</v>
      </c>
      <c r="L16" s="25">
        <f t="shared" si="4"/>
        <v>33.130000000000003</v>
      </c>
      <c r="M16" s="25">
        <f t="shared" si="5"/>
        <v>3279.85</v>
      </c>
      <c r="N16" s="25">
        <f t="shared" si="6"/>
        <v>65.599999999999994</v>
      </c>
      <c r="O16" s="25">
        <f t="shared" si="7"/>
        <v>3214.25</v>
      </c>
      <c r="P16" s="25">
        <f t="shared" si="8"/>
        <v>80.36</v>
      </c>
      <c r="Q16" s="25">
        <f t="shared" si="9"/>
        <v>179.09</v>
      </c>
      <c r="R16" s="25">
        <f t="shared" si="10"/>
        <v>3133.89</v>
      </c>
      <c r="S16" s="91">
        <v>0.18</v>
      </c>
      <c r="T16" s="25">
        <f t="shared" si="11"/>
        <v>564.1</v>
      </c>
      <c r="U16" s="25">
        <f t="shared" si="12"/>
        <v>3697.99</v>
      </c>
      <c r="V16" s="25">
        <f t="shared" si="0"/>
        <v>306637.3308</v>
      </c>
      <c r="W16" s="25">
        <f t="shared" si="1"/>
        <v>7424.6567999999997</v>
      </c>
    </row>
    <row r="17" spans="1:23">
      <c r="A17" s="25">
        <v>12</v>
      </c>
      <c r="B17" s="25" t="s">
        <v>79</v>
      </c>
      <c r="C17" s="25" t="s">
        <v>58</v>
      </c>
      <c r="D17" s="25" t="s">
        <v>58</v>
      </c>
      <c r="E17" s="25">
        <v>39</v>
      </c>
      <c r="F17" s="25">
        <v>98.25</v>
      </c>
      <c r="G17" s="25">
        <f t="shared" si="2"/>
        <v>3831.75</v>
      </c>
      <c r="H17" s="91">
        <v>0.01</v>
      </c>
      <c r="I17" s="91">
        <v>0.02</v>
      </c>
      <c r="J17" s="97">
        <v>2.5000000000000001E-2</v>
      </c>
      <c r="K17" s="25">
        <f t="shared" si="3"/>
        <v>3831.75</v>
      </c>
      <c r="L17" s="25">
        <f t="shared" si="4"/>
        <v>38.32</v>
      </c>
      <c r="M17" s="25">
        <f t="shared" si="5"/>
        <v>3793.43</v>
      </c>
      <c r="N17" s="25">
        <f t="shared" si="6"/>
        <v>75.87</v>
      </c>
      <c r="O17" s="25">
        <f t="shared" si="7"/>
        <v>3717.56</v>
      </c>
      <c r="P17" s="25">
        <f t="shared" si="8"/>
        <v>92.94</v>
      </c>
      <c r="Q17" s="25">
        <f t="shared" si="9"/>
        <v>207.13</v>
      </c>
      <c r="R17" s="25">
        <f t="shared" si="10"/>
        <v>3624.62</v>
      </c>
      <c r="S17" s="91">
        <v>0.18</v>
      </c>
      <c r="T17" s="25">
        <f t="shared" si="11"/>
        <v>652.42999999999995</v>
      </c>
      <c r="U17" s="25">
        <f t="shared" si="12"/>
        <v>4277.05</v>
      </c>
      <c r="V17" s="25">
        <f t="shared" si="0"/>
        <v>354652.98599999998</v>
      </c>
      <c r="W17" s="25">
        <f t="shared" si="1"/>
        <v>8146.89</v>
      </c>
    </row>
    <row r="18" spans="1:23">
      <c r="A18" s="25">
        <v>13</v>
      </c>
      <c r="B18" s="25" t="s">
        <v>81</v>
      </c>
      <c r="C18" s="25" t="s">
        <v>58</v>
      </c>
      <c r="D18" s="25" t="s">
        <v>58</v>
      </c>
      <c r="E18" s="25">
        <v>70</v>
      </c>
      <c r="F18" s="25">
        <v>102.25</v>
      </c>
      <c r="G18" s="25">
        <f t="shared" si="2"/>
        <v>7157.5</v>
      </c>
      <c r="H18" s="91">
        <v>0.01</v>
      </c>
      <c r="I18" s="91">
        <v>0.02</v>
      </c>
      <c r="J18" s="97">
        <v>2.5000000000000001E-2</v>
      </c>
      <c r="K18" s="25">
        <f t="shared" si="3"/>
        <v>7157.5</v>
      </c>
      <c r="L18" s="25">
        <f t="shared" si="4"/>
        <v>71.58</v>
      </c>
      <c r="M18" s="25">
        <f t="shared" si="5"/>
        <v>7085.92</v>
      </c>
      <c r="N18" s="25">
        <f t="shared" si="6"/>
        <v>141.72</v>
      </c>
      <c r="O18" s="25">
        <f t="shared" si="7"/>
        <v>6944.2</v>
      </c>
      <c r="P18" s="25">
        <f t="shared" si="8"/>
        <v>173.61</v>
      </c>
      <c r="Q18" s="25">
        <f t="shared" si="9"/>
        <v>386.91</v>
      </c>
      <c r="R18" s="25">
        <f t="shared" si="10"/>
        <v>6770.59</v>
      </c>
      <c r="S18" s="91">
        <v>0.18</v>
      </c>
      <c r="T18" s="25">
        <f t="shared" si="11"/>
        <v>1218.71</v>
      </c>
      <c r="U18" s="25">
        <f t="shared" si="12"/>
        <v>7989.3</v>
      </c>
      <c r="V18" s="25">
        <f t="shared" si="0"/>
        <v>662472.75600000005</v>
      </c>
      <c r="W18" s="25">
        <f t="shared" si="1"/>
        <v>8478.57</v>
      </c>
    </row>
    <row r="19" spans="1:23">
      <c r="A19" s="25">
        <v>14</v>
      </c>
      <c r="B19" s="25" t="s">
        <v>83</v>
      </c>
      <c r="C19" s="25" t="s">
        <v>58</v>
      </c>
      <c r="D19" s="25" t="s">
        <v>58</v>
      </c>
      <c r="E19" s="25">
        <v>100</v>
      </c>
      <c r="F19" s="25">
        <v>103.5</v>
      </c>
      <c r="G19" s="25">
        <f t="shared" si="2"/>
        <v>10350</v>
      </c>
      <c r="H19" s="91">
        <v>0.01</v>
      </c>
      <c r="I19" s="91">
        <v>0.02</v>
      </c>
      <c r="J19" s="97">
        <v>2.5000000000000001E-2</v>
      </c>
      <c r="K19" s="25">
        <f t="shared" si="3"/>
        <v>10350</v>
      </c>
      <c r="L19" s="25">
        <f t="shared" si="4"/>
        <v>103.5</v>
      </c>
      <c r="M19" s="25">
        <f t="shared" si="5"/>
        <v>10246.5</v>
      </c>
      <c r="N19" s="25">
        <f t="shared" si="6"/>
        <v>204.93</v>
      </c>
      <c r="O19" s="25">
        <f t="shared" si="7"/>
        <v>10041.57</v>
      </c>
      <c r="P19" s="25">
        <f t="shared" si="8"/>
        <v>251.04</v>
      </c>
      <c r="Q19" s="25">
        <f t="shared" si="9"/>
        <v>559.47</v>
      </c>
      <c r="R19" s="25">
        <f t="shared" si="10"/>
        <v>9790.5300000000007</v>
      </c>
      <c r="S19" s="91">
        <v>0.18</v>
      </c>
      <c r="T19" s="25">
        <f t="shared" si="11"/>
        <v>1762.3</v>
      </c>
      <c r="U19" s="25">
        <f t="shared" si="12"/>
        <v>11552.83</v>
      </c>
      <c r="V19" s="25">
        <f t="shared" si="0"/>
        <v>957960.66359999997</v>
      </c>
      <c r="W19" s="25">
        <f t="shared" si="1"/>
        <v>8582.2199999999993</v>
      </c>
    </row>
    <row r="20" spans="1:23">
      <c r="A20" s="25">
        <v>15</v>
      </c>
      <c r="B20" s="25" t="s">
        <v>85</v>
      </c>
      <c r="C20" s="25" t="s">
        <v>58</v>
      </c>
      <c r="D20" s="25" t="s">
        <v>58</v>
      </c>
      <c r="E20" s="25">
        <v>85</v>
      </c>
      <c r="F20" s="25">
        <v>65.48</v>
      </c>
      <c r="G20" s="25">
        <f t="shared" si="2"/>
        <v>5565.8</v>
      </c>
      <c r="H20" s="91">
        <v>0.01</v>
      </c>
      <c r="I20" s="91">
        <v>0.02</v>
      </c>
      <c r="J20" s="97">
        <v>2.5000000000000001E-2</v>
      </c>
      <c r="K20" s="25">
        <f t="shared" si="3"/>
        <v>5565.8</v>
      </c>
      <c r="L20" s="25">
        <f t="shared" si="4"/>
        <v>55.66</v>
      </c>
      <c r="M20" s="25">
        <f t="shared" si="5"/>
        <v>5510.14</v>
      </c>
      <c r="N20" s="25">
        <f t="shared" si="6"/>
        <v>110.2</v>
      </c>
      <c r="O20" s="25">
        <f t="shared" si="7"/>
        <v>5399.94</v>
      </c>
      <c r="P20" s="25">
        <f t="shared" si="8"/>
        <v>135</v>
      </c>
      <c r="Q20" s="25">
        <f t="shared" si="9"/>
        <v>300.86</v>
      </c>
      <c r="R20" s="25">
        <f t="shared" si="10"/>
        <v>5264.94</v>
      </c>
      <c r="S20" s="91">
        <v>0.18</v>
      </c>
      <c r="T20" s="25">
        <f t="shared" si="11"/>
        <v>947.69</v>
      </c>
      <c r="U20" s="25">
        <f t="shared" si="12"/>
        <v>6212.63</v>
      </c>
      <c r="V20" s="25">
        <f t="shared" si="0"/>
        <v>515151.27960000001</v>
      </c>
      <c r="W20" s="25">
        <f t="shared" si="1"/>
        <v>5429.6016</v>
      </c>
    </row>
    <row r="21" spans="1:23">
      <c r="A21" s="16"/>
      <c r="B21" s="155" t="s">
        <v>87</v>
      </c>
      <c r="C21" s="155"/>
      <c r="D21" s="155"/>
      <c r="E21" s="155"/>
      <c r="F21" s="155"/>
      <c r="G21" s="30">
        <f>SUM(G6:G20)</f>
        <v>71856.759999999995</v>
      </c>
      <c r="H21" s="25"/>
      <c r="I21" s="25"/>
      <c r="J21" s="25"/>
      <c r="K21" s="25"/>
      <c r="L21" s="25"/>
      <c r="M21" s="25"/>
      <c r="N21" s="25"/>
      <c r="O21" s="25"/>
      <c r="P21" s="25"/>
      <c r="Q21" s="30">
        <f>SUM(Q6:Q20)</f>
        <v>3884.27</v>
      </c>
      <c r="R21" s="30">
        <f>SUM(R6:R20)</f>
        <v>67972.490000000005</v>
      </c>
      <c r="S21" s="30"/>
      <c r="T21" s="30">
        <f>SUM(T6:T20)</f>
        <v>12235.06</v>
      </c>
      <c r="U21" s="44">
        <f t="shared" ref="U21:V21" si="13">SUM(U6:U20)</f>
        <v>80207.55</v>
      </c>
      <c r="V21" s="44">
        <f t="shared" si="13"/>
        <v>6650810.0460000001</v>
      </c>
      <c r="W21" s="44"/>
    </row>
    <row r="22" spans="1:2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>
      <c r="A23" s="16"/>
      <c r="B23" s="16"/>
      <c r="C23" s="16"/>
      <c r="D23" s="16"/>
      <c r="E23" s="16"/>
      <c r="F23" s="163" t="s">
        <v>206</v>
      </c>
      <c r="G23" s="163"/>
      <c r="H23" s="163"/>
      <c r="I23" s="163"/>
      <c r="J23" s="16"/>
      <c r="K23" s="163" t="s">
        <v>207</v>
      </c>
      <c r="L23" s="163"/>
      <c r="M23" s="163"/>
      <c r="N23" s="163"/>
      <c r="O23" s="16"/>
      <c r="P23" s="16"/>
      <c r="Q23" s="16"/>
      <c r="R23" s="16"/>
      <c r="S23" s="16"/>
      <c r="T23" s="16"/>
      <c r="U23" s="16"/>
      <c r="V23" s="16"/>
      <c r="W23" s="16"/>
    </row>
    <row r="24" spans="1:23">
      <c r="A24" s="16"/>
      <c r="B24" s="16"/>
      <c r="C24" s="16"/>
      <c r="D24" s="16"/>
      <c r="E24" s="16"/>
      <c r="F24" s="156" t="s">
        <v>194</v>
      </c>
      <c r="G24" s="157"/>
      <c r="H24" s="164">
        <f>G21</f>
        <v>71856.759999999995</v>
      </c>
      <c r="I24" s="164"/>
      <c r="J24" s="65"/>
      <c r="K24" s="156" t="s">
        <v>194</v>
      </c>
      <c r="L24" s="157"/>
      <c r="M24" s="164">
        <f>H24*$T$4</f>
        <v>5958362.5392000005</v>
      </c>
      <c r="N24" s="164"/>
      <c r="O24" s="16"/>
      <c r="P24" s="16"/>
      <c r="Q24" s="16"/>
      <c r="R24" s="16"/>
      <c r="S24" s="16"/>
      <c r="T24" s="16"/>
      <c r="U24" s="16"/>
      <c r="V24" s="16"/>
      <c r="W24" s="16"/>
    </row>
    <row r="25" spans="1:23">
      <c r="A25" s="16"/>
      <c r="B25" s="16"/>
      <c r="C25" s="16"/>
      <c r="D25" s="16"/>
      <c r="E25" s="16"/>
      <c r="F25" s="156" t="s">
        <v>196</v>
      </c>
      <c r="G25" s="157"/>
      <c r="H25" s="164">
        <f>Q21</f>
        <v>3884.27</v>
      </c>
      <c r="I25" s="164"/>
      <c r="J25" s="16"/>
      <c r="K25" s="156" t="s">
        <v>196</v>
      </c>
      <c r="L25" s="157"/>
      <c r="M25" s="164">
        <f t="shared" ref="M25:M28" si="14">H25*$T$4</f>
        <v>322083.66840000002</v>
      </c>
      <c r="N25" s="164"/>
      <c r="O25" s="16"/>
      <c r="P25" s="16"/>
      <c r="Q25" s="16"/>
      <c r="R25" s="16"/>
      <c r="S25" s="16"/>
      <c r="T25" s="16"/>
      <c r="U25" s="16"/>
      <c r="V25" s="33"/>
      <c r="W25" s="16"/>
    </row>
    <row r="26" spans="1:23">
      <c r="A26" s="16"/>
      <c r="B26" s="16"/>
      <c r="C26" s="16"/>
      <c r="D26" s="16"/>
      <c r="E26" s="16"/>
      <c r="F26" s="156" t="s">
        <v>197</v>
      </c>
      <c r="G26" s="157"/>
      <c r="H26" s="164">
        <f>R21</f>
        <v>67972.490000000005</v>
      </c>
      <c r="I26" s="164"/>
      <c r="J26" s="16"/>
      <c r="K26" s="156" t="s">
        <v>197</v>
      </c>
      <c r="L26" s="157"/>
      <c r="M26" s="164">
        <f t="shared" si="14"/>
        <v>5636278.8707999997</v>
      </c>
      <c r="N26" s="164"/>
      <c r="O26" s="16"/>
      <c r="P26" s="16"/>
      <c r="Q26" s="16"/>
      <c r="R26" s="16"/>
      <c r="S26" s="16"/>
      <c r="T26" s="16"/>
      <c r="U26" s="16"/>
      <c r="V26" s="33"/>
      <c r="W26" s="16"/>
    </row>
    <row r="27" spans="1:23">
      <c r="A27" s="16"/>
      <c r="B27" s="16"/>
      <c r="C27" s="16"/>
      <c r="D27" s="16"/>
      <c r="E27" s="16"/>
      <c r="F27" s="156" t="s">
        <v>198</v>
      </c>
      <c r="G27" s="157"/>
      <c r="H27" s="164">
        <f>T21</f>
        <v>12235.06</v>
      </c>
      <c r="I27" s="164"/>
      <c r="J27" s="16"/>
      <c r="K27" s="156" t="s">
        <v>198</v>
      </c>
      <c r="L27" s="157"/>
      <c r="M27" s="164">
        <f t="shared" si="14"/>
        <v>1014531.1752000001</v>
      </c>
      <c r="N27" s="164"/>
      <c r="O27" s="16"/>
      <c r="P27" s="16"/>
      <c r="Q27" s="16"/>
      <c r="R27" s="16"/>
      <c r="S27" s="16"/>
      <c r="T27" s="16"/>
      <c r="U27" s="16"/>
      <c r="V27" s="33"/>
      <c r="W27" s="16"/>
    </row>
    <row r="28" spans="1:23">
      <c r="A28" s="16"/>
      <c r="B28" s="16"/>
      <c r="C28" s="16"/>
      <c r="D28" s="16"/>
      <c r="E28" s="16"/>
      <c r="F28" s="156" t="s">
        <v>199</v>
      </c>
      <c r="G28" s="157"/>
      <c r="H28" s="165">
        <f>H26+H27</f>
        <v>80207.55</v>
      </c>
      <c r="I28" s="165"/>
      <c r="J28" s="16"/>
      <c r="K28" s="156" t="s">
        <v>199</v>
      </c>
      <c r="L28" s="157"/>
      <c r="M28" s="165">
        <f t="shared" si="14"/>
        <v>6650810.0460000001</v>
      </c>
      <c r="N28" s="165"/>
      <c r="O28" s="16"/>
      <c r="P28" s="16"/>
      <c r="Q28" s="16"/>
      <c r="R28" s="16"/>
      <c r="S28" s="16"/>
      <c r="T28" s="16"/>
      <c r="U28" s="16"/>
      <c r="V28" s="16"/>
      <c r="W28" s="16"/>
    </row>
  </sheetData>
  <mergeCells count="24">
    <mergeCell ref="F27:G27"/>
    <mergeCell ref="H27:I27"/>
    <mergeCell ref="K27:L27"/>
    <mergeCell ref="M27:N27"/>
    <mergeCell ref="F28:G28"/>
    <mergeCell ref="H28:I28"/>
    <mergeCell ref="K28:L28"/>
    <mergeCell ref="M28:N28"/>
    <mergeCell ref="F25:G25"/>
    <mergeCell ref="H25:I25"/>
    <mergeCell ref="K25:L25"/>
    <mergeCell ref="M25:N25"/>
    <mergeCell ref="F26:G26"/>
    <mergeCell ref="H26:I26"/>
    <mergeCell ref="K26:L26"/>
    <mergeCell ref="M26:N26"/>
    <mergeCell ref="A4:P4"/>
    <mergeCell ref="B21:F21"/>
    <mergeCell ref="F23:I23"/>
    <mergeCell ref="K23:N23"/>
    <mergeCell ref="F24:G24"/>
    <mergeCell ref="H24:I24"/>
    <mergeCell ref="K24:L24"/>
    <mergeCell ref="M24:N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25"/>
  <sheetViews>
    <sheetView topLeftCell="A7" workbookViewId="0">
      <selection activeCell="G28" sqref="G28"/>
    </sheetView>
  </sheetViews>
  <sheetFormatPr defaultColWidth="9" defaultRowHeight="15"/>
  <sheetData>
    <row r="1" spans="1:23" ht="18">
      <c r="A1" s="154" t="s">
        <v>208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92" t="s">
        <v>201</v>
      </c>
      <c r="R1" s="92" t="s">
        <v>202</v>
      </c>
      <c r="S1" s="93"/>
      <c r="T1" s="92">
        <v>82.92</v>
      </c>
      <c r="U1" s="94"/>
      <c r="V1" s="95"/>
      <c r="W1" s="16"/>
    </row>
    <row r="2" spans="1:23" ht="57">
      <c r="A2" s="61" t="s">
        <v>155</v>
      </c>
      <c r="B2" s="61" t="s">
        <v>49</v>
      </c>
      <c r="C2" s="61" t="s">
        <v>51</v>
      </c>
      <c r="D2" s="61" t="s">
        <v>52</v>
      </c>
      <c r="E2" s="61" t="s">
        <v>53</v>
      </c>
      <c r="F2" s="61" t="s">
        <v>54</v>
      </c>
      <c r="G2" s="61" t="s">
        <v>55</v>
      </c>
      <c r="H2" s="63" t="s">
        <v>97</v>
      </c>
      <c r="I2" s="63" t="s">
        <v>99</v>
      </c>
      <c r="J2" s="63" t="s">
        <v>98</v>
      </c>
      <c r="K2" s="64" t="s">
        <v>100</v>
      </c>
      <c r="L2" s="64" t="s">
        <v>101</v>
      </c>
      <c r="M2" s="64" t="s">
        <v>104</v>
      </c>
      <c r="N2" s="64" t="s">
        <v>105</v>
      </c>
      <c r="O2" s="64" t="s">
        <v>157</v>
      </c>
      <c r="P2" s="64" t="s">
        <v>103</v>
      </c>
      <c r="Q2" s="63" t="s">
        <v>203</v>
      </c>
      <c r="R2" s="61" t="s">
        <v>204</v>
      </c>
      <c r="S2" s="67" t="s">
        <v>159</v>
      </c>
      <c r="T2" s="67" t="s">
        <v>113</v>
      </c>
      <c r="U2" s="96" t="s">
        <v>209</v>
      </c>
      <c r="V2" s="96" t="s">
        <v>205</v>
      </c>
      <c r="W2" s="70" t="s">
        <v>160</v>
      </c>
    </row>
    <row r="3" spans="1:23">
      <c r="A3" s="25">
        <v>1</v>
      </c>
      <c r="B3" s="25" t="s">
        <v>56</v>
      </c>
      <c r="C3" s="25" t="s">
        <v>58</v>
      </c>
      <c r="D3" s="25" t="s">
        <v>163</v>
      </c>
      <c r="E3" s="25">
        <v>25</v>
      </c>
      <c r="F3" s="25">
        <v>257.63</v>
      </c>
      <c r="G3" s="25">
        <f>E3*F3</f>
        <v>6440.75</v>
      </c>
      <c r="H3" s="91">
        <v>0.01</v>
      </c>
      <c r="I3" s="91">
        <v>0.02</v>
      </c>
      <c r="J3" s="43">
        <v>2.5000000000000001E-2</v>
      </c>
      <c r="K3" s="25">
        <f>G3</f>
        <v>6440.75</v>
      </c>
      <c r="L3" s="25">
        <f>ROUND(K3*H3,2)</f>
        <v>64.41</v>
      </c>
      <c r="M3" s="25">
        <f>G3-L3</f>
        <v>6376.34</v>
      </c>
      <c r="N3" s="25">
        <f>ROUND(M3*I3,2)</f>
        <v>127.53</v>
      </c>
      <c r="O3" s="25">
        <f>ROUND(M3-N3,2)</f>
        <v>6248.81</v>
      </c>
      <c r="P3" s="25">
        <f>ROUND(O3*J3,2)</f>
        <v>156.22</v>
      </c>
      <c r="Q3" s="25">
        <f>ROUND((L3+N3+P3),2)</f>
        <v>348.16</v>
      </c>
      <c r="R3" s="25">
        <f>ROUND((G3-Q3),2)</f>
        <v>6092.59</v>
      </c>
      <c r="S3" s="91">
        <v>0.18</v>
      </c>
      <c r="T3" s="25">
        <f>ROUND((R3*18%),2)</f>
        <v>1096.67</v>
      </c>
      <c r="U3" s="25">
        <f>R3+T3</f>
        <v>7189.26</v>
      </c>
      <c r="V3" s="25">
        <f>U3*$T$1</f>
        <v>596133.43920000002</v>
      </c>
      <c r="W3" s="25">
        <f t="shared" ref="W3:W8" si="0">ROUND(F3*$S$21*$T$1,2)</f>
        <v>42725.36</v>
      </c>
    </row>
    <row r="4" spans="1:23">
      <c r="A4" s="25">
        <v>2</v>
      </c>
      <c r="B4" s="25" t="s">
        <v>59</v>
      </c>
      <c r="C4" s="25" t="s">
        <v>58</v>
      </c>
      <c r="D4" s="25" t="s">
        <v>163</v>
      </c>
      <c r="E4" s="25">
        <v>35</v>
      </c>
      <c r="F4" s="25">
        <v>125.45</v>
      </c>
      <c r="G4" s="25">
        <f>E4*F4</f>
        <v>4390.75</v>
      </c>
      <c r="H4" s="91">
        <v>0.01</v>
      </c>
      <c r="I4" s="91">
        <v>0.02</v>
      </c>
      <c r="J4" s="43">
        <v>2.5000000000000001E-2</v>
      </c>
      <c r="K4" s="25">
        <f>G4</f>
        <v>4390.75</v>
      </c>
      <c r="L4" s="25">
        <f>ROUND(K4*H4,2)</f>
        <v>43.91</v>
      </c>
      <c r="M4" s="25">
        <f>G4-L4</f>
        <v>4346.84</v>
      </c>
      <c r="N4" s="25">
        <f>ROUND(M4*I4,2)</f>
        <v>86.94</v>
      </c>
      <c r="O4" s="25">
        <f>ROUND(M4-N4,2)</f>
        <v>4259.8999999999996</v>
      </c>
      <c r="P4" s="25">
        <f>ROUND(O4*J4,2)</f>
        <v>106.5</v>
      </c>
      <c r="Q4" s="25">
        <f>ROUND((L4+N4+P4),2)</f>
        <v>237.35</v>
      </c>
      <c r="R4" s="25">
        <f>ROUND((G4-Q4),2)</f>
        <v>4153.3999999999996</v>
      </c>
      <c r="S4" s="91">
        <v>0.18</v>
      </c>
      <c r="T4" s="25">
        <f>ROUND((R4*18%),2)</f>
        <v>747.61</v>
      </c>
      <c r="U4" s="25">
        <f>R4+T4</f>
        <v>4901.01</v>
      </c>
      <c r="V4" s="25">
        <f t="shared" ref="V4:V17" si="1">U4*$T$1</f>
        <v>406391.74920000002</v>
      </c>
      <c r="W4" s="25">
        <f t="shared" si="0"/>
        <v>20804.63</v>
      </c>
    </row>
    <row r="5" spans="1:23">
      <c r="A5" s="25">
        <v>3</v>
      </c>
      <c r="B5" s="25" t="s">
        <v>61</v>
      </c>
      <c r="C5" s="25" t="s">
        <v>58</v>
      </c>
      <c r="D5" s="25" t="s">
        <v>163</v>
      </c>
      <c r="E5" s="25">
        <v>45</v>
      </c>
      <c r="F5" s="25">
        <v>125.36</v>
      </c>
      <c r="G5" s="25">
        <f>E5*F5</f>
        <v>5641.2</v>
      </c>
      <c r="H5" s="91">
        <v>0.01</v>
      </c>
      <c r="I5" s="91">
        <v>0.02</v>
      </c>
      <c r="J5" s="43">
        <v>2.5000000000000001E-2</v>
      </c>
      <c r="K5" s="25">
        <f>G5</f>
        <v>5641.2</v>
      </c>
      <c r="L5" s="25">
        <f>ROUND(K5*H5,2)</f>
        <v>56.41</v>
      </c>
      <c r="M5" s="25">
        <f>G5-L5</f>
        <v>5584.79</v>
      </c>
      <c r="N5" s="25">
        <f>ROUND(M5*I5,2)</f>
        <v>111.7</v>
      </c>
      <c r="O5" s="25">
        <f>ROUND(M5-N5,2)</f>
        <v>5473.09</v>
      </c>
      <c r="P5" s="25">
        <f>ROUND(O5*J5,2)</f>
        <v>136.83000000000001</v>
      </c>
      <c r="Q5" s="25">
        <f>ROUND((L5+N5+P5),2)</f>
        <v>304.94</v>
      </c>
      <c r="R5" s="25">
        <f>ROUND((G5-Q5),2)</f>
        <v>5336.26</v>
      </c>
      <c r="S5" s="91">
        <v>0.18</v>
      </c>
      <c r="T5" s="25">
        <f>ROUND((R5*18%),2)</f>
        <v>960.53</v>
      </c>
      <c r="U5" s="25">
        <f>R5+T5</f>
        <v>6296.79</v>
      </c>
      <c r="V5" s="25">
        <f t="shared" si="1"/>
        <v>522129.82679999998</v>
      </c>
      <c r="W5" s="25">
        <f t="shared" si="0"/>
        <v>20789.7</v>
      </c>
    </row>
    <row r="6" spans="1:23">
      <c r="A6" s="25">
        <v>4</v>
      </c>
      <c r="B6" s="25" t="s">
        <v>63</v>
      </c>
      <c r="C6" s="25" t="s">
        <v>58</v>
      </c>
      <c r="D6" s="25" t="s">
        <v>163</v>
      </c>
      <c r="E6" s="25">
        <v>55</v>
      </c>
      <c r="F6" s="25">
        <v>45.25</v>
      </c>
      <c r="G6" s="25">
        <f t="shared" ref="G6:G17" si="2">E6*F6</f>
        <v>2488.75</v>
      </c>
      <c r="H6" s="91">
        <v>0.01</v>
      </c>
      <c r="I6" s="91">
        <v>0.02</v>
      </c>
      <c r="J6" s="43">
        <v>2.5000000000000001E-2</v>
      </c>
      <c r="K6" s="25">
        <f t="shared" ref="K6:K17" si="3">G6</f>
        <v>2488.75</v>
      </c>
      <c r="L6" s="25">
        <f t="shared" ref="L6:L17" si="4">ROUND(K6*H6,2)</f>
        <v>24.89</v>
      </c>
      <c r="M6" s="25">
        <f t="shared" ref="M6:M17" si="5">G6-L6</f>
        <v>2463.86</v>
      </c>
      <c r="N6" s="25">
        <f t="shared" ref="N6:N17" si="6">ROUND(M6*I6,2)</f>
        <v>49.28</v>
      </c>
      <c r="O6" s="25">
        <f t="shared" ref="O6:O17" si="7">ROUND(M6-N6,2)</f>
        <v>2414.58</v>
      </c>
      <c r="P6" s="25">
        <f t="shared" ref="P6:P17" si="8">ROUND(O6*J6,2)</f>
        <v>60.36</v>
      </c>
      <c r="Q6" s="25">
        <f t="shared" ref="Q6:Q17" si="9">ROUND((L6+N6+P6),2)</f>
        <v>134.53</v>
      </c>
      <c r="R6" s="25">
        <f t="shared" ref="R6:R17" si="10">ROUND((G6-Q6),2)</f>
        <v>2354.2199999999998</v>
      </c>
      <c r="S6" s="91">
        <v>0.18</v>
      </c>
      <c r="T6" s="25">
        <f t="shared" ref="T6:T17" si="11">ROUND((R6*18%),2)</f>
        <v>423.76</v>
      </c>
      <c r="U6" s="25">
        <f t="shared" ref="U6:U17" si="12">R6+T6</f>
        <v>2777.98</v>
      </c>
      <c r="V6" s="25">
        <f t="shared" si="1"/>
        <v>230350.10159999999</v>
      </c>
      <c r="W6" s="25">
        <f t="shared" si="0"/>
        <v>7504.26</v>
      </c>
    </row>
    <row r="7" spans="1:23">
      <c r="A7" s="25">
        <v>5</v>
      </c>
      <c r="B7" s="25" t="s">
        <v>65</v>
      </c>
      <c r="C7" s="25" t="s">
        <v>58</v>
      </c>
      <c r="D7" s="25" t="s">
        <v>163</v>
      </c>
      <c r="E7" s="25">
        <v>60</v>
      </c>
      <c r="F7" s="25">
        <v>45.5</v>
      </c>
      <c r="G7" s="25">
        <f t="shared" si="2"/>
        <v>2730</v>
      </c>
      <c r="H7" s="91">
        <v>0.01</v>
      </c>
      <c r="I7" s="91">
        <v>0.02</v>
      </c>
      <c r="J7" s="43">
        <v>2.5000000000000001E-2</v>
      </c>
      <c r="K7" s="25">
        <f t="shared" si="3"/>
        <v>2730</v>
      </c>
      <c r="L7" s="25">
        <f t="shared" si="4"/>
        <v>27.3</v>
      </c>
      <c r="M7" s="25">
        <f t="shared" si="5"/>
        <v>2702.7</v>
      </c>
      <c r="N7" s="25">
        <f t="shared" si="6"/>
        <v>54.05</v>
      </c>
      <c r="O7" s="25">
        <f t="shared" si="7"/>
        <v>2648.65</v>
      </c>
      <c r="P7" s="25">
        <f t="shared" si="8"/>
        <v>66.22</v>
      </c>
      <c r="Q7" s="25">
        <f t="shared" si="9"/>
        <v>147.57</v>
      </c>
      <c r="R7" s="25">
        <f t="shared" si="10"/>
        <v>2582.4299999999998</v>
      </c>
      <c r="S7" s="91">
        <v>0.18</v>
      </c>
      <c r="T7" s="25">
        <f t="shared" si="11"/>
        <v>464.84</v>
      </c>
      <c r="U7" s="25">
        <f t="shared" si="12"/>
        <v>3047.27</v>
      </c>
      <c r="V7" s="25">
        <f t="shared" si="1"/>
        <v>252679.62839999999</v>
      </c>
      <c r="W7" s="25">
        <f t="shared" si="0"/>
        <v>7545.72</v>
      </c>
    </row>
    <row r="8" spans="1:23">
      <c r="A8" s="25">
        <v>6</v>
      </c>
      <c r="B8" s="25" t="s">
        <v>67</v>
      </c>
      <c r="C8" s="25" t="s">
        <v>58</v>
      </c>
      <c r="D8" s="25" t="s">
        <v>163</v>
      </c>
      <c r="E8" s="25">
        <v>75</v>
      </c>
      <c r="F8" s="25">
        <v>125.25</v>
      </c>
      <c r="G8" s="25">
        <f t="shared" si="2"/>
        <v>9393.75</v>
      </c>
      <c r="H8" s="91">
        <v>0.01</v>
      </c>
      <c r="I8" s="91">
        <v>0.02</v>
      </c>
      <c r="J8" s="43">
        <v>2.5000000000000001E-2</v>
      </c>
      <c r="K8" s="25">
        <f t="shared" si="3"/>
        <v>9393.75</v>
      </c>
      <c r="L8" s="25">
        <f t="shared" si="4"/>
        <v>93.94</v>
      </c>
      <c r="M8" s="25">
        <f t="shared" si="5"/>
        <v>9299.81</v>
      </c>
      <c r="N8" s="25">
        <f t="shared" si="6"/>
        <v>186</v>
      </c>
      <c r="O8" s="25">
        <f t="shared" si="7"/>
        <v>9113.81</v>
      </c>
      <c r="P8" s="25">
        <f t="shared" si="8"/>
        <v>227.85</v>
      </c>
      <c r="Q8" s="25">
        <f t="shared" si="9"/>
        <v>507.79</v>
      </c>
      <c r="R8" s="25">
        <f t="shared" si="10"/>
        <v>8885.9599999999991</v>
      </c>
      <c r="S8" s="91">
        <v>0.18</v>
      </c>
      <c r="T8" s="25">
        <f t="shared" si="11"/>
        <v>1599.47</v>
      </c>
      <c r="U8" s="25">
        <f t="shared" si="12"/>
        <v>10485.43</v>
      </c>
      <c r="V8" s="25">
        <f t="shared" si="1"/>
        <v>869451.85560000001</v>
      </c>
      <c r="W8" s="25">
        <f t="shared" si="0"/>
        <v>20771.46</v>
      </c>
    </row>
    <row r="9" spans="1:23">
      <c r="A9" s="25">
        <v>7</v>
      </c>
      <c r="B9" s="25" t="s">
        <v>69</v>
      </c>
      <c r="C9" s="25" t="s">
        <v>58</v>
      </c>
      <c r="D9" s="25" t="s">
        <v>176</v>
      </c>
      <c r="E9" s="25">
        <v>28</v>
      </c>
      <c r="F9" s="25">
        <v>150.5</v>
      </c>
      <c r="G9" s="25">
        <f t="shared" si="2"/>
        <v>4214</v>
      </c>
      <c r="H9" s="91">
        <v>0.01</v>
      </c>
      <c r="I9" s="91">
        <v>0.02</v>
      </c>
      <c r="J9" s="43">
        <v>2.5000000000000001E-2</v>
      </c>
      <c r="K9" s="25">
        <f t="shared" si="3"/>
        <v>4214</v>
      </c>
      <c r="L9" s="25">
        <f t="shared" si="4"/>
        <v>42.14</v>
      </c>
      <c r="M9" s="25">
        <f t="shared" si="5"/>
        <v>4171.8599999999997</v>
      </c>
      <c r="N9" s="25">
        <f t="shared" si="6"/>
        <v>83.44</v>
      </c>
      <c r="O9" s="25">
        <f t="shared" si="7"/>
        <v>4088.42</v>
      </c>
      <c r="P9" s="25">
        <f t="shared" si="8"/>
        <v>102.21</v>
      </c>
      <c r="Q9" s="25">
        <f t="shared" si="9"/>
        <v>227.79</v>
      </c>
      <c r="R9" s="25">
        <f t="shared" si="10"/>
        <v>3986.21</v>
      </c>
      <c r="S9" s="91">
        <v>0.18</v>
      </c>
      <c r="T9" s="25">
        <f t="shared" si="11"/>
        <v>717.52</v>
      </c>
      <c r="U9" s="25">
        <f t="shared" si="12"/>
        <v>4703.7299999999996</v>
      </c>
      <c r="V9" s="25">
        <f t="shared" si="1"/>
        <v>390033.2916</v>
      </c>
      <c r="W9" s="25">
        <f>ROUND(F9*$S$22*$T$1,2)</f>
        <v>31198.65</v>
      </c>
    </row>
    <row r="10" spans="1:23">
      <c r="A10" s="25">
        <v>8</v>
      </c>
      <c r="B10" s="25" t="s">
        <v>71</v>
      </c>
      <c r="C10" s="25" t="s">
        <v>58</v>
      </c>
      <c r="D10" s="25" t="s">
        <v>176</v>
      </c>
      <c r="E10" s="25">
        <v>30</v>
      </c>
      <c r="F10" s="25">
        <v>65.319999999999993</v>
      </c>
      <c r="G10" s="25">
        <f t="shared" si="2"/>
        <v>1959.6</v>
      </c>
      <c r="H10" s="91">
        <v>0.01</v>
      </c>
      <c r="I10" s="91">
        <v>0.02</v>
      </c>
      <c r="J10" s="43">
        <v>2.5000000000000001E-2</v>
      </c>
      <c r="K10" s="25">
        <f t="shared" si="3"/>
        <v>1959.6</v>
      </c>
      <c r="L10" s="25">
        <f t="shared" si="4"/>
        <v>19.600000000000001</v>
      </c>
      <c r="M10" s="25">
        <f t="shared" si="5"/>
        <v>1940</v>
      </c>
      <c r="N10" s="25">
        <f t="shared" si="6"/>
        <v>38.799999999999997</v>
      </c>
      <c r="O10" s="25">
        <f t="shared" si="7"/>
        <v>1901.2</v>
      </c>
      <c r="P10" s="25">
        <f t="shared" si="8"/>
        <v>47.53</v>
      </c>
      <c r="Q10" s="25">
        <f t="shared" si="9"/>
        <v>105.93</v>
      </c>
      <c r="R10" s="25">
        <f t="shared" si="10"/>
        <v>1853.67</v>
      </c>
      <c r="S10" s="91">
        <v>0.18</v>
      </c>
      <c r="T10" s="25">
        <f t="shared" si="11"/>
        <v>333.66</v>
      </c>
      <c r="U10" s="25">
        <f t="shared" si="12"/>
        <v>2187.33</v>
      </c>
      <c r="V10" s="25">
        <f t="shared" si="1"/>
        <v>181373.40359999999</v>
      </c>
      <c r="W10" s="25">
        <f>ROUND(F10*$S$22*$T$1,2)</f>
        <v>13540.84</v>
      </c>
    </row>
    <row r="11" spans="1:23">
      <c r="A11" s="25">
        <v>9</v>
      </c>
      <c r="B11" s="25" t="s">
        <v>73</v>
      </c>
      <c r="C11" s="25" t="s">
        <v>58</v>
      </c>
      <c r="D11" s="25" t="s">
        <v>176</v>
      </c>
      <c r="E11" s="25">
        <v>25</v>
      </c>
      <c r="F11" s="25">
        <v>74.89</v>
      </c>
      <c r="G11" s="25">
        <f t="shared" si="2"/>
        <v>1872.25</v>
      </c>
      <c r="H11" s="91">
        <v>0.01</v>
      </c>
      <c r="I11" s="91">
        <v>0.02</v>
      </c>
      <c r="J11" s="43">
        <v>2.5000000000000001E-2</v>
      </c>
      <c r="K11" s="25">
        <f t="shared" si="3"/>
        <v>1872.25</v>
      </c>
      <c r="L11" s="25">
        <f t="shared" si="4"/>
        <v>18.72</v>
      </c>
      <c r="M11" s="25">
        <f t="shared" si="5"/>
        <v>1853.53</v>
      </c>
      <c r="N11" s="25">
        <f t="shared" si="6"/>
        <v>37.07</v>
      </c>
      <c r="O11" s="25">
        <f t="shared" si="7"/>
        <v>1816.46</v>
      </c>
      <c r="P11" s="25">
        <f t="shared" si="8"/>
        <v>45.41</v>
      </c>
      <c r="Q11" s="25">
        <f t="shared" si="9"/>
        <v>101.2</v>
      </c>
      <c r="R11" s="25">
        <f t="shared" si="10"/>
        <v>1771.05</v>
      </c>
      <c r="S11" s="91">
        <v>0.18</v>
      </c>
      <c r="T11" s="25">
        <f t="shared" si="11"/>
        <v>318.79000000000002</v>
      </c>
      <c r="U11" s="25">
        <f t="shared" si="12"/>
        <v>2089.84</v>
      </c>
      <c r="V11" s="25">
        <f t="shared" si="1"/>
        <v>173289.53279999999</v>
      </c>
      <c r="W11" s="25">
        <f>ROUND(F11*$S$22*$T$1,2)</f>
        <v>15524.7</v>
      </c>
    </row>
    <row r="12" spans="1:23">
      <c r="A12" s="25">
        <v>10</v>
      </c>
      <c r="B12" s="25" t="s">
        <v>75</v>
      </c>
      <c r="C12" s="25" t="s">
        <v>58</v>
      </c>
      <c r="D12" s="25" t="s">
        <v>176</v>
      </c>
      <c r="E12" s="25">
        <v>28</v>
      </c>
      <c r="F12" s="25">
        <v>89.56</v>
      </c>
      <c r="G12" s="25">
        <f t="shared" si="2"/>
        <v>2507.6799999999998</v>
      </c>
      <c r="H12" s="91">
        <v>0.01</v>
      </c>
      <c r="I12" s="91">
        <v>0.02</v>
      </c>
      <c r="J12" s="43">
        <v>2.5000000000000001E-2</v>
      </c>
      <c r="K12" s="25">
        <f t="shared" si="3"/>
        <v>2507.6799999999998</v>
      </c>
      <c r="L12" s="25">
        <f t="shared" si="4"/>
        <v>25.08</v>
      </c>
      <c r="M12" s="25">
        <f t="shared" si="5"/>
        <v>2482.6</v>
      </c>
      <c r="N12" s="25">
        <f t="shared" si="6"/>
        <v>49.65</v>
      </c>
      <c r="O12" s="25">
        <f t="shared" si="7"/>
        <v>2432.9499999999998</v>
      </c>
      <c r="P12" s="25">
        <f t="shared" si="8"/>
        <v>60.82</v>
      </c>
      <c r="Q12" s="25">
        <f t="shared" si="9"/>
        <v>135.55000000000001</v>
      </c>
      <c r="R12" s="25">
        <f t="shared" si="10"/>
        <v>2372.13</v>
      </c>
      <c r="S12" s="91">
        <v>0.18</v>
      </c>
      <c r="T12" s="25">
        <f t="shared" si="11"/>
        <v>426.98</v>
      </c>
      <c r="U12" s="25">
        <f t="shared" si="12"/>
        <v>2799.11</v>
      </c>
      <c r="V12" s="25">
        <f t="shared" si="1"/>
        <v>232102.20120000001</v>
      </c>
      <c r="W12" s="25">
        <f>ROUND(F12*$S$22*$T$1,2)</f>
        <v>18565.79</v>
      </c>
    </row>
    <row r="13" spans="1:23">
      <c r="A13" s="25">
        <v>11</v>
      </c>
      <c r="B13" s="25" t="s">
        <v>77</v>
      </c>
      <c r="C13" s="25" t="s">
        <v>163</v>
      </c>
      <c r="D13" s="25" t="s">
        <v>185</v>
      </c>
      <c r="E13" s="25">
        <v>37</v>
      </c>
      <c r="F13" s="25">
        <v>89.54</v>
      </c>
      <c r="G13" s="25">
        <f t="shared" si="2"/>
        <v>3312.98</v>
      </c>
      <c r="H13" s="91">
        <v>0.01</v>
      </c>
      <c r="I13" s="91">
        <v>0.02</v>
      </c>
      <c r="J13" s="43">
        <v>2.5000000000000001E-2</v>
      </c>
      <c r="K13" s="25">
        <f t="shared" si="3"/>
        <v>3312.98</v>
      </c>
      <c r="L13" s="25">
        <f t="shared" si="4"/>
        <v>33.130000000000003</v>
      </c>
      <c r="M13" s="25">
        <f t="shared" si="5"/>
        <v>3279.85</v>
      </c>
      <c r="N13" s="25">
        <f t="shared" si="6"/>
        <v>65.599999999999994</v>
      </c>
      <c r="O13" s="25">
        <f t="shared" si="7"/>
        <v>3214.25</v>
      </c>
      <c r="P13" s="25">
        <f t="shared" si="8"/>
        <v>80.36</v>
      </c>
      <c r="Q13" s="25">
        <f t="shared" si="9"/>
        <v>179.09</v>
      </c>
      <c r="R13" s="25">
        <f t="shared" si="10"/>
        <v>3133.89</v>
      </c>
      <c r="S13" s="91">
        <v>0.18</v>
      </c>
      <c r="T13" s="25">
        <f t="shared" si="11"/>
        <v>564.1</v>
      </c>
      <c r="U13" s="25">
        <f t="shared" si="12"/>
        <v>3697.99</v>
      </c>
      <c r="V13" s="25">
        <f t="shared" si="1"/>
        <v>306637.3308</v>
      </c>
      <c r="W13" s="25">
        <f>ROUND(F13*$S$23*$T$1,2)</f>
        <v>7.42</v>
      </c>
    </row>
    <row r="14" spans="1:23">
      <c r="A14" s="25">
        <v>12</v>
      </c>
      <c r="B14" s="25" t="s">
        <v>79</v>
      </c>
      <c r="C14" s="25" t="s">
        <v>163</v>
      </c>
      <c r="D14" s="25" t="s">
        <v>185</v>
      </c>
      <c r="E14" s="25">
        <v>39</v>
      </c>
      <c r="F14" s="25">
        <v>35.200000000000003</v>
      </c>
      <c r="G14" s="25">
        <f t="shared" si="2"/>
        <v>1372.8</v>
      </c>
      <c r="H14" s="91">
        <v>0.01</v>
      </c>
      <c r="I14" s="91">
        <v>0.02</v>
      </c>
      <c r="J14" s="43">
        <v>2.5000000000000001E-2</v>
      </c>
      <c r="K14" s="25">
        <f t="shared" si="3"/>
        <v>1372.8</v>
      </c>
      <c r="L14" s="25">
        <f t="shared" si="4"/>
        <v>13.73</v>
      </c>
      <c r="M14" s="25">
        <f t="shared" si="5"/>
        <v>1359.07</v>
      </c>
      <c r="N14" s="25">
        <f t="shared" si="6"/>
        <v>27.18</v>
      </c>
      <c r="O14" s="25">
        <f t="shared" si="7"/>
        <v>1331.89</v>
      </c>
      <c r="P14" s="25">
        <f t="shared" si="8"/>
        <v>33.299999999999997</v>
      </c>
      <c r="Q14" s="25">
        <f t="shared" si="9"/>
        <v>74.209999999999994</v>
      </c>
      <c r="R14" s="25">
        <f t="shared" si="10"/>
        <v>1298.5899999999999</v>
      </c>
      <c r="S14" s="91">
        <v>0.18</v>
      </c>
      <c r="T14" s="25">
        <f t="shared" si="11"/>
        <v>233.75</v>
      </c>
      <c r="U14" s="25">
        <f t="shared" si="12"/>
        <v>1532.34</v>
      </c>
      <c r="V14" s="25">
        <f t="shared" si="1"/>
        <v>127061.63280000001</v>
      </c>
      <c r="W14" s="25">
        <f>ROUND(F14*$S$23*$T$1,2)</f>
        <v>2.92</v>
      </c>
    </row>
    <row r="15" spans="1:23">
      <c r="A15" s="25">
        <v>13</v>
      </c>
      <c r="B15" s="25" t="s">
        <v>81</v>
      </c>
      <c r="C15" s="25" t="s">
        <v>163</v>
      </c>
      <c r="D15" s="25" t="s">
        <v>185</v>
      </c>
      <c r="E15" s="25">
        <v>70</v>
      </c>
      <c r="F15" s="25">
        <v>102.25</v>
      </c>
      <c r="G15" s="25">
        <f t="shared" si="2"/>
        <v>7157.5</v>
      </c>
      <c r="H15" s="91">
        <v>0.01</v>
      </c>
      <c r="I15" s="91">
        <v>0.02</v>
      </c>
      <c r="J15" s="43">
        <v>2.5000000000000001E-2</v>
      </c>
      <c r="K15" s="25">
        <f t="shared" si="3"/>
        <v>7157.5</v>
      </c>
      <c r="L15" s="25">
        <f t="shared" si="4"/>
        <v>71.58</v>
      </c>
      <c r="M15" s="25">
        <f t="shared" si="5"/>
        <v>7085.92</v>
      </c>
      <c r="N15" s="25">
        <f t="shared" si="6"/>
        <v>141.72</v>
      </c>
      <c r="O15" s="25">
        <f t="shared" si="7"/>
        <v>6944.2</v>
      </c>
      <c r="P15" s="25">
        <f t="shared" si="8"/>
        <v>173.61</v>
      </c>
      <c r="Q15" s="25">
        <f t="shared" si="9"/>
        <v>386.91</v>
      </c>
      <c r="R15" s="25">
        <f t="shared" si="10"/>
        <v>6770.59</v>
      </c>
      <c r="S15" s="91">
        <v>0.18</v>
      </c>
      <c r="T15" s="25">
        <f t="shared" si="11"/>
        <v>1218.71</v>
      </c>
      <c r="U15" s="25">
        <f t="shared" si="12"/>
        <v>7989.3</v>
      </c>
      <c r="V15" s="25">
        <f t="shared" si="1"/>
        <v>662472.75600000005</v>
      </c>
      <c r="W15" s="25">
        <f>ROUND(F15*$S$23*$T$1,2)</f>
        <v>8.48</v>
      </c>
    </row>
    <row r="16" spans="1:23">
      <c r="A16" s="25">
        <v>14</v>
      </c>
      <c r="B16" s="25" t="s">
        <v>83</v>
      </c>
      <c r="C16" s="25" t="s">
        <v>163</v>
      </c>
      <c r="D16" s="25" t="s">
        <v>185</v>
      </c>
      <c r="E16" s="25">
        <v>100</v>
      </c>
      <c r="F16" s="25">
        <v>125.23</v>
      </c>
      <c r="G16" s="25">
        <f t="shared" si="2"/>
        <v>12523</v>
      </c>
      <c r="H16" s="91">
        <v>0.01</v>
      </c>
      <c r="I16" s="91">
        <v>0.02</v>
      </c>
      <c r="J16" s="43">
        <v>2.5000000000000001E-2</v>
      </c>
      <c r="K16" s="25">
        <f t="shared" si="3"/>
        <v>12523</v>
      </c>
      <c r="L16" s="25">
        <f t="shared" si="4"/>
        <v>125.23</v>
      </c>
      <c r="M16" s="25">
        <f t="shared" si="5"/>
        <v>12397.77</v>
      </c>
      <c r="N16" s="25">
        <f t="shared" si="6"/>
        <v>247.96</v>
      </c>
      <c r="O16" s="25">
        <f t="shared" si="7"/>
        <v>12149.81</v>
      </c>
      <c r="P16" s="25">
        <f t="shared" si="8"/>
        <v>303.75</v>
      </c>
      <c r="Q16" s="25">
        <f t="shared" si="9"/>
        <v>676.94</v>
      </c>
      <c r="R16" s="25">
        <f t="shared" si="10"/>
        <v>11846.06</v>
      </c>
      <c r="S16" s="91">
        <v>0.18</v>
      </c>
      <c r="T16" s="25">
        <f t="shared" si="11"/>
        <v>2132.29</v>
      </c>
      <c r="U16" s="25">
        <f t="shared" si="12"/>
        <v>13978.35</v>
      </c>
      <c r="V16" s="25">
        <f t="shared" si="1"/>
        <v>1159084.7819999999</v>
      </c>
      <c r="W16" s="25">
        <f>ROUND(F16*$S$23*$T$1,2)</f>
        <v>10.38</v>
      </c>
    </row>
    <row r="17" spans="1:23">
      <c r="A17" s="25">
        <v>15</v>
      </c>
      <c r="B17" s="25" t="s">
        <v>85</v>
      </c>
      <c r="C17" s="25" t="s">
        <v>163</v>
      </c>
      <c r="D17" s="25" t="s">
        <v>185</v>
      </c>
      <c r="E17" s="25">
        <v>85</v>
      </c>
      <c r="F17" s="25">
        <v>65.48</v>
      </c>
      <c r="G17" s="25">
        <f t="shared" si="2"/>
        <v>5565.8</v>
      </c>
      <c r="H17" s="91">
        <v>0.01</v>
      </c>
      <c r="I17" s="91">
        <v>0.02</v>
      </c>
      <c r="J17" s="43">
        <v>2.5000000000000001E-2</v>
      </c>
      <c r="K17" s="25">
        <f t="shared" si="3"/>
        <v>5565.8</v>
      </c>
      <c r="L17" s="25">
        <f t="shared" si="4"/>
        <v>55.66</v>
      </c>
      <c r="M17" s="25">
        <f t="shared" si="5"/>
        <v>5510.14</v>
      </c>
      <c r="N17" s="25">
        <f t="shared" si="6"/>
        <v>110.2</v>
      </c>
      <c r="O17" s="25">
        <f t="shared" si="7"/>
        <v>5399.94</v>
      </c>
      <c r="P17" s="25">
        <f t="shared" si="8"/>
        <v>135</v>
      </c>
      <c r="Q17" s="25">
        <f t="shared" si="9"/>
        <v>300.86</v>
      </c>
      <c r="R17" s="25">
        <f t="shared" si="10"/>
        <v>5264.94</v>
      </c>
      <c r="S17" s="91">
        <v>0.18</v>
      </c>
      <c r="T17" s="25">
        <f t="shared" si="11"/>
        <v>947.69</v>
      </c>
      <c r="U17" s="25">
        <f t="shared" si="12"/>
        <v>6212.63</v>
      </c>
      <c r="V17" s="25">
        <f t="shared" si="1"/>
        <v>515151.27960000001</v>
      </c>
      <c r="W17" s="25">
        <f>ROUND(F17*$S$23*$T$1,2)</f>
        <v>5.43</v>
      </c>
    </row>
    <row r="18" spans="1:23">
      <c r="A18" s="16"/>
      <c r="B18" s="155" t="s">
        <v>87</v>
      </c>
      <c r="C18" s="155"/>
      <c r="D18" s="155"/>
      <c r="E18" s="155"/>
      <c r="F18" s="155"/>
      <c r="G18" s="30">
        <f>SUM(G3:G17)</f>
        <v>71570.81</v>
      </c>
      <c r="H18" s="25"/>
      <c r="I18" s="25"/>
      <c r="J18" s="25"/>
      <c r="K18" s="25"/>
      <c r="L18" s="25"/>
      <c r="M18" s="25"/>
      <c r="N18" s="25"/>
      <c r="O18" s="25"/>
      <c r="P18" s="25"/>
      <c r="Q18" s="30">
        <f>SUM(Q3:Q17)</f>
        <v>3868.82</v>
      </c>
      <c r="R18" s="30">
        <f>SUM(R3:R17)</f>
        <v>67701.990000000005</v>
      </c>
      <c r="S18" s="30"/>
      <c r="T18" s="30">
        <f>SUM(T3:T17)</f>
        <v>12186.37</v>
      </c>
      <c r="U18" s="44">
        <f t="shared" ref="U18:W18" si="13">SUM(U3:U17)</f>
        <v>79888.36</v>
      </c>
      <c r="V18" s="44">
        <f t="shared" si="13"/>
        <v>6624342.8112000003</v>
      </c>
      <c r="W18" s="44">
        <f t="shared" si="13"/>
        <v>199005.74</v>
      </c>
    </row>
    <row r="19" spans="1:2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>
      <c r="A20" s="16"/>
      <c r="B20" s="16"/>
      <c r="C20" s="16"/>
      <c r="D20" s="16"/>
      <c r="E20" s="16"/>
      <c r="F20" s="163" t="s">
        <v>206</v>
      </c>
      <c r="G20" s="163"/>
      <c r="H20" s="163"/>
      <c r="I20" s="163"/>
      <c r="J20" s="16"/>
      <c r="K20" s="163" t="s">
        <v>207</v>
      </c>
      <c r="L20" s="163"/>
      <c r="M20" s="163"/>
      <c r="N20" s="163"/>
      <c r="O20" s="16"/>
      <c r="P20" s="16"/>
      <c r="Q20" s="159" t="s">
        <v>195</v>
      </c>
      <c r="R20" s="160"/>
      <c r="S20" s="160"/>
      <c r="T20" s="161"/>
      <c r="U20" s="16"/>
      <c r="V20" s="16"/>
      <c r="W20" s="16"/>
    </row>
    <row r="21" spans="1:23">
      <c r="A21" s="16"/>
      <c r="B21" s="16"/>
      <c r="C21" s="16"/>
      <c r="D21" s="16"/>
      <c r="E21" s="16"/>
      <c r="F21" s="156" t="s">
        <v>194</v>
      </c>
      <c r="G21" s="157"/>
      <c r="H21" s="164">
        <f>G18</f>
        <v>71570.81</v>
      </c>
      <c r="I21" s="164"/>
      <c r="J21" s="65"/>
      <c r="K21" s="156" t="s">
        <v>194</v>
      </c>
      <c r="L21" s="157"/>
      <c r="M21" s="164">
        <f>H21*$T$1</f>
        <v>5934651.5652000001</v>
      </c>
      <c r="N21" s="164"/>
      <c r="O21" s="16"/>
      <c r="P21" s="16"/>
      <c r="Q21" s="66">
        <v>1</v>
      </c>
      <c r="R21" s="66" t="s">
        <v>58</v>
      </c>
      <c r="S21" s="66">
        <v>2</v>
      </c>
      <c r="T21" s="66" t="s">
        <v>163</v>
      </c>
      <c r="U21" s="16"/>
      <c r="V21" s="33"/>
      <c r="W21" s="16"/>
    </row>
    <row r="22" spans="1:23">
      <c r="A22" s="16"/>
      <c r="B22" s="16"/>
      <c r="C22" s="16"/>
      <c r="D22" s="16"/>
      <c r="E22" s="16"/>
      <c r="F22" s="156" t="s">
        <v>196</v>
      </c>
      <c r="G22" s="157"/>
      <c r="H22" s="164">
        <f>Q18</f>
        <v>3868.82</v>
      </c>
      <c r="I22" s="164"/>
      <c r="J22" s="16"/>
      <c r="K22" s="156" t="s">
        <v>196</v>
      </c>
      <c r="L22" s="157"/>
      <c r="M22" s="164">
        <f t="shared" ref="M22:M25" si="14">H22*$T$1</f>
        <v>320802.55440000002</v>
      </c>
      <c r="N22" s="164"/>
      <c r="O22" s="16"/>
      <c r="P22" s="16"/>
      <c r="Q22" s="25">
        <v>1</v>
      </c>
      <c r="R22" s="25" t="s">
        <v>58</v>
      </c>
      <c r="S22" s="25">
        <v>2.5</v>
      </c>
      <c r="T22" s="25" t="s">
        <v>176</v>
      </c>
      <c r="U22" s="16"/>
      <c r="V22" s="33"/>
      <c r="W22" s="16"/>
    </row>
    <row r="23" spans="1:23">
      <c r="A23" s="16"/>
      <c r="B23" s="16"/>
      <c r="C23" s="16"/>
      <c r="D23" s="16"/>
      <c r="E23" s="16"/>
      <c r="F23" s="156" t="s">
        <v>197</v>
      </c>
      <c r="G23" s="157"/>
      <c r="H23" s="164">
        <f>R18</f>
        <v>67701.990000000005</v>
      </c>
      <c r="I23" s="164"/>
      <c r="J23" s="16"/>
      <c r="K23" s="156" t="s">
        <v>197</v>
      </c>
      <c r="L23" s="157"/>
      <c r="M23" s="164">
        <f t="shared" si="14"/>
        <v>5613849.0108000003</v>
      </c>
      <c r="N23" s="164"/>
      <c r="O23" s="16"/>
      <c r="P23" s="16"/>
      <c r="Q23" s="25">
        <v>1</v>
      </c>
      <c r="R23" s="25" t="s">
        <v>163</v>
      </c>
      <c r="S23" s="25">
        <v>1E-3</v>
      </c>
      <c r="T23" s="25" t="s">
        <v>185</v>
      </c>
      <c r="U23" s="16"/>
      <c r="V23" s="33"/>
      <c r="W23" s="16"/>
    </row>
    <row r="24" spans="1:23">
      <c r="A24" s="16"/>
      <c r="B24" s="16"/>
      <c r="C24" s="16"/>
      <c r="D24" s="16"/>
      <c r="E24" s="16"/>
      <c r="F24" s="156" t="s">
        <v>198</v>
      </c>
      <c r="G24" s="157"/>
      <c r="H24" s="164">
        <f>T18</f>
        <v>12186.37</v>
      </c>
      <c r="I24" s="164"/>
      <c r="J24" s="16"/>
      <c r="K24" s="156" t="s">
        <v>198</v>
      </c>
      <c r="L24" s="157"/>
      <c r="M24" s="164">
        <f t="shared" si="14"/>
        <v>1010493.8003999999</v>
      </c>
      <c r="N24" s="164"/>
      <c r="O24" s="16"/>
      <c r="P24" s="16"/>
      <c r="Q24" s="16"/>
      <c r="R24" s="16"/>
      <c r="S24" s="16"/>
      <c r="T24" s="16"/>
      <c r="U24" s="16"/>
      <c r="V24" s="33"/>
      <c r="W24" s="16"/>
    </row>
    <row r="25" spans="1:23">
      <c r="A25" s="16"/>
      <c r="B25" s="16"/>
      <c r="C25" s="16"/>
      <c r="D25" s="16"/>
      <c r="E25" s="16"/>
      <c r="F25" s="156" t="s">
        <v>199</v>
      </c>
      <c r="G25" s="157"/>
      <c r="H25" s="165">
        <f>H23+H24</f>
        <v>79888.36</v>
      </c>
      <c r="I25" s="165"/>
      <c r="J25" s="16"/>
      <c r="K25" s="156" t="s">
        <v>199</v>
      </c>
      <c r="L25" s="157"/>
      <c r="M25" s="165">
        <f t="shared" si="14"/>
        <v>6624342.8112000003</v>
      </c>
      <c r="N25" s="165"/>
      <c r="O25" s="16"/>
      <c r="P25" s="16"/>
      <c r="Q25" s="16"/>
      <c r="R25" s="16"/>
      <c r="S25" s="16"/>
      <c r="T25" s="16"/>
      <c r="U25" s="16"/>
      <c r="V25" s="33"/>
      <c r="W25" s="16"/>
    </row>
  </sheetData>
  <mergeCells count="25">
    <mergeCell ref="F25:G25"/>
    <mergeCell ref="H25:I25"/>
    <mergeCell ref="K25:L25"/>
    <mergeCell ref="M25:N25"/>
    <mergeCell ref="F23:G23"/>
    <mergeCell ref="H23:I23"/>
    <mergeCell ref="K23:L23"/>
    <mergeCell ref="M23:N23"/>
    <mergeCell ref="F24:G24"/>
    <mergeCell ref="H24:I24"/>
    <mergeCell ref="K24:L24"/>
    <mergeCell ref="M24:N24"/>
    <mergeCell ref="F21:G21"/>
    <mergeCell ref="H21:I21"/>
    <mergeCell ref="K21:L21"/>
    <mergeCell ref="M21:N21"/>
    <mergeCell ref="F22:G22"/>
    <mergeCell ref="H22:I22"/>
    <mergeCell ref="K22:L22"/>
    <mergeCell ref="M22:N22"/>
    <mergeCell ref="A1:P1"/>
    <mergeCell ref="B18:F18"/>
    <mergeCell ref="F20:I20"/>
    <mergeCell ref="K20:N20"/>
    <mergeCell ref="Q20:T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R25"/>
  <sheetViews>
    <sheetView workbookViewId="0">
      <selection sqref="A1:XFD1048576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6"/>
      <c r="AS1" s="16"/>
    </row>
    <row r="2" spans="1:45" ht="18.75" thickBot="1">
      <c r="A2" s="109" t="s">
        <v>47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1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50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210</v>
      </c>
      <c r="C23" s="25" t="s">
        <v>57</v>
      </c>
      <c r="D23" s="25" t="s">
        <v>58</v>
      </c>
      <c r="E23" s="25" t="s">
        <v>58</v>
      </c>
      <c r="F23" s="26">
        <v>2</v>
      </c>
      <c r="G23" s="26">
        <v>250.25</v>
      </c>
      <c r="H23" s="26">
        <f>F23*G23</f>
        <v>500.5</v>
      </c>
      <c r="I23" s="26">
        <v>2.21</v>
      </c>
      <c r="J23" s="26">
        <v>1.79</v>
      </c>
      <c r="K23" s="26">
        <v>2.5</v>
      </c>
      <c r="L23" s="26">
        <f>H23</f>
        <v>500.5</v>
      </c>
      <c r="M23" s="26">
        <f>ROUND(L23*I23%,2)</f>
        <v>11.06</v>
      </c>
      <c r="N23" s="26">
        <f>H23-M23</f>
        <v>489.44</v>
      </c>
      <c r="O23" s="26">
        <f>ROUND(N23*J23%,2)</f>
        <v>8.76</v>
      </c>
      <c r="P23" s="26">
        <f>ROUND(N23-O23,2)</f>
        <v>480.68</v>
      </c>
      <c r="Q23" s="26">
        <f>ROUND(P23*K23%,2)</f>
        <v>12.02</v>
      </c>
      <c r="R23" s="26">
        <f>M23+O23+Q23</f>
        <v>31.84</v>
      </c>
      <c r="S23" s="26">
        <f>(H23-R23)</f>
        <v>468.66</v>
      </c>
      <c r="T23" s="26" t="s">
        <v>146</v>
      </c>
      <c r="U23" s="26">
        <v>0.18</v>
      </c>
      <c r="V23" s="26">
        <f>IF(OR($C$21=1,$C$21=4),ROUND(((S23*U23)/2),2),0)</f>
        <v>42.18</v>
      </c>
      <c r="W23" s="26">
        <f>IF($C$21=1,ROUND(((S23*U23)/2),2),0)</f>
        <v>42.18</v>
      </c>
      <c r="X23" s="26">
        <f>IF($C$21=2,ROUND(((S23*U23)),2),0)</f>
        <v>0</v>
      </c>
      <c r="Y23" s="26">
        <f>IF($C$21=4,ROUND(((S23*U23)/2),2),0)</f>
        <v>0</v>
      </c>
      <c r="Z23" s="43">
        <v>0</v>
      </c>
      <c r="AA23" s="26">
        <f>IF($C21=3,0,S23*Z23)</f>
        <v>0</v>
      </c>
      <c r="AB23" s="26">
        <f>V23+W23+X23+Y23+AA23</f>
        <v>84.36</v>
      </c>
      <c r="AC23" s="26">
        <f>IF($V21=1,S23+AB23,S23)</f>
        <v>553.02</v>
      </c>
      <c r="AD23" s="26">
        <v>120</v>
      </c>
      <c r="AE23" s="26">
        <f>IF($P$21=1,(S23/$S$24)*$E$35,AD23/$AD$24*$E$35)</f>
        <v>0</v>
      </c>
      <c r="AF23" s="26"/>
      <c r="AG23" s="26">
        <f>IF($P$21=1,(S23/$S$24)*$E$37,AD23/$AD$24*$E$37)</f>
        <v>0</v>
      </c>
      <c r="AH23" s="26">
        <f>IF($P$21=1,(S23/$S$24)*$E$37,AD23/$AD$24*$E$37)</f>
        <v>0</v>
      </c>
      <c r="AI23" s="26">
        <f t="shared" ref="AI23" si="1">S23*$M$21</f>
        <v>23433</v>
      </c>
      <c r="AJ23" s="26">
        <f t="shared" ref="AJ23" si="2">IF($C$21=3,0,AG23+AH23)</f>
        <v>0</v>
      </c>
      <c r="AK23" s="26">
        <f t="shared" ref="AK23" si="3">IF($C$21=3,AE23+AG23+AH23,0)</f>
        <v>0</v>
      </c>
      <c r="AL23" s="26">
        <v>1</v>
      </c>
      <c r="AM23" s="26">
        <f t="shared" ref="AM23" si="4">F23/AL23</f>
        <v>2</v>
      </c>
      <c r="AN23" s="26">
        <f>AI23/AM23</f>
        <v>11716.5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11716.5</v>
      </c>
      <c r="AS23" s="48" t="s">
        <v>217</v>
      </c>
      <c r="AT23" s="48" t="s">
        <v>58</v>
      </c>
      <c r="AU23" t="s" s="0">
        <v>224</v>
      </c>
      <c r="AV23" t="s" s="0">
        <v>240</v>
      </c>
      <c r="AW23" s="48">
        <f>AM23</f>
        <v>2</v>
      </c>
      <c r="AX23" s="48">
        <f>AR23</f>
        <v>11716.5</v>
      </c>
      <c r="AY23" s="48">
        <f>AU23+AW23</f>
        <v>4</v>
      </c>
      <c r="AZ23" s="48">
        <f>ROUND(((AU23*AV23)+(AW23*AX23))/(AU23+AW23),5)</f>
        <v>5975.415</v>
      </c>
      <c r="BA23" s="50"/>
      <c r="BB23" s="50" t="s">
        <v>149</v>
      </c>
      <c r="BC23" s="51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31</v>
      </c>
      <c r="BM23" t="s" s="0">
        <v>410</v>
      </c>
      <c r="BN23" t="s" s="0">
        <v>317</v>
      </c>
      <c r="BO23" s="48">
        <f>ROUND((((AW23*AZ23)+(BN23*BM23))/(AW23+BN23)),5)</f>
        <v>4534.2855</v>
      </c>
      <c r="BP23" s="53">
        <f>BN23+AW23</f>
        <v>12</v>
      </c>
      <c r="BQ23" s="54">
        <v>123562</v>
      </c>
      <c r="BR23" s="53"/>
    </row>
    <row r="24" spans="1:70" ht="15.75" thickBot="1">
      <c r="A24" s="16"/>
      <c r="B24" s="27"/>
      <c r="C24" s="27"/>
      <c r="D24" s="28" t="s">
        <v>87</v>
      </c>
      <c r="E24" s="28"/>
      <c r="F24" s="28"/>
      <c r="G24" s="29"/>
      <c r="H24" s="30">
        <f>SUM(H23:H23)</f>
        <v>500.5</v>
      </c>
      <c r="I24" s="25"/>
      <c r="J24" s="25"/>
      <c r="K24" s="25"/>
      <c r="L24" s="25"/>
      <c r="M24" s="25"/>
      <c r="N24" s="25"/>
      <c r="O24" s="25"/>
      <c r="P24" s="25"/>
      <c r="Q24" s="25"/>
      <c r="R24" s="30">
        <f>SUM(R23:R23)</f>
        <v>31.84</v>
      </c>
      <c r="S24" s="39">
        <f>SUM(S23:S23)</f>
        <v>468.66</v>
      </c>
      <c r="T24" s="30"/>
      <c r="U24" s="30"/>
      <c r="V24" s="40">
        <f t="shared" ref="V24:AE24" si="5">SUM(V23:V23)</f>
        <v>42.18</v>
      </c>
      <c r="W24" s="40">
        <f t="shared" si="5"/>
        <v>42.18</v>
      </c>
      <c r="X24" s="40">
        <f t="shared" si="5"/>
        <v>0</v>
      </c>
      <c r="Y24" s="40"/>
      <c r="Z24" s="40"/>
      <c r="AA24" s="40"/>
      <c r="AB24" s="30">
        <f t="shared" si="5"/>
        <v>84.36</v>
      </c>
      <c r="AC24" s="44">
        <f t="shared" si="5"/>
        <v>553.02</v>
      </c>
      <c r="AD24" s="45">
        <f t="shared" si="5"/>
        <v>120</v>
      </c>
      <c r="AE24" s="45">
        <f t="shared" si="5"/>
        <v>0</v>
      </c>
      <c r="AF24" s="44"/>
      <c r="AG24" s="45">
        <f>SUM(AG23:AG23)</f>
        <v>0</v>
      </c>
      <c r="AH24" s="45">
        <f>SUM(AH23:AH23)</f>
        <v>0</v>
      </c>
      <c r="AI24" s="45">
        <f>SUM(AI23:AI23)</f>
        <v>23433</v>
      </c>
      <c r="AJ24" s="45">
        <f>SUM(AJ23:AJ23)</f>
        <v>0</v>
      </c>
      <c r="AK24" s="45">
        <f>SUM(AK23:AK23)</f>
        <v>0</v>
      </c>
      <c r="AL24" s="44"/>
      <c r="AM24" s="44"/>
      <c r="AN24" s="44"/>
      <c r="AO24" s="44"/>
      <c r="AP24" s="44"/>
      <c r="AQ24" s="44"/>
      <c r="AR24" s="44"/>
      <c r="AS24" s="16"/>
    </row>
    <row r="25" spans="1:70">
      <c r="A25" s="16"/>
      <c r="B25" s="27"/>
      <c r="C25" s="2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R26"/>
  <sheetViews>
    <sheetView workbookViewId="0">
      <selection sqref="A1:XFD1048576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6"/>
      <c r="AS1" s="16"/>
    </row>
    <row r="2" spans="1:45" ht="18.75" thickBot="1">
      <c r="A2" s="110" t="s">
        <v>47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1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50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28</v>
      </c>
      <c r="C23" s="25" t="s">
        <v>57</v>
      </c>
      <c r="D23" s="25" t="s">
        <v>58</v>
      </c>
      <c r="E23" s="25" t="s">
        <v>58</v>
      </c>
      <c r="F23" s="26">
        <v>2</v>
      </c>
      <c r="G23" s="26">
        <v>250.25</v>
      </c>
      <c r="H23" s="26">
        <f>F23*G23</f>
        <v>500.5</v>
      </c>
      <c r="I23" s="26">
        <v>2.21</v>
      </c>
      <c r="J23" s="26">
        <v>1.79</v>
      </c>
      <c r="K23" s="26">
        <v>2.5</v>
      </c>
      <c r="L23" s="26">
        <f>H23</f>
        <v>500.5</v>
      </c>
      <c r="M23" s="26">
        <f>ROUND(L23*I23%,2)</f>
        <v>11.06</v>
      </c>
      <c r="N23" s="26">
        <f>H23-M23</f>
        <v>489.44</v>
      </c>
      <c r="O23" s="26">
        <f>ROUND(N23*J23%,2)</f>
        <v>8.76</v>
      </c>
      <c r="P23" s="26">
        <f>ROUND(N23-O23,2)</f>
        <v>480.68</v>
      </c>
      <c r="Q23" s="26">
        <f>ROUND(P23*K23%,2)</f>
        <v>12.02</v>
      </c>
      <c r="R23" s="26">
        <f>M23+O23+Q23</f>
        <v>31.84</v>
      </c>
      <c r="S23" s="26">
        <f>(H23-R23)</f>
        <v>468.66</v>
      </c>
      <c r="T23" s="26" t="s">
        <v>146</v>
      </c>
      <c r="U23" s="26">
        <v>0.18</v>
      </c>
      <c r="V23" s="26">
        <f>IF(OR($C$21=1,$C$21=4),ROUND(((S23*U23)/2),2),0)</f>
        <v>42.18</v>
      </c>
      <c r="W23" s="26">
        <f>IF($C$21=1,ROUND(((S23*U23)/2),2),0)</f>
        <v>42.18</v>
      </c>
      <c r="X23" s="26">
        <f>IF($C$21=2,ROUND(((S23*U23)),2),0)</f>
        <v>0</v>
      </c>
      <c r="Y23" s="26">
        <f>IF($C$21=4,ROUND(((S23*U23)/2),2),0)</f>
        <v>0</v>
      </c>
      <c r="Z23" s="43">
        <v>0</v>
      </c>
      <c r="AA23" s="26">
        <f>IF($C21=3,0,S23*Z23)</f>
        <v>0</v>
      </c>
      <c r="AB23" s="26">
        <f>V23+W23+X23+Y23+AA23</f>
        <v>84.36</v>
      </c>
      <c r="AC23" s="26">
        <f>IF($V21=1,S23+AB23,S23)</f>
        <v>553.02</v>
      </c>
      <c r="AD23" s="26">
        <v>120</v>
      </c>
      <c r="AE23" s="26">
        <f>IF($P$21=1,(S23/$S$25)*$E$36,AD23/$AD$25*$E$36)</f>
        <v>0</v>
      </c>
      <c r="AF23" s="26"/>
      <c r="AG23" s="26">
        <f>IF($P$21=1,(S23/$S$25)*$E$38,AD23/$AD$25*$E$38)</f>
        <v>0</v>
      </c>
      <c r="AH23" s="26">
        <f>IF($P$21=1,(S23/$S$25)*$E$38,AD23/$AD$25*$E$38)</f>
        <v>0</v>
      </c>
      <c r="AI23" s="26">
        <f t="shared" ref="AI23:AI24" si="1">S23*$M$21</f>
        <v>23433</v>
      </c>
      <c r="AJ23" s="26">
        <f t="shared" ref="AJ23" si="2">IF($C$21=3,0,AG23+AH23)</f>
        <v>0</v>
      </c>
      <c r="AK23" s="26">
        <f t="shared" ref="AK23" si="3">IF($C$21=3,AE23+AG23+AH23,0)</f>
        <v>0</v>
      </c>
      <c r="AL23" s="26">
        <v>1</v>
      </c>
      <c r="AM23" s="26">
        <f t="shared" ref="AM23" si="4">F23/AL23</f>
        <v>2</v>
      </c>
      <c r="AN23" s="26">
        <f>AI23/AM23</f>
        <v>11716.5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11716.5</v>
      </c>
      <c r="AS23" s="48" t="s">
        <v>217</v>
      </c>
      <c r="AT23" s="48" t="s">
        <v>58</v>
      </c>
      <c r="AU23" t="s" s="0">
        <v>224</v>
      </c>
      <c r="AV23" t="s" s="0">
        <v>240</v>
      </c>
      <c r="AW23" s="48">
        <f>AM23</f>
        <v>2</v>
      </c>
      <c r="AX23" s="48">
        <f>AR23</f>
        <v>11716.5</v>
      </c>
      <c r="AY23" s="48">
        <f>AU23+AW23</f>
        <v>4</v>
      </c>
      <c r="AZ23" s="48">
        <f>ROUND(((AU23*AV23)+(AW23*AX23))/(AU23+AW23),5)</f>
        <v>5975.415</v>
      </c>
      <c r="BA23" s="50"/>
      <c r="BB23" s="50" t="s">
        <v>149</v>
      </c>
      <c r="BC23" s="51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31</v>
      </c>
      <c r="BM23" t="s" s="0">
        <v>410</v>
      </c>
      <c r="BN23" t="s" s="0">
        <v>317</v>
      </c>
      <c r="BO23" s="48">
        <f>ROUND((((AW23*AZ23)+(BN23*BM23))/(AW23+BN23)),5)</f>
        <v>4534.2855</v>
      </c>
      <c r="BP23" s="53">
        <f>BN23+AW23</f>
        <v>12</v>
      </c>
      <c r="BQ23" s="54">
        <v>123562</v>
      </c>
      <c r="BR23" s="53"/>
    </row>
    <row r="24" spans="1:70" ht="15.75" thickBot="1">
      <c r="A24" s="25">
        <v>2</v>
      </c>
      <c r="B24" s="25" t="s">
        <v>37</v>
      </c>
      <c r="C24" s="25" t="s">
        <v>57</v>
      </c>
      <c r="D24" s="25" t="s">
        <v>58</v>
      </c>
      <c r="E24" s="25" t="s">
        <v>58</v>
      </c>
      <c r="F24" s="26">
        <v>2</v>
      </c>
      <c r="G24" s="26">
        <v>250.25</v>
      </c>
      <c r="H24" s="26">
        <f>F24*G24</f>
        <v>500.5</v>
      </c>
      <c r="I24" s="26">
        <v>2.21</v>
      </c>
      <c r="J24" s="26">
        <v>1.79</v>
      </c>
      <c r="K24" s="26">
        <v>2.5</v>
      </c>
      <c r="L24" s="26">
        <f>H24</f>
        <v>500.5</v>
      </c>
      <c r="M24" s="26">
        <f>ROUND(L24*I24%,2)</f>
        <v>11.06</v>
      </c>
      <c r="N24" s="26">
        <f>H24-M24</f>
        <v>489.44</v>
      </c>
      <c r="O24" s="26">
        <f>ROUND(N24*J24%,2)</f>
        <v>8.76</v>
      </c>
      <c r="P24" s="26">
        <f>ROUND(N24-O24,2)</f>
        <v>480.68</v>
      </c>
      <c r="Q24" s="26">
        <f>ROUND(P24*K24%,2)</f>
        <v>12.02</v>
      </c>
      <c r="R24" s="26">
        <f>M24+O24+Q24</f>
        <v>31.84</v>
      </c>
      <c r="S24" s="26">
        <f>(H24-R24)</f>
        <v>468.66</v>
      </c>
      <c r="T24" s="26" t="s">
        <v>146</v>
      </c>
      <c r="U24" s="26">
        <v>0.18</v>
      </c>
      <c r="V24" s="26">
        <f>IF(OR($C$21=1,$C$21=4),ROUND(((S24*U24)/2),2),0)</f>
        <v>42.18</v>
      </c>
      <c r="W24" s="26">
        <f>IF($C$21=1,ROUND(((S24*U24)/2),2),0)</f>
        <v>42.18</v>
      </c>
      <c r="X24" s="26">
        <f>IF($C$21=2,ROUND(((S24*U24)),2),0)</f>
        <v>0</v>
      </c>
      <c r="Y24" s="26">
        <f>IF($C$21=4,ROUND(((S24*U24)/2),2),0)</f>
        <v>0</v>
      </c>
      <c r="Z24" s="43">
        <v>0</v>
      </c>
      <c r="AA24" s="26">
        <f>IF($C22=3,0,S24*Z24)</f>
        <v>0</v>
      </c>
      <c r="AB24" s="26">
        <f>V24+W24+X24+Y24+AA24</f>
        <v>84.36</v>
      </c>
      <c r="AC24" s="26">
        <f>IF($V22=1,S24+AB24,S24)</f>
        <v>468.66</v>
      </c>
      <c r="AD24" s="26">
        <v>120</v>
      </c>
      <c r="AE24" s="26">
        <f>IF($P$21=1,(S24/$S$25)*$E$36,AD24/$AD$25*$E$36)</f>
        <v>0</v>
      </c>
      <c r="AF24" s="26"/>
      <c r="AG24" s="26">
        <f>IF($P$21=1,(S24/$S$25)*$E$38,AD24/$AD$25*$E$38)</f>
        <v>0</v>
      </c>
      <c r="AH24" s="26">
        <f>IF($P$21=1,(S24/$S$25)*$E$38,AD24/$AD$25*$E$38)</f>
        <v>0</v>
      </c>
      <c r="AI24" s="26">
        <f t="shared" si="1"/>
        <v>23433</v>
      </c>
      <c r="AJ24" s="26">
        <f t="shared" ref="AJ24" si="5">IF($C$21=3,0,AG24+AH24)</f>
        <v>0</v>
      </c>
      <c r="AK24" s="26">
        <f t="shared" ref="AK24" si="6">IF($C$21=3,AE24+AG24+AH24,0)</f>
        <v>0</v>
      </c>
      <c r="AL24" s="26">
        <v>1</v>
      </c>
      <c r="AM24" s="26">
        <f t="shared" ref="AM24" si="7">F24/AL24</f>
        <v>2</v>
      </c>
      <c r="AN24" s="26">
        <f>AI24/AM24</f>
        <v>11716.5</v>
      </c>
      <c r="AO24" s="26">
        <f>AJ24/AM24</f>
        <v>0</v>
      </c>
      <c r="AP24" s="26">
        <f>AK24/AM24</f>
        <v>0</v>
      </c>
      <c r="AQ24" s="26" t="s">
        <v>58</v>
      </c>
      <c r="AR24" s="26">
        <f>AN24+AO24+AP24</f>
        <v>11716.5</v>
      </c>
      <c r="AS24" s="48" t="s">
        <v>217</v>
      </c>
      <c r="AT24" s="48" t="s">
        <v>58</v>
      </c>
      <c r="AU24" t="s" s="0">
        <v>224</v>
      </c>
      <c r="AV24" t="s" s="0">
        <v>240</v>
      </c>
      <c r="AW24" s="48">
        <f>AM24</f>
        <v>2</v>
      </c>
      <c r="AX24" s="48">
        <f>AR24</f>
        <v>11716.5</v>
      </c>
      <c r="AY24" s="48">
        <f>AU24+AW24</f>
        <v>4</v>
      </c>
      <c r="AZ24" s="48">
        <f>ROUND(((AU24*AV24)+(AW24*AX24))/(AU24+AW24),5)</f>
        <v>5975.415</v>
      </c>
      <c r="BA24" s="50"/>
      <c r="BB24" s="50" t="s">
        <v>149</v>
      </c>
      <c r="BC24" s="51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48" t="s">
        <v>31</v>
      </c>
      <c r="BM24" t="s" s="0">
        <v>410</v>
      </c>
      <c r="BN24" t="s" s="0">
        <v>317</v>
      </c>
      <c r="BO24" s="48">
        <f>ROUND((((AW24*AZ24)+(BN24*BM24))/(AW24+BN24)),5)</f>
        <v>4534.2855</v>
      </c>
      <c r="BP24" s="53">
        <f>BN24+AW24</f>
        <v>12</v>
      </c>
      <c r="BQ24" s="54">
        <v>123562</v>
      </c>
      <c r="BR24" s="53"/>
    </row>
    <row r="25" spans="1:70" ht="15.75" thickBot="1">
      <c r="A25" s="16"/>
      <c r="B25" s="27"/>
      <c r="C25" s="27"/>
      <c r="D25" s="28" t="s">
        <v>87</v>
      </c>
      <c r="E25" s="28"/>
      <c r="F25" s="28"/>
      <c r="G25" s="29"/>
      <c r="H25" s="30">
        <f>SUM(H23:H23)</f>
        <v>500.5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SUM(R23:R23)</f>
        <v>31.84</v>
      </c>
      <c r="S25" s="39">
        <f>SUM(S23:S23)</f>
        <v>468.66</v>
      </c>
      <c r="T25" s="30"/>
      <c r="U25" s="30"/>
      <c r="V25" s="40">
        <f t="shared" ref="V25:AE25" si="8">SUM(V23:V23)</f>
        <v>42.18</v>
      </c>
      <c r="W25" s="40">
        <f t="shared" si="8"/>
        <v>42.18</v>
      </c>
      <c r="X25" s="40">
        <f t="shared" si="8"/>
        <v>0</v>
      </c>
      <c r="Y25" s="40"/>
      <c r="Z25" s="40"/>
      <c r="AA25" s="40"/>
      <c r="AB25" s="30">
        <f t="shared" si="8"/>
        <v>84.36</v>
      </c>
      <c r="AC25" s="44">
        <f t="shared" si="8"/>
        <v>553.02</v>
      </c>
      <c r="AD25" s="45">
        <f t="shared" si="8"/>
        <v>120</v>
      </c>
      <c r="AE25" s="45">
        <f t="shared" si="8"/>
        <v>0</v>
      </c>
      <c r="AF25" s="44"/>
      <c r="AG25" s="45">
        <f>SUM(AG23:AG23)</f>
        <v>0</v>
      </c>
      <c r="AH25" s="45">
        <f>SUM(AH23:AH23)</f>
        <v>0</v>
      </c>
      <c r="AI25" s="45">
        <f>SUM(AI23:AI23)</f>
        <v>23433</v>
      </c>
      <c r="AJ25" s="45">
        <f>SUM(AJ23:AJ23)</f>
        <v>0</v>
      </c>
      <c r="AK25" s="45">
        <f>SUM(AK23:AK23)</f>
        <v>0</v>
      </c>
      <c r="AL25" s="44"/>
      <c r="AM25" s="44"/>
      <c r="AN25" s="44"/>
      <c r="AO25" s="44"/>
      <c r="AP25" s="44"/>
      <c r="AQ25" s="44"/>
      <c r="AR25" s="44"/>
      <c r="AS25" s="16"/>
    </row>
    <row r="26" spans="1:70">
      <c r="A26" s="16"/>
      <c r="B26" s="27"/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</row>
  </sheetData>
  <mergeCells count="3">
    <mergeCell ref="B19:G19"/>
    <mergeCell ref="A21:B21"/>
    <mergeCell ref="A1:AC1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BR25"/>
  <sheetViews>
    <sheetView tabSelected="1" topLeftCell="C10" workbookViewId="0">
      <selection activeCell="K23" sqref="K23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6"/>
      <c r="AS1" s="16"/>
    </row>
    <row r="2" spans="1:45" ht="18.75" thickBot="1">
      <c r="A2" s="131" t="s">
        <v>47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1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50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345</v>
      </c>
      <c r="C23" s="25" t="s">
        <v>57</v>
      </c>
      <c r="D23" s="25" t="s">
        <v>58</v>
      </c>
      <c r="E23" s="25" t="s">
        <v>58</v>
      </c>
      <c r="F23" s="26">
        <v>2</v>
      </c>
      <c r="G23" s="26">
        <v>250.25</v>
      </c>
      <c r="H23" s="26">
        <f>F23*G23</f>
        <v>500.5</v>
      </c>
      <c r="I23" s="26">
        <v>2.21</v>
      </c>
      <c r="J23" s="26">
        <v>1.79</v>
      </c>
      <c r="K23" s="26">
        <v>3</v>
      </c>
      <c r="L23" s="26">
        <f>H23</f>
        <v>500.5</v>
      </c>
      <c r="M23" s="26">
        <f>ROUND(L23*I23%,2)</f>
        <v>11.06</v>
      </c>
      <c r="N23" s="26">
        <f>H23-M23</f>
        <v>489.44</v>
      </c>
      <c r="O23" s="26">
        <f>ROUND(N23*J23%,2)</f>
        <v>8.76</v>
      </c>
      <c r="P23" s="26">
        <f>ROUND(N23-O23,2)</f>
        <v>480.68</v>
      </c>
      <c r="Q23" s="26">
        <f>ROUND(P23*K23%,2)</f>
        <v>14.42</v>
      </c>
      <c r="R23" s="26">
        <f>M23+O23+Q23</f>
        <v>34.24</v>
      </c>
      <c r="S23" s="26">
        <f>(H23-R23)</f>
        <v>466.26</v>
      </c>
      <c r="T23" s="26" t="s">
        <v>146</v>
      </c>
      <c r="U23" s="26">
        <v>0.18</v>
      </c>
      <c r="V23" s="26">
        <f>IF(OR($C$21=1,$C$21=4),ROUND(((S23*U23)/2),2),0)</f>
        <v>41.96</v>
      </c>
      <c r="W23" s="26">
        <f>IF($C$21=1,ROUND(((S23*U23)/2),2),0)</f>
        <v>41.96</v>
      </c>
      <c r="X23" s="26">
        <f>IF($C$21=2,ROUND(((S23*U23)),2),0)</f>
        <v>0</v>
      </c>
      <c r="Y23" s="26">
        <f>IF($C$21=4,ROUND(((S23*U23)/2),2),0)</f>
        <v>0</v>
      </c>
      <c r="Z23" s="43">
        <v>0</v>
      </c>
      <c r="AA23" s="26">
        <f>IF($C21=3,0,S23*Z23)</f>
        <v>0</v>
      </c>
      <c r="AB23" s="26">
        <f>V23+W23+X23+Y23+AA23</f>
        <v>83.92</v>
      </c>
      <c r="AC23" s="26">
        <f>IF($V21=1,S23+AB23,S23)</f>
        <v>550.17999999999995</v>
      </c>
      <c r="AD23" s="26">
        <v>120</v>
      </c>
      <c r="AE23" s="26">
        <f>IF($P$21=1,(S23/$S$24)*$E$35,AD23/$AD$24*$E$35)</f>
        <v>0</v>
      </c>
      <c r="AF23" s="26"/>
      <c r="AG23" s="26">
        <f>IF($P$21=1,(S23/$S$24)*$E$37,AD23/$AD$24*$E$37)</f>
        <v>0</v>
      </c>
      <c r="AH23" s="26">
        <f>IF($P$21=1,(S23/$S$24)*$E$37,AD23/$AD$24*$E$37)</f>
        <v>0</v>
      </c>
      <c r="AI23" s="26">
        <f t="shared" ref="AI23" si="1">S23*$M$21</f>
        <v>23313</v>
      </c>
      <c r="AJ23" s="26">
        <f t="shared" ref="AJ23" si="2">IF($C$21=3,0,AG23+AH23)</f>
        <v>0</v>
      </c>
      <c r="AK23" s="26">
        <f t="shared" ref="AK23" si="3">IF($C$21=3,AE23+AG23+AH23,0)</f>
        <v>0</v>
      </c>
      <c r="AL23" s="26">
        <v>1</v>
      </c>
      <c r="AM23" s="26">
        <f t="shared" ref="AM23" si="4">F23/AL23</f>
        <v>2</v>
      </c>
      <c r="AN23" s="26">
        <f>AI23/AM23</f>
        <v>11656.5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11656.5</v>
      </c>
      <c r="AS23" s="48" t="s">
        <v>217</v>
      </c>
      <c r="AT23" s="48" t="s">
        <v>58</v>
      </c>
      <c r="AU23" t="s" s="0">
        <v>224</v>
      </c>
      <c r="AV23" t="s" s="0">
        <v>240</v>
      </c>
      <c r="AW23" s="48">
        <f>AM23</f>
        <v>2</v>
      </c>
      <c r="AX23" s="48">
        <f>AR23</f>
        <v>11656.5</v>
      </c>
      <c r="AY23" s="48">
        <f>AU23+AW23</f>
        <v>4</v>
      </c>
      <c r="AZ23" s="48">
        <f>ROUND(((AU23*AV23)+(AW23*AX23))/(AU23+AW23),5)</f>
        <v>5945.415</v>
      </c>
      <c r="BA23" s="50"/>
      <c r="BB23" s="50" t="s">
        <v>149</v>
      </c>
      <c r="BC23" s="51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31</v>
      </c>
      <c r="BM23" t="s" s="0">
        <v>410</v>
      </c>
      <c r="BN23" t="s" s="0">
        <v>317</v>
      </c>
      <c r="BO23" s="48">
        <f>ROUND((((AW23*AZ23)+(BN23*BM23))/(AW23+BN23)),5)</f>
        <v>4529.2855</v>
      </c>
      <c r="BP23" s="53">
        <f>BN23+AW23</f>
        <v>12</v>
      </c>
      <c r="BQ23" s="54">
        <v>123562</v>
      </c>
      <c r="BR23" s="53"/>
    </row>
    <row r="24" spans="1:70" ht="15.75" thickBot="1">
      <c r="A24" s="16"/>
      <c r="B24" s="27"/>
      <c r="C24" s="27"/>
      <c r="D24" s="28" t="s">
        <v>87</v>
      </c>
      <c r="E24" s="28"/>
      <c r="F24" s="28"/>
      <c r="G24" s="29"/>
      <c r="H24" s="30">
        <f>SUM(H23:H23)</f>
        <v>500.5</v>
      </c>
      <c r="I24" s="25"/>
      <c r="J24" s="25"/>
      <c r="K24" s="25"/>
      <c r="L24" s="25"/>
      <c r="M24" s="25"/>
      <c r="N24" s="25"/>
      <c r="O24" s="25"/>
      <c r="P24" s="25"/>
      <c r="Q24" s="25"/>
      <c r="R24" s="30">
        <f>SUM(R23:R23)</f>
        <v>34.24</v>
      </c>
      <c r="S24" s="39">
        <f>SUM(S23:S23)</f>
        <v>466.26</v>
      </c>
      <c r="T24" s="30"/>
      <c r="U24" s="30"/>
      <c r="V24" s="40">
        <f t="shared" ref="V24:AE24" si="5">SUM(V23:V23)</f>
        <v>41.96</v>
      </c>
      <c r="W24" s="40">
        <f t="shared" si="5"/>
        <v>41.96</v>
      </c>
      <c r="X24" s="40">
        <f t="shared" si="5"/>
        <v>0</v>
      </c>
      <c r="Y24" s="40"/>
      <c r="Z24" s="40"/>
      <c r="AA24" s="40"/>
      <c r="AB24" s="30">
        <f t="shared" si="5"/>
        <v>83.92</v>
      </c>
      <c r="AC24" s="44">
        <f t="shared" si="5"/>
        <v>550.17999999999995</v>
      </c>
      <c r="AD24" s="45">
        <f t="shared" si="5"/>
        <v>120</v>
      </c>
      <c r="AE24" s="45">
        <f t="shared" si="5"/>
        <v>0</v>
      </c>
      <c r="AF24" s="44"/>
      <c r="AG24" s="45">
        <f>SUM(AG23:AG23)</f>
        <v>0</v>
      </c>
      <c r="AH24" s="45">
        <f>SUM(AH23:AH23)</f>
        <v>0</v>
      </c>
      <c r="AI24" s="45">
        <f>SUM(AI23:AI23)</f>
        <v>23313</v>
      </c>
      <c r="AJ24" s="45">
        <f>SUM(AJ23:AJ23)</f>
        <v>0</v>
      </c>
      <c r="AK24" s="45">
        <f>SUM(AK23:AK23)</f>
        <v>0</v>
      </c>
      <c r="AL24" s="44"/>
      <c r="AM24" s="44"/>
      <c r="AN24" s="44"/>
      <c r="AO24" s="44"/>
      <c r="AP24" s="44"/>
      <c r="AQ24" s="44"/>
      <c r="AR24" s="44"/>
      <c r="AS24" s="16"/>
    </row>
    <row r="25" spans="1:70">
      <c r="A25" s="16"/>
      <c r="B25" s="27"/>
      <c r="C25" s="2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</row>
  </sheetData>
  <mergeCells count="3">
    <mergeCell ref="B19:G19"/>
    <mergeCell ref="A21:B21"/>
    <mergeCell ref="A1:AC1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BR26"/>
  <sheetViews>
    <sheetView topLeftCell="Q10" workbookViewId="0">
      <selection activeCell="G23" sqref="G23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6"/>
      <c r="AS1" s="16"/>
    </row>
    <row r="2" spans="1:45" ht="18.75" thickBot="1">
      <c r="A2" s="147" t="s">
        <v>47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66" t="s">
        <v>87</v>
      </c>
      <c r="C19" s="167"/>
      <c r="D19" s="167"/>
      <c r="E19" s="167"/>
      <c r="F19" s="167"/>
      <c r="G19" s="168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1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28</v>
      </c>
      <c r="C23" s="25" t="s">
        <v>57</v>
      </c>
      <c r="D23" s="25" t="s">
        <v>58</v>
      </c>
      <c r="E23" s="25" t="s">
        <v>58</v>
      </c>
      <c r="F23" s="26">
        <v>3</v>
      </c>
      <c r="G23" s="26">
        <v>250.25</v>
      </c>
      <c r="H23" s="26">
        <f>F23*G23</f>
        <v>750.75</v>
      </c>
      <c r="I23" s="26">
        <v>2.21</v>
      </c>
      <c r="J23" s="26">
        <v>1.79</v>
      </c>
      <c r="K23" s="26">
        <v>2.5</v>
      </c>
      <c r="L23" s="26">
        <f>H23</f>
        <v>750.75</v>
      </c>
      <c r="M23" s="26">
        <f>ROUND(L23*I23%,2)</f>
        <v>16.59</v>
      </c>
      <c r="N23" s="26">
        <f>H23-M23</f>
        <v>734.16</v>
      </c>
      <c r="O23" s="26">
        <f>ROUND(N23*J23%,2)</f>
        <v>13.14</v>
      </c>
      <c r="P23" s="26">
        <f>ROUND(N23-O23,2)</f>
        <v>721.02</v>
      </c>
      <c r="Q23" s="26">
        <f>ROUND(P23*K23%,2)</f>
        <v>18.03</v>
      </c>
      <c r="R23" s="26">
        <f>M23+O23+Q23</f>
        <v>47.760000000000005</v>
      </c>
      <c r="S23" s="26">
        <f>(H23-R23)</f>
        <v>702.99</v>
      </c>
      <c r="T23" s="26" t="s">
        <v>146</v>
      </c>
      <c r="U23" s="26">
        <v>0.18</v>
      </c>
      <c r="V23" s="26">
        <f>IF(OR($C$21=1,$C$21=4),ROUND(((S23*U23)/2),2),0)</f>
        <v>63.27</v>
      </c>
      <c r="W23" s="26">
        <f>IF($C$21=1,ROUND(((S23*U23)/2),2),0)</f>
        <v>63.27</v>
      </c>
      <c r="X23" s="26">
        <f>IF($C$21=2,ROUND(((S23*U23)),2),0)</f>
        <v>0</v>
      </c>
      <c r="Y23" s="26">
        <f>IF($C$21=4,ROUND(((S23*U23)/2),2),0)</f>
        <v>0</v>
      </c>
      <c r="Z23" s="43">
        <v>0</v>
      </c>
      <c r="AA23" s="26">
        <f>IF($C21=3,0,S23*Z23)</f>
        <v>0</v>
      </c>
      <c r="AB23" s="26">
        <f>V23+W23+X23+Y23+AA23</f>
        <v>126.54</v>
      </c>
      <c r="AC23" s="26">
        <f>IF($V21=1,S23+AB23,S23)</f>
        <v>829.53</v>
      </c>
      <c r="AD23" s="26">
        <v>120</v>
      </c>
      <c r="AE23" s="26">
        <f>IF($P$21=1,(S23/$S$25)*$E$36,AD23/$AD$25*$E$36)</f>
        <v>0</v>
      </c>
      <c r="AF23" s="26"/>
      <c r="AG23" s="26">
        <f>IF($P$21=1,(S23/$S$25)*$E$38,AD23/$AD$25*$E$38)</f>
        <v>0</v>
      </c>
      <c r="AH23" s="26">
        <f>IF($P$21=1,(S23/$S$25)*$E$38,AD23/$AD$25*$E$38)</f>
        <v>0</v>
      </c>
      <c r="AI23" s="26">
        <f t="shared" ref="AI23:AI24" si="1">S23*$M$21</f>
        <v>702.99</v>
      </c>
      <c r="AJ23" s="26">
        <f t="shared" ref="AJ23:AJ24" si="2">IF($C$21=3,0,AG23+AH23)</f>
        <v>0</v>
      </c>
      <c r="AK23" s="26">
        <f t="shared" ref="AK23:AK24" si="3">IF($C$21=3,AE23+AG23+AH23,0)</f>
        <v>0</v>
      </c>
      <c r="AL23" s="26">
        <v>1</v>
      </c>
      <c r="AM23" s="26">
        <f t="shared" ref="AM23:AM24" si="4">F23/AL23</f>
        <v>3</v>
      </c>
      <c r="AN23" s="26">
        <f>AI23/AM23</f>
        <v>234.33</v>
      </c>
      <c r="AO23" s="26">
        <f>AJ23/AM23</f>
        <v>0</v>
      </c>
      <c r="AP23" s="26">
        <f>AK23/AM23</f>
        <v>0</v>
      </c>
      <c r="AQ23" s="26" t="s">
        <v>58</v>
      </c>
      <c r="AR23" s="0">
        <f>ROUND(AN23+AO23+AP23,5)</f>
        <v>234.33</v>
      </c>
      <c r="AS23" t="s" s="0">
        <v>217</v>
      </c>
      <c r="AT23" s="48" t="s">
        <v>58</v>
      </c>
      <c r="AU23" t="s" s="0">
        <v>218</v>
      </c>
      <c r="AV23" t="s" s="0">
        <v>499</v>
      </c>
      <c r="AW23" s="48">
        <f>AM23</f>
        <v>3</v>
      </c>
      <c r="AX23" s="48">
        <f>AR23</f>
        <v>234.33</v>
      </c>
      <c r="AY23" s="48">
        <f>AU23+AW23</f>
        <v>7</v>
      </c>
      <c r="AZ23" s="48">
        <f>ROUND(((AU23*AV23)+(AW23*AX23))/(AU23+AW23),5)</f>
        <v>234.34602000000001</v>
      </c>
      <c r="BA23" s="50"/>
      <c r="BB23" s="50" t="s">
        <v>149</v>
      </c>
      <c r="BC23" s="58" t="s">
        <v>29</v>
      </c>
      <c r="BD23" s="51" t="s">
        <v>30</v>
      </c>
      <c r="BE23" s="51" t="s">
        <v>39</v>
      </c>
      <c r="BF23" s="50"/>
      <c r="BG23" s="50"/>
      <c r="BH23" s="50"/>
      <c r="BI23" s="48"/>
      <c r="BJ23" t="s" s="0">
        <v>495</v>
      </c>
      <c r="BK23" t="s" s="0">
        <v>494</v>
      </c>
      <c r="BL23" s="48" t="s">
        <v>31</v>
      </c>
      <c r="BM23" t="s" s="0">
        <v>495</v>
      </c>
      <c r="BN23" t="s" s="0">
        <v>494</v>
      </c>
      <c r="BO23" s="9">
        <f>ROUND((((AW23*AZ23)+(BN23*BM23))/(AW23+BN23)),5)</f>
        <v>169.57722000000001</v>
      </c>
      <c r="BP23" s="53">
        <f>BN23+AW23</f>
        <v>2379.6</v>
      </c>
      <c r="BQ23" s="54">
        <v>123562</v>
      </c>
      <c r="BR23" s="53"/>
    </row>
    <row r="24" spans="1:70" ht="15.75" thickBot="1">
      <c r="A24" s="25">
        <v>2</v>
      </c>
      <c r="B24" s="25" t="s">
        <v>37</v>
      </c>
      <c r="C24" s="25" t="s">
        <v>57</v>
      </c>
      <c r="D24" s="25" t="s">
        <v>58</v>
      </c>
      <c r="E24" s="25" t="s">
        <v>58</v>
      </c>
      <c r="F24" s="26">
        <v>2</v>
      </c>
      <c r="G24" s="26">
        <v>250.25</v>
      </c>
      <c r="H24" s="26">
        <f>F24*G24</f>
        <v>500.5</v>
      </c>
      <c r="I24" s="26">
        <v>2.21</v>
      </c>
      <c r="J24" s="26">
        <v>1.79</v>
      </c>
      <c r="K24" s="26">
        <v>2.5</v>
      </c>
      <c r="L24" s="26">
        <f>H24</f>
        <v>500.5</v>
      </c>
      <c r="M24" s="26">
        <f>ROUND(L24*I24%,2)</f>
        <v>11.06</v>
      </c>
      <c r="N24" s="26">
        <f>H24-M24</f>
        <v>489.44</v>
      </c>
      <c r="O24" s="26">
        <f>ROUND(N24*J24%,2)</f>
        <v>8.76</v>
      </c>
      <c r="P24" s="26">
        <f>ROUND(N24-O24,2)</f>
        <v>480.68</v>
      </c>
      <c r="Q24" s="26">
        <f>ROUND(P24*K24%,2)</f>
        <v>12.02</v>
      </c>
      <c r="R24" s="26">
        <f>M24+O24+Q24</f>
        <v>31.84</v>
      </c>
      <c r="S24" s="26">
        <f>(H24-R24)</f>
        <v>468.66</v>
      </c>
      <c r="T24" s="26" t="s">
        <v>146</v>
      </c>
      <c r="U24" s="26">
        <v>0.18</v>
      </c>
      <c r="V24" s="26">
        <f>IF(OR($C$21=1,$C$21=4),ROUND(((S24*U24)/2),2),0)</f>
        <v>42.18</v>
      </c>
      <c r="W24" s="26">
        <f>IF($C$21=1,ROUND(((S24*U24)/2),2),0)</f>
        <v>42.18</v>
      </c>
      <c r="X24" s="26">
        <f>IF($C$21=2,ROUND(((S24*U24)),2),0)</f>
        <v>0</v>
      </c>
      <c r="Y24" s="26">
        <f>IF($C$21=4,ROUND(((S24*U24)/2),2),0)</f>
        <v>0</v>
      </c>
      <c r="Z24" s="43">
        <v>0</v>
      </c>
      <c r="AA24" s="26">
        <f>IF($C22=3,0,S24*Z24)</f>
        <v>0</v>
      </c>
      <c r="AB24" s="26">
        <f>V24+W24+X24+Y24+AA24</f>
        <v>84.36</v>
      </c>
      <c r="AC24" s="26">
        <f>IF($V22=1,S24+AB24,S24)</f>
        <v>468.66</v>
      </c>
      <c r="AD24" s="26">
        <v>120</v>
      </c>
      <c r="AE24" s="26">
        <f>IF($P$21=1,(S24/$S$25)*$E$36,AD24/$AD$25*$E$36)</f>
        <v>0</v>
      </c>
      <c r="AF24" s="26"/>
      <c r="AG24" s="26">
        <f>IF($P$21=1,(S24/$S$25)*$E$38,AD24/$AD$25*$E$38)</f>
        <v>0</v>
      </c>
      <c r="AH24" s="26">
        <f>IF($P$21=1,(S24/$S$25)*$E$38,AD24/$AD$25*$E$38)</f>
        <v>0</v>
      </c>
      <c r="AI24" s="26">
        <f t="shared" si="1"/>
        <v>468.66</v>
      </c>
      <c r="AJ24" s="26">
        <f t="shared" si="2"/>
        <v>0</v>
      </c>
      <c r="AK24" s="26">
        <f t="shared" si="3"/>
        <v>0</v>
      </c>
      <c r="AL24" s="26">
        <v>1</v>
      </c>
      <c r="AM24" s="26">
        <f t="shared" si="4"/>
        <v>2</v>
      </c>
      <c r="AN24" s="26">
        <f>AI24/AM24</f>
        <v>234.33</v>
      </c>
      <c r="AO24" s="26">
        <f>AJ24/AM24</f>
        <v>0</v>
      </c>
      <c r="AP24" s="26">
        <f>AK24/AM24</f>
        <v>0</v>
      </c>
      <c r="AQ24" s="26" t="s">
        <v>58</v>
      </c>
      <c r="AR24" s="0">
        <f>ROUND(AN23+AO23+AP23,5)</f>
        <v>234.33</v>
      </c>
      <c r="AS24" t="s" s="0">
        <v>217</v>
      </c>
      <c r="AT24" s="48" t="s">
        <v>58</v>
      </c>
      <c r="AU24" t="s" s="0">
        <v>219</v>
      </c>
      <c r="AV24" t="s" s="0">
        <v>498</v>
      </c>
      <c r="AW24" s="48">
        <f>AM24</f>
        <v>2</v>
      </c>
      <c r="AX24" s="48">
        <f>AR24</f>
        <v>234.33</v>
      </c>
      <c r="AY24" s="48">
        <f>AU24+AW24</f>
        <v>2</v>
      </c>
      <c r="AZ24" s="48">
        <f>ROUND(((AU24*AV24)+(AW24*AX24))/(AU24+AW24),5)</f>
        <v>234.33</v>
      </c>
      <c r="BA24" s="50"/>
      <c r="BB24" s="50" t="s">
        <v>149</v>
      </c>
      <c r="BC24" s="51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t="s" s="0">
        <v>497</v>
      </c>
      <c r="BK24" t="s" s="0">
        <v>496</v>
      </c>
      <c r="BL24" s="48" t="s">
        <v>31</v>
      </c>
      <c r="BM24" t="s" s="0">
        <v>497</v>
      </c>
      <c r="BN24" t="s" s="0">
        <v>496</v>
      </c>
      <c r="BO24" s="48">
        <f>ROUND((((AW24*AZ24)+(BN24*BM24))/(AW24+BN24)),5)</f>
        <v>100.94844999999999</v>
      </c>
      <c r="BP24" s="53">
        <f>BN24+AW24</f>
        <v>37</v>
      </c>
      <c r="BQ24" s="54">
        <v>123562</v>
      </c>
      <c r="BR24" s="53"/>
    </row>
    <row r="25" spans="1:70" ht="15.75" thickBot="1">
      <c r="A25" s="16"/>
      <c r="B25" s="27"/>
      <c r="C25" s="27"/>
      <c r="D25" s="28" t="s">
        <v>87</v>
      </c>
      <c r="E25" s="28"/>
      <c r="F25" s="28"/>
      <c r="G25" s="29"/>
      <c r="H25" s="30">
        <f>SUM(H23:H23)</f>
        <v>750.75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SUM(R23:R23)</f>
        <v>47.760000000000005</v>
      </c>
      <c r="S25" s="39">
        <f>SUM(S23:S23)</f>
        <v>702.99</v>
      </c>
      <c r="T25" s="30"/>
      <c r="U25" s="30"/>
      <c r="V25" s="40">
        <f t="shared" ref="V25:AE25" si="5">SUM(V23:V23)</f>
        <v>63.27</v>
      </c>
      <c r="W25" s="40">
        <f t="shared" si="5"/>
        <v>63.27</v>
      </c>
      <c r="X25" s="40">
        <f t="shared" si="5"/>
        <v>0</v>
      </c>
      <c r="Y25" s="40"/>
      <c r="Z25" s="40"/>
      <c r="AA25" s="40"/>
      <c r="AB25" s="30">
        <f t="shared" si="5"/>
        <v>126.54</v>
      </c>
      <c r="AC25" s="44">
        <f t="shared" si="5"/>
        <v>829.53</v>
      </c>
      <c r="AD25" s="45">
        <f t="shared" si="5"/>
        <v>120</v>
      </c>
      <c r="AE25" s="45">
        <f t="shared" si="5"/>
        <v>0</v>
      </c>
      <c r="AF25" s="44"/>
      <c r="AG25" s="45">
        <f>SUM(AG23:AG23)</f>
        <v>0</v>
      </c>
      <c r="AH25" s="45">
        <f>SUM(AH23:AH23)</f>
        <v>0</v>
      </c>
      <c r="AI25" s="45">
        <f>SUM(AI23:AI23)</f>
        <v>702.99</v>
      </c>
      <c r="AJ25" s="45">
        <f>SUM(AJ23:AJ23)</f>
        <v>0</v>
      </c>
      <c r="AK25" s="45">
        <f>SUM(AK23:AK23)</f>
        <v>0</v>
      </c>
      <c r="AL25" s="44"/>
      <c r="AM25" s="44"/>
      <c r="AN25" s="44"/>
      <c r="AO25" s="44"/>
      <c r="AP25" s="44"/>
      <c r="AQ25" s="44"/>
      <c r="AR25" s="44"/>
      <c r="AS25" s="16"/>
    </row>
    <row r="26" spans="1:70">
      <c r="A26" s="16"/>
      <c r="B26" s="27"/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R26"/>
  <sheetViews>
    <sheetView workbookViewId="0">
      <selection sqref="A1:XFD1048576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6"/>
      <c r="AS1" s="16"/>
    </row>
    <row r="2" spans="1:45" ht="18.75" thickBot="1">
      <c r="A2" s="147" t="s">
        <v>47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66" t="s">
        <v>87</v>
      </c>
      <c r="C19" s="167"/>
      <c r="D19" s="167"/>
      <c r="E19" s="167"/>
      <c r="F19" s="167"/>
      <c r="G19" s="168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1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315</v>
      </c>
      <c r="C23" s="25" t="s">
        <v>57</v>
      </c>
      <c r="D23" s="25" t="s">
        <v>58</v>
      </c>
      <c r="E23" s="25" t="s">
        <v>58</v>
      </c>
      <c r="F23" s="26">
        <v>2</v>
      </c>
      <c r="G23" s="26">
        <v>250.25</v>
      </c>
      <c r="H23" s="26">
        <f>F23*G23</f>
        <v>500.5</v>
      </c>
      <c r="I23" s="26">
        <v>2.21</v>
      </c>
      <c r="J23" s="26">
        <v>1.79</v>
      </c>
      <c r="K23" s="26">
        <v>2.5</v>
      </c>
      <c r="L23" s="26">
        <f>H23</f>
        <v>500.5</v>
      </c>
      <c r="M23" s="26">
        <f>ROUND(L23*I23%,2)</f>
        <v>11.06</v>
      </c>
      <c r="N23" s="26">
        <f>H23-M23</f>
        <v>489.44</v>
      </c>
      <c r="O23" s="26">
        <f>ROUND(N23*J23%,2)</f>
        <v>8.76</v>
      </c>
      <c r="P23" s="26">
        <f>ROUND(N23-O23,2)</f>
        <v>480.68</v>
      </c>
      <c r="Q23" s="26">
        <f>ROUND(P23*K23%,2)</f>
        <v>12.02</v>
      </c>
      <c r="R23" s="26">
        <f>M23+O23+Q23</f>
        <v>31.84</v>
      </c>
      <c r="S23" s="26">
        <f>(H23-R23)</f>
        <v>468.66</v>
      </c>
      <c r="T23" s="26" t="s">
        <v>146</v>
      </c>
      <c r="U23" s="26">
        <v>0.18</v>
      </c>
      <c r="V23" s="26">
        <f>IF(OR($C$21=1,$C$21=4),ROUND(((S23*U23)/2),2),0)</f>
        <v>42.18</v>
      </c>
      <c r="W23" s="26">
        <f>IF($C$21=1,ROUND(((S23*U23)/2),2),0)</f>
        <v>42.18</v>
      </c>
      <c r="X23" s="26">
        <f>IF($C$21=2,ROUND(((S23*U23)),2),0)</f>
        <v>0</v>
      </c>
      <c r="Y23" s="26">
        <f>IF($C$21=4,ROUND(((S23*U23)/2),2),0)</f>
        <v>0</v>
      </c>
      <c r="Z23" s="43">
        <v>0</v>
      </c>
      <c r="AA23" s="26">
        <f>IF($C21=3,0,S23*Z23)</f>
        <v>0</v>
      </c>
      <c r="AB23" s="26">
        <f>V23+W23+X23+Y23+AA23</f>
        <v>84.36</v>
      </c>
      <c r="AC23" s="26">
        <f>IF($V21=1,S23+AB23,S23)</f>
        <v>553.02</v>
      </c>
      <c r="AD23" s="26">
        <v>120</v>
      </c>
      <c r="AE23" s="26">
        <f>IF($P$21=1,(S23/$S$25)*$E$36,AD23/$AD$25*$E$36)</f>
        <v>0</v>
      </c>
      <c r="AF23" s="26"/>
      <c r="AG23" s="26">
        <f>IF($P$21=1,(S23/$S$25)*$E$38,AD23/$AD$25*$E$38)</f>
        <v>0</v>
      </c>
      <c r="AH23" s="26">
        <f>IF($P$21=1,(S23/$S$25)*$E$38,AD23/$AD$25*$E$38)</f>
        <v>0</v>
      </c>
      <c r="AI23" s="26">
        <f t="shared" ref="AI23:AI24" si="1">S23*$M$21</f>
        <v>468.66</v>
      </c>
      <c r="AJ23" s="26">
        <f t="shared" ref="AJ23:AJ24" si="2">IF($C$21=3,0,AG23+AH23)</f>
        <v>0</v>
      </c>
      <c r="AK23" s="26">
        <f t="shared" ref="AK23:AK24" si="3">IF($C$21=3,AE23+AG23+AH23,0)</f>
        <v>0</v>
      </c>
      <c r="AL23" s="26">
        <v>1</v>
      </c>
      <c r="AM23" s="26">
        <f t="shared" ref="AM23:AM24" si="4">F23/AL23</f>
        <v>2</v>
      </c>
      <c r="AN23" s="26">
        <f>AI23/AM23</f>
        <v>234.33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234.33</v>
      </c>
      <c r="AS23" s="48" t="s">
        <v>217</v>
      </c>
      <c r="AT23" s="48" t="s">
        <v>58</v>
      </c>
      <c r="AU23" t="s" s="0">
        <v>219</v>
      </c>
      <c r="AV23" t="s" s="0">
        <v>240</v>
      </c>
      <c r="AW23" s="48">
        <f>AM23</f>
        <v>2</v>
      </c>
      <c r="AX23" s="48">
        <f>AR23</f>
        <v>234.33</v>
      </c>
      <c r="AY23" s="48">
        <f>AU23+AW23</f>
        <v>2</v>
      </c>
      <c r="AZ23" s="48">
        <f>ROUND(((AU23*AV23)+(AW23*AX23))/(AU23+AW23),5)</f>
        <v>234.33</v>
      </c>
      <c r="BA23" s="50"/>
      <c r="BB23" s="50" t="s">
        <v>149</v>
      </c>
      <c r="BC23" s="51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31</v>
      </c>
      <c r="BM23" t="s" s="0">
        <v>240</v>
      </c>
      <c r="BN23" t="s" s="0">
        <v>421</v>
      </c>
      <c r="BO23" s="48">
        <f>ROUND((((AW23*AZ23)+(BN23*BM23))/(AW23+BN23)),5)</f>
        <v>234.33</v>
      </c>
      <c r="BP23" s="53">
        <f>BN23+AW23</f>
        <v>24</v>
      </c>
      <c r="BQ23" s="54">
        <v>123562</v>
      </c>
      <c r="BR23" s="53"/>
    </row>
    <row r="24" spans="1:70" ht="15.75" thickBot="1">
      <c r="A24" s="25">
        <v>2</v>
      </c>
      <c r="B24" s="25" t="s">
        <v>316</v>
      </c>
      <c r="C24" s="25" t="s">
        <v>57</v>
      </c>
      <c r="D24" s="25" t="s">
        <v>58</v>
      </c>
      <c r="E24" s="25" t="s">
        <v>58</v>
      </c>
      <c r="F24" s="26">
        <v>2</v>
      </c>
      <c r="G24" s="26">
        <v>250.25</v>
      </c>
      <c r="H24" s="26">
        <f>F24*G24</f>
        <v>500.5</v>
      </c>
      <c r="I24" s="26">
        <v>2.21</v>
      </c>
      <c r="J24" s="26">
        <v>1.79</v>
      </c>
      <c r="K24" s="26">
        <v>2.5</v>
      </c>
      <c r="L24" s="26">
        <f>H24</f>
        <v>500.5</v>
      </c>
      <c r="M24" s="26">
        <f>ROUND(L24*I24%,2)</f>
        <v>11.06</v>
      </c>
      <c r="N24" s="26">
        <f>H24-M24</f>
        <v>489.44</v>
      </c>
      <c r="O24" s="26">
        <f>ROUND(N24*J24%,2)</f>
        <v>8.76</v>
      </c>
      <c r="P24" s="26">
        <f>ROUND(N24-O24,2)</f>
        <v>480.68</v>
      </c>
      <c r="Q24" s="26">
        <f>ROUND(P24*K24%,2)</f>
        <v>12.02</v>
      </c>
      <c r="R24" s="26">
        <f>M24+O24+Q24</f>
        <v>31.84</v>
      </c>
      <c r="S24" s="26">
        <f>(H24-R24)</f>
        <v>468.66</v>
      </c>
      <c r="T24" s="26" t="s">
        <v>146</v>
      </c>
      <c r="U24" s="26">
        <v>0.18</v>
      </c>
      <c r="V24" s="26">
        <f>IF(OR($C$21=1,$C$21=4),ROUND(((S24*U24)/2),2),0)</f>
        <v>42.18</v>
      </c>
      <c r="W24" s="26">
        <f>IF($C$21=1,ROUND(((S24*U24)/2),2),0)</f>
        <v>42.18</v>
      </c>
      <c r="X24" s="26">
        <f>IF($C$21=2,ROUND(((S24*U24)),2),0)</f>
        <v>0</v>
      </c>
      <c r="Y24" s="26">
        <f>IF($C$21=4,ROUND(((S24*U24)/2),2),0)</f>
        <v>0</v>
      </c>
      <c r="Z24" s="43">
        <v>0</v>
      </c>
      <c r="AA24" s="26">
        <f>IF($C22=3,0,S24*Z24)</f>
        <v>0</v>
      </c>
      <c r="AB24" s="26">
        <f>V24+W24+X24+Y24+AA24</f>
        <v>84.36</v>
      </c>
      <c r="AC24" s="26">
        <f>IF($V22=1,S24+AB24,S24)</f>
        <v>468.66</v>
      </c>
      <c r="AD24" s="26">
        <v>120</v>
      </c>
      <c r="AE24" s="26">
        <f>IF($P$21=1,(S24/$S$25)*$E$36,AD24/$AD$25*$E$36)</f>
        <v>0</v>
      </c>
      <c r="AF24" s="26"/>
      <c r="AG24" s="26">
        <f>IF($P$21=1,(S24/$S$25)*$E$38,AD24/$AD$25*$E$38)</f>
        <v>0</v>
      </c>
      <c r="AH24" s="26">
        <f>IF($P$21=1,(S24/$S$25)*$E$38,AD24/$AD$25*$E$38)</f>
        <v>0</v>
      </c>
      <c r="AI24" s="26">
        <f t="shared" si="1"/>
        <v>468.66</v>
      </c>
      <c r="AJ24" s="26">
        <f t="shared" si="2"/>
        <v>0</v>
      </c>
      <c r="AK24" s="26">
        <f t="shared" si="3"/>
        <v>0</v>
      </c>
      <c r="AL24" s="26">
        <v>1</v>
      </c>
      <c r="AM24" s="26">
        <f t="shared" si="4"/>
        <v>2</v>
      </c>
      <c r="AN24" s="26">
        <f>AI24/AM24</f>
        <v>234.33</v>
      </c>
      <c r="AO24" s="26">
        <f>AJ24/AM24</f>
        <v>0</v>
      </c>
      <c r="AP24" s="26">
        <f>AK24/AM24</f>
        <v>0</v>
      </c>
      <c r="AQ24" s="26" t="s">
        <v>58</v>
      </c>
      <c r="AR24" s="26">
        <f>AN24+AO24+AP24</f>
        <v>234.33</v>
      </c>
      <c r="AS24" s="48" t="s">
        <v>217</v>
      </c>
      <c r="AT24" s="48" t="s">
        <v>58</v>
      </c>
      <c r="AU24" t="s" s="0">
        <v>219</v>
      </c>
      <c r="AV24" t="s" s="0">
        <v>240</v>
      </c>
      <c r="AW24" s="48">
        <f>AM24</f>
        <v>2</v>
      </c>
      <c r="AX24" s="48">
        <f>AR24</f>
        <v>234.33</v>
      </c>
      <c r="AY24" s="48">
        <f>AU24+AW24</f>
        <v>2</v>
      </c>
      <c r="AZ24" s="48">
        <f>ROUND(((AU24*AV24)+(AW24*AX24))/(AU24+AW24),5)</f>
        <v>234.33</v>
      </c>
      <c r="BA24" s="50"/>
      <c r="BB24" s="50" t="s">
        <v>149</v>
      </c>
      <c r="BC24" s="51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48" t="s">
        <v>31</v>
      </c>
      <c r="BM24" t="s" s="0">
        <v>528</v>
      </c>
      <c r="BN24" t="s" s="0">
        <v>527</v>
      </c>
      <c r="BO24" s="48">
        <f>ROUND((((AW24*AZ24)+(BN24*BM24))/(AW24+BN24)),5)</f>
        <v>201.94054</v>
      </c>
      <c r="BP24" s="53">
        <f>BN24+AW24</f>
        <v>37</v>
      </c>
      <c r="BQ24" s="54">
        <v>123562</v>
      </c>
      <c r="BR24" s="53"/>
    </row>
    <row r="25" spans="1:70" ht="15.75" thickBot="1">
      <c r="A25" s="16"/>
      <c r="B25" s="27"/>
      <c r="C25" s="27"/>
      <c r="D25" s="28" t="s">
        <v>87</v>
      </c>
      <c r="E25" s="28"/>
      <c r="F25" s="28"/>
      <c r="G25" s="29"/>
      <c r="H25" s="30">
        <f>SUM(H23:H23)</f>
        <v>500.5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SUM(R23:R23)</f>
        <v>31.84</v>
      </c>
      <c r="S25" s="39">
        <f>SUM(S23:S23)</f>
        <v>468.66</v>
      </c>
      <c r="T25" s="30"/>
      <c r="U25" s="30"/>
      <c r="V25" s="40">
        <f t="shared" ref="V25:AE25" si="5">SUM(V23:V23)</f>
        <v>42.18</v>
      </c>
      <c r="W25" s="40">
        <f t="shared" si="5"/>
        <v>42.18</v>
      </c>
      <c r="X25" s="40">
        <f t="shared" si="5"/>
        <v>0</v>
      </c>
      <c r="Y25" s="40"/>
      <c r="Z25" s="40"/>
      <c r="AA25" s="40"/>
      <c r="AB25" s="30">
        <f t="shared" si="5"/>
        <v>84.36</v>
      </c>
      <c r="AC25" s="44">
        <f t="shared" si="5"/>
        <v>553.02</v>
      </c>
      <c r="AD25" s="45">
        <f t="shared" si="5"/>
        <v>120</v>
      </c>
      <c r="AE25" s="45">
        <f t="shared" si="5"/>
        <v>0</v>
      </c>
      <c r="AF25" s="44"/>
      <c r="AG25" s="45">
        <f>SUM(AG23:AG23)</f>
        <v>0</v>
      </c>
      <c r="AH25" s="45">
        <f>SUM(AH23:AH23)</f>
        <v>0</v>
      </c>
      <c r="AI25" s="45">
        <f>SUM(AI23:AI23)</f>
        <v>468.66</v>
      </c>
      <c r="AJ25" s="45">
        <f>SUM(AJ23:AJ23)</f>
        <v>0</v>
      </c>
      <c r="AK25" s="45">
        <f>SUM(AK23:AK23)</f>
        <v>0</v>
      </c>
      <c r="AL25" s="44"/>
      <c r="AM25" s="44"/>
      <c r="AN25" s="44"/>
      <c r="AO25" s="44"/>
      <c r="AP25" s="44"/>
      <c r="AQ25" s="44"/>
      <c r="AR25" s="44"/>
      <c r="AS25" s="16"/>
    </row>
    <row r="26" spans="1:70">
      <c r="A26" s="16"/>
      <c r="B26" s="27"/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R26"/>
  <sheetViews>
    <sheetView topLeftCell="A16" workbookViewId="0">
      <selection activeCell="C30" sqref="C30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6"/>
      <c r="AS1" s="16"/>
    </row>
    <row r="2" spans="1:45" ht="18.75" thickBot="1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1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331</v>
      </c>
      <c r="C23" s="25" t="s">
        <v>57</v>
      </c>
      <c r="D23" s="25" t="s">
        <v>58</v>
      </c>
      <c r="E23" s="25" t="s">
        <v>58</v>
      </c>
      <c r="F23" s="26">
        <v>2</v>
      </c>
      <c r="G23" t="s" s="0">
        <v>441</v>
      </c>
      <c r="H23" s="26">
        <f>F23*G23</f>
        <v>500.5</v>
      </c>
      <c r="I23" t="s" s="0">
        <v>442</v>
      </c>
      <c r="J23" s="26">
        <v>1.79</v>
      </c>
      <c r="K23" s="26">
        <v>2.5</v>
      </c>
      <c r="L23" s="26">
        <f>H23</f>
        <v>500.5</v>
      </c>
      <c r="M23" s="26">
        <f>ROUND(L23*I23%,2)</f>
        <v>11.06</v>
      </c>
      <c r="N23" s="26">
        <f>H23-M23</f>
        <v>489.44</v>
      </c>
      <c r="O23" s="26">
        <f>ROUND(N23*J23%,2)</f>
        <v>8.76</v>
      </c>
      <c r="P23" s="26">
        <f>ROUND(N23-O23,2)</f>
        <v>480.68</v>
      </c>
      <c r="Q23" s="26">
        <f>ROUND(P23*K23%,2)</f>
        <v>12.02</v>
      </c>
      <c r="R23" s="26">
        <f>M23+O23+Q23</f>
        <v>31.84</v>
      </c>
      <c r="S23" s="26">
        <f>(H23-R23)</f>
        <v>468.66</v>
      </c>
      <c r="T23" s="26" t="s">
        <v>146</v>
      </c>
      <c r="U23" s="26">
        <v>0.18</v>
      </c>
      <c r="V23" s="26">
        <f>IF(OR($C$21=1,$C$21=4),ROUND(((S23*U23)/2),2),0)</f>
        <v>42.18</v>
      </c>
      <c r="W23" s="26">
        <f>IF($C$21=1,ROUND(((S23*U23)/2),2),0)</f>
        <v>42.18</v>
      </c>
      <c r="X23" s="26">
        <f>IF($C$21=2,ROUND(((S23*U23)),2),0)</f>
        <v>0</v>
      </c>
      <c r="Y23" s="26">
        <f>IF($C$21=4,ROUND(((S23*U23)/2),2),0)</f>
        <v>0</v>
      </c>
      <c r="Z23" s="43">
        <v>0</v>
      </c>
      <c r="AA23" s="26">
        <f>IF($C21=3,0,S23*Z23)</f>
        <v>0</v>
      </c>
      <c r="AB23" s="26">
        <f>V23+W23+X23+Y23+AA23</f>
        <v>84.36</v>
      </c>
      <c r="AC23" s="26">
        <f>IF($V21=1,S23+AB23,S23)</f>
        <v>553.02</v>
      </c>
      <c r="AD23" s="26">
        <v>120</v>
      </c>
      <c r="AE23" s="26">
        <f>IF($P$21=1,(S23/$S$25)*$E$36,AD23/$AD$25*$E$36)</f>
        <v>0</v>
      </c>
      <c r="AF23" s="26"/>
      <c r="AG23" s="26">
        <f>IF($P$21=1,(S23/$S$25)*$E$38,AD23/$AD$25*$E$38)</f>
        <v>0</v>
      </c>
      <c r="AH23" s="26">
        <f>IF($P$21=1,(S23/$S$25)*$E$38,AD23/$AD$25*$E$38)</f>
        <v>0</v>
      </c>
      <c r="AI23" s="26">
        <f t="shared" ref="AI23:AI24" si="1">S23*$M$21</f>
        <v>468.66</v>
      </c>
      <c r="AJ23" s="26">
        <f t="shared" ref="AJ23:AJ24" si="2">IF($C$21=3,0,AG23+AH23)</f>
        <v>0</v>
      </c>
      <c r="AK23" s="26">
        <f t="shared" ref="AK23:AK24" si="3">IF($C$21=3,AE23+AG23+AH23,0)</f>
        <v>0</v>
      </c>
      <c r="AL23" s="26">
        <v>1</v>
      </c>
      <c r="AM23" s="26">
        <f t="shared" ref="AM23:AM24" si="4">F23/AL23</f>
        <v>2</v>
      </c>
      <c r="AN23" s="26">
        <f>AI23/AM23</f>
        <v>234.33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234.33</v>
      </c>
      <c r="AS23" s="48" t="s">
        <v>217</v>
      </c>
      <c r="AT23" s="48" t="s">
        <v>58</v>
      </c>
      <c r="AU23" t="s" s="0">
        <v>219</v>
      </c>
      <c r="AV23" t="s" s="0">
        <v>440</v>
      </c>
      <c r="AW23" s="48">
        <f>AM23</f>
        <v>2</v>
      </c>
      <c r="AX23" s="48">
        <f>AR23</f>
        <v>234.33</v>
      </c>
      <c r="AY23" s="48">
        <f>AU23+AW23</f>
        <v>2</v>
      </c>
      <c r="AZ23" s="48">
        <f>ROUND(((AU23*AV23)+(AW23*AX23))/(AU23+AW23),5)</f>
        <v>234.33</v>
      </c>
      <c r="BA23" s="50"/>
      <c r="BB23" s="50" t="s">
        <v>149</v>
      </c>
      <c r="BC23" s="51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31</v>
      </c>
      <c r="BM23" t="s" s="0">
        <v>440</v>
      </c>
      <c r="BN23" t="s" s="0">
        <v>548</v>
      </c>
      <c r="BO23" s="48">
        <f>ROUND((((AW23*AZ23)+(BN23*BM23))/(AW23+BN23)),5)</f>
        <v>234.33</v>
      </c>
      <c r="BP23" s="53">
        <f>BN23+AW23</f>
        <v>16</v>
      </c>
      <c r="BQ23" s="54">
        <v>123562</v>
      </c>
      <c r="BR23" s="53"/>
    </row>
    <row r="24" spans="1:70" ht="15.75" thickBot="1">
      <c r="A24" s="25">
        <v>2</v>
      </c>
      <c r="B24" s="25" t="s">
        <v>332</v>
      </c>
      <c r="C24" s="25" t="s">
        <v>57</v>
      </c>
      <c r="D24" s="25" t="s">
        <v>58</v>
      </c>
      <c r="E24" s="25" t="s">
        <v>58</v>
      </c>
      <c r="F24" s="26">
        <v>2</v>
      </c>
      <c r="G24" t="s" s="0">
        <v>227</v>
      </c>
      <c r="H24" s="26">
        <f>F24*G24</f>
        <v>500.5</v>
      </c>
      <c r="I24" t="s" s="0">
        <v>443</v>
      </c>
      <c r="J24" s="26">
        <v>1.79</v>
      </c>
      <c r="K24" s="26">
        <v>2.5</v>
      </c>
      <c r="L24" s="26">
        <f>H24</f>
        <v>500.5</v>
      </c>
      <c r="M24" s="26">
        <f>ROUND(L24*I24%,2)</f>
        <v>11.06</v>
      </c>
      <c r="N24" s="26">
        <f>H24-M24</f>
        <v>489.44</v>
      </c>
      <c r="O24" s="26">
        <f>ROUND(N24*J24%,2)</f>
        <v>8.76</v>
      </c>
      <c r="P24" s="26">
        <f>ROUND(N24-O24,2)</f>
        <v>480.68</v>
      </c>
      <c r="Q24" s="26">
        <f>ROUND(P24*K24%,2)</f>
        <v>12.02</v>
      </c>
      <c r="R24" s="26">
        <f>M24+O24+Q24</f>
        <v>31.84</v>
      </c>
      <c r="S24" s="26">
        <f>(H24-R24)</f>
        <v>468.66</v>
      </c>
      <c r="T24" s="26" t="s">
        <v>146</v>
      </c>
      <c r="U24" s="26">
        <v>0.18</v>
      </c>
      <c r="V24" s="26">
        <f>IF(OR($C$21=1,$C$21=4),ROUND(((S24*U24)/2),2),0)</f>
        <v>42.18</v>
      </c>
      <c r="W24" s="26">
        <f>IF($C$21=1,ROUND(((S24*U24)/2),2),0)</f>
        <v>42.18</v>
      </c>
      <c r="X24" s="26">
        <f>IF($C$21=2,ROUND(((S24*U24)),2),0)</f>
        <v>0</v>
      </c>
      <c r="Y24" s="26">
        <f>IF($C$21=4,ROUND(((S24*U24)/2),2),0)</f>
        <v>0</v>
      </c>
      <c r="Z24" s="43">
        <v>0</v>
      </c>
      <c r="AA24" s="26">
        <f>IF($C22=3,0,S24*Z24)</f>
        <v>0</v>
      </c>
      <c r="AB24" s="26">
        <f>V24+W24+X24+Y24+AA24</f>
        <v>84.36</v>
      </c>
      <c r="AC24" s="26">
        <f>IF($V22=1,S24+AB24,S24)</f>
        <v>468.66</v>
      </c>
      <c r="AD24" s="26">
        <v>120</v>
      </c>
      <c r="AE24" s="26">
        <f>IF($P$21=1,(S24/$S$25)*$E$36,AD24/$AD$25*$E$36)</f>
        <v>0</v>
      </c>
      <c r="AF24" s="26"/>
      <c r="AG24" s="26">
        <f>IF($P$21=1,(S24/$S$25)*$E$38,AD24/$AD$25*$E$38)</f>
        <v>0</v>
      </c>
      <c r="AH24" s="26">
        <f>IF($P$21=1,(S24/$S$25)*$E$38,AD24/$AD$25*$E$38)</f>
        <v>0</v>
      </c>
      <c r="AI24" s="26">
        <f t="shared" si="1"/>
        <v>468.66</v>
      </c>
      <c r="AJ24" s="26">
        <f t="shared" si="2"/>
        <v>0</v>
      </c>
      <c r="AK24" s="26">
        <f t="shared" si="3"/>
        <v>0</v>
      </c>
      <c r="AL24" s="26">
        <v>1</v>
      </c>
      <c r="AM24" s="26">
        <f t="shared" si="4"/>
        <v>2</v>
      </c>
      <c r="AN24" s="26">
        <f>AI24/AM24</f>
        <v>234.33</v>
      </c>
      <c r="AO24" s="26">
        <f>AJ24/AM24</f>
        <v>0</v>
      </c>
      <c r="AP24" s="26">
        <f>AK24/AM24</f>
        <v>0</v>
      </c>
      <c r="AQ24" s="26" t="s">
        <v>58</v>
      </c>
      <c r="AR24" s="26">
        <f>AN24+AO24+AP24</f>
        <v>234.33</v>
      </c>
      <c r="AS24" s="48" t="s">
        <v>217</v>
      </c>
      <c r="AT24" s="48" t="s">
        <v>58</v>
      </c>
      <c r="AU24" t="s" s="0">
        <v>219</v>
      </c>
      <c r="AV24" t="s" s="0">
        <v>444</v>
      </c>
      <c r="AW24" s="48">
        <f>AM24</f>
        <v>2</v>
      </c>
      <c r="AX24" s="48">
        <f>AR24</f>
        <v>234.33</v>
      </c>
      <c r="AY24" s="48">
        <f>AU24+AW24</f>
        <v>2</v>
      </c>
      <c r="AZ24" s="48">
        <f>ROUND(((AU24*AV24)+(AW24*AX24))/(AU24+AW24),5)</f>
        <v>234.33</v>
      </c>
      <c r="BA24" s="50"/>
      <c r="BB24" s="50" t="s">
        <v>149</v>
      </c>
      <c r="BC24" s="51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48" t="s">
        <v>31</v>
      </c>
      <c r="BM24" t="s" s="0">
        <v>549</v>
      </c>
      <c r="BN24" t="s" s="0">
        <v>336</v>
      </c>
      <c r="BO24" s="48">
        <f>ROUND((((AW24*AZ24)+(BN24*BM24))/(AW24+BN24)),5)</f>
        <v>193.00550999999999</v>
      </c>
      <c r="BP24" s="53">
        <f>BN24+AW24</f>
        <v>29</v>
      </c>
      <c r="BQ24" s="54">
        <v>123562</v>
      </c>
      <c r="BR24" s="53"/>
    </row>
    <row r="25" spans="1:70" ht="15.75" thickBot="1">
      <c r="A25" s="16"/>
      <c r="B25" s="27"/>
      <c r="C25" s="27"/>
      <c r="D25" s="28" t="s">
        <v>87</v>
      </c>
      <c r="E25" s="28"/>
      <c r="F25" s="28"/>
      <c r="G25" s="29"/>
      <c r="H25" s="30">
        <f>SUM(H23:H23)</f>
        <v>500.5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SUM(R23:R23)</f>
        <v>31.84</v>
      </c>
      <c r="S25" s="39">
        <f>SUM(S23:S23)</f>
        <v>468.66</v>
      </c>
      <c r="T25" s="30"/>
      <c r="U25" s="30"/>
      <c r="V25" s="40">
        <f t="shared" ref="V25:AE25" si="5">SUM(V23:V23)</f>
        <v>42.18</v>
      </c>
      <c r="W25" s="40">
        <f t="shared" si="5"/>
        <v>42.18</v>
      </c>
      <c r="X25" s="40">
        <f t="shared" si="5"/>
        <v>0</v>
      </c>
      <c r="Y25" s="40"/>
      <c r="Z25" s="40"/>
      <c r="AA25" s="40"/>
      <c r="AB25" s="30">
        <f t="shared" si="5"/>
        <v>84.36</v>
      </c>
      <c r="AC25" s="44">
        <f t="shared" si="5"/>
        <v>553.02</v>
      </c>
      <c r="AD25" s="45">
        <f t="shared" si="5"/>
        <v>120</v>
      </c>
      <c r="AE25" s="45">
        <f t="shared" si="5"/>
        <v>0</v>
      </c>
      <c r="AF25" s="44"/>
      <c r="AG25" s="45">
        <f>SUM(AG23:AG23)</f>
        <v>0</v>
      </c>
      <c r="AH25" s="45">
        <f>SUM(AH23:AH23)</f>
        <v>0</v>
      </c>
      <c r="AI25" s="45">
        <f>SUM(AI23:AI23)</f>
        <v>468.66</v>
      </c>
      <c r="AJ25" s="45">
        <f>SUM(AJ23:AJ23)</f>
        <v>0</v>
      </c>
      <c r="AK25" s="45">
        <f>SUM(AK23:AK23)</f>
        <v>0</v>
      </c>
      <c r="AL25" s="44"/>
      <c r="AM25" s="44"/>
      <c r="AN25" s="44"/>
      <c r="AO25" s="44"/>
      <c r="AP25" s="44"/>
      <c r="AQ25" s="44"/>
      <c r="AR25" s="44"/>
      <c r="AS25" s="16"/>
    </row>
    <row r="26" spans="1:70">
      <c r="A26" s="16"/>
      <c r="B26" s="27"/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R26"/>
  <sheetViews>
    <sheetView topLeftCell="A11" workbookViewId="0">
      <selection activeCell="B26" sqref="B26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60" max="60" customWidth="true" width="12.5703125"/>
    <col min="61" max="61" customWidth="true" width="21.7109375"/>
    <col min="62" max="63" customWidth="true" width="30.5703125"/>
    <col min="64" max="64" bestFit="true" customWidth="true" width="8.1406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6"/>
      <c r="AS1" s="16"/>
    </row>
    <row r="2" spans="1:45" ht="18.75" thickBot="1">
      <c r="A2" s="110" t="s">
        <v>47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1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414</v>
      </c>
      <c r="C23" s="25" t="s">
        <v>57</v>
      </c>
      <c r="D23" s="25" t="s">
        <v>58</v>
      </c>
      <c r="E23" s="25" t="s">
        <v>58</v>
      </c>
      <c r="F23" s="26">
        <v>2</v>
      </c>
      <c r="G23" t="s" s="0">
        <v>416</v>
      </c>
      <c r="H23" s="26">
        <f>F23*G23</f>
        <v>500.5</v>
      </c>
      <c r="I23" t="s" s="0">
        <v>224</v>
      </c>
      <c r="J23" s="26">
        <v>1.79</v>
      </c>
      <c r="K23" s="26">
        <v>2.5</v>
      </c>
      <c r="L23" s="26">
        <f>H23</f>
        <v>500.5</v>
      </c>
      <c r="M23" s="26">
        <f>ROUND(L23*I23%,2)</f>
        <v>10.01</v>
      </c>
      <c r="N23" s="26">
        <f>H23-M23</f>
        <v>490.49</v>
      </c>
      <c r="O23" s="26">
        <f>ROUND(N23*J23%,2)</f>
        <v>8.7799999999999994</v>
      </c>
      <c r="P23" s="26">
        <f>ROUND(N23-O23,2)</f>
        <v>481.71</v>
      </c>
      <c r="Q23" s="26">
        <f>ROUND(P23*K23%,2)</f>
        <v>12.04</v>
      </c>
      <c r="R23" s="26">
        <f>M23+O23+Q23</f>
        <v>30.83</v>
      </c>
      <c r="S23" s="26">
        <f>(H23-R23)</f>
        <v>469.67</v>
      </c>
      <c r="T23" s="26" t="s">
        <v>146</v>
      </c>
      <c r="U23" s="26">
        <v>0.18</v>
      </c>
      <c r="V23" s="26">
        <f>IF(OR($C$21=1,$C$21=4),ROUND(((S23*U23)/2),2),0)</f>
        <v>42.27</v>
      </c>
      <c r="W23" s="26">
        <f>IF($C$21=1,ROUND(((S23*U23)/2),2),0)</f>
        <v>42.27</v>
      </c>
      <c r="X23" s="26">
        <f>IF($C$21=2,ROUND(((S23*U23)),2),0)</f>
        <v>0</v>
      </c>
      <c r="Y23" s="26">
        <f>IF($C$21=4,ROUND(((S23*U23)/2),2),0)</f>
        <v>0</v>
      </c>
      <c r="Z23" s="43">
        <v>0</v>
      </c>
      <c r="AA23" s="26">
        <f>IF($C21=3,0,S23*Z23)</f>
        <v>0</v>
      </c>
      <c r="AB23" s="26">
        <f>V23+W23+X23+Y23+AA23</f>
        <v>84.54</v>
      </c>
      <c r="AC23" s="26">
        <f>IF($V21=1,S23+AB23,S23)</f>
        <v>554.21</v>
      </c>
      <c r="AD23" s="26">
        <v>120</v>
      </c>
      <c r="AE23" s="26">
        <f>IF($P$21=1,(S23/$S$25)*$E$36,AD23/$AD$25*$E$36)</f>
        <v>0</v>
      </c>
      <c r="AF23" s="26"/>
      <c r="AG23" s="26">
        <f>IF($P$21=1,(S23/$S$25)*$E$38,AD23/$AD$25*$E$38)</f>
        <v>0</v>
      </c>
      <c r="AH23" s="26">
        <f>IF($P$21=1,(S23/$S$25)*$E$38,AD23/$AD$25*$E$38)</f>
        <v>0</v>
      </c>
      <c r="AI23" s="26">
        <f t="shared" ref="AI23:AI24" si="1">S23*$M$21</f>
        <v>469.67</v>
      </c>
      <c r="AJ23" s="26">
        <f t="shared" ref="AJ23:AJ24" si="2">IF($C$21=3,0,AG23+AH23)</f>
        <v>0</v>
      </c>
      <c r="AK23" s="26">
        <f t="shared" ref="AK23:AK24" si="3">IF($C$21=3,AE23+AG23+AH23,0)</f>
        <v>0</v>
      </c>
      <c r="AL23" s="26">
        <v>1</v>
      </c>
      <c r="AM23" s="26">
        <f t="shared" ref="AM23:AM24" si="4">F23/AL23</f>
        <v>2</v>
      </c>
      <c r="AN23" s="26">
        <f>AI23/AM23</f>
        <v>234.83500000000001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234.83500000000001</v>
      </c>
      <c r="AS23" s="48" t="s">
        <v>217</v>
      </c>
      <c r="AT23" s="48" t="s">
        <v>58</v>
      </c>
      <c r="AU23" t="s" s="0">
        <v>218</v>
      </c>
      <c r="AV23" t="s" s="0">
        <v>417</v>
      </c>
      <c r="AW23" s="48">
        <f>AM23</f>
        <v>2</v>
      </c>
      <c r="AX23" s="48">
        <f>AR23</f>
        <v>234.83500000000001</v>
      </c>
      <c r="AY23" s="48">
        <f>AU23+AW23</f>
        <v>2</v>
      </c>
      <c r="AZ23" s="48">
        <f>ROUND(((AU23*AV23)+(AW23*AX23))/(AU23+AW23),5)</f>
        <v>234.83500000000001</v>
      </c>
      <c r="BA23" s="50"/>
      <c r="BB23" s="50" t="s">
        <v>149</v>
      </c>
      <c r="BC23" s="80" t="s">
        <v>45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111" t="s">
        <v>271</v>
      </c>
      <c r="BM23" t="s" s="0">
        <v>417</v>
      </c>
      <c r="BN23" t="s" s="0">
        <v>458</v>
      </c>
      <c r="BO23" s="48">
        <f>ROUND((((AW23*AZ23)+(BN23*BM23))/(AW23+BN23)),5)</f>
        <v>234.7175</v>
      </c>
      <c r="BP23" s="53">
        <f>BN23+AW23</f>
        <v>4</v>
      </c>
      <c r="BQ23" s="54">
        <v>123562</v>
      </c>
      <c r="BR23" s="53"/>
    </row>
    <row r="24" spans="1:70" ht="15.75" thickBot="1">
      <c r="A24" s="25">
        <v>2</v>
      </c>
      <c r="B24" s="25" t="s">
        <v>415</v>
      </c>
      <c r="C24" s="25" t="s">
        <v>57</v>
      </c>
      <c r="D24" s="25" t="s">
        <v>58</v>
      </c>
      <c r="E24" s="25" t="s">
        <v>58</v>
      </c>
      <c r="F24" s="26">
        <v>2</v>
      </c>
      <c r="G24" t="s" s="0">
        <v>360</v>
      </c>
      <c r="H24" s="26">
        <f>F24*G24</f>
        <v>500.5</v>
      </c>
      <c r="I24" t="s" s="0">
        <v>218</v>
      </c>
      <c r="J24" s="26">
        <v>1.79</v>
      </c>
      <c r="K24" s="26">
        <v>2.5</v>
      </c>
      <c r="L24" s="26">
        <f>H24</f>
        <v>500.5</v>
      </c>
      <c r="M24" s="26">
        <f>ROUND(L24*I24%,2)</f>
        <v>11.06</v>
      </c>
      <c r="N24" s="26">
        <f>H24-M24</f>
        <v>489.44</v>
      </c>
      <c r="O24" s="26">
        <f>ROUND(N24*J24%,2)</f>
        <v>8.76</v>
      </c>
      <c r="P24" s="26">
        <f>ROUND(N24-O24,2)</f>
        <v>480.68</v>
      </c>
      <c r="Q24" s="26">
        <f>ROUND(P24*K24%,2)</f>
        <v>12.02</v>
      </c>
      <c r="R24" s="26">
        <f>M24+O24+Q24</f>
        <v>31.84</v>
      </c>
      <c r="S24" s="26">
        <f>(H24-R24)</f>
        <v>468.66</v>
      </c>
      <c r="T24" s="26" t="s">
        <v>146</v>
      </c>
      <c r="U24" s="26">
        <v>0.18</v>
      </c>
      <c r="V24" s="26">
        <f>IF(OR($C$21=1,$C$21=4),ROUND(((S24*U24)/2),2),0)</f>
        <v>42.18</v>
      </c>
      <c r="W24" s="26">
        <f>IF($C$21=1,ROUND(((S24*U24)/2),2),0)</f>
        <v>42.18</v>
      </c>
      <c r="X24" s="26">
        <f>IF($C$21=2,ROUND(((S24*U24)),2),0)</f>
        <v>0</v>
      </c>
      <c r="Y24" s="26">
        <f>IF($C$21=4,ROUND(((S24*U24)/2),2),0)</f>
        <v>0</v>
      </c>
      <c r="Z24" s="43">
        <v>0</v>
      </c>
      <c r="AA24" s="26">
        <f>IF($C22=3,0,S24*Z24)</f>
        <v>0</v>
      </c>
      <c r="AB24" s="26">
        <f>V24+W24+X24+Y24+AA24</f>
        <v>84.36</v>
      </c>
      <c r="AC24" s="26">
        <f>IF($V22=1,S24+AB24,S24)</f>
        <v>468.66</v>
      </c>
      <c r="AD24" s="26">
        <v>120</v>
      </c>
      <c r="AE24" s="26">
        <f>IF($P$21=1,(S24/$S$25)*$E$36,AD24/$AD$25*$E$36)</f>
        <v>0</v>
      </c>
      <c r="AF24" s="26"/>
      <c r="AG24" s="26">
        <f>IF($P$21=1,(S24/$S$25)*$E$38,AD24/$AD$25*$E$38)</f>
        <v>0</v>
      </c>
      <c r="AH24" s="26">
        <f>IF($P$21=1,(S24/$S$25)*$E$38,AD24/$AD$25*$E$38)</f>
        <v>0</v>
      </c>
      <c r="AI24" s="26">
        <f t="shared" si="1"/>
        <v>468.66</v>
      </c>
      <c r="AJ24" s="26">
        <f t="shared" si="2"/>
        <v>0</v>
      </c>
      <c r="AK24" s="26">
        <f t="shared" si="3"/>
        <v>0</v>
      </c>
      <c r="AL24" s="26">
        <v>1</v>
      </c>
      <c r="AM24" s="26">
        <f t="shared" si="4"/>
        <v>2</v>
      </c>
      <c r="AN24" s="26">
        <f>AI24/AM24</f>
        <v>234.33</v>
      </c>
      <c r="AO24" s="26">
        <f>AJ24/AM24</f>
        <v>0</v>
      </c>
      <c r="AP24" s="26">
        <f>AK24/AM24</f>
        <v>0</v>
      </c>
      <c r="AQ24" s="26" t="s">
        <v>58</v>
      </c>
      <c r="AR24" s="26">
        <f>AN24+AO24+AP24</f>
        <v>234.33</v>
      </c>
      <c r="AS24" s="48" t="s">
        <v>217</v>
      </c>
      <c r="AT24" s="48" t="s">
        <v>58</v>
      </c>
      <c r="AU24" t="s" s="0">
        <v>224</v>
      </c>
      <c r="AV24" t="s" s="0">
        <v>418</v>
      </c>
      <c r="AW24" s="48">
        <f>AM24</f>
        <v>2</v>
      </c>
      <c r="AX24" s="48">
        <f>AR24</f>
        <v>234.33</v>
      </c>
      <c r="AY24" s="48">
        <f>AU24+AW24</f>
        <v>2</v>
      </c>
      <c r="AZ24" s="48">
        <f>ROUND(((AU24*AV24)+(AW24*AX24))/(AU24+AW24),5)</f>
        <v>234.33</v>
      </c>
      <c r="BA24" s="50"/>
      <c r="BB24" s="50" t="s">
        <v>149</v>
      </c>
      <c r="BC24" s="58" t="s">
        <v>29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111" t="s">
        <v>271</v>
      </c>
      <c r="BM24" t="s" s="0">
        <v>564</v>
      </c>
      <c r="BN24" t="s" s="0">
        <v>563</v>
      </c>
      <c r="BO24" s="48">
        <f>ROUND((((AW24*AZ24)+(BN24*BM24))/(AW24+BN24)),5)</f>
        <v>224.7175</v>
      </c>
      <c r="BP24" s="53">
        <f>BN24+AW24</f>
        <v>4</v>
      </c>
      <c r="BQ24" s="54">
        <v>123562</v>
      </c>
      <c r="BR24" s="53"/>
    </row>
    <row r="25" spans="1:70" ht="15.75" thickBot="1">
      <c r="A25" s="16"/>
      <c r="B25" s="27"/>
      <c r="C25" s="27"/>
      <c r="D25" s="28" t="s">
        <v>87</v>
      </c>
      <c r="E25" s="28"/>
      <c r="F25" s="28"/>
      <c r="G25" s="29"/>
      <c r="H25" s="30">
        <f>SUM(H23:H24)</f>
        <v>1001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62.67</v>
      </c>
      <c r="S25" s="39">
        <f>SUM(S23:S24)</f>
        <v>938.33</v>
      </c>
      <c r="T25" s="30"/>
      <c r="U25" s="30"/>
      <c r="V25" s="40">
        <f>SUM(V23:V24)</f>
        <v>84.45</v>
      </c>
      <c r="W25" s="40">
        <f>SUM(W23:W24)</f>
        <v>84.45</v>
      </c>
      <c r="X25" s="40">
        <f>SUM(X23:X24)</f>
        <v>0</v>
      </c>
      <c r="Y25" s="40">
        <f>SUM(Y23:Y24)</f>
        <v>0</v>
      </c>
      <c r="Z25" s="40"/>
      <c r="AA25" s="40">
        <f>SUM(AA23:AA24)</f>
        <v>0</v>
      </c>
      <c r="AB25" s="30">
        <f>SUM(AB23:AB24)</f>
        <v>168.9</v>
      </c>
      <c r="AC25" s="44">
        <f>SUM(AC23:AC24)</f>
        <v>1022.8700000000001</v>
      </c>
      <c r="AD25" s="45">
        <f t="shared" ref="AD25:AE25" si="5">SUM(AD23:AD23)</f>
        <v>120</v>
      </c>
      <c r="AE25" s="45">
        <f t="shared" si="5"/>
        <v>0</v>
      </c>
      <c r="AF25" s="44"/>
      <c r="AG25" s="45">
        <f>SUM(AG23:AG23)</f>
        <v>0</v>
      </c>
      <c r="AH25" s="45">
        <f>SUM(AH23:AH23)</f>
        <v>0</v>
      </c>
      <c r="AI25" s="45">
        <f>SUM(AI23:AI24)</f>
        <v>938.33</v>
      </c>
      <c r="AJ25" s="45">
        <f>SUM(AJ23:AJ23)</f>
        <v>0</v>
      </c>
      <c r="AK25" s="45">
        <f>SUM(AK23:AK23)</f>
        <v>0</v>
      </c>
      <c r="AL25" s="44"/>
      <c r="AM25" s="44"/>
      <c r="AN25" s="44"/>
      <c r="AO25" s="44"/>
      <c r="AP25" s="44"/>
      <c r="AQ25" s="44"/>
      <c r="AR25" s="44"/>
      <c r="AS25" s="16"/>
    </row>
    <row r="26" spans="1:70">
      <c r="A26" s="16"/>
      <c r="B26" s="27"/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</row>
  </sheetData>
  <mergeCells count="3">
    <mergeCell ref="B19:G19"/>
    <mergeCell ref="A21:B21"/>
    <mergeCell ref="A1:AC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R26"/>
  <sheetViews>
    <sheetView topLeftCell="R16" workbookViewId="0">
      <selection activeCell="T25" sqref="T25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60" max="60" customWidth="true" width="12.5703125"/>
    <col min="61" max="61" customWidth="true" width="21.7109375"/>
    <col min="62" max="63" customWidth="true" width="30.5703125"/>
    <col min="64" max="64" bestFit="true" customWidth="true" width="8.1406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6"/>
      <c r="AS1" s="16"/>
    </row>
    <row r="2" spans="1:45" ht="18.75" thickBot="1">
      <c r="A2" s="126" t="s">
        <v>47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1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320</v>
      </c>
      <c r="C23" s="25" t="s">
        <v>57</v>
      </c>
      <c r="D23" s="25" t="s">
        <v>58</v>
      </c>
      <c r="E23" s="25" t="s">
        <v>58</v>
      </c>
      <c r="F23" s="26">
        <v>2</v>
      </c>
      <c r="G23" t="s" s="0">
        <v>438</v>
      </c>
      <c r="H23" s="26">
        <f>F23*G23</f>
        <v>500</v>
      </c>
      <c r="I23" t="s" s="0">
        <v>321</v>
      </c>
      <c r="J23" s="26">
        <v>1.79</v>
      </c>
      <c r="K23" s="26">
        <v>2.5</v>
      </c>
      <c r="L23" s="26">
        <f>H23</f>
        <v>500</v>
      </c>
      <c r="M23" s="26">
        <f>ROUND(L23*I23%,2)</f>
        <v>10</v>
      </c>
      <c r="N23" s="26">
        <f>H23-M23</f>
        <v>490</v>
      </c>
      <c r="O23" s="26">
        <f>ROUND(N23*J23%,2)</f>
        <v>8.77</v>
      </c>
      <c r="P23" s="26">
        <f>ROUND(N23-O23,2)</f>
        <v>481.23</v>
      </c>
      <c r="Q23" s="26">
        <f>ROUND(P23*K23%,2)</f>
        <v>12.03</v>
      </c>
      <c r="R23" s="26">
        <f>M23+O23+Q23</f>
        <v>30.799999999999997</v>
      </c>
      <c r="S23" s="26">
        <f>(H23-R23)</f>
        <v>469.2</v>
      </c>
      <c r="T23" s="26" t="s">
        <v>146</v>
      </c>
      <c r="U23" s="26">
        <v>0.18</v>
      </c>
      <c r="V23" s="26">
        <f>IF(OR($C$21=1,$C$21=4),ROUND(((S23*U23)/2),2),0)</f>
        <v>42.23</v>
      </c>
      <c r="W23" s="26">
        <f>IF($C$21=1,ROUND(((S23*U23)/2),2),0)</f>
        <v>42.23</v>
      </c>
      <c r="X23" s="26">
        <f>IF($C$21=2,ROUND(((S23*U23)),2),0)</f>
        <v>0</v>
      </c>
      <c r="Y23" s="26">
        <f>IF($C$21=4,ROUND(((S23*U23)/2),2),0)</f>
        <v>0</v>
      </c>
      <c r="Z23" s="43">
        <v>0</v>
      </c>
      <c r="AA23" s="26">
        <f>IF($C21=3,0,S23*Z23)</f>
        <v>0</v>
      </c>
      <c r="AB23" s="26">
        <f>V23+W23+X23+Y23+AA23</f>
        <v>84.46</v>
      </c>
      <c r="AC23" s="26">
        <f>IF($V21=1,S23+AB23,S23)</f>
        <v>553.66</v>
      </c>
      <c r="AD23" s="26">
        <v>120</v>
      </c>
      <c r="AE23" s="26">
        <f>IF($P$21=1,(S23/$S$25)*$E$36,AD23/$AD$25*$E$36)</f>
        <v>0</v>
      </c>
      <c r="AF23" s="26"/>
      <c r="AG23" s="26">
        <f>IF($P$21=1,(S23/$S$25)*$E$38,AD23/$AD$25*$E$38)</f>
        <v>0</v>
      </c>
      <c r="AH23" s="26">
        <f>IF($P$21=1,(S23/$S$25)*$E$38,AD23/$AD$25*$E$38)</f>
        <v>0</v>
      </c>
      <c r="AI23" s="26">
        <f t="shared" ref="AI23:AI24" si="1">S23*$M$21</f>
        <v>469.2</v>
      </c>
      <c r="AJ23" s="26">
        <f t="shared" ref="AJ23:AJ24" si="2">IF($C$21=3,0,AG23+AH23)</f>
        <v>0</v>
      </c>
      <c r="AK23" s="26">
        <f t="shared" ref="AK23:AK24" si="3">IF($C$21=3,AE23+AG23+AH23,0)</f>
        <v>0</v>
      </c>
      <c r="AL23" s="26">
        <v>1</v>
      </c>
      <c r="AM23" s="26">
        <f t="shared" ref="AM23:AM24" si="4">F23/AL23</f>
        <v>2</v>
      </c>
      <c r="AN23" s="26">
        <f>AI23/AM23</f>
        <v>234.6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234.6</v>
      </c>
      <c r="AS23" s="48" t="s">
        <v>217</v>
      </c>
      <c r="AT23" s="48" t="s">
        <v>58</v>
      </c>
      <c r="AU23" t="s" s="0">
        <v>219</v>
      </c>
      <c r="AV23" t="s" s="0">
        <v>437</v>
      </c>
      <c r="AW23" s="48">
        <f>AM23</f>
        <v>2</v>
      </c>
      <c r="AX23" s="48">
        <f>AR23</f>
        <v>234.6</v>
      </c>
      <c r="AY23" s="48">
        <f>AU23+AW23</f>
        <v>2</v>
      </c>
      <c r="AZ23" s="48">
        <f>ROUND(((AU23*AV23)+(AW23*AX23))/(AU23+AW23),5)</f>
        <v>234.6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111" t="s">
        <v>31</v>
      </c>
      <c r="BM23" t="s" s="0">
        <v>437</v>
      </c>
      <c r="BN23" t="s" s="0">
        <v>407</v>
      </c>
      <c r="BO23" s="48">
        <f>ROUND((((AW23*AZ23)+(BN23*BM23))/(AW23+BN23)),5)</f>
        <v>234.6</v>
      </c>
      <c r="BP23" s="53">
        <f>BN23+AW23</f>
        <v>6</v>
      </c>
      <c r="BQ23" s="54">
        <v>123562</v>
      </c>
      <c r="BR23" s="53"/>
    </row>
    <row r="24" spans="1:70" ht="15.75" thickBot="1">
      <c r="A24" s="25">
        <v>2</v>
      </c>
      <c r="B24" s="25" t="s">
        <v>322</v>
      </c>
      <c r="C24" s="25" t="s">
        <v>57</v>
      </c>
      <c r="D24" s="25" t="s">
        <v>58</v>
      </c>
      <c r="E24" s="25" t="s">
        <v>58</v>
      </c>
      <c r="F24" s="26">
        <v>2</v>
      </c>
      <c r="G24" t="s" s="0">
        <v>439</v>
      </c>
      <c r="H24" s="26">
        <f>F24*G24</f>
        <v>468</v>
      </c>
      <c r="I24" t="s" s="0">
        <v>323</v>
      </c>
      <c r="J24" s="26">
        <v>1.79</v>
      </c>
      <c r="K24" s="26">
        <v>2.5</v>
      </c>
      <c r="L24" s="26">
        <f>H24</f>
        <v>468</v>
      </c>
      <c r="M24" s="26">
        <f>ROUND(L24*I24%,2)</f>
        <v>18.72</v>
      </c>
      <c r="N24" s="26">
        <f>H24-M24</f>
        <v>449.28</v>
      </c>
      <c r="O24" s="26">
        <f>ROUND(N24*J24%,2)</f>
        <v>8.0399999999999991</v>
      </c>
      <c r="P24" s="26">
        <f>ROUND(N24-O24,2)</f>
        <v>441.24</v>
      </c>
      <c r="Q24" s="26">
        <f>ROUND(P24*K24%,2)</f>
        <v>11.03</v>
      </c>
      <c r="R24" s="26">
        <f>M24+O24+Q24</f>
        <v>37.79</v>
      </c>
      <c r="S24" s="26">
        <f>(H24-R24)</f>
        <v>430.21</v>
      </c>
      <c r="T24" s="26" t="s">
        <v>146</v>
      </c>
      <c r="U24" s="26">
        <v>0.18</v>
      </c>
      <c r="V24" s="26">
        <f>IF(OR($C$21=1,$C$21=4),ROUND(((S24*U24)/2),2),0)</f>
        <v>38.72</v>
      </c>
      <c r="W24" s="26">
        <f>IF($C$21=1,ROUND(((S24*U24)/2),2),0)</f>
        <v>38.72</v>
      </c>
      <c r="X24" s="26">
        <f>IF($C$21=2,ROUND(((S24*U24)),2),0)</f>
        <v>0</v>
      </c>
      <c r="Y24" s="26">
        <f>IF($C$21=4,ROUND(((S24*U24)/2),2),0)</f>
        <v>0</v>
      </c>
      <c r="Z24" s="43">
        <v>0</v>
      </c>
      <c r="AA24" s="26">
        <f>IF($C22=3,0,S24*Z24)</f>
        <v>0</v>
      </c>
      <c r="AB24" s="26">
        <f>V24+W24+X24+Y24+AA24</f>
        <v>77.44</v>
      </c>
      <c r="AC24" s="26">
        <f>IF($V22=1,S24+AB24,S24)</f>
        <v>430.21</v>
      </c>
      <c r="AD24" s="26">
        <v>120</v>
      </c>
      <c r="AE24" s="26">
        <f>IF($P$21=1,(S24/$S$25)*$E$36,AD24/$AD$25*$E$36)</f>
        <v>0</v>
      </c>
      <c r="AF24" s="26"/>
      <c r="AG24" s="26">
        <f>IF($P$21=1,(S24/$S$25)*$E$38,AD24/$AD$25*$E$38)</f>
        <v>0</v>
      </c>
      <c r="AH24" s="26">
        <f>IF($P$21=1,(S24/$S$25)*$E$38,AD24/$AD$25*$E$38)</f>
        <v>0</v>
      </c>
      <c r="AI24" s="26">
        <f t="shared" si="1"/>
        <v>430.21</v>
      </c>
      <c r="AJ24" s="26">
        <f t="shared" si="2"/>
        <v>0</v>
      </c>
      <c r="AK24" s="26">
        <f t="shared" si="3"/>
        <v>0</v>
      </c>
      <c r="AL24" s="26">
        <v>1</v>
      </c>
      <c r="AM24" s="26">
        <f t="shared" si="4"/>
        <v>2</v>
      </c>
      <c r="AN24" s="26">
        <f>AI24/AM24</f>
        <v>215.10499999999999</v>
      </c>
      <c r="AO24" s="26">
        <f>AJ24/AM24</f>
        <v>0</v>
      </c>
      <c r="AP24" s="26">
        <f>AK24/AM24</f>
        <v>0</v>
      </c>
      <c r="AQ24" s="26" t="s">
        <v>58</v>
      </c>
      <c r="AR24" s="26">
        <f>AN24+AO24+AP24</f>
        <v>215.10499999999999</v>
      </c>
      <c r="AS24" s="48" t="s">
        <v>217</v>
      </c>
      <c r="AT24" s="48" t="s">
        <v>58</v>
      </c>
      <c r="AU24" t="s" s="0">
        <v>307</v>
      </c>
      <c r="AV24" t="s" s="0">
        <v>529</v>
      </c>
      <c r="AW24" s="48">
        <f>AM24</f>
        <v>2</v>
      </c>
      <c r="AX24" s="48">
        <f>AR24</f>
        <v>215.10499999999999</v>
      </c>
      <c r="AY24" s="48">
        <f>AU24+AW24</f>
        <v>2</v>
      </c>
      <c r="AZ24" s="48">
        <f>ROUND(((AU24*AV24)+(AW24*AX24))/(AU24+AW24),5)</f>
        <v>215.10499999999999</v>
      </c>
      <c r="BA24" s="50"/>
      <c r="BB24" s="50" t="s">
        <v>149</v>
      </c>
      <c r="BC24" s="80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111" t="s">
        <v>31</v>
      </c>
      <c r="BM24" t="s" s="0">
        <v>530</v>
      </c>
      <c r="BN24" t="s" s="0">
        <v>308</v>
      </c>
      <c r="BO24" s="48">
        <f>ROUND((((AW24*AZ24)+(BN24*BM24))/(AW24+BN24)),5)</f>
        <v>215.10499999999999</v>
      </c>
      <c r="BP24" s="53">
        <f>BN24+AW24</f>
        <v>6</v>
      </c>
      <c r="BQ24" s="54">
        <v>123562</v>
      </c>
      <c r="BR24" s="53"/>
    </row>
    <row r="25" spans="1:70" ht="15.75" thickBot="1">
      <c r="A25" s="16"/>
      <c r="B25" s="27"/>
      <c r="C25" s="27"/>
      <c r="D25" s="28" t="s">
        <v>87</v>
      </c>
      <c r="E25" s="28"/>
      <c r="F25" s="28"/>
      <c r="G25" s="29"/>
      <c r="H25" s="30">
        <f>SUM(H23:H24)</f>
        <v>968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68.59</v>
      </c>
      <c r="S25" s="39">
        <f>SUM(S23:S24)</f>
        <v>899.41</v>
      </c>
      <c r="T25" s="30"/>
      <c r="U25" s="30"/>
      <c r="V25" s="40">
        <f>SUM(V23:V24)</f>
        <v>80.949999999999989</v>
      </c>
      <c r="W25" s="40">
        <f>SUM(W23:W24)</f>
        <v>80.949999999999989</v>
      </c>
      <c r="X25" s="40">
        <f>SUM(X23:X24)</f>
        <v>0</v>
      </c>
      <c r="Y25" s="40">
        <f>SUM(Y23:Y24)</f>
        <v>0</v>
      </c>
      <c r="Z25" s="40"/>
      <c r="AA25" s="40">
        <f>SUM(AA23:AA24)</f>
        <v>0</v>
      </c>
      <c r="AB25" s="30">
        <f>SUM(AB23:AB24)</f>
        <v>161.89999999999998</v>
      </c>
      <c r="AC25" s="44">
        <f>SUM(AC23:AC24)</f>
        <v>983.86999999999989</v>
      </c>
      <c r="AD25" s="45">
        <f t="shared" ref="AD25:AE25" si="5">SUM(AD23:AD23)</f>
        <v>120</v>
      </c>
      <c r="AE25" s="45">
        <f t="shared" si="5"/>
        <v>0</v>
      </c>
      <c r="AF25" s="44"/>
      <c r="AG25" s="45">
        <f>SUM(AG23:AG23)</f>
        <v>0</v>
      </c>
      <c r="AH25" s="45">
        <f>SUM(AH23:AH23)</f>
        <v>0</v>
      </c>
      <c r="AI25" s="45">
        <f>SUM(AI23:AI24)</f>
        <v>899.41</v>
      </c>
      <c r="AJ25" s="45">
        <f>SUM(AJ23:AJ23)</f>
        <v>0</v>
      </c>
      <c r="AK25" s="45">
        <f>SUM(AK23:AK23)</f>
        <v>0</v>
      </c>
      <c r="AL25" s="44"/>
      <c r="AM25" s="44"/>
      <c r="AN25" s="44"/>
      <c r="AO25" s="44"/>
      <c r="AP25" s="44"/>
      <c r="AQ25" s="44"/>
      <c r="AR25" s="44"/>
      <c r="AS25" s="16"/>
    </row>
    <row r="26" spans="1:70">
      <c r="A26" s="16"/>
      <c r="B26" s="27"/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</row>
  </sheetData>
  <mergeCells count="3">
    <mergeCell ref="B19:G19"/>
    <mergeCell ref="A21:B21"/>
    <mergeCell ref="A1:AC1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R26"/>
  <sheetViews>
    <sheetView topLeftCell="A16" workbookViewId="0">
      <selection activeCell="B23" sqref="B23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60" max="60" customWidth="true" width="12.5703125"/>
    <col min="61" max="61" customWidth="true" width="21.7109375"/>
    <col min="62" max="63" customWidth="true" width="30.5703125"/>
    <col min="64" max="64" bestFit="true" customWidth="true" width="8.1406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6"/>
      <c r="AS1" s="16"/>
    </row>
    <row r="2" spans="1:45" ht="18.75" thickBot="1">
      <c r="A2" s="124" t="s">
        <v>47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1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243</v>
      </c>
      <c r="C23" s="25" t="s">
        <v>57</v>
      </c>
      <c r="D23" s="25" t="s">
        <v>58</v>
      </c>
      <c r="E23" s="25" t="s">
        <v>58</v>
      </c>
      <c r="F23" s="26">
        <v>2</v>
      </c>
      <c r="G23" t="s" s="0">
        <v>244</v>
      </c>
      <c r="H23" s="26">
        <f>F23*G23</f>
        <v>500</v>
      </c>
      <c r="I23" t="s" s="0">
        <v>245</v>
      </c>
      <c r="J23" s="26">
        <v>1.79</v>
      </c>
      <c r="K23" s="26">
        <v>2.5</v>
      </c>
      <c r="L23" s="26">
        <f>H23</f>
        <v>500</v>
      </c>
      <c r="M23" s="26">
        <f>ROUND(L23*I23%,2)</f>
        <v>10</v>
      </c>
      <c r="N23" s="26">
        <f>H23-M23</f>
        <v>490</v>
      </c>
      <c r="O23" s="26">
        <f>ROUND(N23*J23%,2)</f>
        <v>8.77</v>
      </c>
      <c r="P23" s="26">
        <f>ROUND(N23-O23,2)</f>
        <v>481.23</v>
      </c>
      <c r="Q23" s="26">
        <f>ROUND(P23*K23%,2)</f>
        <v>12.03</v>
      </c>
      <c r="R23" s="26">
        <f>M23+O23+Q23</f>
        <v>30.799999999999997</v>
      </c>
      <c r="S23" s="26">
        <f>(H23-R23)</f>
        <v>469.2</v>
      </c>
      <c r="T23" s="26" t="s">
        <v>146</v>
      </c>
      <c r="U23" s="26">
        <v>0.18</v>
      </c>
      <c r="V23" s="26">
        <f>IF(OR($C$21=1,$C$21=4),ROUND(((S23*U23)/2),2),0)</f>
        <v>42.23</v>
      </c>
      <c r="W23" s="26">
        <f>IF($C$21=1,ROUND(((S23*U23)/2),2),0)</f>
        <v>42.23</v>
      </c>
      <c r="X23" s="26">
        <f>IF($C$21=2,ROUND(((S23*U23)),2),0)</f>
        <v>0</v>
      </c>
      <c r="Y23" s="26">
        <f>IF($C$21=4,ROUND(((S23*U23)/2),2),0)</f>
        <v>0</v>
      </c>
      <c r="Z23" s="43">
        <v>0</v>
      </c>
      <c r="AA23" s="26">
        <f>IF($C21=3,0,S23*Z23)</f>
        <v>0</v>
      </c>
      <c r="AB23" s="26">
        <f>V23+W23+X23+Y23+AA23</f>
        <v>84.46</v>
      </c>
      <c r="AC23" s="26">
        <f>IF($V21=1,S23+AB23,S23)</f>
        <v>553.66</v>
      </c>
      <c r="AD23" s="26">
        <v>120</v>
      </c>
      <c r="AE23" s="26">
        <f>IF($P$21=1,(S23/$S$25)*$E$36,AD23/$AD$25*$E$36)</f>
        <v>0</v>
      </c>
      <c r="AF23" s="26"/>
      <c r="AG23" s="26">
        <f>IF($P$21=1,(S23/$S$25)*$E$38,AD23/$AD$25*$E$38)</f>
        <v>0</v>
      </c>
      <c r="AH23" s="26">
        <f>IF($P$21=1,(S23/$S$25)*$E$38,AD23/$AD$25*$E$38)</f>
        <v>0</v>
      </c>
      <c r="AI23" s="26">
        <f t="shared" ref="AI23:AI24" si="1">S23*$M$21</f>
        <v>469.2</v>
      </c>
      <c r="AJ23" s="26">
        <f t="shared" ref="AJ23:AJ24" si="2">IF($C$21=3,0,AG23+AH23)</f>
        <v>0</v>
      </c>
      <c r="AK23" s="26">
        <f t="shared" ref="AK23:AK24" si="3">IF($C$21=3,AE23+AG23+AH23,0)</f>
        <v>0</v>
      </c>
      <c r="AL23" s="26">
        <v>1</v>
      </c>
      <c r="AM23" s="26">
        <f t="shared" ref="AM23:AM24" si="4">F23/AL23</f>
        <v>2</v>
      </c>
      <c r="AN23" s="26">
        <f>AI23/AM23</f>
        <v>234.6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234.6</v>
      </c>
      <c r="AS23" s="48" t="s">
        <v>217</v>
      </c>
      <c r="AT23" s="48" t="s">
        <v>58</v>
      </c>
      <c r="AU23" t="s" s="0">
        <v>246</v>
      </c>
      <c r="AV23" t="s" s="0">
        <v>502</v>
      </c>
      <c r="AW23" s="48">
        <f>AM23</f>
        <v>2</v>
      </c>
      <c r="AX23" s="48">
        <f>AR23</f>
        <v>234.6</v>
      </c>
      <c r="AY23" s="48">
        <f>AU23+AW23</f>
        <v>2</v>
      </c>
      <c r="AZ23" s="48">
        <f>ROUND(((AU23*AV23)+(AW23*AX23))/(AU23+AW23),5)</f>
        <v>234.6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111" t="s">
        <v>31</v>
      </c>
      <c r="BM23" t="s" s="0">
        <v>489</v>
      </c>
      <c r="BN23" t="s" s="0">
        <v>484</v>
      </c>
      <c r="BO23" s="48">
        <f>ROUND((((AW23*AZ23)+(BN23*BM23))/(AW23+BN23)),5)</f>
        <v>234.6</v>
      </c>
      <c r="BP23" s="53">
        <f>BN23+AW23</f>
        <v>6</v>
      </c>
      <c r="BQ23" s="54">
        <v>123562</v>
      </c>
      <c r="BR23" s="53"/>
    </row>
    <row r="24" spans="1:70" ht="15.75" thickBot="1">
      <c r="A24" s="25">
        <v>2</v>
      </c>
      <c r="B24" s="25" t="s">
        <v>250</v>
      </c>
      <c r="C24" s="25" t="s">
        <v>57</v>
      </c>
      <c r="D24" s="25" t="s">
        <v>58</v>
      </c>
      <c r="E24" s="25" t="s">
        <v>58</v>
      </c>
      <c r="F24" s="26">
        <v>2</v>
      </c>
      <c r="G24" t="s" s="0">
        <v>251</v>
      </c>
      <c r="H24" s="26">
        <f>F24*G24</f>
        <v>468</v>
      </c>
      <c r="I24" t="s" s="0">
        <v>245</v>
      </c>
      <c r="J24" s="26">
        <v>1.79</v>
      </c>
      <c r="K24" s="26">
        <v>2.5</v>
      </c>
      <c r="L24" s="26">
        <f>H24</f>
        <v>468</v>
      </c>
      <c r="M24" s="26">
        <f>ROUND(L24*I24%,2)</f>
        <v>18.72</v>
      </c>
      <c r="N24" s="26">
        <f>H24-M24</f>
        <v>449.28</v>
      </c>
      <c r="O24" s="26">
        <f>ROUND(N24*J24%,2)</f>
        <v>8.0399999999999991</v>
      </c>
      <c r="P24" s="26">
        <f>ROUND(N24-O24,2)</f>
        <v>441.24</v>
      </c>
      <c r="Q24" s="26">
        <f>ROUND(P24*K24%,2)</f>
        <v>11.03</v>
      </c>
      <c r="R24" s="26">
        <f>M24+O24+Q24</f>
        <v>37.79</v>
      </c>
      <c r="S24" s="26">
        <f>(H24-R24)</f>
        <v>430.21</v>
      </c>
      <c r="T24" s="26" t="s">
        <v>146</v>
      </c>
      <c r="U24" s="26">
        <v>0.05</v>
      </c>
      <c r="V24" s="26">
        <f>IF(OR($C$21=1,$C$21=4),ROUND(((S24*U24)/2),2),0)</f>
        <v>10.76</v>
      </c>
      <c r="W24" s="26">
        <f>IF($C$21=1,ROUND(((S24*U24)/2),2),0)</f>
        <v>10.76</v>
      </c>
      <c r="X24" s="26">
        <f>IF($C$21=2,ROUND(((S24*U24)),2),0)</f>
        <v>0</v>
      </c>
      <c r="Y24" s="26">
        <f>IF($C$21=4,ROUND(((S24*U24)/2),2),0)</f>
        <v>0</v>
      </c>
      <c r="Z24" s="43">
        <v>0</v>
      </c>
      <c r="AA24" s="26">
        <f>IF($C22=3,0,S24*Z24)</f>
        <v>0</v>
      </c>
      <c r="AB24" s="26">
        <f>V24+W24+X24+Y24+AA24</f>
        <v>21.52</v>
      </c>
      <c r="AC24" s="26">
        <f>IF($V22=1,S24+AB24,S24)</f>
        <v>430.21</v>
      </c>
      <c r="AD24" s="26">
        <v>120</v>
      </c>
      <c r="AE24" s="26">
        <f>IF($P$21=1,(S24/$S$25)*$E$36,AD24/$AD$25*$E$36)</f>
        <v>0</v>
      </c>
      <c r="AF24" s="26"/>
      <c r="AG24" s="26">
        <f>IF($P$21=1,(S24/$S$25)*$E$38,AD24/$AD$25*$E$38)</f>
        <v>0</v>
      </c>
      <c r="AH24" s="26">
        <f>IF($P$21=1,(S24/$S$25)*$E$38,AD24/$AD$25*$E$38)</f>
        <v>0</v>
      </c>
      <c r="AI24" s="26">
        <f t="shared" si="1"/>
        <v>430.21</v>
      </c>
      <c r="AJ24" s="26">
        <f t="shared" si="2"/>
        <v>0</v>
      </c>
      <c r="AK24" s="26">
        <f t="shared" si="3"/>
        <v>0</v>
      </c>
      <c r="AL24" s="26">
        <v>1</v>
      </c>
      <c r="AM24" s="26">
        <f t="shared" si="4"/>
        <v>2</v>
      </c>
      <c r="AN24" s="26">
        <f>AI24/AM24</f>
        <v>215.10499999999999</v>
      </c>
      <c r="AO24" s="26">
        <f>AJ24/AM24</f>
        <v>0</v>
      </c>
      <c r="AP24" s="26">
        <f>AK24/AM24</f>
        <v>0</v>
      </c>
      <c r="AQ24" s="26" t="s">
        <v>58</v>
      </c>
      <c r="AR24" s="26">
        <f>AN24+AO24+AP24</f>
        <v>215.10499999999999</v>
      </c>
      <c r="AS24" s="48" t="s">
        <v>217</v>
      </c>
      <c r="AT24" s="48" t="s">
        <v>58</v>
      </c>
      <c r="AU24" t="s" s="0">
        <v>252</v>
      </c>
      <c r="AV24" t="s" s="0">
        <v>503</v>
      </c>
      <c r="AW24" s="48">
        <f>AM24</f>
        <v>2</v>
      </c>
      <c r="AX24" s="48">
        <f>AR24</f>
        <v>215.10499999999999</v>
      </c>
      <c r="AY24" s="48">
        <f>AU24+AW24</f>
        <v>2</v>
      </c>
      <c r="AZ24" s="48">
        <f>ROUND(((AU24*AV24)+(AW24*AX24))/(AU24+AW24),5)</f>
        <v>215.10499999999999</v>
      </c>
      <c r="BA24" s="50"/>
      <c r="BB24" s="50" t="s">
        <v>149</v>
      </c>
      <c r="BC24" s="80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111" t="s">
        <v>31</v>
      </c>
      <c r="BM24" t="s" s="0">
        <v>491</v>
      </c>
      <c r="BN24" t="s" s="0">
        <v>490</v>
      </c>
      <c r="BO24" s="48">
        <f>ROUND((((AW24*AZ24)+(BN24*BM24))/(AW24+BN24)),5)</f>
        <v>215.10499999999999</v>
      </c>
      <c r="BP24" s="53">
        <f>BN24+AW24</f>
        <v>6</v>
      </c>
      <c r="BQ24" s="54">
        <v>123562</v>
      </c>
      <c r="BR24" s="53"/>
    </row>
    <row r="25" spans="1:70" ht="15.75" thickBot="1">
      <c r="A25" s="16"/>
      <c r="B25" s="27"/>
      <c r="C25" s="27"/>
      <c r="D25" s="28" t="s">
        <v>87</v>
      </c>
      <c r="E25" s="28"/>
      <c r="F25" s="28"/>
      <c r="G25" s="29"/>
      <c r="H25" s="30">
        <f>SUM(H23:H24)</f>
        <v>968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68.59</v>
      </c>
      <c r="S25" s="39">
        <f>SUM(S23:S24)</f>
        <v>899.41</v>
      </c>
      <c r="T25" s="30"/>
      <c r="U25" s="30"/>
      <c r="V25" s="40">
        <f>SUM(V23:V24)</f>
        <v>52.989999999999995</v>
      </c>
      <c r="W25" s="40">
        <f>SUM(W23:W24)</f>
        <v>52.989999999999995</v>
      </c>
      <c r="X25" s="40">
        <f>SUM(X23:X24)</f>
        <v>0</v>
      </c>
      <c r="Y25" s="40">
        <f>SUM(Y23:Y24)</f>
        <v>0</v>
      </c>
      <c r="Z25" s="40"/>
      <c r="AA25" s="40">
        <f>SUM(AA23:AA24)</f>
        <v>0</v>
      </c>
      <c r="AB25" s="30">
        <f>SUM(AB23:AB24)</f>
        <v>105.97999999999999</v>
      </c>
      <c r="AC25" s="44">
        <f>SUM(AC23:AC24)</f>
        <v>983.86999999999989</v>
      </c>
      <c r="AD25" s="45">
        <f t="shared" ref="AD25:AE25" si="5">SUM(AD23:AD23)</f>
        <v>120</v>
      </c>
      <c r="AE25" s="45">
        <f t="shared" si="5"/>
        <v>0</v>
      </c>
      <c r="AF25" s="44"/>
      <c r="AG25" s="45">
        <f>SUM(AG23:AG23)</f>
        <v>0</v>
      </c>
      <c r="AH25" s="45">
        <f>SUM(AH23:AH23)</f>
        <v>0</v>
      </c>
      <c r="AI25" s="45">
        <f>SUM(AI23:AI24)</f>
        <v>899.41</v>
      </c>
      <c r="AJ25" s="45">
        <f>SUM(AJ23:AJ23)</f>
        <v>0</v>
      </c>
      <c r="AK25" s="45">
        <f>SUM(AK23:AK23)</f>
        <v>0</v>
      </c>
      <c r="AL25" s="44"/>
      <c r="AM25" s="44"/>
      <c r="AN25" s="44"/>
      <c r="AO25" s="44"/>
      <c r="AP25" s="44"/>
      <c r="AQ25" s="44"/>
      <c r="AR25" s="44"/>
      <c r="AS25" s="16"/>
    </row>
    <row r="26" spans="1:70">
      <c r="A26" s="16"/>
      <c r="B26" s="27"/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N33"/>
  <sheetViews>
    <sheetView topLeftCell="AZ7" workbookViewId="0">
      <selection activeCell="BI23" sqref="BI23:BI24"/>
    </sheetView>
  </sheetViews>
  <sheetFormatPr defaultColWidth="9" defaultRowHeight="15"/>
  <cols>
    <col min="2" max="2" customWidth="true" width="19.7109375"/>
    <col min="3" max="3" customWidth="true" width="19.28515625"/>
    <col min="4" max="4" customWidth="true" width="62.7109375"/>
    <col min="5" max="5" customWidth="true" width="10.42578125"/>
    <col min="6" max="6" customWidth="true" width="8.28515625"/>
    <col min="8" max="8" customWidth="true" width="11.85546875"/>
    <col min="10" max="10" customWidth="true" width="6.140625"/>
    <col min="11" max="11" customWidth="true" width="6.28515625"/>
    <col min="12" max="12" customWidth="true" width="13.85546875"/>
    <col min="42" max="42" customWidth="true" width="9.42578125"/>
    <col min="43" max="43" customWidth="true" width="11.85546875"/>
    <col min="44" max="44" customWidth="true" width="15.28515625"/>
    <col min="45" max="45" customWidth="true" width="20.28515625"/>
    <col min="46" max="46" customWidth="true" width="11.42578125"/>
    <col min="47" max="47" customWidth="true" width="16.28515625"/>
    <col min="48" max="48" customWidth="true" width="13.85546875"/>
    <col min="49" max="49" customWidth="true" width="18.85546875"/>
    <col min="54" max="54" customWidth="true" width="12.42578125"/>
    <col min="55" max="55" customWidth="true" width="12.5703125"/>
    <col min="62" max="62" customWidth="true" width="41.140625"/>
    <col min="63" max="63" customWidth="true" width="37.0"/>
    <col min="64" max="64" customWidth="true" width="18.85546875"/>
    <col min="65" max="65" customWidth="true" width="34.42578125"/>
  </cols>
  <sheetData>
    <row r="1" spans="1:42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6"/>
      <c r="AP1" s="16"/>
    </row>
    <row r="2" spans="1:42" ht="18">
      <c r="A2" s="1" t="s">
        <v>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6"/>
      <c r="AP2" s="16"/>
    </row>
    <row r="3" spans="1:42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16"/>
    </row>
    <row r="4" spans="1:42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16"/>
    </row>
    <row r="5" spans="1:42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16"/>
    </row>
    <row r="6" spans="1:42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16"/>
    </row>
    <row r="7" spans="1:42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16"/>
    </row>
    <row r="8" spans="1:42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16"/>
    </row>
    <row r="9" spans="1:42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16"/>
    </row>
    <row r="10" spans="1:42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16"/>
    </row>
    <row r="11" spans="1:42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16"/>
    </row>
    <row r="12" spans="1:42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16"/>
    </row>
    <row r="13" spans="1:42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2507.6799999999998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16"/>
    </row>
    <row r="14" spans="1:42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16"/>
    </row>
    <row r="15" spans="1:42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16"/>
    </row>
    <row r="16" spans="1:42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16"/>
    </row>
    <row r="17" spans="1:66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>
        <v>5858.27</v>
      </c>
      <c r="T17" s="32"/>
      <c r="U17" s="31"/>
      <c r="V17" s="31"/>
      <c r="W17" s="31"/>
      <c r="X17" s="31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16"/>
    </row>
    <row r="18" spans="1:66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16"/>
    </row>
    <row r="19" spans="1:66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6"/>
    </row>
    <row r="20" spans="1:66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6"/>
    </row>
    <row r="21" spans="1:66">
      <c r="A21" s="151" t="s">
        <v>89</v>
      </c>
      <c r="B21" s="151"/>
      <c r="C21" s="20">
        <v>1</v>
      </c>
      <c r="D21" s="21" t="s">
        <v>90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6"/>
    </row>
    <row r="22" spans="1:66" ht="57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113</v>
      </c>
      <c r="Z22" s="41" t="s">
        <v>114</v>
      </c>
      <c r="AA22" s="41" t="s">
        <v>115</v>
      </c>
      <c r="AB22" s="42" t="s">
        <v>116</v>
      </c>
      <c r="AC22" s="42" t="s">
        <v>117</v>
      </c>
      <c r="AD22" s="42" t="s">
        <v>118</v>
      </c>
      <c r="AE22" s="41" t="s">
        <v>119</v>
      </c>
      <c r="AF22" s="41" t="s">
        <v>120</v>
      </c>
      <c r="AG22" s="42" t="s">
        <v>121</v>
      </c>
      <c r="AH22" s="42" t="s">
        <v>122</v>
      </c>
      <c r="AI22" s="41" t="s">
        <v>123</v>
      </c>
      <c r="AJ22" s="41" t="s">
        <v>124</v>
      </c>
      <c r="AK22" s="42" t="s">
        <v>125</v>
      </c>
      <c r="AL22" s="42" t="s">
        <v>126</v>
      </c>
      <c r="AM22" s="42" t="s">
        <v>127</v>
      </c>
      <c r="AN22" s="41" t="s">
        <v>128</v>
      </c>
      <c r="AO22" s="46" t="s">
        <v>129</v>
      </c>
      <c r="AP22" s="3" t="s">
        <v>211</v>
      </c>
      <c r="AQ22" s="3" t="s">
        <v>128</v>
      </c>
      <c r="AR22" s="47" t="s">
        <v>131</v>
      </c>
      <c r="AS22" s="47" t="s">
        <v>132</v>
      </c>
      <c r="AT22" s="47" t="s">
        <v>133</v>
      </c>
      <c r="AU22" s="47" t="s">
        <v>134</v>
      </c>
      <c r="AV22" s="47" t="s">
        <v>135</v>
      </c>
      <c r="AW22" s="47" t="s">
        <v>136</v>
      </c>
      <c r="AX22" s="47" t="s">
        <v>137</v>
      </c>
      <c r="AY22" s="47" t="s">
        <v>138</v>
      </c>
      <c r="AZ22" s="49" t="s">
        <v>139</v>
      </c>
      <c r="BA22" s="49" t="s">
        <v>8</v>
      </c>
      <c r="BB22" s="49" t="s">
        <v>9</v>
      </c>
      <c r="BC22" s="47" t="s">
        <v>212</v>
      </c>
      <c r="BD22" s="47" t="s">
        <v>140</v>
      </c>
      <c r="BE22" s="47" t="s">
        <v>141</v>
      </c>
      <c r="BF22" s="47" t="s">
        <v>142</v>
      </c>
      <c r="BG22" s="47" t="s">
        <v>143</v>
      </c>
      <c r="BH22" s="47" t="s">
        <v>144</v>
      </c>
      <c r="BI22" s="47" t="s">
        <v>213</v>
      </c>
      <c r="BJ22" s="52" t="s">
        <v>214</v>
      </c>
      <c r="BK22" s="47" t="s">
        <v>215</v>
      </c>
      <c r="BL22" s="47" t="s">
        <v>136</v>
      </c>
      <c r="BM22" s="56" t="s">
        <v>216</v>
      </c>
    </row>
    <row r="23" spans="1:66">
      <c r="A23" s="25">
        <v>1</v>
      </c>
      <c r="B23" s="25" t="s">
        <v>222</v>
      </c>
      <c r="C23" s="25" t="s">
        <v>57</v>
      </c>
      <c r="D23" s="25" t="s">
        <v>58</v>
      </c>
      <c r="E23" s="25" t="s">
        <v>58</v>
      </c>
      <c r="F23" s="26">
        <v>2</v>
      </c>
      <c r="G23" t="s" s="0">
        <v>223</v>
      </c>
      <c r="H23" s="26">
        <f>F23*G23</f>
        <v>1048</v>
      </c>
      <c r="I23" t="s" s="0">
        <v>224</v>
      </c>
      <c r="J23" s="26">
        <v>1.79</v>
      </c>
      <c r="K23" s="26">
        <v>2.5</v>
      </c>
      <c r="L23" s="26">
        <f>H23</f>
        <v>1048</v>
      </c>
      <c r="M23" s="26">
        <f>ROUND(L23*I23%,2)</f>
        <v>20.96</v>
      </c>
      <c r="N23" s="26">
        <f>H23-M23</f>
        <v>1027.04</v>
      </c>
      <c r="O23" s="26">
        <f>ROUND(N23*J23%,2)</f>
        <v>18.38</v>
      </c>
      <c r="P23" s="26">
        <f>ROUND(N23-O23,2)</f>
        <v>1008.66</v>
      </c>
      <c r="Q23" s="26">
        <f>ROUND(P23*K23%,2)</f>
        <v>25.22</v>
      </c>
      <c r="R23" s="26">
        <f>M23+O23+Q23</f>
        <v>64.56</v>
      </c>
      <c r="S23" s="26">
        <f>(H23-R23)</f>
        <v>983.44</v>
      </c>
      <c r="T23" s="26" t="s">
        <v>146</v>
      </c>
      <c r="U23" s="26">
        <v>0.18</v>
      </c>
      <c r="V23" s="26">
        <f>IF($C$21=1,ROUND(((S23*U23)/2),2),0)</f>
        <v>88.51</v>
      </c>
      <c r="W23" s="26">
        <f>IF($C$21=1,ROUND(((S23*U23)/2),2),0)</f>
        <v>88.51</v>
      </c>
      <c r="X23" s="26">
        <f>IF($C$21=2,ROUND(((S23*U23)),2),0)</f>
        <v>0</v>
      </c>
      <c r="Y23" s="26">
        <f>V23+W23+X23</f>
        <v>177.02</v>
      </c>
      <c r="Z23" s="26">
        <f t="shared" ref="Z23:Z24" si="1">S23+Y23</f>
        <v>1160.46</v>
      </c>
      <c r="AA23" s="26">
        <v>120</v>
      </c>
      <c r="AB23" s="26">
        <f>IF($P$21=1,(S23/$S$25)*$E$36,AA23/$AA$25*$E$36)</f>
        <v>0</v>
      </c>
      <c r="AC23" s="26"/>
      <c r="AD23" s="26">
        <f>IF($P$21=1,(S23/$S$25)*$E$38,AA23/$AA$25*$E$38)</f>
        <v>0</v>
      </c>
      <c r="AE23" s="26">
        <f>IF($P$21=1,(S23/$S$25)*$E$38,AA23/$AA$25*$E$38)</f>
        <v>0</v>
      </c>
      <c r="AF23" s="26">
        <f t="shared" ref="AF23:AF24" si="2">S23*$M$21</f>
        <v>983.44</v>
      </c>
      <c r="AG23" s="26">
        <f t="shared" ref="AG23:AG24" si="3">IF($C$21=3,0,AD23+AE23)</f>
        <v>0</v>
      </c>
      <c r="AH23" s="26">
        <f t="shared" ref="AH23:AH24" si="4">IF($C$21=3,AB23+AD23+AE23,0)</f>
        <v>0</v>
      </c>
      <c r="AI23" s="26">
        <v>1</v>
      </c>
      <c r="AJ23" s="26">
        <f t="shared" ref="AJ23:AJ24" si="5">F23/AI23</f>
        <v>2</v>
      </c>
      <c r="AK23" s="26">
        <f>AF23/AJ23</f>
        <v>491.72</v>
      </c>
      <c r="AL23" s="26">
        <f>AG23/AJ23</f>
        <v>0</v>
      </c>
      <c r="AM23" s="26">
        <f>AH23/AJ23</f>
        <v>0</v>
      </c>
      <c r="AN23" s="26" t="s">
        <v>58</v>
      </c>
      <c r="AO23" s="26">
        <f>AK23+AL23+AM23</f>
        <v>491.72</v>
      </c>
      <c r="AP23" s="48" t="s">
        <v>217</v>
      </c>
      <c r="AQ23" s="48" t="s">
        <v>58</v>
      </c>
      <c r="AR23" t="s" s="0">
        <v>225</v>
      </c>
      <c r="AS23" t="s" s="0">
        <v>233</v>
      </c>
      <c r="AT23" s="48">
        <f>AJ23</f>
        <v>2</v>
      </c>
      <c r="AU23" s="48">
        <f>AO23</f>
        <v>491.72</v>
      </c>
      <c r="AV23" s="48">
        <f>AR23+AT23</f>
        <v>16389</v>
      </c>
      <c r="AW23" s="48">
        <f>ROUND(((AR23*AS23)+(AT23*AU23))/(AR23+AT23),5)</f>
        <v>509.24844000000002</v>
      </c>
      <c r="AX23" s="50"/>
      <c r="AY23" s="50" t="s">
        <v>149</v>
      </c>
      <c r="AZ23" s="80" t="s">
        <v>45</v>
      </c>
      <c r="BA23" s="51" t="s">
        <v>30</v>
      </c>
      <c r="BB23" s="51" t="s">
        <v>39</v>
      </c>
      <c r="BC23" s="50"/>
      <c r="BD23" s="50"/>
      <c r="BE23" s="50"/>
      <c r="BF23" s="48"/>
      <c r="BG23" s="48"/>
      <c r="BH23" s="48"/>
      <c r="BI23" s="48" t="s">
        <v>31</v>
      </c>
      <c r="BJ23" t="s" s="0">
        <v>234</v>
      </c>
      <c r="BK23" t="s" s="0">
        <v>235</v>
      </c>
      <c r="BL23" s="48">
        <f>ROUND((((AT23*AW23)+(BK23*BJ23))/(AT23+BK23)),5)</f>
        <v>513.21429000000001</v>
      </c>
      <c r="BM23" s="53">
        <f>BK23+AT23</f>
        <v>204</v>
      </c>
      <c r="BN23" s="53"/>
    </row>
    <row r="24" spans="1:66">
      <c r="A24" s="25">
        <v>3</v>
      </c>
      <c r="B24" s="25" t="s">
        <v>226</v>
      </c>
      <c r="C24" s="25" t="s">
        <v>62</v>
      </c>
      <c r="D24" s="25" t="s">
        <v>58</v>
      </c>
      <c r="E24" s="25" t="s">
        <v>58</v>
      </c>
      <c r="F24" s="26">
        <v>3</v>
      </c>
      <c r="G24" t="s" s="0">
        <v>227</v>
      </c>
      <c r="H24" s="26">
        <f>F24*G24</f>
        <v>696</v>
      </c>
      <c r="I24" t="s" s="0">
        <v>228</v>
      </c>
      <c r="J24" s="26">
        <v>0.25</v>
      </c>
      <c r="K24" s="26">
        <v>2.5</v>
      </c>
      <c r="L24" s="26">
        <f>H24</f>
        <v>696</v>
      </c>
      <c r="M24" s="26">
        <f>ROUND(L24*I24%,2)</f>
        <v>16.149999999999999</v>
      </c>
      <c r="N24" s="26">
        <f t="shared" ref="N24" si="6">H24-M24</f>
        <v>679.85</v>
      </c>
      <c r="O24" s="26">
        <f t="shared" ref="O24" si="7">ROUND(N24*J24%,2)</f>
        <v>1.7</v>
      </c>
      <c r="P24" s="26">
        <f t="shared" ref="P24" si="8">ROUND(N24-O24,2)</f>
        <v>678.15</v>
      </c>
      <c r="Q24" s="26">
        <f t="shared" ref="Q24" si="9">ROUND(P24*K24%,2)</f>
        <v>16.95</v>
      </c>
      <c r="R24" s="26">
        <f t="shared" ref="R24" si="10">M24+O24+Q24</f>
        <v>34.799999999999997</v>
      </c>
      <c r="S24" s="26">
        <f t="shared" ref="S24" si="11">(H24-R24)</f>
        <v>661.2</v>
      </c>
      <c r="T24" s="26" t="s">
        <v>146</v>
      </c>
      <c r="U24" s="26">
        <v>0.18</v>
      </c>
      <c r="V24" s="26">
        <f t="shared" ref="V24" si="12">IF($C$21=1,ROUND(((S24*U24)/2),2),0)</f>
        <v>59.51</v>
      </c>
      <c r="W24" s="26">
        <f t="shared" ref="W24" si="13">IF($C$21=1,ROUND(((S24*U24)/2),2),0)</f>
        <v>59.51</v>
      </c>
      <c r="X24" s="26">
        <f t="shared" ref="X24" si="14">IF($C$21=2,ROUND(((S24*U24)),2),0)</f>
        <v>0</v>
      </c>
      <c r="Y24" s="26">
        <f t="shared" ref="Y24" si="15">V24+W24+X24</f>
        <v>119.02</v>
      </c>
      <c r="Z24" s="26">
        <f t="shared" si="1"/>
        <v>780.22</v>
      </c>
      <c r="AA24" s="26">
        <v>150</v>
      </c>
      <c r="AB24" s="26">
        <f>IF($P$21=1,(S24/$S$25)*$E$36,AA24/$AA$25*$E$36)</f>
        <v>0</v>
      </c>
      <c r="AC24" s="26"/>
      <c r="AD24" s="26">
        <f>IF($P$21=1,(S24/$S$25)*$E$38,AA24/$AA$25*$E$38)</f>
        <v>0</v>
      </c>
      <c r="AE24" s="26">
        <f>IF($P$21=1,(S24/$S$25)*$E$38,AA24/$AA$25*$E$38)</f>
        <v>0</v>
      </c>
      <c r="AF24" s="26">
        <f t="shared" si="2"/>
        <v>661.2</v>
      </c>
      <c r="AG24" s="26">
        <f t="shared" si="3"/>
        <v>0</v>
      </c>
      <c r="AH24" s="26">
        <f t="shared" si="4"/>
        <v>0</v>
      </c>
      <c r="AI24" s="26">
        <v>1</v>
      </c>
      <c r="AJ24" s="26">
        <f t="shared" si="5"/>
        <v>3</v>
      </c>
      <c r="AK24" s="26">
        <f t="shared" ref="AK24" si="16">AF24/AJ24</f>
        <v>220.4</v>
      </c>
      <c r="AL24" s="26">
        <f t="shared" ref="AL24" si="17">AG24/AJ24</f>
        <v>0</v>
      </c>
      <c r="AM24" s="26">
        <f t="shared" ref="AM24" si="18">AH24/AJ24</f>
        <v>0</v>
      </c>
      <c r="AN24" s="26" t="s">
        <v>58</v>
      </c>
      <c r="AO24" s="26">
        <f t="shared" ref="AO24" si="19">AK24+AL24+AM24</f>
        <v>220.4</v>
      </c>
      <c r="AP24" s="48" t="s">
        <v>217</v>
      </c>
      <c r="AQ24" s="48" t="s">
        <v>58</v>
      </c>
      <c r="AR24" t="s" s="0">
        <v>229</v>
      </c>
      <c r="AS24" t="s" s="0">
        <v>236</v>
      </c>
      <c r="AT24" s="48">
        <f t="shared" ref="AT24" si="20">AJ24</f>
        <v>3</v>
      </c>
      <c r="AU24" s="48">
        <f>AO24</f>
        <v>220.4</v>
      </c>
      <c r="AV24" s="48">
        <f t="shared" ref="AV24" si="21">AR24+AT24</f>
        <v>12249</v>
      </c>
      <c r="AW24" s="48">
        <f t="shared" ref="AW24" si="22">ROUND(((AR24*AS24)+(AT24*AU24))/(AR24+AT24),5)</f>
        <v>225.95932999999999</v>
      </c>
      <c r="AX24" s="50"/>
      <c r="AY24" s="50"/>
      <c r="AZ24" s="58" t="s">
        <v>29</v>
      </c>
      <c r="BA24" s="58" t="s">
        <v>221</v>
      </c>
      <c r="BB24" s="58"/>
      <c r="BC24" s="50"/>
      <c r="BD24" s="50"/>
      <c r="BE24" s="50"/>
      <c r="BF24" s="48"/>
      <c r="BG24" s="48"/>
      <c r="BH24" s="48"/>
      <c r="BI24" s="48" t="s">
        <v>31</v>
      </c>
      <c r="BJ24" t="s" s="0">
        <v>237</v>
      </c>
      <c r="BK24" t="s" s="0">
        <v>238</v>
      </c>
      <c r="BL24" s="48">
        <f t="shared" ref="BL24" si="23">ROUND((((AT24*AW24)+(BK24*BJ24))/(AT24+BK24)),5)</f>
        <v>226.54366999999999</v>
      </c>
      <c r="BM24" s="53">
        <f t="shared" ref="BM24" si="24">BK24+AT24</f>
        <v>3572</v>
      </c>
      <c r="BN24" s="53"/>
    </row>
    <row r="25" spans="1:66">
      <c r="A25" s="16"/>
      <c r="B25" s="27"/>
      <c r="C25" s="27"/>
      <c r="D25" s="28" t="s">
        <v>87</v>
      </c>
      <c r="E25" s="28"/>
      <c r="F25" s="28"/>
      <c r="G25" s="29"/>
      <c r="H25" s="30">
        <f>SUM(H23:H24)</f>
        <v>1744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99.36</v>
      </c>
      <c r="S25" s="39">
        <f>SUM(S23:S24)</f>
        <v>1644.64</v>
      </c>
      <c r="T25" s="30"/>
      <c r="U25" s="30"/>
      <c r="V25" s="40">
        <f t="shared" ref="V25:AB25" si="25">SUM(V23:V24)</f>
        <v>148.02000000000001</v>
      </c>
      <c r="W25" s="40">
        <f t="shared" si="25"/>
        <v>148.02000000000001</v>
      </c>
      <c r="X25" s="40">
        <f t="shared" si="25"/>
        <v>0</v>
      </c>
      <c r="Y25" s="30">
        <f t="shared" si="25"/>
        <v>296.04000000000002</v>
      </c>
      <c r="Z25" s="44">
        <f t="shared" si="25"/>
        <v>1940.68</v>
      </c>
      <c r="AA25" s="45">
        <f t="shared" si="25"/>
        <v>270</v>
      </c>
      <c r="AB25" s="45">
        <f t="shared" si="25"/>
        <v>0</v>
      </c>
      <c r="AC25" s="44"/>
      <c r="AD25" s="45">
        <f>SUM(AD23:AD24)</f>
        <v>0</v>
      </c>
      <c r="AE25" s="45">
        <f>SUM(AE23:AE24)</f>
        <v>0</v>
      </c>
      <c r="AF25" s="45">
        <f>SUM(AF23:AF24)</f>
        <v>1644.64</v>
      </c>
      <c r="AG25" s="45">
        <f>SUM(AG23:AG24)</f>
        <v>0</v>
      </c>
      <c r="AH25" s="45">
        <f>SUM(AH23:AH24)</f>
        <v>0</v>
      </c>
      <c r="AI25" s="44"/>
      <c r="AJ25" s="44"/>
      <c r="AK25" s="44"/>
      <c r="AL25" s="44"/>
      <c r="AM25" s="44"/>
      <c r="AN25" s="44"/>
      <c r="AO25" s="44"/>
      <c r="AP25" s="16"/>
    </row>
    <row r="27" spans="1:66">
      <c r="AS27" t="s" s="0">
        <v>230</v>
      </c>
      <c r="AT27" t="s" s="0">
        <v>231</v>
      </c>
    </row>
    <row r="28" spans="1:66">
      <c r="AS28" s="0">
        <v>1473.6849999999999</v>
      </c>
      <c r="AT28" s="0">
        <v>1281.64708</v>
      </c>
      <c r="AU28" s="48">
        <f t="shared" ref="AU28" si="26">AK28</f>
        <v>0</v>
      </c>
    </row>
    <row r="31" spans="1:66">
      <c r="AV31" t="s" s="0">
        <v>232</v>
      </c>
    </row>
    <row r="32" spans="1:66">
      <c r="AV32" s="0">
        <v>513.38841000000002</v>
      </c>
    </row>
    <row r="33" spans="48:48">
      <c r="AV33" s="0">
        <f>AV31-AV32</f>
        <v>3.2499999999799898E-3</v>
      </c>
    </row>
  </sheetData>
  <mergeCells count="3">
    <mergeCell ref="A1:Z1"/>
    <mergeCell ref="B19:G19"/>
    <mergeCell ref="A21:B2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R26"/>
  <sheetViews>
    <sheetView topLeftCell="H10" workbookViewId="0">
      <selection activeCell="AA24" sqref="AA24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60" max="60" customWidth="true" width="12.5703125"/>
    <col min="61" max="61" customWidth="true" width="21.7109375"/>
    <col min="62" max="63" customWidth="true" width="30.5703125"/>
    <col min="64" max="64" bestFit="true" customWidth="true" width="8.1406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6"/>
      <c r="AS1" s="16"/>
    </row>
    <row r="2" spans="1:45" ht="18.75" thickBot="1">
      <c r="A2" s="112" t="s">
        <v>47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1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239</v>
      </c>
      <c r="C23" s="25" t="s">
        <v>57</v>
      </c>
      <c r="D23" s="25" t="s">
        <v>58</v>
      </c>
      <c r="E23" s="25" t="s">
        <v>58</v>
      </c>
      <c r="F23" s="26">
        <v>2</v>
      </c>
      <c r="G23" t="s" s="0">
        <v>416</v>
      </c>
      <c r="H23" s="26">
        <f>F23*G23</f>
        <v>500</v>
      </c>
      <c r="I23" t="s" s="0">
        <v>224</v>
      </c>
      <c r="J23" s="26">
        <v>1.79</v>
      </c>
      <c r="K23" s="26">
        <v>2.5</v>
      </c>
      <c r="L23" s="26">
        <f>H23</f>
        <v>500</v>
      </c>
      <c r="M23" s="26">
        <f>ROUND(L23*I23%,2)</f>
        <v>10</v>
      </c>
      <c r="N23" s="26">
        <f>H23-M23</f>
        <v>490</v>
      </c>
      <c r="O23" s="26">
        <f>ROUND(N23*J23%,2)</f>
        <v>8.77</v>
      </c>
      <c r="P23" s="26">
        <f>ROUND(N23-O23,2)</f>
        <v>481.23</v>
      </c>
      <c r="Q23" s="26">
        <f>ROUND(P23*K23%,2)</f>
        <v>12.03</v>
      </c>
      <c r="R23" s="26">
        <f>M23+O23+Q23</f>
        <v>30.799999999999997</v>
      </c>
      <c r="S23" s="26">
        <f>(H23-R23)</f>
        <v>469.2</v>
      </c>
      <c r="T23" s="26" t="s">
        <v>146</v>
      </c>
      <c r="U23" s="26">
        <v>0.18</v>
      </c>
      <c r="V23" s="26">
        <f>IF(OR($C$21=1,$C$21=4),ROUND(((S23*U23)/2),2),0)</f>
        <v>42.23</v>
      </c>
      <c r="W23" s="26">
        <f>IF($C$21=1,ROUND(((S23*U23)/2),2),0)</f>
        <v>42.23</v>
      </c>
      <c r="X23" s="26">
        <f>IF($C$21=2,ROUND(((S23*U23)),2),0)</f>
        <v>0</v>
      </c>
      <c r="Y23" s="26">
        <f>IF($C$21=4,ROUND(((S23*U23)/2),2),0)</f>
        <v>0</v>
      </c>
      <c r="Z23" s="43">
        <v>0</v>
      </c>
      <c r="AA23" s="26">
        <f>IF($C21=3, 0, ROUND(S23*Z23, 2))</f>
        <v>0</v>
      </c>
      <c r="AB23" s="26">
        <f>V23+W23+X23+Y23+AA23</f>
        <v>84.46</v>
      </c>
      <c r="AC23" s="26">
        <f>IF($V21=1,S23+AB23,S23)</f>
        <v>553.66</v>
      </c>
      <c r="AD23" s="26">
        <v>120</v>
      </c>
      <c r="AE23" s="26">
        <f>IF($P$21=1,(S23/$S$25)*$E$36,AD23/$AD$25*$E$36)</f>
        <v>0</v>
      </c>
      <c r="AF23" s="26"/>
      <c r="AG23" s="26">
        <f>IF($P$21=1,(S23/$S$25)*$E$38,AD23/$AD$25*$E$38)</f>
        <v>0</v>
      </c>
      <c r="AH23" s="26">
        <f>IF($P$21=1,(S23/$S$25)*$E$38,AD23/$AD$25*$E$38)</f>
        <v>0</v>
      </c>
      <c r="AI23" s="26">
        <f t="shared" ref="AI23:AI24" si="1">S23*$M$21</f>
        <v>469.2</v>
      </c>
      <c r="AJ23" s="26">
        <f t="shared" ref="AJ23:AJ24" si="2">IF($C$21=3,0,AG23+AH23)</f>
        <v>0</v>
      </c>
      <c r="AK23" s="26">
        <f t="shared" ref="AK23:AK24" si="3">IF($C$21=3,AE23+AG23+AH23,0)</f>
        <v>0</v>
      </c>
      <c r="AL23" s="26">
        <v>1</v>
      </c>
      <c r="AM23" s="26">
        <f t="shared" ref="AM23:AM24" si="4">F23/AL23</f>
        <v>2</v>
      </c>
      <c r="AN23" s="26">
        <f>AI23/AM23</f>
        <v>234.6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234.6</v>
      </c>
      <c r="AS23" s="48" t="s">
        <v>217</v>
      </c>
      <c r="AT23" s="48" t="s">
        <v>58</v>
      </c>
      <c r="AU23" t="s" s="0">
        <v>224</v>
      </c>
      <c r="AV23" t="s" s="0">
        <v>536</v>
      </c>
      <c r="AW23" s="48">
        <f>AM23</f>
        <v>2</v>
      </c>
      <c r="AX23" s="48">
        <f>AR23</f>
        <v>234.6</v>
      </c>
      <c r="AY23" s="48">
        <f>AU23+AW23</f>
        <v>2</v>
      </c>
      <c r="AZ23" s="48">
        <f>ROUND(((AU23*AV23)+(AW23*AX23))/(AU23+AW23),5)</f>
        <v>234.6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31</v>
      </c>
      <c r="BM23" t="s" s="0">
        <v>538</v>
      </c>
      <c r="BN23" t="s" s="0">
        <v>336</v>
      </c>
      <c r="BO23" s="48">
        <f>ROUND((((AW23*AZ23)+(BN23*BM23))/(AW23+BN23)),5)</f>
        <v>234.6</v>
      </c>
      <c r="BP23" s="53">
        <f>BN23+AW23</f>
        <v>6</v>
      </c>
      <c r="BQ23" s="54">
        <v>123562</v>
      </c>
      <c r="BR23" s="53"/>
    </row>
    <row r="24" spans="1:70" ht="15.75" thickBot="1">
      <c r="A24" s="25">
        <v>2</v>
      </c>
      <c r="B24" s="25" t="s">
        <v>241</v>
      </c>
      <c r="C24" s="25" t="s">
        <v>57</v>
      </c>
      <c r="D24" s="25" t="s">
        <v>58</v>
      </c>
      <c r="E24" s="25" t="s">
        <v>58</v>
      </c>
      <c r="F24" s="26">
        <v>2</v>
      </c>
      <c r="G24" t="s" s="0">
        <v>360</v>
      </c>
      <c r="H24" s="26">
        <f>F24*G24</f>
        <v>468</v>
      </c>
      <c r="I24" t="s" s="0">
        <v>218</v>
      </c>
      <c r="J24" s="26">
        <v>1.79</v>
      </c>
      <c r="K24" s="26">
        <v>2.5</v>
      </c>
      <c r="L24" s="26">
        <f>H24</f>
        <v>468</v>
      </c>
      <c r="M24" s="26">
        <f>ROUND(L24*I24%,2)</f>
        <v>18.72</v>
      </c>
      <c r="N24" s="26">
        <f>H24-M24</f>
        <v>449.28</v>
      </c>
      <c r="O24" s="26">
        <f>ROUND(N24*J24%,2)</f>
        <v>8.0399999999999991</v>
      </c>
      <c r="P24" s="26">
        <f>ROUND(N24-O24,2)</f>
        <v>441.24</v>
      </c>
      <c r="Q24" s="26">
        <f>ROUND(P24*K24%,2)</f>
        <v>11.03</v>
      </c>
      <c r="R24" s="26">
        <f>M24+O24+Q24</f>
        <v>37.79</v>
      </c>
      <c r="S24" s="26">
        <f>(H24-R24)</f>
        <v>430.21</v>
      </c>
      <c r="T24" s="26" t="s">
        <v>146</v>
      </c>
      <c r="U24" s="26">
        <v>0.18</v>
      </c>
      <c r="V24" s="26">
        <f>IF(OR($C$21=1,$C$21=4),ROUND(((S24*U24)/2),2),0)</f>
        <v>38.72</v>
      </c>
      <c r="W24" s="26">
        <f>IF($C$21=1,ROUND(((S24*U24)/2),2),0)</f>
        <v>38.72</v>
      </c>
      <c r="X24" s="26">
        <f>IF($C$21=2,ROUND(((S24*U24)),2),0)</f>
        <v>0</v>
      </c>
      <c r="Y24" s="26">
        <f>IF($C$21=4,ROUND(((S24*U24)/2),2),0)</f>
        <v>0</v>
      </c>
      <c r="Z24" s="43">
        <v>0</v>
      </c>
      <c r="AA24" s="26">
        <f>IF($C22=3, 0, ROUND(S24*Z24, 2))</f>
        <v>0</v>
      </c>
      <c r="AB24" s="26">
        <f>V24+W24+X24+Y24+AA24</f>
        <v>77.44</v>
      </c>
      <c r="AC24" s="26">
        <f>IF($V22=1,S24+AB24,S24)</f>
        <v>430.21</v>
      </c>
      <c r="AD24" s="26">
        <v>120</v>
      </c>
      <c r="AE24" s="26">
        <f>IF($P$21=1,(S24/$S$25)*$E$36,AD24/$AD$25*$E$36)</f>
        <v>0</v>
      </c>
      <c r="AF24" s="26"/>
      <c r="AG24" s="26">
        <f>IF($P$21=1,(S24/$S$25)*$E$38,AD24/$AD$25*$E$38)</f>
        <v>0</v>
      </c>
      <c r="AH24" s="26">
        <f>IF($P$21=1,(S24/$S$25)*$E$38,AD24/$AD$25*$E$38)</f>
        <v>0</v>
      </c>
      <c r="AI24" s="26">
        <f t="shared" si="1"/>
        <v>430.21</v>
      </c>
      <c r="AJ24" s="26">
        <f t="shared" si="2"/>
        <v>0</v>
      </c>
      <c r="AK24" s="26">
        <f t="shared" si="3"/>
        <v>0</v>
      </c>
      <c r="AL24" s="26">
        <v>1</v>
      </c>
      <c r="AM24" s="26">
        <f t="shared" si="4"/>
        <v>2</v>
      </c>
      <c r="AN24" s="26">
        <f>AI24/AM24</f>
        <v>215.10499999999999</v>
      </c>
      <c r="AO24" s="26">
        <f>AJ24/AM24</f>
        <v>0</v>
      </c>
      <c r="AP24" s="26">
        <f>AK24/AM24</f>
        <v>0</v>
      </c>
      <c r="AQ24" s="26" t="s">
        <v>58</v>
      </c>
      <c r="AR24" s="26">
        <f>AN24+AO24+AP24</f>
        <v>215.10499999999999</v>
      </c>
      <c r="AS24" s="48" t="s">
        <v>217</v>
      </c>
      <c r="AT24" s="48" t="s">
        <v>58</v>
      </c>
      <c r="AU24" t="s" s="0">
        <v>419</v>
      </c>
      <c r="AV24" t="s" s="0">
        <v>537</v>
      </c>
      <c r="AW24" s="48">
        <f>AM24</f>
        <v>2</v>
      </c>
      <c r="AX24" s="48">
        <f>AR24</f>
        <v>215.10499999999999</v>
      </c>
      <c r="AY24" s="48">
        <f>AU24+AW24</f>
        <v>2</v>
      </c>
      <c r="AZ24" s="48">
        <f>ROUND(((AU24*AV24)+(AW24*AX24))/(AU24+AW24),5)</f>
        <v>215.10499999999999</v>
      </c>
      <c r="BA24" s="50"/>
      <c r="BB24" s="50" t="s">
        <v>149</v>
      </c>
      <c r="BC24" s="80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48" t="s">
        <v>31</v>
      </c>
      <c r="BM24" t="s" s="0">
        <v>539</v>
      </c>
      <c r="BN24" t="s" s="0">
        <v>252</v>
      </c>
      <c r="BO24" s="48">
        <f>ROUND((((AW24*AZ24)+(BN24*BM24))/(AW24+BN24)),5)</f>
        <v>215.10499999999999</v>
      </c>
      <c r="BP24" s="53">
        <f>BN24+AW24</f>
        <v>6</v>
      </c>
      <c r="BQ24" s="54">
        <v>123562</v>
      </c>
      <c r="BR24" s="53"/>
    </row>
    <row r="25" spans="1:70" ht="15.75" thickBot="1">
      <c r="A25" s="16"/>
      <c r="B25" s="27"/>
      <c r="C25" s="27"/>
      <c r="D25" s="28" t="s">
        <v>87</v>
      </c>
      <c r="E25" s="28"/>
      <c r="F25" s="28"/>
      <c r="G25" s="29"/>
      <c r="H25" s="30">
        <f>SUM(H23:H24)</f>
        <v>968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68.59</v>
      </c>
      <c r="S25" s="39">
        <f>SUM(S23:S24)</f>
        <v>899.41</v>
      </c>
      <c r="T25" s="30"/>
      <c r="U25" s="30"/>
      <c r="V25" s="40">
        <f>SUM(V23:V24)</f>
        <v>80.949999999999989</v>
      </c>
      <c r="W25" s="40">
        <f>SUM(W23:W24)</f>
        <v>80.949999999999989</v>
      </c>
      <c r="X25" s="40">
        <f>SUM(X23:X24)</f>
        <v>0</v>
      </c>
      <c r="Y25" s="40">
        <f>SUM(Y23:Y24)</f>
        <v>0</v>
      </c>
      <c r="Z25" s="40"/>
      <c r="AA25" s="40">
        <f>SUM(AA23:AA24)</f>
        <v>0</v>
      </c>
      <c r="AB25" s="30">
        <f>SUM(AB23:AB24)</f>
        <v>161.89999999999998</v>
      </c>
      <c r="AC25" s="44">
        <f>SUM(AC23:AC24)</f>
        <v>983.86999999999989</v>
      </c>
      <c r="AD25" s="45">
        <f t="shared" ref="AD25:AE25" si="5">SUM(AD23:AD23)</f>
        <v>120</v>
      </c>
      <c r="AE25" s="45">
        <f t="shared" si="5"/>
        <v>0</v>
      </c>
      <c r="AF25" s="44"/>
      <c r="AG25" s="45">
        <f>SUM(AG23:AG23)</f>
        <v>0</v>
      </c>
      <c r="AH25" s="45">
        <f>SUM(AH23:AH23)</f>
        <v>0</v>
      </c>
      <c r="AI25" s="45">
        <f>SUM(AI23:AI24)</f>
        <v>899.41</v>
      </c>
      <c r="AJ25" s="45">
        <f>SUM(AJ23:AJ23)</f>
        <v>0</v>
      </c>
      <c r="AK25" s="45">
        <f>SUM(AK23:AK23)</f>
        <v>0</v>
      </c>
      <c r="AL25" s="44"/>
      <c r="AM25" s="44"/>
      <c r="AN25" s="44"/>
      <c r="AO25" s="44"/>
      <c r="AP25" s="44"/>
      <c r="AQ25" s="44"/>
      <c r="AR25" s="44"/>
      <c r="AS25" s="16"/>
    </row>
    <row r="26" spans="1:70">
      <c r="A26" s="16"/>
      <c r="B26" s="27"/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</row>
  </sheetData>
  <mergeCells count="3">
    <mergeCell ref="B19:G19"/>
    <mergeCell ref="A21:B21"/>
    <mergeCell ref="A1:AC1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R25"/>
  <sheetViews>
    <sheetView topLeftCell="D13" workbookViewId="0">
      <selection activeCell="M21" sqref="M21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60" max="60" customWidth="true" width="12.5703125"/>
    <col min="61" max="61" customWidth="true" width="21.7109375"/>
    <col min="62" max="63" customWidth="true" width="30.5703125"/>
    <col min="64" max="64" bestFit="true" customWidth="true" width="8.1406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27.75" customHeight="1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6"/>
      <c r="AS1" s="16"/>
    </row>
    <row r="2" spans="1:45" ht="27.75" customHeight="1" thickBot="1">
      <c r="A2" s="132" t="s">
        <v>47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6"/>
      <c r="AS2" s="16"/>
    </row>
    <row r="3" spans="1:45" ht="27.75" customHeight="1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 ht="27.75" customHeight="1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 ht="27.75" customHeight="1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 ht="27.75" customHeight="1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 ht="27.75" customHeight="1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 ht="27.75" customHeight="1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 ht="27.75" customHeight="1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 ht="27.75" customHeight="1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 ht="27.75" customHeight="1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 ht="27.75" customHeight="1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 ht="27.75" customHeight="1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 ht="27.75" customHeight="1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 ht="27.75" customHeight="1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 ht="27.75" customHeight="1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3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75.69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403</v>
      </c>
      <c r="C23" s="25" t="s">
        <v>57</v>
      </c>
      <c r="D23" s="25" t="s">
        <v>58</v>
      </c>
      <c r="E23" s="25" t="s">
        <v>58</v>
      </c>
      <c r="F23" s="26">
        <v>2</v>
      </c>
      <c r="G23" t="s" s="0">
        <v>416</v>
      </c>
      <c r="H23" s="26">
        <f>F23*G23</f>
        <v>500</v>
      </c>
      <c r="I23" t="s" s="0">
        <v>224</v>
      </c>
      <c r="J23" s="26">
        <v>1.79</v>
      </c>
      <c r="K23" s="26">
        <v>2.5</v>
      </c>
      <c r="L23" s="26">
        <f>H23</f>
        <v>500</v>
      </c>
      <c r="M23" s="26">
        <f>ROUND(L23*I23%,2)</f>
        <v>10</v>
      </c>
      <c r="N23" s="26">
        <f>H23-M23</f>
        <v>490</v>
      </c>
      <c r="O23" s="26">
        <f>ROUND(N23*J23%,2)</f>
        <v>8.77</v>
      </c>
      <c r="P23" s="26">
        <f>ROUND(N23-O23,2)</f>
        <v>481.23</v>
      </c>
      <c r="Q23" s="26">
        <f>ROUND(P23*K23%,2)</f>
        <v>12.03</v>
      </c>
      <c r="R23" s="26">
        <f>M23+O23+Q23</f>
        <v>30.799999999999997</v>
      </c>
      <c r="S23" s="26">
        <f>(H23-R23)</f>
        <v>469.2</v>
      </c>
      <c r="T23" s="26" t="s">
        <v>146</v>
      </c>
      <c r="U23" s="26">
        <v>0.18</v>
      </c>
      <c r="V23" s="26">
        <f>IF(OR($C$21=1,$C$21=4),ROUND(((S23*U23)/2),2),0)</f>
        <v>0</v>
      </c>
      <c r="W23" s="26">
        <f>IF($C$21=1,ROUND(((S23*U23)/2),2),0)</f>
        <v>0</v>
      </c>
      <c r="X23" s="26">
        <f>IF($C$21=2,ROUND(((S23*U23)),2),0)</f>
        <v>0</v>
      </c>
      <c r="Y23" s="26">
        <f>IF($C$21=4,ROUND(((S23*U23)/2),2),0)</f>
        <v>0</v>
      </c>
      <c r="Z23" s="43">
        <v>0.01</v>
      </c>
      <c r="AA23" s="26">
        <f>IF($C21=3, 0, ROUND(S23*Z23, 2))</f>
        <v>0</v>
      </c>
      <c r="AB23" s="26">
        <f>V23+W23+X23+Y23+AA23</f>
        <v>0</v>
      </c>
      <c r="AC23" s="26">
        <f>IF($V21=1,S23+AB23,S23)</f>
        <v>469.2</v>
      </c>
      <c r="AD23" s="26">
        <v>120</v>
      </c>
      <c r="AE23" s="26">
        <f>IF($P$21=1,(S23/$S$24)*$E$35,AD23/$AD$24*$E$35)</f>
        <v>0</v>
      </c>
      <c r="AF23" s="26"/>
      <c r="AG23" s="26">
        <f>IF($P$21=1,(S23/$S$24)*$E$37,AD23/$AD$24*$E$37)</f>
        <v>0</v>
      </c>
      <c r="AH23" s="26">
        <f>IF($P$21=1,(S23/$S$24)*$E$37,AD23/$AD$24*$E$37)</f>
        <v>0</v>
      </c>
      <c r="AI23" s="26">
        <f t="shared" ref="AI23" si="1">S23*$M$21</f>
        <v>35513.748</v>
      </c>
      <c r="AJ23" s="26">
        <f t="shared" ref="AJ23" si="2">IF($C$21=3,0,AG23+AH23)</f>
        <v>0</v>
      </c>
      <c r="AK23" s="26">
        <f t="shared" ref="AK23" si="3">IF($C$21=3,AE23+AG23+AH23,0)</f>
        <v>0</v>
      </c>
      <c r="AL23" s="26">
        <v>1</v>
      </c>
      <c r="AM23" s="26">
        <f t="shared" ref="AM23" si="4">F23/AL23</f>
        <v>2</v>
      </c>
      <c r="AN23" s="26">
        <f>AI23/AM23</f>
        <v>17756.874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17756.874</v>
      </c>
      <c r="AS23" s="48" t="s">
        <v>217</v>
      </c>
      <c r="AT23" s="48" t="s">
        <v>58</v>
      </c>
      <c r="AU23" t="s" s="0">
        <v>224</v>
      </c>
      <c r="AV23" t="s" s="0">
        <v>457</v>
      </c>
      <c r="AW23" s="48">
        <f>AM23</f>
        <v>2</v>
      </c>
      <c r="AX23" s="48">
        <f>AR23</f>
        <v>17756.874</v>
      </c>
      <c r="AY23" s="48">
        <f>AU23+AW23</f>
        <v>4</v>
      </c>
      <c r="AZ23" s="48">
        <f>ROUND(((AU23*AV23)+(AW23*AX23))/(AU23+AW23),5)</f>
        <v>9003.0645000000004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31</v>
      </c>
      <c r="BM23" t="s" s="0">
        <v>459</v>
      </c>
      <c r="BN23" t="s" s="0">
        <v>458</v>
      </c>
      <c r="BO23" s="48">
        <f>ROUND((((AW23*AZ23)+(BN23*BM23))/(AW23+BN23)),5)</f>
        <v>3121.1477500000001</v>
      </c>
      <c r="BP23" s="53">
        <f>BN23+AW23</f>
        <v>26</v>
      </c>
      <c r="BQ23" s="54">
        <v>123562</v>
      </c>
      <c r="BR23" s="53"/>
    </row>
    <row r="24" spans="1:70" ht="15.75" thickBot="1">
      <c r="A24" s="16"/>
      <c r="B24" s="27"/>
      <c r="C24" s="27"/>
      <c r="D24" s="28" t="s">
        <v>87</v>
      </c>
      <c r="E24" s="28"/>
      <c r="F24" s="28"/>
      <c r="G24" s="29"/>
      <c r="H24" s="30">
        <f>SUM(H23:H23)</f>
        <v>500</v>
      </c>
      <c r="I24" s="25"/>
      <c r="J24" s="25"/>
      <c r="K24" s="25"/>
      <c r="L24" s="25"/>
      <c r="M24" s="25"/>
      <c r="N24" s="25"/>
      <c r="O24" s="25"/>
      <c r="P24" s="25"/>
      <c r="Q24" s="25"/>
      <c r="R24" s="30">
        <f>SUM(R23:R23)</f>
        <v>30.799999999999997</v>
      </c>
      <c r="S24" s="39">
        <f>SUM(S23:S23)</f>
        <v>469.2</v>
      </c>
      <c r="T24" s="30"/>
      <c r="U24" s="30"/>
      <c r="V24" s="40">
        <f>SUM(V23:V23)</f>
        <v>0</v>
      </c>
      <c r="W24" s="40">
        <f>SUM(W23:W23)</f>
        <v>0</v>
      </c>
      <c r="X24" s="40">
        <f>SUM(X23:X23)</f>
        <v>0</v>
      </c>
      <c r="Y24" s="40">
        <f>SUM(Y23:Y23)</f>
        <v>0</v>
      </c>
      <c r="Z24" s="40"/>
      <c r="AA24" s="40">
        <f>SUM(AA23:AA23)</f>
        <v>0</v>
      </c>
      <c r="AB24" s="30">
        <f>SUM(AB23:AB23)</f>
        <v>0</v>
      </c>
      <c r="AC24" s="44">
        <f>SUM(AC23:AC23)</f>
        <v>469.2</v>
      </c>
      <c r="AD24" s="45">
        <f t="shared" ref="AD24:AE24" si="5">SUM(AD23:AD23)</f>
        <v>120</v>
      </c>
      <c r="AE24" s="45">
        <f t="shared" si="5"/>
        <v>0</v>
      </c>
      <c r="AF24" s="44"/>
      <c r="AG24" s="45">
        <f>SUM(AG23:AG23)</f>
        <v>0</v>
      </c>
      <c r="AH24" s="45">
        <f>SUM(AH23:AH23)</f>
        <v>0</v>
      </c>
      <c r="AI24" s="45">
        <f>SUM(AI23:AI23)</f>
        <v>35513.748</v>
      </c>
      <c r="AJ24" s="45">
        <f>SUM(AJ23:AJ23)</f>
        <v>0</v>
      </c>
      <c r="AK24" s="45">
        <f>SUM(AK23:AK23)</f>
        <v>0</v>
      </c>
      <c r="AL24" s="44"/>
      <c r="AM24" s="44"/>
      <c r="AN24" s="44"/>
      <c r="AO24" s="44"/>
      <c r="AP24" s="44"/>
      <c r="AQ24" s="44"/>
      <c r="AR24" s="44"/>
      <c r="AS24" s="16"/>
    </row>
    <row r="25" spans="1:70">
      <c r="A25" s="16"/>
      <c r="B25" s="27"/>
      <c r="C25" s="2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R26"/>
  <sheetViews>
    <sheetView topLeftCell="N16" workbookViewId="0">
      <selection activeCell="BN26" sqref="BN26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60" max="60" customWidth="true" width="12.5703125"/>
    <col min="61" max="61" customWidth="true" width="21.7109375"/>
    <col min="62" max="63" customWidth="true" width="30.5703125"/>
    <col min="64" max="64" bestFit="true" customWidth="true" width="8.1406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6"/>
      <c r="AS1" s="16"/>
    </row>
    <row r="2" spans="1:45" ht="18.75" thickBot="1">
      <c r="A2" s="116" t="s">
        <v>47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2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256</v>
      </c>
      <c r="C23" s="25" t="s">
        <v>57</v>
      </c>
      <c r="D23" s="25" t="s">
        <v>58</v>
      </c>
      <c r="E23" s="25" t="s">
        <v>58</v>
      </c>
      <c r="F23" s="26">
        <v>2</v>
      </c>
      <c r="G23" t="s" s="0">
        <v>244</v>
      </c>
      <c r="H23" s="26">
        <f>F23*G23</f>
        <v>500</v>
      </c>
      <c r="I23" t="s" s="0">
        <v>257</v>
      </c>
      <c r="J23" s="26">
        <v>1.79</v>
      </c>
      <c r="K23" s="26">
        <v>2.5</v>
      </c>
      <c r="L23" s="26">
        <f>H23</f>
        <v>500</v>
      </c>
      <c r="M23" s="26">
        <f>ROUND(L23*I23%,2)</f>
        <v>10</v>
      </c>
      <c r="N23" s="26">
        <f>H23-M23</f>
        <v>490</v>
      </c>
      <c r="O23" s="26">
        <f>ROUND(N23*J23%,2)</f>
        <v>8.77</v>
      </c>
      <c r="P23" s="26">
        <f>ROUND(N23-O23,2)</f>
        <v>481.23</v>
      </c>
      <c r="Q23" s="26">
        <f>ROUND(P23*K23%,2)</f>
        <v>12.03</v>
      </c>
      <c r="R23" s="26">
        <f>M23+O23+Q23</f>
        <v>30.799999999999997</v>
      </c>
      <c r="S23" s="26">
        <f>(H23-R23)</f>
        <v>469.2</v>
      </c>
      <c r="T23" s="26" t="s">
        <v>146</v>
      </c>
      <c r="U23" s="26">
        <v>0.18</v>
      </c>
      <c r="V23" s="26">
        <f>IF(OR($C$21=1,$C$21=4),ROUND(((S23*U23)/2),2),0)</f>
        <v>0</v>
      </c>
      <c r="W23" s="26">
        <f>IF($C$21=1,ROUND(((S23*U23)/2),2),0)</f>
        <v>0</v>
      </c>
      <c r="X23" s="26">
        <f>IF($C$21=2,ROUND(((S23*U23)),2),0)</f>
        <v>84.46</v>
      </c>
      <c r="Y23" s="26">
        <f>IF($C$21=4,ROUND(((S23*U23)/2),2),0)</f>
        <v>0</v>
      </c>
      <c r="Z23" s="43">
        <v>0</v>
      </c>
      <c r="AA23" s="26">
        <f>IF($C21=3, 0, ROUND(S23*Z23, 2))</f>
        <v>0</v>
      </c>
      <c r="AB23" s="26">
        <f>V23+W23+X23+Y23+AA23</f>
        <v>84.46</v>
      </c>
      <c r="AC23" s="26">
        <f>IF($V21=1,S23+AB23,S23)</f>
        <v>553.66</v>
      </c>
      <c r="AD23" s="26">
        <v>120</v>
      </c>
      <c r="AE23" s="26">
        <f>IF($P$21=1,(S23/$S$25)*$E$36,AD23/$AD$25*$E$36)</f>
        <v>0</v>
      </c>
      <c r="AF23" s="26"/>
      <c r="AG23" s="26">
        <f>IF($P$21=1,(S23/$S$25)*$E$38,AD23/$AD$25*$E$38)</f>
        <v>0</v>
      </c>
      <c r="AH23" s="26">
        <f>IF($P$21=1,(S23/$S$25)*$E$38,AD23/$AD$25*$E$38)</f>
        <v>0</v>
      </c>
      <c r="AI23" s="26">
        <f t="shared" ref="AI23:AI24" si="1">S23*$M$21</f>
        <v>469.2</v>
      </c>
      <c r="AJ23" s="26">
        <f t="shared" ref="AJ23:AJ24" si="2">IF($C$21=3,0,AG23+AH23)</f>
        <v>0</v>
      </c>
      <c r="AK23" s="26">
        <f t="shared" ref="AK23:AK24" si="3">IF($C$21=3,AE23+AG23+AH23,0)</f>
        <v>0</v>
      </c>
      <c r="AL23" s="26">
        <v>1</v>
      </c>
      <c r="AM23" s="26">
        <f t="shared" ref="AM23:AM24" si="4">F23/AL23</f>
        <v>2</v>
      </c>
      <c r="AN23" s="26">
        <f>AI23/AM23</f>
        <v>234.6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234.6</v>
      </c>
      <c r="AS23" s="48" t="s">
        <v>258</v>
      </c>
      <c r="AT23" s="48" t="s">
        <v>58</v>
      </c>
      <c r="AU23" t="s" s="0">
        <v>296</v>
      </c>
      <c r="AV23" t="s" s="0">
        <v>545</v>
      </c>
      <c r="AW23" s="48">
        <f>AM23</f>
        <v>2</v>
      </c>
      <c r="AX23" s="48">
        <f>AR23</f>
        <v>234.6</v>
      </c>
      <c r="AY23" s="48">
        <f>AU23+AW23</f>
        <v>4</v>
      </c>
      <c r="AZ23" s="48">
        <f>ROUND(((AU23*AV23)+(AW23*AX23))/(AU23+AW23),5)</f>
        <v>234.6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259</v>
      </c>
      <c r="BM23" t="s" s="0">
        <v>504</v>
      </c>
      <c r="BN23" s="0">
        <v>522</v>
      </c>
      <c r="BO23" s="48">
        <f>ROUND((((AW23*AZ23)+(BN23*BM23))/(AW23+BN23)),5)</f>
        <v>1200.1825799999999</v>
      </c>
      <c r="BP23" s="53">
        <f>BN23+AW23</f>
        <v>524</v>
      </c>
      <c r="BQ23" s="54">
        <v>123562</v>
      </c>
      <c r="BR23" s="53"/>
    </row>
    <row r="24" spans="1:70" ht="15.75" thickBot="1">
      <c r="A24" s="25">
        <v>2</v>
      </c>
      <c r="B24" s="25" t="s">
        <v>260</v>
      </c>
      <c r="C24" s="25" t="s">
        <v>57</v>
      </c>
      <c r="D24" s="25" t="s">
        <v>58</v>
      </c>
      <c r="E24" s="25" t="s">
        <v>58</v>
      </c>
      <c r="F24" s="26">
        <v>2</v>
      </c>
      <c r="G24" t="s" s="0">
        <v>426</v>
      </c>
      <c r="H24" s="26">
        <f>F24*G24</f>
        <v>468</v>
      </c>
      <c r="I24" t="s" s="0">
        <v>224</v>
      </c>
      <c r="J24" s="26">
        <v>1.79</v>
      </c>
      <c r="K24" s="26">
        <v>2.5</v>
      </c>
      <c r="L24" s="26">
        <f>H24</f>
        <v>468</v>
      </c>
      <c r="M24" s="26">
        <f>ROUND(L24*I24%,2)</f>
        <v>18.72</v>
      </c>
      <c r="N24" s="26">
        <f>H24-M24</f>
        <v>449.28</v>
      </c>
      <c r="O24" s="26">
        <f>ROUND(N24*J24%,2)</f>
        <v>8.0399999999999991</v>
      </c>
      <c r="P24" s="26">
        <f>ROUND(N24-O24,2)</f>
        <v>441.24</v>
      </c>
      <c r="Q24" s="26">
        <f>ROUND(P24*K24%,2)</f>
        <v>11.03</v>
      </c>
      <c r="R24" s="26">
        <f>M24+O24+Q24</f>
        <v>37.79</v>
      </c>
      <c r="S24" s="26">
        <f>(H24-R24)</f>
        <v>430.21</v>
      </c>
      <c r="T24" s="26" t="s">
        <v>146</v>
      </c>
      <c r="U24" s="26">
        <v>0.18</v>
      </c>
      <c r="V24" s="26">
        <f>IF(OR($C$21=1,$C$21=4),ROUND(((S24*U24)/2),2),0)</f>
        <v>0</v>
      </c>
      <c r="W24" s="26">
        <f>IF($C$21=1,ROUND(((S24*U24)/2),2),0)</f>
        <v>0</v>
      </c>
      <c r="X24" s="26">
        <f>IF($C$21=2,ROUND(((S24*U24)),2),0)</f>
        <v>77.44</v>
      </c>
      <c r="Y24" s="26">
        <f>IF($C$21=4,ROUND(((S24*U24)/2),2),0)</f>
        <v>0</v>
      </c>
      <c r="Z24" s="43">
        <v>0</v>
      </c>
      <c r="AA24" s="26">
        <f>IF($C22=3, 0, ROUND(S24*Z24, 2))</f>
        <v>0</v>
      </c>
      <c r="AB24" s="26">
        <f>V24+W24+X24+Y24+AA24</f>
        <v>77.44</v>
      </c>
      <c r="AC24" s="26">
        <f>IF($V22=1,S24+AB24,S24)</f>
        <v>430.21</v>
      </c>
      <c r="AD24" s="26">
        <v>120</v>
      </c>
      <c r="AE24" s="26">
        <f>IF($P$21=1,(S24/$S$25)*$E$36,AD24/$AD$25*$E$36)</f>
        <v>0</v>
      </c>
      <c r="AF24" s="26"/>
      <c r="AG24" s="26">
        <f>IF($P$21=1,(S24/$S$25)*$E$38,AD24/$AD$25*$E$38)</f>
        <v>0</v>
      </c>
      <c r="AH24" s="26">
        <f>IF($P$21=1,(S24/$S$25)*$E$38,AD24/$AD$25*$E$38)</f>
        <v>0</v>
      </c>
      <c r="AI24" s="26">
        <f t="shared" si="1"/>
        <v>430.21</v>
      </c>
      <c r="AJ24" s="26">
        <f t="shared" si="2"/>
        <v>0</v>
      </c>
      <c r="AK24" s="26">
        <f t="shared" si="3"/>
        <v>0</v>
      </c>
      <c r="AL24" s="26">
        <v>1</v>
      </c>
      <c r="AM24" s="26">
        <f t="shared" si="4"/>
        <v>2</v>
      </c>
      <c r="AN24" s="26">
        <f>AI24/AM24</f>
        <v>215.10499999999999</v>
      </c>
      <c r="AO24" s="26">
        <f>AJ24/AM24</f>
        <v>0</v>
      </c>
      <c r="AP24" s="26">
        <f>AK24/AM24</f>
        <v>0</v>
      </c>
      <c r="AQ24" s="26" t="s">
        <v>58</v>
      </c>
      <c r="AR24" s="26">
        <f>AN24+AO24+AP24</f>
        <v>215.10499999999999</v>
      </c>
      <c r="AS24" s="48" t="s">
        <v>258</v>
      </c>
      <c r="AT24" s="48" t="s">
        <v>58</v>
      </c>
      <c r="AU24" t="s" s="0">
        <v>546</v>
      </c>
      <c r="AV24" t="s" s="0">
        <v>547</v>
      </c>
      <c r="AW24" s="48">
        <f>AM24</f>
        <v>2</v>
      </c>
      <c r="AX24" s="48">
        <f>AR24</f>
        <v>215.10499999999999</v>
      </c>
      <c r="AY24" s="48">
        <f>AU24+AW24</f>
        <v>32</v>
      </c>
      <c r="AZ24" s="48">
        <f>ROUND(((AU24*AV24)+(AW24*AX24))/(AU24+AW24),5)</f>
        <v>215.10499999999999</v>
      </c>
      <c r="BA24" s="50"/>
      <c r="BB24" s="50" t="s">
        <v>149</v>
      </c>
      <c r="BC24" s="80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48" t="s">
        <v>259</v>
      </c>
      <c r="BM24" t="s" s="0">
        <v>505</v>
      </c>
      <c r="BN24" s="0">
        <v>54</v>
      </c>
      <c r="BO24" s="48">
        <f>ROUND((((AW24*AZ24)+(BN24*BM24))/(AW24+BN24)),5)</f>
        <v>1182.05296</v>
      </c>
      <c r="BP24" s="53">
        <f>BN24+AW24</f>
        <v>56</v>
      </c>
      <c r="BQ24" s="54">
        <v>123562</v>
      </c>
      <c r="BR24" s="53"/>
    </row>
    <row r="25" spans="1:70" ht="15.75" thickBot="1">
      <c r="A25" s="16"/>
      <c r="B25" s="27"/>
      <c r="C25" s="27"/>
      <c r="D25" s="28" t="s">
        <v>87</v>
      </c>
      <c r="E25" s="28"/>
      <c r="F25" s="28"/>
      <c r="G25" s="29"/>
      <c r="H25" s="30">
        <f>SUM(H23:H24)</f>
        <v>968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68.59</v>
      </c>
      <c r="S25" s="39">
        <f>SUM(S23:S24)</f>
        <v>899.41</v>
      </c>
      <c r="T25" s="30"/>
      <c r="U25" s="30"/>
      <c r="V25" s="40">
        <f>SUM(V23:V24)</f>
        <v>0</v>
      </c>
      <c r="W25" s="40">
        <f>SUM(W23:W24)</f>
        <v>0</v>
      </c>
      <c r="X25" s="40">
        <f>SUM(X23:X24)</f>
        <v>161.89999999999998</v>
      </c>
      <c r="Y25" s="40">
        <f>SUM(Y23:Y24)</f>
        <v>0</v>
      </c>
      <c r="Z25" s="40"/>
      <c r="AA25" s="40">
        <f>SUM(AA23:AA24)</f>
        <v>0</v>
      </c>
      <c r="AB25" s="30">
        <f>SUM(AB23:AB24)</f>
        <v>161.89999999999998</v>
      </c>
      <c r="AC25" s="44">
        <f>SUM(AC23:AC24)</f>
        <v>983.86999999999989</v>
      </c>
      <c r="AD25" s="45">
        <f t="shared" ref="AD25:AE25" si="5">SUM(AD23:AD23)</f>
        <v>120</v>
      </c>
      <c r="AE25" s="45">
        <f t="shared" si="5"/>
        <v>0</v>
      </c>
      <c r="AF25" s="44"/>
      <c r="AG25" s="45">
        <f>SUM(AG23:AG23)</f>
        <v>0</v>
      </c>
      <c r="AH25" s="45">
        <f>SUM(AH23:AH23)</f>
        <v>0</v>
      </c>
      <c r="AI25" s="45">
        <f>SUM(AI23:AI24)</f>
        <v>899.41</v>
      </c>
      <c r="AJ25" s="45">
        <f>SUM(AJ23:AJ23)</f>
        <v>0</v>
      </c>
      <c r="AK25" s="45">
        <f>SUM(AK23:AK23)</f>
        <v>0</v>
      </c>
      <c r="AL25" s="44"/>
      <c r="AM25" s="44"/>
      <c r="AN25" s="44"/>
      <c r="AO25" s="44"/>
      <c r="AP25" s="44"/>
      <c r="AQ25" s="44"/>
      <c r="AR25" s="44"/>
      <c r="AS25" s="16"/>
    </row>
    <row r="26" spans="1:70">
      <c r="A26" s="16"/>
      <c r="B26" s="27"/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</row>
  </sheetData>
  <mergeCells count="3">
    <mergeCell ref="B19:G19"/>
    <mergeCell ref="A21:B21"/>
    <mergeCell ref="A1:AC1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R26"/>
  <sheetViews>
    <sheetView topLeftCell="A13" workbookViewId="0">
      <selection activeCell="AA24" sqref="AA24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60" max="60" customWidth="true" width="12.5703125"/>
    <col min="61" max="61" customWidth="true" width="21.7109375"/>
    <col min="62" max="63" customWidth="true" width="30.5703125"/>
    <col min="64" max="64" bestFit="true" customWidth="true" width="8.1406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6"/>
      <c r="AS1" s="16"/>
    </row>
    <row r="2" spans="1:45" ht="18.75" thickBot="1">
      <c r="A2" s="117" t="s">
        <v>47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2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261</v>
      </c>
      <c r="C23" s="25" t="s">
        <v>57</v>
      </c>
      <c r="D23" s="25" t="s">
        <v>58</v>
      </c>
      <c r="E23" s="25" t="s">
        <v>58</v>
      </c>
      <c r="F23" s="26">
        <v>2</v>
      </c>
      <c r="G23" t="s" s="0">
        <v>244</v>
      </c>
      <c r="H23" s="26">
        <f>F23*G23</f>
        <v>2460</v>
      </c>
      <c r="I23" t="s" s="0">
        <v>257</v>
      </c>
      <c r="J23" s="26">
        <v>1.79</v>
      </c>
      <c r="K23" s="26">
        <v>2.5</v>
      </c>
      <c r="L23" s="26">
        <f>H23</f>
        <v>2460</v>
      </c>
      <c r="M23" s="26">
        <f>ROUND(L23*I23%,2)</f>
        <v>51.66</v>
      </c>
      <c r="N23" s="26">
        <f>H23-M23</f>
        <v>2408.34</v>
      </c>
      <c r="O23" s="26">
        <f>ROUND(N23*J23%,2)</f>
        <v>43.11</v>
      </c>
      <c r="P23" s="26">
        <f>ROUND(N23-O23,2)</f>
        <v>2365.23</v>
      </c>
      <c r="Q23" s="26">
        <f>ROUND(P23*K23%,2)</f>
        <v>59.13</v>
      </c>
      <c r="R23" s="26">
        <f>M23+O23+Q23</f>
        <v>153.9</v>
      </c>
      <c r="S23" s="26">
        <f>(H23-R23)</f>
        <v>2306.1</v>
      </c>
      <c r="T23" s="26" t="s">
        <v>146</v>
      </c>
      <c r="U23" s="26">
        <v>0.18</v>
      </c>
      <c r="V23" s="26">
        <f>IF(OR($C$21=1,$C$21=4),ROUND(((S23*U23)/2),2),0)</f>
        <v>0</v>
      </c>
      <c r="W23" s="26">
        <f>IF($C$21=1,ROUND(((S23*U23)/2),2),0)</f>
        <v>0</v>
      </c>
      <c r="X23" s="26">
        <f>IF($C$21=2,ROUND(((S23*U23)),2),0)</f>
        <v>415.1</v>
      </c>
      <c r="Y23" s="26">
        <f>IF($C$21=4,ROUND(((S23*U23)/2),2),0)</f>
        <v>0</v>
      </c>
      <c r="Z23" s="43">
        <v>0</v>
      </c>
      <c r="AA23" s="26">
        <f>IF($C21=3, 0, ROUND(S23*Z23, 2))</f>
        <v>0</v>
      </c>
      <c r="AB23" s="26">
        <f>V23+W23+X23+Y23+AA23</f>
        <v>415.1</v>
      </c>
      <c r="AC23" s="26">
        <f>IF($V21=1,S23+AB23,S23)</f>
        <v>2721.2</v>
      </c>
      <c r="AD23" s="26">
        <v>120</v>
      </c>
      <c r="AE23" s="26">
        <f>IF($P$21=1,(S23/$S$25)*$E$36,AD23/$AD$25*$E$36)</f>
        <v>0</v>
      </c>
      <c r="AF23" s="26"/>
      <c r="AG23" s="26">
        <f>IF($P$21=1,(S23/$S$25)*$E$38,AD23/$AD$25*$E$38)</f>
        <v>0</v>
      </c>
      <c r="AH23" s="26">
        <f>IF($P$21=1,(S23/$S$25)*$E$38,AD23/$AD$25*$E$38)</f>
        <v>0</v>
      </c>
      <c r="AI23" s="26">
        <f t="shared" ref="AI23:AI24" si="1">S23*$M$21</f>
        <v>2306.1</v>
      </c>
      <c r="AJ23" s="26">
        <f t="shared" ref="AJ23:AJ24" si="2">IF($C$21=3,0,AG23+AH23)</f>
        <v>0</v>
      </c>
      <c r="AK23" s="26">
        <f t="shared" ref="AK23:AK24" si="3">IF($C$21=3,AE23+AG23+AH23,0)</f>
        <v>0</v>
      </c>
      <c r="AL23" s="26">
        <v>1</v>
      </c>
      <c r="AM23" s="26">
        <f t="shared" ref="AM23:AM24" si="4">F23/AL23</f>
        <v>2</v>
      </c>
      <c r="AN23" s="26">
        <f>AI23/AM23</f>
        <v>1153.05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1153.05</v>
      </c>
      <c r="AS23" s="48" t="s">
        <v>258</v>
      </c>
      <c r="AT23" s="48" t="s">
        <v>58</v>
      </c>
      <c r="AU23" t="s" s="0">
        <v>428</v>
      </c>
      <c r="AV23" t="s" s="0">
        <v>506</v>
      </c>
      <c r="AW23" s="48">
        <f>AM23</f>
        <v>2</v>
      </c>
      <c r="AX23" s="48">
        <f>AR23</f>
        <v>1153.05</v>
      </c>
      <c r="AY23" s="48">
        <f>AU23+AW23</f>
        <v>76</v>
      </c>
      <c r="AZ23" s="48">
        <f>ROUND(((AU23*AV23)+(AW23*AX23))/(AU23+AW23),5)</f>
        <v>115.60767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259</v>
      </c>
      <c r="BM23" t="s" s="0">
        <v>509</v>
      </c>
      <c r="BN23" t="s" s="0">
        <v>508</v>
      </c>
      <c r="BO23" s="48">
        <f>ROUND((((AW23*AZ23)+(BN23*BM23))/(AW23+BN23)),5)</f>
        <v>37.913170000000001</v>
      </c>
      <c r="BP23" s="53">
        <f>BN23+AW23</f>
        <v>518</v>
      </c>
      <c r="BQ23" s="54">
        <v>123562</v>
      </c>
      <c r="BR23" s="53"/>
    </row>
    <row r="24" spans="1:70" ht="15.75" thickBot="1">
      <c r="A24" s="25">
        <v>2</v>
      </c>
      <c r="B24" s="25" t="s">
        <v>264</v>
      </c>
      <c r="C24" s="25" t="s">
        <v>57</v>
      </c>
      <c r="D24" s="25" t="s">
        <v>58</v>
      </c>
      <c r="E24" s="25" t="s">
        <v>58</v>
      </c>
      <c r="F24" s="26">
        <v>2</v>
      </c>
      <c r="G24" s="0">
        <v>1243</v>
      </c>
      <c r="H24" s="26">
        <f>F24*G24</f>
        <v>2486</v>
      </c>
      <c r="I24" s="0">
        <v>2</v>
      </c>
      <c r="J24" s="26">
        <v>1.79</v>
      </c>
      <c r="K24" s="26">
        <v>2.5</v>
      </c>
      <c r="L24" s="26">
        <f>H24</f>
        <v>2486</v>
      </c>
      <c r="M24" s="26">
        <f>ROUND(L24*I24%,2)</f>
        <v>49.72</v>
      </c>
      <c r="N24" s="26">
        <f>H24-M24</f>
        <v>2436.2800000000002</v>
      </c>
      <c r="O24" s="26">
        <f>ROUND(N24*J24%,2)</f>
        <v>43.61</v>
      </c>
      <c r="P24" s="26">
        <f>ROUND(N24-O24,2)</f>
        <v>2392.67</v>
      </c>
      <c r="Q24" s="26">
        <f>ROUND(P24*K24%,2)</f>
        <v>59.82</v>
      </c>
      <c r="R24" s="26">
        <f>M24+O24+Q24</f>
        <v>153.15</v>
      </c>
      <c r="S24" s="26">
        <f>(H24-R24)</f>
        <v>2332.85</v>
      </c>
      <c r="T24" s="26" t="s">
        <v>146</v>
      </c>
      <c r="U24" s="26">
        <v>0.18</v>
      </c>
      <c r="V24" s="26">
        <f>IF(OR($C$21=1,$C$21=4),ROUND(((S24*U24)/2),2),0)</f>
        <v>0</v>
      </c>
      <c r="W24" s="26">
        <f>IF($C$21=1,ROUND(((S24*U24)/2),2),0)</f>
        <v>0</v>
      </c>
      <c r="X24" s="26">
        <f>IF($C$21=2,ROUND(((S24*U24)),2),0)</f>
        <v>419.91</v>
      </c>
      <c r="Y24" s="26">
        <f>IF($C$21=4,ROUND(((S24*U24)/2),2),0)</f>
        <v>0</v>
      </c>
      <c r="Z24" s="43">
        <v>0</v>
      </c>
      <c r="AA24" s="26">
        <f>IF($C22=3, 0, ROUND(S24*Z24, 2))</f>
        <v>0</v>
      </c>
      <c r="AB24" s="26">
        <f>V24+W24+X24+Y24+AA24</f>
        <v>419.91</v>
      </c>
      <c r="AC24" s="26">
        <f>IF($V22=1,S24+AB24,S24)</f>
        <v>2332.85</v>
      </c>
      <c r="AD24" s="26">
        <v>120</v>
      </c>
      <c r="AE24" s="26">
        <f>IF($P$21=1,(S24/$S$25)*$E$36,AD24/$AD$25*$E$36)</f>
        <v>0</v>
      </c>
      <c r="AF24" s="26"/>
      <c r="AG24" s="26">
        <f>IF($P$21=1,(S24/$S$25)*$E$38,AD24/$AD$25*$E$38)</f>
        <v>0</v>
      </c>
      <c r="AH24" s="26">
        <f>IF($P$21=1,(S24/$S$25)*$E$38,AD24/$AD$25*$E$38)</f>
        <v>0</v>
      </c>
      <c r="AI24" s="26">
        <f t="shared" si="1"/>
        <v>2332.85</v>
      </c>
      <c r="AJ24" s="26">
        <f t="shared" si="2"/>
        <v>0</v>
      </c>
      <c r="AK24" s="26">
        <f t="shared" si="3"/>
        <v>0</v>
      </c>
      <c r="AL24" s="26">
        <v>1</v>
      </c>
      <c r="AM24" s="26">
        <f t="shared" si="4"/>
        <v>2</v>
      </c>
      <c r="AN24" s="26">
        <f>AI24/AM24</f>
        <v>1166.425</v>
      </c>
      <c r="AO24" s="26">
        <f>AJ24/AM24</f>
        <v>0</v>
      </c>
      <c r="AP24" s="26">
        <f>AK24/AM24</f>
        <v>0</v>
      </c>
      <c r="AQ24" s="26" t="s">
        <v>58</v>
      </c>
      <c r="AR24" s="26">
        <f>AN24+AO24+AP24</f>
        <v>1166.425</v>
      </c>
      <c r="AS24" s="48" t="s">
        <v>258</v>
      </c>
      <c r="AT24" s="48" t="s">
        <v>58</v>
      </c>
      <c r="AU24" t="s" s="0">
        <v>427</v>
      </c>
      <c r="AV24" t="s" s="0">
        <v>507</v>
      </c>
      <c r="AW24" s="48">
        <f>AM24</f>
        <v>2</v>
      </c>
      <c r="AX24" s="48">
        <f>AR24</f>
        <v>1166.425</v>
      </c>
      <c r="AY24" s="48">
        <f>AU24+AW24</f>
        <v>1144</v>
      </c>
      <c r="AZ24" s="48">
        <f>ROUND(((AU24*AV24)+(AW24*AX24))/(AU24+AW24),5)</f>
        <v>145.94893999999999</v>
      </c>
      <c r="BA24" s="50"/>
      <c r="BB24" s="50" t="s">
        <v>149</v>
      </c>
      <c r="BC24" s="80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48" t="s">
        <v>259</v>
      </c>
      <c r="BM24" t="s" s="0">
        <v>511</v>
      </c>
      <c r="BN24" t="s" s="0">
        <v>510</v>
      </c>
      <c r="BO24" s="48">
        <f>ROUND((((AW24*AZ24)+(BN24*BM24))/(AW24+BN24)),5)</f>
        <v>32.512779999999999</v>
      </c>
      <c r="BP24" s="53">
        <f>BN24+AW24</f>
        <v>50</v>
      </c>
      <c r="BQ24" s="54">
        <v>123562</v>
      </c>
      <c r="BR24" s="53"/>
    </row>
    <row r="25" spans="1:70" ht="15.75" thickBot="1">
      <c r="A25" s="16"/>
      <c r="B25" s="27"/>
      <c r="C25" s="27"/>
      <c r="D25" s="28" t="s">
        <v>87</v>
      </c>
      <c r="E25" s="28"/>
      <c r="F25" s="28"/>
      <c r="G25" s="29"/>
      <c r="H25" s="30">
        <f>SUM(H23:H24)</f>
        <v>4946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307.05</v>
      </c>
      <c r="S25" s="39">
        <f>SUM(S23:S24)</f>
        <v>4638.95</v>
      </c>
      <c r="T25" s="30"/>
      <c r="U25" s="30"/>
      <c r="V25" s="40">
        <f>SUM(V23:V24)</f>
        <v>0</v>
      </c>
      <c r="W25" s="40">
        <f>SUM(W23:W24)</f>
        <v>0</v>
      </c>
      <c r="X25" s="40">
        <f>SUM(X23:X24)</f>
        <v>835.01</v>
      </c>
      <c r="Y25" s="40">
        <f>SUM(Y23:Y24)</f>
        <v>0</v>
      </c>
      <c r="Z25" s="40"/>
      <c r="AA25" s="40">
        <f>SUM(AA23:AA24)</f>
        <v>0</v>
      </c>
      <c r="AB25" s="30">
        <f>SUM(AB23:AB24)</f>
        <v>835.01</v>
      </c>
      <c r="AC25" s="44">
        <f>SUM(AC23:AC24)</f>
        <v>5054.0499999999993</v>
      </c>
      <c r="AD25" s="45">
        <f t="shared" ref="AD25:AE25" si="5">SUM(AD23:AD23)</f>
        <v>120</v>
      </c>
      <c r="AE25" s="45">
        <f t="shared" si="5"/>
        <v>0</v>
      </c>
      <c r="AF25" s="44"/>
      <c r="AG25" s="45">
        <f>SUM(AG23:AG23)</f>
        <v>0</v>
      </c>
      <c r="AH25" s="45">
        <f>SUM(AH23:AH23)</f>
        <v>0</v>
      </c>
      <c r="AI25" s="45">
        <f>SUM(AI23:AI24)</f>
        <v>4638.95</v>
      </c>
      <c r="AJ25" s="45">
        <f>SUM(AJ23:AJ23)</f>
        <v>0</v>
      </c>
      <c r="AK25" s="45">
        <f>SUM(AK23:AK23)</f>
        <v>0</v>
      </c>
      <c r="AL25" s="44"/>
      <c r="AM25" s="44"/>
      <c r="AN25" s="44"/>
      <c r="AO25" s="44"/>
      <c r="AP25" s="44"/>
      <c r="AQ25" s="44"/>
      <c r="AR25" s="44"/>
      <c r="AS25" s="16"/>
    </row>
    <row r="26" spans="1:70">
      <c r="A26" s="16"/>
      <c r="B26" s="27"/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</row>
  </sheetData>
  <mergeCells count="3">
    <mergeCell ref="B19:G19"/>
    <mergeCell ref="A21:B21"/>
    <mergeCell ref="A1:AC1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R25"/>
  <sheetViews>
    <sheetView workbookViewId="0">
      <selection sqref="A1:XFD1048576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60" max="60" customWidth="true" width="12.5703125"/>
    <col min="61" max="61" customWidth="true" width="21.7109375"/>
    <col min="62" max="63" customWidth="true" width="30.5703125"/>
    <col min="64" max="64" bestFit="true" customWidth="true" width="8.1406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6"/>
      <c r="AS1" s="16"/>
    </row>
    <row r="2" spans="1:45" ht="18.75" thickBot="1">
      <c r="A2" s="114" t="s">
        <v>47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2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423</v>
      </c>
      <c r="C23" s="25" t="s">
        <v>57</v>
      </c>
      <c r="D23" s="25" t="s">
        <v>58</v>
      </c>
      <c r="E23" s="25" t="s">
        <v>58</v>
      </c>
      <c r="F23" s="26">
        <v>2</v>
      </c>
      <c r="G23" t="s" s="0">
        <v>425</v>
      </c>
      <c r="H23" s="26">
        <f>F23*G23</f>
        <v>910</v>
      </c>
      <c r="I23" t="s" s="0">
        <v>424</v>
      </c>
      <c r="J23" s="26">
        <v>1.79</v>
      </c>
      <c r="K23" s="26">
        <v>2.5</v>
      </c>
      <c r="L23" s="26">
        <f>H23</f>
        <v>910</v>
      </c>
      <c r="M23" s="26">
        <f>ROUND(L23*I23%,2)</f>
        <v>29.12</v>
      </c>
      <c r="N23" s="26">
        <f>H23-M23</f>
        <v>880.88</v>
      </c>
      <c r="O23" s="26">
        <f>ROUND(N23*J23%,2)</f>
        <v>15.77</v>
      </c>
      <c r="P23" s="26">
        <f>ROUND(N23-O23,2)</f>
        <v>865.11</v>
      </c>
      <c r="Q23" s="26">
        <f>ROUND(P23*K23%,2)</f>
        <v>21.63</v>
      </c>
      <c r="R23" s="26">
        <f>M23+O23+Q23</f>
        <v>66.52</v>
      </c>
      <c r="S23" s="26">
        <f>(H23-R23)</f>
        <v>843.48</v>
      </c>
      <c r="T23" s="26" t="s">
        <v>146</v>
      </c>
      <c r="U23" s="26">
        <v>0.18</v>
      </c>
      <c r="V23" s="26">
        <f>IF(OR($C$21=1,$C$21=4),ROUND(((S23*U23)/2),2),0)</f>
        <v>0</v>
      </c>
      <c r="W23" s="26">
        <f>IF($C$21=1,ROUND(((S23*U23)/2),2),0)</f>
        <v>0</v>
      </c>
      <c r="X23" s="26">
        <f>IF($C$21=2,ROUND(((S23*U23)),2),0)</f>
        <v>151.83000000000001</v>
      </c>
      <c r="Y23" s="26">
        <f>IF($C$21=4,ROUND(((S23*U23)/2),2),0)</f>
        <v>0</v>
      </c>
      <c r="Z23" s="43">
        <v>0</v>
      </c>
      <c r="AA23" s="26">
        <f>IF($C21=3, 0, ROUND(S23*Z23, 2))</f>
        <v>0</v>
      </c>
      <c r="AB23" s="26">
        <f>V23+W23+X23+Y23+AA23</f>
        <v>151.83000000000001</v>
      </c>
      <c r="AC23" s="26">
        <f>IF($V21=1,S23+AB23,S23)</f>
        <v>995.31000000000006</v>
      </c>
      <c r="AD23" s="26">
        <v>120</v>
      </c>
      <c r="AE23" s="26">
        <f>IF($P$21=1,(S23/$S$24)*$E$35,AD23/$AD$24*$E$35)</f>
        <v>0</v>
      </c>
      <c r="AF23" s="26"/>
      <c r="AG23" s="26">
        <f>IF($P$21=1,(S23/$S$24)*$E$37,AD23/$AD$24*$E$37)</f>
        <v>0</v>
      </c>
      <c r="AH23" s="26">
        <f>IF($P$21=1,(S23/$S$24)*$E$37,AD23/$AD$24*$E$37)</f>
        <v>0</v>
      </c>
      <c r="AI23" s="26">
        <f t="shared" ref="AI23" si="1">S23*$M$21</f>
        <v>843.48</v>
      </c>
      <c r="AJ23" s="26">
        <f t="shared" ref="AJ23" si="2">IF($C$21=3,0,AG23+AH23)</f>
        <v>0</v>
      </c>
      <c r="AK23" s="26">
        <f t="shared" ref="AK23" si="3">IF($C$21=3,AE23+AG23+AH23,0)</f>
        <v>0</v>
      </c>
      <c r="AL23" s="26">
        <v>1</v>
      </c>
      <c r="AM23" s="26">
        <f t="shared" ref="AM23" si="4">F23/AL23</f>
        <v>2</v>
      </c>
      <c r="AN23" s="26">
        <f>AI23/AM23</f>
        <v>421.74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421.74</v>
      </c>
      <c r="AS23" s="48" t="s">
        <v>217</v>
      </c>
      <c r="AT23" s="48" t="s">
        <v>58</v>
      </c>
      <c r="AU23" t="s" s="0">
        <v>224</v>
      </c>
      <c r="AV23" t="s" s="0">
        <v>420</v>
      </c>
      <c r="AW23" s="48">
        <f>AM23</f>
        <v>2</v>
      </c>
      <c r="AX23" s="48">
        <f>AR23</f>
        <v>421.74</v>
      </c>
      <c r="AY23" s="48">
        <f>AU23+AW23</f>
        <v>4</v>
      </c>
      <c r="AZ23" s="48">
        <f>ROUND(((AU23*AV23)+(AW23*AX23))/(AU23+AW23),5)</f>
        <v>376.36313000000001</v>
      </c>
      <c r="BA23" s="50"/>
      <c r="BB23" s="50" t="s">
        <v>149</v>
      </c>
      <c r="BC23" s="80" t="s">
        <v>29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31</v>
      </c>
      <c r="BM23" t="s" s="0">
        <v>422</v>
      </c>
      <c r="BN23" t="s" s="0">
        <v>421</v>
      </c>
      <c r="BO23" s="48">
        <f>ROUND((((AW23*AZ23)+(BN23*BM23))/(AW23+BN23)),5)</f>
        <v>277.43975</v>
      </c>
      <c r="BP23" s="53">
        <f>BN23+AW23</f>
        <v>26</v>
      </c>
      <c r="BQ23" s="54">
        <v>123562</v>
      </c>
      <c r="BR23" s="53"/>
    </row>
    <row r="24" spans="1:70" ht="15.75" thickBot="1">
      <c r="A24" s="16"/>
      <c r="B24" s="27"/>
      <c r="C24" s="27"/>
      <c r="D24" s="28" t="s">
        <v>87</v>
      </c>
      <c r="E24" s="28"/>
      <c r="F24" s="28"/>
      <c r="G24" s="29"/>
      <c r="H24" s="30">
        <f>SUM(H23:H23)</f>
        <v>910</v>
      </c>
      <c r="I24" s="25"/>
      <c r="J24" s="25"/>
      <c r="K24" s="25"/>
      <c r="L24" s="25"/>
      <c r="M24" s="25"/>
      <c r="N24" s="25"/>
      <c r="O24" s="25"/>
      <c r="P24" s="25"/>
      <c r="Q24" s="25"/>
      <c r="R24" s="30">
        <f>SUM(R23:R23)</f>
        <v>66.52</v>
      </c>
      <c r="S24" s="39">
        <f>SUM(S23:S23)</f>
        <v>843.48</v>
      </c>
      <c r="T24" s="30"/>
      <c r="U24" s="30"/>
      <c r="V24" s="40">
        <f>SUM(V23:V23)</f>
        <v>0</v>
      </c>
      <c r="W24" s="40">
        <f>SUM(W23:W23)</f>
        <v>0</v>
      </c>
      <c r="X24" s="40">
        <f>SUM(X23:X23)</f>
        <v>151.83000000000001</v>
      </c>
      <c r="Y24" s="40">
        <f>SUM(Y23:Y23)</f>
        <v>0</v>
      </c>
      <c r="Z24" s="40"/>
      <c r="AA24" s="40">
        <f>SUM(AA23:AA23)</f>
        <v>0</v>
      </c>
      <c r="AB24" s="30">
        <f>SUM(AB23:AB23)</f>
        <v>151.83000000000001</v>
      </c>
      <c r="AC24" s="44">
        <f>SUM(AC23:AC23)</f>
        <v>995.31000000000006</v>
      </c>
      <c r="AD24" s="45">
        <f t="shared" ref="AD24:AE24" si="5">SUM(AD23:AD23)</f>
        <v>120</v>
      </c>
      <c r="AE24" s="45">
        <f t="shared" si="5"/>
        <v>0</v>
      </c>
      <c r="AF24" s="44"/>
      <c r="AG24" s="45">
        <f>SUM(AG23:AG23)</f>
        <v>0</v>
      </c>
      <c r="AH24" s="45">
        <f>SUM(AH23:AH23)</f>
        <v>0</v>
      </c>
      <c r="AI24" s="45">
        <f>SUM(AI23:AI23)</f>
        <v>843.48</v>
      </c>
      <c r="AJ24" s="45">
        <f>SUM(AJ23:AJ23)</f>
        <v>0</v>
      </c>
      <c r="AK24" s="45">
        <f>SUM(AK23:AK23)</f>
        <v>0</v>
      </c>
      <c r="AL24" s="44"/>
      <c r="AM24" s="44"/>
      <c r="AN24" s="44"/>
      <c r="AO24" s="44"/>
      <c r="AP24" s="44"/>
      <c r="AQ24" s="44"/>
      <c r="AR24" s="44"/>
      <c r="AS24" s="16"/>
    </row>
    <row r="25" spans="1:70">
      <c r="A25" s="16"/>
      <c r="B25" s="27"/>
      <c r="C25" s="2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R25"/>
  <sheetViews>
    <sheetView topLeftCell="A10" workbookViewId="0">
      <selection activeCell="B23" sqref="B23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60" max="60" customWidth="true" width="12.5703125"/>
    <col min="61" max="61" customWidth="true" width="21.7109375"/>
    <col min="62" max="63" customWidth="true" width="30.5703125"/>
    <col min="64" max="64" bestFit="true" customWidth="true" width="8.1406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6"/>
      <c r="AS1" s="16"/>
    </row>
    <row r="2" spans="1:45" ht="18.75" thickBot="1">
      <c r="A2" s="146" t="s">
        <v>47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46"/>
      <c r="AM2" s="146"/>
      <c r="AN2" s="146"/>
      <c r="AO2" s="146"/>
      <c r="AP2" s="146"/>
      <c r="AQ2" s="146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1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242</v>
      </c>
      <c r="C23" s="25" t="s">
        <v>57</v>
      </c>
      <c r="D23" s="25" t="s">
        <v>58</v>
      </c>
      <c r="E23" s="25" t="s">
        <v>58</v>
      </c>
      <c r="F23" s="26">
        <v>2</v>
      </c>
      <c r="G23" t="s" s="0">
        <v>425</v>
      </c>
      <c r="H23" s="26">
        <f>F23*G23</f>
        <v>910</v>
      </c>
      <c r="I23" t="s" s="0">
        <v>424</v>
      </c>
      <c r="J23" s="26">
        <v>1.79</v>
      </c>
      <c r="K23" s="26">
        <v>2.5</v>
      </c>
      <c r="L23" s="26">
        <f>H23</f>
        <v>910</v>
      </c>
      <c r="M23" s="26">
        <f>ROUND(L23*I23%,2)</f>
        <v>29.12</v>
      </c>
      <c r="N23" s="26">
        <f>H23-M23</f>
        <v>880.88</v>
      </c>
      <c r="O23" s="26">
        <f>ROUND(N23*J23%,2)</f>
        <v>15.77</v>
      </c>
      <c r="P23" s="26">
        <f>ROUND(N23-O23,2)</f>
        <v>865.11</v>
      </c>
      <c r="Q23" s="26">
        <f>ROUND(P23*K23%,2)</f>
        <v>21.63</v>
      </c>
      <c r="R23" s="26">
        <f>M23+O23+Q23</f>
        <v>66.52</v>
      </c>
      <c r="S23" s="26">
        <f>(H23-R23)</f>
        <v>843.48</v>
      </c>
      <c r="T23" s="26" t="s">
        <v>146</v>
      </c>
      <c r="U23" s="26">
        <v>0.18</v>
      </c>
      <c r="V23" s="26">
        <f>IF(OR($C$21=1,$C$21=4),ROUND(((S23*U23)/2),2),0)</f>
        <v>75.91</v>
      </c>
      <c r="W23" s="26">
        <f>IF($C$21=1,ROUND(((S23*U23)/2),2),0)</f>
        <v>75.91</v>
      </c>
      <c r="X23" s="26">
        <f>IF($C$21=2,ROUND(((S23*U23)),2),0)</f>
        <v>0</v>
      </c>
      <c r="Y23" s="26">
        <f>IF($C$21=4,ROUND(((S23*U23)/2),2),0)</f>
        <v>0</v>
      </c>
      <c r="Z23" s="43">
        <v>0</v>
      </c>
      <c r="AA23" s="26">
        <f>IF($C21=3, 0, ROUND(S23*Z23, 2))</f>
        <v>0</v>
      </c>
      <c r="AB23" s="26">
        <f>V23+W23+X23+Y23+AA23</f>
        <v>151.82</v>
      </c>
      <c r="AC23" s="26">
        <f>IF($V21=1,S23+AB23,S23)</f>
        <v>995.3</v>
      </c>
      <c r="AD23" s="26">
        <v>120</v>
      </c>
      <c r="AE23" s="26">
        <f>IF($P$21=1,(S23/$S$24)*$E$35,AD23/$AD$24*$E$35)</f>
        <v>0</v>
      </c>
      <c r="AF23" s="26"/>
      <c r="AG23" s="26">
        <f>IF($P$21=1,(S23/$S$24)*$E$37,AD23/$AD$24*$E$37)</f>
        <v>0</v>
      </c>
      <c r="AH23" s="26">
        <f>IF($P$21=1,(S23/$S$24)*$E$37,AD23/$AD$24*$E$37)</f>
        <v>0</v>
      </c>
      <c r="AI23" s="26">
        <f t="shared" ref="AI23" si="1">S23*$M$21</f>
        <v>843.48</v>
      </c>
      <c r="AJ23" s="26">
        <f t="shared" ref="AJ23" si="2">IF($C$21=3,0,AG23+AH23)</f>
        <v>0</v>
      </c>
      <c r="AK23" s="26">
        <f t="shared" ref="AK23" si="3">IF($C$21=3,AE23+AG23+AH23,0)</f>
        <v>0</v>
      </c>
      <c r="AL23" s="26">
        <v>1</v>
      </c>
      <c r="AM23" s="26">
        <f t="shared" ref="AM23" si="4">F23/AL23</f>
        <v>2</v>
      </c>
      <c r="AN23" s="26">
        <f>AI23/AM23</f>
        <v>421.74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421.74</v>
      </c>
      <c r="AS23" s="48" t="s">
        <v>217</v>
      </c>
      <c r="AT23" s="48" t="s">
        <v>58</v>
      </c>
      <c r="AU23" t="s" s="0">
        <v>224</v>
      </c>
      <c r="AV23" t="s" s="0">
        <v>420</v>
      </c>
      <c r="AW23" s="48">
        <f>AM23</f>
        <v>2</v>
      </c>
      <c r="AX23" s="48">
        <f>AR23</f>
        <v>421.74</v>
      </c>
      <c r="AY23" s="48">
        <f>AU23+AW23</f>
        <v>4</v>
      </c>
      <c r="AZ23" s="48">
        <f>ROUND(((AU23*AV23)+(AW23*AX23))/(AU23+AW23),5)</f>
        <v>376.36313000000001</v>
      </c>
      <c r="BA23" s="50"/>
      <c r="BB23" s="50" t="s">
        <v>149</v>
      </c>
      <c r="BC23" s="80" t="s">
        <v>29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31</v>
      </c>
      <c r="BM23" t="s" s="0">
        <v>422</v>
      </c>
      <c r="BN23" t="s" s="0">
        <v>421</v>
      </c>
      <c r="BO23" s="48">
        <f>ROUND((((AW23*AZ23)+(BN23*BM23))/(AW23+BN23)),5)</f>
        <v>277.43975</v>
      </c>
      <c r="BP23" s="53">
        <f>BN23+AW23</f>
        <v>26</v>
      </c>
      <c r="BQ23" s="54">
        <v>123562</v>
      </c>
      <c r="BR23" s="53"/>
    </row>
    <row r="24" spans="1:70" ht="15.75" thickBot="1">
      <c r="A24" s="16"/>
      <c r="B24" s="27"/>
      <c r="C24" s="27"/>
      <c r="D24" s="28" t="s">
        <v>87</v>
      </c>
      <c r="E24" s="28"/>
      <c r="F24" s="28"/>
      <c r="G24" s="29"/>
      <c r="H24" s="30">
        <f>SUM(H23:H23)</f>
        <v>910</v>
      </c>
      <c r="I24" s="25"/>
      <c r="J24" s="25"/>
      <c r="K24" s="25"/>
      <c r="L24" s="25"/>
      <c r="M24" s="25"/>
      <c r="N24" s="25"/>
      <c r="O24" s="25"/>
      <c r="P24" s="25"/>
      <c r="Q24" s="25"/>
      <c r="R24" s="30">
        <f>SUM(R23:R23)</f>
        <v>66.52</v>
      </c>
      <c r="S24" s="39">
        <f>SUM(S23:S23)</f>
        <v>843.48</v>
      </c>
      <c r="T24" s="30"/>
      <c r="U24" s="30"/>
      <c r="V24" s="40">
        <f>SUM(V23:V23)</f>
        <v>75.91</v>
      </c>
      <c r="W24" s="40">
        <f>SUM(W23:W23)</f>
        <v>75.91</v>
      </c>
      <c r="X24" s="40">
        <f>SUM(X23:X23)</f>
        <v>0</v>
      </c>
      <c r="Y24" s="40">
        <f>SUM(Y23:Y23)</f>
        <v>0</v>
      </c>
      <c r="Z24" s="40"/>
      <c r="AA24" s="40">
        <f>SUM(AA23:AA23)</f>
        <v>0</v>
      </c>
      <c r="AB24" s="30">
        <f>SUM(AB23:AB23)</f>
        <v>151.82</v>
      </c>
      <c r="AC24" s="44">
        <f>SUM(AC23:AC23)</f>
        <v>995.3</v>
      </c>
      <c r="AD24" s="45">
        <f t="shared" ref="AD24:AE24" si="5">SUM(AD23:AD23)</f>
        <v>120</v>
      </c>
      <c r="AE24" s="45">
        <f t="shared" si="5"/>
        <v>0</v>
      </c>
      <c r="AF24" s="44"/>
      <c r="AG24" s="45">
        <f>SUM(AG23:AG23)</f>
        <v>0</v>
      </c>
      <c r="AH24" s="45">
        <f>SUM(AH23:AH23)</f>
        <v>0</v>
      </c>
      <c r="AI24" s="45">
        <f>SUM(AI23:AI23)</f>
        <v>843.48</v>
      </c>
      <c r="AJ24" s="45">
        <f>SUM(AJ23:AJ23)</f>
        <v>0</v>
      </c>
      <c r="AK24" s="45">
        <f>SUM(AK23:AK23)</f>
        <v>0</v>
      </c>
      <c r="AL24" s="44"/>
      <c r="AM24" s="44"/>
      <c r="AN24" s="44"/>
      <c r="AO24" s="44"/>
      <c r="AP24" s="44"/>
      <c r="AQ24" s="44"/>
      <c r="AR24" s="44"/>
      <c r="AS24" s="16"/>
    </row>
    <row r="25" spans="1:70">
      <c r="A25" s="16"/>
      <c r="B25" s="27"/>
      <c r="C25" s="2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R25"/>
  <sheetViews>
    <sheetView workbookViewId="0">
      <selection sqref="A1:XFD1048576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60" max="60" customWidth="true" width="12.5703125"/>
    <col min="61" max="61" customWidth="true" width="21.7109375"/>
    <col min="62" max="63" customWidth="true" width="30.5703125"/>
    <col min="64" max="64" bestFit="true" customWidth="true" width="8.1406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6"/>
      <c r="AS1" s="16"/>
    </row>
    <row r="2" spans="1:45" ht="18.75" thickBot="1">
      <c r="A2" s="113" t="s">
        <v>47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1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242</v>
      </c>
      <c r="C23" s="25" t="s">
        <v>57</v>
      </c>
      <c r="D23" s="25" t="s">
        <v>58</v>
      </c>
      <c r="E23" s="25" t="s">
        <v>58</v>
      </c>
      <c r="F23" s="26">
        <v>2</v>
      </c>
      <c r="G23" t="s" s="0">
        <v>416</v>
      </c>
      <c r="H23" s="26">
        <f>F23*G23</f>
        <v>500</v>
      </c>
      <c r="I23" t="s" s="0">
        <v>224</v>
      </c>
      <c r="J23" s="26">
        <v>1.79</v>
      </c>
      <c r="K23" s="26">
        <v>2.5</v>
      </c>
      <c r="L23" s="26">
        <f>H23</f>
        <v>500</v>
      </c>
      <c r="M23" s="26">
        <f>ROUND(L23*I23%,2)</f>
        <v>10</v>
      </c>
      <c r="N23" s="26">
        <f>H23-M23</f>
        <v>490</v>
      </c>
      <c r="O23" s="26">
        <f>ROUND(N23*J23%,2)</f>
        <v>8.77</v>
      </c>
      <c r="P23" s="26">
        <f>ROUND(N23-O23,2)</f>
        <v>481.23</v>
      </c>
      <c r="Q23" s="26">
        <f>ROUND(P23*K23%,2)</f>
        <v>12.03</v>
      </c>
      <c r="R23" s="26">
        <f>M23+O23+Q23</f>
        <v>30.799999999999997</v>
      </c>
      <c r="S23" s="26">
        <f>(H23-R23)</f>
        <v>469.2</v>
      </c>
      <c r="T23" s="26" t="s">
        <v>146</v>
      </c>
      <c r="U23" s="26">
        <v>0.18</v>
      </c>
      <c r="V23" s="26">
        <f>IF(OR($C$21=1,$C$21=4),ROUND(((S23*U23)/2),2),0)</f>
        <v>42.23</v>
      </c>
      <c r="W23" s="26">
        <f>IF($C$21=1,ROUND(((S23*U23)/2),2),0)</f>
        <v>42.23</v>
      </c>
      <c r="X23" s="26">
        <f>IF($C$21=2,ROUND(((S23*U23)),2),0)</f>
        <v>0</v>
      </c>
      <c r="Y23" s="26">
        <f>IF($C$21=4,ROUND(((S23*U23)/2),2),0)</f>
        <v>0</v>
      </c>
      <c r="Z23" s="43">
        <v>0</v>
      </c>
      <c r="AA23" s="26">
        <f>IF($C21=3, 0, ROUND(S23*Z23, 2))</f>
        <v>0</v>
      </c>
      <c r="AB23" s="26">
        <f>V23+W23+X23+Y23+AA23</f>
        <v>84.46</v>
      </c>
      <c r="AC23" s="26">
        <f>IF($V21=1,S23+AB23,S23)</f>
        <v>553.66</v>
      </c>
      <c r="AD23" s="26">
        <v>120</v>
      </c>
      <c r="AE23" s="26">
        <f>IF($P$21=1,(S23/$S$24)*$E$35,AD23/$AD$24*$E$35)</f>
        <v>0</v>
      </c>
      <c r="AF23" s="26"/>
      <c r="AG23" s="26">
        <f>IF($P$21=1,(S23/$S$24)*$E$37,AD23/$AD$24*$E$37)</f>
        <v>0</v>
      </c>
      <c r="AH23" s="26">
        <f>IF($P$21=1,(S23/$S$24)*$E$37,AD23/$AD$24*$E$37)</f>
        <v>0</v>
      </c>
      <c r="AI23" s="26">
        <f t="shared" ref="AI23" si="1">S23*$M$21</f>
        <v>469.2</v>
      </c>
      <c r="AJ23" s="26">
        <f t="shared" ref="AJ23" si="2">IF($C$21=3,0,AG23+AH23)</f>
        <v>0</v>
      </c>
      <c r="AK23" s="26">
        <f t="shared" ref="AK23" si="3">IF($C$21=3,AE23+AG23+AH23,0)</f>
        <v>0</v>
      </c>
      <c r="AL23" s="26">
        <v>1</v>
      </c>
      <c r="AM23" s="26">
        <f t="shared" ref="AM23" si="4">F23/AL23</f>
        <v>2</v>
      </c>
      <c r="AN23" s="26">
        <f>AI23/AM23</f>
        <v>234.6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234.6</v>
      </c>
      <c r="AS23" s="48" t="s">
        <v>217</v>
      </c>
      <c r="AT23" s="48" t="s">
        <v>58</v>
      </c>
      <c r="AU23" t="s" s="0">
        <v>224</v>
      </c>
      <c r="AV23" t="s" s="0">
        <v>420</v>
      </c>
      <c r="AW23" s="48">
        <f>AM23</f>
        <v>2</v>
      </c>
      <c r="AX23" s="48">
        <f>AR23</f>
        <v>234.6</v>
      </c>
      <c r="AY23" s="48">
        <f>AU23+AW23</f>
        <v>4</v>
      </c>
      <c r="AZ23" s="48">
        <f>ROUND(((AU23*AV23)+(AW23*AX23))/(AU23+AW23),5)</f>
        <v>282.79313000000002</v>
      </c>
      <c r="BA23" s="50"/>
      <c r="BB23" s="50" t="s">
        <v>149</v>
      </c>
      <c r="BC23" s="80" t="s">
        <v>29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31</v>
      </c>
      <c r="BM23" t="s" s="0">
        <v>422</v>
      </c>
      <c r="BN23" t="s" s="0">
        <v>421</v>
      </c>
      <c r="BO23" s="48">
        <f>ROUND((((AW23*AZ23)+(BN23*BM23))/(AW23+BN23)),5)</f>
        <v>270.24205999999998</v>
      </c>
      <c r="BP23" s="53">
        <f>BN23+AW23</f>
        <v>26</v>
      </c>
      <c r="BQ23" s="54">
        <v>123562</v>
      </c>
      <c r="BR23" s="53"/>
    </row>
    <row r="24" spans="1:70" ht="15.75" thickBot="1">
      <c r="A24" s="16"/>
      <c r="B24" s="27"/>
      <c r="C24" s="27"/>
      <c r="D24" s="28" t="s">
        <v>87</v>
      </c>
      <c r="E24" s="28"/>
      <c r="F24" s="28"/>
      <c r="G24" s="29"/>
      <c r="H24" s="30">
        <f>SUM(H23:H23)</f>
        <v>500</v>
      </c>
      <c r="I24" s="25"/>
      <c r="J24" s="25"/>
      <c r="K24" s="25"/>
      <c r="L24" s="25"/>
      <c r="M24" s="25"/>
      <c r="N24" s="25"/>
      <c r="O24" s="25"/>
      <c r="P24" s="25"/>
      <c r="Q24" s="25"/>
      <c r="R24" s="30">
        <f>SUM(R23:R23)</f>
        <v>30.799999999999997</v>
      </c>
      <c r="S24" s="39">
        <f>SUM(S23:S23)</f>
        <v>469.2</v>
      </c>
      <c r="T24" s="30"/>
      <c r="U24" s="30"/>
      <c r="V24" s="40">
        <f>SUM(V23:V23)</f>
        <v>42.23</v>
      </c>
      <c r="W24" s="40">
        <f>SUM(W23:W23)</f>
        <v>42.23</v>
      </c>
      <c r="X24" s="40">
        <f>SUM(X23:X23)</f>
        <v>0</v>
      </c>
      <c r="Y24" s="40">
        <f>SUM(Y23:Y23)</f>
        <v>0</v>
      </c>
      <c r="Z24" s="40"/>
      <c r="AA24" s="40">
        <f>SUM(AA23:AA23)</f>
        <v>0</v>
      </c>
      <c r="AB24" s="30">
        <f>SUM(AB23:AB23)</f>
        <v>84.46</v>
      </c>
      <c r="AC24" s="44">
        <f>SUM(AC23:AC23)</f>
        <v>553.66</v>
      </c>
      <c r="AD24" s="45">
        <f t="shared" ref="AD24:AE24" si="5">SUM(AD23:AD23)</f>
        <v>120</v>
      </c>
      <c r="AE24" s="45">
        <f t="shared" si="5"/>
        <v>0</v>
      </c>
      <c r="AF24" s="44"/>
      <c r="AG24" s="45">
        <f>SUM(AG23:AG23)</f>
        <v>0</v>
      </c>
      <c r="AH24" s="45">
        <f>SUM(AH23:AH23)</f>
        <v>0</v>
      </c>
      <c r="AI24" s="45">
        <f>SUM(AI23:AI23)</f>
        <v>469.2</v>
      </c>
      <c r="AJ24" s="45">
        <f>SUM(AJ23:AJ23)</f>
        <v>0</v>
      </c>
      <c r="AK24" s="45">
        <f>SUM(AK23:AK23)</f>
        <v>0</v>
      </c>
      <c r="AL24" s="44"/>
      <c r="AM24" s="44"/>
      <c r="AN24" s="44"/>
      <c r="AO24" s="44"/>
      <c r="AP24" s="44"/>
      <c r="AQ24" s="44"/>
      <c r="AR24" s="44"/>
      <c r="AS24" s="16"/>
    </row>
    <row r="25" spans="1:70">
      <c r="A25" s="16"/>
      <c r="B25" s="27"/>
      <c r="C25" s="2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R26"/>
  <sheetViews>
    <sheetView workbookViewId="0">
      <selection sqref="A1:XFD1048576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60" max="60" customWidth="true" width="12.5703125"/>
    <col min="61" max="61" customWidth="true" width="21.7109375"/>
    <col min="62" max="63" customWidth="true" width="30.5703125"/>
    <col min="64" max="64" bestFit="true" customWidth="true" width="8.1406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6"/>
      <c r="AS1" s="16"/>
    </row>
    <row r="2" spans="1:45" ht="18.75" thickBot="1">
      <c r="A2" s="115" t="s">
        <v>47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1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243</v>
      </c>
      <c r="C23" s="25" t="s">
        <v>57</v>
      </c>
      <c r="D23" s="25" t="s">
        <v>58</v>
      </c>
      <c r="E23" s="25" t="s">
        <v>58</v>
      </c>
      <c r="F23" s="26">
        <v>2</v>
      </c>
      <c r="G23" t="s" s="0">
        <v>244</v>
      </c>
      <c r="H23" s="26">
        <f>F23*G23</f>
        <v>500</v>
      </c>
      <c r="I23" t="s" s="0">
        <v>245</v>
      </c>
      <c r="J23" s="26">
        <v>1.79</v>
      </c>
      <c r="K23" s="26">
        <v>2.5</v>
      </c>
      <c r="L23" s="26">
        <f>H23</f>
        <v>500</v>
      </c>
      <c r="M23" s="26">
        <f>ROUND(L23*I23%,2)</f>
        <v>10</v>
      </c>
      <c r="N23" s="26">
        <f>H23-M23</f>
        <v>490</v>
      </c>
      <c r="O23" s="26">
        <f>ROUND(N23*J23%,2)</f>
        <v>8.77</v>
      </c>
      <c r="P23" s="26">
        <f>ROUND(N23-O23,2)</f>
        <v>481.23</v>
      </c>
      <c r="Q23" s="26">
        <f>ROUND(P23*K23%,2)</f>
        <v>12.03</v>
      </c>
      <c r="R23" s="26">
        <f>M23+O23+Q23</f>
        <v>30.799999999999997</v>
      </c>
      <c r="S23" s="26">
        <f>(H23-R23)</f>
        <v>469.2</v>
      </c>
      <c r="T23" s="26" t="s">
        <v>146</v>
      </c>
      <c r="U23" s="26">
        <v>0.18</v>
      </c>
      <c r="V23" s="26">
        <f>IF(OR($C$21=1,$C$21=4),ROUND(((S23*U23)/2),2),0)</f>
        <v>42.23</v>
      </c>
      <c r="W23" s="26">
        <f>IF($C$21=1,ROUND(((S23*U23)/2),2),0)</f>
        <v>42.23</v>
      </c>
      <c r="X23" s="26">
        <f>IF($C$21=2,ROUND(((S23*U23)),2),0)</f>
        <v>0</v>
      </c>
      <c r="Y23" s="26">
        <f>IF($C$21=4,ROUND(((S23*U23)/2),2),0)</f>
        <v>0</v>
      </c>
      <c r="Z23" s="43">
        <v>0</v>
      </c>
      <c r="AA23" s="26">
        <f>IF($C21=3, 0, ROUND(S23*Z23, 2))</f>
        <v>0</v>
      </c>
      <c r="AB23" s="26">
        <f>V23+W23+X23+Y23+AA23</f>
        <v>84.46</v>
      </c>
      <c r="AC23" s="26">
        <f>IF($V21=1,S23+AB23,S23)</f>
        <v>553.66</v>
      </c>
      <c r="AD23" s="26">
        <v>120</v>
      </c>
      <c r="AE23" s="26">
        <f>IF($P$21=1,(S23/$S$25)*$E$36,AD23/$AD$25*$E$36)</f>
        <v>0</v>
      </c>
      <c r="AF23" s="26"/>
      <c r="AG23" s="26">
        <f>IF($P$21=1,(S23/$S$25)*$E$38,AD23/$AD$25*$E$38)</f>
        <v>0</v>
      </c>
      <c r="AH23" s="26">
        <f>IF($P$21=1,(S23/$S$25)*$E$38,AD23/$AD$25*$E$38)</f>
        <v>0</v>
      </c>
      <c r="AI23" s="26">
        <f t="shared" ref="AI23:AI24" si="1">S23*$M$21</f>
        <v>469.2</v>
      </c>
      <c r="AJ23" s="26">
        <f t="shared" ref="AJ23:AJ24" si="2">IF($C$21=3,0,AG23+AH23)</f>
        <v>0</v>
      </c>
      <c r="AK23" s="26">
        <f t="shared" ref="AK23:AK24" si="3">IF($C$21=3,AE23+AG23+AH23,0)</f>
        <v>0</v>
      </c>
      <c r="AL23" s="26">
        <v>1</v>
      </c>
      <c r="AM23" s="26">
        <f t="shared" ref="AM23:AM24" si="4">F23/AL23</f>
        <v>2</v>
      </c>
      <c r="AN23" s="26">
        <f>AI23/AM23</f>
        <v>234.6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234.6</v>
      </c>
      <c r="AS23" s="48" t="s">
        <v>217</v>
      </c>
      <c r="AT23" s="48" t="s">
        <v>58</v>
      </c>
      <c r="AU23" t="s" s="0">
        <v>246</v>
      </c>
      <c r="AV23" t="s" s="0">
        <v>540</v>
      </c>
      <c r="AW23" s="48">
        <f>AM23</f>
        <v>2</v>
      </c>
      <c r="AX23" s="48">
        <f>AR23</f>
        <v>234.6</v>
      </c>
      <c r="AY23" s="48">
        <f>AU23+AW23</f>
        <v>4</v>
      </c>
      <c r="AZ23" s="48">
        <f>ROUND(((AU23*AV23)+(AW23*AX23))/(AU23+AW23),5)</f>
        <v>1182.9540099999999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31</v>
      </c>
      <c r="BM23" t="s" s="0">
        <v>542</v>
      </c>
      <c r="BN23" t="s" s="0">
        <v>441</v>
      </c>
      <c r="BO23" s="48">
        <f>ROUND((((AW23*AZ23)+(BN23*BM23))/(AW23+BN23)),5)</f>
        <v>1161.67688</v>
      </c>
      <c r="BP23" s="53">
        <f>BN23+AW23</f>
        <v>26</v>
      </c>
      <c r="BQ23" s="54">
        <v>123562</v>
      </c>
      <c r="BR23" s="53"/>
    </row>
    <row r="24" spans="1:70" ht="15.75" thickBot="1">
      <c r="A24" s="25">
        <v>2</v>
      </c>
      <c r="B24" s="25" t="s">
        <v>250</v>
      </c>
      <c r="C24" s="25" t="s">
        <v>57</v>
      </c>
      <c r="D24" s="25" t="s">
        <v>58</v>
      </c>
      <c r="E24" s="25" t="s">
        <v>58</v>
      </c>
      <c r="F24" s="26">
        <v>2</v>
      </c>
      <c r="G24" t="s" s="0">
        <v>251</v>
      </c>
      <c r="H24" s="26">
        <f>F24*G24</f>
        <v>506</v>
      </c>
      <c r="I24" t="s" s="0">
        <v>245</v>
      </c>
      <c r="J24" s="26">
        <v>1.79</v>
      </c>
      <c r="K24" s="26">
        <v>2.5</v>
      </c>
      <c r="L24" s="26">
        <f>H24</f>
        <v>506</v>
      </c>
      <c r="M24" s="26">
        <f>ROUND(L24*I24%,2)</f>
        <v>5.0599999999999996</v>
      </c>
      <c r="N24" s="26">
        <f>H24-M24</f>
        <v>500.94</v>
      </c>
      <c r="O24" s="26">
        <f>ROUND(N24*J24%,2)</f>
        <v>8.9700000000000006</v>
      </c>
      <c r="P24" s="26">
        <f>ROUND(N24-O24,2)</f>
        <v>491.97</v>
      </c>
      <c r="Q24" s="26">
        <f>ROUND(P24*K24%,2)</f>
        <v>12.3</v>
      </c>
      <c r="R24" s="26">
        <f>M24+O24+Q24</f>
        <v>26.330000000000002</v>
      </c>
      <c r="S24" s="26">
        <f>(H24-R24)</f>
        <v>479.67</v>
      </c>
      <c r="T24" s="26" t="s">
        <v>146</v>
      </c>
      <c r="U24" s="26">
        <v>0.05</v>
      </c>
      <c r="V24" s="26">
        <f>IF(OR($C$21=1,$C$21=4),ROUND(((S24*U24)/2),2),0)</f>
        <v>11.99</v>
      </c>
      <c r="W24" s="26">
        <f>IF($C$21=1,ROUND(((S24*U24)/2),2),0)</f>
        <v>11.99</v>
      </c>
      <c r="X24" s="26">
        <f>IF($C$21=2,ROUND(((S24*U24)),2),0)</f>
        <v>0</v>
      </c>
      <c r="Y24" s="26">
        <f>IF($C$21=4,ROUND(((S24*U24)/2),2),0)</f>
        <v>0</v>
      </c>
      <c r="Z24" s="43">
        <v>0</v>
      </c>
      <c r="AA24" s="26">
        <f>IF($C22=3, 0, ROUND(S24*Z24, 2))</f>
        <v>0</v>
      </c>
      <c r="AB24" s="26">
        <f>V24+W24+X24+Y24+AA24</f>
        <v>23.98</v>
      </c>
      <c r="AC24" s="26">
        <f>IF($V22=1,S24+AB24,S24)</f>
        <v>479.67</v>
      </c>
      <c r="AD24" s="26">
        <v>120</v>
      </c>
      <c r="AE24" s="26">
        <f>IF($P$21=1,(S24/$S$25)*$E$36,AD24/$AD$25*$E$36)</f>
        <v>0</v>
      </c>
      <c r="AF24" s="26"/>
      <c r="AG24" s="26">
        <f>IF($P$21=1,(S24/$S$25)*$E$38,AD24/$AD$25*$E$38)</f>
        <v>0</v>
      </c>
      <c r="AH24" s="26">
        <f>IF($P$21=1,(S24/$S$25)*$E$38,AD24/$AD$25*$E$38)</f>
        <v>0</v>
      </c>
      <c r="AI24" s="26">
        <f t="shared" si="1"/>
        <v>479.67</v>
      </c>
      <c r="AJ24" s="26">
        <f t="shared" si="2"/>
        <v>0</v>
      </c>
      <c r="AK24" s="26">
        <f t="shared" si="3"/>
        <v>0</v>
      </c>
      <c r="AL24" s="26">
        <v>1</v>
      </c>
      <c r="AM24" s="26">
        <f t="shared" si="4"/>
        <v>2</v>
      </c>
      <c r="AN24" s="26">
        <f>AI24/AM24</f>
        <v>239.83500000000001</v>
      </c>
      <c r="AO24" s="26">
        <f>AJ24/AM24</f>
        <v>0</v>
      </c>
      <c r="AP24" s="26">
        <f>AK24/AM24</f>
        <v>0</v>
      </c>
      <c r="AQ24" s="26" t="s">
        <v>58</v>
      </c>
      <c r="AR24" s="26">
        <f>AN24+AO24+AP24</f>
        <v>239.83500000000001</v>
      </c>
      <c r="AS24" s="48" t="s">
        <v>217</v>
      </c>
      <c r="AT24" s="48" t="s">
        <v>58</v>
      </c>
      <c r="AU24" t="s" s="0">
        <v>252</v>
      </c>
      <c r="AV24" t="s" s="0">
        <v>541</v>
      </c>
      <c r="AW24" s="48">
        <f>AM24</f>
        <v>2</v>
      </c>
      <c r="AX24" s="48">
        <f>AR24</f>
        <v>239.83500000000001</v>
      </c>
      <c r="AY24" s="48">
        <f>AU24+AW24</f>
        <v>32</v>
      </c>
      <c r="AZ24" s="48">
        <f>ROUND(((AU24*AV24)+(AW24*AX24))/(AU24+AW24),5)</f>
        <v>248.32220000000001</v>
      </c>
      <c r="BA24" s="50"/>
      <c r="BB24" s="50" t="s">
        <v>149</v>
      </c>
      <c r="BC24" s="80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48" t="s">
        <v>31</v>
      </c>
      <c r="BM24" t="s" s="0">
        <v>544</v>
      </c>
      <c r="BN24" t="s" s="0">
        <v>543</v>
      </c>
      <c r="BO24" s="48">
        <f>ROUND((((AW24*AZ24)+(BN24*BM24))/(AW24+BN24)),5)</f>
        <v>247.58087</v>
      </c>
      <c r="BP24" s="53">
        <f>BN24+AW24</f>
        <v>338</v>
      </c>
      <c r="BQ24" s="54">
        <v>123562</v>
      </c>
      <c r="BR24" s="53"/>
    </row>
    <row r="25" spans="1:70" ht="15.75" thickBot="1">
      <c r="A25" s="16"/>
      <c r="B25" s="27"/>
      <c r="C25" s="27"/>
      <c r="D25" s="28" t="s">
        <v>87</v>
      </c>
      <c r="E25" s="28"/>
      <c r="F25" s="28"/>
      <c r="G25" s="29"/>
      <c r="H25" s="30">
        <f>SUM(H23:H24)</f>
        <v>1006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57.129999999999995</v>
      </c>
      <c r="S25" s="39">
        <f>SUM(S23:S24)</f>
        <v>948.87</v>
      </c>
      <c r="T25" s="30"/>
      <c r="U25" s="30"/>
      <c r="V25" s="40">
        <f>SUM(V23:V24)</f>
        <v>54.22</v>
      </c>
      <c r="W25" s="40">
        <f>SUM(W23:W24)</f>
        <v>54.22</v>
      </c>
      <c r="X25" s="40">
        <f>SUM(X23:X24)</f>
        <v>0</v>
      </c>
      <c r="Y25" s="40">
        <f>SUM(Y23:Y24)</f>
        <v>0</v>
      </c>
      <c r="Z25" s="40"/>
      <c r="AA25" s="40">
        <f>SUM(AA23:AA24)</f>
        <v>0</v>
      </c>
      <c r="AB25" s="30">
        <f>SUM(AB23:AB24)</f>
        <v>108.44</v>
      </c>
      <c r="AC25" s="44">
        <f>SUM(AC23:AC24)</f>
        <v>1033.33</v>
      </c>
      <c r="AD25" s="45">
        <f t="shared" ref="AD25:AE25" si="5">SUM(AD23:AD23)</f>
        <v>120</v>
      </c>
      <c r="AE25" s="45">
        <f t="shared" si="5"/>
        <v>0</v>
      </c>
      <c r="AF25" s="44"/>
      <c r="AG25" s="45">
        <f>SUM(AG23:AG23)</f>
        <v>0</v>
      </c>
      <c r="AH25" s="45">
        <f>SUM(AH23:AH23)</f>
        <v>0</v>
      </c>
      <c r="AI25" s="45">
        <f>SUM(AI23:AI24)</f>
        <v>948.87</v>
      </c>
      <c r="AJ25" s="45">
        <f>SUM(AJ23:AJ23)</f>
        <v>0</v>
      </c>
      <c r="AK25" s="45">
        <f>SUM(AK23:AK23)</f>
        <v>0</v>
      </c>
      <c r="AL25" s="44"/>
      <c r="AM25" s="44"/>
      <c r="AN25" s="44"/>
      <c r="AO25" s="44"/>
      <c r="AP25" s="44"/>
      <c r="AQ25" s="44"/>
      <c r="AR25" s="44"/>
      <c r="AS25" s="16"/>
    </row>
    <row r="26" spans="1:70">
      <c r="A26" s="16"/>
      <c r="B26" s="27"/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R26"/>
  <sheetViews>
    <sheetView workbookViewId="0">
      <selection sqref="A1:XFD1048576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60" max="60" customWidth="true" width="12.5703125"/>
    <col min="61" max="61" customWidth="true" width="21.7109375"/>
    <col min="62" max="63" customWidth="true" width="30.5703125"/>
    <col min="64" max="64" bestFit="true" customWidth="true" width="8.1406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6"/>
      <c r="AS1" s="16"/>
    </row>
    <row r="2" spans="1:45" ht="18.75" thickBot="1">
      <c r="A2" s="137" t="s">
        <v>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2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346</v>
      </c>
      <c r="C23" s="25" t="s">
        <v>57</v>
      </c>
      <c r="D23" s="25" t="s">
        <v>58</v>
      </c>
      <c r="E23" s="25" t="s">
        <v>58</v>
      </c>
      <c r="F23" s="26">
        <v>2</v>
      </c>
      <c r="G23" t="s" s="0">
        <v>244</v>
      </c>
      <c r="H23" s="26">
        <f>F23*G23</f>
        <v>2460</v>
      </c>
      <c r="I23" t="s" s="0">
        <v>245</v>
      </c>
      <c r="J23" s="26">
        <v>1.79</v>
      </c>
      <c r="K23" s="26">
        <v>2.5</v>
      </c>
      <c r="L23" s="26">
        <f>H23</f>
        <v>2460</v>
      </c>
      <c r="M23" s="26">
        <f>ROUND(L23*I23%,2)</f>
        <v>24.6</v>
      </c>
      <c r="N23" s="26">
        <f>H23-M23</f>
        <v>2435.4</v>
      </c>
      <c r="O23" s="26">
        <f>ROUND(N23*J23%,2)</f>
        <v>43.59</v>
      </c>
      <c r="P23" s="26">
        <f>ROUND(N23-O23,2)</f>
        <v>2391.81</v>
      </c>
      <c r="Q23" s="26">
        <f>ROUND(P23*K23%,2)</f>
        <v>59.8</v>
      </c>
      <c r="R23" s="26">
        <f>M23+O23+Q23</f>
        <v>127.99</v>
      </c>
      <c r="S23" s="26">
        <f>(H23-R23)</f>
        <v>2332.0100000000002</v>
      </c>
      <c r="T23" s="26" t="s">
        <v>146</v>
      </c>
      <c r="U23" s="26">
        <v>0.18</v>
      </c>
      <c r="V23" s="26">
        <f>IF(OR($C$21=1,$C$21=4),ROUND(((S23*U23)/2),2),0)</f>
        <v>0</v>
      </c>
      <c r="W23" s="26">
        <f>IF($C$21=1,ROUND(((S23*U23)/2),2),0)</f>
        <v>0</v>
      </c>
      <c r="X23" s="26">
        <f>IF($C$21=2,ROUND(((S23*U23)),2),0)</f>
        <v>419.76</v>
      </c>
      <c r="Y23" s="26">
        <f>IF($C$21=4,ROUND(((S23*U23)/2),2),0)</f>
        <v>0</v>
      </c>
      <c r="Z23" s="43">
        <v>0</v>
      </c>
      <c r="AA23" s="26">
        <f>IF($C21=3, 0, ROUND(S23*Z23, 2))</f>
        <v>0</v>
      </c>
      <c r="AB23" s="26">
        <f>V23+W23+X23+Y23+AA23</f>
        <v>419.76</v>
      </c>
      <c r="AC23" s="26">
        <f>IF($V21=1,S23+AB23,S23)</f>
        <v>2751.7700000000004</v>
      </c>
      <c r="AD23" s="26">
        <v>120</v>
      </c>
      <c r="AE23" s="26">
        <f>IF($P$21=1,(S23/$S$25)*$E$36,AD23/$AD$25*$E$36)</f>
        <v>0</v>
      </c>
      <c r="AF23" s="26"/>
      <c r="AG23" s="26">
        <f>IF($P$21=1,(S23/$S$25)*$E$38,AD23/$AD$25*$E$38)</f>
        <v>0</v>
      </c>
      <c r="AH23" s="26">
        <f>IF($P$21=1,(S23/$S$25)*$E$38,AD23/$AD$25*$E$38)</f>
        <v>0</v>
      </c>
      <c r="AI23" s="26">
        <f t="shared" ref="AI23:AI24" si="1">S23*$M$21</f>
        <v>2332.0100000000002</v>
      </c>
      <c r="AJ23" s="26">
        <f t="shared" ref="AJ23:AJ24" si="2">IF($C$21=3,0,AG23+AH23)</f>
        <v>0</v>
      </c>
      <c r="AK23" s="26">
        <f t="shared" ref="AK23:AK24" si="3">IF($C$21=3,AE23+AG23+AH23,0)</f>
        <v>0</v>
      </c>
      <c r="AL23" s="26">
        <v>1</v>
      </c>
      <c r="AM23" s="26">
        <f t="shared" ref="AM23:AM24" si="4">F23/AL23</f>
        <v>2</v>
      </c>
      <c r="AN23" s="26">
        <f>AI23/AM23</f>
        <v>1166.0050000000001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1166.0050000000001</v>
      </c>
      <c r="AS23" s="48" t="s">
        <v>347</v>
      </c>
      <c r="AT23" s="48" t="s">
        <v>58</v>
      </c>
      <c r="AU23" t="s" s="0">
        <v>219</v>
      </c>
      <c r="AV23" t="s" s="0">
        <v>468</v>
      </c>
      <c r="AW23" s="48">
        <f>AM23</f>
        <v>2</v>
      </c>
      <c r="AX23" s="48">
        <f>AR23</f>
        <v>1166.0050000000001</v>
      </c>
      <c r="AY23" s="48">
        <f>AU23+AW23</f>
        <v>432</v>
      </c>
      <c r="AZ23" s="48">
        <f>ROUND(((AU23*AV23)+(AW23*AX23))/(AU23+AW23),5)</f>
        <v>1187.2660699999999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348</v>
      </c>
      <c r="BM23" t="s" s="0">
        <v>533</v>
      </c>
      <c r="BN23" t="s" s="0">
        <v>407</v>
      </c>
      <c r="BO23" s="48">
        <f>ROUND((((AW23*AZ23)+(BN23*BM23))/(AW23+BN23)),5)</f>
        <v>1161.71471</v>
      </c>
      <c r="BP23" s="53">
        <f>BN23+AW23</f>
        <v>228</v>
      </c>
      <c r="BQ23" s="54">
        <v>123562</v>
      </c>
      <c r="BR23" s="53"/>
    </row>
    <row r="24" spans="1:70" ht="15.75" thickBot="1">
      <c r="A24" s="25">
        <v>2</v>
      </c>
      <c r="B24" s="25" t="s">
        <v>349</v>
      </c>
      <c r="C24" s="25" t="s">
        <v>57</v>
      </c>
      <c r="D24" s="25" t="s">
        <v>58</v>
      </c>
      <c r="E24" s="25" t="s">
        <v>58</v>
      </c>
      <c r="F24" s="26">
        <v>2</v>
      </c>
      <c r="G24" t="s" s="0">
        <v>251</v>
      </c>
      <c r="H24" s="26">
        <f>F24*G24</f>
        <v>506</v>
      </c>
      <c r="I24" t="s" s="0">
        <v>245</v>
      </c>
      <c r="J24" s="26">
        <v>1.79</v>
      </c>
      <c r="K24" s="26">
        <v>2.5</v>
      </c>
      <c r="L24" s="26">
        <f>H24</f>
        <v>506</v>
      </c>
      <c r="M24" s="26">
        <f>ROUND(L24*I24%,2)</f>
        <v>5.0599999999999996</v>
      </c>
      <c r="N24" s="26">
        <f>H24-M24</f>
        <v>500.94</v>
      </c>
      <c r="O24" s="26">
        <f>ROUND(N24*J24%,2)</f>
        <v>8.9700000000000006</v>
      </c>
      <c r="P24" s="26">
        <f>ROUND(N24-O24,2)</f>
        <v>491.97</v>
      </c>
      <c r="Q24" s="26">
        <f>ROUND(P24*K24%,2)</f>
        <v>12.3</v>
      </c>
      <c r="R24" s="26">
        <f>M24+O24+Q24</f>
        <v>26.330000000000002</v>
      </c>
      <c r="S24" s="26">
        <f>(H24-R24)</f>
        <v>479.67</v>
      </c>
      <c r="T24" s="26" t="s">
        <v>146</v>
      </c>
      <c r="U24" s="26">
        <v>0.18</v>
      </c>
      <c r="V24" s="26">
        <f>IF(OR($C$21=1,$C$21=4),ROUND(((S24*U24)/2),2),0)</f>
        <v>0</v>
      </c>
      <c r="W24" s="26">
        <f>IF($C$21=1,ROUND(((S24*U24)/2),2),0)</f>
        <v>0</v>
      </c>
      <c r="X24" s="26">
        <f>IF($C$21=2,ROUND(((S24*U24)),2),0)</f>
        <v>86.34</v>
      </c>
      <c r="Y24" s="26">
        <f>IF($C$21=4,ROUND(((S24*U24)/2),2),0)</f>
        <v>0</v>
      </c>
      <c r="Z24" s="43">
        <v>0</v>
      </c>
      <c r="AA24" s="26">
        <f>IF($C22=3, 0, ROUND(S24*Z24, 2))</f>
        <v>0</v>
      </c>
      <c r="AB24" s="26">
        <f>V24+W24+X24+Y24+AA24</f>
        <v>86.34</v>
      </c>
      <c r="AC24" s="26">
        <f>IF($V22=1,S24+AB24,S24)</f>
        <v>479.67</v>
      </c>
      <c r="AD24" s="26">
        <v>120</v>
      </c>
      <c r="AE24" s="26">
        <f>IF($P$21=1,(S24/$S$25)*$E$36,AD24/$AD$25*$E$36)</f>
        <v>0</v>
      </c>
      <c r="AF24" s="26"/>
      <c r="AG24" s="26">
        <f>IF($P$21=1,(S24/$S$25)*$E$38,AD24/$AD$25*$E$38)</f>
        <v>0</v>
      </c>
      <c r="AH24" s="26">
        <f>IF($P$21=1,(S24/$S$25)*$E$38,AD24/$AD$25*$E$38)</f>
        <v>0</v>
      </c>
      <c r="AI24" s="26">
        <f t="shared" si="1"/>
        <v>479.67</v>
      </c>
      <c r="AJ24" s="26">
        <f t="shared" si="2"/>
        <v>0</v>
      </c>
      <c r="AK24" s="26">
        <f t="shared" si="3"/>
        <v>0</v>
      </c>
      <c r="AL24" s="26">
        <v>1</v>
      </c>
      <c r="AM24" s="26">
        <f t="shared" si="4"/>
        <v>2</v>
      </c>
      <c r="AN24" s="26">
        <f>AI24/AM24</f>
        <v>239.83500000000001</v>
      </c>
      <c r="AO24" s="26">
        <f>AJ24/AM24</f>
        <v>0</v>
      </c>
      <c r="AP24" s="26">
        <f>AK24/AM24</f>
        <v>0</v>
      </c>
      <c r="AQ24" s="26" t="s">
        <v>58</v>
      </c>
      <c r="AR24" s="26">
        <f>AN24+AO24+AP24</f>
        <v>239.83500000000001</v>
      </c>
      <c r="AS24" s="48" t="s">
        <v>347</v>
      </c>
      <c r="AT24" s="48" t="s">
        <v>58</v>
      </c>
      <c r="AU24" t="s" s="0">
        <v>219</v>
      </c>
      <c r="AV24" t="s" s="0">
        <v>469</v>
      </c>
      <c r="AW24" s="48">
        <f>AM24</f>
        <v>2</v>
      </c>
      <c r="AX24" s="48">
        <f>AR24</f>
        <v>239.83500000000001</v>
      </c>
      <c r="AY24" s="48">
        <f>AU24+AW24</f>
        <v>342</v>
      </c>
      <c r="AZ24" s="48">
        <f>ROUND(((AU24*AV24)+(AW24*AX24))/(AU24+AW24),5)</f>
        <v>248.32220000000001</v>
      </c>
      <c r="BA24" s="50"/>
      <c r="BB24" s="50" t="s">
        <v>149</v>
      </c>
      <c r="BC24" s="80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48" t="s">
        <v>348</v>
      </c>
      <c r="BM24" t="s" s="0">
        <v>534</v>
      </c>
      <c r="BN24" t="s" s="0">
        <v>308</v>
      </c>
      <c r="BO24" s="48">
        <f>ROUND((((AW24*AZ24)+(BN24*BM24))/(AW24+BN24)),5)</f>
        <v>247.58087</v>
      </c>
      <c r="BP24" s="53">
        <f>BN24+AW24</f>
        <v>349</v>
      </c>
      <c r="BQ24" s="54">
        <v>123562</v>
      </c>
      <c r="BR24" s="53"/>
    </row>
    <row r="25" spans="1:70" ht="15.75" thickBot="1">
      <c r="A25" s="16"/>
      <c r="B25" s="27"/>
      <c r="C25" s="27"/>
      <c r="D25" s="28" t="s">
        <v>87</v>
      </c>
      <c r="E25" s="28"/>
      <c r="F25" s="28"/>
      <c r="G25" s="29"/>
      <c r="H25" s="30">
        <f>SUM(H23:H24)</f>
        <v>2966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154.32</v>
      </c>
      <c r="S25" s="39">
        <f>SUM(S23:S24)</f>
        <v>2811.6800000000003</v>
      </c>
      <c r="T25" s="30"/>
      <c r="U25" s="30"/>
      <c r="V25" s="40">
        <f>SUM(V23:V24)</f>
        <v>0</v>
      </c>
      <c r="W25" s="40">
        <f>SUM(W23:W24)</f>
        <v>0</v>
      </c>
      <c r="X25" s="40">
        <f>SUM(X23:X24)</f>
        <v>506.1</v>
      </c>
      <c r="Y25" s="40">
        <f>SUM(Y23:Y24)</f>
        <v>0</v>
      </c>
      <c r="Z25" s="40"/>
      <c r="AA25" s="40">
        <f>SUM(AA23:AA24)</f>
        <v>0</v>
      </c>
      <c r="AB25" s="30">
        <f>SUM(AB23:AB24)</f>
        <v>506.1</v>
      </c>
      <c r="AC25" s="44">
        <f>SUM(AC23:AC24)</f>
        <v>3231.4400000000005</v>
      </c>
      <c r="AD25" s="45">
        <f t="shared" ref="AD25:AE25" si="5">SUM(AD23:AD23)</f>
        <v>120</v>
      </c>
      <c r="AE25" s="45">
        <f t="shared" si="5"/>
        <v>0</v>
      </c>
      <c r="AF25" s="44"/>
      <c r="AG25" s="45">
        <f>SUM(AG23:AG23)</f>
        <v>0</v>
      </c>
      <c r="AH25" s="45">
        <f>SUM(AH23:AH23)</f>
        <v>0</v>
      </c>
      <c r="AI25" s="45">
        <f>SUM(AI23:AI24)</f>
        <v>2811.6800000000003</v>
      </c>
      <c r="AJ25" s="45">
        <f>SUM(AJ23:AJ23)</f>
        <v>0</v>
      </c>
      <c r="AK25" s="45">
        <f>SUM(AK23:AK23)</f>
        <v>0</v>
      </c>
      <c r="AL25" s="44"/>
      <c r="AM25" s="44"/>
      <c r="AN25" s="44"/>
      <c r="AO25" s="44"/>
      <c r="AP25" s="44"/>
      <c r="AQ25" s="44"/>
      <c r="AR25" s="44"/>
      <c r="AS25" s="16"/>
    </row>
    <row r="26" spans="1:70">
      <c r="A26" s="16"/>
      <c r="B26" s="27"/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</row>
  </sheetData>
  <mergeCells count="3">
    <mergeCell ref="B19:G19"/>
    <mergeCell ref="A21:B21"/>
    <mergeCell ref="A1:AC1"/>
  </mergeCells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R26"/>
  <sheetViews>
    <sheetView topLeftCell="A13" zoomScale="115" zoomScaleNormal="115" workbookViewId="0">
      <selection activeCell="C21" sqref="C21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60" max="60" customWidth="true" width="12.5703125"/>
    <col min="61" max="61" customWidth="true" width="21.7109375"/>
    <col min="62" max="63" customWidth="true" width="30.5703125"/>
    <col min="64" max="64" bestFit="true" customWidth="true" width="8.1406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6"/>
      <c r="AS1" s="16"/>
    </row>
    <row r="2" spans="1:45" ht="18.75" thickBot="1">
      <c r="A2" s="140" t="s">
        <v>47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2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349</v>
      </c>
      <c r="C23" s="25" t="s">
        <v>57</v>
      </c>
      <c r="D23" s="25" t="s">
        <v>58</v>
      </c>
      <c r="E23" s="25" t="s">
        <v>58</v>
      </c>
      <c r="F23" s="26">
        <v>2</v>
      </c>
      <c r="G23" t="s" s="0">
        <v>550</v>
      </c>
      <c r="H23" s="26">
        <f>F23*G23</f>
        <v>2460</v>
      </c>
      <c r="I23" t="s" s="0">
        <v>551</v>
      </c>
      <c r="J23" s="26">
        <v>1.79</v>
      </c>
      <c r="K23" s="26">
        <v>2.5</v>
      </c>
      <c r="L23" s="26">
        <f>H23</f>
        <v>2460</v>
      </c>
      <c r="M23" s="26">
        <f>ROUND(L23*I23%,2)</f>
        <v>24.6</v>
      </c>
      <c r="N23" s="26">
        <f>H23-M23</f>
        <v>2435.4</v>
      </c>
      <c r="O23" s="26">
        <f>ROUND(N23*J23%,2)</f>
        <v>43.59</v>
      </c>
      <c r="P23" s="26">
        <f>ROUND(N23-O23,2)</f>
        <v>2391.81</v>
      </c>
      <c r="Q23" s="26">
        <f>ROUND(P23*K23%,2)</f>
        <v>59.8</v>
      </c>
      <c r="R23" s="26">
        <f>M23+O23+Q23</f>
        <v>127.99</v>
      </c>
      <c r="S23" s="26">
        <f>(H23-R23)</f>
        <v>2332.0100000000002</v>
      </c>
      <c r="T23" s="26" t="s">
        <v>146</v>
      </c>
      <c r="U23" s="26">
        <v>0.18</v>
      </c>
      <c r="V23" s="26">
        <f>IF(OR($C$21=1,$C$21=4),ROUND(((S23*U23)/2),2),0)</f>
        <v>0</v>
      </c>
      <c r="W23" s="26">
        <f>IF($C$21=1,ROUND(((S23*U23)/2),2),0)</f>
        <v>0</v>
      </c>
      <c r="X23" s="26">
        <f>IF($C$21=2,ROUND(((S23*U23)),2),0)</f>
        <v>419.76</v>
      </c>
      <c r="Y23" s="26">
        <f>IF($C$21=4,ROUND(((S23*U23)/2),2),0)</f>
        <v>0</v>
      </c>
      <c r="Z23" s="43">
        <v>0</v>
      </c>
      <c r="AA23" s="26">
        <f>IF($C21=3, 0, ROUND(S23*Z23, 2))</f>
        <v>0</v>
      </c>
      <c r="AB23" s="26">
        <f>V23+W23+X23+Y23+AA23</f>
        <v>419.76</v>
      </c>
      <c r="AC23" s="26">
        <f>IF($V21=1,S23+AB23,S23)</f>
        <v>2751.7700000000004</v>
      </c>
      <c r="AD23" s="26">
        <v>120</v>
      </c>
      <c r="AE23" s="26">
        <f>IF($P$21=1,(S23/$S$25)*$E$36,AD23/$AD$25*$E$36)</f>
        <v>0</v>
      </c>
      <c r="AF23" s="26"/>
      <c r="AG23" s="26">
        <f>IF($P$21=1,(S23/$S$25)*$E$38,AD23/$AD$25*$E$38)</f>
        <v>0</v>
      </c>
      <c r="AH23" s="26">
        <f>IF($P$21=1,(S23/$S$25)*$E$38,AD23/$AD$25*$E$38)</f>
        <v>0</v>
      </c>
      <c r="AI23" s="26">
        <f t="shared" ref="AI23:AI24" si="1">S23*$M$21</f>
        <v>2332.0100000000002</v>
      </c>
      <c r="AJ23" s="26">
        <f t="shared" ref="AJ23:AJ24" si="2">IF($C$21=3,0,AG23+AH23)</f>
        <v>0</v>
      </c>
      <c r="AK23" s="26">
        <f t="shared" ref="AK23:AK24" si="3">IF($C$21=3,AE23+AG23+AH23,0)</f>
        <v>0</v>
      </c>
      <c r="AL23" s="26">
        <v>1</v>
      </c>
      <c r="AM23" s="26">
        <f t="shared" ref="AM23:AM24" si="4">F23/AL23</f>
        <v>2</v>
      </c>
      <c r="AN23" s="26">
        <f>AI23/AM23</f>
        <v>1166.0050000000001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1166.0050000000001</v>
      </c>
      <c r="AS23" s="48" t="s">
        <v>347</v>
      </c>
      <c r="AT23" s="48" t="s">
        <v>58</v>
      </c>
      <c r="AU23" t="s" s="0">
        <v>219</v>
      </c>
      <c r="AV23" t="s" s="0">
        <v>554</v>
      </c>
      <c r="AW23" s="48">
        <f>AM23</f>
        <v>2</v>
      </c>
      <c r="AX23" s="48">
        <f>AR23</f>
        <v>1166.0050000000001</v>
      </c>
      <c r="AY23" s="48">
        <f>AU23+AW23</f>
        <v>2</v>
      </c>
      <c r="AZ23" s="48">
        <f>ROUND(((AU23*AV23)+(AW23*AX23))/(AU23+AW23),5)</f>
        <v>1166.0050000000001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348</v>
      </c>
      <c r="BM23" t="s" s="0">
        <v>556</v>
      </c>
      <c r="BN23" t="s" s="0">
        <v>458</v>
      </c>
      <c r="BO23" s="48">
        <f>ROUND((((AW23*AZ23)+(BN23*BM23))/(AW23+BN23)),5)</f>
        <v>324.90501</v>
      </c>
      <c r="BP23" s="53">
        <f>BN23+AW23</f>
        <v>8</v>
      </c>
      <c r="BQ23" s="54">
        <v>123562</v>
      </c>
      <c r="BR23" s="53"/>
    </row>
    <row r="24" spans="1:70" ht="15.75" thickBot="1">
      <c r="A24" s="25">
        <v>2</v>
      </c>
      <c r="B24" s="25" t="s">
        <v>352</v>
      </c>
      <c r="C24" s="25" t="s">
        <v>57</v>
      </c>
      <c r="D24" s="25" t="s">
        <v>58</v>
      </c>
      <c r="E24" s="25" t="s">
        <v>58</v>
      </c>
      <c r="F24" s="26">
        <v>2</v>
      </c>
      <c r="G24" t="s" s="0">
        <v>552</v>
      </c>
      <c r="H24" s="26">
        <f>F24*G24</f>
        <v>506</v>
      </c>
      <c r="I24" t="s" s="0">
        <v>553</v>
      </c>
      <c r="J24" s="26">
        <v>1.79</v>
      </c>
      <c r="K24" s="26">
        <v>2.5</v>
      </c>
      <c r="L24" s="26">
        <f>H24</f>
        <v>506</v>
      </c>
      <c r="M24" s="26">
        <f>ROUND(L24*I24%,2)</f>
        <v>5.0599999999999996</v>
      </c>
      <c r="N24" s="26">
        <f>H24-M24</f>
        <v>500.94</v>
      </c>
      <c r="O24" s="26">
        <f>ROUND(N24*J24%,2)</f>
        <v>8.9700000000000006</v>
      </c>
      <c r="P24" s="26">
        <f>ROUND(N24-O24,2)</f>
        <v>491.97</v>
      </c>
      <c r="Q24" s="26">
        <f>ROUND(P24*K24%,2)</f>
        <v>12.3</v>
      </c>
      <c r="R24" s="26">
        <f>M24+O24+Q24</f>
        <v>26.330000000000002</v>
      </c>
      <c r="S24" s="26">
        <f>(H24-R24)</f>
        <v>479.67</v>
      </c>
      <c r="T24" s="26" t="s">
        <v>146</v>
      </c>
      <c r="U24" s="26">
        <v>0.18</v>
      </c>
      <c r="V24" s="26">
        <f>IF(OR($C$21=1,$C$21=4),ROUND(((S24*U24)/2),2),0)</f>
        <v>0</v>
      </c>
      <c r="W24" s="26">
        <f>IF($C$21=1,ROUND(((S24*U24)/2),2),0)</f>
        <v>0</v>
      </c>
      <c r="X24" s="26">
        <f>IF($C$21=2,ROUND(((S24*U24)),2),0)</f>
        <v>86.34</v>
      </c>
      <c r="Y24" s="26">
        <f>IF($C$21=4,ROUND(((S24*U24)/2),2),0)</f>
        <v>0</v>
      </c>
      <c r="Z24" s="43">
        <v>0</v>
      </c>
      <c r="AA24" s="26">
        <f>IF($C22=3, 0, ROUND(S24*Z24, 2))</f>
        <v>0</v>
      </c>
      <c r="AB24" s="26">
        <f>V24+W24+X24+Y24+AA24</f>
        <v>86.34</v>
      </c>
      <c r="AC24" s="26">
        <f>IF($V22=1,S24+AB24,S24)</f>
        <v>479.67</v>
      </c>
      <c r="AD24" s="26">
        <v>120</v>
      </c>
      <c r="AE24" s="26">
        <f>IF($P$21=1,(S24/$S$25)*$E$36,AD24/$AD$25*$E$36)</f>
        <v>0</v>
      </c>
      <c r="AF24" s="26"/>
      <c r="AG24" s="26">
        <f>IF($P$21=1,(S24/$S$25)*$E$38,AD24/$AD$25*$E$38)</f>
        <v>0</v>
      </c>
      <c r="AH24" s="26">
        <f>IF($P$21=1,(S24/$S$25)*$E$38,AD24/$AD$25*$E$38)</f>
        <v>0</v>
      </c>
      <c r="AI24" s="26">
        <f t="shared" si="1"/>
        <v>479.67</v>
      </c>
      <c r="AJ24" s="26">
        <f t="shared" si="2"/>
        <v>0</v>
      </c>
      <c r="AK24" s="26">
        <f t="shared" si="3"/>
        <v>0</v>
      </c>
      <c r="AL24" s="26">
        <v>1</v>
      </c>
      <c r="AM24" s="26">
        <f t="shared" si="4"/>
        <v>2</v>
      </c>
      <c r="AN24" s="26">
        <f>AI24/AM24</f>
        <v>239.83500000000001</v>
      </c>
      <c r="AO24" s="26">
        <f>AJ24/AM24</f>
        <v>0</v>
      </c>
      <c r="AP24" s="26">
        <f>AK24/AM24</f>
        <v>0</v>
      </c>
      <c r="AQ24" s="26" t="s">
        <v>58</v>
      </c>
      <c r="AR24" s="26">
        <f>AN24+AO24+AP24</f>
        <v>239.83500000000001</v>
      </c>
      <c r="AS24" s="48" t="s">
        <v>347</v>
      </c>
      <c r="AT24" s="48" t="s">
        <v>58</v>
      </c>
      <c r="AU24" t="s" s="0">
        <v>219</v>
      </c>
      <c r="AV24" t="s" s="0">
        <v>555</v>
      </c>
      <c r="AW24" s="48">
        <f>AM24</f>
        <v>2</v>
      </c>
      <c r="AX24" s="48">
        <f>AR24</f>
        <v>239.83500000000001</v>
      </c>
      <c r="AY24" s="48">
        <f>AU24+AW24</f>
        <v>2</v>
      </c>
      <c r="AZ24" s="48">
        <f>ROUND(((AU24*AV24)+(AW24*AX24))/(AU24+AW24),5)</f>
        <v>239.83500000000001</v>
      </c>
      <c r="BA24" s="50"/>
      <c r="BB24" s="50" t="s">
        <v>149</v>
      </c>
      <c r="BC24" s="80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48" t="s">
        <v>348</v>
      </c>
      <c r="BM24" t="s" s="0">
        <v>557</v>
      </c>
      <c r="BN24" t="s" s="0">
        <v>407</v>
      </c>
      <c r="BO24" s="48">
        <f>ROUND((((AW24*AZ24)+(BN24*BM24))/(AW24+BN24)),5)</f>
        <v>307.07499999999999</v>
      </c>
      <c r="BP24" s="53">
        <f>BN24+AW24</f>
        <v>10</v>
      </c>
      <c r="BQ24" s="54">
        <v>123562</v>
      </c>
      <c r="BR24" s="53"/>
    </row>
    <row r="25" spans="1:70" ht="15.75" thickBot="1">
      <c r="A25" s="16"/>
      <c r="B25" s="27"/>
      <c r="C25" s="27"/>
      <c r="D25" s="28" t="s">
        <v>87</v>
      </c>
      <c r="E25" s="28"/>
      <c r="F25" s="28"/>
      <c r="G25" s="29"/>
      <c r="H25" s="30">
        <f>SUM(H23:H24)</f>
        <v>2966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154.32</v>
      </c>
      <c r="S25" s="39">
        <f>SUM(S23:S24)</f>
        <v>2811.6800000000003</v>
      </c>
      <c r="T25" s="30"/>
      <c r="U25" s="30"/>
      <c r="V25" s="40">
        <f>SUM(V23:V24)</f>
        <v>0</v>
      </c>
      <c r="W25" s="40">
        <f>SUM(W23:W24)</f>
        <v>0</v>
      </c>
      <c r="X25" s="40">
        <f>SUM(X23:X24)</f>
        <v>506.1</v>
      </c>
      <c r="Y25" s="40">
        <f>SUM(Y23:Y24)</f>
        <v>0</v>
      </c>
      <c r="Z25" s="40"/>
      <c r="AA25" s="40">
        <f>SUM(AA23:AA24)</f>
        <v>0</v>
      </c>
      <c r="AB25" s="30">
        <f>SUM(AB23:AB24)</f>
        <v>506.1</v>
      </c>
      <c r="AC25" s="44">
        <f>SUM(AC23:AC24)</f>
        <v>3231.4400000000005</v>
      </c>
      <c r="AD25" s="45">
        <f t="shared" ref="AD25:AE25" si="5">SUM(AD23:AD23)</f>
        <v>120</v>
      </c>
      <c r="AE25" s="45">
        <f t="shared" si="5"/>
        <v>0</v>
      </c>
      <c r="AF25" s="44"/>
      <c r="AG25" s="45">
        <f>SUM(AG23:AG23)</f>
        <v>0</v>
      </c>
      <c r="AH25" s="45">
        <f>SUM(AH23:AH23)</f>
        <v>0</v>
      </c>
      <c r="AI25" s="45">
        <f>SUM(AI23:AI24)</f>
        <v>2811.6800000000003</v>
      </c>
      <c r="AJ25" s="45">
        <f>SUM(AJ23:AJ23)</f>
        <v>0</v>
      </c>
      <c r="AK25" s="45">
        <f>SUM(AK23:AK23)</f>
        <v>0</v>
      </c>
      <c r="AL25" s="44"/>
      <c r="AM25" s="44"/>
      <c r="AN25" s="44"/>
      <c r="AO25" s="44"/>
      <c r="AP25" s="44"/>
      <c r="AQ25" s="44"/>
      <c r="AR25" s="44"/>
      <c r="AS25" s="16"/>
    </row>
    <row r="26" spans="1:70">
      <c r="A26" s="16"/>
      <c r="B26" s="27"/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</row>
  </sheetData>
  <mergeCells count="3">
    <mergeCell ref="B19:G19"/>
    <mergeCell ref="A21:B21"/>
    <mergeCell ref="A1:AC1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R25"/>
  <sheetViews>
    <sheetView topLeftCell="AW16" workbookViewId="0">
      <selection activeCell="BC23" sqref="BC23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60" max="60" customWidth="true" width="12.5703125"/>
    <col min="61" max="61" customWidth="true" width="21.7109375"/>
    <col min="62" max="63" customWidth="true" width="30.5703125"/>
    <col min="64" max="64" bestFit="true" customWidth="true" width="8.1406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6"/>
      <c r="AS1" s="16"/>
    </row>
    <row r="2" spans="1:45" ht="18.75" thickBot="1">
      <c r="A2" s="139" t="s">
        <v>47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2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394</v>
      </c>
      <c r="C23" s="25" t="s">
        <v>57</v>
      </c>
      <c r="D23" s="25" t="s">
        <v>58</v>
      </c>
      <c r="E23" s="25" t="s">
        <v>58</v>
      </c>
      <c r="F23" s="26">
        <v>2</v>
      </c>
      <c r="G23" t="s" s="0">
        <v>244</v>
      </c>
      <c r="H23" s="26">
        <f>F23*G23</f>
        <v>2460</v>
      </c>
      <c r="I23" t="s" s="0">
        <v>245</v>
      </c>
      <c r="J23" s="26">
        <v>1.79</v>
      </c>
      <c r="K23" s="26">
        <v>2.5</v>
      </c>
      <c r="L23" s="26">
        <f>H23</f>
        <v>2460</v>
      </c>
      <c r="M23" s="26">
        <f>ROUND(L23*I23%,2)</f>
        <v>24.6</v>
      </c>
      <c r="N23" s="26">
        <f>H23-M23</f>
        <v>2435.4</v>
      </c>
      <c r="O23" s="26">
        <f>ROUND(N23*J23%,2)</f>
        <v>43.59</v>
      </c>
      <c r="P23" s="26">
        <f>ROUND(N23-O23,2)</f>
        <v>2391.81</v>
      </c>
      <c r="Q23" s="26">
        <f>ROUND(P23*K23%,2)</f>
        <v>59.8</v>
      </c>
      <c r="R23" s="26">
        <f>M23+O23+Q23</f>
        <v>127.99</v>
      </c>
      <c r="S23" s="26">
        <f>(H23-R23)</f>
        <v>2332.0100000000002</v>
      </c>
      <c r="T23" s="26" t="s">
        <v>146</v>
      </c>
      <c r="U23" s="26">
        <v>0.18</v>
      </c>
      <c r="V23" s="26">
        <f>IF(OR($C$21=1,$C$21=4),ROUND(((S23*U23)/2),2),0)</f>
        <v>0</v>
      </c>
      <c r="W23" s="26">
        <f>IF($C$21=1,ROUND(((S23*U23)/2),2),0)</f>
        <v>0</v>
      </c>
      <c r="X23" s="26">
        <f>IF($C$21=2,ROUND(((S23*U23)),2),0)</f>
        <v>419.76</v>
      </c>
      <c r="Y23" s="26">
        <f>IF($C$21=4,ROUND(((S23*U23)/2),2),0)</f>
        <v>0</v>
      </c>
      <c r="Z23" s="43">
        <v>0</v>
      </c>
      <c r="AA23" s="26">
        <f>IF($C21=3, 0, ROUND(S23*Z23, 2))</f>
        <v>0</v>
      </c>
      <c r="AB23" s="26">
        <f>V23+W23+X23+Y23+AA23</f>
        <v>419.76</v>
      </c>
      <c r="AC23" s="26">
        <f>IF($V21=1,S23+AB23,S23)</f>
        <v>2751.7700000000004</v>
      </c>
      <c r="AD23" s="26">
        <v>120</v>
      </c>
      <c r="AE23" s="26">
        <f>IF($P$21=1,(S23/$S$24)*$E$35,AD23/$AD$24*$E$35)</f>
        <v>0</v>
      </c>
      <c r="AF23" s="26"/>
      <c r="AG23" s="26">
        <f>IF($P$21=1,(S23/$S$24)*$E$37,AD23/$AD$24*$E$37)</f>
        <v>0</v>
      </c>
      <c r="AH23" s="26">
        <f>IF($P$21=1,(S23/$S$24)*$E$37,AD23/$AD$24*$E$37)</f>
        <v>0</v>
      </c>
      <c r="AI23" s="26">
        <f t="shared" ref="AI23" si="1">S23*$M$21</f>
        <v>2332.0100000000002</v>
      </c>
      <c r="AJ23" s="26">
        <f t="shared" ref="AJ23" si="2">IF($C$21=3,0,AG23+AH23)</f>
        <v>0</v>
      </c>
      <c r="AK23" s="26">
        <f t="shared" ref="AK23" si="3">IF($C$21=3,AE23+AG23+AH23,0)</f>
        <v>0</v>
      </c>
      <c r="AL23" s="26">
        <v>1</v>
      </c>
      <c r="AM23" s="26">
        <f t="shared" ref="AM23" si="4">F23/AL23</f>
        <v>2</v>
      </c>
      <c r="AN23" s="26">
        <f>AI23/AM23</f>
        <v>1166.0050000000001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1166.0050000000001</v>
      </c>
      <c r="AS23" s="48" t="s">
        <v>258</v>
      </c>
      <c r="AT23" s="48" t="s">
        <v>58</v>
      </c>
      <c r="AW23" s="48">
        <f>AM23</f>
        <v>2</v>
      </c>
      <c r="AX23" s="48">
        <f>AR23</f>
        <v>1166.0050000000001</v>
      </c>
      <c r="AY23" s="48">
        <f>AU23+AW23</f>
        <v>2</v>
      </c>
      <c r="AZ23" s="48">
        <f>ROUND(((AU23*AV23)+(AW23*AX23))/(AU23+AW23),5)</f>
        <v>1166.0050000000001</v>
      </c>
      <c r="BA23" s="50"/>
      <c r="BB23" s="50" t="s">
        <v>149</v>
      </c>
      <c r="BC23" s="80" t="s">
        <v>29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259</v>
      </c>
      <c r="BM23" t="s" s="0">
        <v>219</v>
      </c>
      <c r="BN23" t="s" s="0">
        <v>219</v>
      </c>
      <c r="BO23" s="48">
        <f>ROUND((((AW23*AZ23)+(BN23*BM23))/(AW23+BN23)),5)</f>
        <v>700.16750000000002</v>
      </c>
      <c r="BP23" s="53">
        <f>BN23+AW23</f>
        <v>8</v>
      </c>
      <c r="BQ23" s="54">
        <v>123562</v>
      </c>
      <c r="BR23" s="53"/>
    </row>
    <row r="24" spans="1:70" ht="15.75" thickBot="1">
      <c r="A24" s="16"/>
      <c r="B24" s="27"/>
      <c r="C24" s="27"/>
      <c r="D24" s="28" t="s">
        <v>87</v>
      </c>
      <c r="E24" s="28"/>
      <c r="F24" s="28"/>
      <c r="G24" s="29"/>
      <c r="H24" s="30">
        <f>SUM(H23:H23)</f>
        <v>2460</v>
      </c>
      <c r="I24" s="25"/>
      <c r="J24" s="25"/>
      <c r="K24" s="25"/>
      <c r="L24" s="25"/>
      <c r="M24" s="25"/>
      <c r="N24" s="25"/>
      <c r="O24" s="25"/>
      <c r="P24" s="25"/>
      <c r="Q24" s="25"/>
      <c r="R24" s="30">
        <f>SUM(R23:R23)</f>
        <v>127.99</v>
      </c>
      <c r="S24" s="39">
        <f>SUM(S23:S23)</f>
        <v>2332.0100000000002</v>
      </c>
      <c r="T24" s="30"/>
      <c r="U24" s="30"/>
      <c r="V24" s="40">
        <f>SUM(V23:V23)</f>
        <v>0</v>
      </c>
      <c r="W24" s="40">
        <f>SUM(W23:W23)</f>
        <v>0</v>
      </c>
      <c r="X24" s="40">
        <f>SUM(X23:X23)</f>
        <v>419.76</v>
      </c>
      <c r="Y24" s="40">
        <f>SUM(Y23:Y23)</f>
        <v>0</v>
      </c>
      <c r="Z24" s="40"/>
      <c r="AA24" s="40">
        <f>SUM(AA23:AA23)</f>
        <v>0</v>
      </c>
      <c r="AB24" s="30">
        <f>SUM(AB23:AB23)</f>
        <v>419.76</v>
      </c>
      <c r="AC24" s="44">
        <f>SUM(AC23:AC23)</f>
        <v>2751.7700000000004</v>
      </c>
      <c r="AD24" s="45">
        <f t="shared" ref="AD24:AE24" si="5">SUM(AD23:AD23)</f>
        <v>120</v>
      </c>
      <c r="AE24" s="45">
        <f t="shared" si="5"/>
        <v>0</v>
      </c>
      <c r="AF24" s="44"/>
      <c r="AG24" s="45">
        <f>SUM(AG23:AG23)</f>
        <v>0</v>
      </c>
      <c r="AH24" s="45">
        <f>SUM(AH23:AH23)</f>
        <v>0</v>
      </c>
      <c r="AI24" s="45">
        <f>SUM(AI23:AI23)</f>
        <v>2332.0100000000002</v>
      </c>
      <c r="AJ24" s="45">
        <f>SUM(AJ23:AJ23)</f>
        <v>0</v>
      </c>
      <c r="AK24" s="45">
        <f>SUM(AK23:AK23)</f>
        <v>0</v>
      </c>
      <c r="AL24" s="44"/>
      <c r="AM24" s="44"/>
      <c r="AN24" s="44"/>
      <c r="AO24" s="44"/>
      <c r="AP24" s="44"/>
      <c r="AQ24" s="44"/>
      <c r="AR24" s="44"/>
      <c r="AS24" s="16"/>
    </row>
    <row r="25" spans="1:70">
      <c r="A25" s="16"/>
      <c r="B25" s="27"/>
      <c r="C25" s="2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</row>
  </sheetData>
  <mergeCells count="3">
    <mergeCell ref="B19:G19"/>
    <mergeCell ref="A21:B21"/>
    <mergeCell ref="A1:AC1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R26"/>
  <sheetViews>
    <sheetView workbookViewId="0">
      <selection sqref="A1:XFD1048576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60" max="60" customWidth="true" width="12.5703125"/>
    <col min="61" max="61" customWidth="true" width="21.7109375"/>
    <col min="62" max="63" customWidth="true" width="30.5703125"/>
    <col min="64" max="64" bestFit="true" customWidth="true" width="8.1406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6"/>
      <c r="AS1" s="16"/>
    </row>
    <row r="2" spans="1:45" ht="18.75" thickBot="1">
      <c r="A2" s="138" t="s">
        <v>47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2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350</v>
      </c>
      <c r="C23" s="25" t="s">
        <v>57</v>
      </c>
      <c r="D23" s="25" t="s">
        <v>58</v>
      </c>
      <c r="E23" s="25" t="s">
        <v>58</v>
      </c>
      <c r="F23" s="26">
        <v>2</v>
      </c>
      <c r="G23" t="s" s="0">
        <v>244</v>
      </c>
      <c r="H23" s="26">
        <f>F23*G23</f>
        <v>2460</v>
      </c>
      <c r="I23" t="s" s="0">
        <v>245</v>
      </c>
      <c r="J23" s="26">
        <v>1.79</v>
      </c>
      <c r="K23" s="26">
        <v>2.5</v>
      </c>
      <c r="L23" s="26">
        <f>H23</f>
        <v>2460</v>
      </c>
      <c r="M23" s="26">
        <f>ROUND(L23*I23%,2)</f>
        <v>24.6</v>
      </c>
      <c r="N23" s="26">
        <f>H23-M23</f>
        <v>2435.4</v>
      </c>
      <c r="O23" s="26">
        <f>ROUND(N23*J23%,2)</f>
        <v>43.59</v>
      </c>
      <c r="P23" s="26">
        <f>ROUND(N23-O23,2)</f>
        <v>2391.81</v>
      </c>
      <c r="Q23" s="26">
        <f>ROUND(P23*K23%,2)</f>
        <v>59.8</v>
      </c>
      <c r="R23" s="26">
        <f>M23+O23+Q23</f>
        <v>127.99</v>
      </c>
      <c r="S23" s="26">
        <f>(H23-R23)</f>
        <v>2332.0100000000002</v>
      </c>
      <c r="T23" s="26" t="s">
        <v>146</v>
      </c>
      <c r="U23" s="26">
        <v>0.18</v>
      </c>
      <c r="V23" s="26">
        <f>IF(OR($C$21=1,$C$21=4),ROUND(((S23*U23)/2),2),0)</f>
        <v>0</v>
      </c>
      <c r="W23" s="26">
        <f>IF($C$21=1,ROUND(((S23*U23)/2),2),0)</f>
        <v>0</v>
      </c>
      <c r="X23" s="26">
        <f>IF($C$21=2,ROUND(((S23*U23)),2),0)</f>
        <v>419.76</v>
      </c>
      <c r="Y23" s="26">
        <f>IF($C$21=4,ROUND(((S23*U23)/2),2),0)</f>
        <v>0</v>
      </c>
      <c r="Z23" s="43">
        <v>0</v>
      </c>
      <c r="AA23" s="26">
        <f>IF($C21=3, 0, ROUND(S23*Z23, 2))</f>
        <v>0</v>
      </c>
      <c r="AB23" s="26">
        <f>V23+W23+X23+Y23+AA23</f>
        <v>419.76</v>
      </c>
      <c r="AC23" s="26">
        <f>IF($V21=1,S23+AB23,S23)</f>
        <v>2751.7700000000004</v>
      </c>
      <c r="AD23" s="26">
        <v>120</v>
      </c>
      <c r="AE23" s="26">
        <f>IF($P$21=1,(S23/$S$25)*$E$36,AD23/$AD$25*$E$36)</f>
        <v>0</v>
      </c>
      <c r="AF23" s="26"/>
      <c r="AG23" s="26">
        <f>IF($P$21=1,(S23/$S$25)*$E$38,AD23/$AD$25*$E$38)</f>
        <v>0</v>
      </c>
      <c r="AH23" s="26">
        <f>IF($P$21=1,(S23/$S$25)*$E$38,AD23/$AD$25*$E$38)</f>
        <v>0</v>
      </c>
      <c r="AI23" s="26">
        <f t="shared" ref="AI23:AI24" si="1">S23*$M$21</f>
        <v>2332.0100000000002</v>
      </c>
      <c r="AJ23" s="26">
        <f t="shared" ref="AJ23:AJ24" si="2">IF($C$21=3,0,AG23+AH23)</f>
        <v>0</v>
      </c>
      <c r="AK23" s="26">
        <f t="shared" ref="AK23:AK24" si="3">IF($C$21=3,AE23+AG23+AH23,0)</f>
        <v>0</v>
      </c>
      <c r="AL23" s="26">
        <v>1</v>
      </c>
      <c r="AM23" s="26">
        <f t="shared" ref="AM23:AM24" si="4">F23/AL23</f>
        <v>2</v>
      </c>
      <c r="AN23" s="26">
        <f>AI23/AM23</f>
        <v>1166.0050000000001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1166.0050000000001</v>
      </c>
      <c r="AS23" s="48" t="s">
        <v>347</v>
      </c>
      <c r="AT23" s="48" t="s">
        <v>58</v>
      </c>
      <c r="AU23" t="s" s="0">
        <v>219</v>
      </c>
      <c r="AV23" t="s" s="0">
        <v>468</v>
      </c>
      <c r="AW23" s="48">
        <f>AM23</f>
        <v>2</v>
      </c>
      <c r="AX23" s="48">
        <f>AR23</f>
        <v>1166.0050000000001</v>
      </c>
      <c r="AY23" s="48">
        <f>AU23+AW23</f>
        <v>2</v>
      </c>
      <c r="AZ23" s="48">
        <f>ROUND(((AU23*AV23)+(AW23*AX23))/(AU23+AW23),5)</f>
        <v>1166.0050000000001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348</v>
      </c>
      <c r="BM23" t="s" s="0">
        <v>470</v>
      </c>
      <c r="BN23" t="s" s="0">
        <v>404</v>
      </c>
      <c r="BO23" s="48">
        <f>ROUND((((AW23*AZ23)+(BN23*BM23))/(AW23+BN23)),5)</f>
        <v>700.16750000000002</v>
      </c>
      <c r="BP23" s="53">
        <f>BN23+AW23</f>
        <v>8</v>
      </c>
      <c r="BQ23" s="54">
        <v>123562</v>
      </c>
      <c r="BR23" s="53"/>
    </row>
    <row r="24" spans="1:70" ht="15.75" thickBot="1">
      <c r="A24" s="25">
        <v>2</v>
      </c>
      <c r="B24" s="25" t="s">
        <v>351</v>
      </c>
      <c r="C24" s="25" t="s">
        <v>57</v>
      </c>
      <c r="D24" s="25" t="s">
        <v>58</v>
      </c>
      <c r="E24" s="25" t="s">
        <v>58</v>
      </c>
      <c r="F24" s="26">
        <v>2</v>
      </c>
      <c r="G24" t="s" s="0">
        <v>251</v>
      </c>
      <c r="H24" s="26">
        <f>F24*G24</f>
        <v>506</v>
      </c>
      <c r="I24" t="s" s="0">
        <v>245</v>
      </c>
      <c r="J24" s="26">
        <v>1.79</v>
      </c>
      <c r="K24" s="26">
        <v>2.5</v>
      </c>
      <c r="L24" s="26">
        <f>H24</f>
        <v>506</v>
      </c>
      <c r="M24" s="26">
        <f>ROUND(L24*I24%,2)</f>
        <v>5.0599999999999996</v>
      </c>
      <c r="N24" s="26">
        <f>H24-M24</f>
        <v>500.94</v>
      </c>
      <c r="O24" s="26">
        <f>ROUND(N24*J24%,2)</f>
        <v>8.9700000000000006</v>
      </c>
      <c r="P24" s="26">
        <f>ROUND(N24-O24,2)</f>
        <v>491.97</v>
      </c>
      <c r="Q24" s="26">
        <f>ROUND(P24*K24%,2)</f>
        <v>12.3</v>
      </c>
      <c r="R24" s="26">
        <f>M24+O24+Q24</f>
        <v>26.330000000000002</v>
      </c>
      <c r="S24" s="26">
        <f>(H24-R24)</f>
        <v>479.67</v>
      </c>
      <c r="T24" s="26" t="s">
        <v>146</v>
      </c>
      <c r="U24" s="26">
        <v>0.18</v>
      </c>
      <c r="V24" s="26">
        <f>IF(OR($C$21=1,$C$21=4),ROUND(((S24*U24)/2),2),0)</f>
        <v>0</v>
      </c>
      <c r="W24" s="26">
        <f>IF($C$21=1,ROUND(((S24*U24)/2),2),0)</f>
        <v>0</v>
      </c>
      <c r="X24" s="26">
        <f>IF($C$21=2,ROUND(((S24*U24)),2),0)</f>
        <v>86.34</v>
      </c>
      <c r="Y24" s="26">
        <f>IF($C$21=4,ROUND(((S24*U24)/2),2),0)</f>
        <v>0</v>
      </c>
      <c r="Z24" s="43">
        <v>0</v>
      </c>
      <c r="AA24" s="26">
        <f>IF($C22=3, 0, ROUND(S24*Z24, 2))</f>
        <v>0</v>
      </c>
      <c r="AB24" s="26">
        <f>V24+W24+X24+Y24+AA24</f>
        <v>86.34</v>
      </c>
      <c r="AC24" s="26">
        <f>IF($V22=1,S24+AB24,S24)</f>
        <v>479.67</v>
      </c>
      <c r="AD24" s="26">
        <v>120</v>
      </c>
      <c r="AE24" s="26">
        <f>IF($P$21=1,(S24/$S$25)*$E$36,AD24/$AD$25*$E$36)</f>
        <v>0</v>
      </c>
      <c r="AF24" s="26"/>
      <c r="AG24" s="26">
        <f>IF($P$21=1,(S24/$S$25)*$E$38,AD24/$AD$25*$E$38)</f>
        <v>0</v>
      </c>
      <c r="AH24" s="26">
        <f>IF($P$21=1,(S24/$S$25)*$E$38,AD24/$AD$25*$E$38)</f>
        <v>0</v>
      </c>
      <c r="AI24" s="26">
        <f t="shared" si="1"/>
        <v>479.67</v>
      </c>
      <c r="AJ24" s="26">
        <f t="shared" si="2"/>
        <v>0</v>
      </c>
      <c r="AK24" s="26">
        <f t="shared" si="3"/>
        <v>0</v>
      </c>
      <c r="AL24" s="26">
        <v>1</v>
      </c>
      <c r="AM24" s="26">
        <f t="shared" si="4"/>
        <v>2</v>
      </c>
      <c r="AN24" s="26">
        <f>AI24/AM24</f>
        <v>239.83500000000001</v>
      </c>
      <c r="AO24" s="26">
        <f>AJ24/AM24</f>
        <v>0</v>
      </c>
      <c r="AP24" s="26">
        <f>AK24/AM24</f>
        <v>0</v>
      </c>
      <c r="AQ24" s="26" t="s">
        <v>58</v>
      </c>
      <c r="AR24" s="26">
        <f>AN24+AO24+AP24</f>
        <v>239.83500000000001</v>
      </c>
      <c r="AS24" s="48" t="s">
        <v>347</v>
      </c>
      <c r="AT24" s="48" t="s">
        <v>58</v>
      </c>
      <c r="AU24" t="s" s="0">
        <v>219</v>
      </c>
      <c r="AV24" t="s" s="0">
        <v>469</v>
      </c>
      <c r="AW24" s="48">
        <f>AM24</f>
        <v>2</v>
      </c>
      <c r="AX24" s="48">
        <f>AR24</f>
        <v>239.83500000000001</v>
      </c>
      <c r="AY24" s="48">
        <f>AU24+AW24</f>
        <v>2</v>
      </c>
      <c r="AZ24" s="48">
        <f>ROUND(((AU24*AV24)+(AW24*AX24))/(AU24+AW24),5)</f>
        <v>239.83500000000001</v>
      </c>
      <c r="BA24" s="50"/>
      <c r="BB24" s="50" t="s">
        <v>149</v>
      </c>
      <c r="BC24" s="80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48" t="s">
        <v>348</v>
      </c>
      <c r="BM24" t="s" s="0">
        <v>472</v>
      </c>
      <c r="BN24" t="s" s="0">
        <v>471</v>
      </c>
      <c r="BO24" s="48">
        <f>ROUND((((AW24*AZ24)+(BN24*BM24))/(AW24+BN24)),5)</f>
        <v>169.916</v>
      </c>
      <c r="BP24" s="53">
        <f>BN24+AW24</f>
        <v>10</v>
      </c>
      <c r="BQ24" s="54">
        <v>123562</v>
      </c>
      <c r="BR24" s="53"/>
    </row>
    <row r="25" spans="1:70" ht="15.75" thickBot="1">
      <c r="A25" s="16"/>
      <c r="B25" s="27"/>
      <c r="C25" s="27"/>
      <c r="D25" s="28" t="s">
        <v>87</v>
      </c>
      <c r="E25" s="28"/>
      <c r="F25" s="28"/>
      <c r="G25" s="29"/>
      <c r="H25" s="30">
        <f>SUM(H23:H24)</f>
        <v>2966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154.32</v>
      </c>
      <c r="S25" s="39">
        <f>SUM(S23:S24)</f>
        <v>2811.6800000000003</v>
      </c>
      <c r="T25" s="30"/>
      <c r="U25" s="30"/>
      <c r="V25" s="40">
        <f>SUM(V23:V24)</f>
        <v>0</v>
      </c>
      <c r="W25" s="40">
        <f>SUM(W23:W24)</f>
        <v>0</v>
      </c>
      <c r="X25" s="40">
        <f>SUM(X23:X24)</f>
        <v>506.1</v>
      </c>
      <c r="Y25" s="40">
        <f>SUM(Y23:Y24)</f>
        <v>0</v>
      </c>
      <c r="Z25" s="40"/>
      <c r="AA25" s="40">
        <f>SUM(AA23:AA24)</f>
        <v>0</v>
      </c>
      <c r="AB25" s="30">
        <f>SUM(AB23:AB24)</f>
        <v>506.1</v>
      </c>
      <c r="AC25" s="44">
        <f>SUM(AC23:AC24)</f>
        <v>3231.4400000000005</v>
      </c>
      <c r="AD25" s="45">
        <f t="shared" ref="AD25:AE25" si="5">SUM(AD23:AD23)</f>
        <v>120</v>
      </c>
      <c r="AE25" s="45">
        <f t="shared" si="5"/>
        <v>0</v>
      </c>
      <c r="AF25" s="44"/>
      <c r="AG25" s="45">
        <f>SUM(AG23:AG23)</f>
        <v>0</v>
      </c>
      <c r="AH25" s="45">
        <f>SUM(AH23:AH23)</f>
        <v>0</v>
      </c>
      <c r="AI25" s="45">
        <f>SUM(AI23:AI24)</f>
        <v>2811.6800000000003</v>
      </c>
      <c r="AJ25" s="45">
        <f>SUM(AJ23:AJ23)</f>
        <v>0</v>
      </c>
      <c r="AK25" s="45">
        <f>SUM(AK23:AK23)</f>
        <v>0</v>
      </c>
      <c r="AL25" s="44"/>
      <c r="AM25" s="44"/>
      <c r="AN25" s="44"/>
      <c r="AO25" s="44"/>
      <c r="AP25" s="44"/>
      <c r="AQ25" s="44"/>
      <c r="AR25" s="44"/>
      <c r="AS25" s="16"/>
    </row>
    <row r="26" spans="1:70">
      <c r="A26" s="16"/>
      <c r="B26" s="27"/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R26"/>
  <sheetViews>
    <sheetView topLeftCell="A13" workbookViewId="0">
      <selection activeCell="D23" sqref="D23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60" max="60" customWidth="true" width="12.5703125"/>
    <col min="61" max="61" customWidth="true" width="21.7109375"/>
    <col min="62" max="63" customWidth="true" width="30.5703125"/>
    <col min="64" max="64" bestFit="true" customWidth="true" width="8.1406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6"/>
      <c r="AS1" s="16"/>
    </row>
    <row r="2" spans="1:45" ht="18.75" thickBot="1">
      <c r="A2" s="142" t="s">
        <v>47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2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358</v>
      </c>
      <c r="C23" s="25" t="s">
        <v>57</v>
      </c>
      <c r="D23" s="25" t="s">
        <v>58</v>
      </c>
      <c r="E23" s="25" t="s">
        <v>58</v>
      </c>
      <c r="F23" s="26">
        <v>2</v>
      </c>
      <c r="G23" t="s" s="0">
        <v>354</v>
      </c>
      <c r="H23" s="26">
        <f>F23*G23</f>
        <v>2460</v>
      </c>
      <c r="I23" t="s" s="0">
        <v>329</v>
      </c>
      <c r="J23" s="26">
        <v>1.79</v>
      </c>
      <c r="K23" s="26">
        <v>2.5</v>
      </c>
      <c r="L23" s="26">
        <f>H23</f>
        <v>2460</v>
      </c>
      <c r="M23" s="26">
        <f>ROUND(L23*I23%,2)</f>
        <v>24.6</v>
      </c>
      <c r="N23" s="26">
        <f>H23-M23</f>
        <v>2435.4</v>
      </c>
      <c r="O23" s="26">
        <f>ROUND(N23*J23%,2)</f>
        <v>43.59</v>
      </c>
      <c r="P23" s="26">
        <f>ROUND(N23-O23,2)</f>
        <v>2391.81</v>
      </c>
      <c r="Q23" s="26">
        <f>ROUND(P23*K23%,2)</f>
        <v>59.8</v>
      </c>
      <c r="R23" s="26">
        <f>M23+O23+Q23</f>
        <v>127.99</v>
      </c>
      <c r="S23" s="26">
        <f>(H23-R23)</f>
        <v>2332.0100000000002</v>
      </c>
      <c r="T23" s="26" t="s">
        <v>146</v>
      </c>
      <c r="U23" s="26">
        <v>0.18</v>
      </c>
      <c r="V23" s="26">
        <f>IF(OR($C$21=1,$C$21=4),ROUND(((S23*U23)/2),2),0)</f>
        <v>0</v>
      </c>
      <c r="W23" s="26">
        <f>IF($C$21=1,ROUND(((S23*U23)/2),2),0)</f>
        <v>0</v>
      </c>
      <c r="X23" s="26">
        <f>IF($C$21=2,ROUND(((S23*U23)),2),0)</f>
        <v>419.76</v>
      </c>
      <c r="Y23" s="26">
        <f>IF($C$21=4,ROUND(((S23*U23)/2),2),0)</f>
        <v>0</v>
      </c>
      <c r="Z23" s="43">
        <v>0</v>
      </c>
      <c r="AA23" s="26">
        <f>IF($C21=3, 0, ROUND(S23*Z23, 2))</f>
        <v>0</v>
      </c>
      <c r="AB23" s="26">
        <f>V23+W23+X23+Y23+AA23</f>
        <v>419.76</v>
      </c>
      <c r="AC23" s="26">
        <f>IF($V21=1,S23+AB23,S23)</f>
        <v>2751.7700000000004</v>
      </c>
      <c r="AD23" s="26">
        <v>120</v>
      </c>
      <c r="AE23" s="26">
        <f>IF($P$21=1,(S23/$S$25)*$E$36,AD23/$AD$25*$E$36)</f>
        <v>0</v>
      </c>
      <c r="AF23" s="26"/>
      <c r="AG23" s="26">
        <f>IF($P$21=1,(S23/$S$25)*$E$38,AD23/$AD$25*$E$38)</f>
        <v>0</v>
      </c>
      <c r="AH23" s="26">
        <f>IF($P$21=1,(S23/$S$25)*$E$38,AD23/$AD$25*$E$38)</f>
        <v>0</v>
      </c>
      <c r="AI23" s="26">
        <f t="shared" ref="AI23:AI24" si="1">S23*$M$21</f>
        <v>2332.0100000000002</v>
      </c>
      <c r="AJ23" s="26">
        <f t="shared" ref="AJ23:AJ24" si="2">IF($C$21=3,0,AG23+AH23)</f>
        <v>0</v>
      </c>
      <c r="AK23" s="26">
        <f t="shared" ref="AK23:AK24" si="3">IF($C$21=3,AE23+AG23+AH23,0)</f>
        <v>0</v>
      </c>
      <c r="AL23" s="26">
        <v>1</v>
      </c>
      <c r="AM23" s="26">
        <f t="shared" ref="AM23:AM24" si="4">F23/AL23</f>
        <v>2</v>
      </c>
      <c r="AN23" s="26">
        <f>AI23/AM23</f>
        <v>1166.0050000000001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1166.0050000000001</v>
      </c>
      <c r="AS23" s="48" t="s">
        <v>347</v>
      </c>
      <c r="AT23" s="48" t="s">
        <v>58</v>
      </c>
      <c r="AU23" t="s" s="0">
        <v>219</v>
      </c>
      <c r="AV23" t="s" s="0">
        <v>468</v>
      </c>
      <c r="AW23" s="48">
        <f>AM23</f>
        <v>2</v>
      </c>
      <c r="AX23" s="48">
        <f>AR23</f>
        <v>1166.0050000000001</v>
      </c>
      <c r="AY23" s="48">
        <f>AU23+AW23</f>
        <v>2</v>
      </c>
      <c r="AZ23" s="48">
        <f>ROUND(((AU23*AV23)+(AW23*AX23))/(AU23+AW23),5)</f>
        <v>1166.0050000000001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348</v>
      </c>
      <c r="BM23" t="s" s="0">
        <v>470</v>
      </c>
      <c r="BN23" t="s" s="0">
        <v>404</v>
      </c>
      <c r="BO23" s="48">
        <f>ROUND((((AW23*AZ23)+(BN23*BM23))/(AW23+BN23)),5)</f>
        <v>700.16750000000002</v>
      </c>
      <c r="BP23" s="53">
        <f>BN23+AW23</f>
        <v>8</v>
      </c>
      <c r="BQ23" s="54">
        <v>123562</v>
      </c>
      <c r="BR23" s="53"/>
    </row>
    <row r="24" spans="1:70" ht="15.75" thickBot="1">
      <c r="A24" s="25">
        <v>2</v>
      </c>
      <c r="B24" s="25" t="s">
        <v>359</v>
      </c>
      <c r="C24" s="25" t="s">
        <v>57</v>
      </c>
      <c r="D24" s="25" t="s">
        <v>58</v>
      </c>
      <c r="E24" s="25" t="s">
        <v>58</v>
      </c>
      <c r="F24" s="26">
        <v>2</v>
      </c>
      <c r="G24" t="s" s="0">
        <v>360</v>
      </c>
      <c r="H24" s="26">
        <f>F24*G24</f>
        <v>506</v>
      </c>
      <c r="I24" t="s" s="0">
        <v>342</v>
      </c>
      <c r="J24" s="26">
        <v>1.79</v>
      </c>
      <c r="K24" s="26">
        <v>2.5</v>
      </c>
      <c r="L24" s="26">
        <f>H24</f>
        <v>506</v>
      </c>
      <c r="M24" s="26">
        <f>ROUND(L24*I24%,2)</f>
        <v>5.0599999999999996</v>
      </c>
      <c r="N24" s="26">
        <f>H24-M24</f>
        <v>500.94</v>
      </c>
      <c r="O24" s="26">
        <f>ROUND(N24*J24%,2)</f>
        <v>8.9700000000000006</v>
      </c>
      <c r="P24" s="26">
        <f>ROUND(N24-O24,2)</f>
        <v>491.97</v>
      </c>
      <c r="Q24" s="26">
        <f>ROUND(P24*K24%,2)</f>
        <v>12.3</v>
      </c>
      <c r="R24" s="26">
        <f>M24+O24+Q24</f>
        <v>26.330000000000002</v>
      </c>
      <c r="S24" s="26">
        <f>(H24-R24)</f>
        <v>479.67</v>
      </c>
      <c r="T24" s="26" t="s">
        <v>146</v>
      </c>
      <c r="U24" s="26">
        <v>0.18</v>
      </c>
      <c r="V24" s="26">
        <f>IF(OR($C$21=1,$C$21=4),ROUND(((S24*U24)/2),2),0)</f>
        <v>0</v>
      </c>
      <c r="W24" s="26">
        <f>IF($C$21=1,ROUND(((S24*U24)/2),2),0)</f>
        <v>0</v>
      </c>
      <c r="X24" s="26">
        <f>IF($C$21=2,ROUND(((S24*U24)),2),0)</f>
        <v>86.34</v>
      </c>
      <c r="Y24" s="26">
        <f>IF($C$21=4,ROUND(((S24*U24)/2),2),0)</f>
        <v>0</v>
      </c>
      <c r="Z24" s="43">
        <v>0</v>
      </c>
      <c r="AA24" s="26">
        <f>IF($C22=3, 0, ROUND(S24*Z24, 2))</f>
        <v>0</v>
      </c>
      <c r="AB24" s="26">
        <f>V24+W24+X24+Y24+AA24</f>
        <v>86.34</v>
      </c>
      <c r="AC24" s="26">
        <f>IF($V22=1,S24+AB24,S24)</f>
        <v>479.67</v>
      </c>
      <c r="AD24" s="26">
        <v>120</v>
      </c>
      <c r="AE24" s="26">
        <f>IF($P$21=1,(S24/$S$25)*$E$36,AD24/$AD$25*$E$36)</f>
        <v>0</v>
      </c>
      <c r="AF24" s="26"/>
      <c r="AG24" s="26">
        <f>IF($P$21=1,(S24/$S$25)*$E$38,AD24/$AD$25*$E$38)</f>
        <v>0</v>
      </c>
      <c r="AH24" s="26">
        <f>IF($P$21=1,(S24/$S$25)*$E$38,AD24/$AD$25*$E$38)</f>
        <v>0</v>
      </c>
      <c r="AI24" s="26">
        <f t="shared" si="1"/>
        <v>479.67</v>
      </c>
      <c r="AJ24" s="26">
        <f t="shared" si="2"/>
        <v>0</v>
      </c>
      <c r="AK24" s="26">
        <f t="shared" si="3"/>
        <v>0</v>
      </c>
      <c r="AL24" s="26">
        <v>1</v>
      </c>
      <c r="AM24" s="26">
        <f t="shared" si="4"/>
        <v>2</v>
      </c>
      <c r="AN24" s="26">
        <f>AI24/AM24</f>
        <v>239.83500000000001</v>
      </c>
      <c r="AO24" s="26">
        <f>AJ24/AM24</f>
        <v>0</v>
      </c>
      <c r="AP24" s="26">
        <f>AK24/AM24</f>
        <v>0</v>
      </c>
      <c r="AQ24" s="26" t="s">
        <v>58</v>
      </c>
      <c r="AR24" s="26">
        <f>AN24+AO24+AP24</f>
        <v>239.83500000000001</v>
      </c>
      <c r="AS24" s="48" t="s">
        <v>347</v>
      </c>
      <c r="AT24" s="48" t="s">
        <v>58</v>
      </c>
      <c r="AU24" t="s" s="0">
        <v>219</v>
      </c>
      <c r="AV24" t="s" s="0">
        <v>469</v>
      </c>
      <c r="AW24" s="48">
        <f>AM24</f>
        <v>2</v>
      </c>
      <c r="AX24" s="48">
        <f>AR24</f>
        <v>239.83500000000001</v>
      </c>
      <c r="AY24" s="48">
        <f>AU24+AW24</f>
        <v>2</v>
      </c>
      <c r="AZ24" s="48">
        <f>ROUND(((AU24*AV24)+(AW24*AX24))/(AU24+AW24),5)</f>
        <v>239.83500000000001</v>
      </c>
      <c r="BA24" s="50"/>
      <c r="BB24" s="50" t="s">
        <v>149</v>
      </c>
      <c r="BC24" s="80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48" t="s">
        <v>348</v>
      </c>
      <c r="BM24" t="s" s="0">
        <v>472</v>
      </c>
      <c r="BN24" t="s" s="0">
        <v>471</v>
      </c>
      <c r="BO24" s="48">
        <f>ROUND((((AW24*AZ24)+(BN24*BM24))/(AW24+BN24)),5)</f>
        <v>169.916</v>
      </c>
      <c r="BP24" s="53">
        <f>BN24+AW24</f>
        <v>10</v>
      </c>
      <c r="BQ24" s="54">
        <v>123562</v>
      </c>
      <c r="BR24" s="53"/>
    </row>
    <row r="25" spans="1:70" ht="15.75" thickBot="1">
      <c r="A25" s="16"/>
      <c r="B25" s="27"/>
      <c r="C25" s="27"/>
      <c r="D25" s="28" t="s">
        <v>87</v>
      </c>
      <c r="E25" s="28"/>
      <c r="F25" s="28"/>
      <c r="G25" s="29"/>
      <c r="H25" s="30">
        <f>SUM(H23:H24)</f>
        <v>2966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154.32</v>
      </c>
      <c r="S25" s="39">
        <f>SUM(S23:S24)</f>
        <v>2811.6800000000003</v>
      </c>
      <c r="T25" s="30"/>
      <c r="U25" s="30"/>
      <c r="V25" s="40">
        <f>SUM(V23:V24)</f>
        <v>0</v>
      </c>
      <c r="W25" s="40">
        <f>SUM(W23:W24)</f>
        <v>0</v>
      </c>
      <c r="X25" s="40">
        <f>SUM(X23:X24)</f>
        <v>506.1</v>
      </c>
      <c r="Y25" s="40">
        <f>SUM(Y23:Y24)</f>
        <v>0</v>
      </c>
      <c r="Z25" s="40"/>
      <c r="AA25" s="40">
        <f>SUM(AA23:AA24)</f>
        <v>0</v>
      </c>
      <c r="AB25" s="30">
        <f>SUM(AB23:AB24)</f>
        <v>506.1</v>
      </c>
      <c r="AC25" s="44">
        <f>SUM(AC23:AC24)</f>
        <v>3231.4400000000005</v>
      </c>
      <c r="AD25" s="45">
        <f t="shared" ref="AD25:AE25" si="5">SUM(AD23:AD23)</f>
        <v>120</v>
      </c>
      <c r="AE25" s="45">
        <f t="shared" si="5"/>
        <v>0</v>
      </c>
      <c r="AF25" s="44"/>
      <c r="AG25" s="45">
        <f>SUM(AG23:AG23)</f>
        <v>0</v>
      </c>
      <c r="AH25" s="45">
        <f>SUM(AH23:AH23)</f>
        <v>0</v>
      </c>
      <c r="AI25" s="45">
        <f>SUM(AI23:AI24)</f>
        <v>2811.6800000000003</v>
      </c>
      <c r="AJ25" s="45">
        <f>SUM(AJ23:AJ23)</f>
        <v>0</v>
      </c>
      <c r="AK25" s="45">
        <f>SUM(AK23:AK23)</f>
        <v>0</v>
      </c>
      <c r="AL25" s="44"/>
      <c r="AM25" s="44"/>
      <c r="AN25" s="44"/>
      <c r="AO25" s="44"/>
      <c r="AP25" s="44"/>
      <c r="AQ25" s="44"/>
      <c r="AR25" s="44"/>
      <c r="AS25" s="16"/>
    </row>
    <row r="26" spans="1:70">
      <c r="A26" s="16"/>
      <c r="B26" s="27"/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R25"/>
  <sheetViews>
    <sheetView topLeftCell="AP13" workbookViewId="0">
      <selection activeCell="AZ23" sqref="AZ23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60" max="60" customWidth="true" width="12.5703125"/>
    <col min="61" max="61" customWidth="true" width="21.7109375"/>
    <col min="62" max="63" customWidth="true" width="30.5703125"/>
    <col min="64" max="64" bestFit="true" customWidth="true" width="8.1406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6"/>
      <c r="AS1" s="16"/>
    </row>
    <row r="2" spans="1:45" ht="18.75" thickBot="1">
      <c r="A2" s="118" t="s">
        <v>47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1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265</v>
      </c>
      <c r="C23" s="25" t="s">
        <v>57</v>
      </c>
      <c r="D23" s="25" t="s">
        <v>58</v>
      </c>
      <c r="E23" s="25" t="s">
        <v>58</v>
      </c>
      <c r="F23" s="26">
        <v>2</v>
      </c>
      <c r="G23" t="s" s="0">
        <v>429</v>
      </c>
      <c r="H23" s="26">
        <f>F23*G23</f>
        <v>500</v>
      </c>
      <c r="I23" t="s" s="0">
        <v>430</v>
      </c>
      <c r="J23" s="26">
        <v>1.79</v>
      </c>
      <c r="K23" s="26">
        <v>2.5</v>
      </c>
      <c r="L23" s="26">
        <f>H23</f>
        <v>500</v>
      </c>
      <c r="M23" s="26">
        <f>ROUND(L23*I23%,2)</f>
        <v>10</v>
      </c>
      <c r="N23" s="26">
        <f>H23-M23</f>
        <v>490</v>
      </c>
      <c r="O23" s="26">
        <f>ROUND(N23*J23%,2)</f>
        <v>8.77</v>
      </c>
      <c r="P23" s="26">
        <f>ROUND(N23-O23,2)</f>
        <v>481.23</v>
      </c>
      <c r="Q23" s="26">
        <f>ROUND(P23*K23%,2)</f>
        <v>12.03</v>
      </c>
      <c r="R23" s="26">
        <f>M23+O23+Q23</f>
        <v>30.799999999999997</v>
      </c>
      <c r="S23" s="26">
        <f>(H23-R23)</f>
        <v>469.2</v>
      </c>
      <c r="T23" s="26" t="s">
        <v>146</v>
      </c>
      <c r="U23" s="26">
        <v>0.18</v>
      </c>
      <c r="V23" s="26">
        <f>IF(OR($C$21=1,$C$21=4),ROUND(((S23*U23)/2),2),0)</f>
        <v>42.23</v>
      </c>
      <c r="W23" s="26">
        <f>IF($C$21=1,ROUND(((S23*U23)/2),2),0)</f>
        <v>42.23</v>
      </c>
      <c r="X23" s="26">
        <f>IF($C$21=2,ROUND(((S23*U23)),2),0)</f>
        <v>0</v>
      </c>
      <c r="Y23" s="26">
        <f>IF($C$21=4,ROUND(((S23*U23)/2),2),0)</f>
        <v>0</v>
      </c>
      <c r="Z23" s="43">
        <v>0</v>
      </c>
      <c r="AA23" s="26">
        <f>IF($C21=3, 0, ROUND(S23*Z23, 2))</f>
        <v>0</v>
      </c>
      <c r="AB23" s="26">
        <f>V23+W23+X23+Y23+AA23</f>
        <v>84.46</v>
      </c>
      <c r="AC23" s="26">
        <f>IF($V21=1,S23+AB23,S23)</f>
        <v>553.66</v>
      </c>
      <c r="AD23" s="26">
        <v>120</v>
      </c>
      <c r="AE23" s="26">
        <f>IF($P$21=1,(S23/$S$24)*$E$35,AD23/$AD$24*$E$35)</f>
        <v>0</v>
      </c>
      <c r="AF23" s="26"/>
      <c r="AG23" s="26">
        <f>IF($P$21=1,(S23/$S$24)*$E$37,AD23/$AD$24*$E$37)</f>
        <v>0</v>
      </c>
      <c r="AH23" s="26">
        <f>IF($P$21=1,(S23/$S$24)*$E$37,AD23/$AD$24*$E$37)</f>
        <v>0</v>
      </c>
      <c r="AI23" s="26">
        <f t="shared" ref="AI23" si="1">S23*$M$21</f>
        <v>469.2</v>
      </c>
      <c r="AJ23" s="26">
        <f t="shared" ref="AJ23" si="2">IF($C$21=3,0,AG23+AH23)</f>
        <v>0</v>
      </c>
      <c r="AK23" s="26">
        <f t="shared" ref="AK23" si="3">IF($C$21=3,AE23+AG23+AH23,0)</f>
        <v>0</v>
      </c>
      <c r="AL23" s="26">
        <v>1</v>
      </c>
      <c r="AM23" s="26">
        <f t="shared" ref="AM23" si="4">F23/AL23</f>
        <v>2</v>
      </c>
      <c r="AN23" s="26">
        <f>AI23/AM23</f>
        <v>234.6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234.6</v>
      </c>
      <c r="AS23" s="48" t="s">
        <v>217</v>
      </c>
      <c r="AT23" s="48" t="s">
        <v>58</v>
      </c>
      <c r="AU23" t="s" s="0">
        <v>224</v>
      </c>
      <c r="AV23" t="s" s="0">
        <v>420</v>
      </c>
      <c r="AW23" s="48">
        <f>AM23</f>
        <v>2</v>
      </c>
      <c r="AX23" s="48">
        <f>AR23</f>
        <v>234.6</v>
      </c>
      <c r="AY23" s="48">
        <f>AU23+AW23</f>
        <v>4</v>
      </c>
      <c r="AZ23" s="48">
        <f>ROUND(((AU23*AV23)+(AW23*AX23))/(AU23+AW23),5)</f>
        <v>282.79313000000002</v>
      </c>
      <c r="BA23" s="50"/>
      <c r="BB23" s="50" t="s">
        <v>149</v>
      </c>
      <c r="BC23" s="80" t="s">
        <v>29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31</v>
      </c>
      <c r="BM23" t="s" s="0">
        <v>422</v>
      </c>
      <c r="BN23" t="s" s="0">
        <v>421</v>
      </c>
      <c r="BO23" s="48">
        <f>ROUND((((AW23*AZ23)+(BN23*BM23))/(AW23+BN23)),5)</f>
        <v>270.24205999999998</v>
      </c>
      <c r="BP23" s="53">
        <f>BN23+AW23</f>
        <v>26</v>
      </c>
      <c r="BQ23" s="54">
        <v>123562</v>
      </c>
      <c r="BR23" s="53"/>
    </row>
    <row r="24" spans="1:70" ht="15.75" thickBot="1">
      <c r="A24" s="16"/>
      <c r="B24" s="27"/>
      <c r="C24" s="27"/>
      <c r="D24" s="28" t="s">
        <v>87</v>
      </c>
      <c r="E24" s="28"/>
      <c r="F24" s="28"/>
      <c r="G24" s="29"/>
      <c r="H24" s="30">
        <f>SUM(H23:H23)</f>
        <v>500</v>
      </c>
      <c r="I24" s="25"/>
      <c r="J24" s="25"/>
      <c r="K24" s="25"/>
      <c r="L24" s="25"/>
      <c r="M24" s="25"/>
      <c r="N24" s="25"/>
      <c r="O24" s="25"/>
      <c r="P24" s="25"/>
      <c r="Q24" s="25"/>
      <c r="R24" s="30">
        <f>SUM(R23:R23)</f>
        <v>30.799999999999997</v>
      </c>
      <c r="S24" s="39">
        <f>SUM(S23:S23)</f>
        <v>469.2</v>
      </c>
      <c r="T24" s="30"/>
      <c r="U24" s="30"/>
      <c r="V24" s="40">
        <f>SUM(V23:V23)</f>
        <v>42.23</v>
      </c>
      <c r="W24" s="40">
        <f>SUM(W23:W23)</f>
        <v>42.23</v>
      </c>
      <c r="X24" s="40">
        <f>SUM(X23:X23)</f>
        <v>0</v>
      </c>
      <c r="Y24" s="40">
        <f>SUM(Y23:Y23)</f>
        <v>0</v>
      </c>
      <c r="Z24" s="40"/>
      <c r="AA24" s="40">
        <f>SUM(AA23:AA23)</f>
        <v>0</v>
      </c>
      <c r="AB24" s="30">
        <f>SUM(AB23:AB23)</f>
        <v>84.46</v>
      </c>
      <c r="AC24" s="44">
        <f>SUM(AC23:AC23)</f>
        <v>553.66</v>
      </c>
      <c r="AD24" s="45">
        <f t="shared" ref="AD24:AE24" si="5">SUM(AD23:AD23)</f>
        <v>120</v>
      </c>
      <c r="AE24" s="45">
        <f t="shared" si="5"/>
        <v>0</v>
      </c>
      <c r="AF24" s="44"/>
      <c r="AG24" s="45">
        <f>SUM(AG23:AG23)</f>
        <v>0</v>
      </c>
      <c r="AH24" s="45">
        <f>SUM(AH23:AH23)</f>
        <v>0</v>
      </c>
      <c r="AI24" s="45">
        <f>SUM(AI23:AI23)</f>
        <v>469.2</v>
      </c>
      <c r="AJ24" s="45">
        <f>SUM(AJ23:AJ23)</f>
        <v>0</v>
      </c>
      <c r="AK24" s="45">
        <f>SUM(AK23:AK23)</f>
        <v>0</v>
      </c>
      <c r="AL24" s="44"/>
      <c r="AM24" s="44"/>
      <c r="AN24" s="44"/>
      <c r="AO24" s="44"/>
      <c r="AP24" s="44"/>
      <c r="AQ24" s="44"/>
      <c r="AR24" s="44"/>
      <c r="AS24" s="16"/>
    </row>
    <row r="25" spans="1:70">
      <c r="A25" s="16"/>
      <c r="B25" s="27"/>
      <c r="C25" s="2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R26"/>
  <sheetViews>
    <sheetView workbookViewId="0">
      <selection sqref="A1:XFD1048576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60" max="60" customWidth="true" width="12.5703125"/>
    <col min="61" max="61" customWidth="true" width="21.7109375"/>
    <col min="62" max="63" customWidth="true" width="30.5703125"/>
    <col min="64" max="64" bestFit="true" customWidth="true" width="8.1406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6"/>
      <c r="AS1" s="16"/>
    </row>
    <row r="2" spans="1:45" ht="18.75" thickBot="1">
      <c r="A2" s="119" t="s">
        <v>47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2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266</v>
      </c>
      <c r="C23" s="25" t="s">
        <v>57</v>
      </c>
      <c r="D23" s="25" t="s">
        <v>58</v>
      </c>
      <c r="E23" s="25" t="s">
        <v>58</v>
      </c>
      <c r="F23" s="26">
        <v>2</v>
      </c>
      <c r="G23" t="s" s="0">
        <v>432</v>
      </c>
      <c r="H23" s="26">
        <f>F23*G23</f>
        <v>2460</v>
      </c>
      <c r="I23" t="s" s="0">
        <v>245</v>
      </c>
      <c r="J23" s="26">
        <v>1.79</v>
      </c>
      <c r="K23" s="26">
        <v>2.5</v>
      </c>
      <c r="L23" s="26">
        <f>H23</f>
        <v>2460</v>
      </c>
      <c r="M23" s="26">
        <f>ROUND(L23*I23%,2)</f>
        <v>51.66</v>
      </c>
      <c r="N23" s="26">
        <f>H23-M23</f>
        <v>2408.34</v>
      </c>
      <c r="O23" s="26">
        <f>ROUND(N23*J23%,2)</f>
        <v>43.11</v>
      </c>
      <c r="P23" s="26">
        <f>ROUND(N23-O23,2)</f>
        <v>2365.23</v>
      </c>
      <c r="Q23" s="26">
        <f>ROUND(P23*K23%,2)</f>
        <v>59.13</v>
      </c>
      <c r="R23" s="26">
        <f>M23+O23+Q23</f>
        <v>153.9</v>
      </c>
      <c r="S23" s="26">
        <f>(H23-R23)</f>
        <v>2306.1</v>
      </c>
      <c r="T23" s="26" t="s">
        <v>146</v>
      </c>
      <c r="U23" s="26">
        <v>0.18</v>
      </c>
      <c r="V23" s="26">
        <f>IF(OR($C$21=1,$C$21=4),ROUND(((S23*U23)/2),2),0)</f>
        <v>0</v>
      </c>
      <c r="W23" s="26">
        <f>IF($C$21=1,ROUND(((S23*U23)/2),2),0)</f>
        <v>0</v>
      </c>
      <c r="X23" s="26">
        <f>IF($C$21=2,ROUND(((S23*U23)),2),0)</f>
        <v>415.1</v>
      </c>
      <c r="Y23" s="26">
        <f>IF($C$21=4,ROUND(((S23*U23)/2),2),0)</f>
        <v>0</v>
      </c>
      <c r="Z23" s="43">
        <v>0</v>
      </c>
      <c r="AA23" s="26">
        <f>IF($C21=3, 0, ROUND(S23*Z23, 2))</f>
        <v>0</v>
      </c>
      <c r="AB23" s="26">
        <f>V23+W23+X23+Y23+AA23</f>
        <v>415.1</v>
      </c>
      <c r="AC23" s="26">
        <f>IF($V21=1,S23+AB23,S23)</f>
        <v>2721.2</v>
      </c>
      <c r="AD23" s="26">
        <v>120</v>
      </c>
      <c r="AE23" s="26">
        <f>IF($P$21=1,(S23/$S$25)*$E$36,AD23/$AD$25*$E$36)</f>
        <v>0</v>
      </c>
      <c r="AF23" s="26"/>
      <c r="AG23" s="26">
        <f>IF($P$21=1,(S23/$S$25)*$E$38,AD23/$AD$25*$E$38)</f>
        <v>0</v>
      </c>
      <c r="AH23" s="26">
        <f>IF($P$21=1,(S23/$S$25)*$E$38,AD23/$AD$25*$E$38)</f>
        <v>0</v>
      </c>
      <c r="AI23" s="26">
        <f t="shared" ref="AI23:AI24" si="1">S23*$M$21</f>
        <v>2306.1</v>
      </c>
      <c r="AJ23" s="26">
        <f t="shared" ref="AJ23:AJ24" si="2">IF($C$21=3,0,AG23+AH23)</f>
        <v>0</v>
      </c>
      <c r="AK23" s="26">
        <f t="shared" ref="AK23:AK24" si="3">IF($C$21=3,AE23+AG23+AH23,0)</f>
        <v>0</v>
      </c>
      <c r="AL23" s="26">
        <v>1</v>
      </c>
      <c r="AM23" s="26">
        <f t="shared" ref="AM23:AM24" si="4">F23/AL23</f>
        <v>2</v>
      </c>
      <c r="AN23" s="26">
        <f>AI23/AM23</f>
        <v>1153.05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1153.05</v>
      </c>
      <c r="AS23" s="48" t="s">
        <v>258</v>
      </c>
      <c r="AT23" s="48" t="s">
        <v>58</v>
      </c>
      <c r="AU23" t="s" s="0">
        <v>224</v>
      </c>
      <c r="AV23" t="s" s="0">
        <v>512</v>
      </c>
      <c r="AW23" s="48">
        <f>AM23</f>
        <v>2</v>
      </c>
      <c r="AX23" s="48">
        <f>AR23</f>
        <v>1153.05</v>
      </c>
      <c r="AY23" s="48">
        <f>AU23+AW23</f>
        <v>76</v>
      </c>
      <c r="AZ23" s="48">
        <f>ROUND(((AU23*AV23)+(AW23*AX23))/(AU23+AW23),5)</f>
        <v>1190.44831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259</v>
      </c>
      <c r="BM23" t="s" s="0">
        <v>514</v>
      </c>
      <c r="BN23" t="s" s="0">
        <v>513</v>
      </c>
      <c r="BO23" s="48">
        <f>ROUND((((AW23*AZ23)+(BN23*BM23))/(AW23+BN23)),5)</f>
        <v>1203.9971700000001</v>
      </c>
      <c r="BP23" s="53">
        <f>BN23+AW23</f>
        <v>518</v>
      </c>
      <c r="BQ23" s="54">
        <v>123562</v>
      </c>
      <c r="BR23" s="53"/>
    </row>
    <row r="24" spans="1:70" ht="15.75" thickBot="1">
      <c r="A24" s="25">
        <v>2</v>
      </c>
      <c r="B24" s="25" t="s">
        <v>267</v>
      </c>
      <c r="C24" s="25" t="s">
        <v>57</v>
      </c>
      <c r="D24" s="25" t="s">
        <v>58</v>
      </c>
      <c r="E24" s="25" t="s">
        <v>58</v>
      </c>
      <c r="F24" s="26">
        <v>2</v>
      </c>
      <c r="G24" t="s" s="0">
        <v>268</v>
      </c>
      <c r="H24" s="26">
        <f>F24*G24</f>
        <v>2486</v>
      </c>
      <c r="I24" t="s" s="0">
        <v>224</v>
      </c>
      <c r="J24" s="26">
        <v>1.79</v>
      </c>
      <c r="K24" s="26">
        <v>2.5</v>
      </c>
      <c r="L24" s="26">
        <f>H24</f>
        <v>2486</v>
      </c>
      <c r="M24" s="26">
        <f>ROUND(L24*I24%,2)</f>
        <v>49.72</v>
      </c>
      <c r="N24" s="26">
        <f>H24-M24</f>
        <v>2436.2800000000002</v>
      </c>
      <c r="O24" s="26">
        <f>ROUND(N24*J24%,2)</f>
        <v>43.61</v>
      </c>
      <c r="P24" s="26">
        <f>ROUND(N24-O24,2)</f>
        <v>2392.67</v>
      </c>
      <c r="Q24" s="26">
        <f>ROUND(P24*K24%,2)</f>
        <v>59.82</v>
      </c>
      <c r="R24" s="26">
        <f>M24+O24+Q24</f>
        <v>153.15</v>
      </c>
      <c r="S24" s="26">
        <f>(H24-R24)</f>
        <v>2332.85</v>
      </c>
      <c r="T24" s="26" t="s">
        <v>146</v>
      </c>
      <c r="U24" s="26">
        <v>0.18</v>
      </c>
      <c r="V24" s="26">
        <f>IF(OR($C$21=1,$C$21=4),ROUND(((S24*U24)/2),2),0)</f>
        <v>0</v>
      </c>
      <c r="W24" s="26">
        <f>IF($C$21=1,ROUND(((S24*U24)/2),2),0)</f>
        <v>0</v>
      </c>
      <c r="X24" s="26">
        <f>IF($C$21=2,ROUND(((S24*U24)),2),0)</f>
        <v>419.91</v>
      </c>
      <c r="Y24" s="26">
        <f>IF($C$21=4,ROUND(((S24*U24)/2),2),0)</f>
        <v>0</v>
      </c>
      <c r="Z24" s="43">
        <v>0</v>
      </c>
      <c r="AA24" s="26">
        <f>IF($C22=3, 0, ROUND(S24*Z24, 2))</f>
        <v>0</v>
      </c>
      <c r="AB24" s="26">
        <f>V24+W24+X24+Y24+AA24</f>
        <v>419.91</v>
      </c>
      <c r="AC24" s="26">
        <f>IF($V22=1,S24+AB24,S24)</f>
        <v>2332.85</v>
      </c>
      <c r="AD24" s="26">
        <v>120</v>
      </c>
      <c r="AE24" s="26">
        <f>IF($P$21=1,(S24/$S$25)*$E$36,AD24/$AD$25*$E$36)</f>
        <v>0</v>
      </c>
      <c r="AF24" s="26"/>
      <c r="AG24" s="26">
        <f>IF($P$21=1,(S24/$S$25)*$E$38,AD24/$AD$25*$E$38)</f>
        <v>0</v>
      </c>
      <c r="AH24" s="26">
        <f>IF($P$21=1,(S24/$S$25)*$E$38,AD24/$AD$25*$E$38)</f>
        <v>0</v>
      </c>
      <c r="AI24" s="26">
        <f t="shared" si="1"/>
        <v>2332.85</v>
      </c>
      <c r="AJ24" s="26">
        <f t="shared" si="2"/>
        <v>0</v>
      </c>
      <c r="AK24" s="26">
        <f t="shared" si="3"/>
        <v>0</v>
      </c>
      <c r="AL24" s="26">
        <v>1</v>
      </c>
      <c r="AM24" s="26">
        <f t="shared" si="4"/>
        <v>2</v>
      </c>
      <c r="AN24" s="26">
        <f>AI24/AM24</f>
        <v>1166.425</v>
      </c>
      <c r="AO24" s="26">
        <f>AJ24/AM24</f>
        <v>0</v>
      </c>
      <c r="AP24" s="26">
        <f>AK24/AM24</f>
        <v>0</v>
      </c>
      <c r="AQ24" s="26" t="s">
        <v>58</v>
      </c>
      <c r="AR24" s="26">
        <f>AN24+AO24+AP24</f>
        <v>1166.425</v>
      </c>
      <c r="AS24" s="48" t="s">
        <v>258</v>
      </c>
      <c r="AT24" s="48" t="s">
        <v>58</v>
      </c>
      <c r="AU24" t="s" s="0">
        <v>219</v>
      </c>
      <c r="AV24" t="s" s="0">
        <v>431</v>
      </c>
      <c r="AW24" s="48">
        <f>AM24</f>
        <v>2</v>
      </c>
      <c r="AX24" s="48">
        <f>AR24</f>
        <v>1166.425</v>
      </c>
      <c r="AY24" s="48">
        <f>AU24+AW24</f>
        <v>1144</v>
      </c>
      <c r="AZ24" s="48">
        <f>ROUND(((AU24*AV24)+(AW24*AX24))/(AU24+AW24),5)</f>
        <v>1216.8588099999999</v>
      </c>
      <c r="BA24" s="50"/>
      <c r="BB24" s="50" t="s">
        <v>149</v>
      </c>
      <c r="BC24" s="80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48" t="s">
        <v>259</v>
      </c>
      <c r="BM24" t="s" s="0">
        <v>516</v>
      </c>
      <c r="BN24" t="s" s="0">
        <v>515</v>
      </c>
      <c r="BO24" s="48">
        <f>ROUND((((AW24*AZ24)+(BN24*BM24))/(AW24+BN24)),5)</f>
        <v>1217.9569899999999</v>
      </c>
      <c r="BP24" s="53">
        <f>BN24+AW24</f>
        <v>50</v>
      </c>
      <c r="BQ24" s="54">
        <v>123562</v>
      </c>
      <c r="BR24" s="53"/>
    </row>
    <row r="25" spans="1:70" ht="15.75" thickBot="1">
      <c r="A25" s="16"/>
      <c r="B25" s="27"/>
      <c r="C25" s="27"/>
      <c r="D25" s="28" t="s">
        <v>87</v>
      </c>
      <c r="E25" s="28"/>
      <c r="F25" s="28"/>
      <c r="G25" s="29"/>
      <c r="H25" s="30">
        <f>SUM(H23:H24)</f>
        <v>4946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307.05</v>
      </c>
      <c r="S25" s="39">
        <f>SUM(S23:S24)</f>
        <v>4638.95</v>
      </c>
      <c r="T25" s="30"/>
      <c r="U25" s="30"/>
      <c r="V25" s="40">
        <f>SUM(V23:V24)</f>
        <v>0</v>
      </c>
      <c r="W25" s="40">
        <f>SUM(W23:W24)</f>
        <v>0</v>
      </c>
      <c r="X25" s="40">
        <f>SUM(X23:X24)</f>
        <v>835.01</v>
      </c>
      <c r="Y25" s="40">
        <f>SUM(Y23:Y24)</f>
        <v>0</v>
      </c>
      <c r="Z25" s="40"/>
      <c r="AA25" s="40">
        <f>SUM(AA23:AA24)</f>
        <v>0</v>
      </c>
      <c r="AB25" s="30">
        <f>SUM(AB23:AB24)</f>
        <v>835.01</v>
      </c>
      <c r="AC25" s="44">
        <f>SUM(AC23:AC24)</f>
        <v>5054.0499999999993</v>
      </c>
      <c r="AD25" s="45">
        <f t="shared" ref="AD25:AE25" si="5">SUM(AD23:AD23)</f>
        <v>120</v>
      </c>
      <c r="AE25" s="45">
        <f t="shared" si="5"/>
        <v>0</v>
      </c>
      <c r="AF25" s="44"/>
      <c r="AG25" s="45">
        <f>SUM(AG23:AG23)</f>
        <v>0</v>
      </c>
      <c r="AH25" s="45">
        <f>SUM(AH23:AH23)</f>
        <v>0</v>
      </c>
      <c r="AI25" s="45">
        <f>SUM(AI23:AI24)</f>
        <v>4638.95</v>
      </c>
      <c r="AJ25" s="45">
        <f>SUM(AJ23:AJ23)</f>
        <v>0</v>
      </c>
      <c r="AK25" s="45">
        <f>SUM(AK23:AK23)</f>
        <v>0</v>
      </c>
      <c r="AL25" s="44"/>
      <c r="AM25" s="44"/>
      <c r="AN25" s="44"/>
      <c r="AO25" s="44"/>
      <c r="AP25" s="44"/>
      <c r="AQ25" s="44"/>
      <c r="AR25" s="44"/>
      <c r="AS25" s="16"/>
    </row>
    <row r="26" spans="1:70">
      <c r="A26" s="16"/>
      <c r="B26" s="27"/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R26"/>
  <sheetViews>
    <sheetView topLeftCell="AI13" workbookViewId="0">
      <selection activeCell="AR22" sqref="AR22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60" max="60" customWidth="true" width="12.5703125"/>
    <col min="61" max="61" customWidth="true" width="21.7109375"/>
    <col min="62" max="63" customWidth="true" width="30.5703125"/>
    <col min="64" max="64" bestFit="true" customWidth="true" width="8.1406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6"/>
      <c r="AS1" s="16"/>
    </row>
    <row r="2" spans="1:45" ht="18.75" thickBot="1">
      <c r="A2" s="136" t="s">
        <v>47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2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387</v>
      </c>
      <c r="C23" s="25" t="s">
        <v>57</v>
      </c>
      <c r="D23" s="25" t="s">
        <v>58</v>
      </c>
      <c r="E23" s="25" t="s">
        <v>58</v>
      </c>
      <c r="F23" s="26">
        <v>2</v>
      </c>
      <c r="G23" t="s" s="0">
        <v>432</v>
      </c>
      <c r="H23" s="26">
        <f>F23*G23</f>
        <v>911.34</v>
      </c>
      <c r="I23" t="s" s="0">
        <v>245</v>
      </c>
      <c r="J23" s="26">
        <v>1.79</v>
      </c>
      <c r="K23" s="26">
        <v>2.5</v>
      </c>
      <c r="L23" s="26">
        <f>H23</f>
        <v>911.34</v>
      </c>
      <c r="M23" s="26">
        <f>ROUND(L23*I23%,2)</f>
        <v>9.11</v>
      </c>
      <c r="N23" s="26">
        <f>H23-M23</f>
        <v>902.23</v>
      </c>
      <c r="O23" s="26">
        <f>ROUND(N23*J23%,2)</f>
        <v>16.149999999999999</v>
      </c>
      <c r="P23" s="26">
        <f>ROUND(N23-O23,2)</f>
        <v>886.08</v>
      </c>
      <c r="Q23" s="26">
        <f>ROUND(P23*K23%,2)</f>
        <v>22.15</v>
      </c>
      <c r="R23" s="26">
        <f>M23+O23+Q23</f>
        <v>47.41</v>
      </c>
      <c r="S23" s="26">
        <f>(H23-R23)</f>
        <v>863.93000000000006</v>
      </c>
      <c r="T23" s="26" t="s">
        <v>146</v>
      </c>
      <c r="U23" s="26">
        <v>0.18</v>
      </c>
      <c r="V23" s="26">
        <f>IF(OR($C$21=1,$C$21=4),ROUND(((S23*U23)/2),2),0)</f>
        <v>0</v>
      </c>
      <c r="W23" s="26">
        <f>IF($C$21=1,ROUND(((S23*U23)/2),2),0)</f>
        <v>0</v>
      </c>
      <c r="X23" s="26">
        <f>IF($C$21=2,ROUND(((S23*U23)),2),0)</f>
        <v>155.51</v>
      </c>
      <c r="Y23" s="26">
        <f>IF($C$21=4,ROUND(((S23*U23)/2),2),0)</f>
        <v>0</v>
      </c>
      <c r="Z23" s="43">
        <v>0</v>
      </c>
      <c r="AA23" s="26">
        <f>IF($C21=3, 0, ROUND(S23*Z23, 2))</f>
        <v>0</v>
      </c>
      <c r="AB23" s="26">
        <f>V23+W23+X23+Y23+AA23</f>
        <v>155.51</v>
      </c>
      <c r="AC23" s="26">
        <f>IF($V21=1,S23+AB23,S23)</f>
        <v>1019.44</v>
      </c>
      <c r="AD23" s="26">
        <v>120</v>
      </c>
      <c r="AE23" s="26">
        <f>IF($P$21=1,(S23/$S$25)*$E$36,AD23/$AD$25*$E$36)</f>
        <v>0</v>
      </c>
      <c r="AF23" s="26"/>
      <c r="AG23" s="26">
        <f>IF($P$21=1,(S23/$S$25)*$E$38,AD23/$AD$25*$E$38)</f>
        <v>0</v>
      </c>
      <c r="AH23" s="26">
        <f>IF($P$21=1,(S23/$S$25)*$E$38,AD23/$AD$25*$E$38)</f>
        <v>0</v>
      </c>
      <c r="AI23" s="26">
        <f t="shared" ref="AI23:AI24" si="1">S23*$M$21</f>
        <v>863.93000000000006</v>
      </c>
      <c r="AJ23" s="26">
        <f t="shared" ref="AJ23:AJ24" si="2">IF($C$21=3,0,AG23+AH23)</f>
        <v>0</v>
      </c>
      <c r="AK23" s="26">
        <f t="shared" ref="AK23:AK24" si="3">IF($C$21=3,AE23+AG23+AH23,0)</f>
        <v>0</v>
      </c>
      <c r="AL23" s="26">
        <v>1</v>
      </c>
      <c r="AM23" s="26">
        <f t="shared" ref="AM23:AM24" si="4">F23/AL23</f>
        <v>2</v>
      </c>
      <c r="AN23" s="26">
        <f>AI23/AM23</f>
        <v>431.96500000000003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431.96500000000003</v>
      </c>
      <c r="AS23" s="48" t="s">
        <v>258</v>
      </c>
      <c r="AT23" s="48" t="s">
        <v>58</v>
      </c>
      <c r="AU23" t="s" s="0">
        <v>224</v>
      </c>
      <c r="AV23" t="s" s="0">
        <v>467</v>
      </c>
      <c r="AW23" s="48">
        <f>AM23</f>
        <v>2</v>
      </c>
      <c r="AX23" s="48">
        <f>AR23</f>
        <v>431.96500000000003</v>
      </c>
      <c r="AY23" s="48">
        <f>AU23+AW23</f>
        <v>4</v>
      </c>
      <c r="AZ23" s="48">
        <f>ROUND(((AU23*AV23)+(AW23*AX23))/(AU23+AW23),5)</f>
        <v>434.35854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259</v>
      </c>
      <c r="BM23" t="s" s="0">
        <v>219</v>
      </c>
      <c r="BN23" t="s" s="0">
        <v>219</v>
      </c>
      <c r="BO23" s="48">
        <f>ROUND((((AW23*AZ23)+(BN23*BM23))/(AW23+BN23)),5)</f>
        <v>450.92959999999999</v>
      </c>
      <c r="BP23" s="53">
        <f>BN23+AW23</f>
        <v>443</v>
      </c>
      <c r="BQ23" s="54">
        <v>123562</v>
      </c>
      <c r="BR23" s="53"/>
    </row>
    <row r="24" spans="1:70" ht="15.75" thickBot="1">
      <c r="A24" s="25">
        <v>2</v>
      </c>
      <c r="B24" s="25" t="s">
        <v>388</v>
      </c>
      <c r="C24" s="25" t="s">
        <v>57</v>
      </c>
      <c r="D24" s="25" t="s">
        <v>58</v>
      </c>
      <c r="E24" s="25" t="s">
        <v>58</v>
      </c>
      <c r="F24" s="26">
        <v>2</v>
      </c>
      <c r="G24" t="s" s="0">
        <v>268</v>
      </c>
      <c r="H24" s="26">
        <f>F24*G24</f>
        <v>690</v>
      </c>
      <c r="I24" t="s" s="0">
        <v>224</v>
      </c>
      <c r="J24" s="26">
        <v>1.79</v>
      </c>
      <c r="K24" s="26">
        <v>2.5</v>
      </c>
      <c r="L24" s="26">
        <f>H24</f>
        <v>690</v>
      </c>
      <c r="M24" s="26">
        <f>ROUND(L24*I24%,2)</f>
        <v>13.8</v>
      </c>
      <c r="N24" s="26">
        <f>H24-M24</f>
        <v>676.2</v>
      </c>
      <c r="O24" s="26">
        <f>ROUND(N24*J24%,2)</f>
        <v>12.1</v>
      </c>
      <c r="P24" s="26">
        <f>ROUND(N24-O24,2)</f>
        <v>664.1</v>
      </c>
      <c r="Q24" s="26">
        <f>ROUND(P24*K24%,2)</f>
        <v>16.600000000000001</v>
      </c>
      <c r="R24" s="26">
        <f>M24+O24+Q24</f>
        <v>42.5</v>
      </c>
      <c r="S24" s="26">
        <f>(H24-R24)</f>
        <v>647.5</v>
      </c>
      <c r="T24" s="26" t="s">
        <v>146</v>
      </c>
      <c r="U24" s="26">
        <v>0.18</v>
      </c>
      <c r="V24" s="26">
        <f>IF(OR($C$21=1,$C$21=4),ROUND(((S24*U24)/2),2),0)</f>
        <v>0</v>
      </c>
      <c r="W24" s="26">
        <f>IF($C$21=1,ROUND(((S24*U24)/2),2),0)</f>
        <v>0</v>
      </c>
      <c r="X24" s="26">
        <f>IF($C$21=2,ROUND(((S24*U24)),2),0)</f>
        <v>116.55</v>
      </c>
      <c r="Y24" s="26">
        <f>IF($C$21=4,ROUND(((S24*U24)/2),2),0)</f>
        <v>0</v>
      </c>
      <c r="Z24" s="43">
        <v>0</v>
      </c>
      <c r="AA24" s="26">
        <f>IF($C22=3, 0, ROUND(S24*Z24, 2))</f>
        <v>0</v>
      </c>
      <c r="AB24" s="26">
        <f>V24+W24+X24+Y24+AA24</f>
        <v>116.55</v>
      </c>
      <c r="AC24" s="26">
        <f>IF($V22=1,S24+AB24,S24)</f>
        <v>647.5</v>
      </c>
      <c r="AD24" s="26">
        <v>120</v>
      </c>
      <c r="AE24" s="26">
        <f>IF($P$21=1,(S24/$S$25)*$E$36,AD24/$AD$25*$E$36)</f>
        <v>0</v>
      </c>
      <c r="AF24" s="26"/>
      <c r="AG24" s="26">
        <f>IF($P$21=1,(S24/$S$25)*$E$38,AD24/$AD$25*$E$38)</f>
        <v>0</v>
      </c>
      <c r="AH24" s="26">
        <f>IF($P$21=1,(S24/$S$25)*$E$38,AD24/$AD$25*$E$38)</f>
        <v>0</v>
      </c>
      <c r="AI24" s="26">
        <f t="shared" si="1"/>
        <v>647.5</v>
      </c>
      <c r="AJ24" s="26">
        <f t="shared" si="2"/>
        <v>0</v>
      </c>
      <c r="AK24" s="26">
        <f t="shared" si="3"/>
        <v>0</v>
      </c>
      <c r="AL24" s="26">
        <v>1</v>
      </c>
      <c r="AM24" s="26">
        <f t="shared" si="4"/>
        <v>2</v>
      </c>
      <c r="AN24" s="26">
        <f>AI24/AM24</f>
        <v>323.75</v>
      </c>
      <c r="AO24" s="26">
        <f>AJ24/AM24</f>
        <v>0</v>
      </c>
      <c r="AP24" s="26">
        <f>AK24/AM24</f>
        <v>0</v>
      </c>
      <c r="AQ24" s="26" t="s">
        <v>58</v>
      </c>
      <c r="AR24" s="26">
        <f>AN24+AO24+AP24</f>
        <v>323.75</v>
      </c>
      <c r="AS24" s="48" t="s">
        <v>258</v>
      </c>
      <c r="AT24" s="48" t="s">
        <v>58</v>
      </c>
      <c r="AU24" t="s" s="0">
        <v>224</v>
      </c>
      <c r="AV24" t="s" s="0">
        <v>431</v>
      </c>
      <c r="AW24" s="48">
        <f>AM24</f>
        <v>2</v>
      </c>
      <c r="AX24" s="48">
        <f>AR24</f>
        <v>323.75</v>
      </c>
      <c r="AY24" s="48">
        <f>AU24+AW24</f>
        <v>2</v>
      </c>
      <c r="AZ24" s="48">
        <f>ROUND(((AU24*AV24)+(AW24*AX24))/(AU24+AW24),5)</f>
        <v>323.75</v>
      </c>
      <c r="BA24" s="50"/>
      <c r="BB24" s="50" t="s">
        <v>149</v>
      </c>
      <c r="BC24" s="80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48" t="s">
        <v>259</v>
      </c>
      <c r="BM24" t="s" s="0">
        <v>219</v>
      </c>
      <c r="BN24" t="s" s="0">
        <v>219</v>
      </c>
      <c r="BO24" s="48">
        <f>ROUND((((AW24*AZ24)+(BN24*BM24))/(AW24+BN24)),5)</f>
        <v>337.97127999999998</v>
      </c>
      <c r="BP24" s="53">
        <f>BN24+AW24</f>
        <v>772</v>
      </c>
      <c r="BQ24" s="54">
        <v>123562</v>
      </c>
      <c r="BR24" s="53"/>
    </row>
    <row r="25" spans="1:70" ht="15.75" thickBot="1">
      <c r="A25" s="16"/>
      <c r="B25" s="27"/>
      <c r="C25" s="27"/>
      <c r="D25" s="28" t="s">
        <v>87</v>
      </c>
      <c r="E25" s="28"/>
      <c r="F25" s="28"/>
      <c r="G25" s="29"/>
      <c r="H25" s="30">
        <f>SUM(H23:H24)</f>
        <v>1601.3400000000001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89.91</v>
      </c>
      <c r="S25" s="39">
        <f>SUM(S23:S24)</f>
        <v>1511.43</v>
      </c>
      <c r="T25" s="30"/>
      <c r="U25" s="30"/>
      <c r="V25" s="40">
        <f>SUM(V23:V24)</f>
        <v>0</v>
      </c>
      <c r="W25" s="40">
        <f>SUM(W23:W24)</f>
        <v>0</v>
      </c>
      <c r="X25" s="40">
        <f>SUM(X23:X24)</f>
        <v>272.06</v>
      </c>
      <c r="Y25" s="40">
        <f>SUM(Y23:Y24)</f>
        <v>0</v>
      </c>
      <c r="Z25" s="40"/>
      <c r="AA25" s="40">
        <f>SUM(AA23:AA24)</f>
        <v>0</v>
      </c>
      <c r="AB25" s="30">
        <f>SUM(AB23:AB24)</f>
        <v>272.06</v>
      </c>
      <c r="AC25" s="44">
        <f>SUM(AC23:AC24)</f>
        <v>1666.94</v>
      </c>
      <c r="AD25" s="45">
        <f t="shared" ref="AD25:AE25" si="5">SUM(AD23:AD23)</f>
        <v>120</v>
      </c>
      <c r="AE25" s="45">
        <f t="shared" si="5"/>
        <v>0</v>
      </c>
      <c r="AF25" s="44"/>
      <c r="AG25" s="45">
        <f>SUM(AG23:AG23)</f>
        <v>0</v>
      </c>
      <c r="AH25" s="45">
        <f>SUM(AH23:AH23)</f>
        <v>0</v>
      </c>
      <c r="AI25" s="45">
        <f>SUM(AI23:AI24)</f>
        <v>1511.43</v>
      </c>
      <c r="AJ25" s="45">
        <f>SUM(AJ23:AJ23)</f>
        <v>0</v>
      </c>
      <c r="AK25" s="45">
        <f>SUM(AK23:AK23)</f>
        <v>0</v>
      </c>
      <c r="AL25" s="44"/>
      <c r="AM25" s="44"/>
      <c r="AN25" s="44"/>
      <c r="AO25" s="44"/>
      <c r="AP25" s="44"/>
      <c r="AQ25" s="44"/>
      <c r="AR25" s="44"/>
      <c r="AS25" s="16"/>
    </row>
    <row r="26" spans="1:70">
      <c r="A26" s="16"/>
      <c r="B26" s="27"/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R25"/>
  <sheetViews>
    <sheetView topLeftCell="A10" workbookViewId="0">
      <selection activeCell="D26" sqref="D26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60" max="60" customWidth="true" width="12.5703125"/>
    <col min="61" max="61" customWidth="true" width="21.7109375"/>
    <col min="62" max="63" customWidth="true" width="30.5703125"/>
    <col min="64" max="64" bestFit="true" customWidth="true" width="8.1406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6"/>
      <c r="AS1" s="16"/>
    </row>
    <row r="2" spans="1:45" ht="18.75" thickBot="1">
      <c r="A2" s="135" t="s">
        <v>47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2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465</v>
      </c>
      <c r="C23" s="25" t="s">
        <v>57</v>
      </c>
      <c r="D23" s="25" t="s">
        <v>58</v>
      </c>
      <c r="E23" s="25" t="s">
        <v>58</v>
      </c>
      <c r="F23" s="26">
        <v>2</v>
      </c>
      <c r="G23" t="s" s="0">
        <v>466</v>
      </c>
      <c r="H23" s="26">
        <f>F23*G23</f>
        <v>911.34</v>
      </c>
      <c r="I23" t="s" s="0">
        <v>224</v>
      </c>
      <c r="J23" s="26">
        <v>1.79</v>
      </c>
      <c r="K23" s="26">
        <v>2.5</v>
      </c>
      <c r="L23" s="26">
        <f>H23</f>
        <v>911.34</v>
      </c>
      <c r="M23" s="26">
        <f>ROUND(L23*I23%,2)</f>
        <v>9.11</v>
      </c>
      <c r="N23" s="26">
        <f>H23-M23</f>
        <v>902.23</v>
      </c>
      <c r="O23" s="26">
        <f>ROUND(N23*J23%,2)</f>
        <v>16.149999999999999</v>
      </c>
      <c r="P23" s="26">
        <f>ROUND(N23-O23,2)</f>
        <v>886.08</v>
      </c>
      <c r="Q23" s="26">
        <f>ROUND(P23*K23%,2)</f>
        <v>22.15</v>
      </c>
      <c r="R23" s="26">
        <f>M23+O23+Q23</f>
        <v>47.41</v>
      </c>
      <c r="S23" s="26">
        <f>(H23-R23)</f>
        <v>863.93000000000006</v>
      </c>
      <c r="T23" s="26" t="s">
        <v>146</v>
      </c>
      <c r="U23" s="26">
        <v>0.18</v>
      </c>
      <c r="V23" s="26">
        <f>IF(OR($C$21=1,$C$21=4),ROUND(((S23*U23)/2),2),0)</f>
        <v>0</v>
      </c>
      <c r="W23" s="26">
        <f>IF($C$21=1,ROUND(((S23*U23)/2),2),0)</f>
        <v>0</v>
      </c>
      <c r="X23" s="26">
        <f>IF($C$21=2,ROUND(((S23*U23)),2),0)</f>
        <v>155.51</v>
      </c>
      <c r="Y23" s="26">
        <f>IF($C$21=4,ROUND(((S23*U23)/2),2),0)</f>
        <v>0</v>
      </c>
      <c r="Z23" s="43">
        <v>0</v>
      </c>
      <c r="AA23" s="26">
        <f>IF($C21=3, 0, ROUND(S23*Z23, 2))</f>
        <v>0</v>
      </c>
      <c r="AB23" s="26">
        <f>V23+W23+X23+Y23+AA23</f>
        <v>155.51</v>
      </c>
      <c r="AC23" s="26">
        <f>IF($V21=1,S23+AB23,S23)</f>
        <v>1019.44</v>
      </c>
      <c r="AD23" s="26">
        <v>120</v>
      </c>
      <c r="AE23" s="26">
        <f>IF($P$21=1,(S23/$S$24)*$E$35,AD23/$AD$24*$E$35)</f>
        <v>0</v>
      </c>
      <c r="AF23" s="26"/>
      <c r="AG23" s="26">
        <f>IF($P$21=1,(S23/$S$24)*$E$37,AD23/$AD$24*$E$37)</f>
        <v>0</v>
      </c>
      <c r="AH23" s="26">
        <f>IF($P$21=1,(S23/$S$24)*$E$37,AD23/$AD$24*$E$37)</f>
        <v>0</v>
      </c>
      <c r="AI23" s="26">
        <f t="shared" ref="AI23" si="1">S23*$M$21</f>
        <v>863.93000000000006</v>
      </c>
      <c r="AJ23" s="26">
        <f t="shared" ref="AJ23" si="2">IF($C$21=3,0,AG23+AH23)</f>
        <v>0</v>
      </c>
      <c r="AK23" s="26">
        <f t="shared" ref="AK23" si="3">IF($C$21=3,AE23+AG23+AH23,0)</f>
        <v>0</v>
      </c>
      <c r="AL23" s="26">
        <v>1</v>
      </c>
      <c r="AM23" s="26">
        <f t="shared" ref="AM23" si="4">F23/AL23</f>
        <v>2</v>
      </c>
      <c r="AN23" s="26">
        <f>AI23/AM23</f>
        <v>431.96500000000003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431.96500000000003</v>
      </c>
      <c r="AS23" s="48" t="s">
        <v>258</v>
      </c>
      <c r="AT23" s="48" t="s">
        <v>58</v>
      </c>
      <c r="AU23" s="0"/>
      <c r="AV23" s="0"/>
      <c r="AW23" s="48">
        <f>AM23</f>
        <v>2</v>
      </c>
      <c r="AX23" s="48">
        <f>AR23</f>
        <v>431.96500000000003</v>
      </c>
      <c r="AY23" s="48">
        <f>AU23+AW23</f>
        <v>4</v>
      </c>
      <c r="AZ23" s="48">
        <f>ROUND(((AU23*AV23)+(AW23*AX23))/(AU23+AW23),5)</f>
        <v>434.35854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259</v>
      </c>
      <c r="BM23" t="s" s="0">
        <v>219</v>
      </c>
      <c r="BN23" t="s" s="0">
        <v>219</v>
      </c>
      <c r="BO23" s="48">
        <f>ROUND((((AW23*AZ23)+(BN23*BM23))/(AW23+BN23)),5)</f>
        <v>450.92959999999999</v>
      </c>
      <c r="BP23" s="53">
        <f>BN23+AW23</f>
        <v>443</v>
      </c>
      <c r="BQ23" s="54">
        <v>123562</v>
      </c>
      <c r="BR23" s="53"/>
    </row>
    <row r="24" spans="1:70" ht="15.75" thickBot="1">
      <c r="A24" s="16"/>
      <c r="B24" s="27"/>
      <c r="C24" s="27"/>
      <c r="D24" s="28" t="s">
        <v>87</v>
      </c>
      <c r="E24" s="28"/>
      <c r="F24" s="28"/>
      <c r="G24" s="29"/>
      <c r="H24" s="30">
        <f>SUM(H23:H23)</f>
        <v>911.34</v>
      </c>
      <c r="I24" s="25"/>
      <c r="J24" s="25"/>
      <c r="K24" s="25"/>
      <c r="L24" s="25"/>
      <c r="M24" s="25"/>
      <c r="N24" s="25"/>
      <c r="O24" s="25"/>
      <c r="P24" s="25"/>
      <c r="Q24" s="25"/>
      <c r="R24" s="30">
        <f>SUM(R23:R23)</f>
        <v>47.41</v>
      </c>
      <c r="S24" s="39">
        <f>SUM(S23:S23)</f>
        <v>863.93000000000006</v>
      </c>
      <c r="T24" s="30"/>
      <c r="U24" s="30"/>
      <c r="V24" s="40">
        <f>SUM(V23:V23)</f>
        <v>0</v>
      </c>
      <c r="W24" s="40">
        <f>SUM(W23:W23)</f>
        <v>0</v>
      </c>
      <c r="X24" s="40">
        <f>SUM(X23:X23)</f>
        <v>155.51</v>
      </c>
      <c r="Y24" s="40">
        <f>SUM(Y23:Y23)</f>
        <v>0</v>
      </c>
      <c r="Z24" s="40"/>
      <c r="AA24" s="40">
        <f>SUM(AA23:AA23)</f>
        <v>0</v>
      </c>
      <c r="AB24" s="30">
        <f>SUM(AB23:AB23)</f>
        <v>155.51</v>
      </c>
      <c r="AC24" s="44">
        <f>SUM(AC23:AC23)</f>
        <v>1019.44</v>
      </c>
      <c r="AD24" s="45">
        <f t="shared" ref="AD24:AE24" si="5">SUM(AD23:AD23)</f>
        <v>120</v>
      </c>
      <c r="AE24" s="45">
        <f t="shared" si="5"/>
        <v>0</v>
      </c>
      <c r="AF24" s="44"/>
      <c r="AG24" s="45">
        <f>SUM(AG23:AG23)</f>
        <v>0</v>
      </c>
      <c r="AH24" s="45">
        <f>SUM(AH23:AH23)</f>
        <v>0</v>
      </c>
      <c r="AI24" s="45">
        <f>SUM(AI23:AI23)</f>
        <v>863.93000000000006</v>
      </c>
      <c r="AJ24" s="45">
        <f>SUM(AJ23:AJ23)</f>
        <v>0</v>
      </c>
      <c r="AK24" s="45">
        <f>SUM(AK23:AK23)</f>
        <v>0</v>
      </c>
      <c r="AL24" s="44"/>
      <c r="AM24" s="44"/>
      <c r="AN24" s="44"/>
      <c r="AO24" s="44"/>
      <c r="AP24" s="44"/>
      <c r="AQ24" s="44"/>
      <c r="AR24" s="44"/>
      <c r="AS24" s="16"/>
    </row>
    <row r="25" spans="1:70">
      <c r="A25" s="16"/>
      <c r="B25" s="27"/>
      <c r="C25" s="2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</row>
  </sheetData>
  <mergeCells count="3">
    <mergeCell ref="B19:G19"/>
    <mergeCell ref="A21:B21"/>
    <mergeCell ref="A1:AC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Q40"/>
  <sheetViews>
    <sheetView workbookViewId="0">
      <selection sqref="A1:XFD1048576"/>
    </sheetView>
  </sheetViews>
  <sheetFormatPr defaultColWidth="9" defaultRowHeight="15"/>
  <cols>
    <col min="2" max="2" customWidth="true" width="23.5703125"/>
    <col min="4" max="4" bestFit="true" customWidth="true" width="72.42578125"/>
    <col min="11" max="11" customWidth="true" width="6.140625"/>
    <col min="29" max="29" bestFit="true" customWidth="true" width="11.5703125"/>
    <col min="35" max="35" customWidth="true" width="14.28515625"/>
    <col min="36" max="36" customWidth="true" width="17.5703125"/>
    <col min="37" max="37" bestFit="true" customWidth="true" width="13.42578125"/>
    <col min="38" max="38" bestFit="true" customWidth="true" width="13.5703125"/>
    <col min="45" max="45" customWidth="true" width="9.42578125"/>
    <col min="47" max="47" customWidth="true" width="15.28515625"/>
    <col min="48" max="48" customWidth="true" width="20.28515625"/>
    <col min="50" max="50" bestFit="true" customWidth="true" width="16.28515625"/>
    <col min="51" max="51" customWidth="true" width="13.85546875"/>
    <col min="52" max="52" customWidth="true" width="18.85546875"/>
    <col min="54" max="57" customWidth="true" width="21.7109375"/>
    <col min="58" max="58" customWidth="true" width="16.5703125"/>
    <col min="59" max="59" customWidth="true" width="13.7109375"/>
    <col min="60" max="60" customWidth="true" width="12.42578125"/>
    <col min="63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67" ht="18.75" thickBot="1">
      <c r="A1" s="154" t="s">
        <v>154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</row>
    <row r="2" spans="1:67" ht="18.75" thickBot="1">
      <c r="A2" s="1" t="s">
        <v>47</v>
      </c>
      <c r="B2" s="1"/>
      <c r="C2" s="1"/>
      <c r="D2" s="1"/>
      <c r="E2" s="1"/>
      <c r="F2" s="1"/>
      <c r="G2" s="1"/>
      <c r="H2" s="1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</row>
    <row r="3" spans="1:67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</row>
    <row r="4" spans="1:67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</row>
    <row r="5" spans="1:67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</row>
    <row r="6" spans="1:67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</row>
    <row r="7" spans="1:67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</row>
    <row r="8" spans="1:67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</row>
    <row r="9" spans="1:67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</row>
    <row r="10" spans="1:67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</row>
    <row r="11" spans="1:67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</row>
    <row r="12" spans="1:67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</row>
    <row r="13" spans="1:67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</row>
    <row r="14" spans="1:67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</row>
    <row r="15" spans="1:67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</row>
    <row r="16" spans="1:67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</row>
    <row r="17" spans="1:69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</row>
    <row r="18" spans="1:69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</row>
    <row r="19" spans="1:69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</row>
    <row r="20" spans="1:69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</row>
    <row r="21" spans="1:69" ht="15.75" thickBot="1">
      <c r="A21" s="151" t="s">
        <v>89</v>
      </c>
      <c r="B21" s="151"/>
      <c r="C21" s="20">
        <v>1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2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</row>
    <row r="22" spans="1:69" ht="58.5" thickTop="1" thickBot="1">
      <c r="A22" s="61" t="s">
        <v>155</v>
      </c>
      <c r="B22" s="61" t="s">
        <v>49</v>
      </c>
      <c r="C22" s="61" t="s">
        <v>156</v>
      </c>
      <c r="D22" s="61" t="s">
        <v>51</v>
      </c>
      <c r="E22" s="61" t="s">
        <v>52</v>
      </c>
      <c r="F22" s="61" t="s">
        <v>53</v>
      </c>
      <c r="G22" s="61" t="s">
        <v>54</v>
      </c>
      <c r="H22" s="61" t="s">
        <v>55</v>
      </c>
      <c r="I22" s="63" t="s">
        <v>97</v>
      </c>
      <c r="J22" s="63" t="s">
        <v>99</v>
      </c>
      <c r="K22" s="63" t="s">
        <v>98</v>
      </c>
      <c r="L22" s="64" t="s">
        <v>100</v>
      </c>
      <c r="M22" s="64" t="s">
        <v>101</v>
      </c>
      <c r="N22" s="64" t="s">
        <v>104</v>
      </c>
      <c r="O22" s="64" t="s">
        <v>105</v>
      </c>
      <c r="P22" s="64" t="s">
        <v>157</v>
      </c>
      <c r="Q22" s="64" t="s">
        <v>103</v>
      </c>
      <c r="R22" s="63" t="s">
        <v>106</v>
      </c>
      <c r="S22" s="61" t="s">
        <v>158</v>
      </c>
      <c r="T22" s="61" t="s">
        <v>108</v>
      </c>
      <c r="U22" s="67" t="s">
        <v>159</v>
      </c>
      <c r="V22" s="67" t="s">
        <v>110</v>
      </c>
      <c r="W22" s="67" t="s">
        <v>111</v>
      </c>
      <c r="X22" s="67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69" t="s">
        <v>114</v>
      </c>
      <c r="AD22" s="69" t="s">
        <v>115</v>
      </c>
      <c r="AE22" s="69" t="s">
        <v>116</v>
      </c>
      <c r="AF22" s="69" t="s">
        <v>117</v>
      </c>
      <c r="AG22" s="69" t="s">
        <v>118</v>
      </c>
      <c r="AH22" s="69" t="s">
        <v>119</v>
      </c>
      <c r="AI22" s="69" t="s">
        <v>120</v>
      </c>
      <c r="AJ22" s="69" t="s">
        <v>121</v>
      </c>
      <c r="AK22" s="69" t="s">
        <v>122</v>
      </c>
      <c r="AL22" s="69" t="s">
        <v>123</v>
      </c>
      <c r="AM22" s="69" t="s">
        <v>124</v>
      </c>
      <c r="AN22" s="69" t="s">
        <v>125</v>
      </c>
      <c r="AO22" s="69" t="s">
        <v>126</v>
      </c>
      <c r="AP22" s="69" t="s">
        <v>127</v>
      </c>
      <c r="AQ22" s="69" t="s">
        <v>128</v>
      </c>
      <c r="AR22" s="70" t="s">
        <v>160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69" ht="15.75" thickBot="1">
      <c r="A23" s="25">
        <v>1</v>
      </c>
      <c r="B23" s="25" t="s">
        <v>269</v>
      </c>
      <c r="C23" s="25" t="s">
        <v>162</v>
      </c>
      <c r="D23" s="25" t="s">
        <v>58</v>
      </c>
      <c r="E23" s="25" t="s">
        <v>163</v>
      </c>
      <c r="F23" s="26">
        <v>25</v>
      </c>
      <c r="G23" s="26">
        <v>257.63</v>
      </c>
      <c r="H23" s="26">
        <f>F23*G23</f>
        <v>6440.75</v>
      </c>
      <c r="I23" s="26">
        <v>1</v>
      </c>
      <c r="J23" s="26">
        <v>2</v>
      </c>
      <c r="K23" s="26">
        <v>2.5</v>
      </c>
      <c r="L23" s="26">
        <f>H23</f>
        <v>6440.75</v>
      </c>
      <c r="M23" s="26">
        <f>ROUND(L23*I23%,2)</f>
        <v>64.41</v>
      </c>
      <c r="N23" s="26">
        <f>H23-M23</f>
        <v>6376.34</v>
      </c>
      <c r="O23" s="26">
        <f>ROUND(N23*J23%,2)</f>
        <v>127.53</v>
      </c>
      <c r="P23" s="26">
        <f>ROUND(N23-O23,2)</f>
        <v>6248.81</v>
      </c>
      <c r="Q23" s="26">
        <f>ROUND(P23*K23%,2)</f>
        <v>156.22</v>
      </c>
      <c r="R23" s="26">
        <f>ROUND((M23+O23+Q23),2)</f>
        <v>348.16</v>
      </c>
      <c r="S23" s="26">
        <f>ROUND((H23-R23),2)</f>
        <v>6092.59</v>
      </c>
      <c r="T23" s="55" t="s">
        <v>146</v>
      </c>
      <c r="U23" s="43">
        <v>0.18</v>
      </c>
      <c r="V23" s="26">
        <f>IF(OR($C$21=1,$C$21=4),ROUND(((S23*U23)/2),2),0)</f>
        <v>548.33000000000004</v>
      </c>
      <c r="W23" s="26">
        <f>IF($C$21=1,ROUND(((S23*U23)/2),2),0)</f>
        <v>548.33000000000004</v>
      </c>
      <c r="X23" s="26">
        <f>IF($C$21=2,ROUND(((S23*U23)),2),0)</f>
        <v>0</v>
      </c>
      <c r="Y23" s="26">
        <f>IF($C$21=4,ROUND(((S23*U23)/2),2),0)</f>
        <v>0</v>
      </c>
      <c r="Z23" s="91">
        <v>0</v>
      </c>
      <c r="AA23" s="26">
        <f>IF($C21=3, 0, ROUND(S23*Z23, 2))</f>
        <v>0</v>
      </c>
      <c r="AB23" s="25">
        <f>V23+W23+X23+Y23+AA23</f>
        <v>1096.6600000000001</v>
      </c>
      <c r="AC23" s="25">
        <f>IF($V21=1,S23+AB23,S23)</f>
        <v>7189.25</v>
      </c>
      <c r="AD23" s="55">
        <v>120</v>
      </c>
      <c r="AE23" s="55">
        <f>IF($P$21=1,(S23/$S$26)*$E$37,AD23/$AD$26*$E$37)</f>
        <v>0</v>
      </c>
      <c r="AF23" s="55"/>
      <c r="AG23" s="55">
        <f>IF($P$21=1,(S23/$S$26)*$E$39,AD23/$AD$26*$E$39)</f>
        <v>0</v>
      </c>
      <c r="AH23" s="55">
        <f>IF($P$21=1,(S23/$S$26)*$E$40,AD23/$AD$26*$E$40)</f>
        <v>0</v>
      </c>
      <c r="AI23" s="55">
        <f t="shared" ref="AI23:AI25" si="1">S23*$M$21</f>
        <v>6092.59</v>
      </c>
      <c r="AJ23" s="55">
        <f>IF($C$21=3,0,AG23+AH23)</f>
        <v>0</v>
      </c>
      <c r="AK23" s="55">
        <f t="shared" ref="AK23:AK25" si="2">IF($C$21=3,AE23+AG23+AH23,0)</f>
        <v>0</v>
      </c>
      <c r="AL23" s="82">
        <v>2</v>
      </c>
      <c r="AM23" s="55">
        <f>F23/AL23</f>
        <v>12.5</v>
      </c>
      <c r="AN23" s="55">
        <f>ROUND(AI23/AM23,5)</f>
        <v>487.40719999999999</v>
      </c>
      <c r="AO23" s="55">
        <f>AJ23/AM23</f>
        <v>0</v>
      </c>
      <c r="AP23" s="55">
        <f>AK23/AM23</f>
        <v>0</v>
      </c>
      <c r="AQ23" s="55" t="s">
        <v>58</v>
      </c>
      <c r="AR23" s="55">
        <f>ROUND(AN23+AO23+AP23,5)</f>
        <v>487.40719999999999</v>
      </c>
      <c r="AS23" s="48" t="s">
        <v>217</v>
      </c>
      <c r="AT23" s="48" t="s">
        <v>58</v>
      </c>
      <c r="AU23" t="s" s="0">
        <v>219</v>
      </c>
      <c r="AV23" t="s" s="0">
        <v>270</v>
      </c>
      <c r="AW23" s="48">
        <f>AM23</f>
        <v>12.5</v>
      </c>
      <c r="AX23" s="48">
        <f>AR23</f>
        <v>487.40719999999999</v>
      </c>
      <c r="AY23" s="48">
        <f>AU23+AW23</f>
        <v>442.5</v>
      </c>
      <c r="AZ23" s="48">
        <f>ROUND(((AU23*AV23)+(AW23*AX23))/(AU23+AW23),5)</f>
        <v>1167.59214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7" t="s">
        <v>271</v>
      </c>
      <c r="BM23" t="s" s="0">
        <v>270</v>
      </c>
      <c r="BN23" t="s" s="0">
        <v>517</v>
      </c>
      <c r="BO23" s="48">
        <f>ROUND((((AW23*AZ23)+(BN23*BM23))/(AW23+BN23)),5)</f>
        <v>1161.8084799999999</v>
      </c>
      <c r="BP23" s="53">
        <f>BN23+AW23</f>
        <v>238.5</v>
      </c>
      <c r="BQ23" s="54">
        <v>123562</v>
      </c>
    </row>
    <row r="24" spans="1:69" ht="15.75" thickBot="1">
      <c r="A24" s="25">
        <v>2</v>
      </c>
      <c r="B24" s="25" t="s">
        <v>272</v>
      </c>
      <c r="C24" s="25" t="s">
        <v>175</v>
      </c>
      <c r="D24" s="25" t="s">
        <v>58</v>
      </c>
      <c r="E24" s="25" t="s">
        <v>176</v>
      </c>
      <c r="F24" s="26">
        <v>28</v>
      </c>
      <c r="G24" s="26">
        <v>150.5</v>
      </c>
      <c r="H24" s="26">
        <f t="shared" ref="H24:H25" si="3">F24*G24</f>
        <v>4214</v>
      </c>
      <c r="I24" s="26">
        <v>1</v>
      </c>
      <c r="J24" s="26">
        <v>2</v>
      </c>
      <c r="K24" s="26">
        <v>2.5</v>
      </c>
      <c r="L24" s="26">
        <f t="shared" ref="L24:L25" si="4">H24</f>
        <v>4214</v>
      </c>
      <c r="M24" s="26">
        <f t="shared" ref="M24:M25" si="5">ROUND(L24*I24%,2)</f>
        <v>42.14</v>
      </c>
      <c r="N24" s="26">
        <f t="shared" ref="N24:N25" si="6">H24-M24</f>
        <v>4171.8599999999997</v>
      </c>
      <c r="O24" s="26">
        <f t="shared" ref="O24:O25" si="7">ROUND(N24*J24%,2)</f>
        <v>83.44</v>
      </c>
      <c r="P24" s="26">
        <f t="shared" ref="P24:P25" si="8">ROUND(N24-O24,2)</f>
        <v>4088.42</v>
      </c>
      <c r="Q24" s="26">
        <f t="shared" ref="Q24:Q25" si="9">ROUND(P24*K24%,2)</f>
        <v>102.21</v>
      </c>
      <c r="R24" s="26">
        <f t="shared" ref="R24:R25" si="10">ROUND((M24+O24+Q24),2)</f>
        <v>227.79</v>
      </c>
      <c r="S24" s="26">
        <f t="shared" ref="S24:S25" si="11">ROUND((H24-R24),2)</f>
        <v>3986.21</v>
      </c>
      <c r="T24" s="55" t="s">
        <v>273</v>
      </c>
      <c r="U24" s="43">
        <v>0.18</v>
      </c>
      <c r="V24" s="26">
        <f t="shared" ref="V24:V25" si="12">IF(OR($C$21=1,$C$21=4),ROUND(((S24*U24)/2),2),0)</f>
        <v>358.76</v>
      </c>
      <c r="W24" s="26">
        <f t="shared" ref="W24:W25" si="13">IF($C$21=1,ROUND(((S24*U24)/2),2),0)</f>
        <v>358.76</v>
      </c>
      <c r="X24" s="26">
        <f t="shared" ref="X24:X25" si="14">IF($C$21=2,ROUND(((S24*U24)),2),0)</f>
        <v>0</v>
      </c>
      <c r="Y24" s="26">
        <f t="shared" ref="Y24:Y25" si="15">IF($C$21=4,ROUND(((S24*U24)/2),2),0)</f>
        <v>0</v>
      </c>
      <c r="Z24" s="91">
        <v>0</v>
      </c>
      <c r="AA24" s="26">
        <f t="shared" ref="AA24:AA25" si="16">IF($C22=3, 0, ROUND(S24*Z24, 2))</f>
        <v>0</v>
      </c>
      <c r="AB24" s="25">
        <f t="shared" ref="AB24:AB25" si="17">V24+W24+X24+Y24+AA24</f>
        <v>717.52</v>
      </c>
      <c r="AC24" s="25">
        <f t="shared" ref="AC24:AC25" si="18">IF($V22=1,S24+AB24,S24)</f>
        <v>3986.21</v>
      </c>
      <c r="AD24" s="55">
        <v>350</v>
      </c>
      <c r="AE24" s="55">
        <f>IF($P$21=1,(S24/$S$26)*$E$37,AD24/$AD$26*$E$37)</f>
        <v>0</v>
      </c>
      <c r="AF24" s="55"/>
      <c r="AG24" s="55">
        <f>IF($P$21=1,(S24/$S$26)*$E$39,AD24/$AD$26*$E$39)</f>
        <v>0</v>
      </c>
      <c r="AH24" s="55">
        <f>IF($P$21=1,(S24/$S$26)*$E$40,AD24/$AD$26*$E$40)</f>
        <v>0</v>
      </c>
      <c r="AI24" s="55">
        <f t="shared" si="1"/>
        <v>3986.21</v>
      </c>
      <c r="AJ24" s="55">
        <f t="shared" ref="AJ24:AJ25" si="19">IF($C$21=3,0,AG24+AH24)</f>
        <v>0</v>
      </c>
      <c r="AK24" s="55">
        <f t="shared" si="2"/>
        <v>0</v>
      </c>
      <c r="AL24" s="82">
        <v>2.5</v>
      </c>
      <c r="AM24" s="55">
        <f>F24/AL24</f>
        <v>11.2</v>
      </c>
      <c r="AN24" s="55">
        <f t="shared" ref="AN24:AN25" si="20">ROUND(AI24/AM24,5)</f>
        <v>355.91161</v>
      </c>
      <c r="AO24" s="55">
        <f t="shared" ref="AO24:AO25" si="21">AJ24/AM24</f>
        <v>0</v>
      </c>
      <c r="AP24" s="55">
        <f t="shared" ref="AP24:AP25" si="22">AK24/AM24</f>
        <v>0</v>
      </c>
      <c r="AQ24" s="55" t="s">
        <v>58</v>
      </c>
      <c r="AR24" s="55">
        <f t="shared" ref="AR24:AR25" si="23">ROUND(AN24+AO24+AP24,5)</f>
        <v>355.91161</v>
      </c>
      <c r="AS24" s="48" t="s">
        <v>217</v>
      </c>
      <c r="AT24" s="48" t="s">
        <v>58</v>
      </c>
      <c r="AU24" t="s" s="0">
        <v>219</v>
      </c>
      <c r="AV24" t="s" s="0">
        <v>274</v>
      </c>
      <c r="AW24" s="48">
        <f>AM24</f>
        <v>11.2</v>
      </c>
      <c r="AX24" s="48">
        <f>AR24</f>
        <v>355.91161</v>
      </c>
      <c r="AY24" s="48">
        <f>AU24+AW24</f>
        <v>351.2</v>
      </c>
      <c r="AZ24" s="48">
        <f>ROUND(((AU24*AV24)+(AW24*AX24))/(AU24+AW24),5)</f>
        <v>251.80162999999999</v>
      </c>
      <c r="BA24" s="50"/>
      <c r="BB24" s="50" t="s">
        <v>149</v>
      </c>
      <c r="BC24" s="80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7" t="s">
        <v>271</v>
      </c>
      <c r="BM24" t="s" s="0">
        <v>274</v>
      </c>
      <c r="BN24" t="s" s="0">
        <v>518</v>
      </c>
      <c r="BO24" s="48">
        <f>ROUND((((AW24*AZ24)+(BN24*BM24))/(AW24+BN24)),5)</f>
        <v>247.70871</v>
      </c>
      <c r="BP24" s="53">
        <f>BN24+AW24</f>
        <v>358.2</v>
      </c>
      <c r="BQ24" s="54">
        <v>123562</v>
      </c>
    </row>
    <row r="25" spans="1:69" ht="15.75" thickBot="1">
      <c r="A25" s="25">
        <v>3</v>
      </c>
      <c r="B25" s="25" t="s">
        <v>275</v>
      </c>
      <c r="C25" s="25" t="s">
        <v>184</v>
      </c>
      <c r="D25" s="25" t="s">
        <v>163</v>
      </c>
      <c r="E25" s="25" t="s">
        <v>185</v>
      </c>
      <c r="F25" s="26">
        <v>37</v>
      </c>
      <c r="G25" s="26">
        <v>89.54</v>
      </c>
      <c r="H25" s="26">
        <f t="shared" si="3"/>
        <v>3312.98</v>
      </c>
      <c r="I25" s="26">
        <v>1</v>
      </c>
      <c r="J25" s="26">
        <v>2</v>
      </c>
      <c r="K25" s="26">
        <v>2.5</v>
      </c>
      <c r="L25" s="26">
        <f t="shared" si="4"/>
        <v>3312.98</v>
      </c>
      <c r="M25" s="26">
        <f t="shared" si="5"/>
        <v>33.130000000000003</v>
      </c>
      <c r="N25" s="26">
        <f t="shared" si="6"/>
        <v>3279.85</v>
      </c>
      <c r="O25" s="26">
        <f t="shared" si="7"/>
        <v>65.599999999999994</v>
      </c>
      <c r="P25" s="26">
        <f t="shared" si="8"/>
        <v>3214.25</v>
      </c>
      <c r="Q25" s="26">
        <f t="shared" si="9"/>
        <v>80.36</v>
      </c>
      <c r="R25" s="26">
        <f t="shared" si="10"/>
        <v>179.09</v>
      </c>
      <c r="S25" s="26">
        <f t="shared" si="11"/>
        <v>3133.89</v>
      </c>
      <c r="T25" s="55" t="s">
        <v>276</v>
      </c>
      <c r="U25" s="43">
        <v>0.18</v>
      </c>
      <c r="V25" s="26">
        <f t="shared" si="12"/>
        <v>282.05</v>
      </c>
      <c r="W25" s="26">
        <f t="shared" si="13"/>
        <v>282.05</v>
      </c>
      <c r="X25" s="26">
        <f t="shared" si="14"/>
        <v>0</v>
      </c>
      <c r="Y25" s="26">
        <f t="shared" si="15"/>
        <v>0</v>
      </c>
      <c r="Z25" s="91">
        <v>0</v>
      </c>
      <c r="AA25" s="26">
        <f t="shared" si="16"/>
        <v>0</v>
      </c>
      <c r="AB25" s="25">
        <f t="shared" si="17"/>
        <v>564.1</v>
      </c>
      <c r="AC25" s="25">
        <f t="shared" si="18"/>
        <v>3133.89</v>
      </c>
      <c r="AD25" s="55">
        <v>220</v>
      </c>
      <c r="AE25" s="55">
        <f>IF($P$21=1,(S25/$S$26)*$E$37,AD25/$AD$26*$E$37)</f>
        <v>0</v>
      </c>
      <c r="AF25" s="55"/>
      <c r="AG25" s="55">
        <f>IF($P$21=1,(S25/$S$26)*$E$39,AD25/$AD$26*$E$39)</f>
        <v>0</v>
      </c>
      <c r="AH25" s="55">
        <f>IF($P$21=1,(S25/$S$26)*$E$40,AD25/$AD$26*$E$40)</f>
        <v>0</v>
      </c>
      <c r="AI25" s="55">
        <f t="shared" si="1"/>
        <v>3133.89</v>
      </c>
      <c r="AJ25" s="55">
        <f t="shared" si="19"/>
        <v>0</v>
      </c>
      <c r="AK25" s="55">
        <f t="shared" si="2"/>
        <v>0</v>
      </c>
      <c r="AL25" s="25">
        <v>1E-3</v>
      </c>
      <c r="AM25" s="55">
        <f>F25/AL25</f>
        <v>37000</v>
      </c>
      <c r="AN25" s="55">
        <f t="shared" si="20"/>
        <v>8.4699999999999998E-2</v>
      </c>
      <c r="AO25" s="55">
        <f t="shared" si="21"/>
        <v>0</v>
      </c>
      <c r="AP25" s="55">
        <f t="shared" si="22"/>
        <v>0</v>
      </c>
      <c r="AQ25" s="55" t="s">
        <v>58</v>
      </c>
      <c r="AR25" s="55">
        <f t="shared" si="23"/>
        <v>8.4699999999999998E-2</v>
      </c>
      <c r="AS25" s="7" t="s">
        <v>217</v>
      </c>
      <c r="AT25" s="7" t="s">
        <v>58</v>
      </c>
      <c r="AU25" t="s" s="0">
        <v>219</v>
      </c>
      <c r="AV25" t="s" s="0">
        <v>433</v>
      </c>
      <c r="AW25" s="48">
        <f>AM25</f>
        <v>37000</v>
      </c>
      <c r="AX25" s="48">
        <f>AR25</f>
        <v>8.4699999999999998E-2</v>
      </c>
      <c r="AY25" s="48">
        <f>AU25+AW25</f>
        <v>37341</v>
      </c>
      <c r="AZ25" s="48">
        <f>ROUND(((AU25*AV25)+(AW25*AX25))/(AU25+AW25),5)</f>
        <v>2.3520699999999999</v>
      </c>
      <c r="BA25" s="7"/>
      <c r="BB25" s="7"/>
      <c r="BC25" s="85" t="s">
        <v>38</v>
      </c>
      <c r="BD25" s="86" t="s">
        <v>277</v>
      </c>
      <c r="BE25" s="7"/>
      <c r="BF25" s="7"/>
      <c r="BG25" s="7"/>
      <c r="BH25" s="7"/>
      <c r="BI25" s="7"/>
      <c r="BJ25" s="7"/>
      <c r="BK25" s="7"/>
      <c r="BL25" s="7" t="s">
        <v>271</v>
      </c>
      <c r="BM25" t="s" s="0">
        <v>433</v>
      </c>
      <c r="BN25" t="s" s="0">
        <v>519</v>
      </c>
      <c r="BO25" s="48">
        <f>ROUND((((AW25*AZ25)+(BN25*BM25))/(AW25+BN25)),5)</f>
        <v>4.6370199999999997</v>
      </c>
      <c r="BP25" s="53">
        <f>BN25+AW25</f>
        <v>37348</v>
      </c>
      <c r="BQ25" s="54">
        <v>123562</v>
      </c>
    </row>
    <row r="26" spans="1:69" ht="15.75" thickBot="1">
      <c r="A26" s="16"/>
      <c r="C26" s="62" t="s">
        <v>87</v>
      </c>
      <c r="D26" s="28"/>
      <c r="E26" s="28"/>
      <c r="F26" s="28"/>
      <c r="G26" s="29"/>
      <c r="H26" s="30">
        <f>SUM(H23:H25)</f>
        <v>13967.73</v>
      </c>
      <c r="I26" s="25"/>
      <c r="J26" s="25"/>
      <c r="K26" s="25"/>
      <c r="L26" s="25"/>
      <c r="M26" s="25"/>
      <c r="N26" s="25"/>
      <c r="O26" s="25"/>
      <c r="P26" s="25"/>
      <c r="Q26" s="25"/>
      <c r="R26" s="30">
        <f>SUM(R23:R25)</f>
        <v>755.04000000000008</v>
      </c>
      <c r="S26" s="30">
        <f>SUM(S23:S25)</f>
        <v>13212.689999999999</v>
      </c>
      <c r="T26" s="30"/>
      <c r="U26" s="30"/>
      <c r="V26" s="39">
        <f t="shared" ref="V26:AE26" si="24">SUM(V23:V25)</f>
        <v>1189.1400000000001</v>
      </c>
      <c r="W26" s="39">
        <f t="shared" si="24"/>
        <v>1189.1400000000001</v>
      </c>
      <c r="X26" s="39">
        <f t="shared" si="24"/>
        <v>0</v>
      </c>
      <c r="Y26" s="39">
        <f>SUM(Y23:Y25)</f>
        <v>0</v>
      </c>
      <c r="Z26" s="120">
        <f>SUM(Z23:Z25)</f>
        <v>0</v>
      </c>
      <c r="AA26" s="39">
        <f>SUM(AA23:AA25)</f>
        <v>0</v>
      </c>
      <c r="AB26" s="30">
        <f>SUM(AB23:AB25)</f>
        <v>2378.2800000000002</v>
      </c>
      <c r="AC26" s="44">
        <f>SUM(AC23:AC25)</f>
        <v>14309.349999999999</v>
      </c>
      <c r="AD26" s="45">
        <f t="shared" si="24"/>
        <v>690</v>
      </c>
      <c r="AE26" s="45">
        <f t="shared" si="24"/>
        <v>0</v>
      </c>
      <c r="AF26" s="44"/>
      <c r="AG26" s="45">
        <f>SUM(AG23:AG25)</f>
        <v>0</v>
      </c>
      <c r="AH26" s="45">
        <f>IF($P$21=1,(S26/$S$26)*$E$40,AD26/$AD$26*$E$40)</f>
        <v>0</v>
      </c>
      <c r="AI26" s="45">
        <f>SUM(AI23:AI25)</f>
        <v>13212.689999999999</v>
      </c>
      <c r="AJ26" s="45">
        <f>SUM(AJ23:AJ25)</f>
        <v>0</v>
      </c>
      <c r="AK26" s="45">
        <f>SUM(AK23:AK25)</f>
        <v>0</v>
      </c>
      <c r="AL26" s="44"/>
      <c r="AM26" s="44"/>
      <c r="AN26" s="44"/>
      <c r="AO26" s="44"/>
      <c r="AP26" s="44"/>
      <c r="AQ26" s="44"/>
      <c r="AR26" s="44"/>
      <c r="AS26" s="16"/>
      <c r="AT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</row>
    <row r="27" spans="1:69" ht="15.75" thickBo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</row>
    <row r="28" spans="1:69" ht="15.75" thickBot="1">
      <c r="A28" s="16"/>
      <c r="B28" s="16"/>
      <c r="C28" s="16"/>
      <c r="D28" s="16"/>
      <c r="E28" s="16"/>
      <c r="F28" s="16"/>
      <c r="G28" s="156" t="s">
        <v>194</v>
      </c>
      <c r="H28" s="157"/>
      <c r="I28" s="158">
        <f>H26</f>
        <v>13967.73</v>
      </c>
      <c r="J28" s="158"/>
      <c r="K28" s="65"/>
      <c r="L28" s="16"/>
      <c r="M28" s="159" t="s">
        <v>195</v>
      </c>
      <c r="N28" s="160"/>
      <c r="O28" s="160"/>
      <c r="P28" s="161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 t="s">
        <v>278</v>
      </c>
      <c r="BI28" s="108" t="s">
        <v>279</v>
      </c>
      <c r="BJ28" s="16"/>
      <c r="BK28" s="16"/>
      <c r="BL28" s="16"/>
      <c r="BM28" s="16"/>
      <c r="BN28" s="16"/>
      <c r="BO28" s="16"/>
    </row>
    <row r="29" spans="1:69" ht="15.75" thickBot="1">
      <c r="A29" s="16"/>
      <c r="B29" s="16"/>
      <c r="C29" s="16"/>
      <c r="D29" s="16"/>
      <c r="E29" s="16"/>
      <c r="F29" s="16"/>
      <c r="G29" s="156" t="s">
        <v>196</v>
      </c>
      <c r="H29" s="157"/>
      <c r="I29" s="158">
        <f>R26</f>
        <v>755.04000000000008</v>
      </c>
      <c r="J29" s="158"/>
      <c r="K29" s="16"/>
      <c r="L29" s="16"/>
      <c r="M29" s="66">
        <v>1</v>
      </c>
      <c r="N29" s="66" t="s">
        <v>58</v>
      </c>
      <c r="O29" s="66">
        <v>2</v>
      </c>
      <c r="P29" s="66" t="s">
        <v>163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 t="s">
        <v>280</v>
      </c>
      <c r="BI29" s="108" t="s">
        <v>281</v>
      </c>
      <c r="BJ29" s="16"/>
      <c r="BK29" s="16"/>
      <c r="BL29" s="16"/>
      <c r="BM29" s="16"/>
      <c r="BN29" s="16"/>
      <c r="BO29" s="16"/>
    </row>
    <row r="30" spans="1:69" ht="15.75" thickBot="1">
      <c r="A30" s="16"/>
      <c r="B30" s="16"/>
      <c r="C30" s="16"/>
      <c r="D30" s="16"/>
      <c r="E30" s="16"/>
      <c r="F30" s="16"/>
      <c r="G30" s="156" t="s">
        <v>197</v>
      </c>
      <c r="H30" s="157"/>
      <c r="I30" s="158">
        <f>S26</f>
        <v>13212.689999999999</v>
      </c>
      <c r="J30" s="158"/>
      <c r="K30" s="16"/>
      <c r="L30" s="16"/>
      <c r="M30" s="25">
        <v>1</v>
      </c>
      <c r="N30" s="25" t="s">
        <v>58</v>
      </c>
      <c r="O30" s="25">
        <v>2.5</v>
      </c>
      <c r="P30" s="25" t="s">
        <v>176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</row>
    <row r="31" spans="1:69" ht="15.75" thickBot="1">
      <c r="A31" s="16"/>
      <c r="B31" s="16"/>
      <c r="C31" s="16"/>
      <c r="D31" s="16"/>
      <c r="E31" s="16"/>
      <c r="F31" s="16"/>
      <c r="G31" s="156" t="s">
        <v>198</v>
      </c>
      <c r="H31" s="157"/>
      <c r="I31" s="158">
        <f>AB26</f>
        <v>2378.2800000000002</v>
      </c>
      <c r="J31" s="158"/>
      <c r="K31" s="16"/>
      <c r="L31" s="16"/>
      <c r="M31" s="25">
        <v>1</v>
      </c>
      <c r="N31" s="25" t="s">
        <v>163</v>
      </c>
      <c r="O31" s="25">
        <v>1E-3</v>
      </c>
      <c r="P31" s="25" t="s">
        <v>185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</row>
    <row r="32" spans="1:69" ht="15.75" thickBot="1">
      <c r="A32" s="16"/>
      <c r="B32" s="16"/>
      <c r="C32" s="16"/>
      <c r="D32" s="16"/>
      <c r="E32" s="16"/>
      <c r="F32" s="16"/>
      <c r="G32" s="156" t="s">
        <v>199</v>
      </c>
      <c r="H32" s="157"/>
      <c r="I32" s="162">
        <f>I30+I31</f>
        <v>15590.97</v>
      </c>
      <c r="J32" s="162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</row>
    <row r="33" spans="1:67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 t="s">
        <v>282</v>
      </c>
      <c r="BN33" s="16" t="s">
        <v>283</v>
      </c>
      <c r="BO33" s="16"/>
    </row>
    <row r="34" spans="1:67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 t="s">
        <v>284</v>
      </c>
      <c r="BL34" s="16">
        <v>12.5</v>
      </c>
      <c r="BM34" s="16">
        <f>BL36*BL37</f>
        <v>18277.77</v>
      </c>
      <c r="BN34" s="16">
        <f>BL34*BL35</f>
        <v>6092.59</v>
      </c>
      <c r="BO34" s="16"/>
    </row>
    <row r="35" spans="1:67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 t="s">
        <v>285</v>
      </c>
      <c r="BL35" s="16">
        <v>487.40719999999999</v>
      </c>
      <c r="BM35" s="16">
        <f>BL34+BL36</f>
        <v>50</v>
      </c>
      <c r="BN35" s="16"/>
      <c r="BO35" s="16"/>
    </row>
    <row r="36" spans="1:67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 t="s">
        <v>286</v>
      </c>
      <c r="BL36" s="16">
        <v>37.5</v>
      </c>
      <c r="BM36" s="16"/>
      <c r="BN36" s="16"/>
      <c r="BO36" s="16"/>
    </row>
    <row r="37" spans="1:6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 t="s">
        <v>287</v>
      </c>
      <c r="BL37" s="16">
        <v>487.40719999999999</v>
      </c>
      <c r="BM37" s="16"/>
      <c r="BN37" s="16"/>
      <c r="BO37" s="16"/>
    </row>
    <row r="38" spans="1:67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>
        <f>BM34+BN34</f>
        <v>24370.36</v>
      </c>
      <c r="BN38" s="16">
        <f>BM38/BM35</f>
        <v>487.40719999999999</v>
      </c>
      <c r="BO38" s="16"/>
    </row>
    <row r="39" spans="1:67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</row>
    <row r="40" spans="1:67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</row>
  </sheetData>
  <mergeCells count="14">
    <mergeCell ref="G32:H32"/>
    <mergeCell ref="I32:J32"/>
    <mergeCell ref="G29:H29"/>
    <mergeCell ref="I29:J29"/>
    <mergeCell ref="G30:H30"/>
    <mergeCell ref="I30:J30"/>
    <mergeCell ref="G31:H31"/>
    <mergeCell ref="I31:J31"/>
    <mergeCell ref="A1:AC1"/>
    <mergeCell ref="B19:G19"/>
    <mergeCell ref="A21:B21"/>
    <mergeCell ref="G28:H28"/>
    <mergeCell ref="I28:J28"/>
    <mergeCell ref="M28:P28"/>
  </mergeCells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Q39"/>
  <sheetViews>
    <sheetView topLeftCell="BK13" workbookViewId="0">
      <selection activeCell="BP24" sqref="BP24"/>
    </sheetView>
  </sheetViews>
  <sheetFormatPr defaultColWidth="9" defaultRowHeight="15"/>
  <cols>
    <col min="2" max="2" customWidth="true" width="23.5703125"/>
    <col min="4" max="4" bestFit="true" customWidth="true" width="72.42578125"/>
    <col min="11" max="11" customWidth="true" width="6.140625"/>
    <col min="29" max="29" bestFit="true" customWidth="true" width="11.5703125"/>
    <col min="35" max="35" customWidth="true" width="14.28515625"/>
    <col min="36" max="36" customWidth="true" width="17.5703125"/>
    <col min="37" max="37" bestFit="true" customWidth="true" width="13.42578125"/>
    <col min="38" max="38" bestFit="true" customWidth="true" width="13.5703125"/>
    <col min="45" max="45" customWidth="true" width="9.42578125"/>
    <col min="47" max="47" customWidth="true" width="15.28515625"/>
    <col min="48" max="48" customWidth="true" width="20.28515625"/>
    <col min="50" max="50" bestFit="true" customWidth="true" width="16.28515625"/>
    <col min="51" max="51" customWidth="true" width="13.85546875"/>
    <col min="52" max="52" customWidth="true" width="18.85546875"/>
    <col min="54" max="57" customWidth="true" width="21.7109375"/>
    <col min="58" max="58" customWidth="true" width="16.5703125"/>
    <col min="59" max="59" customWidth="true" width="13.7109375"/>
    <col min="60" max="60" customWidth="true" width="12.42578125"/>
    <col min="63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67" ht="18.75" thickBot="1">
      <c r="A1" s="154" t="s">
        <v>154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</row>
    <row r="2" spans="1:67" ht="18.75" thickBot="1">
      <c r="A2" s="143" t="s">
        <v>47</v>
      </c>
      <c r="B2" s="143"/>
      <c r="C2" s="143"/>
      <c r="D2" s="143"/>
      <c r="E2" s="143"/>
      <c r="F2" s="143"/>
      <c r="G2" s="143"/>
      <c r="H2" s="143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</row>
    <row r="3" spans="1:67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</row>
    <row r="4" spans="1:67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</row>
    <row r="5" spans="1:67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</row>
    <row r="6" spans="1:67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</row>
    <row r="7" spans="1:67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</row>
    <row r="8" spans="1:67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</row>
    <row r="9" spans="1:67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</row>
    <row r="10" spans="1:67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</row>
    <row r="11" spans="1:67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</row>
    <row r="12" spans="1:67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</row>
    <row r="13" spans="1:67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</row>
    <row r="14" spans="1:67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</row>
    <row r="15" spans="1:67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</row>
    <row r="16" spans="1:67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</row>
    <row r="17" spans="1:69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</row>
    <row r="18" spans="1:69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</row>
    <row r="19" spans="1:69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</row>
    <row r="20" spans="1:69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</row>
    <row r="21" spans="1:69" ht="15.75" thickBot="1">
      <c r="A21" s="151" t="s">
        <v>89</v>
      </c>
      <c r="B21" s="151"/>
      <c r="C21" s="20">
        <v>1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2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</row>
    <row r="22" spans="1:69" ht="58.5" thickTop="1" thickBot="1">
      <c r="A22" s="61" t="s">
        <v>155</v>
      </c>
      <c r="B22" s="61" t="s">
        <v>49</v>
      </c>
      <c r="C22" s="61" t="s">
        <v>156</v>
      </c>
      <c r="D22" s="61" t="s">
        <v>51</v>
      </c>
      <c r="E22" s="61" t="s">
        <v>52</v>
      </c>
      <c r="F22" s="61" t="s">
        <v>53</v>
      </c>
      <c r="G22" s="61" t="s">
        <v>54</v>
      </c>
      <c r="H22" s="61" t="s">
        <v>55</v>
      </c>
      <c r="I22" s="63" t="s">
        <v>97</v>
      </c>
      <c r="J22" s="63" t="s">
        <v>99</v>
      </c>
      <c r="K22" s="63" t="s">
        <v>98</v>
      </c>
      <c r="L22" s="64" t="s">
        <v>100</v>
      </c>
      <c r="M22" s="64" t="s">
        <v>101</v>
      </c>
      <c r="N22" s="64" t="s">
        <v>104</v>
      </c>
      <c r="O22" s="64" t="s">
        <v>105</v>
      </c>
      <c r="P22" s="64" t="s">
        <v>157</v>
      </c>
      <c r="Q22" s="64" t="s">
        <v>103</v>
      </c>
      <c r="R22" s="63" t="s">
        <v>106</v>
      </c>
      <c r="S22" s="61" t="s">
        <v>158</v>
      </c>
      <c r="T22" s="61" t="s">
        <v>108</v>
      </c>
      <c r="U22" s="67" t="s">
        <v>159</v>
      </c>
      <c r="V22" s="67" t="s">
        <v>110</v>
      </c>
      <c r="W22" s="67" t="s">
        <v>111</v>
      </c>
      <c r="X22" s="67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69" t="s">
        <v>114</v>
      </c>
      <c r="AD22" s="69" t="s">
        <v>115</v>
      </c>
      <c r="AE22" s="69" t="s">
        <v>116</v>
      </c>
      <c r="AF22" s="69" t="s">
        <v>117</v>
      </c>
      <c r="AG22" s="69" t="s">
        <v>118</v>
      </c>
      <c r="AH22" s="69" t="s">
        <v>119</v>
      </c>
      <c r="AI22" s="69" t="s">
        <v>120</v>
      </c>
      <c r="AJ22" s="69" t="s">
        <v>121</v>
      </c>
      <c r="AK22" s="69" t="s">
        <v>122</v>
      </c>
      <c r="AL22" s="69" t="s">
        <v>123</v>
      </c>
      <c r="AM22" s="69" t="s">
        <v>124</v>
      </c>
      <c r="AN22" s="69" t="s">
        <v>125</v>
      </c>
      <c r="AO22" s="69" t="s">
        <v>126</v>
      </c>
      <c r="AP22" s="69" t="s">
        <v>127</v>
      </c>
      <c r="AQ22" s="69" t="s">
        <v>128</v>
      </c>
      <c r="AR22" s="70" t="s">
        <v>160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69" ht="15.75" thickBot="1">
      <c r="A23" s="25">
        <v>1</v>
      </c>
      <c r="B23" s="25" t="s">
        <v>382</v>
      </c>
      <c r="C23" s="25" t="s">
        <v>162</v>
      </c>
      <c r="D23" s="25" t="s">
        <v>58</v>
      </c>
      <c r="E23" s="25" t="s">
        <v>163</v>
      </c>
      <c r="F23" s="26">
        <v>25</v>
      </c>
      <c r="G23" t="s" s="0">
        <v>475</v>
      </c>
      <c r="H23" s="26">
        <f>F23*G23</f>
        <v>6440.75</v>
      </c>
      <c r="I23" t="s" s="0">
        <v>224</v>
      </c>
      <c r="J23" s="26">
        <v>2</v>
      </c>
      <c r="K23" s="26">
        <v>2.5</v>
      </c>
      <c r="L23" s="26">
        <f>H23</f>
        <v>6440.75</v>
      </c>
      <c r="M23" s="26">
        <f>ROUND(L23*I23%,2)</f>
        <v>64.41</v>
      </c>
      <c r="N23" s="26">
        <f>H23-M23</f>
        <v>6376.34</v>
      </c>
      <c r="O23" s="26">
        <f>ROUND(N23*J23%,2)</f>
        <v>127.53</v>
      </c>
      <c r="P23" s="26">
        <f>ROUND(N23-O23,2)</f>
        <v>6248.81</v>
      </c>
      <c r="Q23" s="26">
        <f>ROUND(P23*K23%,2)</f>
        <v>156.22</v>
      </c>
      <c r="R23" s="26">
        <f>ROUND((M23+O23+Q23),2)</f>
        <v>348.16</v>
      </c>
      <c r="S23" s="26">
        <f>ROUND((H23-R23),2)</f>
        <v>6092.59</v>
      </c>
      <c r="T23" s="55" t="s">
        <v>146</v>
      </c>
      <c r="U23" s="43">
        <v>0.18</v>
      </c>
      <c r="V23" s="26">
        <f>IF(OR($C$21=1,$C$21=4),ROUND(((S23*U23)/2),2),0)</f>
        <v>548.33000000000004</v>
      </c>
      <c r="W23" s="26">
        <f>IF($C$21=1,ROUND(((S23*U23)/2),2),0)</f>
        <v>548.33000000000004</v>
      </c>
      <c r="X23" s="26">
        <f>IF($C$21=2,ROUND(((S23*U23)),2),0)</f>
        <v>0</v>
      </c>
      <c r="Y23" s="26">
        <f>IF($C$21=4,ROUND(((S23*U23)/2),2),0)</f>
        <v>0</v>
      </c>
      <c r="Z23" s="91">
        <v>0</v>
      </c>
      <c r="AA23" s="26">
        <f>IF($C21=3, 0, ROUND(S23*Z23, 2))</f>
        <v>0</v>
      </c>
      <c r="AB23" s="25">
        <f>V23+W23+X23+Y23+AA23</f>
        <v>1096.6600000000001</v>
      </c>
      <c r="AC23" s="25">
        <f>IF($V21=1,S23+AB23,S23)</f>
        <v>7189.25</v>
      </c>
      <c r="AD23" s="55">
        <v>120</v>
      </c>
      <c r="AE23" s="55">
        <f>IF($P$21=1,(S23/$S$25)*$E$36,AD23/$AD$25*$E$36)</f>
        <v>0</v>
      </c>
      <c r="AF23" s="55"/>
      <c r="AG23" s="55">
        <f>IF($P$21=1,(S23/$S$25)*$E$38,AD23/$AD$25*$E$38)</f>
        <v>0</v>
      </c>
      <c r="AH23" s="55">
        <f>IF($P$21=1,(S23/$S$25)*$E$39,AD23/$AD$25*$E$39)</f>
        <v>0</v>
      </c>
      <c r="AI23" s="55">
        <f t="shared" ref="AI23:AI24" si="1">S23*$M$21</f>
        <v>6092.59</v>
      </c>
      <c r="AJ23" s="55">
        <f>IF($C$21=3,0,AG23+AH23)</f>
        <v>0</v>
      </c>
      <c r="AK23" s="55">
        <f t="shared" ref="AK23:AK24" si="2">IF($C$21=3,AE23+AG23+AH23,0)</f>
        <v>0</v>
      </c>
      <c r="AL23" s="82">
        <v>3</v>
      </c>
      <c r="AM23" s="55">
        <f>F23/AL23</f>
        <v>8.3333333333333339</v>
      </c>
      <c r="AN23" s="55">
        <f>ROUND(AI23/AM23,5)</f>
        <v>731.11080000000004</v>
      </c>
      <c r="AO23" s="55">
        <f>AJ23/AM23</f>
        <v>0</v>
      </c>
      <c r="AP23" s="55">
        <f>AK23/AM23</f>
        <v>0</v>
      </c>
      <c r="AQ23" s="55" t="s">
        <v>58</v>
      </c>
      <c r="AR23" s="55">
        <f>ROUND(AN23+AO23+AP23,5)</f>
        <v>731.11080000000004</v>
      </c>
      <c r="AS23" s="48" t="s">
        <v>217</v>
      </c>
      <c r="AT23" s="48" t="s">
        <v>58</v>
      </c>
      <c r="AU23" t="s" s="0">
        <v>219</v>
      </c>
      <c r="AV23" t="s" s="0">
        <v>473</v>
      </c>
      <c r="AW23" s="48">
        <f>AM23</f>
        <v>8.3333333333333339</v>
      </c>
      <c r="AX23" s="48">
        <f>AR23</f>
        <v>731.11080000000004</v>
      </c>
      <c r="AY23" s="48">
        <f>AU23+AW23</f>
        <v>8.3333333333333339</v>
      </c>
      <c r="AZ23" s="48">
        <f>ROUND(((AU23*AV23)+(AW23*AX23))/(AU23+AW23),5)</f>
        <v>731.11080000000004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7" t="s">
        <v>271</v>
      </c>
      <c r="BM23" t="s" s="0">
        <v>473</v>
      </c>
      <c r="BN23" t="s" s="0">
        <v>561</v>
      </c>
      <c r="BO23" s="48">
        <f>ROUND((((AW23*AZ23)+(BN23*BM23))/(AW23+BN23)),5)</f>
        <v>663.10973999999999</v>
      </c>
      <c r="BP23" s="53">
        <f>ROUND(BN23+AW23,3)</f>
        <v>41.664999999999999</v>
      </c>
      <c r="BQ23" s="54">
        <v>123562</v>
      </c>
    </row>
    <row r="24" spans="1:69" ht="15.75" thickBot="1">
      <c r="A24" s="25">
        <v>2</v>
      </c>
      <c r="B24" s="25" t="s">
        <v>383</v>
      </c>
      <c r="C24" s="25" t="s">
        <v>175</v>
      </c>
      <c r="D24" s="25" t="s">
        <v>58</v>
      </c>
      <c r="E24" s="25" t="s">
        <v>163</v>
      </c>
      <c r="F24" s="26">
        <v>28</v>
      </c>
      <c r="G24" t="s" s="0">
        <v>484</v>
      </c>
      <c r="H24" s="26">
        <f t="shared" ref="H24" si="3">F24*G24</f>
        <v>4214</v>
      </c>
      <c r="I24" t="s" s="0">
        <v>485</v>
      </c>
      <c r="J24" s="26">
        <v>2</v>
      </c>
      <c r="K24" s="26">
        <v>2.5</v>
      </c>
      <c r="L24" s="26">
        <f t="shared" ref="L24" si="4">H24</f>
        <v>4214</v>
      </c>
      <c r="M24" s="26">
        <f t="shared" ref="M24" si="5">ROUND(L24*I24%,2)</f>
        <v>42.14</v>
      </c>
      <c r="N24" s="26">
        <f t="shared" ref="N24" si="6">H24-M24</f>
        <v>4171.8599999999997</v>
      </c>
      <c r="O24" s="26">
        <f t="shared" ref="O24" si="7">ROUND(N24*J24%,2)</f>
        <v>83.44</v>
      </c>
      <c r="P24" s="26">
        <f t="shared" ref="P24" si="8">ROUND(N24-O24,2)</f>
        <v>4088.42</v>
      </c>
      <c r="Q24" s="26">
        <f t="shared" ref="Q24" si="9">ROUND(P24*K24%,2)</f>
        <v>102.21</v>
      </c>
      <c r="R24" s="26">
        <f t="shared" ref="R24" si="10">ROUND((M24+O24+Q24),2)</f>
        <v>227.79</v>
      </c>
      <c r="S24" s="26">
        <f t="shared" ref="S24" si="11">ROUND((H24-R24),2)</f>
        <v>3986.21</v>
      </c>
      <c r="T24" s="55" t="s">
        <v>273</v>
      </c>
      <c r="U24" s="43">
        <v>0.18</v>
      </c>
      <c r="V24" s="26">
        <f t="shared" ref="V24" si="12">IF(OR($C$21=1,$C$21=4),ROUND(((S24*U24)/2),2),0)</f>
        <v>358.76</v>
      </c>
      <c r="W24" s="26">
        <f t="shared" ref="W24" si="13">IF($C$21=1,ROUND(((S24*U24)/2),2),0)</f>
        <v>358.76</v>
      </c>
      <c r="X24" s="26">
        <f t="shared" ref="X24" si="14">IF($C$21=2,ROUND(((S24*U24)),2),0)</f>
        <v>0</v>
      </c>
      <c r="Y24" s="26">
        <f t="shared" ref="Y24" si="15">IF($C$21=4,ROUND(((S24*U24)/2),2),0)</f>
        <v>0</v>
      </c>
      <c r="Z24" s="91">
        <v>0</v>
      </c>
      <c r="AA24" s="26">
        <f t="shared" ref="AA24" si="16">IF($C22=3, 0, ROUND(S24*Z24, 2))</f>
        <v>0</v>
      </c>
      <c r="AB24" s="25">
        <f t="shared" ref="AB24" si="17">V24+W24+X24+Y24+AA24</f>
        <v>717.52</v>
      </c>
      <c r="AC24" s="25">
        <f t="shared" ref="AC24" si="18">IF($V22=1,S24+AB24,S24)</f>
        <v>3986.21</v>
      </c>
      <c r="AD24" s="55">
        <v>350</v>
      </c>
      <c r="AE24" s="55">
        <f>IF($P$21=1,(S24/$S$25)*$E$36,AD24/$AD$25*$E$36)</f>
        <v>0</v>
      </c>
      <c r="AF24" s="55"/>
      <c r="AG24" s="55">
        <f>IF($P$21=1,(S24/$S$25)*$E$38,AD24/$AD$25*$E$38)</f>
        <v>0</v>
      </c>
      <c r="AH24" s="55">
        <f>IF($P$21=1,(S24/$S$25)*$E$39,AD24/$AD$25*$E$39)</f>
        <v>0</v>
      </c>
      <c r="AI24" s="55">
        <f t="shared" si="1"/>
        <v>3986.21</v>
      </c>
      <c r="AJ24" s="55">
        <f t="shared" ref="AJ24" si="19">IF($C$21=3,0,AG24+AH24)</f>
        <v>0</v>
      </c>
      <c r="AK24" s="55">
        <f t="shared" si="2"/>
        <v>0</v>
      </c>
      <c r="AL24" s="82">
        <v>3</v>
      </c>
      <c r="AM24" s="55">
        <f>F24/AL24</f>
        <v>9.3333333333333339</v>
      </c>
      <c r="AN24" s="55">
        <f t="shared" ref="AN24" si="20">ROUND(AI24/AM24,5)</f>
        <v>427.09393</v>
      </c>
      <c r="AO24" s="55">
        <f t="shared" ref="AO24" si="21">AJ24/AM24</f>
        <v>0</v>
      </c>
      <c r="AP24" s="55">
        <f t="shared" ref="AP24" si="22">AK24/AM24</f>
        <v>0</v>
      </c>
      <c r="AQ24" s="55" t="s">
        <v>58</v>
      </c>
      <c r="AR24" s="55">
        <f t="shared" ref="AR24" si="23">ROUND(AN24+AO24+AP24,5)</f>
        <v>427.09393</v>
      </c>
      <c r="AS24" s="48" t="s">
        <v>217</v>
      </c>
      <c r="AT24" s="48" t="s">
        <v>58</v>
      </c>
      <c r="AU24" t="s" s="0">
        <v>219</v>
      </c>
      <c r="AV24" t="s" s="0">
        <v>474</v>
      </c>
      <c r="AW24" s="48">
        <f>AM24</f>
        <v>9.3333333333333339</v>
      </c>
      <c r="AX24" s="48">
        <f>AR24</f>
        <v>427.09393</v>
      </c>
      <c r="AY24" s="48">
        <f>AU24+AW24</f>
        <v>9.3333333333333339</v>
      </c>
      <c r="AZ24" s="48">
        <f>ROUND(((AU24*AV24)+(AW24*AX24))/(AU24+AW24),5)</f>
        <v>427.09393</v>
      </c>
      <c r="BA24" s="50"/>
      <c r="BB24" s="50" t="s">
        <v>149</v>
      </c>
      <c r="BC24" s="80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7" t="s">
        <v>271</v>
      </c>
      <c r="BM24" t="s" s="0">
        <v>474</v>
      </c>
      <c r="BN24" t="s" s="0">
        <v>562</v>
      </c>
      <c r="BO24" s="48">
        <f>ROUND((((AW24*AZ24)+(BN24*BM24))/(AW24+BN24)),5)</f>
        <v>542.01652000000001</v>
      </c>
      <c r="BP24" s="53">
        <f>ROUND(BN24+AW24,3)</f>
        <v>18.666</v>
      </c>
      <c r="BQ24" s="54">
        <v>123562</v>
      </c>
    </row>
    <row r="25" spans="1:69" ht="15.75" thickBot="1">
      <c r="A25" s="16"/>
      <c r="C25" s="62" t="s">
        <v>87</v>
      </c>
      <c r="D25" s="28"/>
      <c r="E25" s="28"/>
      <c r="F25" s="28"/>
      <c r="G25" s="29"/>
      <c r="H25" s="30">
        <f>SUM(H23:H24)</f>
        <v>10654.75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575.95000000000005</v>
      </c>
      <c r="S25" s="30">
        <f>SUM(S23:S24)</f>
        <v>10078.799999999999</v>
      </c>
      <c r="T25" s="30"/>
      <c r="U25" s="30"/>
      <c r="V25" s="39">
        <f t="shared" ref="V25:AE25" si="24">SUM(V23:V24)</f>
        <v>907.09</v>
      </c>
      <c r="W25" s="39">
        <f t="shared" si="24"/>
        <v>907.09</v>
      </c>
      <c r="X25" s="39">
        <f t="shared" si="24"/>
        <v>0</v>
      </c>
      <c r="Y25" s="39">
        <f t="shared" si="24"/>
        <v>0</v>
      </c>
      <c r="Z25" s="120">
        <f t="shared" si="24"/>
        <v>0</v>
      </c>
      <c r="AA25" s="39">
        <f t="shared" si="24"/>
        <v>0</v>
      </c>
      <c r="AB25" s="30">
        <f t="shared" si="24"/>
        <v>1814.18</v>
      </c>
      <c r="AC25" s="44">
        <f t="shared" si="24"/>
        <v>11175.46</v>
      </c>
      <c r="AD25" s="45">
        <f t="shared" si="24"/>
        <v>470</v>
      </c>
      <c r="AE25" s="45">
        <f t="shared" si="24"/>
        <v>0</v>
      </c>
      <c r="AF25" s="44"/>
      <c r="AG25" s="45">
        <f>SUM(AG23:AG24)</f>
        <v>0</v>
      </c>
      <c r="AH25" s="45">
        <f>IF($P$21=1,(S25/$S$25)*$E$39,AD25/$AD$25*$E$39)</f>
        <v>0</v>
      </c>
      <c r="AI25" s="45">
        <f>SUM(AI23:AI24)</f>
        <v>10078.799999999999</v>
      </c>
      <c r="AJ25" s="45">
        <f>SUM(AJ23:AJ24)</f>
        <v>0</v>
      </c>
      <c r="AK25" s="45">
        <f>SUM(AK23:AK24)</f>
        <v>0</v>
      </c>
      <c r="AL25" s="44"/>
      <c r="AM25" s="44"/>
      <c r="AN25" s="44"/>
      <c r="AO25" s="44"/>
      <c r="AP25" s="44"/>
      <c r="AQ25" s="44"/>
      <c r="AR25" s="44"/>
      <c r="AS25" s="16"/>
      <c r="AT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</row>
    <row r="26" spans="1:69" ht="15.75" thickBo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</row>
    <row r="27" spans="1:69" ht="15.75" thickBot="1">
      <c r="A27" s="16"/>
      <c r="B27" s="16"/>
      <c r="C27" s="16"/>
      <c r="D27" s="16"/>
      <c r="E27" s="16"/>
      <c r="F27" s="16"/>
      <c r="G27" s="156" t="s">
        <v>194</v>
      </c>
      <c r="H27" s="157"/>
      <c r="I27" s="158">
        <f>H25</f>
        <v>10654.75</v>
      </c>
      <c r="J27" s="158"/>
      <c r="K27" s="65"/>
      <c r="L27" s="16"/>
      <c r="M27" s="159" t="s">
        <v>195</v>
      </c>
      <c r="N27" s="160"/>
      <c r="O27" s="160"/>
      <c r="P27" s="161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 t="s">
        <v>278</v>
      </c>
      <c r="BI27" s="108" t="s">
        <v>279</v>
      </c>
      <c r="BJ27" s="16"/>
      <c r="BK27" s="16"/>
      <c r="BL27" s="16"/>
      <c r="BM27" s="16"/>
      <c r="BN27" s="16"/>
      <c r="BO27" s="16"/>
    </row>
    <row r="28" spans="1:69" ht="15.75" thickBot="1">
      <c r="A28" s="16"/>
      <c r="B28" s="16"/>
      <c r="C28" s="16"/>
      <c r="D28" s="16"/>
      <c r="E28" s="16"/>
      <c r="F28" s="16"/>
      <c r="G28" s="156" t="s">
        <v>196</v>
      </c>
      <c r="H28" s="157"/>
      <c r="I28" s="158">
        <f>R25</f>
        <v>575.95000000000005</v>
      </c>
      <c r="J28" s="158"/>
      <c r="K28" s="16"/>
      <c r="L28" s="16"/>
      <c r="M28" s="66">
        <v>1</v>
      </c>
      <c r="N28" s="66" t="s">
        <v>58</v>
      </c>
      <c r="O28" s="66">
        <v>2</v>
      </c>
      <c r="P28" s="66" t="s">
        <v>163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 t="s">
        <v>280</v>
      </c>
      <c r="BI28" s="108" t="s">
        <v>281</v>
      </c>
      <c r="BJ28" s="16"/>
      <c r="BK28" s="16"/>
      <c r="BL28" s="16"/>
      <c r="BM28" s="16"/>
      <c r="BN28" s="16"/>
      <c r="BO28" s="16"/>
    </row>
    <row r="29" spans="1:69" ht="15.75" thickBot="1">
      <c r="A29" s="16"/>
      <c r="B29" s="16"/>
      <c r="C29" s="16"/>
      <c r="D29" s="16"/>
      <c r="E29" s="16"/>
      <c r="F29" s="16"/>
      <c r="G29" s="156" t="s">
        <v>197</v>
      </c>
      <c r="H29" s="157"/>
      <c r="I29" s="158">
        <f>S25</f>
        <v>10078.799999999999</v>
      </c>
      <c r="J29" s="158"/>
      <c r="K29" s="16"/>
      <c r="L29" s="16"/>
      <c r="M29" s="25">
        <v>1</v>
      </c>
      <c r="N29" s="25" t="s">
        <v>58</v>
      </c>
      <c r="O29" s="25">
        <v>2.5</v>
      </c>
      <c r="P29" s="25" t="s">
        <v>176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</row>
    <row r="30" spans="1:69" ht="15.75" thickBot="1">
      <c r="A30" s="16"/>
      <c r="B30" s="16"/>
      <c r="C30" s="16"/>
      <c r="D30" s="16"/>
      <c r="E30" s="16"/>
      <c r="F30" s="16"/>
      <c r="G30" s="156" t="s">
        <v>198</v>
      </c>
      <c r="H30" s="157"/>
      <c r="I30" s="158">
        <f>AB25</f>
        <v>1814.18</v>
      </c>
      <c r="J30" s="158"/>
      <c r="K30" s="16"/>
      <c r="L30" s="16"/>
      <c r="M30" s="25">
        <v>1</v>
      </c>
      <c r="N30" s="25" t="s">
        <v>163</v>
      </c>
      <c r="O30" s="25">
        <v>1E-3</v>
      </c>
      <c r="P30" s="25" t="s">
        <v>185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</row>
    <row r="31" spans="1:69" ht="15.75" thickBot="1">
      <c r="A31" s="16"/>
      <c r="B31" s="16"/>
      <c r="C31" s="16"/>
      <c r="D31" s="16"/>
      <c r="E31" s="16"/>
      <c r="F31" s="16"/>
      <c r="G31" s="156" t="s">
        <v>199</v>
      </c>
      <c r="H31" s="157"/>
      <c r="I31" s="162">
        <f>I29+I30</f>
        <v>11892.98</v>
      </c>
      <c r="J31" s="162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</row>
    <row r="32" spans="1:6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 t="s">
        <v>282</v>
      </c>
      <c r="BN32" s="16" t="s">
        <v>283</v>
      </c>
      <c r="BO32" s="16"/>
    </row>
    <row r="33" spans="1:67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 t="s">
        <v>284</v>
      </c>
      <c r="BL33" s="16">
        <v>12.5</v>
      </c>
      <c r="BM33" s="16">
        <f>BL35*BL36</f>
        <v>18277.77</v>
      </c>
      <c r="BN33" s="16">
        <f>BL33*BL34</f>
        <v>6092.59</v>
      </c>
      <c r="BO33" s="16"/>
    </row>
    <row r="34" spans="1:67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 t="s">
        <v>285</v>
      </c>
      <c r="BL34" s="16">
        <v>487.40719999999999</v>
      </c>
      <c r="BM34" s="16">
        <f>BL33+BL35</f>
        <v>50</v>
      </c>
      <c r="BN34" s="16"/>
      <c r="BO34" s="16"/>
    </row>
    <row r="35" spans="1:67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 t="s">
        <v>286</v>
      </c>
      <c r="BL35" s="16">
        <v>37.5</v>
      </c>
      <c r="BM35" s="16"/>
      <c r="BN35" s="16"/>
      <c r="BO35" s="16"/>
    </row>
    <row r="36" spans="1:67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 t="s">
        <v>287</v>
      </c>
      <c r="BL36" s="16">
        <v>487.40719999999999</v>
      </c>
      <c r="BM36" s="16"/>
      <c r="BN36" s="16"/>
      <c r="BO36" s="16"/>
    </row>
    <row r="37" spans="1:6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>
        <f>BM33+BN33</f>
        <v>24370.36</v>
      </c>
      <c r="BN37" s="16">
        <f>BM37/BM34</f>
        <v>487.40719999999999</v>
      </c>
      <c r="BO37" s="16"/>
    </row>
    <row r="38" spans="1:67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</row>
    <row r="39" spans="1:67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</row>
  </sheetData>
  <mergeCells count="14">
    <mergeCell ref="B19:G19"/>
    <mergeCell ref="A21:B21"/>
    <mergeCell ref="A1:AC1"/>
    <mergeCell ref="M27:P27"/>
    <mergeCell ref="G31:H31"/>
    <mergeCell ref="I31:J31"/>
    <mergeCell ref="G30:H30"/>
    <mergeCell ref="I30:J30"/>
    <mergeCell ref="G27:H27"/>
    <mergeCell ref="I27:J27"/>
    <mergeCell ref="G28:H28"/>
    <mergeCell ref="I28:J28"/>
    <mergeCell ref="G29:H29"/>
    <mergeCell ref="I29:J2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Q39"/>
  <sheetViews>
    <sheetView workbookViewId="0">
      <selection sqref="A1:XFD1048576"/>
    </sheetView>
  </sheetViews>
  <sheetFormatPr defaultColWidth="9" defaultRowHeight="15"/>
  <cols>
    <col min="2" max="2" customWidth="true" width="23.5703125"/>
    <col min="4" max="4" bestFit="true" customWidth="true" width="72.42578125"/>
    <col min="11" max="11" customWidth="true" width="6.140625"/>
    <col min="29" max="29" bestFit="true" customWidth="true" width="11.5703125"/>
    <col min="35" max="35" customWidth="true" width="14.28515625"/>
    <col min="36" max="36" customWidth="true" width="17.5703125"/>
    <col min="37" max="37" bestFit="true" customWidth="true" width="13.42578125"/>
    <col min="38" max="38" bestFit="true" customWidth="true" width="13.5703125"/>
    <col min="45" max="45" customWidth="true" width="9.42578125"/>
    <col min="47" max="47" customWidth="true" width="15.28515625"/>
    <col min="48" max="48" customWidth="true" width="20.28515625"/>
    <col min="50" max="50" bestFit="true" customWidth="true" width="16.28515625"/>
    <col min="51" max="51" customWidth="true" width="13.85546875"/>
    <col min="52" max="52" customWidth="true" width="18.85546875"/>
    <col min="54" max="57" customWidth="true" width="21.7109375"/>
    <col min="58" max="58" customWidth="true" width="16.5703125"/>
    <col min="59" max="59" customWidth="true" width="13.7109375"/>
    <col min="60" max="60" customWidth="true" width="12.42578125"/>
    <col min="63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67" ht="18.75" thickBot="1">
      <c r="A1" s="154" t="s">
        <v>154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</row>
    <row r="2" spans="1:67" ht="18.75" thickBot="1">
      <c r="A2" s="133" t="s">
        <v>47</v>
      </c>
      <c r="B2" s="133"/>
      <c r="C2" s="133"/>
      <c r="D2" s="133"/>
      <c r="E2" s="133"/>
      <c r="F2" s="133"/>
      <c r="G2" s="133"/>
      <c r="H2" s="133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</row>
    <row r="3" spans="1:67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</row>
    <row r="4" spans="1:67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</row>
    <row r="5" spans="1:67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</row>
    <row r="6" spans="1:67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</row>
    <row r="7" spans="1:67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</row>
    <row r="8" spans="1:67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</row>
    <row r="9" spans="1:67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</row>
    <row r="10" spans="1:67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</row>
    <row r="11" spans="1:67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</row>
    <row r="12" spans="1:67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</row>
    <row r="13" spans="1:67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</row>
    <row r="14" spans="1:67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</row>
    <row r="15" spans="1:67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</row>
    <row r="16" spans="1:67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</row>
    <row r="17" spans="1:69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</row>
    <row r="18" spans="1:69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</row>
    <row r="19" spans="1:69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</row>
    <row r="20" spans="1:69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</row>
    <row r="21" spans="1:69" ht="15.75" thickBot="1">
      <c r="A21" s="151" t="s">
        <v>89</v>
      </c>
      <c r="B21" s="151"/>
      <c r="C21" s="20">
        <v>2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2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</row>
    <row r="22" spans="1:69" ht="58.5" thickTop="1" thickBot="1">
      <c r="A22" s="61" t="s">
        <v>155</v>
      </c>
      <c r="B22" s="61" t="s">
        <v>49</v>
      </c>
      <c r="C22" s="61" t="s">
        <v>156</v>
      </c>
      <c r="D22" s="61" t="s">
        <v>51</v>
      </c>
      <c r="E22" s="61" t="s">
        <v>52</v>
      </c>
      <c r="F22" s="61" t="s">
        <v>53</v>
      </c>
      <c r="G22" s="61" t="s">
        <v>54</v>
      </c>
      <c r="H22" s="61" t="s">
        <v>55</v>
      </c>
      <c r="I22" s="63" t="s">
        <v>97</v>
      </c>
      <c r="J22" s="63" t="s">
        <v>99</v>
      </c>
      <c r="K22" s="63" t="s">
        <v>98</v>
      </c>
      <c r="L22" s="64" t="s">
        <v>100</v>
      </c>
      <c r="M22" s="64" t="s">
        <v>101</v>
      </c>
      <c r="N22" s="64" t="s">
        <v>104</v>
      </c>
      <c r="O22" s="64" t="s">
        <v>105</v>
      </c>
      <c r="P22" s="64" t="s">
        <v>157</v>
      </c>
      <c r="Q22" s="64" t="s">
        <v>103</v>
      </c>
      <c r="R22" s="63" t="s">
        <v>106</v>
      </c>
      <c r="S22" s="61" t="s">
        <v>158</v>
      </c>
      <c r="T22" s="61" t="s">
        <v>108</v>
      </c>
      <c r="U22" s="67" t="s">
        <v>159</v>
      </c>
      <c r="V22" s="67" t="s">
        <v>110</v>
      </c>
      <c r="W22" s="67" t="s">
        <v>111</v>
      </c>
      <c r="X22" s="67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69" t="s">
        <v>114</v>
      </c>
      <c r="AD22" s="69" t="s">
        <v>115</v>
      </c>
      <c r="AE22" s="69" t="s">
        <v>116</v>
      </c>
      <c r="AF22" s="69" t="s">
        <v>117</v>
      </c>
      <c r="AG22" s="69" t="s">
        <v>118</v>
      </c>
      <c r="AH22" s="69" t="s">
        <v>119</v>
      </c>
      <c r="AI22" s="69" t="s">
        <v>120</v>
      </c>
      <c r="AJ22" s="69" t="s">
        <v>121</v>
      </c>
      <c r="AK22" s="69" t="s">
        <v>122</v>
      </c>
      <c r="AL22" s="69" t="s">
        <v>123</v>
      </c>
      <c r="AM22" s="69" t="s">
        <v>124</v>
      </c>
      <c r="AN22" s="69" t="s">
        <v>125</v>
      </c>
      <c r="AO22" s="69" t="s">
        <v>126</v>
      </c>
      <c r="AP22" s="69" t="s">
        <v>127</v>
      </c>
      <c r="AQ22" s="69" t="s">
        <v>128</v>
      </c>
      <c r="AR22" s="70" t="s">
        <v>160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69" ht="15.75" thickBot="1">
      <c r="A23" s="25">
        <v>1</v>
      </c>
      <c r="B23" s="25" t="s">
        <v>460</v>
      </c>
      <c r="C23" s="25" t="s">
        <v>162</v>
      </c>
      <c r="D23" s="25" t="s">
        <v>58</v>
      </c>
      <c r="E23" s="25" t="s">
        <v>163</v>
      </c>
      <c r="F23" s="26">
        <v>25</v>
      </c>
      <c r="G23" t="s" s="0">
        <v>360</v>
      </c>
      <c r="H23" s="26">
        <f>F23*G23</f>
        <v>10875</v>
      </c>
      <c r="I23" t="s" s="0">
        <v>224</v>
      </c>
      <c r="J23" s="26">
        <v>2</v>
      </c>
      <c r="K23" s="26">
        <v>2.5</v>
      </c>
      <c r="L23" s="26">
        <f>H23</f>
        <v>10875</v>
      </c>
      <c r="M23" s="26">
        <f>ROUND(L23*I23%,2)</f>
        <v>435</v>
      </c>
      <c r="N23" s="26">
        <f>H23-M23</f>
        <v>10440</v>
      </c>
      <c r="O23" s="26">
        <f>ROUND(N23*J23%,2)</f>
        <v>208.8</v>
      </c>
      <c r="P23" s="26">
        <f>ROUND(N23-O23,2)</f>
        <v>10231.200000000001</v>
      </c>
      <c r="Q23" s="26">
        <f>ROUND(P23*K23%,2)</f>
        <v>255.78</v>
      </c>
      <c r="R23" s="26">
        <f>ROUND((M23+O23+Q23),2)</f>
        <v>899.58</v>
      </c>
      <c r="S23" s="26">
        <f>ROUND((H23-R23),2)</f>
        <v>9975.42</v>
      </c>
      <c r="T23" s="55" t="s">
        <v>146</v>
      </c>
      <c r="U23" s="43">
        <v>0.18</v>
      </c>
      <c r="V23" s="26">
        <f>IF(OR($C$21=1,$C$21=4),ROUND(((S23*U23)/2),2),0)</f>
        <v>0</v>
      </c>
      <c r="W23" s="26">
        <f>IF($C$21=1,ROUND(((S23*U23)/2),2),0)</f>
        <v>0</v>
      </c>
      <c r="X23" s="26">
        <f>IF($C$21=2,ROUND(((S23*U23)),2),0)</f>
        <v>1795.58</v>
      </c>
      <c r="Y23" s="26">
        <f>IF($C$21=4,ROUND(((S23*U23)/2),2),0)</f>
        <v>0</v>
      </c>
      <c r="Z23" s="91">
        <v>0</v>
      </c>
      <c r="AA23" s="26">
        <f>IF($C21=3, 0, ROUND(S23*Z23, 2))</f>
        <v>0</v>
      </c>
      <c r="AB23" s="25">
        <f>V23+W23+X23+Y23+AA23</f>
        <v>1795.58</v>
      </c>
      <c r="AC23" s="25">
        <f>IF($V21=1,S23+AB23,S23)</f>
        <v>11771</v>
      </c>
      <c r="AD23" s="55">
        <v>120</v>
      </c>
      <c r="AE23" s="55">
        <f>IF($P$21=1,(S23/$S$25)*$E$36,AD23/$AD$25*$E$36)</f>
        <v>0</v>
      </c>
      <c r="AF23" s="55"/>
      <c r="AG23" s="55">
        <f>IF($P$21=1,(S23/$S$25)*$E$38,AD23/$AD$25*$E$38)</f>
        <v>0</v>
      </c>
      <c r="AH23" s="55">
        <f>IF($P$21=1,(S23/$S$25)*$E$39,AD23/$AD$25*$E$39)</f>
        <v>0</v>
      </c>
      <c r="AI23" s="55">
        <f t="shared" ref="AI23:AI24" si="1">S23*$M$21</f>
        <v>9975.42</v>
      </c>
      <c r="AJ23" s="55">
        <f>IF($C$21=3,0,AG23+AH23)</f>
        <v>0</v>
      </c>
      <c r="AK23" s="55">
        <f t="shared" ref="AK23:AK24" si="2">IF($C$21=3,AE23+AG23+AH23,0)</f>
        <v>0</v>
      </c>
      <c r="AL23" s="82">
        <v>2</v>
      </c>
      <c r="AM23" s="55">
        <f>F23/AL23</f>
        <v>12.5</v>
      </c>
      <c r="AN23" s="55">
        <f>ROUND(AI23/AM23,5)</f>
        <v>798.03359999999998</v>
      </c>
      <c r="AO23" s="55">
        <f>AJ23/AM23</f>
        <v>0</v>
      </c>
      <c r="AP23" s="55">
        <f>AK23/AM23</f>
        <v>0</v>
      </c>
      <c r="AQ23" s="55" t="s">
        <v>58</v>
      </c>
      <c r="AR23" s="55">
        <f>ROUND(AN23+AO23+AP23,5)</f>
        <v>798.03359999999998</v>
      </c>
      <c r="AS23" s="48" t="s">
        <v>258</v>
      </c>
      <c r="AT23" s="48" t="s">
        <v>58</v>
      </c>
      <c r="AW23" s="48">
        <f>AM23</f>
        <v>12.5</v>
      </c>
      <c r="AX23" s="48">
        <f>AR23</f>
        <v>798.03359999999998</v>
      </c>
      <c r="AY23" s="48">
        <f>AU23+AW23</f>
        <v>12.5</v>
      </c>
      <c r="AZ23" s="48">
        <f>ROUND(((AU23*AV23)+(AW23*AX23))/(AU23+AW23),5)</f>
        <v>798.03359999999998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7" t="s">
        <v>259</v>
      </c>
      <c r="BM23" t="s" s="0">
        <v>219</v>
      </c>
      <c r="BN23" t="s" s="0">
        <v>219</v>
      </c>
      <c r="BO23" s="48">
        <f>ROUND((((AW23*AZ23)+(BN23*BM23))/(AW23+BN23)),5)</f>
        <v>798.03359999999998</v>
      </c>
      <c r="BP23" s="53">
        <f>BN23+AW23</f>
        <v>300</v>
      </c>
      <c r="BQ23" s="54">
        <v>123562</v>
      </c>
    </row>
    <row r="24" spans="1:69" ht="15.75" thickBot="1">
      <c r="A24" s="25">
        <v>2</v>
      </c>
      <c r="B24" s="25" t="s">
        <v>461</v>
      </c>
      <c r="C24" s="25" t="s">
        <v>175</v>
      </c>
      <c r="D24" s="25" t="s">
        <v>58</v>
      </c>
      <c r="E24" s="25" t="s">
        <v>163</v>
      </c>
      <c r="F24" s="26">
        <v>28</v>
      </c>
      <c r="G24" t="s" s="0">
        <v>357</v>
      </c>
      <c r="H24" s="26">
        <f t="shared" ref="H24" si="3">F24*G24</f>
        <v>4214</v>
      </c>
      <c r="I24" t="s" s="0">
        <v>224</v>
      </c>
      <c r="J24" s="26">
        <v>2</v>
      </c>
      <c r="K24" s="26">
        <v>2.5</v>
      </c>
      <c r="L24" s="26">
        <f t="shared" ref="L24" si="4">H24</f>
        <v>4214</v>
      </c>
      <c r="M24" s="26">
        <f t="shared" ref="M24" si="5">ROUND(L24*I24%,2)</f>
        <v>42.14</v>
      </c>
      <c r="N24" s="26">
        <f t="shared" ref="N24" si="6">H24-M24</f>
        <v>4171.8599999999997</v>
      </c>
      <c r="O24" s="26">
        <f t="shared" ref="O24" si="7">ROUND(N24*J24%,2)</f>
        <v>83.44</v>
      </c>
      <c r="P24" s="26">
        <f t="shared" ref="P24" si="8">ROUND(N24-O24,2)</f>
        <v>4088.42</v>
      </c>
      <c r="Q24" s="26">
        <f t="shared" ref="Q24" si="9">ROUND(P24*K24%,2)</f>
        <v>102.21</v>
      </c>
      <c r="R24" s="26">
        <f t="shared" ref="R24" si="10">ROUND((M24+O24+Q24),2)</f>
        <v>227.79</v>
      </c>
      <c r="S24" s="26">
        <f t="shared" ref="S24" si="11">ROUND((H24-R24),2)</f>
        <v>3986.21</v>
      </c>
      <c r="T24" s="55" t="s">
        <v>273</v>
      </c>
      <c r="U24" s="43">
        <v>0.18</v>
      </c>
      <c r="V24" s="26">
        <f t="shared" ref="V24" si="12">IF(OR($C$21=1,$C$21=4),ROUND(((S24*U24)/2),2),0)</f>
        <v>0</v>
      </c>
      <c r="W24" s="26">
        <f t="shared" ref="W24" si="13">IF($C$21=1,ROUND(((S24*U24)/2),2),0)</f>
        <v>0</v>
      </c>
      <c r="X24" s="26">
        <f t="shared" ref="X24" si="14">IF($C$21=2,ROUND(((S24*U24)),2),0)</f>
        <v>717.52</v>
      </c>
      <c r="Y24" s="26">
        <f t="shared" ref="Y24" si="15">IF($C$21=4,ROUND(((S24*U24)/2),2),0)</f>
        <v>0</v>
      </c>
      <c r="Z24" s="91">
        <v>0</v>
      </c>
      <c r="AA24" s="26">
        <f t="shared" ref="AA24" si="16">IF($C22=3, 0, ROUND(S24*Z24, 2))</f>
        <v>0</v>
      </c>
      <c r="AB24" s="25">
        <f t="shared" ref="AB24" si="17">V24+W24+X24+Y24+AA24</f>
        <v>717.52</v>
      </c>
      <c r="AC24" s="25">
        <f t="shared" ref="AC24" si="18">IF($V22=1,S24+AB24,S24)</f>
        <v>3986.21</v>
      </c>
      <c r="AD24" s="55">
        <v>350</v>
      </c>
      <c r="AE24" s="55">
        <f>IF($P$21=1,(S24/$S$25)*$E$36,AD24/$AD$25*$E$36)</f>
        <v>0</v>
      </c>
      <c r="AF24" s="55"/>
      <c r="AG24" s="55">
        <f>IF($P$21=1,(S24/$S$25)*$E$38,AD24/$AD$25*$E$38)</f>
        <v>0</v>
      </c>
      <c r="AH24" s="55">
        <f>IF($P$21=1,(S24/$S$25)*$E$39,AD24/$AD$25*$E$39)</f>
        <v>0</v>
      </c>
      <c r="AI24" s="55">
        <f t="shared" si="1"/>
        <v>3986.21</v>
      </c>
      <c r="AJ24" s="55">
        <f t="shared" ref="AJ24" si="19">IF($C$21=3,0,AG24+AH24)</f>
        <v>0</v>
      </c>
      <c r="AK24" s="55">
        <f t="shared" si="2"/>
        <v>0</v>
      </c>
      <c r="AL24" s="82">
        <v>2.5</v>
      </c>
      <c r="AM24" s="55">
        <f>F24/AL24</f>
        <v>11.2</v>
      </c>
      <c r="AN24" s="55">
        <f t="shared" ref="AN24" si="20">ROUND(AI24/AM24,5)</f>
        <v>355.91161</v>
      </c>
      <c r="AO24" s="55">
        <f t="shared" ref="AO24" si="21">AJ24/AM24</f>
        <v>0</v>
      </c>
      <c r="AP24" s="55">
        <f t="shared" ref="AP24" si="22">AK24/AM24</f>
        <v>0</v>
      </c>
      <c r="AQ24" s="55" t="s">
        <v>58</v>
      </c>
      <c r="AR24" s="55">
        <f t="shared" ref="AR24" si="23">ROUND(AN24+AO24+AP24,5)</f>
        <v>355.91161</v>
      </c>
      <c r="AS24" s="48" t="s">
        <v>258</v>
      </c>
      <c r="AT24" s="48" t="s">
        <v>58</v>
      </c>
      <c r="AW24" s="48">
        <f>AM24</f>
        <v>11.2</v>
      </c>
      <c r="AX24" s="48">
        <f>AR24</f>
        <v>355.91161</v>
      </c>
      <c r="AY24" s="48">
        <f>AU24+AW24</f>
        <v>11.2</v>
      </c>
      <c r="AZ24" s="48">
        <f>ROUND(((AU24*AV24)+(AW24*AX24))/(AU24+AW24),5)</f>
        <v>355.91161</v>
      </c>
      <c r="BA24" s="50"/>
      <c r="BB24" s="50" t="s">
        <v>149</v>
      </c>
      <c r="BC24" s="80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7" t="s">
        <v>259</v>
      </c>
      <c r="BM24" t="s" s="0">
        <v>219</v>
      </c>
      <c r="BN24" t="s" s="0">
        <v>219</v>
      </c>
      <c r="BO24" s="48">
        <f>ROUND((((AW24*AZ24)+(BN24*BM24))/(AW24+BN24)),5)</f>
        <v>355.91161</v>
      </c>
      <c r="BP24" s="53">
        <f>BN24+AW24</f>
        <v>268.8</v>
      </c>
      <c r="BQ24" s="54">
        <v>123562</v>
      </c>
    </row>
    <row r="25" spans="1:69" ht="15.75" thickBot="1">
      <c r="A25" s="16"/>
      <c r="C25" s="62" t="s">
        <v>87</v>
      </c>
      <c r="D25" s="28"/>
      <c r="E25" s="28"/>
      <c r="F25" s="28"/>
      <c r="G25" s="29"/>
      <c r="H25" s="30">
        <f>SUM(H23:H24)</f>
        <v>15089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1127.3700000000001</v>
      </c>
      <c r="S25" s="30">
        <f>SUM(S23:S24)</f>
        <v>13961.630000000001</v>
      </c>
      <c r="T25" s="30"/>
      <c r="U25" s="30"/>
      <c r="V25" s="39">
        <f t="shared" ref="V25:AE25" si="24">SUM(V23:V24)</f>
        <v>0</v>
      </c>
      <c r="W25" s="39">
        <f t="shared" si="24"/>
        <v>0</v>
      </c>
      <c r="X25" s="39">
        <f t="shared" si="24"/>
        <v>2513.1</v>
      </c>
      <c r="Y25" s="39">
        <f t="shared" si="24"/>
        <v>0</v>
      </c>
      <c r="Z25" s="120">
        <f t="shared" si="24"/>
        <v>0</v>
      </c>
      <c r="AA25" s="39">
        <f t="shared" si="24"/>
        <v>0</v>
      </c>
      <c r="AB25" s="30">
        <f t="shared" si="24"/>
        <v>2513.1</v>
      </c>
      <c r="AC25" s="44">
        <f t="shared" si="24"/>
        <v>15757.21</v>
      </c>
      <c r="AD25" s="45">
        <f t="shared" si="24"/>
        <v>470</v>
      </c>
      <c r="AE25" s="45">
        <f t="shared" si="24"/>
        <v>0</v>
      </c>
      <c r="AF25" s="44"/>
      <c r="AG25" s="45">
        <f>SUM(AG23:AG24)</f>
        <v>0</v>
      </c>
      <c r="AH25" s="45">
        <f>IF($P$21=1,(S25/$S$25)*$E$39,AD25/$AD$25*$E$39)</f>
        <v>0</v>
      </c>
      <c r="AI25" s="45">
        <f>SUM(AI23:AI24)</f>
        <v>13961.630000000001</v>
      </c>
      <c r="AJ25" s="45">
        <f>SUM(AJ23:AJ24)</f>
        <v>0</v>
      </c>
      <c r="AK25" s="45">
        <f>SUM(AK23:AK24)</f>
        <v>0</v>
      </c>
      <c r="AL25" s="44"/>
      <c r="AM25" s="44"/>
      <c r="AN25" s="44"/>
      <c r="AO25" s="44"/>
      <c r="AP25" s="44"/>
      <c r="AQ25" s="44"/>
      <c r="AR25" s="44"/>
      <c r="AS25" s="16"/>
      <c r="AT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</row>
    <row r="26" spans="1:69" ht="15.75" thickBo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</row>
    <row r="27" spans="1:69" ht="15.75" thickBot="1">
      <c r="A27" s="16"/>
      <c r="B27" s="16"/>
      <c r="C27" s="16"/>
      <c r="D27" s="16"/>
      <c r="E27" s="16"/>
      <c r="F27" s="16"/>
      <c r="G27" s="156" t="s">
        <v>194</v>
      </c>
      <c r="H27" s="157"/>
      <c r="I27" s="158">
        <f>H25</f>
        <v>15089</v>
      </c>
      <c r="J27" s="158"/>
      <c r="K27" s="65"/>
      <c r="L27" s="16"/>
      <c r="M27" s="159" t="s">
        <v>195</v>
      </c>
      <c r="N27" s="160"/>
      <c r="O27" s="160"/>
      <c r="P27" s="161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 t="s">
        <v>278</v>
      </c>
      <c r="BI27" s="108" t="s">
        <v>279</v>
      </c>
      <c r="BJ27" s="16"/>
      <c r="BK27" s="16"/>
      <c r="BL27" s="16"/>
      <c r="BM27" s="16"/>
      <c r="BN27" s="16"/>
      <c r="BO27" s="16"/>
    </row>
    <row r="28" spans="1:69" ht="15.75" thickBot="1">
      <c r="A28" s="16"/>
      <c r="B28" s="16"/>
      <c r="C28" s="16"/>
      <c r="D28" s="16"/>
      <c r="E28" s="16"/>
      <c r="F28" s="16"/>
      <c r="G28" s="156" t="s">
        <v>196</v>
      </c>
      <c r="H28" s="157"/>
      <c r="I28" s="158">
        <f>R25</f>
        <v>1127.3700000000001</v>
      </c>
      <c r="J28" s="158"/>
      <c r="K28" s="16"/>
      <c r="L28" s="16"/>
      <c r="M28" s="66">
        <v>1</v>
      </c>
      <c r="N28" s="66" t="s">
        <v>58</v>
      </c>
      <c r="O28" s="66">
        <v>2</v>
      </c>
      <c r="P28" s="66" t="s">
        <v>163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 t="s">
        <v>280</v>
      </c>
      <c r="BI28" s="108" t="s">
        <v>281</v>
      </c>
      <c r="BJ28" s="16"/>
      <c r="BK28" s="16"/>
      <c r="BL28" s="16"/>
      <c r="BM28" s="16"/>
      <c r="BN28" s="16"/>
      <c r="BO28" s="16"/>
    </row>
    <row r="29" spans="1:69" ht="15.75" thickBot="1">
      <c r="A29" s="16"/>
      <c r="B29" s="16"/>
      <c r="C29" s="16"/>
      <c r="D29" s="16"/>
      <c r="E29" s="16"/>
      <c r="F29" s="16"/>
      <c r="G29" s="156" t="s">
        <v>197</v>
      </c>
      <c r="H29" s="157"/>
      <c r="I29" s="158">
        <f>S25</f>
        <v>13961.630000000001</v>
      </c>
      <c r="J29" s="158"/>
      <c r="K29" s="16"/>
      <c r="L29" s="16"/>
      <c r="M29" s="25">
        <v>1</v>
      </c>
      <c r="N29" s="25" t="s">
        <v>58</v>
      </c>
      <c r="O29" s="25">
        <v>2.5</v>
      </c>
      <c r="P29" s="25" t="s">
        <v>176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</row>
    <row r="30" spans="1:69" ht="15.75" thickBot="1">
      <c r="A30" s="16"/>
      <c r="B30" s="16"/>
      <c r="C30" s="16"/>
      <c r="D30" s="16"/>
      <c r="E30" s="16"/>
      <c r="F30" s="16"/>
      <c r="G30" s="156" t="s">
        <v>198</v>
      </c>
      <c r="H30" s="157"/>
      <c r="I30" s="158">
        <f>AB25</f>
        <v>2513.1</v>
      </c>
      <c r="J30" s="158"/>
      <c r="K30" s="16"/>
      <c r="L30" s="16"/>
      <c r="M30" s="25">
        <v>1</v>
      </c>
      <c r="N30" s="25" t="s">
        <v>163</v>
      </c>
      <c r="O30" s="25">
        <v>1E-3</v>
      </c>
      <c r="P30" s="25" t="s">
        <v>185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</row>
    <row r="31" spans="1:69" ht="15.75" thickBot="1">
      <c r="A31" s="16"/>
      <c r="B31" s="16"/>
      <c r="C31" s="16"/>
      <c r="D31" s="16"/>
      <c r="E31" s="16"/>
      <c r="F31" s="16"/>
      <c r="G31" s="156" t="s">
        <v>199</v>
      </c>
      <c r="H31" s="157"/>
      <c r="I31" s="162">
        <f>I29+I30</f>
        <v>16474.73</v>
      </c>
      <c r="J31" s="162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</row>
    <row r="32" spans="1:6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 t="s">
        <v>282</v>
      </c>
      <c r="BN32" s="16" t="s">
        <v>283</v>
      </c>
      <c r="BO32" s="16"/>
    </row>
    <row r="33" spans="1:67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 t="s">
        <v>284</v>
      </c>
      <c r="BL33" s="16">
        <v>12.5</v>
      </c>
      <c r="BM33" s="16">
        <f>BL35*BL36</f>
        <v>18277.77</v>
      </c>
      <c r="BN33" s="16">
        <f>BL33*BL34</f>
        <v>6092.59</v>
      </c>
      <c r="BO33" s="16"/>
    </row>
    <row r="34" spans="1:67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 t="s">
        <v>285</v>
      </c>
      <c r="BL34" s="16">
        <v>487.40719999999999</v>
      </c>
      <c r="BM34" s="16">
        <f>BL33+BL35</f>
        <v>50</v>
      </c>
      <c r="BN34" s="16"/>
      <c r="BO34" s="16"/>
    </row>
    <row r="35" spans="1:67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 t="s">
        <v>286</v>
      </c>
      <c r="BL35" s="16">
        <v>37.5</v>
      </c>
      <c r="BM35" s="16"/>
      <c r="BN35" s="16"/>
      <c r="BO35" s="16"/>
    </row>
    <row r="36" spans="1:67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 t="s">
        <v>287</v>
      </c>
      <c r="BL36" s="16">
        <v>487.40719999999999</v>
      </c>
      <c r="BM36" s="16"/>
      <c r="BN36" s="16"/>
      <c r="BO36" s="16"/>
    </row>
    <row r="37" spans="1:6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>
        <f>BM33+BN33</f>
        <v>24370.36</v>
      </c>
      <c r="BN37" s="16">
        <f>BM37/BM34</f>
        <v>487.40719999999999</v>
      </c>
      <c r="BO37" s="16"/>
    </row>
    <row r="38" spans="1:67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</row>
    <row r="39" spans="1:67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</row>
  </sheetData>
  <mergeCells count="14">
    <mergeCell ref="B19:G19"/>
    <mergeCell ref="A21:B21"/>
    <mergeCell ref="A1:AC1"/>
    <mergeCell ref="M27:P27"/>
    <mergeCell ref="G31:H31"/>
    <mergeCell ref="I31:J31"/>
    <mergeCell ref="G30:H30"/>
    <mergeCell ref="I30:J30"/>
    <mergeCell ref="G27:H27"/>
    <mergeCell ref="I27:J27"/>
    <mergeCell ref="G28:H28"/>
    <mergeCell ref="I28:J28"/>
    <mergeCell ref="G29:H29"/>
    <mergeCell ref="I29:J29"/>
  </mergeCells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Q39"/>
  <sheetViews>
    <sheetView topLeftCell="A16" workbookViewId="0">
      <selection activeCell="BM24" sqref="BM24"/>
    </sheetView>
  </sheetViews>
  <sheetFormatPr defaultColWidth="9" defaultRowHeight="15"/>
  <cols>
    <col min="2" max="2" customWidth="true" width="23.5703125"/>
    <col min="4" max="4" bestFit="true" customWidth="true" width="72.42578125"/>
    <col min="11" max="11" customWidth="true" width="6.140625"/>
    <col min="29" max="29" bestFit="true" customWidth="true" width="11.5703125"/>
    <col min="35" max="35" customWidth="true" width="14.28515625"/>
    <col min="36" max="36" customWidth="true" width="17.5703125"/>
    <col min="37" max="37" bestFit="true" customWidth="true" width="13.42578125"/>
    <col min="38" max="38" bestFit="true" customWidth="true" width="13.5703125"/>
    <col min="45" max="45" customWidth="true" width="9.42578125"/>
    <col min="47" max="47" customWidth="true" width="15.28515625"/>
    <col min="48" max="48" customWidth="true" width="20.28515625"/>
    <col min="50" max="50" bestFit="true" customWidth="true" width="16.28515625"/>
    <col min="51" max="51" customWidth="true" width="13.85546875"/>
    <col min="52" max="52" customWidth="true" width="18.85546875"/>
    <col min="54" max="57" customWidth="true" width="21.7109375"/>
    <col min="58" max="58" customWidth="true" width="16.5703125"/>
    <col min="59" max="59" customWidth="true" width="13.7109375"/>
    <col min="60" max="60" customWidth="true" width="12.42578125"/>
    <col min="63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67" ht="18.75" thickBot="1">
      <c r="A1" s="154" t="s">
        <v>154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</row>
    <row r="2" spans="1:67" ht="18.75" thickBot="1">
      <c r="A2" s="145" t="s">
        <v>47</v>
      </c>
      <c r="B2" s="145"/>
      <c r="C2" s="145"/>
      <c r="D2" s="145"/>
      <c r="E2" s="145"/>
      <c r="F2" s="145"/>
      <c r="G2" s="145"/>
      <c r="H2" s="145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</row>
    <row r="3" spans="1:67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</row>
    <row r="4" spans="1:67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</row>
    <row r="5" spans="1:67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</row>
    <row r="6" spans="1:67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</row>
    <row r="7" spans="1:67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</row>
    <row r="8" spans="1:67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</row>
    <row r="9" spans="1:67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</row>
    <row r="10" spans="1:67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</row>
    <row r="11" spans="1:67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</row>
    <row r="12" spans="1:67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</row>
    <row r="13" spans="1:67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</row>
    <row r="14" spans="1:67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</row>
    <row r="15" spans="1:67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</row>
    <row r="16" spans="1:67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</row>
    <row r="17" spans="1:69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</row>
    <row r="18" spans="1:69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</row>
    <row r="19" spans="1:69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</row>
    <row r="20" spans="1:69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</row>
    <row r="21" spans="1:69" ht="15.75" thickBot="1">
      <c r="A21" s="151" t="s">
        <v>89</v>
      </c>
      <c r="B21" s="151"/>
      <c r="C21" s="20">
        <v>1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2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</row>
    <row r="22" spans="1:69" ht="58.5" thickTop="1" thickBot="1">
      <c r="A22" s="61" t="s">
        <v>155</v>
      </c>
      <c r="B22" s="61" t="s">
        <v>49</v>
      </c>
      <c r="C22" s="61" t="s">
        <v>156</v>
      </c>
      <c r="D22" s="61" t="s">
        <v>51</v>
      </c>
      <c r="E22" s="61" t="s">
        <v>52</v>
      </c>
      <c r="F22" s="61" t="s">
        <v>53</v>
      </c>
      <c r="G22" s="61" t="s">
        <v>54</v>
      </c>
      <c r="H22" s="61" t="s">
        <v>55</v>
      </c>
      <c r="I22" s="63" t="s">
        <v>97</v>
      </c>
      <c r="J22" s="63" t="s">
        <v>99</v>
      </c>
      <c r="K22" s="63" t="s">
        <v>98</v>
      </c>
      <c r="L22" s="64" t="s">
        <v>100</v>
      </c>
      <c r="M22" s="64" t="s">
        <v>101</v>
      </c>
      <c r="N22" s="64" t="s">
        <v>104</v>
      </c>
      <c r="O22" s="64" t="s">
        <v>105</v>
      </c>
      <c r="P22" s="64" t="s">
        <v>157</v>
      </c>
      <c r="Q22" s="64" t="s">
        <v>103</v>
      </c>
      <c r="R22" s="63" t="s">
        <v>106</v>
      </c>
      <c r="S22" s="61" t="s">
        <v>158</v>
      </c>
      <c r="T22" s="61" t="s">
        <v>108</v>
      </c>
      <c r="U22" s="67" t="s">
        <v>159</v>
      </c>
      <c r="V22" s="67" t="s">
        <v>110</v>
      </c>
      <c r="W22" s="67" t="s">
        <v>111</v>
      </c>
      <c r="X22" s="67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69" t="s">
        <v>114</v>
      </c>
      <c r="AD22" s="69" t="s">
        <v>115</v>
      </c>
      <c r="AE22" s="69" t="s">
        <v>116</v>
      </c>
      <c r="AF22" s="69" t="s">
        <v>117</v>
      </c>
      <c r="AG22" s="69" t="s">
        <v>118</v>
      </c>
      <c r="AH22" s="69" t="s">
        <v>119</v>
      </c>
      <c r="AI22" s="69" t="s">
        <v>120</v>
      </c>
      <c r="AJ22" s="69" t="s">
        <v>121</v>
      </c>
      <c r="AK22" s="69" t="s">
        <v>122</v>
      </c>
      <c r="AL22" s="69" t="s">
        <v>123</v>
      </c>
      <c r="AM22" s="69" t="s">
        <v>124</v>
      </c>
      <c r="AN22" s="69" t="s">
        <v>125</v>
      </c>
      <c r="AO22" s="69" t="s">
        <v>126</v>
      </c>
      <c r="AP22" s="69" t="s">
        <v>127</v>
      </c>
      <c r="AQ22" s="69" t="s">
        <v>128</v>
      </c>
      <c r="AR22" s="70" t="s">
        <v>160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69" ht="15.75" thickBot="1">
      <c r="A23" s="25">
        <v>1</v>
      </c>
      <c r="B23" s="25" t="s">
        <v>384</v>
      </c>
      <c r="C23" s="25" t="s">
        <v>162</v>
      </c>
      <c r="D23" s="25" t="s">
        <v>58</v>
      </c>
      <c r="E23" s="25" t="s">
        <v>163</v>
      </c>
      <c r="F23" s="26">
        <v>25</v>
      </c>
      <c r="G23" t="s" s="0">
        <v>357</v>
      </c>
      <c r="H23" s="26">
        <f>F23*G23</f>
        <v>5850</v>
      </c>
      <c r="I23" t="s" s="0">
        <v>321</v>
      </c>
      <c r="J23" s="26">
        <v>2</v>
      </c>
      <c r="K23" s="26">
        <v>2.5</v>
      </c>
      <c r="L23" s="26">
        <f>H23</f>
        <v>5850</v>
      </c>
      <c r="M23" s="26">
        <f>ROUND(L23*I23%,2)</f>
        <v>117</v>
      </c>
      <c r="N23" s="26">
        <f>H23-M23</f>
        <v>5733</v>
      </c>
      <c r="O23" s="26">
        <f>ROUND(N23*J23%,2)</f>
        <v>114.66</v>
      </c>
      <c r="P23" s="26">
        <f>ROUND(N23-O23,2)</f>
        <v>5618.34</v>
      </c>
      <c r="Q23" s="26">
        <f>ROUND(P23*K23%,2)</f>
        <v>140.46</v>
      </c>
      <c r="R23" s="26">
        <f>ROUND((M23+O23+Q23),2)</f>
        <v>372.12</v>
      </c>
      <c r="S23" s="26">
        <f>ROUND((H23-R23),2)</f>
        <v>5477.88</v>
      </c>
      <c r="T23" s="55" t="s">
        <v>146</v>
      </c>
      <c r="U23" s="43">
        <v>0.18</v>
      </c>
      <c r="V23" s="26">
        <f>IF(OR($C$21=1,$C$21=4),ROUND(((S23*U23)/2),2),0)</f>
        <v>493.01</v>
      </c>
      <c r="W23" s="26">
        <f>IF($C$21=1,ROUND(((S23*U23)/2),2),0)</f>
        <v>493.01</v>
      </c>
      <c r="X23" s="26">
        <f>IF($C$21=2,ROUND(((S23*U23)),2),0)</f>
        <v>0</v>
      </c>
      <c r="Y23" s="26">
        <f>IF($C$21=4,ROUND(((S23*U23)/2),2),0)</f>
        <v>0</v>
      </c>
      <c r="Z23" s="91">
        <v>0</v>
      </c>
      <c r="AA23" s="26">
        <f>IF($C21=3, 0, ROUND(S23*Z23, 2))</f>
        <v>0</v>
      </c>
      <c r="AB23" s="25">
        <f>V23+W23+X23+Y23+AA23</f>
        <v>986.02</v>
      </c>
      <c r="AC23" s="25">
        <f>IF($V21=1,S23+AB23,S23)</f>
        <v>6463.9</v>
      </c>
      <c r="AD23" s="55">
        <v>120</v>
      </c>
      <c r="AE23" s="55">
        <f>IF($P$21=1,(S23/$S$25)*$E$36,AD23/$AD$25*$E$36)</f>
        <v>0</v>
      </c>
      <c r="AF23" s="55"/>
      <c r="AG23" s="55">
        <f>IF($P$21=1,(S23/$S$25)*$E$38,AD23/$AD$25*$E$38)</f>
        <v>0</v>
      </c>
      <c r="AH23" s="55">
        <f>IF($P$21=1,(S23/$S$25)*$E$39,AD23/$AD$25*$E$39)</f>
        <v>0</v>
      </c>
      <c r="AI23" s="55">
        <f t="shared" ref="AI23:AI24" si="1">S23*$M$21</f>
        <v>5477.88</v>
      </c>
      <c r="AJ23" s="55">
        <f>IF($C$21=3,0,AG23+AH23)</f>
        <v>0</v>
      </c>
      <c r="AK23" s="55">
        <f t="shared" ref="AK23:AK24" si="2">IF($C$21=3,AE23+AG23+AH23,0)</f>
        <v>0</v>
      </c>
      <c r="AL23" s="82">
        <v>2</v>
      </c>
      <c r="AM23" s="55">
        <f>F23/AL23</f>
        <v>12.5</v>
      </c>
      <c r="AN23" s="55">
        <f>ROUND(AI23/AM23,5)</f>
        <v>438.23039999999997</v>
      </c>
      <c r="AO23" s="55">
        <f>AJ23/AM23</f>
        <v>0</v>
      </c>
      <c r="AP23" s="55">
        <f>AK23/AM23</f>
        <v>0</v>
      </c>
      <c r="AQ23" s="55" t="s">
        <v>58</v>
      </c>
      <c r="AR23" s="55">
        <f>ROUND(AN23+AO23+AP23,5)</f>
        <v>438.23039999999997</v>
      </c>
      <c r="AS23" s="48" t="s">
        <v>217</v>
      </c>
      <c r="AT23" s="48" t="s">
        <v>58</v>
      </c>
      <c r="AU23" t="s" s="0">
        <v>219</v>
      </c>
      <c r="AV23" t="s" s="0">
        <v>477</v>
      </c>
      <c r="AW23" s="48">
        <f>AM23</f>
        <v>12.5</v>
      </c>
      <c r="AX23" s="48">
        <f>AR23</f>
        <v>438.23039999999997</v>
      </c>
      <c r="AY23" s="48">
        <f>AU23+AW23</f>
        <v>12.5</v>
      </c>
      <c r="AZ23" s="48">
        <f>ROUND(((AU23*AV23)+(AW23*AX23))/(AU23+AW23),5)</f>
        <v>438.23039999999997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7" t="s">
        <v>31</v>
      </c>
      <c r="BM23" t="s" s="0">
        <v>477</v>
      </c>
      <c r="BN23" t="s" s="0">
        <v>479</v>
      </c>
      <c r="BO23" s="48">
        <f>ROUND((((AW23*AZ23)+(BN23*BM23))/(AW23+BN23)),5)</f>
        <v>438.23039999999997</v>
      </c>
      <c r="BP23" s="53">
        <f>BN23+AW23</f>
        <v>12.5</v>
      </c>
      <c r="BQ23" s="54">
        <v>123562</v>
      </c>
    </row>
    <row r="24" spans="1:69" ht="15.75" thickBot="1">
      <c r="A24" s="25">
        <v>2</v>
      </c>
      <c r="B24" s="25" t="s">
        <v>385</v>
      </c>
      <c r="C24" s="25" t="s">
        <v>175</v>
      </c>
      <c r="D24" s="25" t="s">
        <v>58</v>
      </c>
      <c r="E24" s="25" t="s">
        <v>163</v>
      </c>
      <c r="F24" s="26">
        <v>28</v>
      </c>
      <c r="G24" t="s" s="0">
        <v>360</v>
      </c>
      <c r="H24" s="26">
        <f t="shared" ref="H24" si="3">F24*G24</f>
        <v>9632</v>
      </c>
      <c r="I24" t="s" s="0">
        <v>476</v>
      </c>
      <c r="J24" s="26">
        <v>2</v>
      </c>
      <c r="K24" s="26">
        <v>2.5</v>
      </c>
      <c r="L24" s="26">
        <f t="shared" ref="L24" si="4">H24</f>
        <v>9632</v>
      </c>
      <c r="M24" s="26">
        <f t="shared" ref="M24" si="5">ROUND(L24*I24%,2)</f>
        <v>192.64</v>
      </c>
      <c r="N24" s="26">
        <f t="shared" ref="N24" si="6">H24-M24</f>
        <v>9439.36</v>
      </c>
      <c r="O24" s="26">
        <f t="shared" ref="O24" si="7">ROUND(N24*J24%,2)</f>
        <v>188.79</v>
      </c>
      <c r="P24" s="26">
        <f t="shared" ref="P24" si="8">ROUND(N24-O24,2)</f>
        <v>9250.57</v>
      </c>
      <c r="Q24" s="26">
        <f t="shared" ref="Q24" si="9">ROUND(P24*K24%,2)</f>
        <v>231.26</v>
      </c>
      <c r="R24" s="26">
        <f t="shared" ref="R24" si="10">ROUND((M24+O24+Q24),2)</f>
        <v>612.69000000000005</v>
      </c>
      <c r="S24" s="26">
        <f t="shared" ref="S24" si="11">ROUND((H24-R24),2)</f>
        <v>9019.31</v>
      </c>
      <c r="T24" s="55" t="s">
        <v>273</v>
      </c>
      <c r="U24" s="43">
        <v>0.18</v>
      </c>
      <c r="V24" s="26">
        <f t="shared" ref="V24" si="12">IF(OR($C$21=1,$C$21=4),ROUND(((S24*U24)/2),2),0)</f>
        <v>811.74</v>
      </c>
      <c r="W24" s="26">
        <f t="shared" ref="W24" si="13">IF($C$21=1,ROUND(((S24*U24)/2),2),0)</f>
        <v>811.74</v>
      </c>
      <c r="X24" s="26">
        <f t="shared" ref="X24" si="14">IF($C$21=2,ROUND(((S24*U24)),2),0)</f>
        <v>0</v>
      </c>
      <c r="Y24" s="26">
        <f t="shared" ref="Y24" si="15">IF($C$21=4,ROUND(((S24*U24)/2),2),0)</f>
        <v>0</v>
      </c>
      <c r="Z24" s="91">
        <v>0</v>
      </c>
      <c r="AA24" s="26">
        <f t="shared" ref="AA24" si="16">IF($C22=3, 0, ROUND(S24*Z24, 2))</f>
        <v>0</v>
      </c>
      <c r="AB24" s="25">
        <f t="shared" ref="AB24" si="17">V24+W24+X24+Y24+AA24</f>
        <v>1623.48</v>
      </c>
      <c r="AC24" s="25">
        <f t="shared" ref="AC24" si="18">IF($V22=1,S24+AB24,S24)</f>
        <v>9019.31</v>
      </c>
      <c r="AD24" s="55">
        <v>350</v>
      </c>
      <c r="AE24" s="55">
        <f>IF($P$21=1,(S24/$S$25)*$E$36,AD24/$AD$25*$E$36)</f>
        <v>0</v>
      </c>
      <c r="AF24" s="55"/>
      <c r="AG24" s="55">
        <f>IF($P$21=1,(S24/$S$25)*$E$38,AD24/$AD$25*$E$38)</f>
        <v>0</v>
      </c>
      <c r="AH24" s="55">
        <f>IF($P$21=1,(S24/$S$25)*$E$39,AD24/$AD$25*$E$39)</f>
        <v>0</v>
      </c>
      <c r="AI24" s="55">
        <f t="shared" si="1"/>
        <v>9019.31</v>
      </c>
      <c r="AJ24" s="55">
        <f t="shared" ref="AJ24" si="19">IF($C$21=3,0,AG24+AH24)</f>
        <v>0</v>
      </c>
      <c r="AK24" s="55">
        <f t="shared" si="2"/>
        <v>0</v>
      </c>
      <c r="AL24" s="82">
        <v>2</v>
      </c>
      <c r="AM24" s="55">
        <f>F24/AL24</f>
        <v>14</v>
      </c>
      <c r="AN24" s="55">
        <f t="shared" ref="AN24" si="20">ROUND(AI24/AM24,5)</f>
        <v>644.23643000000004</v>
      </c>
      <c r="AO24" s="55">
        <f t="shared" ref="AO24" si="21">AJ24/AM24</f>
        <v>0</v>
      </c>
      <c r="AP24" s="55">
        <f t="shared" ref="AP24" si="22">AK24/AM24</f>
        <v>0</v>
      </c>
      <c r="AQ24" s="55" t="s">
        <v>58</v>
      </c>
      <c r="AR24" s="55">
        <f t="shared" ref="AR24" si="23">ROUND(AN24+AO24+AP24,5)</f>
        <v>644.23643000000004</v>
      </c>
      <c r="AS24" s="48" t="s">
        <v>217</v>
      </c>
      <c r="AT24" s="48" t="s">
        <v>58</v>
      </c>
      <c r="AU24" t="s" s="0">
        <v>219</v>
      </c>
      <c r="AV24" t="s" s="0">
        <v>478</v>
      </c>
      <c r="AW24" s="48">
        <f>AM24</f>
        <v>14</v>
      </c>
      <c r="AX24" s="48">
        <f>AR24</f>
        <v>644.23643000000004</v>
      </c>
      <c r="AY24" s="48">
        <f>AU24+AW24</f>
        <v>14</v>
      </c>
      <c r="AZ24" s="48">
        <f>ROUND(((AU24*AV24)+(AW24*AX24))/(AU24+AW24),5)</f>
        <v>644.23643000000004</v>
      </c>
      <c r="BA24" s="50"/>
      <c r="BB24" s="50" t="s">
        <v>149</v>
      </c>
      <c r="BC24" s="80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7" t="s">
        <v>31</v>
      </c>
      <c r="BM24" t="s" s="0">
        <v>478</v>
      </c>
      <c r="BN24" t="s" s="0">
        <v>480</v>
      </c>
      <c r="BO24" s="48">
        <f>ROUND((((AW24*AZ24)+(BN24*BM24))/(AW24+BN24)),5)</f>
        <v>644.23643000000004</v>
      </c>
      <c r="BP24" s="53">
        <f>BN24+AW24</f>
        <v>14</v>
      </c>
      <c r="BQ24" s="54">
        <v>123562</v>
      </c>
    </row>
    <row r="25" spans="1:69" ht="15.75" thickBot="1">
      <c r="A25" s="16"/>
      <c r="C25" s="62" t="s">
        <v>87</v>
      </c>
      <c r="D25" s="28"/>
      <c r="E25" s="28"/>
      <c r="F25" s="28"/>
      <c r="G25" s="29"/>
      <c r="H25" s="30">
        <f>SUM(H23:H24)</f>
        <v>15482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984.81000000000006</v>
      </c>
      <c r="S25" s="30">
        <f>SUM(S23:S24)</f>
        <v>14497.189999999999</v>
      </c>
      <c r="T25" s="30"/>
      <c r="U25" s="30"/>
      <c r="V25" s="39">
        <f t="shared" ref="V25:AE25" si="24">SUM(V23:V24)</f>
        <v>1304.75</v>
      </c>
      <c r="W25" s="39">
        <f t="shared" si="24"/>
        <v>1304.75</v>
      </c>
      <c r="X25" s="39">
        <f t="shared" si="24"/>
        <v>0</v>
      </c>
      <c r="Y25" s="39">
        <f t="shared" si="24"/>
        <v>0</v>
      </c>
      <c r="Z25" s="120">
        <f t="shared" si="24"/>
        <v>0</v>
      </c>
      <c r="AA25" s="39">
        <f t="shared" si="24"/>
        <v>0</v>
      </c>
      <c r="AB25" s="30">
        <f t="shared" si="24"/>
        <v>2609.5</v>
      </c>
      <c r="AC25" s="44">
        <f t="shared" si="24"/>
        <v>15483.21</v>
      </c>
      <c r="AD25" s="45">
        <f t="shared" si="24"/>
        <v>470</v>
      </c>
      <c r="AE25" s="45">
        <f t="shared" si="24"/>
        <v>0</v>
      </c>
      <c r="AF25" s="44"/>
      <c r="AG25" s="45">
        <f>SUM(AG23:AG24)</f>
        <v>0</v>
      </c>
      <c r="AH25" s="45">
        <f>IF($P$21=1,(S25/$S$25)*$E$39,AD25/$AD$25*$E$39)</f>
        <v>0</v>
      </c>
      <c r="AI25" s="45">
        <f>SUM(AI23:AI24)</f>
        <v>14497.189999999999</v>
      </c>
      <c r="AJ25" s="45">
        <f>SUM(AJ23:AJ24)</f>
        <v>0</v>
      </c>
      <c r="AK25" s="45">
        <f>SUM(AK23:AK24)</f>
        <v>0</v>
      </c>
      <c r="AL25" s="44"/>
      <c r="AM25" s="44"/>
      <c r="AN25" s="44"/>
      <c r="AO25" s="44"/>
      <c r="AP25" s="44"/>
      <c r="AQ25" s="44"/>
      <c r="AR25" s="44"/>
      <c r="AS25" s="16"/>
      <c r="AT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</row>
    <row r="26" spans="1:69" ht="15.75" thickBo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</row>
    <row r="27" spans="1:69" ht="15.75" thickBot="1">
      <c r="A27" s="16"/>
      <c r="B27" s="16"/>
      <c r="C27" s="16"/>
      <c r="D27" s="16"/>
      <c r="E27" s="16"/>
      <c r="F27" s="16"/>
      <c r="G27" s="156" t="s">
        <v>194</v>
      </c>
      <c r="H27" s="157"/>
      <c r="I27" s="158">
        <f>H25</f>
        <v>15482</v>
      </c>
      <c r="J27" s="158"/>
      <c r="K27" s="65"/>
      <c r="L27" s="16"/>
      <c r="M27" s="159" t="s">
        <v>195</v>
      </c>
      <c r="N27" s="160"/>
      <c r="O27" s="160"/>
      <c r="P27" s="161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 t="s">
        <v>278</v>
      </c>
      <c r="BI27" s="108" t="s">
        <v>279</v>
      </c>
      <c r="BJ27" s="16"/>
      <c r="BK27" s="16"/>
      <c r="BL27" s="16"/>
      <c r="BM27" s="16"/>
      <c r="BN27" s="16"/>
      <c r="BO27" s="16"/>
    </row>
    <row r="28" spans="1:69" ht="15.75" thickBot="1">
      <c r="A28" s="16"/>
      <c r="B28" s="16"/>
      <c r="C28" s="16"/>
      <c r="D28" s="16"/>
      <c r="E28" s="16"/>
      <c r="F28" s="16"/>
      <c r="G28" s="156" t="s">
        <v>196</v>
      </c>
      <c r="H28" s="157"/>
      <c r="I28" s="158">
        <f>R25</f>
        <v>984.81000000000006</v>
      </c>
      <c r="J28" s="158"/>
      <c r="K28" s="16"/>
      <c r="L28" s="16"/>
      <c r="M28" s="66">
        <v>1</v>
      </c>
      <c r="N28" s="66" t="s">
        <v>58</v>
      </c>
      <c r="O28" s="66">
        <v>2</v>
      </c>
      <c r="P28" s="66" t="s">
        <v>163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 t="s">
        <v>280</v>
      </c>
      <c r="BI28" s="108" t="s">
        <v>281</v>
      </c>
      <c r="BJ28" s="16"/>
      <c r="BK28" s="16"/>
      <c r="BL28" s="16"/>
      <c r="BM28" s="16"/>
      <c r="BN28" s="16"/>
      <c r="BO28" s="16"/>
    </row>
    <row r="29" spans="1:69" ht="15.75" thickBot="1">
      <c r="A29" s="16"/>
      <c r="B29" s="16"/>
      <c r="C29" s="16"/>
      <c r="D29" s="16"/>
      <c r="E29" s="16"/>
      <c r="F29" s="16"/>
      <c r="G29" s="156" t="s">
        <v>197</v>
      </c>
      <c r="H29" s="157"/>
      <c r="I29" s="158">
        <f>S25</f>
        <v>14497.189999999999</v>
      </c>
      <c r="J29" s="158"/>
      <c r="K29" s="16"/>
      <c r="L29" s="16"/>
      <c r="M29" s="25">
        <v>1</v>
      </c>
      <c r="N29" s="25" t="s">
        <v>58</v>
      </c>
      <c r="O29" s="25">
        <v>2.5</v>
      </c>
      <c r="P29" s="25" t="s">
        <v>176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</row>
    <row r="30" spans="1:69" ht="15.75" thickBot="1">
      <c r="A30" s="16"/>
      <c r="B30" s="16"/>
      <c r="C30" s="16"/>
      <c r="D30" s="16"/>
      <c r="E30" s="16"/>
      <c r="F30" s="16"/>
      <c r="G30" s="156" t="s">
        <v>198</v>
      </c>
      <c r="H30" s="157"/>
      <c r="I30" s="158">
        <f>AB25</f>
        <v>2609.5</v>
      </c>
      <c r="J30" s="158"/>
      <c r="K30" s="16"/>
      <c r="L30" s="16"/>
      <c r="M30" s="25">
        <v>1</v>
      </c>
      <c r="N30" s="25" t="s">
        <v>163</v>
      </c>
      <c r="O30" s="25">
        <v>1E-3</v>
      </c>
      <c r="P30" s="25" t="s">
        <v>185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</row>
    <row r="31" spans="1:69" ht="15.75" thickBot="1">
      <c r="A31" s="16"/>
      <c r="B31" s="16"/>
      <c r="C31" s="16"/>
      <c r="D31" s="16"/>
      <c r="E31" s="16"/>
      <c r="F31" s="16"/>
      <c r="G31" s="156" t="s">
        <v>199</v>
      </c>
      <c r="H31" s="157"/>
      <c r="I31" s="162">
        <f>I29+I30</f>
        <v>17106.689999999999</v>
      </c>
      <c r="J31" s="162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</row>
    <row r="32" spans="1:6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 t="s">
        <v>282</v>
      </c>
      <c r="BN32" s="16" t="s">
        <v>283</v>
      </c>
      <c r="BO32" s="16"/>
    </row>
    <row r="33" spans="1:67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 t="s">
        <v>284</v>
      </c>
      <c r="BL33" s="16">
        <v>12.5</v>
      </c>
      <c r="BM33" s="16">
        <f>BL35*BL36</f>
        <v>18277.77</v>
      </c>
      <c r="BN33" s="16">
        <f>BL33*BL34</f>
        <v>6092.59</v>
      </c>
      <c r="BO33" s="16"/>
    </row>
    <row r="34" spans="1:67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 t="s">
        <v>285</v>
      </c>
      <c r="BL34" s="16">
        <v>487.40719999999999</v>
      </c>
      <c r="BM34" s="16">
        <f>BL33+BL35</f>
        <v>50</v>
      </c>
      <c r="BN34" s="16"/>
      <c r="BO34" s="16"/>
    </row>
    <row r="35" spans="1:67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 t="s">
        <v>286</v>
      </c>
      <c r="BL35" s="16">
        <v>37.5</v>
      </c>
      <c r="BM35" s="16"/>
      <c r="BN35" s="16"/>
      <c r="BO35" s="16"/>
    </row>
    <row r="36" spans="1:67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 t="s">
        <v>287</v>
      </c>
      <c r="BL36" s="16">
        <v>487.40719999999999</v>
      </c>
      <c r="BM36" s="16"/>
      <c r="BN36" s="16"/>
      <c r="BO36" s="16"/>
    </row>
    <row r="37" spans="1:6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>
        <f>BM33+BN33</f>
        <v>24370.36</v>
      </c>
      <c r="BN37" s="16">
        <f>BM37/BM34</f>
        <v>487.40719999999999</v>
      </c>
      <c r="BO37" s="16"/>
    </row>
    <row r="38" spans="1:67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</row>
    <row r="39" spans="1:67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</row>
  </sheetData>
  <mergeCells count="14">
    <mergeCell ref="A1:AC1"/>
    <mergeCell ref="G31:H31"/>
    <mergeCell ref="I31:J31"/>
    <mergeCell ref="G28:H28"/>
    <mergeCell ref="I28:J28"/>
    <mergeCell ref="G29:H29"/>
    <mergeCell ref="I29:J29"/>
    <mergeCell ref="G30:H30"/>
    <mergeCell ref="I30:J30"/>
    <mergeCell ref="B19:G19"/>
    <mergeCell ref="A21:B21"/>
    <mergeCell ref="G27:H27"/>
    <mergeCell ref="I27:J27"/>
    <mergeCell ref="M27:P27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Q39"/>
  <sheetViews>
    <sheetView topLeftCell="A16" workbookViewId="0">
      <selection activeCell="D27" sqref="D27"/>
    </sheetView>
  </sheetViews>
  <sheetFormatPr defaultColWidth="9" defaultRowHeight="15"/>
  <cols>
    <col min="2" max="2" customWidth="true" width="23.5703125"/>
    <col min="4" max="4" bestFit="true" customWidth="true" width="72.42578125"/>
    <col min="11" max="11" customWidth="true" width="6.140625"/>
    <col min="29" max="29" bestFit="true" customWidth="true" width="11.5703125"/>
    <col min="35" max="35" customWidth="true" width="14.28515625"/>
    <col min="36" max="36" customWidth="true" width="17.5703125"/>
    <col min="37" max="37" bestFit="true" customWidth="true" width="13.42578125"/>
    <col min="38" max="38" bestFit="true" customWidth="true" width="13.5703125"/>
    <col min="45" max="45" customWidth="true" width="9.42578125"/>
    <col min="47" max="47" customWidth="true" width="15.28515625"/>
    <col min="48" max="48" customWidth="true" width="20.28515625"/>
    <col min="50" max="50" bestFit="true" customWidth="true" width="16.28515625"/>
    <col min="51" max="51" customWidth="true" width="13.85546875"/>
    <col min="52" max="52" customWidth="true" width="18.85546875"/>
    <col min="54" max="57" customWidth="true" width="21.7109375"/>
    <col min="58" max="58" customWidth="true" width="16.5703125"/>
    <col min="59" max="59" customWidth="true" width="13.7109375"/>
    <col min="60" max="60" customWidth="true" width="12.42578125"/>
    <col min="63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67" ht="18.75" thickBot="1">
      <c r="A1" s="154" t="s">
        <v>154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</row>
    <row r="2" spans="1:67" ht="18.75" thickBot="1">
      <c r="A2" s="134" t="s">
        <v>47</v>
      </c>
      <c r="B2" s="134"/>
      <c r="C2" s="134"/>
      <c r="D2" s="134"/>
      <c r="E2" s="134"/>
      <c r="F2" s="134"/>
      <c r="G2" s="134"/>
      <c r="H2" s="134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</row>
    <row r="3" spans="1:67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</row>
    <row r="4" spans="1:67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</row>
    <row r="5" spans="1:67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</row>
    <row r="6" spans="1:67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</row>
    <row r="7" spans="1:67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</row>
    <row r="8" spans="1:67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</row>
    <row r="9" spans="1:67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</row>
    <row r="10" spans="1:67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</row>
    <row r="11" spans="1:67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</row>
    <row r="12" spans="1:67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</row>
    <row r="13" spans="1:67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</row>
    <row r="14" spans="1:67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</row>
    <row r="15" spans="1:67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</row>
    <row r="16" spans="1:67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</row>
    <row r="17" spans="1:69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</row>
    <row r="18" spans="1:69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</row>
    <row r="19" spans="1:69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</row>
    <row r="20" spans="1:69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</row>
    <row r="21" spans="1:69" ht="15.75" thickBot="1">
      <c r="A21" s="151" t="s">
        <v>89</v>
      </c>
      <c r="B21" s="151"/>
      <c r="C21" s="20">
        <v>2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2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</row>
    <row r="22" spans="1:69" ht="58.5" thickTop="1" thickBot="1">
      <c r="A22" s="61" t="s">
        <v>155</v>
      </c>
      <c r="B22" s="61" t="s">
        <v>49</v>
      </c>
      <c r="C22" s="61" t="s">
        <v>156</v>
      </c>
      <c r="D22" s="61" t="s">
        <v>51</v>
      </c>
      <c r="E22" s="61" t="s">
        <v>52</v>
      </c>
      <c r="F22" s="61" t="s">
        <v>53</v>
      </c>
      <c r="G22" s="61" t="s">
        <v>54</v>
      </c>
      <c r="H22" s="61" t="s">
        <v>55</v>
      </c>
      <c r="I22" s="63" t="s">
        <v>97</v>
      </c>
      <c r="J22" s="63" t="s">
        <v>99</v>
      </c>
      <c r="K22" s="63" t="s">
        <v>98</v>
      </c>
      <c r="L22" s="64" t="s">
        <v>100</v>
      </c>
      <c r="M22" s="64" t="s">
        <v>101</v>
      </c>
      <c r="N22" s="64" t="s">
        <v>104</v>
      </c>
      <c r="O22" s="64" t="s">
        <v>105</v>
      </c>
      <c r="P22" s="64" t="s">
        <v>157</v>
      </c>
      <c r="Q22" s="64" t="s">
        <v>103</v>
      </c>
      <c r="R22" s="63" t="s">
        <v>106</v>
      </c>
      <c r="S22" s="61" t="s">
        <v>158</v>
      </c>
      <c r="T22" s="61" t="s">
        <v>108</v>
      </c>
      <c r="U22" s="67" t="s">
        <v>159</v>
      </c>
      <c r="V22" s="67" t="s">
        <v>110</v>
      </c>
      <c r="W22" s="67" t="s">
        <v>111</v>
      </c>
      <c r="X22" s="67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69" t="s">
        <v>114</v>
      </c>
      <c r="AD22" s="69" t="s">
        <v>115</v>
      </c>
      <c r="AE22" s="69" t="s">
        <v>116</v>
      </c>
      <c r="AF22" s="69" t="s">
        <v>117</v>
      </c>
      <c r="AG22" s="69" t="s">
        <v>118</v>
      </c>
      <c r="AH22" s="69" t="s">
        <v>119</v>
      </c>
      <c r="AI22" s="69" t="s">
        <v>120</v>
      </c>
      <c r="AJ22" s="69" t="s">
        <v>121</v>
      </c>
      <c r="AK22" s="69" t="s">
        <v>122</v>
      </c>
      <c r="AL22" s="69" t="s">
        <v>123</v>
      </c>
      <c r="AM22" s="69" t="s">
        <v>124</v>
      </c>
      <c r="AN22" s="69" t="s">
        <v>125</v>
      </c>
      <c r="AO22" s="69" t="s">
        <v>126</v>
      </c>
      <c r="AP22" s="69" t="s">
        <v>127</v>
      </c>
      <c r="AQ22" s="69" t="s">
        <v>128</v>
      </c>
      <c r="AR22" s="70" t="s">
        <v>160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69" ht="15.75" thickBot="1">
      <c r="A23" s="25">
        <v>1</v>
      </c>
      <c r="B23" s="25" t="s">
        <v>462</v>
      </c>
      <c r="C23" s="25" t="s">
        <v>162</v>
      </c>
      <c r="D23" s="25" t="s">
        <v>58</v>
      </c>
      <c r="E23" s="25" t="s">
        <v>163</v>
      </c>
      <c r="F23" s="26">
        <v>25</v>
      </c>
      <c r="G23" t="s" s="0">
        <v>268</v>
      </c>
      <c r="H23" s="26">
        <f>F23*G23</f>
        <v>5850</v>
      </c>
      <c r="I23" t="s" s="0">
        <v>224</v>
      </c>
      <c r="J23" s="26">
        <v>2</v>
      </c>
      <c r="K23" s="26">
        <v>2.5</v>
      </c>
      <c r="L23" s="26">
        <f>H23</f>
        <v>5850</v>
      </c>
      <c r="M23" s="26">
        <f>ROUND(L23*I23%,2)</f>
        <v>117</v>
      </c>
      <c r="N23" s="26">
        <f>H23-M23</f>
        <v>5733</v>
      </c>
      <c r="O23" s="26">
        <f>ROUND(N23*J23%,2)</f>
        <v>114.66</v>
      </c>
      <c r="P23" s="26">
        <f>ROUND(N23-O23,2)</f>
        <v>5618.34</v>
      </c>
      <c r="Q23" s="26">
        <f>ROUND(P23*K23%,2)</f>
        <v>140.46</v>
      </c>
      <c r="R23" s="26">
        <f>ROUND((M23+O23+Q23),2)</f>
        <v>372.12</v>
      </c>
      <c r="S23" s="26">
        <f>ROUND((H23-R23),2)</f>
        <v>5477.88</v>
      </c>
      <c r="T23" s="55" t="s">
        <v>146</v>
      </c>
      <c r="U23" s="43">
        <v>0.18</v>
      </c>
      <c r="V23" s="26">
        <f>IF(OR($C$21=1,$C$21=4),ROUND(((S23*U23)/2),2),0)</f>
        <v>0</v>
      </c>
      <c r="W23" s="26">
        <f>IF($C$21=1,ROUND(((S23*U23)/2),2),0)</f>
        <v>0</v>
      </c>
      <c r="X23" s="26">
        <f>IF($C$21=2,ROUND(((S23*U23)),2),0)</f>
        <v>986.02</v>
      </c>
      <c r="Y23" s="26">
        <f>IF($C$21=4,ROUND(((S23*U23)/2),2),0)</f>
        <v>0</v>
      </c>
      <c r="Z23" s="91">
        <v>0</v>
      </c>
      <c r="AA23" s="26">
        <f>IF($C21=3, 0, ROUND(S23*Z23, 2))</f>
        <v>0</v>
      </c>
      <c r="AB23" s="25">
        <f>V23+W23+X23+Y23+AA23</f>
        <v>986.02</v>
      </c>
      <c r="AC23" s="25">
        <f>IF($V21=1,S23+AB23,S23)</f>
        <v>6463.9</v>
      </c>
      <c r="AD23" s="55">
        <v>120</v>
      </c>
      <c r="AE23" s="55">
        <f>IF($P$21=1,(S23/$S$25)*$E$36,AD23/$AD$25*$E$36)</f>
        <v>0</v>
      </c>
      <c r="AF23" s="55"/>
      <c r="AG23" s="55">
        <f>IF($P$21=1,(S23/$S$25)*$E$38,AD23/$AD$25*$E$38)</f>
        <v>0</v>
      </c>
      <c r="AH23" s="55">
        <f>IF($P$21=1,(S23/$S$25)*$E$39,AD23/$AD$25*$E$39)</f>
        <v>0</v>
      </c>
      <c r="AI23" s="55">
        <f t="shared" ref="AI23:AI24" si="1">S23*$M$21</f>
        <v>5477.88</v>
      </c>
      <c r="AJ23" s="55">
        <f>IF($C$21=3,0,AG23+AH23)</f>
        <v>0</v>
      </c>
      <c r="AK23" s="55">
        <f t="shared" ref="AK23:AK24" si="2">IF($C$21=3,AE23+AG23+AH23,0)</f>
        <v>0</v>
      </c>
      <c r="AL23" s="82">
        <v>2</v>
      </c>
      <c r="AM23" s="55">
        <f>F23/AL23</f>
        <v>12.5</v>
      </c>
      <c r="AN23" s="55">
        <f>ROUND(AI23/AM23,5)</f>
        <v>438.23039999999997</v>
      </c>
      <c r="AO23" s="55">
        <f>AJ23/AM23</f>
        <v>0</v>
      </c>
      <c r="AP23" s="55">
        <f>AK23/AM23</f>
        <v>0</v>
      </c>
      <c r="AQ23" s="55" t="s">
        <v>58</v>
      </c>
      <c r="AR23" s="55">
        <f>ROUND(AN23+AO23+AP23,5)</f>
        <v>438.23039999999997</v>
      </c>
      <c r="AS23" s="48" t="s">
        <v>258</v>
      </c>
      <c r="AT23" s="48" t="s">
        <v>58</v>
      </c>
      <c r="AW23" s="48">
        <f>AM23</f>
        <v>12.5</v>
      </c>
      <c r="AX23" s="48">
        <f>AR23</f>
        <v>438.23039999999997</v>
      </c>
      <c r="AY23" s="48">
        <f>AU23+AW23</f>
        <v>12.5</v>
      </c>
      <c r="AZ23" s="48">
        <f>ROUND(((AU23*AV23)+(AW23*AX23))/(AU23+AW23),5)</f>
        <v>438.23039999999997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7" t="s">
        <v>259</v>
      </c>
      <c r="BM23" t="s" s="0">
        <v>219</v>
      </c>
      <c r="BN23" t="s" s="0">
        <v>219</v>
      </c>
      <c r="BO23" s="48">
        <f>ROUND((((AW23*AZ23)+(BN23*BM23))/(AW23+BN23)),5)</f>
        <v>438.23039999999997</v>
      </c>
      <c r="BP23" s="53">
        <f>BN23+AW23</f>
        <v>12.5</v>
      </c>
      <c r="BQ23" s="54">
        <v>123562</v>
      </c>
    </row>
    <row r="24" spans="1:69" ht="15.75" thickBot="1">
      <c r="A24" s="25">
        <v>2</v>
      </c>
      <c r="B24" s="25" t="s">
        <v>463</v>
      </c>
      <c r="C24" s="25" t="s">
        <v>175</v>
      </c>
      <c r="D24" s="25" t="s">
        <v>58</v>
      </c>
      <c r="E24" s="25" t="s">
        <v>163</v>
      </c>
      <c r="F24" s="26">
        <v>28</v>
      </c>
      <c r="G24" t="s" s="0">
        <v>464</v>
      </c>
      <c r="H24" s="26">
        <f t="shared" ref="H24" si="3">F24*G24</f>
        <v>9632</v>
      </c>
      <c r="I24" t="s" s="0">
        <v>224</v>
      </c>
      <c r="J24" s="26">
        <v>2</v>
      </c>
      <c r="K24" s="26">
        <v>2.5</v>
      </c>
      <c r="L24" s="26">
        <f t="shared" ref="L24" si="4">H24</f>
        <v>9632</v>
      </c>
      <c r="M24" s="26">
        <f t="shared" ref="M24" si="5">ROUND(L24*I24%,2)</f>
        <v>192.64</v>
      </c>
      <c r="N24" s="26">
        <f t="shared" ref="N24" si="6">H24-M24</f>
        <v>9439.36</v>
      </c>
      <c r="O24" s="26">
        <f t="shared" ref="O24" si="7">ROUND(N24*J24%,2)</f>
        <v>188.79</v>
      </c>
      <c r="P24" s="26">
        <f t="shared" ref="P24" si="8">ROUND(N24-O24,2)</f>
        <v>9250.57</v>
      </c>
      <c r="Q24" s="26">
        <f t="shared" ref="Q24" si="9">ROUND(P24*K24%,2)</f>
        <v>231.26</v>
      </c>
      <c r="R24" s="26">
        <f t="shared" ref="R24" si="10">ROUND((M24+O24+Q24),2)</f>
        <v>612.69000000000005</v>
      </c>
      <c r="S24" s="26">
        <f t="shared" ref="S24" si="11">ROUND((H24-R24),2)</f>
        <v>9019.31</v>
      </c>
      <c r="T24" s="55" t="s">
        <v>273</v>
      </c>
      <c r="U24" s="43">
        <v>0.18</v>
      </c>
      <c r="V24" s="26">
        <f t="shared" ref="V24" si="12">IF(OR($C$21=1,$C$21=4),ROUND(((S24*U24)/2),2),0)</f>
        <v>0</v>
      </c>
      <c r="W24" s="26">
        <f t="shared" ref="W24" si="13">IF($C$21=1,ROUND(((S24*U24)/2),2),0)</f>
        <v>0</v>
      </c>
      <c r="X24" s="26">
        <f t="shared" ref="X24" si="14">IF($C$21=2,ROUND(((S24*U24)),2),0)</f>
        <v>1623.48</v>
      </c>
      <c r="Y24" s="26">
        <f t="shared" ref="Y24" si="15">IF($C$21=4,ROUND(((S24*U24)/2),2),0)</f>
        <v>0</v>
      </c>
      <c r="Z24" s="91">
        <v>0</v>
      </c>
      <c r="AA24" s="26">
        <f t="shared" ref="AA24" si="16">IF($C22=3, 0, ROUND(S24*Z24, 2))</f>
        <v>0</v>
      </c>
      <c r="AB24" s="25">
        <f t="shared" ref="AB24" si="17">V24+W24+X24+Y24+AA24</f>
        <v>1623.48</v>
      </c>
      <c r="AC24" s="25">
        <f t="shared" ref="AC24" si="18">IF($V22=1,S24+AB24,S24)</f>
        <v>9019.31</v>
      </c>
      <c r="AD24" s="55">
        <v>350</v>
      </c>
      <c r="AE24" s="55">
        <f>IF($P$21=1,(S24/$S$25)*$E$36,AD24/$AD$25*$E$36)</f>
        <v>0</v>
      </c>
      <c r="AF24" s="55"/>
      <c r="AG24" s="55">
        <f>IF($P$21=1,(S24/$S$25)*$E$38,AD24/$AD$25*$E$38)</f>
        <v>0</v>
      </c>
      <c r="AH24" s="55">
        <f>IF($P$21=1,(S24/$S$25)*$E$39,AD24/$AD$25*$E$39)</f>
        <v>0</v>
      </c>
      <c r="AI24" s="55">
        <f t="shared" si="1"/>
        <v>9019.31</v>
      </c>
      <c r="AJ24" s="55">
        <f t="shared" ref="AJ24" si="19">IF($C$21=3,0,AG24+AH24)</f>
        <v>0</v>
      </c>
      <c r="AK24" s="55">
        <f t="shared" si="2"/>
        <v>0</v>
      </c>
      <c r="AL24" s="82">
        <v>2.5</v>
      </c>
      <c r="AM24" s="55">
        <f>F24/AL24</f>
        <v>11.2</v>
      </c>
      <c r="AN24" s="55">
        <f t="shared" ref="AN24" si="20">ROUND(AI24/AM24,5)</f>
        <v>805.29553999999996</v>
      </c>
      <c r="AO24" s="55">
        <f t="shared" ref="AO24" si="21">AJ24/AM24</f>
        <v>0</v>
      </c>
      <c r="AP24" s="55">
        <f t="shared" ref="AP24" si="22">AK24/AM24</f>
        <v>0</v>
      </c>
      <c r="AQ24" s="55" t="s">
        <v>58</v>
      </c>
      <c r="AR24" s="55">
        <f t="shared" ref="AR24" si="23">ROUND(AN24+AO24+AP24,5)</f>
        <v>805.29553999999996</v>
      </c>
      <c r="AS24" s="48" t="s">
        <v>258</v>
      </c>
      <c r="AT24" s="48" t="s">
        <v>58</v>
      </c>
      <c r="AW24" s="48">
        <f>AM24</f>
        <v>11.2</v>
      </c>
      <c r="AX24" s="48">
        <f>AR24</f>
        <v>805.29553999999996</v>
      </c>
      <c r="AY24" s="48">
        <f>AU24+AW24</f>
        <v>11.2</v>
      </c>
      <c r="AZ24" s="48">
        <f>ROUND(((AU24*AV24)+(AW24*AX24))/(AU24+AW24),5)</f>
        <v>805.29553999999996</v>
      </c>
      <c r="BA24" s="50"/>
      <c r="BB24" s="50" t="s">
        <v>149</v>
      </c>
      <c r="BC24" s="80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7" t="s">
        <v>259</v>
      </c>
      <c r="BM24" t="s" s="0">
        <v>219</v>
      </c>
      <c r="BN24" t="s" s="0">
        <v>219</v>
      </c>
      <c r="BO24" s="48">
        <f>ROUND((((AW24*AZ24)+(BN24*BM24))/(AW24+BN24)),5)</f>
        <v>805.29553999999996</v>
      </c>
      <c r="BP24" s="53">
        <f>BN24+AW24</f>
        <v>11.2</v>
      </c>
      <c r="BQ24" s="54">
        <v>123562</v>
      </c>
    </row>
    <row r="25" spans="1:69" ht="15.75" thickBot="1">
      <c r="A25" s="16"/>
      <c r="C25" s="62" t="s">
        <v>87</v>
      </c>
      <c r="D25" s="28"/>
      <c r="E25" s="28"/>
      <c r="F25" s="28"/>
      <c r="G25" s="29"/>
      <c r="H25" s="30">
        <f>SUM(H23:H24)</f>
        <v>15482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984.81000000000006</v>
      </c>
      <c r="S25" s="30">
        <f>SUM(S23:S24)</f>
        <v>14497.189999999999</v>
      </c>
      <c r="T25" s="30"/>
      <c r="U25" s="30"/>
      <c r="V25" s="39">
        <f t="shared" ref="V25:AE25" si="24">SUM(V23:V24)</f>
        <v>0</v>
      </c>
      <c r="W25" s="39">
        <f t="shared" si="24"/>
        <v>0</v>
      </c>
      <c r="X25" s="39">
        <f t="shared" si="24"/>
        <v>2609.5</v>
      </c>
      <c r="Y25" s="39">
        <f t="shared" si="24"/>
        <v>0</v>
      </c>
      <c r="Z25" s="120">
        <f t="shared" si="24"/>
        <v>0</v>
      </c>
      <c r="AA25" s="39">
        <f t="shared" si="24"/>
        <v>0</v>
      </c>
      <c r="AB25" s="30">
        <f t="shared" si="24"/>
        <v>2609.5</v>
      </c>
      <c r="AC25" s="44">
        <f t="shared" si="24"/>
        <v>15483.21</v>
      </c>
      <c r="AD25" s="45">
        <f t="shared" si="24"/>
        <v>470</v>
      </c>
      <c r="AE25" s="45">
        <f t="shared" si="24"/>
        <v>0</v>
      </c>
      <c r="AF25" s="44"/>
      <c r="AG25" s="45">
        <f>SUM(AG23:AG24)</f>
        <v>0</v>
      </c>
      <c r="AH25" s="45">
        <f>IF($P$21=1,(S25/$S$25)*$E$39,AD25/$AD$25*$E$39)</f>
        <v>0</v>
      </c>
      <c r="AI25" s="45">
        <f>SUM(AI23:AI24)</f>
        <v>14497.189999999999</v>
      </c>
      <c r="AJ25" s="45">
        <f>SUM(AJ23:AJ24)</f>
        <v>0</v>
      </c>
      <c r="AK25" s="45">
        <f>SUM(AK23:AK24)</f>
        <v>0</v>
      </c>
      <c r="AL25" s="44"/>
      <c r="AM25" s="44"/>
      <c r="AN25" s="44"/>
      <c r="AO25" s="44"/>
      <c r="AP25" s="44"/>
      <c r="AQ25" s="44"/>
      <c r="AR25" s="44"/>
      <c r="AS25" s="16"/>
      <c r="AT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</row>
    <row r="26" spans="1:69" ht="15.75" thickBo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</row>
    <row r="27" spans="1:69" ht="15.75" thickBot="1">
      <c r="A27" s="16"/>
      <c r="B27" s="16"/>
      <c r="C27" s="16"/>
      <c r="D27" s="16"/>
      <c r="E27" s="16"/>
      <c r="F27" s="16"/>
      <c r="G27" s="156" t="s">
        <v>194</v>
      </c>
      <c r="H27" s="157"/>
      <c r="I27" s="158">
        <f>H25</f>
        <v>15482</v>
      </c>
      <c r="J27" s="158"/>
      <c r="K27" s="65"/>
      <c r="L27" s="16"/>
      <c r="M27" s="159" t="s">
        <v>195</v>
      </c>
      <c r="N27" s="160"/>
      <c r="O27" s="160"/>
      <c r="P27" s="161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 t="s">
        <v>278</v>
      </c>
      <c r="BI27" s="108" t="s">
        <v>279</v>
      </c>
      <c r="BJ27" s="16"/>
      <c r="BK27" s="16"/>
      <c r="BL27" s="16"/>
      <c r="BM27" s="16"/>
      <c r="BN27" s="16"/>
      <c r="BO27" s="16"/>
    </row>
    <row r="28" spans="1:69" ht="15.75" thickBot="1">
      <c r="A28" s="16"/>
      <c r="B28" s="16"/>
      <c r="C28" s="16"/>
      <c r="D28" s="16"/>
      <c r="E28" s="16"/>
      <c r="F28" s="16"/>
      <c r="G28" s="156" t="s">
        <v>196</v>
      </c>
      <c r="H28" s="157"/>
      <c r="I28" s="158">
        <f>R25</f>
        <v>984.81000000000006</v>
      </c>
      <c r="J28" s="158"/>
      <c r="K28" s="16"/>
      <c r="L28" s="16"/>
      <c r="M28" s="66">
        <v>1</v>
      </c>
      <c r="N28" s="66" t="s">
        <v>58</v>
      </c>
      <c r="O28" s="66">
        <v>2</v>
      </c>
      <c r="P28" s="66" t="s">
        <v>163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 t="s">
        <v>280</v>
      </c>
      <c r="BI28" s="108" t="s">
        <v>281</v>
      </c>
      <c r="BJ28" s="16"/>
      <c r="BK28" s="16"/>
      <c r="BL28" s="16"/>
      <c r="BM28" s="16"/>
      <c r="BN28" s="16"/>
      <c r="BO28" s="16"/>
    </row>
    <row r="29" spans="1:69" ht="15.75" thickBot="1">
      <c r="A29" s="16"/>
      <c r="B29" s="16"/>
      <c r="C29" s="16"/>
      <c r="D29" s="16"/>
      <c r="E29" s="16"/>
      <c r="F29" s="16"/>
      <c r="G29" s="156" t="s">
        <v>197</v>
      </c>
      <c r="H29" s="157"/>
      <c r="I29" s="158">
        <f>S25</f>
        <v>14497.189999999999</v>
      </c>
      <c r="J29" s="158"/>
      <c r="K29" s="16"/>
      <c r="L29" s="16"/>
      <c r="M29" s="25">
        <v>1</v>
      </c>
      <c r="N29" s="25" t="s">
        <v>58</v>
      </c>
      <c r="O29" s="25">
        <v>2.5</v>
      </c>
      <c r="P29" s="25" t="s">
        <v>176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</row>
    <row r="30" spans="1:69" ht="15.75" thickBot="1">
      <c r="A30" s="16"/>
      <c r="B30" s="16"/>
      <c r="C30" s="16"/>
      <c r="D30" s="16"/>
      <c r="E30" s="16"/>
      <c r="F30" s="16"/>
      <c r="G30" s="156" t="s">
        <v>198</v>
      </c>
      <c r="H30" s="157"/>
      <c r="I30" s="158">
        <f>AB25</f>
        <v>2609.5</v>
      </c>
      <c r="J30" s="158"/>
      <c r="K30" s="16"/>
      <c r="L30" s="16"/>
      <c r="M30" s="25">
        <v>1</v>
      </c>
      <c r="N30" s="25" t="s">
        <v>163</v>
      </c>
      <c r="O30" s="25">
        <v>1E-3</v>
      </c>
      <c r="P30" s="25" t="s">
        <v>185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</row>
    <row r="31" spans="1:69" ht="15.75" thickBot="1">
      <c r="A31" s="16"/>
      <c r="B31" s="16"/>
      <c r="C31" s="16"/>
      <c r="D31" s="16"/>
      <c r="E31" s="16"/>
      <c r="F31" s="16"/>
      <c r="G31" s="156" t="s">
        <v>199</v>
      </c>
      <c r="H31" s="157"/>
      <c r="I31" s="162">
        <f>I29+I30</f>
        <v>17106.689999999999</v>
      </c>
      <c r="J31" s="162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</row>
    <row r="32" spans="1:6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 t="s">
        <v>282</v>
      </c>
      <c r="BN32" s="16" t="s">
        <v>283</v>
      </c>
      <c r="BO32" s="16"/>
    </row>
    <row r="33" spans="1:67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 t="s">
        <v>284</v>
      </c>
      <c r="BL33" s="16">
        <v>12.5</v>
      </c>
      <c r="BM33" s="16">
        <f>BL35*BL36</f>
        <v>18277.77</v>
      </c>
      <c r="BN33" s="16">
        <f>BL33*BL34</f>
        <v>6092.59</v>
      </c>
      <c r="BO33" s="16"/>
    </row>
    <row r="34" spans="1:67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 t="s">
        <v>285</v>
      </c>
      <c r="BL34" s="16">
        <v>487.40719999999999</v>
      </c>
      <c r="BM34" s="16">
        <f>BL33+BL35</f>
        <v>50</v>
      </c>
      <c r="BN34" s="16"/>
      <c r="BO34" s="16"/>
    </row>
    <row r="35" spans="1:67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 t="s">
        <v>286</v>
      </c>
      <c r="BL35" s="16">
        <v>37.5</v>
      </c>
      <c r="BM35" s="16"/>
      <c r="BN35" s="16"/>
      <c r="BO35" s="16"/>
    </row>
    <row r="36" spans="1:67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 t="s">
        <v>287</v>
      </c>
      <c r="BL36" s="16">
        <v>487.40719999999999</v>
      </c>
      <c r="BM36" s="16"/>
      <c r="BN36" s="16"/>
      <c r="BO36" s="16"/>
    </row>
    <row r="37" spans="1:6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>
        <f>BM33+BN33</f>
        <v>24370.36</v>
      </c>
      <c r="BN37" s="16">
        <f>BM37/BM34</f>
        <v>487.40719999999999</v>
      </c>
      <c r="BO37" s="16"/>
    </row>
    <row r="38" spans="1:67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</row>
    <row r="39" spans="1:67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</row>
  </sheetData>
  <mergeCells count="14">
    <mergeCell ref="A1:AC1"/>
    <mergeCell ref="G31:H31"/>
    <mergeCell ref="I31:J31"/>
    <mergeCell ref="G28:H28"/>
    <mergeCell ref="I28:J28"/>
    <mergeCell ref="G29:H29"/>
    <mergeCell ref="I29:J29"/>
    <mergeCell ref="G30:H30"/>
    <mergeCell ref="I30:J30"/>
    <mergeCell ref="B19:G19"/>
    <mergeCell ref="A21:B21"/>
    <mergeCell ref="G27:H27"/>
    <mergeCell ref="I27:J27"/>
    <mergeCell ref="M27:P27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Q39"/>
  <sheetViews>
    <sheetView workbookViewId="0">
      <selection sqref="A1:XFD1048576"/>
    </sheetView>
  </sheetViews>
  <sheetFormatPr defaultColWidth="9" defaultRowHeight="15"/>
  <cols>
    <col min="2" max="2" customWidth="true" width="23.5703125"/>
    <col min="4" max="4" bestFit="true" customWidth="true" width="72.42578125"/>
    <col min="11" max="11" customWidth="true" width="6.140625"/>
    <col min="29" max="29" bestFit="true" customWidth="true" width="11.5703125"/>
    <col min="35" max="35" customWidth="true" width="14.28515625"/>
    <col min="36" max="36" customWidth="true" width="17.5703125"/>
    <col min="37" max="37" bestFit="true" customWidth="true" width="13.42578125"/>
    <col min="38" max="38" bestFit="true" customWidth="true" width="13.5703125"/>
    <col min="45" max="45" customWidth="true" width="9.42578125"/>
    <col min="47" max="47" customWidth="true" width="15.28515625"/>
    <col min="48" max="48" customWidth="true" width="20.28515625"/>
    <col min="50" max="50" bestFit="true" customWidth="true" width="16.28515625"/>
    <col min="51" max="51" customWidth="true" width="13.85546875"/>
    <col min="52" max="52" customWidth="true" width="18.85546875"/>
    <col min="54" max="57" customWidth="true" width="21.7109375"/>
    <col min="58" max="58" customWidth="true" width="16.5703125"/>
    <col min="59" max="59" customWidth="true" width="13.7109375"/>
    <col min="60" max="60" customWidth="true" width="12.42578125"/>
    <col min="63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67" ht="18.75" thickBot="1">
      <c r="A1" s="154" t="s">
        <v>154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</row>
    <row r="2" spans="1:67" ht="18.75" thickBot="1">
      <c r="A2" s="129" t="s">
        <v>47</v>
      </c>
      <c r="B2" s="129"/>
      <c r="C2" s="129"/>
      <c r="D2" s="129"/>
      <c r="E2" s="129"/>
      <c r="F2" s="129"/>
      <c r="G2" s="129"/>
      <c r="H2" s="129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</row>
    <row r="3" spans="1:67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</row>
    <row r="4" spans="1:67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</row>
    <row r="5" spans="1:67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</row>
    <row r="6" spans="1:67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</row>
    <row r="7" spans="1:67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</row>
    <row r="8" spans="1:67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</row>
    <row r="9" spans="1:67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</row>
    <row r="10" spans="1:67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</row>
    <row r="11" spans="1:67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</row>
    <row r="12" spans="1:67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</row>
    <row r="13" spans="1:67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</row>
    <row r="14" spans="1:67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</row>
    <row r="15" spans="1:67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</row>
    <row r="16" spans="1:67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</row>
    <row r="17" spans="1:69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</row>
    <row r="18" spans="1:69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</row>
    <row r="19" spans="1:69" ht="15.75" thickTop="1">
      <c r="A19" s="16"/>
      <c r="B19" s="166" t="s">
        <v>87</v>
      </c>
      <c r="C19" s="167"/>
      <c r="D19" s="167"/>
      <c r="E19" s="167"/>
      <c r="F19" s="167"/>
      <c r="G19" s="168"/>
      <c r="H19" s="17">
        <f>SUM(H4:H18)</f>
        <v>71856.759999999995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</row>
    <row r="20" spans="1:69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</row>
    <row r="21" spans="1:69" ht="15.75" thickBot="1">
      <c r="A21" s="169" t="s">
        <v>89</v>
      </c>
      <c r="B21" s="169"/>
      <c r="C21" s="20">
        <v>1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2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</row>
    <row r="22" spans="1:69" ht="58.5" thickTop="1" thickBot="1">
      <c r="A22" s="61" t="s">
        <v>155</v>
      </c>
      <c r="B22" s="61" t="s">
        <v>49</v>
      </c>
      <c r="C22" s="61" t="s">
        <v>156</v>
      </c>
      <c r="D22" s="61" t="s">
        <v>51</v>
      </c>
      <c r="E22" s="61" t="s">
        <v>52</v>
      </c>
      <c r="F22" s="61" t="s">
        <v>53</v>
      </c>
      <c r="G22" s="61" t="s">
        <v>54</v>
      </c>
      <c r="H22" s="61" t="s">
        <v>55</v>
      </c>
      <c r="I22" s="63" t="s">
        <v>97</v>
      </c>
      <c r="J22" s="63" t="s">
        <v>99</v>
      </c>
      <c r="K22" s="63" t="s">
        <v>98</v>
      </c>
      <c r="L22" s="64" t="s">
        <v>100</v>
      </c>
      <c r="M22" s="64" t="s">
        <v>101</v>
      </c>
      <c r="N22" s="64" t="s">
        <v>104</v>
      </c>
      <c r="O22" s="64" t="s">
        <v>105</v>
      </c>
      <c r="P22" s="64" t="s">
        <v>157</v>
      </c>
      <c r="Q22" s="64" t="s">
        <v>103</v>
      </c>
      <c r="R22" s="63" t="s">
        <v>106</v>
      </c>
      <c r="S22" s="61" t="s">
        <v>158</v>
      </c>
      <c r="T22" s="61" t="s">
        <v>108</v>
      </c>
      <c r="U22" s="67" t="s">
        <v>159</v>
      </c>
      <c r="V22" s="67" t="s">
        <v>110</v>
      </c>
      <c r="W22" s="67" t="s">
        <v>111</v>
      </c>
      <c r="X22" s="67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69" t="s">
        <v>114</v>
      </c>
      <c r="AD22" s="69" t="s">
        <v>115</v>
      </c>
      <c r="AE22" s="69" t="s">
        <v>116</v>
      </c>
      <c r="AF22" s="69" t="s">
        <v>117</v>
      </c>
      <c r="AG22" s="69" t="s">
        <v>118</v>
      </c>
      <c r="AH22" s="69" t="s">
        <v>119</v>
      </c>
      <c r="AI22" s="69" t="s">
        <v>120</v>
      </c>
      <c r="AJ22" s="69" t="s">
        <v>121</v>
      </c>
      <c r="AK22" s="69" t="s">
        <v>122</v>
      </c>
      <c r="AL22" s="69" t="s">
        <v>123</v>
      </c>
      <c r="AM22" s="69" t="s">
        <v>124</v>
      </c>
      <c r="AN22" s="69" t="s">
        <v>125</v>
      </c>
      <c r="AO22" s="69" t="s">
        <v>126</v>
      </c>
      <c r="AP22" s="69" t="s">
        <v>127</v>
      </c>
      <c r="AQ22" s="69" t="s">
        <v>128</v>
      </c>
      <c r="AR22" s="70" t="s">
        <v>160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69" ht="15.75" thickBot="1">
      <c r="A23" s="25">
        <v>1</v>
      </c>
      <c r="B23" s="25" t="s">
        <v>340</v>
      </c>
      <c r="C23" s="25" t="s">
        <v>162</v>
      </c>
      <c r="D23" s="25" t="s">
        <v>58</v>
      </c>
      <c r="E23" s="25" t="s">
        <v>163</v>
      </c>
      <c r="F23" s="26">
        <v>25</v>
      </c>
      <c r="G23" t="s" s="0">
        <v>448</v>
      </c>
      <c r="H23" s="26">
        <f>F23*G23</f>
        <v>6440.75</v>
      </c>
      <c r="I23" t="s" s="0">
        <v>449</v>
      </c>
      <c r="J23" s="26">
        <v>2</v>
      </c>
      <c r="K23" s="26">
        <v>2.5</v>
      </c>
      <c r="L23" s="26">
        <f>H23</f>
        <v>6440.75</v>
      </c>
      <c r="M23" s="26">
        <f>ROUND(L23*I23%,2)</f>
        <v>64.41</v>
      </c>
      <c r="N23" s="26">
        <f>H23-M23</f>
        <v>6376.34</v>
      </c>
      <c r="O23" s="26">
        <f>ROUND(N23*J23%,2)</f>
        <v>127.53</v>
      </c>
      <c r="P23" s="26">
        <f>ROUND(N23-O23,2)</f>
        <v>6248.81</v>
      </c>
      <c r="Q23" s="26">
        <f>ROUND(P23*K23%,2)</f>
        <v>156.22</v>
      </c>
      <c r="R23" s="26">
        <f>ROUND((M23+O23+Q23),2)</f>
        <v>348.16</v>
      </c>
      <c r="S23" s="26">
        <f>ROUND((H23-R23),2)</f>
        <v>6092.59</v>
      </c>
      <c r="T23" s="55" t="s">
        <v>146</v>
      </c>
      <c r="U23" s="43">
        <v>0.18</v>
      </c>
      <c r="V23" s="26">
        <f>IF(OR($C$21=1,$C$21=4),ROUND(((S23*U23)/2),2),0)</f>
        <v>548.33000000000004</v>
      </c>
      <c r="W23" s="26">
        <f>IF($C$21=1,ROUND(((S23*U23)/2),2),0)</f>
        <v>548.33000000000004</v>
      </c>
      <c r="X23" s="26">
        <f>IF($C$21=2,ROUND(((S23*U23)),2),0)</f>
        <v>0</v>
      </c>
      <c r="Y23" s="26">
        <f>IF($C$21=4,ROUND(((S23*U23)/2),2),0)</f>
        <v>0</v>
      </c>
      <c r="Z23" s="91">
        <v>0</v>
      </c>
      <c r="AA23" s="26">
        <f>IF($C21=3, 0, ROUND(S23*Z23, 2))</f>
        <v>0</v>
      </c>
      <c r="AB23" s="25">
        <f>V23+W23+X23+Y23+AA23</f>
        <v>1096.6600000000001</v>
      </c>
      <c r="AC23" s="25">
        <f>IF($V21=1,S23+AB23,S23)</f>
        <v>7189.25</v>
      </c>
      <c r="AD23" s="55">
        <v>120</v>
      </c>
      <c r="AE23" s="55">
        <f>IF($P$21=1,(S23/$S$25)*$E$36,AD23/$AD$25*$E$36)</f>
        <v>0</v>
      </c>
      <c r="AF23" s="55"/>
      <c r="AG23" s="55">
        <f>IF($P$21=1,(S23/$S$25)*$E$38,AD23/$AD$25*$E$38)</f>
        <v>0</v>
      </c>
      <c r="AH23" s="55">
        <f>IF($P$21=1,(S23/$S$25)*$E$39,AD23/$AD$25*$E$39)</f>
        <v>0</v>
      </c>
      <c r="AI23" s="55">
        <f t="shared" ref="AI23:AI24" si="1">S23*$M$21</f>
        <v>6092.59</v>
      </c>
      <c r="AJ23" s="55">
        <f>IF($C$21=3,0,AG23+AH23)</f>
        <v>0</v>
      </c>
      <c r="AK23" s="55">
        <f t="shared" ref="AK23:AK24" si="2">IF($C$21=3,AE23+AG23+AH23,0)</f>
        <v>0</v>
      </c>
      <c r="AL23" s="82">
        <v>2</v>
      </c>
      <c r="AM23" s="55">
        <f>F23/AL23</f>
        <v>12.5</v>
      </c>
      <c r="AN23" s="55">
        <f>ROUND(AI23/AM23,5)</f>
        <v>487.40719999999999</v>
      </c>
      <c r="AO23" s="55">
        <f>AJ23/AM23</f>
        <v>0</v>
      </c>
      <c r="AP23" s="55">
        <f>AK23/AM23</f>
        <v>0</v>
      </c>
      <c r="AQ23" s="55" t="s">
        <v>58</v>
      </c>
      <c r="AR23" s="55">
        <f>ROUND(AN23+AO23+AP23,5)</f>
        <v>487.40719999999999</v>
      </c>
      <c r="AS23" s="48" t="s">
        <v>217</v>
      </c>
      <c r="AT23" s="48" t="s">
        <v>58</v>
      </c>
      <c r="AU23" t="s" s="0">
        <v>219</v>
      </c>
      <c r="AV23" t="s" s="0">
        <v>446</v>
      </c>
      <c r="AW23" s="48">
        <f>AM23</f>
        <v>12.5</v>
      </c>
      <c r="AX23" s="48">
        <f>AR23</f>
        <v>487.40719999999999</v>
      </c>
      <c r="AY23" s="48">
        <f>AU23+AW23</f>
        <v>12.5</v>
      </c>
      <c r="AZ23" s="48">
        <f>ROUND(((AU23*AV23)+(AW23*AX23))/(AU23+AW23),5)</f>
        <v>487.40719999999999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7" t="s">
        <v>271</v>
      </c>
      <c r="BM23" t="s" s="0">
        <v>446</v>
      </c>
      <c r="BN23" t="s" s="0">
        <v>262</v>
      </c>
      <c r="BO23" s="48">
        <f>ROUND((((AW23*AZ23)+(BN23*BM23))/(AW23+BN23)),5)</f>
        <v>487.40719999999999</v>
      </c>
      <c r="BP23" s="53">
        <f>BN23+AW23</f>
        <v>50</v>
      </c>
      <c r="BQ23" s="54">
        <v>123562</v>
      </c>
    </row>
    <row r="24" spans="1:69" ht="15.75" thickBot="1">
      <c r="A24" s="25">
        <v>2</v>
      </c>
      <c r="B24" s="25" t="s">
        <v>341</v>
      </c>
      <c r="C24" s="25" t="s">
        <v>175</v>
      </c>
      <c r="D24" s="25" t="s">
        <v>58</v>
      </c>
      <c r="E24" s="25" t="s">
        <v>163</v>
      </c>
      <c r="F24" s="26">
        <v>28</v>
      </c>
      <c r="G24" t="s" s="0">
        <v>450</v>
      </c>
      <c r="H24" s="26">
        <f t="shared" ref="H24" si="3">F24*G24</f>
        <v>4214</v>
      </c>
      <c r="I24" t="s" s="0">
        <v>342</v>
      </c>
      <c r="J24" s="26">
        <v>2</v>
      </c>
      <c r="K24" s="26">
        <v>2.5</v>
      </c>
      <c r="L24" s="26">
        <f t="shared" ref="L24" si="4">H24</f>
        <v>4214</v>
      </c>
      <c r="M24" s="26">
        <f t="shared" ref="M24" si="5">ROUND(L24*I24%,2)</f>
        <v>42.14</v>
      </c>
      <c r="N24" s="26">
        <f t="shared" ref="N24" si="6">H24-M24</f>
        <v>4171.8599999999997</v>
      </c>
      <c r="O24" s="26">
        <f t="shared" ref="O24" si="7">ROUND(N24*J24%,2)</f>
        <v>83.44</v>
      </c>
      <c r="P24" s="26">
        <f t="shared" ref="P24" si="8">ROUND(N24-O24,2)</f>
        <v>4088.42</v>
      </c>
      <c r="Q24" s="26">
        <f t="shared" ref="Q24" si="9">ROUND(P24*K24%,2)</f>
        <v>102.21</v>
      </c>
      <c r="R24" s="26">
        <f t="shared" ref="R24" si="10">ROUND((M24+O24+Q24),2)</f>
        <v>227.79</v>
      </c>
      <c r="S24" s="26">
        <f t="shared" ref="S24" si="11">ROUND((H24-R24),2)</f>
        <v>3986.21</v>
      </c>
      <c r="T24" s="55" t="s">
        <v>273</v>
      </c>
      <c r="U24" s="43">
        <v>0.18</v>
      </c>
      <c r="V24" s="26">
        <f t="shared" ref="V24" si="12">IF(OR($C$21=1,$C$21=4),ROUND(((S24*U24)/2),2),0)</f>
        <v>358.76</v>
      </c>
      <c r="W24" s="26">
        <f t="shared" ref="W24" si="13">IF($C$21=1,ROUND(((S24*U24)/2),2),0)</f>
        <v>358.76</v>
      </c>
      <c r="X24" s="26">
        <f t="shared" ref="X24" si="14">IF($C$21=2,ROUND(((S24*U24)),2),0)</f>
        <v>0</v>
      </c>
      <c r="Y24" s="26">
        <f t="shared" ref="Y24" si="15">IF($C$21=4,ROUND(((S24*U24)/2),2),0)</f>
        <v>0</v>
      </c>
      <c r="Z24" s="91">
        <v>0</v>
      </c>
      <c r="AA24" s="26">
        <f t="shared" ref="AA24" si="16">IF($C22=3, 0, ROUND(S24*Z24, 2))</f>
        <v>0</v>
      </c>
      <c r="AB24" s="25">
        <f t="shared" ref="AB24" si="17">V24+W24+X24+Y24+AA24</f>
        <v>717.52</v>
      </c>
      <c r="AC24" s="25">
        <f t="shared" ref="AC24" si="18">IF($V22=1,S24+AB24,S24)</f>
        <v>3986.21</v>
      </c>
      <c r="AD24" s="55">
        <v>350</v>
      </c>
      <c r="AE24" s="55">
        <f>IF($P$21=1,(S24/$S$25)*$E$36,AD24/$AD$25*$E$36)</f>
        <v>0</v>
      </c>
      <c r="AF24" s="55"/>
      <c r="AG24" s="55">
        <f>IF($P$21=1,(S24/$S$25)*$E$38,AD24/$AD$25*$E$38)</f>
        <v>0</v>
      </c>
      <c r="AH24" s="55">
        <f>IF($P$21=1,(S24/$S$25)*$E$39,AD24/$AD$25*$E$39)</f>
        <v>0</v>
      </c>
      <c r="AI24" s="55">
        <f t="shared" si="1"/>
        <v>3986.21</v>
      </c>
      <c r="AJ24" s="55">
        <f t="shared" ref="AJ24" si="19">IF($C$21=3,0,AG24+AH24)</f>
        <v>0</v>
      </c>
      <c r="AK24" s="55">
        <f t="shared" si="2"/>
        <v>0</v>
      </c>
      <c r="AL24" s="82">
        <v>2</v>
      </c>
      <c r="AM24" s="55">
        <f>F24/AL24</f>
        <v>14</v>
      </c>
      <c r="AN24" s="55">
        <f t="shared" ref="AN24" si="20">ROUND(AI24/AM24,5)</f>
        <v>284.72928999999999</v>
      </c>
      <c r="AO24" s="55">
        <f t="shared" ref="AO24" si="21">AJ24/AM24</f>
        <v>0</v>
      </c>
      <c r="AP24" s="55">
        <f t="shared" ref="AP24" si="22">AK24/AM24</f>
        <v>0</v>
      </c>
      <c r="AQ24" s="55" t="s">
        <v>58</v>
      </c>
      <c r="AR24" s="55">
        <f t="shared" ref="AR24" si="23">ROUND(AN24+AO24+AP24,5)</f>
        <v>284.72928999999999</v>
      </c>
      <c r="AS24" s="48" t="s">
        <v>217</v>
      </c>
      <c r="AT24" s="48" t="s">
        <v>58</v>
      </c>
      <c r="AU24" t="s" s="0">
        <v>219</v>
      </c>
      <c r="AV24" t="s" s="0">
        <v>447</v>
      </c>
      <c r="AW24" s="48">
        <f>AM24</f>
        <v>14</v>
      </c>
      <c r="AX24" s="48">
        <f>AR24</f>
        <v>284.72928999999999</v>
      </c>
      <c r="AY24" s="48">
        <f>AU24+AW24</f>
        <v>14</v>
      </c>
      <c r="AZ24" s="48">
        <f>ROUND(((AU24*AV24)+(AW24*AX24))/(AU24+AW24),5)</f>
        <v>284.72928999999999</v>
      </c>
      <c r="BA24" s="50"/>
      <c r="BB24" s="50" t="s">
        <v>149</v>
      </c>
      <c r="BC24" s="80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7" t="s">
        <v>271</v>
      </c>
      <c r="BM24" t="s" s="0">
        <v>532</v>
      </c>
      <c r="BN24" t="s" s="0">
        <v>531</v>
      </c>
      <c r="BO24" s="48">
        <f>ROUND((((AW24*AZ24)+(BN24*BM24))/(AW24+BN24)),5)</f>
        <v>284.72928999999999</v>
      </c>
      <c r="BP24" s="53">
        <f>BN24+AW24</f>
        <v>56</v>
      </c>
      <c r="BQ24" s="54">
        <v>123562</v>
      </c>
    </row>
    <row r="25" spans="1:69" ht="15.75" thickBot="1">
      <c r="A25" s="16"/>
      <c r="C25" s="62" t="s">
        <v>87</v>
      </c>
      <c r="D25" s="28"/>
      <c r="E25" s="28"/>
      <c r="F25" s="28"/>
      <c r="G25" s="29"/>
      <c r="H25" s="30">
        <f>SUM(H23:H24)</f>
        <v>10654.75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575.95000000000005</v>
      </c>
      <c r="S25" s="30">
        <f>SUM(S23:S24)</f>
        <v>10078.799999999999</v>
      </c>
      <c r="T25" s="30"/>
      <c r="U25" s="30"/>
      <c r="V25" s="39">
        <f t="shared" ref="V25:AE25" si="24">SUM(V23:V24)</f>
        <v>907.09</v>
      </c>
      <c r="W25" s="39">
        <f t="shared" si="24"/>
        <v>907.09</v>
      </c>
      <c r="X25" s="39">
        <f t="shared" si="24"/>
        <v>0</v>
      </c>
      <c r="Y25" s="39">
        <f t="shared" si="24"/>
        <v>0</v>
      </c>
      <c r="Z25" s="120">
        <f t="shared" si="24"/>
        <v>0</v>
      </c>
      <c r="AA25" s="39">
        <f t="shared" si="24"/>
        <v>0</v>
      </c>
      <c r="AB25" s="30">
        <f t="shared" si="24"/>
        <v>1814.18</v>
      </c>
      <c r="AC25" s="44">
        <f t="shared" si="24"/>
        <v>11175.46</v>
      </c>
      <c r="AD25" s="45">
        <f t="shared" si="24"/>
        <v>470</v>
      </c>
      <c r="AE25" s="45">
        <f t="shared" si="24"/>
        <v>0</v>
      </c>
      <c r="AF25" s="44"/>
      <c r="AG25" s="45">
        <f>SUM(AG23:AG24)</f>
        <v>0</v>
      </c>
      <c r="AH25" s="45">
        <f>IF($P$21=1,(S25/$S$25)*$E$39,AD25/$AD$25*$E$39)</f>
        <v>0</v>
      </c>
      <c r="AI25" s="45">
        <f>SUM(AI23:AI24)</f>
        <v>10078.799999999999</v>
      </c>
      <c r="AJ25" s="45">
        <f>SUM(AJ23:AJ24)</f>
        <v>0</v>
      </c>
      <c r="AK25" s="45">
        <f>SUM(AK23:AK24)</f>
        <v>0</v>
      </c>
      <c r="AL25" s="44"/>
      <c r="AM25" s="44"/>
      <c r="AN25" s="44"/>
      <c r="AO25" s="44"/>
      <c r="AP25" s="44"/>
      <c r="AQ25" s="44"/>
      <c r="AR25" s="44"/>
      <c r="AS25" s="16"/>
      <c r="AT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</row>
    <row r="26" spans="1:69" ht="15.75" thickBo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</row>
    <row r="27" spans="1:69" ht="15.75" thickBot="1">
      <c r="A27" s="16"/>
      <c r="B27" s="16"/>
      <c r="C27" s="16"/>
      <c r="D27" s="16"/>
      <c r="E27" s="16"/>
      <c r="F27" s="16"/>
      <c r="G27" s="156" t="s">
        <v>194</v>
      </c>
      <c r="H27" s="157"/>
      <c r="I27" s="170">
        <f>H25</f>
        <v>10654.75</v>
      </c>
      <c r="J27" s="171"/>
      <c r="K27" s="65"/>
      <c r="L27" s="16"/>
      <c r="M27" s="159" t="s">
        <v>195</v>
      </c>
      <c r="N27" s="160"/>
      <c r="O27" s="160"/>
      <c r="P27" s="161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 t="s">
        <v>278</v>
      </c>
      <c r="BI27" s="108" t="s">
        <v>279</v>
      </c>
      <c r="BJ27" s="16"/>
      <c r="BK27" s="16"/>
      <c r="BL27" s="16"/>
      <c r="BM27" s="16"/>
      <c r="BN27" s="16"/>
      <c r="BO27" s="16"/>
    </row>
    <row r="28" spans="1:69" ht="15.75" thickBot="1">
      <c r="A28" s="16"/>
      <c r="B28" s="16"/>
      <c r="C28" s="16"/>
      <c r="D28" s="16"/>
      <c r="E28" s="16"/>
      <c r="F28" s="16"/>
      <c r="G28" s="156" t="s">
        <v>196</v>
      </c>
      <c r="H28" s="157"/>
      <c r="I28" s="170">
        <f>R25</f>
        <v>575.95000000000005</v>
      </c>
      <c r="J28" s="171"/>
      <c r="K28" s="16"/>
      <c r="L28" s="16"/>
      <c r="M28" s="66">
        <v>1</v>
      </c>
      <c r="N28" s="66" t="s">
        <v>58</v>
      </c>
      <c r="O28" s="66">
        <v>2</v>
      </c>
      <c r="P28" s="66" t="s">
        <v>163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 t="s">
        <v>280</v>
      </c>
      <c r="BI28" s="108" t="s">
        <v>281</v>
      </c>
      <c r="BJ28" s="16"/>
      <c r="BK28" s="16"/>
      <c r="BL28" s="16"/>
      <c r="BM28" s="16"/>
      <c r="BN28" s="16"/>
      <c r="BO28" s="16"/>
    </row>
    <row r="29" spans="1:69" ht="15.75" thickBot="1">
      <c r="A29" s="16"/>
      <c r="B29" s="16"/>
      <c r="C29" s="16"/>
      <c r="D29" s="16"/>
      <c r="E29" s="16"/>
      <c r="F29" s="16"/>
      <c r="G29" s="156" t="s">
        <v>197</v>
      </c>
      <c r="H29" s="157"/>
      <c r="I29" s="170">
        <f>S25</f>
        <v>10078.799999999999</v>
      </c>
      <c r="J29" s="171"/>
      <c r="K29" s="16"/>
      <c r="L29" s="16"/>
      <c r="M29" s="25">
        <v>1</v>
      </c>
      <c r="N29" s="25" t="s">
        <v>58</v>
      </c>
      <c r="O29" s="25">
        <v>2.5</v>
      </c>
      <c r="P29" s="25" t="s">
        <v>176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</row>
    <row r="30" spans="1:69" ht="15.75" thickBot="1">
      <c r="A30" s="16"/>
      <c r="B30" s="16"/>
      <c r="C30" s="16"/>
      <c r="D30" s="16"/>
      <c r="E30" s="16"/>
      <c r="F30" s="16"/>
      <c r="G30" s="156" t="s">
        <v>198</v>
      </c>
      <c r="H30" s="157"/>
      <c r="I30" s="170">
        <f>AB25</f>
        <v>1814.18</v>
      </c>
      <c r="J30" s="171"/>
      <c r="K30" s="16"/>
      <c r="L30" s="16"/>
      <c r="M30" s="25">
        <v>1</v>
      </c>
      <c r="N30" s="25" t="s">
        <v>163</v>
      </c>
      <c r="O30" s="25">
        <v>1E-3</v>
      </c>
      <c r="P30" s="25" t="s">
        <v>185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</row>
    <row r="31" spans="1:69" ht="15.75" thickBot="1">
      <c r="A31" s="16"/>
      <c r="B31" s="16"/>
      <c r="C31" s="16"/>
      <c r="D31" s="16"/>
      <c r="E31" s="16"/>
      <c r="F31" s="16"/>
      <c r="G31" s="156" t="s">
        <v>199</v>
      </c>
      <c r="H31" s="157"/>
      <c r="I31" s="172">
        <f>I29+I30</f>
        <v>11892.98</v>
      </c>
      <c r="J31" s="173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</row>
    <row r="32" spans="1:6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 t="s">
        <v>282</v>
      </c>
      <c r="BN32" s="16" t="s">
        <v>283</v>
      </c>
      <c r="BO32" s="16"/>
    </row>
    <row r="33" spans="1:67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 t="s">
        <v>284</v>
      </c>
      <c r="BL33" s="16">
        <v>12.5</v>
      </c>
      <c r="BM33" s="16">
        <f>BL35*BL36</f>
        <v>18277.77</v>
      </c>
      <c r="BN33" s="16">
        <f>BL33*BL34</f>
        <v>6092.59</v>
      </c>
      <c r="BO33" s="16"/>
    </row>
    <row r="34" spans="1:67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 t="s">
        <v>285</v>
      </c>
      <c r="BL34" s="16">
        <v>487.40719999999999</v>
      </c>
      <c r="BM34" s="16">
        <f>BL33+BL35</f>
        <v>50</v>
      </c>
      <c r="BN34" s="16"/>
      <c r="BO34" s="16"/>
    </row>
    <row r="35" spans="1:67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 t="s">
        <v>286</v>
      </c>
      <c r="BL35" s="16">
        <v>37.5</v>
      </c>
      <c r="BM35" s="16"/>
      <c r="BN35" s="16"/>
      <c r="BO35" s="16"/>
    </row>
    <row r="36" spans="1:67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 t="s">
        <v>287</v>
      </c>
      <c r="BL36" s="16">
        <v>487.40719999999999</v>
      </c>
      <c r="BM36" s="16"/>
      <c r="BN36" s="16"/>
      <c r="BO36" s="16"/>
    </row>
    <row r="37" spans="1:6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>
        <f>BM33+BN33</f>
        <v>24370.36</v>
      </c>
      <c r="BN37" s="16">
        <f>BM37/BM34</f>
        <v>487.40719999999999</v>
      </c>
      <c r="BO37" s="16"/>
    </row>
    <row r="38" spans="1:67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</row>
    <row r="39" spans="1:67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</row>
  </sheetData>
  <mergeCells count="14">
    <mergeCell ref="G31:H31"/>
    <mergeCell ref="I31:J31"/>
    <mergeCell ref="G28:H28"/>
    <mergeCell ref="I28:J28"/>
    <mergeCell ref="G29:H29"/>
    <mergeCell ref="I29:J29"/>
    <mergeCell ref="G30:H30"/>
    <mergeCell ref="I30:J30"/>
    <mergeCell ref="A1:AC1"/>
    <mergeCell ref="B19:G19"/>
    <mergeCell ref="A21:B21"/>
    <mergeCell ref="G27:H27"/>
    <mergeCell ref="I27:J27"/>
    <mergeCell ref="M27:P27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Q39"/>
  <sheetViews>
    <sheetView workbookViewId="0">
      <selection activeCell="D14" sqref="D14"/>
    </sheetView>
  </sheetViews>
  <sheetFormatPr defaultColWidth="9" defaultRowHeight="15"/>
  <cols>
    <col min="2" max="2" customWidth="true" width="23.5703125"/>
    <col min="4" max="4" bestFit="true" customWidth="true" width="72.42578125"/>
    <col min="11" max="11" customWidth="true" width="6.140625"/>
    <col min="29" max="29" bestFit="true" customWidth="true" width="11.5703125"/>
    <col min="35" max="35" customWidth="true" width="14.28515625"/>
    <col min="36" max="36" customWidth="true" width="17.5703125"/>
    <col min="37" max="37" bestFit="true" customWidth="true" width="13.42578125"/>
    <col min="38" max="38" bestFit="true" customWidth="true" width="13.5703125"/>
    <col min="45" max="45" customWidth="true" width="9.42578125"/>
    <col min="47" max="47" customWidth="true" width="15.28515625"/>
    <col min="48" max="48" customWidth="true" width="20.28515625"/>
    <col min="50" max="50" bestFit="true" customWidth="true" width="16.28515625"/>
    <col min="51" max="51" customWidth="true" width="13.85546875"/>
    <col min="52" max="52" customWidth="true" width="18.85546875"/>
    <col min="54" max="57" customWidth="true" width="21.7109375"/>
    <col min="58" max="58" customWidth="true" width="16.5703125"/>
    <col min="59" max="59" customWidth="true" width="13.7109375"/>
    <col min="60" max="60" customWidth="true" width="12.42578125"/>
    <col min="63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67" ht="18.75" thickBot="1">
      <c r="A1" s="154" t="s">
        <v>154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</row>
    <row r="2" spans="1:67" ht="18.75" thickBot="1">
      <c r="A2" s="130" t="s">
        <v>47</v>
      </c>
      <c r="B2" s="130"/>
      <c r="C2" s="130"/>
      <c r="D2" s="130"/>
      <c r="E2" s="130"/>
      <c r="F2" s="130"/>
      <c r="G2" s="130"/>
      <c r="H2" s="130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</row>
    <row r="3" spans="1:67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</row>
    <row r="4" spans="1:67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</row>
    <row r="5" spans="1:67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</row>
    <row r="6" spans="1:67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</row>
    <row r="7" spans="1:67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</row>
    <row r="8" spans="1:67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</row>
    <row r="9" spans="1:67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</row>
    <row r="10" spans="1:67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</row>
    <row r="11" spans="1:67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</row>
    <row r="12" spans="1:67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</row>
    <row r="13" spans="1:67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</row>
    <row r="14" spans="1:67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</row>
    <row r="15" spans="1:67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</row>
    <row r="16" spans="1:67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</row>
    <row r="17" spans="1:69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</row>
    <row r="18" spans="1:69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</row>
    <row r="19" spans="1:69" ht="15.75" thickTop="1">
      <c r="A19" s="16"/>
      <c r="B19" s="166" t="s">
        <v>87</v>
      </c>
      <c r="C19" s="167"/>
      <c r="D19" s="167"/>
      <c r="E19" s="167"/>
      <c r="F19" s="167"/>
      <c r="G19" s="168"/>
      <c r="H19" s="17">
        <f>SUM(H4:H18)</f>
        <v>71856.759999999995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</row>
    <row r="20" spans="1:69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</row>
    <row r="21" spans="1:69" ht="15.75" thickBot="1">
      <c r="A21" s="169" t="s">
        <v>89</v>
      </c>
      <c r="B21" s="169"/>
      <c r="C21" s="20">
        <v>1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2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</row>
    <row r="22" spans="1:69" ht="58.5" thickTop="1" thickBot="1">
      <c r="A22" s="61" t="s">
        <v>155</v>
      </c>
      <c r="B22" s="61" t="s">
        <v>49</v>
      </c>
      <c r="C22" s="61" t="s">
        <v>156</v>
      </c>
      <c r="D22" s="61" t="s">
        <v>51</v>
      </c>
      <c r="E22" s="61" t="s">
        <v>52</v>
      </c>
      <c r="F22" s="61" t="s">
        <v>53</v>
      </c>
      <c r="G22" s="61" t="s">
        <v>54</v>
      </c>
      <c r="H22" s="61" t="s">
        <v>55</v>
      </c>
      <c r="I22" s="63" t="s">
        <v>97</v>
      </c>
      <c r="J22" s="63" t="s">
        <v>99</v>
      </c>
      <c r="K22" s="63" t="s">
        <v>98</v>
      </c>
      <c r="L22" s="64" t="s">
        <v>100</v>
      </c>
      <c r="M22" s="64" t="s">
        <v>101</v>
      </c>
      <c r="N22" s="64" t="s">
        <v>104</v>
      </c>
      <c r="O22" s="64" t="s">
        <v>105</v>
      </c>
      <c r="P22" s="64" t="s">
        <v>157</v>
      </c>
      <c r="Q22" s="64" t="s">
        <v>103</v>
      </c>
      <c r="R22" s="63" t="s">
        <v>106</v>
      </c>
      <c r="S22" s="61" t="s">
        <v>158</v>
      </c>
      <c r="T22" s="61" t="s">
        <v>108</v>
      </c>
      <c r="U22" s="67" t="s">
        <v>159</v>
      </c>
      <c r="V22" s="67" t="s">
        <v>110</v>
      </c>
      <c r="W22" s="67" t="s">
        <v>111</v>
      </c>
      <c r="X22" s="67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69" t="s">
        <v>114</v>
      </c>
      <c r="AD22" s="69" t="s">
        <v>115</v>
      </c>
      <c r="AE22" s="69" t="s">
        <v>116</v>
      </c>
      <c r="AF22" s="69" t="s">
        <v>117</v>
      </c>
      <c r="AG22" s="69" t="s">
        <v>118</v>
      </c>
      <c r="AH22" s="69" t="s">
        <v>119</v>
      </c>
      <c r="AI22" s="69" t="s">
        <v>120</v>
      </c>
      <c r="AJ22" s="69" t="s">
        <v>121</v>
      </c>
      <c r="AK22" s="69" t="s">
        <v>122</v>
      </c>
      <c r="AL22" s="69" t="s">
        <v>123</v>
      </c>
      <c r="AM22" s="69" t="s">
        <v>124</v>
      </c>
      <c r="AN22" s="69" t="s">
        <v>125</v>
      </c>
      <c r="AO22" s="69" t="s">
        <v>126</v>
      </c>
      <c r="AP22" s="69" t="s">
        <v>127</v>
      </c>
      <c r="AQ22" s="69" t="s">
        <v>128</v>
      </c>
      <c r="AR22" s="70" t="s">
        <v>160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69" ht="15.75" thickBot="1">
      <c r="A23" s="25">
        <v>1</v>
      </c>
      <c r="B23" s="25" t="s">
        <v>343</v>
      </c>
      <c r="C23" s="25" t="s">
        <v>162</v>
      </c>
      <c r="D23" s="25" t="s">
        <v>58</v>
      </c>
      <c r="E23" s="25" t="s">
        <v>163</v>
      </c>
      <c r="F23" s="26">
        <v>25</v>
      </c>
      <c r="G23" t="s" s="0">
        <v>453</v>
      </c>
      <c r="H23" s="26">
        <f>F23*G23</f>
        <v>5925</v>
      </c>
      <c r="I23" t="s" s="0">
        <v>454</v>
      </c>
      <c r="J23" s="26">
        <v>2</v>
      </c>
      <c r="K23" s="26">
        <v>2.5</v>
      </c>
      <c r="L23" s="26">
        <f>H23</f>
        <v>5925</v>
      </c>
      <c r="M23" s="26">
        <f>ROUND(L23*I23%,2)</f>
        <v>165.9</v>
      </c>
      <c r="N23" s="26">
        <f>H23-M23</f>
        <v>5759.1</v>
      </c>
      <c r="O23" s="26">
        <f>ROUND(N23*J23%,2)</f>
        <v>115.18</v>
      </c>
      <c r="P23" s="26">
        <f>ROUND(N23-O23,2)</f>
        <v>5643.92</v>
      </c>
      <c r="Q23" s="26">
        <f>ROUND(P23*K23%,2)</f>
        <v>141.1</v>
      </c>
      <c r="R23" s="26">
        <f>ROUND((M23+O23+Q23),2)</f>
        <v>422.18</v>
      </c>
      <c r="S23" s="26">
        <f>ROUND((H23-R23),2)</f>
        <v>5502.82</v>
      </c>
      <c r="T23" s="55" t="s">
        <v>146</v>
      </c>
      <c r="U23" s="43">
        <v>0.18</v>
      </c>
      <c r="V23" s="26">
        <f>IF(OR($C$21=1,$C$21=4),ROUND(((S23*U23)/2),2),0)</f>
        <v>495.25</v>
      </c>
      <c r="W23" s="26">
        <f>IF($C$21=1,ROUND(((S23*U23)/2),2),0)</f>
        <v>495.25</v>
      </c>
      <c r="X23" s="26">
        <f>IF($C$21=2,ROUND(((S23*U23)),2),0)</f>
        <v>0</v>
      </c>
      <c r="Y23" s="26">
        <f>IF($C$21=4,ROUND(((S23*U23)/2),2),0)</f>
        <v>0</v>
      </c>
      <c r="Z23" s="91">
        <v>0</v>
      </c>
      <c r="AA23" s="26">
        <f>IF($C21=3, 0, ROUND(S23*Z23, 2))</f>
        <v>0</v>
      </c>
      <c r="AB23" s="25">
        <f>V23+W23+X23+Y23+AA23</f>
        <v>990.5</v>
      </c>
      <c r="AC23" s="25">
        <f>IF($V21=1,S23+AB23,S23)</f>
        <v>6493.32</v>
      </c>
      <c r="AD23" s="55">
        <v>120</v>
      </c>
      <c r="AE23" s="55">
        <f>IF($P$21=1,(S23/$S$25)*$E$36,AD23/$AD$25*$E$36)</f>
        <v>0</v>
      </c>
      <c r="AF23" s="55"/>
      <c r="AG23" s="55">
        <f>IF($P$21=1,(S23/$S$25)*$E$38,AD23/$AD$25*$E$38)</f>
        <v>0</v>
      </c>
      <c r="AH23" s="55">
        <f>IF($P$21=1,(S23/$S$25)*$E$39,AD23/$AD$25*$E$39)</f>
        <v>0</v>
      </c>
      <c r="AI23" s="55">
        <f t="shared" ref="AI23:AI24" si="1">S23*$M$21</f>
        <v>5502.82</v>
      </c>
      <c r="AJ23" s="55">
        <f>IF($C$21=3,0,AG23+AH23)</f>
        <v>0</v>
      </c>
      <c r="AK23" s="55">
        <f t="shared" ref="AK23:AK24" si="2">IF($C$21=3,AE23+AG23+AH23,0)</f>
        <v>0</v>
      </c>
      <c r="AL23" s="82">
        <v>2</v>
      </c>
      <c r="AM23" s="55">
        <f>F23/AL23</f>
        <v>12.5</v>
      </c>
      <c r="AN23" s="55">
        <f>ROUND(AI23/AM23,5)</f>
        <v>440.22559999999999</v>
      </c>
      <c r="AO23" s="55">
        <f>AJ23/AM23</f>
        <v>0</v>
      </c>
      <c r="AP23" s="55">
        <f>AK23/AM23</f>
        <v>0</v>
      </c>
      <c r="AQ23" s="55" t="s">
        <v>58</v>
      </c>
      <c r="AR23" s="55">
        <f>ROUND(AN23+AO23+AP23,5)</f>
        <v>440.22559999999999</v>
      </c>
      <c r="AS23" s="48" t="s">
        <v>217</v>
      </c>
      <c r="AT23" s="48" t="s">
        <v>58</v>
      </c>
      <c r="AU23" t="s" s="0">
        <v>219</v>
      </c>
      <c r="AV23" t="s" s="0">
        <v>451</v>
      </c>
      <c r="AW23" s="48">
        <f>AM23</f>
        <v>12.5</v>
      </c>
      <c r="AX23" s="48">
        <f>AR23</f>
        <v>440.22559999999999</v>
      </c>
      <c r="AY23" s="48">
        <f>AU23+AW23</f>
        <v>12.5</v>
      </c>
      <c r="AZ23" s="48">
        <f>ROUND(((AU23*AV23)+(AW23*AX23))/(AU23+AW23),5)</f>
        <v>440.22559999999999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7" t="s">
        <v>271</v>
      </c>
      <c r="BM23" t="s" s="0">
        <v>451</v>
      </c>
      <c r="BN23" t="s" s="0">
        <v>481</v>
      </c>
      <c r="BO23" s="48">
        <f>ROUND((((AW23*AZ23)+(BN23*BM23))/(AW23+BN23)),5)</f>
        <v>440.22559999999999</v>
      </c>
      <c r="BP23" s="53">
        <f>BN23+AW23</f>
        <v>62.5</v>
      </c>
      <c r="BQ23" s="54">
        <v>123562</v>
      </c>
    </row>
    <row r="24" spans="1:69" ht="15.75" thickBot="1">
      <c r="A24" s="25">
        <v>2</v>
      </c>
      <c r="B24" s="25" t="s">
        <v>344</v>
      </c>
      <c r="C24" s="25" t="s">
        <v>175</v>
      </c>
      <c r="D24" s="25" t="s">
        <v>58</v>
      </c>
      <c r="E24" s="25" t="s">
        <v>163</v>
      </c>
      <c r="F24" s="26">
        <v>28</v>
      </c>
      <c r="G24" t="s" s="0">
        <v>455</v>
      </c>
      <c r="H24" s="26">
        <f t="shared" ref="H24" si="3">F24*G24</f>
        <v>12768</v>
      </c>
      <c r="I24" t="s" s="0">
        <v>456</v>
      </c>
      <c r="J24" s="26">
        <v>2</v>
      </c>
      <c r="K24" s="26">
        <v>2.5</v>
      </c>
      <c r="L24" s="26">
        <f t="shared" ref="L24" si="4">H24</f>
        <v>12768</v>
      </c>
      <c r="M24" s="26">
        <f t="shared" ref="M24" si="5">ROUND(L24*I24%,2)</f>
        <v>319.2</v>
      </c>
      <c r="N24" s="26">
        <f t="shared" ref="N24" si="6">H24-M24</f>
        <v>12448.8</v>
      </c>
      <c r="O24" s="26">
        <f t="shared" ref="O24" si="7">ROUND(N24*J24%,2)</f>
        <v>248.98</v>
      </c>
      <c r="P24" s="26">
        <f t="shared" ref="P24" si="8">ROUND(N24-O24,2)</f>
        <v>12199.82</v>
      </c>
      <c r="Q24" s="26">
        <f t="shared" ref="Q24" si="9">ROUND(P24*K24%,2)</f>
        <v>305</v>
      </c>
      <c r="R24" s="26">
        <f t="shared" ref="R24" si="10">ROUND((M24+O24+Q24),2)</f>
        <v>873.18</v>
      </c>
      <c r="S24" s="26">
        <f t="shared" ref="S24" si="11">ROUND((H24-R24),2)</f>
        <v>11894.82</v>
      </c>
      <c r="T24" s="55" t="s">
        <v>273</v>
      </c>
      <c r="U24" s="43">
        <v>0.18</v>
      </c>
      <c r="V24" s="26">
        <f t="shared" ref="V24" si="12">IF(OR($C$21=1,$C$21=4),ROUND(((S24*U24)/2),2),0)</f>
        <v>1070.53</v>
      </c>
      <c r="W24" s="26">
        <f t="shared" ref="W24" si="13">IF($C$21=1,ROUND(((S24*U24)/2),2),0)</f>
        <v>1070.53</v>
      </c>
      <c r="X24" s="26">
        <f t="shared" ref="X24" si="14">IF($C$21=2,ROUND(((S24*U24)),2),0)</f>
        <v>0</v>
      </c>
      <c r="Y24" s="26">
        <f t="shared" ref="Y24" si="15">IF($C$21=4,ROUND(((S24*U24)/2),2),0)</f>
        <v>0</v>
      </c>
      <c r="Z24" s="91">
        <v>0</v>
      </c>
      <c r="AA24" s="26">
        <f t="shared" ref="AA24" si="16">IF($C22=3, 0, ROUND(S24*Z24, 2))</f>
        <v>0</v>
      </c>
      <c r="AB24" s="25">
        <f t="shared" ref="AB24" si="17">V24+W24+X24+Y24+AA24</f>
        <v>2141.06</v>
      </c>
      <c r="AC24" s="25">
        <f t="shared" ref="AC24" si="18">IF($V22=1,S24+AB24,S24)</f>
        <v>11894.82</v>
      </c>
      <c r="AD24" s="55">
        <v>350</v>
      </c>
      <c r="AE24" s="55">
        <f>IF($P$21=1,(S24/$S$25)*$E$36,AD24/$AD$25*$E$36)</f>
        <v>0</v>
      </c>
      <c r="AF24" s="55"/>
      <c r="AG24" s="55">
        <f>IF($P$21=1,(S24/$S$25)*$E$38,AD24/$AD$25*$E$38)</f>
        <v>0</v>
      </c>
      <c r="AH24" s="55">
        <f>IF($P$21=1,(S24/$S$25)*$E$39,AD24/$AD$25*$E$39)</f>
        <v>0</v>
      </c>
      <c r="AI24" s="55">
        <f t="shared" si="1"/>
        <v>11894.82</v>
      </c>
      <c r="AJ24" s="55">
        <f t="shared" ref="AJ24" si="19">IF($C$21=3,0,AG24+AH24)</f>
        <v>0</v>
      </c>
      <c r="AK24" s="55">
        <f t="shared" si="2"/>
        <v>0</v>
      </c>
      <c r="AL24" s="82">
        <v>2</v>
      </c>
      <c r="AM24" s="55">
        <f>F24/AL24</f>
        <v>14</v>
      </c>
      <c r="AN24" s="55">
        <f t="shared" ref="AN24" si="20">ROUND(AI24/AM24,5)</f>
        <v>849.63</v>
      </c>
      <c r="AO24" s="55">
        <f t="shared" ref="AO24" si="21">AJ24/AM24</f>
        <v>0</v>
      </c>
      <c r="AP24" s="55">
        <f t="shared" ref="AP24" si="22">AK24/AM24</f>
        <v>0</v>
      </c>
      <c r="AQ24" s="55" t="s">
        <v>58</v>
      </c>
      <c r="AR24" s="55">
        <f t="shared" ref="AR24" si="23">ROUND(AN24+AO24+AP24,5)</f>
        <v>849.63</v>
      </c>
      <c r="AS24" s="48" t="s">
        <v>217</v>
      </c>
      <c r="AT24" s="48" t="s">
        <v>58</v>
      </c>
      <c r="AU24" t="s" s="0">
        <v>219</v>
      </c>
      <c r="AV24" t="s" s="0">
        <v>452</v>
      </c>
      <c r="AW24" s="48">
        <f>AM24</f>
        <v>14</v>
      </c>
      <c r="AX24" s="48">
        <f>AR24</f>
        <v>849.63</v>
      </c>
      <c r="AY24" s="48">
        <f>AU24+AW24</f>
        <v>14</v>
      </c>
      <c r="AZ24" s="48">
        <f>ROUND(((AU24*AV24)+(AW24*AX24))/(AU24+AW24),5)</f>
        <v>849.63</v>
      </c>
      <c r="BA24" s="50"/>
      <c r="BB24" s="50" t="s">
        <v>149</v>
      </c>
      <c r="BC24" s="80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7" t="s">
        <v>271</v>
      </c>
      <c r="BM24" t="s" s="0">
        <v>452</v>
      </c>
      <c r="BN24" t="s" s="0">
        <v>482</v>
      </c>
      <c r="BO24" s="48">
        <f>ROUND((((AW24*AZ24)+(BN24*BM24))/(AW24+BN24)),5)</f>
        <v>980.35091999999997</v>
      </c>
      <c r="BP24" s="53">
        <f>BN24+AW24</f>
        <v>60.667000000000002</v>
      </c>
      <c r="BQ24" s="54">
        <v>123562</v>
      </c>
    </row>
    <row r="25" spans="1:69" ht="15.75" thickBot="1">
      <c r="A25" s="16"/>
      <c r="C25" s="62" t="s">
        <v>87</v>
      </c>
      <c r="D25" s="28"/>
      <c r="E25" s="28"/>
      <c r="F25" s="28"/>
      <c r="G25" s="29"/>
      <c r="H25" s="30">
        <f>SUM(H23:H24)</f>
        <v>18693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1295.3599999999999</v>
      </c>
      <c r="S25" s="30">
        <f>SUM(S23:S24)</f>
        <v>17397.64</v>
      </c>
      <c r="T25" s="30"/>
      <c r="U25" s="30"/>
      <c r="V25" s="39">
        <f t="shared" ref="V25:AE25" si="24">SUM(V23:V24)</f>
        <v>1565.78</v>
      </c>
      <c r="W25" s="39">
        <f t="shared" si="24"/>
        <v>1565.78</v>
      </c>
      <c r="X25" s="39">
        <f t="shared" si="24"/>
        <v>0</v>
      </c>
      <c r="Y25" s="39">
        <f t="shared" si="24"/>
        <v>0</v>
      </c>
      <c r="Z25" s="120">
        <f t="shared" si="24"/>
        <v>0</v>
      </c>
      <c r="AA25" s="39">
        <f t="shared" si="24"/>
        <v>0</v>
      </c>
      <c r="AB25" s="30">
        <f t="shared" si="24"/>
        <v>3131.56</v>
      </c>
      <c r="AC25" s="44">
        <f t="shared" si="24"/>
        <v>18388.14</v>
      </c>
      <c r="AD25" s="45">
        <f t="shared" si="24"/>
        <v>470</v>
      </c>
      <c r="AE25" s="45">
        <f t="shared" si="24"/>
        <v>0</v>
      </c>
      <c r="AF25" s="44"/>
      <c r="AG25" s="45">
        <f>SUM(AG23:AG24)</f>
        <v>0</v>
      </c>
      <c r="AH25" s="45">
        <f>IF($P$21=1,(S25/$S$25)*$E$39,AD25/$AD$25*$E$39)</f>
        <v>0</v>
      </c>
      <c r="AI25" s="45">
        <f>SUM(AI23:AI24)</f>
        <v>17397.64</v>
      </c>
      <c r="AJ25" s="45">
        <f>SUM(AJ23:AJ24)</f>
        <v>0</v>
      </c>
      <c r="AK25" s="45">
        <f>SUM(AK23:AK24)</f>
        <v>0</v>
      </c>
      <c r="AL25" s="44"/>
      <c r="AM25" s="44"/>
      <c r="AN25" s="44"/>
      <c r="AO25" s="44"/>
      <c r="AP25" s="44"/>
      <c r="AQ25" s="44"/>
      <c r="AR25" s="44"/>
      <c r="AS25" s="16"/>
      <c r="AT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</row>
    <row r="26" spans="1:69" ht="15.75" thickBo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</row>
    <row r="27" spans="1:69" ht="15.75" thickBot="1">
      <c r="A27" s="16"/>
      <c r="B27" s="16"/>
      <c r="C27" s="16"/>
      <c r="D27" s="16"/>
      <c r="E27" s="16"/>
      <c r="F27" s="16"/>
      <c r="G27" s="156" t="s">
        <v>194</v>
      </c>
      <c r="H27" s="157"/>
      <c r="I27" s="170">
        <f>H25</f>
        <v>18693</v>
      </c>
      <c r="J27" s="171"/>
      <c r="K27" s="65"/>
      <c r="L27" s="16"/>
      <c r="M27" s="159" t="s">
        <v>195</v>
      </c>
      <c r="N27" s="160"/>
      <c r="O27" s="160"/>
      <c r="P27" s="161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 t="s">
        <v>278</v>
      </c>
      <c r="BI27" s="108" t="s">
        <v>279</v>
      </c>
      <c r="BJ27" s="16"/>
      <c r="BK27" s="16"/>
      <c r="BL27" s="16"/>
      <c r="BM27" s="16"/>
      <c r="BN27" s="16"/>
      <c r="BO27" s="16"/>
    </row>
    <row r="28" spans="1:69" ht="15.75" thickBot="1">
      <c r="A28" s="16"/>
      <c r="B28" s="16"/>
      <c r="C28" s="16"/>
      <c r="D28" s="16"/>
      <c r="E28" s="16"/>
      <c r="F28" s="16"/>
      <c r="G28" s="156" t="s">
        <v>196</v>
      </c>
      <c r="H28" s="157"/>
      <c r="I28" s="170">
        <f>R25</f>
        <v>1295.3599999999999</v>
      </c>
      <c r="J28" s="171"/>
      <c r="K28" s="16"/>
      <c r="L28" s="16"/>
      <c r="M28" s="66">
        <v>1</v>
      </c>
      <c r="N28" s="66" t="s">
        <v>58</v>
      </c>
      <c r="O28" s="66">
        <v>2</v>
      </c>
      <c r="P28" s="66" t="s">
        <v>163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 t="s">
        <v>280</v>
      </c>
      <c r="BI28" s="108" t="s">
        <v>281</v>
      </c>
      <c r="BJ28" s="16"/>
      <c r="BK28" s="16"/>
      <c r="BL28" s="16"/>
      <c r="BM28" s="16"/>
      <c r="BN28" s="16"/>
      <c r="BO28" s="16"/>
    </row>
    <row r="29" spans="1:69" ht="15.75" thickBot="1">
      <c r="A29" s="16"/>
      <c r="B29" s="16"/>
      <c r="C29" s="16"/>
      <c r="D29" s="16"/>
      <c r="E29" s="16"/>
      <c r="F29" s="16"/>
      <c r="G29" s="156" t="s">
        <v>197</v>
      </c>
      <c r="H29" s="157"/>
      <c r="I29" s="170">
        <f>S25</f>
        <v>17397.64</v>
      </c>
      <c r="J29" s="171"/>
      <c r="K29" s="16"/>
      <c r="L29" s="16"/>
      <c r="M29" s="25">
        <v>1</v>
      </c>
      <c r="N29" s="25" t="s">
        <v>58</v>
      </c>
      <c r="O29" s="25">
        <v>2.5</v>
      </c>
      <c r="P29" s="25" t="s">
        <v>176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</row>
    <row r="30" spans="1:69" ht="15.75" thickBot="1">
      <c r="A30" s="16"/>
      <c r="B30" s="16"/>
      <c r="C30" s="16"/>
      <c r="D30" s="16"/>
      <c r="E30" s="16"/>
      <c r="F30" s="16"/>
      <c r="G30" s="156" t="s">
        <v>198</v>
      </c>
      <c r="H30" s="157"/>
      <c r="I30" s="170">
        <f>AB25</f>
        <v>3131.56</v>
      </c>
      <c r="J30" s="171"/>
      <c r="K30" s="16"/>
      <c r="L30" s="16"/>
      <c r="M30" s="25">
        <v>1</v>
      </c>
      <c r="N30" s="25" t="s">
        <v>163</v>
      </c>
      <c r="O30" s="25">
        <v>1E-3</v>
      </c>
      <c r="P30" s="25" t="s">
        <v>185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</row>
    <row r="31" spans="1:69" ht="15.75" thickBot="1">
      <c r="A31" s="16"/>
      <c r="B31" s="16"/>
      <c r="C31" s="16"/>
      <c r="D31" s="16"/>
      <c r="E31" s="16"/>
      <c r="F31" s="16"/>
      <c r="G31" s="156" t="s">
        <v>199</v>
      </c>
      <c r="H31" s="157"/>
      <c r="I31" s="172">
        <f>I29+I30</f>
        <v>20529.2</v>
      </c>
      <c r="J31" s="173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</row>
    <row r="32" spans="1:6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 t="s">
        <v>282</v>
      </c>
      <c r="BN32" s="16" t="s">
        <v>283</v>
      </c>
      <c r="BO32" s="16"/>
    </row>
    <row r="33" spans="1:67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 t="s">
        <v>284</v>
      </c>
      <c r="BL33" s="16">
        <v>12.5</v>
      </c>
      <c r="BM33" s="16">
        <f>BL35*BL36</f>
        <v>18277.77</v>
      </c>
      <c r="BN33" s="16">
        <f>BL33*BL34</f>
        <v>6092.59</v>
      </c>
      <c r="BO33" s="16"/>
    </row>
    <row r="34" spans="1:67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 t="s">
        <v>285</v>
      </c>
      <c r="BL34" s="16">
        <v>487.40719999999999</v>
      </c>
      <c r="BM34" s="16">
        <f>BL33+BL35</f>
        <v>50</v>
      </c>
      <c r="BN34" s="16"/>
      <c r="BO34" s="16"/>
    </row>
    <row r="35" spans="1:67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 t="s">
        <v>286</v>
      </c>
      <c r="BL35" s="16">
        <v>37.5</v>
      </c>
      <c r="BM35" s="16"/>
      <c r="BN35" s="16"/>
      <c r="BO35" s="16"/>
    </row>
    <row r="36" spans="1:67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 t="s">
        <v>287</v>
      </c>
      <c r="BL36" s="16">
        <v>487.40719999999999</v>
      </c>
      <c r="BM36" s="16"/>
      <c r="BN36" s="16"/>
      <c r="BO36" s="16"/>
    </row>
    <row r="37" spans="1:6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>
        <f>BM33+BN33</f>
        <v>24370.36</v>
      </c>
      <c r="BN37" s="16">
        <f>BM37/BM34</f>
        <v>487.40719999999999</v>
      </c>
      <c r="BO37" s="16"/>
    </row>
    <row r="38" spans="1:67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</row>
    <row r="39" spans="1:67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</row>
  </sheetData>
  <mergeCells count="14">
    <mergeCell ref="A1:AC1"/>
    <mergeCell ref="G31:H31"/>
    <mergeCell ref="I31:J31"/>
    <mergeCell ref="G28:H28"/>
    <mergeCell ref="I28:J28"/>
    <mergeCell ref="G29:H29"/>
    <mergeCell ref="I29:J29"/>
    <mergeCell ref="G30:H30"/>
    <mergeCell ref="I30:J30"/>
    <mergeCell ref="B19:G19"/>
    <mergeCell ref="A21:B21"/>
    <mergeCell ref="G27:H27"/>
    <mergeCell ref="I27:J27"/>
    <mergeCell ref="M27:P27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Q39"/>
  <sheetViews>
    <sheetView topLeftCell="AM1" workbookViewId="0">
      <selection activeCell="BA1" sqref="BA1"/>
    </sheetView>
  </sheetViews>
  <sheetFormatPr defaultColWidth="9" defaultRowHeight="15"/>
  <cols>
    <col min="2" max="2" customWidth="true" width="23.5703125"/>
    <col min="4" max="4" bestFit="true" customWidth="true" width="72.42578125"/>
    <col min="11" max="11" customWidth="true" width="6.140625"/>
    <col min="29" max="29" bestFit="true" customWidth="true" width="11.5703125"/>
    <col min="35" max="35" customWidth="true" width="14.28515625"/>
    <col min="36" max="36" customWidth="true" width="17.5703125"/>
    <col min="37" max="37" bestFit="true" customWidth="true" width="13.42578125"/>
    <col min="38" max="38" bestFit="true" customWidth="true" width="13.5703125"/>
    <col min="45" max="45" customWidth="true" width="9.42578125"/>
    <col min="47" max="47" customWidth="true" width="15.28515625"/>
    <col min="48" max="48" customWidth="true" width="20.28515625"/>
    <col min="50" max="50" bestFit="true" customWidth="true" width="16.28515625"/>
    <col min="51" max="51" customWidth="true" width="13.85546875"/>
    <col min="52" max="52" customWidth="true" width="18.85546875"/>
    <col min="54" max="57" customWidth="true" width="21.7109375"/>
    <col min="58" max="58" customWidth="true" width="16.5703125"/>
    <col min="59" max="59" customWidth="true" width="13.7109375"/>
    <col min="60" max="60" customWidth="true" width="12.42578125"/>
    <col min="63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67" ht="18.75" thickBot="1">
      <c r="A1" s="154" t="s">
        <v>154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</row>
    <row r="2" spans="1:67" ht="18.75" thickBot="1">
      <c r="A2" s="128" t="s">
        <v>47</v>
      </c>
      <c r="B2" s="128"/>
      <c r="C2" s="128"/>
      <c r="D2" s="128"/>
      <c r="E2" s="128"/>
      <c r="F2" s="128"/>
      <c r="G2" s="128"/>
      <c r="H2" s="128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</row>
    <row r="3" spans="1:67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</row>
    <row r="4" spans="1:67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</row>
    <row r="5" spans="1:67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</row>
    <row r="6" spans="1:67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</row>
    <row r="7" spans="1:67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</row>
    <row r="8" spans="1:67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</row>
    <row r="9" spans="1:67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</row>
    <row r="10" spans="1:67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</row>
    <row r="11" spans="1:67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</row>
    <row r="12" spans="1:67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</row>
    <row r="13" spans="1:67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</row>
    <row r="14" spans="1:67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</row>
    <row r="15" spans="1:67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</row>
    <row r="16" spans="1:67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</row>
    <row r="17" spans="1:69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</row>
    <row r="18" spans="1:69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</row>
    <row r="19" spans="1:69" ht="15.75" thickTop="1">
      <c r="A19" s="16"/>
      <c r="B19" s="166" t="s">
        <v>87</v>
      </c>
      <c r="C19" s="167"/>
      <c r="D19" s="167"/>
      <c r="E19" s="167"/>
      <c r="F19" s="167"/>
      <c r="G19" s="168"/>
      <c r="H19" s="17">
        <f>SUM(H4:H18)</f>
        <v>71856.759999999995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</row>
    <row r="20" spans="1:69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</row>
    <row r="21" spans="1:69" ht="15.75" thickBot="1">
      <c r="A21" s="169" t="s">
        <v>89</v>
      </c>
      <c r="B21" s="169"/>
      <c r="C21" s="20">
        <v>1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2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</row>
    <row r="22" spans="1:69" ht="58.5" thickTop="1" thickBot="1">
      <c r="A22" s="61" t="s">
        <v>155</v>
      </c>
      <c r="B22" s="61" t="s">
        <v>49</v>
      </c>
      <c r="C22" s="61" t="s">
        <v>156</v>
      </c>
      <c r="D22" s="61" t="s">
        <v>51</v>
      </c>
      <c r="E22" s="61" t="s">
        <v>52</v>
      </c>
      <c r="F22" s="61" t="s">
        <v>53</v>
      </c>
      <c r="G22" s="61" t="s">
        <v>54</v>
      </c>
      <c r="H22" s="61" t="s">
        <v>55</v>
      </c>
      <c r="I22" s="63" t="s">
        <v>97</v>
      </c>
      <c r="J22" s="63" t="s">
        <v>99</v>
      </c>
      <c r="K22" s="63" t="s">
        <v>98</v>
      </c>
      <c r="L22" s="64" t="s">
        <v>100</v>
      </c>
      <c r="M22" s="64" t="s">
        <v>101</v>
      </c>
      <c r="N22" s="64" t="s">
        <v>104</v>
      </c>
      <c r="O22" s="64" t="s">
        <v>105</v>
      </c>
      <c r="P22" s="64" t="s">
        <v>157</v>
      </c>
      <c r="Q22" s="64" t="s">
        <v>103</v>
      </c>
      <c r="R22" s="63" t="s">
        <v>106</v>
      </c>
      <c r="S22" s="61" t="s">
        <v>158</v>
      </c>
      <c r="T22" s="61" t="s">
        <v>108</v>
      </c>
      <c r="U22" s="67" t="s">
        <v>159</v>
      </c>
      <c r="V22" s="67" t="s">
        <v>110</v>
      </c>
      <c r="W22" s="67" t="s">
        <v>111</v>
      </c>
      <c r="X22" s="67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69" t="s">
        <v>114</v>
      </c>
      <c r="AD22" s="69" t="s">
        <v>115</v>
      </c>
      <c r="AE22" s="69" t="s">
        <v>116</v>
      </c>
      <c r="AF22" s="69" t="s">
        <v>117</v>
      </c>
      <c r="AG22" s="69" t="s">
        <v>118</v>
      </c>
      <c r="AH22" s="69" t="s">
        <v>119</v>
      </c>
      <c r="AI22" s="69" t="s">
        <v>120</v>
      </c>
      <c r="AJ22" s="69" t="s">
        <v>121</v>
      </c>
      <c r="AK22" s="69" t="s">
        <v>122</v>
      </c>
      <c r="AL22" s="69" t="s">
        <v>123</v>
      </c>
      <c r="AM22" s="69" t="s">
        <v>124</v>
      </c>
      <c r="AN22" s="69" t="s">
        <v>125</v>
      </c>
      <c r="AO22" s="69" t="s">
        <v>126</v>
      </c>
      <c r="AP22" s="69" t="s">
        <v>127</v>
      </c>
      <c r="AQ22" s="69" t="s">
        <v>128</v>
      </c>
      <c r="AR22" s="70" t="s">
        <v>160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69" ht="15.75" thickBot="1">
      <c r="A23" s="25">
        <v>1</v>
      </c>
      <c r="B23" s="25" t="s">
        <v>338</v>
      </c>
      <c r="C23" s="25" t="s">
        <v>162</v>
      </c>
      <c r="D23" s="25" t="s">
        <v>58</v>
      </c>
      <c r="E23" s="25" t="s">
        <v>163</v>
      </c>
      <c r="F23" s="26">
        <v>25</v>
      </c>
      <c r="G23" s="26">
        <v>257.63</v>
      </c>
      <c r="H23" s="26">
        <f>F23*G23</f>
        <v>6440.75</v>
      </c>
      <c r="I23" s="26">
        <v>1</v>
      </c>
      <c r="J23" s="26">
        <v>2</v>
      </c>
      <c r="K23" s="26">
        <v>2.5</v>
      </c>
      <c r="L23" s="26">
        <f>H23</f>
        <v>6440.75</v>
      </c>
      <c r="M23" s="26">
        <f>ROUND(L23*I23%,2)</f>
        <v>64.41</v>
      </c>
      <c r="N23" s="26">
        <f>H23-M23</f>
        <v>6376.34</v>
      </c>
      <c r="O23" s="26">
        <f>ROUND(N23*J23%,2)</f>
        <v>127.53</v>
      </c>
      <c r="P23" s="26">
        <f>ROUND(N23-O23,2)</f>
        <v>6248.81</v>
      </c>
      <c r="Q23" s="26">
        <f>ROUND(P23*K23%,2)</f>
        <v>156.22</v>
      </c>
      <c r="R23" s="26">
        <f>ROUND((M23+O23+Q23),2)</f>
        <v>348.16</v>
      </c>
      <c r="S23" s="26">
        <f>ROUND((H23-R23),2)</f>
        <v>6092.59</v>
      </c>
      <c r="T23" s="55" t="s">
        <v>146</v>
      </c>
      <c r="U23" s="43">
        <v>0.18</v>
      </c>
      <c r="V23" s="26">
        <f>IF(OR($C$21=1,$C$21=4),ROUND(((S23*U23)/2),2),0)</f>
        <v>548.33000000000004</v>
      </c>
      <c r="W23" s="26">
        <f>IF($C$21=1,ROUND(((S23*U23)/2),2),0)</f>
        <v>548.33000000000004</v>
      </c>
      <c r="X23" s="26">
        <f>IF($C$21=2,ROUND(((S23*U23)),2),0)</f>
        <v>0</v>
      </c>
      <c r="Y23" s="26">
        <f>IF($C$21=4,ROUND(((S23*U23)/2),2),0)</f>
        <v>0</v>
      </c>
      <c r="Z23" s="91">
        <v>0</v>
      </c>
      <c r="AA23" s="26">
        <f>IF($C21=3, 0, ROUND(S23*Z23, 2))</f>
        <v>0</v>
      </c>
      <c r="AB23" s="25">
        <f>V23+W23+X23+Y23+AA23</f>
        <v>1096.6600000000001</v>
      </c>
      <c r="AC23" s="25">
        <f>IF($V21=1,S23+AB23,S23)</f>
        <v>7189.25</v>
      </c>
      <c r="AD23" s="55">
        <v>120</v>
      </c>
      <c r="AE23" s="55">
        <f>IF($P$21=1,(S23/$S$25)*$E$36,AD23/$AD$25*$E$36)</f>
        <v>0</v>
      </c>
      <c r="AF23" s="55"/>
      <c r="AG23" s="55">
        <f>IF($P$21=1,(S23/$S$25)*$E$38,AD23/$AD$25*$E$38)</f>
        <v>0</v>
      </c>
      <c r="AH23" s="55">
        <f>IF($P$21=1,(S23/$S$25)*$E$39,AD23/$AD$25*$E$39)</f>
        <v>0</v>
      </c>
      <c r="AI23" s="55">
        <f t="shared" ref="AI23:AI24" si="1">S23*$M$21</f>
        <v>6092.59</v>
      </c>
      <c r="AJ23" s="55">
        <f>IF($C$21=3,0,AG23+AH23)</f>
        <v>0</v>
      </c>
      <c r="AK23" s="55">
        <f t="shared" ref="AK23:AK24" si="2">IF($C$21=3,AE23+AG23+AH23,0)</f>
        <v>0</v>
      </c>
      <c r="AL23" s="82">
        <v>2</v>
      </c>
      <c r="AM23" s="55">
        <f>F23/AL23</f>
        <v>12.5</v>
      </c>
      <c r="AN23" s="55">
        <f>ROUND(AI23/AM23,5)</f>
        <v>487.40719999999999</v>
      </c>
      <c r="AO23" s="55">
        <f>AJ23/AM23</f>
        <v>0</v>
      </c>
      <c r="AP23" s="55">
        <f>AK23/AM23</f>
        <v>0</v>
      </c>
      <c r="AQ23" s="55" t="s">
        <v>58</v>
      </c>
      <c r="AR23" s="55">
        <f>ROUND(AN23+AO23+AP23,5)</f>
        <v>487.40719999999999</v>
      </c>
      <c r="AS23" s="48" t="s">
        <v>217</v>
      </c>
      <c r="AT23" s="48" t="s">
        <v>58</v>
      </c>
      <c r="AU23" t="s" s="0">
        <v>219</v>
      </c>
      <c r="AV23" t="s" s="0">
        <v>270</v>
      </c>
      <c r="AW23" s="48">
        <f>AM23</f>
        <v>12.5</v>
      </c>
      <c r="AX23" s="48">
        <f>AR23</f>
        <v>487.40719999999999</v>
      </c>
      <c r="AY23" s="48">
        <f>AU23+AW23</f>
        <v>12.5</v>
      </c>
      <c r="AZ23" s="48">
        <f>ROUND(((AU23*AV23)+(AW23*AX23))/(AU23+AW23),5)</f>
        <v>487.40719999999999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7" t="s">
        <v>271</v>
      </c>
      <c r="BM23" t="s" s="0">
        <v>270</v>
      </c>
      <c r="BN23" t="s" s="0">
        <v>481</v>
      </c>
      <c r="BO23" s="48">
        <f>ROUND((((AW23*AZ23)+(BN23*BM23))/(AW23+BN23)),5)</f>
        <v>487.40719999999999</v>
      </c>
      <c r="BP23" s="53">
        <f>BN23+AW23</f>
        <v>300</v>
      </c>
      <c r="BQ23" s="54">
        <v>123562</v>
      </c>
    </row>
    <row r="24" spans="1:69" ht="15.75" thickBot="1">
      <c r="A24" s="25">
        <v>2</v>
      </c>
      <c r="B24" s="25" t="s">
        <v>339</v>
      </c>
      <c r="C24" s="25" t="s">
        <v>175</v>
      </c>
      <c r="D24" s="25" t="s">
        <v>58</v>
      </c>
      <c r="E24" s="25" t="s">
        <v>163</v>
      </c>
      <c r="F24" s="26">
        <v>28</v>
      </c>
      <c r="G24" s="26">
        <v>150.5</v>
      </c>
      <c r="H24" s="26">
        <f t="shared" ref="H24" si="3">F24*G24</f>
        <v>4214</v>
      </c>
      <c r="I24" s="26">
        <v>1</v>
      </c>
      <c r="J24" s="26">
        <v>2</v>
      </c>
      <c r="K24" s="26">
        <v>2.5</v>
      </c>
      <c r="L24" s="26">
        <f t="shared" ref="L24" si="4">H24</f>
        <v>4214</v>
      </c>
      <c r="M24" s="26">
        <f t="shared" ref="M24" si="5">ROUND(L24*I24%,2)</f>
        <v>42.14</v>
      </c>
      <c r="N24" s="26">
        <f t="shared" ref="N24" si="6">H24-M24</f>
        <v>4171.8599999999997</v>
      </c>
      <c r="O24" s="26">
        <f t="shared" ref="O24" si="7">ROUND(N24*J24%,2)</f>
        <v>83.44</v>
      </c>
      <c r="P24" s="26">
        <f t="shared" ref="P24" si="8">ROUND(N24-O24,2)</f>
        <v>4088.42</v>
      </c>
      <c r="Q24" s="26">
        <f t="shared" ref="Q24" si="9">ROUND(P24*K24%,2)</f>
        <v>102.21</v>
      </c>
      <c r="R24" s="26">
        <f t="shared" ref="R24" si="10">ROUND((M24+O24+Q24),2)</f>
        <v>227.79</v>
      </c>
      <c r="S24" s="26">
        <f t="shared" ref="S24" si="11">ROUND((H24-R24),2)</f>
        <v>3986.21</v>
      </c>
      <c r="T24" s="55" t="s">
        <v>273</v>
      </c>
      <c r="U24" s="43">
        <v>0.18</v>
      </c>
      <c r="V24" s="26">
        <f t="shared" ref="V24" si="12">IF(OR($C$21=1,$C$21=4),ROUND(((S24*U24)/2),2),0)</f>
        <v>358.76</v>
      </c>
      <c r="W24" s="26">
        <f t="shared" ref="W24" si="13">IF($C$21=1,ROUND(((S24*U24)/2),2),0)</f>
        <v>358.76</v>
      </c>
      <c r="X24" s="26">
        <f t="shared" ref="X24" si="14">IF($C$21=2,ROUND(((S24*U24)),2),0)</f>
        <v>0</v>
      </c>
      <c r="Y24" s="26">
        <f t="shared" ref="Y24" si="15">IF($C$21=4,ROUND(((S24*U24)/2),2),0)</f>
        <v>0</v>
      </c>
      <c r="Z24" s="91">
        <v>0</v>
      </c>
      <c r="AA24" s="26">
        <f t="shared" ref="AA24" si="16">IF($C22=3, 0, ROUND(S24*Z24, 2))</f>
        <v>0</v>
      </c>
      <c r="AB24" s="25">
        <f t="shared" ref="AB24" si="17">V24+W24+X24+Y24+AA24</f>
        <v>717.52</v>
      </c>
      <c r="AC24" s="25">
        <f t="shared" ref="AC24" si="18">IF($V22=1,S24+AB24,S24)</f>
        <v>3986.21</v>
      </c>
      <c r="AD24" s="55">
        <v>350</v>
      </c>
      <c r="AE24" s="55">
        <f>IF($P$21=1,(S24/$S$25)*$E$36,AD24/$AD$25*$E$36)</f>
        <v>0</v>
      </c>
      <c r="AF24" s="55"/>
      <c r="AG24" s="55">
        <f>IF($P$21=1,(S24/$S$25)*$E$38,AD24/$AD$25*$E$38)</f>
        <v>0</v>
      </c>
      <c r="AH24" s="55">
        <f>IF($P$21=1,(S24/$S$25)*$E$39,AD24/$AD$25*$E$39)</f>
        <v>0</v>
      </c>
      <c r="AI24" s="55">
        <f t="shared" si="1"/>
        <v>3986.21</v>
      </c>
      <c r="AJ24" s="55">
        <f t="shared" ref="AJ24" si="19">IF($C$21=3,0,AG24+AH24)</f>
        <v>0</v>
      </c>
      <c r="AK24" s="55">
        <f t="shared" si="2"/>
        <v>0</v>
      </c>
      <c r="AL24" s="82">
        <v>2</v>
      </c>
      <c r="AM24" s="55">
        <f>F24/AL24</f>
        <v>14</v>
      </c>
      <c r="AN24" s="55">
        <f t="shared" ref="AN24" si="20">ROUND(AI24/AM24,5)</f>
        <v>284.72928999999999</v>
      </c>
      <c r="AO24" s="55">
        <f t="shared" ref="AO24" si="21">AJ24/AM24</f>
        <v>0</v>
      </c>
      <c r="AP24" s="55">
        <f t="shared" ref="AP24" si="22">AK24/AM24</f>
        <v>0</v>
      </c>
      <c r="AQ24" s="55" t="s">
        <v>58</v>
      </c>
      <c r="AR24" s="55">
        <f t="shared" ref="AR24" si="23">ROUND(AN24+AO24+AP24,5)</f>
        <v>284.72928999999999</v>
      </c>
      <c r="AS24" s="48" t="s">
        <v>217</v>
      </c>
      <c r="AT24" s="48" t="s">
        <v>58</v>
      </c>
      <c r="AU24" t="s" s="0">
        <v>219</v>
      </c>
      <c r="AV24" t="s" s="0">
        <v>445</v>
      </c>
      <c r="AW24" s="48">
        <f>AM24</f>
        <v>14</v>
      </c>
      <c r="AX24" s="48">
        <f>AR24</f>
        <v>284.72928999999999</v>
      </c>
      <c r="AY24" s="48">
        <f>AU24+AW24</f>
        <v>14</v>
      </c>
      <c r="AZ24" s="48">
        <f>ROUND(((AU24*AV24)+(AW24*AX24))/(AU24+AW24),5)</f>
        <v>284.72928999999999</v>
      </c>
      <c r="BA24" s="50"/>
      <c r="BB24" s="50" t="s">
        <v>149</v>
      </c>
      <c r="BC24" s="80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7" t="s">
        <v>271</v>
      </c>
      <c r="BM24" t="s" s="0">
        <v>445</v>
      </c>
      <c r="BN24" t="s" s="0">
        <v>482</v>
      </c>
      <c r="BO24" s="48">
        <f>ROUND((((AW24*AZ24)+(BN24*BM24))/(AW24+BN24)),5)</f>
        <v>352.24241999999998</v>
      </c>
      <c r="BP24" s="53">
        <f>BN24+AW24</f>
        <v>271.60000000000002</v>
      </c>
      <c r="BQ24" s="54">
        <v>123562</v>
      </c>
    </row>
    <row r="25" spans="1:69" ht="15.75" thickBot="1">
      <c r="A25" s="16"/>
      <c r="C25" s="62" t="s">
        <v>87</v>
      </c>
      <c r="D25" s="28"/>
      <c r="E25" s="28"/>
      <c r="F25" s="28"/>
      <c r="G25" s="29"/>
      <c r="H25" s="30">
        <f>SUM(H23:H24)</f>
        <v>10654.75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575.95000000000005</v>
      </c>
      <c r="S25" s="30">
        <f>SUM(S23:S24)</f>
        <v>10078.799999999999</v>
      </c>
      <c r="T25" s="30"/>
      <c r="U25" s="30"/>
      <c r="V25" s="39">
        <f t="shared" ref="V25:AE25" si="24">SUM(V23:V24)</f>
        <v>907.09</v>
      </c>
      <c r="W25" s="39">
        <f t="shared" si="24"/>
        <v>907.09</v>
      </c>
      <c r="X25" s="39">
        <f t="shared" si="24"/>
        <v>0</v>
      </c>
      <c r="Y25" s="39">
        <f t="shared" si="24"/>
        <v>0</v>
      </c>
      <c r="Z25" s="120">
        <f t="shared" si="24"/>
        <v>0</v>
      </c>
      <c r="AA25" s="39">
        <f t="shared" si="24"/>
        <v>0</v>
      </c>
      <c r="AB25" s="30">
        <f t="shared" si="24"/>
        <v>1814.18</v>
      </c>
      <c r="AC25" s="44">
        <f t="shared" si="24"/>
        <v>11175.46</v>
      </c>
      <c r="AD25" s="45">
        <f t="shared" si="24"/>
        <v>470</v>
      </c>
      <c r="AE25" s="45">
        <f t="shared" si="24"/>
        <v>0</v>
      </c>
      <c r="AF25" s="44"/>
      <c r="AG25" s="45">
        <f>SUM(AG23:AG24)</f>
        <v>0</v>
      </c>
      <c r="AH25" s="45">
        <f>IF($P$21=1,(S25/$S$25)*$E$39,AD25/$AD$25*$E$39)</f>
        <v>0</v>
      </c>
      <c r="AI25" s="45">
        <f>SUM(AI23:AI24)</f>
        <v>10078.799999999999</v>
      </c>
      <c r="AJ25" s="45">
        <f>SUM(AJ23:AJ24)</f>
        <v>0</v>
      </c>
      <c r="AK25" s="45">
        <f>SUM(AK23:AK24)</f>
        <v>0</v>
      </c>
      <c r="AL25" s="44"/>
      <c r="AM25" s="44"/>
      <c r="AN25" s="44"/>
      <c r="AO25" s="44"/>
      <c r="AP25" s="44"/>
      <c r="AQ25" s="44"/>
      <c r="AR25" s="44"/>
      <c r="AS25" s="16"/>
      <c r="AT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</row>
    <row r="26" spans="1:69" ht="15.75" thickBo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</row>
    <row r="27" spans="1:69" ht="15.75" thickBot="1">
      <c r="A27" s="16"/>
      <c r="B27" s="16"/>
      <c r="C27" s="16"/>
      <c r="D27" s="16"/>
      <c r="E27" s="16"/>
      <c r="F27" s="16"/>
      <c r="G27" s="156" t="s">
        <v>194</v>
      </c>
      <c r="H27" s="157"/>
      <c r="I27" s="170">
        <f>H25</f>
        <v>10654.75</v>
      </c>
      <c r="J27" s="171"/>
      <c r="K27" s="65"/>
      <c r="L27" s="16"/>
      <c r="M27" s="159" t="s">
        <v>195</v>
      </c>
      <c r="N27" s="160"/>
      <c r="O27" s="160"/>
      <c r="P27" s="161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 t="s">
        <v>278</v>
      </c>
      <c r="BI27" s="108" t="s">
        <v>279</v>
      </c>
      <c r="BJ27" s="16"/>
      <c r="BK27" s="16"/>
      <c r="BL27" s="16"/>
      <c r="BM27" s="16"/>
      <c r="BN27" s="16"/>
      <c r="BO27" s="16"/>
    </row>
    <row r="28" spans="1:69" ht="15.75" thickBot="1">
      <c r="A28" s="16"/>
      <c r="B28" s="16"/>
      <c r="C28" s="16"/>
      <c r="D28" s="16"/>
      <c r="E28" s="16"/>
      <c r="F28" s="16"/>
      <c r="G28" s="156" t="s">
        <v>196</v>
      </c>
      <c r="H28" s="157"/>
      <c r="I28" s="170">
        <f>R25</f>
        <v>575.95000000000005</v>
      </c>
      <c r="J28" s="171"/>
      <c r="K28" s="16"/>
      <c r="L28" s="16"/>
      <c r="M28" s="66">
        <v>1</v>
      </c>
      <c r="N28" s="66" t="s">
        <v>58</v>
      </c>
      <c r="O28" s="66">
        <v>2</v>
      </c>
      <c r="P28" s="66" t="s">
        <v>163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 t="s">
        <v>280</v>
      </c>
      <c r="BI28" s="108" t="s">
        <v>281</v>
      </c>
      <c r="BJ28" s="16"/>
      <c r="BK28" s="16"/>
      <c r="BL28" s="16"/>
      <c r="BM28" s="16"/>
      <c r="BN28" s="16"/>
      <c r="BO28" s="16"/>
    </row>
    <row r="29" spans="1:69" ht="15.75" thickBot="1">
      <c r="A29" s="16"/>
      <c r="B29" s="16"/>
      <c r="C29" s="16"/>
      <c r="D29" s="16"/>
      <c r="E29" s="16"/>
      <c r="F29" s="16"/>
      <c r="G29" s="156" t="s">
        <v>197</v>
      </c>
      <c r="H29" s="157"/>
      <c r="I29" s="170">
        <f>S25</f>
        <v>10078.799999999999</v>
      </c>
      <c r="J29" s="171"/>
      <c r="K29" s="16"/>
      <c r="L29" s="16"/>
      <c r="M29" s="25">
        <v>1</v>
      </c>
      <c r="N29" s="25" t="s">
        <v>58</v>
      </c>
      <c r="O29" s="25">
        <v>2.5</v>
      </c>
      <c r="P29" s="25" t="s">
        <v>176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</row>
    <row r="30" spans="1:69" ht="15.75" thickBot="1">
      <c r="A30" s="16"/>
      <c r="B30" s="16"/>
      <c r="C30" s="16"/>
      <c r="D30" s="16"/>
      <c r="E30" s="16"/>
      <c r="F30" s="16"/>
      <c r="G30" s="156" t="s">
        <v>198</v>
      </c>
      <c r="H30" s="157"/>
      <c r="I30" s="170">
        <f>AB25</f>
        <v>1814.18</v>
      </c>
      <c r="J30" s="171"/>
      <c r="K30" s="16"/>
      <c r="L30" s="16"/>
      <c r="M30" s="25">
        <v>1</v>
      </c>
      <c r="N30" s="25" t="s">
        <v>163</v>
      </c>
      <c r="O30" s="25">
        <v>1E-3</v>
      </c>
      <c r="P30" s="25" t="s">
        <v>185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</row>
    <row r="31" spans="1:69" ht="15.75" thickBot="1">
      <c r="A31" s="16"/>
      <c r="B31" s="16"/>
      <c r="C31" s="16"/>
      <c r="D31" s="16"/>
      <c r="E31" s="16"/>
      <c r="F31" s="16"/>
      <c r="G31" s="156" t="s">
        <v>199</v>
      </c>
      <c r="H31" s="157"/>
      <c r="I31" s="172">
        <f>I29+I30</f>
        <v>11892.98</v>
      </c>
      <c r="J31" s="173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</row>
    <row r="32" spans="1:6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 t="s">
        <v>282</v>
      </c>
      <c r="BN32" s="16" t="s">
        <v>283</v>
      </c>
      <c r="BO32" s="16"/>
    </row>
    <row r="33" spans="1:67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 t="s">
        <v>284</v>
      </c>
      <c r="BL33" s="16">
        <v>12.5</v>
      </c>
      <c r="BM33" s="16">
        <f>BL35*BL36</f>
        <v>18277.77</v>
      </c>
      <c r="BN33" s="16">
        <f>BL33*BL34</f>
        <v>6092.59</v>
      </c>
      <c r="BO33" s="16"/>
    </row>
    <row r="34" spans="1:67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 t="s">
        <v>285</v>
      </c>
      <c r="BL34" s="16">
        <v>487.40719999999999</v>
      </c>
      <c r="BM34" s="16">
        <f>BL33+BL35</f>
        <v>50</v>
      </c>
      <c r="BN34" s="16"/>
      <c r="BO34" s="16"/>
    </row>
    <row r="35" spans="1:67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 t="s">
        <v>286</v>
      </c>
      <c r="BL35" s="16">
        <v>37.5</v>
      </c>
      <c r="BM35" s="16"/>
      <c r="BN35" s="16"/>
      <c r="BO35" s="16"/>
    </row>
    <row r="36" spans="1:67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 t="s">
        <v>287</v>
      </c>
      <c r="BL36" s="16">
        <v>487.40719999999999</v>
      </c>
      <c r="BM36" s="16"/>
      <c r="BN36" s="16"/>
      <c r="BO36" s="16"/>
    </row>
    <row r="37" spans="1:6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>
        <f>BM33+BN33</f>
        <v>24370.36</v>
      </c>
      <c r="BN37" s="16">
        <f>BM37/BM34</f>
        <v>487.40719999999999</v>
      </c>
      <c r="BO37" s="16"/>
    </row>
    <row r="38" spans="1:67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</row>
    <row r="39" spans="1:67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</row>
  </sheetData>
  <mergeCells count="14">
    <mergeCell ref="G31:H31"/>
    <mergeCell ref="I31:J31"/>
    <mergeCell ref="B19:G19"/>
    <mergeCell ref="A21:B21"/>
    <mergeCell ref="A1:AC1"/>
    <mergeCell ref="G30:H30"/>
    <mergeCell ref="I30:J30"/>
    <mergeCell ref="G27:H27"/>
    <mergeCell ref="I27:J27"/>
    <mergeCell ref="G28:H28"/>
    <mergeCell ref="I28:J28"/>
    <mergeCell ref="G29:H29"/>
    <mergeCell ref="I29:J29"/>
    <mergeCell ref="M27:P2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Q39"/>
  <sheetViews>
    <sheetView workbookViewId="0">
      <selection sqref="A1:XFD1048576"/>
    </sheetView>
  </sheetViews>
  <sheetFormatPr defaultColWidth="9" defaultRowHeight="15"/>
  <cols>
    <col min="2" max="2" customWidth="true" width="23.5703125"/>
    <col min="4" max="4" bestFit="true" customWidth="true" width="72.42578125"/>
    <col min="11" max="11" customWidth="true" width="6.140625"/>
    <col min="29" max="29" bestFit="true" customWidth="true" width="11.5703125"/>
    <col min="35" max="35" customWidth="true" width="14.28515625"/>
    <col min="36" max="36" customWidth="true" width="17.5703125"/>
    <col min="37" max="37" bestFit="true" customWidth="true" width="13.42578125"/>
    <col min="38" max="38" bestFit="true" customWidth="true" width="13.5703125"/>
    <col min="45" max="45" customWidth="true" width="9.42578125"/>
    <col min="47" max="47" customWidth="true" width="15.28515625"/>
    <col min="48" max="48" customWidth="true" width="20.28515625"/>
    <col min="50" max="50" bestFit="true" customWidth="true" width="16.28515625"/>
    <col min="51" max="51" customWidth="true" width="13.85546875"/>
    <col min="52" max="52" customWidth="true" width="18.85546875"/>
    <col min="54" max="57" customWidth="true" width="21.7109375"/>
    <col min="58" max="58" customWidth="true" width="16.5703125"/>
    <col min="59" max="59" customWidth="true" width="13.7109375"/>
    <col min="60" max="60" customWidth="true" width="12.42578125"/>
    <col min="63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67" ht="18.75" thickBot="1">
      <c r="A1" s="154" t="s">
        <v>154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</row>
    <row r="2" spans="1:67" ht="18.75" thickBot="1">
      <c r="A2" s="123" t="s">
        <v>47</v>
      </c>
      <c r="B2" s="123"/>
      <c r="C2" s="123"/>
      <c r="D2" s="123"/>
      <c r="E2" s="123"/>
      <c r="F2" s="123"/>
      <c r="G2" s="123"/>
      <c r="H2" s="123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</row>
    <row r="3" spans="1:67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</row>
    <row r="4" spans="1:67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</row>
    <row r="5" spans="1:67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</row>
    <row r="6" spans="1:67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</row>
    <row r="7" spans="1:67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</row>
    <row r="8" spans="1:67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</row>
    <row r="9" spans="1:67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</row>
    <row r="10" spans="1:67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</row>
    <row r="11" spans="1:67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</row>
    <row r="12" spans="1:67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</row>
    <row r="13" spans="1:67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</row>
    <row r="14" spans="1:67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</row>
    <row r="15" spans="1:67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</row>
    <row r="16" spans="1:67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</row>
    <row r="17" spans="1:69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</row>
    <row r="18" spans="1:69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</row>
    <row r="19" spans="1:69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</row>
    <row r="20" spans="1:69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</row>
    <row r="21" spans="1:69" ht="15.75" thickBot="1">
      <c r="A21" s="151" t="s">
        <v>89</v>
      </c>
      <c r="B21" s="151"/>
      <c r="C21" s="20">
        <v>1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2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</row>
    <row r="22" spans="1:69" ht="58.5" thickTop="1" thickBot="1">
      <c r="A22" s="61" t="s">
        <v>155</v>
      </c>
      <c r="B22" s="61" t="s">
        <v>49</v>
      </c>
      <c r="C22" s="61" t="s">
        <v>156</v>
      </c>
      <c r="D22" s="61" t="s">
        <v>51</v>
      </c>
      <c r="E22" s="61" t="s">
        <v>52</v>
      </c>
      <c r="F22" s="61" t="s">
        <v>53</v>
      </c>
      <c r="G22" s="61" t="s">
        <v>54</v>
      </c>
      <c r="H22" s="61" t="s">
        <v>55</v>
      </c>
      <c r="I22" s="63" t="s">
        <v>97</v>
      </c>
      <c r="J22" s="63" t="s">
        <v>99</v>
      </c>
      <c r="K22" s="63" t="s">
        <v>98</v>
      </c>
      <c r="L22" s="64" t="s">
        <v>100</v>
      </c>
      <c r="M22" s="64" t="s">
        <v>101</v>
      </c>
      <c r="N22" s="64" t="s">
        <v>104</v>
      </c>
      <c r="O22" s="64" t="s">
        <v>105</v>
      </c>
      <c r="P22" s="64" t="s">
        <v>157</v>
      </c>
      <c r="Q22" s="64" t="s">
        <v>103</v>
      </c>
      <c r="R22" s="63" t="s">
        <v>106</v>
      </c>
      <c r="S22" s="61" t="s">
        <v>158</v>
      </c>
      <c r="T22" s="61" t="s">
        <v>108</v>
      </c>
      <c r="U22" s="67" t="s">
        <v>159</v>
      </c>
      <c r="V22" s="67" t="s">
        <v>110</v>
      </c>
      <c r="W22" s="67" t="s">
        <v>111</v>
      </c>
      <c r="X22" s="67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69" t="s">
        <v>114</v>
      </c>
      <c r="AD22" s="69" t="s">
        <v>115</v>
      </c>
      <c r="AE22" s="69" t="s">
        <v>116</v>
      </c>
      <c r="AF22" s="69" t="s">
        <v>117</v>
      </c>
      <c r="AG22" s="69" t="s">
        <v>118</v>
      </c>
      <c r="AH22" s="69" t="s">
        <v>119</v>
      </c>
      <c r="AI22" s="69" t="s">
        <v>120</v>
      </c>
      <c r="AJ22" s="69" t="s">
        <v>121</v>
      </c>
      <c r="AK22" s="69" t="s">
        <v>122</v>
      </c>
      <c r="AL22" s="69" t="s">
        <v>123</v>
      </c>
      <c r="AM22" s="69" t="s">
        <v>124</v>
      </c>
      <c r="AN22" s="69" t="s">
        <v>125</v>
      </c>
      <c r="AO22" s="69" t="s">
        <v>126</v>
      </c>
      <c r="AP22" s="69" t="s">
        <v>127</v>
      </c>
      <c r="AQ22" s="69" t="s">
        <v>128</v>
      </c>
      <c r="AR22" s="70" t="s">
        <v>160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69" ht="15.75" thickBot="1">
      <c r="A23" s="25">
        <v>1</v>
      </c>
      <c r="B23" s="25" t="s">
        <v>304</v>
      </c>
      <c r="C23" s="25" t="s">
        <v>162</v>
      </c>
      <c r="D23" s="25" t="s">
        <v>58</v>
      </c>
      <c r="E23" s="25" t="s">
        <v>163</v>
      </c>
      <c r="F23" s="26">
        <v>25</v>
      </c>
      <c r="G23" t="s" s="0">
        <v>436</v>
      </c>
      <c r="H23" s="26">
        <f>F23*G23</f>
        <v>6440.75</v>
      </c>
      <c r="I23" t="s" s="0">
        <v>224</v>
      </c>
      <c r="J23" s="26">
        <v>2</v>
      </c>
      <c r="K23" s="26">
        <v>2.5</v>
      </c>
      <c r="L23" s="26">
        <f>H23</f>
        <v>6440.75</v>
      </c>
      <c r="M23" s="26">
        <f>ROUND(L23*I23%,2)</f>
        <v>64.41</v>
      </c>
      <c r="N23" s="26">
        <f>H23-M23</f>
        <v>6376.34</v>
      </c>
      <c r="O23" s="26">
        <f>ROUND(N23*J23%,2)</f>
        <v>127.53</v>
      </c>
      <c r="P23" s="26">
        <f>ROUND(N23-O23,2)</f>
        <v>6248.81</v>
      </c>
      <c r="Q23" s="26">
        <f>ROUND(P23*K23%,2)</f>
        <v>156.22</v>
      </c>
      <c r="R23" s="26">
        <f>ROUND((M23+O23+Q23),2)</f>
        <v>348.16</v>
      </c>
      <c r="S23" s="26">
        <f>ROUND((H23-R23),2)</f>
        <v>6092.59</v>
      </c>
      <c r="T23" s="55" t="s">
        <v>146</v>
      </c>
      <c r="U23" s="43">
        <v>0.18</v>
      </c>
      <c r="V23" s="26">
        <f>IF(OR($C$21=1,$C$21=4),ROUND(((S23*U23)/2),2),0)</f>
        <v>548.33000000000004</v>
      </c>
      <c r="W23" s="26">
        <f>IF($C$21=1,ROUND(((S23*U23)/2),2),0)</f>
        <v>548.33000000000004</v>
      </c>
      <c r="X23" s="26">
        <f>IF($C$21=2,ROUND(((S23*U23)),2),0)</f>
        <v>0</v>
      </c>
      <c r="Y23" s="26">
        <f>IF($C$21=4,ROUND(((S23*U23)/2),2),0)</f>
        <v>0</v>
      </c>
      <c r="Z23" s="91">
        <v>0</v>
      </c>
      <c r="AA23" s="26">
        <f>IF($C21=3, 0, ROUND(S23*Z23, 2))</f>
        <v>0</v>
      </c>
      <c r="AB23" s="25">
        <f>V23+W23+X23+Y23+AA23</f>
        <v>1096.6600000000001</v>
      </c>
      <c r="AC23" s="25">
        <f>IF($V21=1,S23+AB23,S23)</f>
        <v>7189.25</v>
      </c>
      <c r="AD23" s="55">
        <v>120</v>
      </c>
      <c r="AE23" s="55">
        <f>IF($P$21=1,(S23/$S$25)*$E$36,AD23/$AD$25*$E$36)</f>
        <v>0</v>
      </c>
      <c r="AF23" s="55"/>
      <c r="AG23" s="55">
        <f>IF($P$21=1,(S23/$S$25)*$E$38,AD23/$AD$25*$E$38)</f>
        <v>0</v>
      </c>
      <c r="AH23" s="55">
        <f>IF($P$21=1,(S23/$S$25)*$E$39,AD23/$AD$25*$E$39)</f>
        <v>0</v>
      </c>
      <c r="AI23" s="55">
        <f t="shared" ref="AI23:AI24" si="1">S23*$M$21</f>
        <v>6092.59</v>
      </c>
      <c r="AJ23" s="55">
        <f>IF($C$21=3,0,AG23+AH23)</f>
        <v>0</v>
      </c>
      <c r="AK23" s="55">
        <f t="shared" ref="AK23:AK24" si="2">IF($C$21=3,AE23+AG23+AH23,0)</f>
        <v>0</v>
      </c>
      <c r="AL23" s="82">
        <v>2</v>
      </c>
      <c r="AM23" s="55">
        <f>F23/AL23</f>
        <v>12.5</v>
      </c>
      <c r="AN23" s="55">
        <f>ROUND(AI23/AM23,5)</f>
        <v>487.40719999999999</v>
      </c>
      <c r="AO23" s="55">
        <f>AJ23/AM23</f>
        <v>0</v>
      </c>
      <c r="AP23" s="55">
        <f>AK23/AM23</f>
        <v>0</v>
      </c>
      <c r="AQ23" s="55" t="s">
        <v>58</v>
      </c>
      <c r="AR23" s="55">
        <f>ROUND(AN23+AO23+AP23,5)</f>
        <v>487.40719999999999</v>
      </c>
      <c r="AS23" s="48" t="s">
        <v>217</v>
      </c>
      <c r="AT23" s="48" t="s">
        <v>58</v>
      </c>
      <c r="AU23" t="s" s="0">
        <v>219</v>
      </c>
      <c r="AV23" t="s" s="0">
        <v>434</v>
      </c>
      <c r="AW23" s="48">
        <f>AM23</f>
        <v>12.5</v>
      </c>
      <c r="AX23" s="48">
        <f>AR23</f>
        <v>487.40719999999999</v>
      </c>
      <c r="AY23" s="48">
        <f>AU23+AW23</f>
        <v>116.67</v>
      </c>
      <c r="AZ23" s="48">
        <f>ROUND(((AU23*AV23)+(AW23*AX23))/(AU23+AW23),5)</f>
        <v>1220.52478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122" t="s">
        <v>271</v>
      </c>
      <c r="BM23" t="s" s="0">
        <v>434</v>
      </c>
      <c r="BN23" t="s" s="0">
        <v>492</v>
      </c>
      <c r="BO23" s="48">
        <f>ROUND((((AW23*AZ23)+(BN23*BM23))/(AW23+BN23)),5)</f>
        <v>1220.52478</v>
      </c>
      <c r="BP23" s="53">
        <f>BN23+AW23</f>
        <v>12.5</v>
      </c>
      <c r="BQ23" s="54">
        <v>123562</v>
      </c>
    </row>
    <row r="24" spans="1:69" ht="15.75" thickBot="1">
      <c r="A24" s="25">
        <v>2</v>
      </c>
      <c r="B24" s="25" t="s">
        <v>306</v>
      </c>
      <c r="C24" s="25" t="s">
        <v>175</v>
      </c>
      <c r="D24" s="25" t="s">
        <v>58</v>
      </c>
      <c r="E24" s="25" t="s">
        <v>163</v>
      </c>
      <c r="F24" s="26">
        <v>28</v>
      </c>
      <c r="G24" t="s" s="0">
        <v>268</v>
      </c>
      <c r="H24" s="26">
        <f t="shared" ref="H24" si="3">F24*G24</f>
        <v>4214</v>
      </c>
      <c r="I24" t="s" s="0">
        <v>307</v>
      </c>
      <c r="J24" s="26">
        <v>2</v>
      </c>
      <c r="K24" s="26">
        <v>2.5</v>
      </c>
      <c r="L24" s="26">
        <f t="shared" ref="L24" si="4">H24</f>
        <v>4214</v>
      </c>
      <c r="M24" s="26">
        <f t="shared" ref="M24" si="5">ROUND(L24*I24%,2)</f>
        <v>42.14</v>
      </c>
      <c r="N24" s="26">
        <f t="shared" ref="N24" si="6">H24-M24</f>
        <v>4171.8599999999997</v>
      </c>
      <c r="O24" s="26">
        <f t="shared" ref="O24" si="7">ROUND(N24*J24%,2)</f>
        <v>83.44</v>
      </c>
      <c r="P24" s="26">
        <f t="shared" ref="P24" si="8">ROUND(N24-O24,2)</f>
        <v>4088.42</v>
      </c>
      <c r="Q24" s="26">
        <f t="shared" ref="Q24" si="9">ROUND(P24*K24%,2)</f>
        <v>102.21</v>
      </c>
      <c r="R24" s="26">
        <f t="shared" ref="R24" si="10">ROUND((M24+O24+Q24),2)</f>
        <v>227.79</v>
      </c>
      <c r="S24" s="26">
        <f t="shared" ref="S24" si="11">ROUND((H24-R24),2)</f>
        <v>3986.21</v>
      </c>
      <c r="T24" s="55" t="s">
        <v>273</v>
      </c>
      <c r="U24" s="43">
        <v>0.18</v>
      </c>
      <c r="V24" s="26">
        <f t="shared" ref="V24" si="12">IF(OR($C$21=1,$C$21=4),ROUND(((S24*U24)/2),2),0)</f>
        <v>358.76</v>
      </c>
      <c r="W24" s="26">
        <f t="shared" ref="W24" si="13">IF($C$21=1,ROUND(((S24*U24)/2),2),0)</f>
        <v>358.76</v>
      </c>
      <c r="X24" s="26">
        <f t="shared" ref="X24" si="14">IF($C$21=2,ROUND(((S24*U24)),2),0)</f>
        <v>0</v>
      </c>
      <c r="Y24" s="26">
        <f t="shared" ref="Y24" si="15">IF($C$21=4,ROUND(((S24*U24)/2),2),0)</f>
        <v>0</v>
      </c>
      <c r="Z24" s="91">
        <v>0</v>
      </c>
      <c r="AA24" s="26">
        <f t="shared" ref="AA24" si="16">IF($C22=3, 0, ROUND(S24*Z24, 2))</f>
        <v>0</v>
      </c>
      <c r="AB24" s="25">
        <f t="shared" ref="AB24" si="17">V24+W24+X24+Y24+AA24</f>
        <v>717.52</v>
      </c>
      <c r="AC24" s="25">
        <f t="shared" ref="AC24" si="18">IF($V22=1,S24+AB24,S24)</f>
        <v>3986.21</v>
      </c>
      <c r="AD24" s="55">
        <v>350</v>
      </c>
      <c r="AE24" s="55">
        <f>IF($P$21=1,(S24/$S$25)*$E$36,AD24/$AD$25*$E$36)</f>
        <v>0</v>
      </c>
      <c r="AF24" s="55"/>
      <c r="AG24" s="55">
        <f>IF($P$21=1,(S24/$S$25)*$E$38,AD24/$AD$25*$E$38)</f>
        <v>0</v>
      </c>
      <c r="AH24" s="55">
        <f>IF($P$21=1,(S24/$S$25)*$E$39,AD24/$AD$25*$E$39)</f>
        <v>0</v>
      </c>
      <c r="AI24" s="55">
        <f t="shared" si="1"/>
        <v>3986.21</v>
      </c>
      <c r="AJ24" s="55">
        <f t="shared" ref="AJ24" si="19">IF($C$21=3,0,AG24+AH24)</f>
        <v>0</v>
      </c>
      <c r="AK24" s="55">
        <f t="shared" si="2"/>
        <v>0</v>
      </c>
      <c r="AL24" s="82">
        <v>2</v>
      </c>
      <c r="AM24" s="55">
        <f>F24/AL24</f>
        <v>14</v>
      </c>
      <c r="AN24" s="55">
        <f t="shared" ref="AN24" si="20">ROUND(AI24/AM24,5)</f>
        <v>284.72928999999999</v>
      </c>
      <c r="AO24" s="55">
        <f t="shared" ref="AO24" si="21">AJ24/AM24</f>
        <v>0</v>
      </c>
      <c r="AP24" s="55">
        <f t="shared" ref="AP24" si="22">AK24/AM24</f>
        <v>0</v>
      </c>
      <c r="AQ24" s="55" t="s">
        <v>58</v>
      </c>
      <c r="AR24" s="55">
        <f t="shared" ref="AR24" si="23">ROUND(AN24+AO24+AP24,5)</f>
        <v>284.72928999999999</v>
      </c>
      <c r="AS24" s="48" t="s">
        <v>217</v>
      </c>
      <c r="AT24" s="48" t="s">
        <v>58</v>
      </c>
      <c r="AU24" t="s" s="0">
        <v>219</v>
      </c>
      <c r="AV24" t="s" s="0">
        <v>435</v>
      </c>
      <c r="AW24" s="48">
        <f>AM24</f>
        <v>14</v>
      </c>
      <c r="AX24" s="48">
        <f>AR24</f>
        <v>284.72928999999999</v>
      </c>
      <c r="AY24" s="48">
        <f>AU24+AW24</f>
        <v>130.67000000000002</v>
      </c>
      <c r="AZ24" s="48">
        <f>ROUND(((AU24*AV24)+(AW24*AX24))/(AU24+AW24),5)</f>
        <v>1548.17093</v>
      </c>
      <c r="BA24" s="50"/>
      <c r="BB24" s="50" t="s">
        <v>149</v>
      </c>
      <c r="BC24" s="80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122" t="s">
        <v>271</v>
      </c>
      <c r="BM24" t="s" s="0">
        <v>435</v>
      </c>
      <c r="BN24" t="s" s="0">
        <v>493</v>
      </c>
      <c r="BO24" s="48">
        <f>ROUND((((AW24*AZ24)+(BN24*BM24))/(AW24+BN24)),5)</f>
        <v>1548.17093</v>
      </c>
      <c r="BP24" s="53">
        <f>BN24+AW24</f>
        <v>14</v>
      </c>
      <c r="BQ24" s="54">
        <v>123562</v>
      </c>
    </row>
    <row r="25" spans="1:69" ht="15.75" thickBot="1">
      <c r="A25" s="16"/>
      <c r="C25" s="62" t="s">
        <v>87</v>
      </c>
      <c r="D25" s="28"/>
      <c r="E25" s="28"/>
      <c r="F25" s="28"/>
      <c r="G25" s="29"/>
      <c r="H25" s="30">
        <f>SUM(H23:H24)</f>
        <v>10654.75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575.95000000000005</v>
      </c>
      <c r="S25" s="30">
        <f>SUM(S23:S24)</f>
        <v>10078.799999999999</v>
      </c>
      <c r="T25" s="30"/>
      <c r="U25" s="30"/>
      <c r="V25" s="39">
        <f t="shared" ref="V25:AE25" si="24">SUM(V23:V24)</f>
        <v>907.09</v>
      </c>
      <c r="W25" s="39">
        <f t="shared" si="24"/>
        <v>907.09</v>
      </c>
      <c r="X25" s="39">
        <f t="shared" si="24"/>
        <v>0</v>
      </c>
      <c r="Y25" s="39">
        <f t="shared" si="24"/>
        <v>0</v>
      </c>
      <c r="Z25" s="120">
        <f t="shared" si="24"/>
        <v>0</v>
      </c>
      <c r="AA25" s="39">
        <f t="shared" si="24"/>
        <v>0</v>
      </c>
      <c r="AB25" s="30">
        <f t="shared" si="24"/>
        <v>1814.18</v>
      </c>
      <c r="AC25" s="44">
        <f t="shared" si="24"/>
        <v>11175.46</v>
      </c>
      <c r="AD25" s="45">
        <f t="shared" si="24"/>
        <v>470</v>
      </c>
      <c r="AE25" s="45">
        <f t="shared" si="24"/>
        <v>0</v>
      </c>
      <c r="AF25" s="44"/>
      <c r="AG25" s="45">
        <f>SUM(AG23:AG24)</f>
        <v>0</v>
      </c>
      <c r="AH25" s="45">
        <f>IF($P$21=1,(S25/$S$25)*$E$39,AD25/$AD$25*$E$39)</f>
        <v>0</v>
      </c>
      <c r="AI25" s="45">
        <f>SUM(AI23:AI24)</f>
        <v>10078.799999999999</v>
      </c>
      <c r="AJ25" s="45">
        <f>SUM(AJ23:AJ24)</f>
        <v>0</v>
      </c>
      <c r="AK25" s="45">
        <f>SUM(AK23:AK24)</f>
        <v>0</v>
      </c>
      <c r="AL25" s="44"/>
      <c r="AM25" s="44"/>
      <c r="AN25" s="44"/>
      <c r="AO25" s="44"/>
      <c r="AP25" s="44"/>
      <c r="AQ25" s="44"/>
      <c r="AR25" s="44"/>
      <c r="AS25" s="16"/>
      <c r="AT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</row>
    <row r="26" spans="1:69" ht="15.75" thickBo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</row>
    <row r="27" spans="1:69" ht="15.75" thickBot="1">
      <c r="A27" s="16"/>
      <c r="B27" s="16"/>
      <c r="C27" s="16"/>
      <c r="D27" s="16"/>
      <c r="E27" s="16"/>
      <c r="F27" s="16"/>
      <c r="G27" s="156" t="s">
        <v>194</v>
      </c>
      <c r="H27" s="157"/>
      <c r="I27" s="158">
        <f>H25</f>
        <v>10654.75</v>
      </c>
      <c r="J27" s="158"/>
      <c r="K27" s="65"/>
      <c r="L27" s="16"/>
      <c r="M27" s="159" t="s">
        <v>195</v>
      </c>
      <c r="N27" s="160"/>
      <c r="O27" s="160"/>
      <c r="P27" s="161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 t="s">
        <v>278</v>
      </c>
      <c r="BI27" s="108" t="s">
        <v>279</v>
      </c>
      <c r="BJ27" s="16"/>
      <c r="BK27" s="16"/>
      <c r="BL27" s="16"/>
      <c r="BM27" s="16"/>
      <c r="BN27" s="16"/>
      <c r="BO27" s="16"/>
    </row>
    <row r="28" spans="1:69" ht="15.75" thickBot="1">
      <c r="A28" s="16"/>
      <c r="B28" s="16"/>
      <c r="C28" s="16"/>
      <c r="D28" s="16"/>
      <c r="E28" s="16"/>
      <c r="F28" s="16"/>
      <c r="G28" s="156" t="s">
        <v>196</v>
      </c>
      <c r="H28" s="157"/>
      <c r="I28" s="158">
        <f>R25</f>
        <v>575.95000000000005</v>
      </c>
      <c r="J28" s="158"/>
      <c r="K28" s="16"/>
      <c r="L28" s="16"/>
      <c r="M28" s="66">
        <v>1</v>
      </c>
      <c r="N28" s="66" t="s">
        <v>58</v>
      </c>
      <c r="O28" s="66">
        <v>2</v>
      </c>
      <c r="P28" s="66" t="s">
        <v>163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 t="s">
        <v>280</v>
      </c>
      <c r="BI28" s="108" t="s">
        <v>281</v>
      </c>
      <c r="BJ28" s="16"/>
      <c r="BK28" s="16"/>
      <c r="BL28" s="16"/>
      <c r="BM28" s="16"/>
      <c r="BN28" s="16"/>
      <c r="BO28" s="16"/>
    </row>
    <row r="29" spans="1:69" ht="15.75" thickBot="1">
      <c r="A29" s="16"/>
      <c r="B29" s="16"/>
      <c r="C29" s="16"/>
      <c r="D29" s="16"/>
      <c r="E29" s="16"/>
      <c r="F29" s="16"/>
      <c r="G29" s="156" t="s">
        <v>197</v>
      </c>
      <c r="H29" s="157"/>
      <c r="I29" s="158">
        <f>S25</f>
        <v>10078.799999999999</v>
      </c>
      <c r="J29" s="158"/>
      <c r="K29" s="16"/>
      <c r="L29" s="16"/>
      <c r="M29" s="25">
        <v>1</v>
      </c>
      <c r="N29" s="25" t="s">
        <v>58</v>
      </c>
      <c r="O29" s="25">
        <v>2.5</v>
      </c>
      <c r="P29" s="25" t="s">
        <v>176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</row>
    <row r="30" spans="1:69" ht="15.75" thickBot="1">
      <c r="A30" s="16"/>
      <c r="B30" s="16"/>
      <c r="C30" s="16"/>
      <c r="D30" s="16"/>
      <c r="E30" s="16"/>
      <c r="F30" s="16"/>
      <c r="G30" s="156" t="s">
        <v>198</v>
      </c>
      <c r="H30" s="157"/>
      <c r="I30" s="158">
        <f>AB25</f>
        <v>1814.18</v>
      </c>
      <c r="J30" s="158"/>
      <c r="K30" s="16"/>
      <c r="L30" s="16"/>
      <c r="M30" s="25">
        <v>1</v>
      </c>
      <c r="N30" s="25" t="s">
        <v>163</v>
      </c>
      <c r="O30" s="25">
        <v>1E-3</v>
      </c>
      <c r="P30" s="25" t="s">
        <v>185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</row>
    <row r="31" spans="1:69" ht="15.75" thickBot="1">
      <c r="A31" s="16"/>
      <c r="B31" s="16"/>
      <c r="C31" s="16"/>
      <c r="D31" s="16"/>
      <c r="E31" s="16"/>
      <c r="F31" s="16"/>
      <c r="G31" s="156" t="s">
        <v>199</v>
      </c>
      <c r="H31" s="157"/>
      <c r="I31" s="162">
        <f>I29+I30</f>
        <v>11892.98</v>
      </c>
      <c r="J31" s="162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</row>
    <row r="32" spans="1:6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 t="s">
        <v>282</v>
      </c>
      <c r="BN32" s="16" t="s">
        <v>283</v>
      </c>
      <c r="BO32" s="16"/>
    </row>
    <row r="33" spans="1:67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 t="s">
        <v>284</v>
      </c>
      <c r="BL33" s="16">
        <v>12.5</v>
      </c>
      <c r="BM33" s="16">
        <f>BL35*BL36</f>
        <v>18277.77</v>
      </c>
      <c r="BN33" s="16">
        <f>BL33*BL34</f>
        <v>6092.59</v>
      </c>
      <c r="BO33" s="16"/>
    </row>
    <row r="34" spans="1:67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 t="s">
        <v>285</v>
      </c>
      <c r="BL34" s="16">
        <v>487.40719999999999</v>
      </c>
      <c r="BM34" s="16">
        <f>BL33+BL35</f>
        <v>50</v>
      </c>
      <c r="BN34" s="16"/>
      <c r="BO34" s="16"/>
    </row>
    <row r="35" spans="1:67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 t="s">
        <v>286</v>
      </c>
      <c r="BL35" s="16">
        <v>37.5</v>
      </c>
      <c r="BM35" s="16"/>
      <c r="BN35" s="16"/>
      <c r="BO35" s="16"/>
    </row>
    <row r="36" spans="1:67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 t="s">
        <v>287</v>
      </c>
      <c r="BL36" s="16">
        <v>487.40719999999999</v>
      </c>
      <c r="BM36" s="16"/>
      <c r="BN36" s="16"/>
      <c r="BO36" s="16"/>
    </row>
    <row r="37" spans="1:6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>
        <f>BM33+BN33</f>
        <v>24370.36</v>
      </c>
      <c r="BN37" s="16">
        <f>BM37/BM34</f>
        <v>487.40719999999999</v>
      </c>
      <c r="BO37" s="16"/>
    </row>
    <row r="38" spans="1:67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</row>
    <row r="39" spans="1:67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</row>
  </sheetData>
  <mergeCells count="14">
    <mergeCell ref="A1:AC1"/>
    <mergeCell ref="G31:H31"/>
    <mergeCell ref="I31:J31"/>
    <mergeCell ref="G28:H28"/>
    <mergeCell ref="I28:J28"/>
    <mergeCell ref="G29:H29"/>
    <mergeCell ref="I29:J29"/>
    <mergeCell ref="G30:H30"/>
    <mergeCell ref="I30:J30"/>
    <mergeCell ref="B19:G19"/>
    <mergeCell ref="A21:B21"/>
    <mergeCell ref="G27:H27"/>
    <mergeCell ref="I27:J27"/>
    <mergeCell ref="M27:P2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BQ38"/>
  <sheetViews>
    <sheetView topLeftCell="A11" workbookViewId="0">
      <selection activeCell="C21" sqref="C21"/>
    </sheetView>
  </sheetViews>
  <sheetFormatPr defaultColWidth="9" defaultRowHeight="15"/>
  <cols>
    <col min="2" max="2" customWidth="true" width="23.5703125"/>
    <col min="4" max="4" bestFit="true" customWidth="true" width="72.42578125"/>
    <col min="11" max="11" customWidth="true" width="6.140625"/>
    <col min="29" max="29" bestFit="true" customWidth="true" width="11.5703125"/>
    <col min="35" max="35" customWidth="true" width="14.28515625"/>
    <col min="36" max="36" customWidth="true" width="17.5703125"/>
    <col min="37" max="37" bestFit="true" customWidth="true" width="13.42578125"/>
    <col min="38" max="38" bestFit="true" customWidth="true" width="13.5703125"/>
    <col min="45" max="45" customWidth="true" width="9.42578125"/>
    <col min="47" max="47" customWidth="true" width="15.28515625"/>
    <col min="48" max="48" customWidth="true" width="20.28515625"/>
    <col min="50" max="50" bestFit="true" customWidth="true" width="16.28515625"/>
    <col min="51" max="51" customWidth="true" width="13.85546875"/>
    <col min="52" max="52" customWidth="true" width="18.85546875"/>
    <col min="54" max="57" customWidth="true" width="21.7109375"/>
    <col min="58" max="58" customWidth="true" width="16.5703125"/>
    <col min="59" max="59" customWidth="true" width="13.7109375"/>
    <col min="60" max="60" customWidth="true" width="12.42578125"/>
    <col min="63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67" ht="18.75" thickBot="1">
      <c r="A1" s="154" t="s">
        <v>154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</row>
    <row r="2" spans="1:67" ht="18.75" thickBot="1">
      <c r="A2" s="144" t="s">
        <v>47</v>
      </c>
      <c r="B2" s="144"/>
      <c r="C2" s="144"/>
      <c r="D2" s="144"/>
      <c r="E2" s="144"/>
      <c r="F2" s="144"/>
      <c r="G2" s="144"/>
      <c r="H2" s="144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</row>
    <row r="3" spans="1:67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</row>
    <row r="4" spans="1:67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</row>
    <row r="5" spans="1:67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</row>
    <row r="6" spans="1:67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</row>
    <row r="7" spans="1:67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</row>
    <row r="8" spans="1:67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</row>
    <row r="9" spans="1:67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</row>
    <row r="10" spans="1:67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</row>
    <row r="11" spans="1:67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</row>
    <row r="12" spans="1:67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</row>
    <row r="13" spans="1:67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</row>
    <row r="14" spans="1:67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</row>
    <row r="15" spans="1:67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</row>
    <row r="16" spans="1:67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</row>
    <row r="17" spans="1:69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</row>
    <row r="18" spans="1:69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</row>
    <row r="19" spans="1:69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</row>
    <row r="20" spans="1:69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</row>
    <row r="21" spans="1:69" ht="15.75" thickBot="1">
      <c r="A21" s="151" t="s">
        <v>89</v>
      </c>
      <c r="B21" s="151"/>
      <c r="C21" s="20">
        <v>2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2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</row>
    <row r="22" spans="1:69" ht="58.5" thickTop="1" thickBot="1">
      <c r="A22" s="61" t="s">
        <v>155</v>
      </c>
      <c r="B22" s="61" t="s">
        <v>49</v>
      </c>
      <c r="C22" s="61" t="s">
        <v>156</v>
      </c>
      <c r="D22" s="61" t="s">
        <v>51</v>
      </c>
      <c r="E22" s="61" t="s">
        <v>52</v>
      </c>
      <c r="F22" s="61" t="s">
        <v>53</v>
      </c>
      <c r="G22" s="61" t="s">
        <v>54</v>
      </c>
      <c r="H22" s="61" t="s">
        <v>55</v>
      </c>
      <c r="I22" s="63" t="s">
        <v>97</v>
      </c>
      <c r="J22" s="63" t="s">
        <v>99</v>
      </c>
      <c r="K22" s="63" t="s">
        <v>98</v>
      </c>
      <c r="L22" s="64" t="s">
        <v>100</v>
      </c>
      <c r="M22" s="64" t="s">
        <v>101</v>
      </c>
      <c r="N22" s="64" t="s">
        <v>104</v>
      </c>
      <c r="O22" s="64" t="s">
        <v>105</v>
      </c>
      <c r="P22" s="64" t="s">
        <v>157</v>
      </c>
      <c r="Q22" s="64" t="s">
        <v>103</v>
      </c>
      <c r="R22" s="63" t="s">
        <v>106</v>
      </c>
      <c r="S22" s="61" t="s">
        <v>158</v>
      </c>
      <c r="T22" s="61" t="s">
        <v>108</v>
      </c>
      <c r="U22" s="67" t="s">
        <v>159</v>
      </c>
      <c r="V22" s="67" t="s">
        <v>110</v>
      </c>
      <c r="W22" s="67" t="s">
        <v>111</v>
      </c>
      <c r="X22" s="67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69" t="s">
        <v>114</v>
      </c>
      <c r="AD22" s="69" t="s">
        <v>115</v>
      </c>
      <c r="AE22" s="69" t="s">
        <v>116</v>
      </c>
      <c r="AF22" s="69" t="s">
        <v>117</v>
      </c>
      <c r="AG22" s="69" t="s">
        <v>118</v>
      </c>
      <c r="AH22" s="69" t="s">
        <v>119</v>
      </c>
      <c r="AI22" s="69" t="s">
        <v>120</v>
      </c>
      <c r="AJ22" s="69" t="s">
        <v>121</v>
      </c>
      <c r="AK22" s="69" t="s">
        <v>122</v>
      </c>
      <c r="AL22" s="69" t="s">
        <v>123</v>
      </c>
      <c r="AM22" s="69" t="s">
        <v>124</v>
      </c>
      <c r="AN22" s="69" t="s">
        <v>125</v>
      </c>
      <c r="AO22" s="69" t="s">
        <v>126</v>
      </c>
      <c r="AP22" s="69" t="s">
        <v>127</v>
      </c>
      <c r="AQ22" s="69" t="s">
        <v>128</v>
      </c>
      <c r="AR22" s="70" t="s">
        <v>160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69" ht="15.75" thickBot="1">
      <c r="A23" s="25">
        <v>1</v>
      </c>
      <c r="B23" s="25" t="s">
        <v>386</v>
      </c>
      <c r="C23" s="25" t="s">
        <v>162</v>
      </c>
      <c r="D23" s="25" t="s">
        <v>58</v>
      </c>
      <c r="E23" s="25" t="s">
        <v>163</v>
      </c>
      <c r="F23" s="26">
        <v>25</v>
      </c>
      <c r="G23" t="s" s="0">
        <v>486</v>
      </c>
      <c r="H23" s="26">
        <f>F23*G23</f>
        <v>1125</v>
      </c>
      <c r="I23" t="s" s="0">
        <v>307</v>
      </c>
      <c r="J23" s="26">
        <v>2</v>
      </c>
      <c r="K23" s="26">
        <v>2.5</v>
      </c>
      <c r="L23" s="26">
        <f>H23</f>
        <v>1125</v>
      </c>
      <c r="M23" s="26">
        <f>ROUND(L23*I23%,2)</f>
        <v>22.5</v>
      </c>
      <c r="N23" s="26">
        <f>H23-M23</f>
        <v>1102.5</v>
      </c>
      <c r="O23" s="26">
        <f>ROUND(N23*J23%,2)</f>
        <v>22.05</v>
      </c>
      <c r="P23" s="26">
        <f>ROUND(N23-O23,2)</f>
        <v>1080.45</v>
      </c>
      <c r="Q23" s="26">
        <f>ROUND(P23*K23%,2)</f>
        <v>27.01</v>
      </c>
      <c r="R23" s="26">
        <f>ROUND((M23+O23+Q23),2)</f>
        <v>71.56</v>
      </c>
      <c r="S23" s="26">
        <f>ROUND((H23-R23),2)</f>
        <v>1053.44</v>
      </c>
      <c r="T23" s="55" t="s">
        <v>146</v>
      </c>
      <c r="U23" s="43">
        <v>0.18</v>
      </c>
      <c r="V23" s="26">
        <f>IF(OR($C$21=1,$C$21=4),ROUND(((S23*U23)/2),2),0)</f>
        <v>0</v>
      </c>
      <c r="W23" s="26">
        <f>IF($C$21=1,ROUND(((S23*U23)/2),2),0)</f>
        <v>0</v>
      </c>
      <c r="X23" s="26">
        <f>IF($C$21=2,ROUND(((S23*U23)),2),0)</f>
        <v>189.62</v>
      </c>
      <c r="Y23" s="26">
        <f>IF($C$21=4,ROUND(((S23*U23)/2),2),0)</f>
        <v>0</v>
      </c>
      <c r="Z23" s="91">
        <v>0</v>
      </c>
      <c r="AA23" s="26">
        <f>IF($C21=3, 0, ROUND(S23*Z23, 2))</f>
        <v>0</v>
      </c>
      <c r="AB23" s="25">
        <f>V23+W23+X23+Y23+AA23</f>
        <v>189.62</v>
      </c>
      <c r="AC23" s="25">
        <f>IF($V21=1,S23+AB23,S23)</f>
        <v>1243.06</v>
      </c>
      <c r="AD23" s="55">
        <v>120</v>
      </c>
      <c r="AE23" s="55">
        <f>IF($P$21=1,(S23/$S$24)*$E$35,AD23/$AD$24*$E$35)</f>
        <v>0</v>
      </c>
      <c r="AF23" s="55"/>
      <c r="AG23" s="55">
        <f>IF($P$21=1,(S23/$S$24)*$E$37,AD23/$AD$24*$E$37)</f>
        <v>0</v>
      </c>
      <c r="AH23" s="55">
        <f>IF($P$21=1,(S23/$S$24)*$E$38,AD23/$AD$24*$E$38)</f>
        <v>0</v>
      </c>
      <c r="AI23" s="55">
        <f t="shared" ref="AI23" si="1">S23*$M$21</f>
        <v>1053.44</v>
      </c>
      <c r="AJ23" s="55">
        <f>IF($C$21=3,0,AG23+AH23)</f>
        <v>0</v>
      </c>
      <c r="AK23" s="55">
        <f t="shared" ref="AK23" si="2">IF($C$21=3,AE23+AG23+AH23,0)</f>
        <v>0</v>
      </c>
      <c r="AL23" s="82">
        <v>2</v>
      </c>
      <c r="AM23" s="55">
        <f>F23/AL23</f>
        <v>12.5</v>
      </c>
      <c r="AN23" s="55">
        <f>ROUND(AI23/AM23,5)</f>
        <v>84.275199999999998</v>
      </c>
      <c r="AO23" s="55">
        <f>AJ23/AM23</f>
        <v>0</v>
      </c>
      <c r="AP23" s="55">
        <f>AK23/AM23</f>
        <v>0</v>
      </c>
      <c r="AQ23" s="55" t="s">
        <v>58</v>
      </c>
      <c r="AR23" s="55">
        <f>ROUND(AN23+AO23+AP23,5)</f>
        <v>84.275199999999998</v>
      </c>
      <c r="AS23" s="48" t="s">
        <v>217</v>
      </c>
      <c r="AT23" s="48" t="s">
        <v>58</v>
      </c>
      <c r="AW23" s="48">
        <f>AM23</f>
        <v>12.5</v>
      </c>
      <c r="AX23" s="48">
        <f>AR23</f>
        <v>84.275199999999998</v>
      </c>
      <c r="AY23" s="48">
        <f>AU23+AW23</f>
        <v>12.5</v>
      </c>
      <c r="AZ23" s="48">
        <f>ROUND(((AU23*AV23)+(AW23*AX23))/(AU23+AW23),5)</f>
        <v>84.275199999999998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122" t="s">
        <v>259</v>
      </c>
      <c r="BM23" t="s" s="0">
        <v>219</v>
      </c>
      <c r="BN23" t="s" s="0">
        <v>219</v>
      </c>
      <c r="BO23" s="48">
        <f>ROUND((((AW23*AZ23)+(BN23*BM23))/(AW23+BN23)),5)</f>
        <v>84.275199999999998</v>
      </c>
      <c r="BP23" s="53">
        <f>BN23+AW23</f>
        <v>50</v>
      </c>
      <c r="BQ23" s="54">
        <v>123562</v>
      </c>
    </row>
    <row r="24" spans="1:69" ht="15.75" thickBot="1">
      <c r="A24" s="16"/>
      <c r="C24" s="62" t="s">
        <v>87</v>
      </c>
      <c r="D24" s="28"/>
      <c r="E24" s="28"/>
      <c r="F24" s="28"/>
      <c r="G24" s="29"/>
      <c r="H24" s="30">
        <f>SUM(H23:H23)</f>
        <v>1125</v>
      </c>
      <c r="I24" s="25"/>
      <c r="J24" s="25"/>
      <c r="K24" s="25"/>
      <c r="L24" s="25"/>
      <c r="M24" s="25"/>
      <c r="N24" s="25"/>
      <c r="O24" s="25"/>
      <c r="P24" s="25"/>
      <c r="Q24" s="25"/>
      <c r="R24" s="30">
        <f>SUM(R23:R23)</f>
        <v>71.56</v>
      </c>
      <c r="S24" s="30">
        <f>SUM(S23:S23)</f>
        <v>1053.44</v>
      </c>
      <c r="T24" s="30"/>
      <c r="U24" s="30"/>
      <c r="V24" s="39">
        <f t="shared" ref="V24:AE24" si="3">SUM(V23:V23)</f>
        <v>0</v>
      </c>
      <c r="W24" s="39">
        <f t="shared" si="3"/>
        <v>0</v>
      </c>
      <c r="X24" s="39">
        <f t="shared" si="3"/>
        <v>189.62</v>
      </c>
      <c r="Y24" s="39">
        <f t="shared" si="3"/>
        <v>0</v>
      </c>
      <c r="Z24" s="120">
        <f t="shared" si="3"/>
        <v>0</v>
      </c>
      <c r="AA24" s="39">
        <f t="shared" si="3"/>
        <v>0</v>
      </c>
      <c r="AB24" s="30">
        <f t="shared" si="3"/>
        <v>189.62</v>
      </c>
      <c r="AC24" s="44">
        <f t="shared" si="3"/>
        <v>1243.06</v>
      </c>
      <c r="AD24" s="45">
        <f t="shared" si="3"/>
        <v>120</v>
      </c>
      <c r="AE24" s="45">
        <f t="shared" si="3"/>
        <v>0</v>
      </c>
      <c r="AF24" s="44"/>
      <c r="AG24" s="45">
        <f>SUM(AG23:AG23)</f>
        <v>0</v>
      </c>
      <c r="AH24" s="45">
        <f>IF($P$21=1,(S24/$S$24)*$E$38,AD24/$AD$24*$E$38)</f>
        <v>0</v>
      </c>
      <c r="AI24" s="45">
        <f>SUM(AI23:AI23)</f>
        <v>1053.44</v>
      </c>
      <c r="AJ24" s="45">
        <f>SUM(AJ23:AJ23)</f>
        <v>0</v>
      </c>
      <c r="AK24" s="45">
        <f>SUM(AK23:AK23)</f>
        <v>0</v>
      </c>
      <c r="AL24" s="44"/>
      <c r="AM24" s="44"/>
      <c r="AN24" s="44"/>
      <c r="AO24" s="44"/>
      <c r="AP24" s="44"/>
      <c r="AQ24" s="44"/>
      <c r="AR24" s="44"/>
      <c r="AS24" s="16"/>
      <c r="AT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</row>
    <row r="25" spans="1:69" ht="15.75" thickBo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</row>
    <row r="26" spans="1:69" ht="15.75" thickBot="1">
      <c r="A26" s="16"/>
      <c r="B26" s="16"/>
      <c r="C26" s="16"/>
      <c r="D26" s="16"/>
      <c r="E26" s="16"/>
      <c r="F26" s="16"/>
      <c r="G26" s="156" t="s">
        <v>194</v>
      </c>
      <c r="H26" s="157"/>
      <c r="I26" s="158">
        <f>H24</f>
        <v>1125</v>
      </c>
      <c r="J26" s="158"/>
      <c r="K26" s="65"/>
      <c r="L26" s="16"/>
      <c r="M26" s="159" t="s">
        <v>195</v>
      </c>
      <c r="N26" s="160"/>
      <c r="O26" s="160"/>
      <c r="P26" s="161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 t="s">
        <v>278</v>
      </c>
      <c r="BI26" s="108" t="s">
        <v>279</v>
      </c>
      <c r="BJ26" s="16"/>
      <c r="BK26" s="16"/>
      <c r="BL26" s="16"/>
      <c r="BM26" s="16"/>
      <c r="BN26" s="16"/>
      <c r="BO26" s="16"/>
    </row>
    <row r="27" spans="1:69" ht="15.75" thickBot="1">
      <c r="A27" s="16"/>
      <c r="B27" s="16"/>
      <c r="C27" s="16"/>
      <c r="D27" s="16"/>
      <c r="E27" s="16"/>
      <c r="F27" s="16"/>
      <c r="G27" s="156" t="s">
        <v>196</v>
      </c>
      <c r="H27" s="157"/>
      <c r="I27" s="158">
        <f>R24</f>
        <v>71.56</v>
      </c>
      <c r="J27" s="158"/>
      <c r="K27" s="16"/>
      <c r="L27" s="16"/>
      <c r="M27" s="66">
        <v>1</v>
      </c>
      <c r="N27" s="66" t="s">
        <v>58</v>
      </c>
      <c r="O27" s="66">
        <v>2</v>
      </c>
      <c r="P27" s="66" t="s">
        <v>163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 t="s">
        <v>280</v>
      </c>
      <c r="BI27" s="108" t="s">
        <v>281</v>
      </c>
      <c r="BJ27" s="16"/>
      <c r="BK27" s="16"/>
      <c r="BL27" s="16"/>
      <c r="BM27" s="16"/>
      <c r="BN27" s="16"/>
      <c r="BO27" s="16"/>
    </row>
    <row r="28" spans="1:69" ht="15.75" thickBot="1">
      <c r="A28" s="16"/>
      <c r="B28" s="16"/>
      <c r="C28" s="16"/>
      <c r="D28" s="16"/>
      <c r="E28" s="16"/>
      <c r="F28" s="16"/>
      <c r="G28" s="156" t="s">
        <v>197</v>
      </c>
      <c r="H28" s="157"/>
      <c r="I28" s="158">
        <f>S24</f>
        <v>1053.44</v>
      </c>
      <c r="J28" s="158"/>
      <c r="K28" s="16"/>
      <c r="L28" s="16"/>
      <c r="M28" s="25">
        <v>1</v>
      </c>
      <c r="N28" s="25" t="s">
        <v>58</v>
      </c>
      <c r="O28" s="25">
        <v>2.5</v>
      </c>
      <c r="P28" s="25" t="s">
        <v>176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</row>
    <row r="29" spans="1:69" ht="15.75" thickBot="1">
      <c r="A29" s="16"/>
      <c r="B29" s="16"/>
      <c r="C29" s="16"/>
      <c r="D29" s="16"/>
      <c r="E29" s="16"/>
      <c r="F29" s="16"/>
      <c r="G29" s="156" t="s">
        <v>198</v>
      </c>
      <c r="H29" s="157"/>
      <c r="I29" s="158">
        <f>AB24</f>
        <v>189.62</v>
      </c>
      <c r="J29" s="158"/>
      <c r="K29" s="16"/>
      <c r="L29" s="16"/>
      <c r="M29" s="25">
        <v>1</v>
      </c>
      <c r="N29" s="25" t="s">
        <v>163</v>
      </c>
      <c r="O29" s="25">
        <v>1E-3</v>
      </c>
      <c r="P29" s="25" t="s">
        <v>185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</row>
    <row r="30" spans="1:69" ht="15.75" thickBot="1">
      <c r="A30" s="16"/>
      <c r="B30" s="16"/>
      <c r="C30" s="16"/>
      <c r="D30" s="16"/>
      <c r="E30" s="16"/>
      <c r="F30" s="16"/>
      <c r="G30" s="156" t="s">
        <v>199</v>
      </c>
      <c r="H30" s="157"/>
      <c r="I30" s="162">
        <f>I28+I29</f>
        <v>1243.06</v>
      </c>
      <c r="J30" s="162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</row>
    <row r="31" spans="1:69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 t="s">
        <v>282</v>
      </c>
      <c r="BN31" s="16" t="s">
        <v>283</v>
      </c>
      <c r="BO31" s="16"/>
    </row>
    <row r="32" spans="1:6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 t="s">
        <v>284</v>
      </c>
      <c r="BL32" s="16">
        <v>12.5</v>
      </c>
      <c r="BM32" s="16">
        <f>BL34*BL35</f>
        <v>18277.77</v>
      </c>
      <c r="BN32" s="16">
        <f>BL32*BL33</f>
        <v>6092.59</v>
      </c>
      <c r="BO32" s="16"/>
    </row>
    <row r="33" spans="1:67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 t="s">
        <v>285</v>
      </c>
      <c r="BL33" s="16">
        <v>487.40719999999999</v>
      </c>
      <c r="BM33" s="16">
        <f>BL32+BL34</f>
        <v>50</v>
      </c>
      <c r="BN33" s="16"/>
      <c r="BO33" s="16"/>
    </row>
    <row r="34" spans="1:67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 t="s">
        <v>286</v>
      </c>
      <c r="BL34" s="16">
        <v>37.5</v>
      </c>
      <c r="BM34" s="16"/>
      <c r="BN34" s="16"/>
      <c r="BO34" s="16"/>
    </row>
    <row r="35" spans="1:67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 t="s">
        <v>287</v>
      </c>
      <c r="BL35" s="16">
        <v>487.40719999999999</v>
      </c>
      <c r="BM35" s="16"/>
      <c r="BN35" s="16"/>
      <c r="BO35" s="16"/>
    </row>
    <row r="36" spans="1:67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>
        <f>BM32+BN32</f>
        <v>24370.36</v>
      </c>
      <c r="BN36" s="16">
        <f>BM36/BM33</f>
        <v>487.40719999999999</v>
      </c>
      <c r="BO36" s="16"/>
    </row>
    <row r="37" spans="1:6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</row>
    <row r="38" spans="1:67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</row>
  </sheetData>
  <mergeCells count="14">
    <mergeCell ref="G30:H30"/>
    <mergeCell ref="I30:J30"/>
    <mergeCell ref="B19:G19"/>
    <mergeCell ref="A21:B21"/>
    <mergeCell ref="A1:AC1"/>
    <mergeCell ref="G29:H29"/>
    <mergeCell ref="I29:J29"/>
    <mergeCell ref="G26:H26"/>
    <mergeCell ref="I26:J26"/>
    <mergeCell ref="G27:H27"/>
    <mergeCell ref="I27:J27"/>
    <mergeCell ref="G28:H28"/>
    <mergeCell ref="I28:J28"/>
    <mergeCell ref="M26:P26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BQ39"/>
  <sheetViews>
    <sheetView topLeftCell="R13" workbookViewId="0">
      <selection activeCell="AA23" sqref="AA23"/>
    </sheetView>
  </sheetViews>
  <sheetFormatPr defaultColWidth="9" defaultRowHeight="15"/>
  <cols>
    <col min="2" max="2" customWidth="true" width="23.5703125"/>
    <col min="4" max="4" bestFit="true" customWidth="true" width="72.42578125"/>
    <col min="11" max="11" customWidth="true" width="6.140625"/>
    <col min="29" max="29" bestFit="true" customWidth="true" width="11.5703125"/>
    <col min="35" max="35" customWidth="true" width="14.28515625"/>
    <col min="36" max="36" customWidth="true" width="17.5703125"/>
    <col min="37" max="37" bestFit="true" customWidth="true" width="13.42578125"/>
    <col min="38" max="38" bestFit="true" customWidth="true" width="13.5703125"/>
    <col min="45" max="45" customWidth="true" width="9.42578125"/>
    <col min="47" max="47" customWidth="true" width="15.28515625"/>
    <col min="48" max="48" customWidth="true" width="20.28515625"/>
    <col min="50" max="50" bestFit="true" customWidth="true" width="16.28515625"/>
    <col min="51" max="51" customWidth="true" width="13.85546875"/>
    <col min="52" max="52" customWidth="true" width="18.85546875"/>
    <col min="54" max="57" customWidth="true" width="21.7109375"/>
    <col min="58" max="58" customWidth="true" width="16.5703125"/>
    <col min="59" max="59" customWidth="true" width="13.7109375"/>
    <col min="60" max="60" customWidth="true" width="12.42578125"/>
    <col min="63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67" ht="18.75" thickBot="1">
      <c r="A1" s="154" t="s">
        <v>154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</row>
    <row r="2" spans="1:67" ht="18.75" thickBot="1">
      <c r="A2" s="125" t="s">
        <v>47</v>
      </c>
      <c r="B2" s="125"/>
      <c r="C2" s="125"/>
      <c r="D2" s="125"/>
      <c r="E2" s="125"/>
      <c r="F2" s="125"/>
      <c r="G2" s="125"/>
      <c r="H2" s="125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</row>
    <row r="3" spans="1:67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</row>
    <row r="4" spans="1:67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</row>
    <row r="5" spans="1:67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</row>
    <row r="6" spans="1:67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</row>
    <row r="7" spans="1:67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</row>
    <row r="8" spans="1:67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</row>
    <row r="9" spans="1:67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</row>
    <row r="10" spans="1:67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</row>
    <row r="11" spans="1:67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</row>
    <row r="12" spans="1:67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</row>
    <row r="13" spans="1:67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</row>
    <row r="14" spans="1:67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</row>
    <row r="15" spans="1:67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</row>
    <row r="16" spans="1:67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</row>
    <row r="17" spans="1:69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</row>
    <row r="18" spans="1:69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</row>
    <row r="19" spans="1:69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</row>
    <row r="20" spans="1:69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</row>
    <row r="21" spans="1:69" ht="15.75" thickBot="1">
      <c r="A21" s="151" t="s">
        <v>89</v>
      </c>
      <c r="B21" s="151"/>
      <c r="C21" s="20">
        <v>1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2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</row>
    <row r="22" spans="1:69" ht="58.5" thickTop="1" thickBot="1">
      <c r="A22" s="61" t="s">
        <v>155</v>
      </c>
      <c r="B22" s="61" t="s">
        <v>49</v>
      </c>
      <c r="C22" s="61" t="s">
        <v>156</v>
      </c>
      <c r="D22" s="61" t="s">
        <v>51</v>
      </c>
      <c r="E22" s="61" t="s">
        <v>52</v>
      </c>
      <c r="F22" s="61" t="s">
        <v>53</v>
      </c>
      <c r="G22" s="61" t="s">
        <v>54</v>
      </c>
      <c r="H22" s="61" t="s">
        <v>55</v>
      </c>
      <c r="I22" s="63" t="s">
        <v>97</v>
      </c>
      <c r="J22" s="63" t="s">
        <v>99</v>
      </c>
      <c r="K22" s="63" t="s">
        <v>98</v>
      </c>
      <c r="L22" s="64" t="s">
        <v>100</v>
      </c>
      <c r="M22" s="64" t="s">
        <v>101</v>
      </c>
      <c r="N22" s="64" t="s">
        <v>104</v>
      </c>
      <c r="O22" s="64" t="s">
        <v>105</v>
      </c>
      <c r="P22" s="64" t="s">
        <v>157</v>
      </c>
      <c r="Q22" s="64" t="s">
        <v>103</v>
      </c>
      <c r="R22" s="63" t="s">
        <v>106</v>
      </c>
      <c r="S22" s="61" t="s">
        <v>158</v>
      </c>
      <c r="T22" s="61" t="s">
        <v>108</v>
      </c>
      <c r="U22" s="67" t="s">
        <v>159</v>
      </c>
      <c r="V22" s="67" t="s">
        <v>110</v>
      </c>
      <c r="W22" s="67" t="s">
        <v>111</v>
      </c>
      <c r="X22" s="67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69" t="s">
        <v>114</v>
      </c>
      <c r="AD22" s="69" t="s">
        <v>115</v>
      </c>
      <c r="AE22" s="69" t="s">
        <v>116</v>
      </c>
      <c r="AF22" s="69" t="s">
        <v>117</v>
      </c>
      <c r="AG22" s="69" t="s">
        <v>118</v>
      </c>
      <c r="AH22" s="69" t="s">
        <v>119</v>
      </c>
      <c r="AI22" s="69" t="s">
        <v>120</v>
      </c>
      <c r="AJ22" s="69" t="s">
        <v>121</v>
      </c>
      <c r="AK22" s="69" t="s">
        <v>122</v>
      </c>
      <c r="AL22" s="69" t="s">
        <v>123</v>
      </c>
      <c r="AM22" s="69" t="s">
        <v>124</v>
      </c>
      <c r="AN22" s="69" t="s">
        <v>125</v>
      </c>
      <c r="AO22" s="69" t="s">
        <v>126</v>
      </c>
      <c r="AP22" s="69" t="s">
        <v>127</v>
      </c>
      <c r="AQ22" s="69" t="s">
        <v>128</v>
      </c>
      <c r="AR22" s="70" t="s">
        <v>160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69" ht="15.75" thickBot="1">
      <c r="A23" s="25">
        <v>1</v>
      </c>
      <c r="B23" s="25" t="s">
        <v>333</v>
      </c>
      <c r="C23" s="25" t="s">
        <v>162</v>
      </c>
      <c r="D23" s="25" t="s">
        <v>58</v>
      </c>
      <c r="E23" s="25" t="s">
        <v>163</v>
      </c>
      <c r="F23" s="26">
        <v>25</v>
      </c>
      <c r="G23" t="s" s="0">
        <v>262</v>
      </c>
      <c r="H23" s="26">
        <f>F23*G23</f>
        <v>1125</v>
      </c>
      <c r="I23" t="s" s="0">
        <v>224</v>
      </c>
      <c r="J23" s="26">
        <v>2</v>
      </c>
      <c r="K23" s="26">
        <v>2.5</v>
      </c>
      <c r="L23" s="26">
        <f>H23</f>
        <v>1125</v>
      </c>
      <c r="M23" s="26">
        <f>ROUND(L23*I23%,2)</f>
        <v>22.5</v>
      </c>
      <c r="N23" s="26">
        <f>H23-M23</f>
        <v>1102.5</v>
      </c>
      <c r="O23" s="26">
        <f>ROUND(N23*J23%,2)</f>
        <v>22.05</v>
      </c>
      <c r="P23" s="26">
        <f>ROUND(N23-O23,2)</f>
        <v>1080.45</v>
      </c>
      <c r="Q23" s="26">
        <f>ROUND(P23*K23%,2)</f>
        <v>27.01</v>
      </c>
      <c r="R23" s="26">
        <f>ROUND((M23+O23+Q23),2)</f>
        <v>71.56</v>
      </c>
      <c r="S23" s="26">
        <f>ROUND((H23-R23),2)</f>
        <v>1053.44</v>
      </c>
      <c r="T23" s="55" t="s">
        <v>146</v>
      </c>
      <c r="U23" s="43">
        <v>0.18</v>
      </c>
      <c r="V23" s="26">
        <f>IF(OR($C$21=1,$C$21=4),ROUND(((S23*U23)/2),2),0)</f>
        <v>94.81</v>
      </c>
      <c r="W23" s="26">
        <f>IF($C$21=1,ROUND(((S23*U23)/2),2),0)</f>
        <v>94.81</v>
      </c>
      <c r="X23" s="26">
        <f>IF($C$21=2,ROUND(((S23*U23)),2),0)</f>
        <v>0</v>
      </c>
      <c r="Y23" s="26">
        <f>IF($C$21=4,ROUND(((S23*U23)/2),2),0)</f>
        <v>0</v>
      </c>
      <c r="Z23" s="91">
        <v>0</v>
      </c>
      <c r="AA23" s="26">
        <f>IF($C21=3, 0, ROUND(S23*Z23, 2))</f>
        <v>0</v>
      </c>
      <c r="AB23" s="25">
        <f>V23+W23+X23+Y23+AA23</f>
        <v>189.62</v>
      </c>
      <c r="AC23" s="25">
        <f>IF($V21=1,S23+AB23,S23)</f>
        <v>1243.06</v>
      </c>
      <c r="AD23" s="55">
        <v>120</v>
      </c>
      <c r="AE23" s="55">
        <f>IF($P$21=1,(S23/$S$25)*$E$36,AD23/$AD$25*$E$36)</f>
        <v>0</v>
      </c>
      <c r="AF23" s="55"/>
      <c r="AG23" s="55">
        <f>IF($P$21=1,(S23/$S$25)*$E$38,AD23/$AD$25*$E$38)</f>
        <v>0</v>
      </c>
      <c r="AH23" s="55">
        <f>IF($P$21=1,(S23/$S$25)*$E$39,AD23/$AD$25*$E$39)</f>
        <v>0</v>
      </c>
      <c r="AI23" s="55">
        <f t="shared" ref="AI23:AI24" si="1">S23*$M$21</f>
        <v>1053.44</v>
      </c>
      <c r="AJ23" s="55">
        <f>IF($C$21=3,0,AG23+AH23)</f>
        <v>0</v>
      </c>
      <c r="AK23" s="55">
        <f t="shared" ref="AK23:AK24" si="2">IF($C$21=3,AE23+AG23+AH23,0)</f>
        <v>0</v>
      </c>
      <c r="AL23" s="82">
        <v>2</v>
      </c>
      <c r="AM23" s="55">
        <f>F23/AL23</f>
        <v>12.5</v>
      </c>
      <c r="AN23" s="55">
        <f>ROUND(AI23/AM23,5)</f>
        <v>84.275199999999998</v>
      </c>
      <c r="AO23" s="55">
        <f>AJ23/AM23</f>
        <v>0</v>
      </c>
      <c r="AP23" s="55">
        <f>AK23/AM23</f>
        <v>0</v>
      </c>
      <c r="AQ23" s="55" t="s">
        <v>58</v>
      </c>
      <c r="AR23" s="55">
        <f>ROUND(AN23+AO23+AP23,5)</f>
        <v>84.275199999999998</v>
      </c>
      <c r="AS23" s="48" t="s">
        <v>217</v>
      </c>
      <c r="AT23" s="48" t="s">
        <v>58</v>
      </c>
      <c r="AU23" t="s" s="0">
        <v>520</v>
      </c>
      <c r="AV23" t="s" s="0">
        <v>521</v>
      </c>
      <c r="AW23" s="48">
        <f>AM23</f>
        <v>12.5</v>
      </c>
      <c r="AX23" s="48">
        <f>AR23</f>
        <v>84.275199999999998</v>
      </c>
      <c r="AY23" s="48">
        <f>AU23+AW23</f>
        <v>12.5</v>
      </c>
      <c r="AZ23" s="48">
        <f>ROUND(((AU23*AV23)+(AW23*AX23))/(AU23+AW23),5)</f>
        <v>84.275199999999998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122" t="s">
        <v>31</v>
      </c>
      <c r="BM23" t="s" s="0">
        <v>524</v>
      </c>
      <c r="BN23" t="s" s="0">
        <v>523</v>
      </c>
      <c r="BO23" s="48">
        <f>ROUND((((AW23*AZ23)+(BN23*BM23))/(AW23+BN23)),5)</f>
        <v>84.275199999999998</v>
      </c>
      <c r="BP23" s="53">
        <f>BN23+AW23</f>
        <v>50</v>
      </c>
      <c r="BQ23" s="54">
        <v>123562</v>
      </c>
    </row>
    <row r="24" spans="1:69" ht="15.75" thickBot="1">
      <c r="A24" s="25">
        <v>2</v>
      </c>
      <c r="B24" s="25" t="s">
        <v>335</v>
      </c>
      <c r="C24" s="25" t="s">
        <v>175</v>
      </c>
      <c r="D24" s="25" t="s">
        <v>58</v>
      </c>
      <c r="E24" s="25" t="s">
        <v>163</v>
      </c>
      <c r="F24" s="26">
        <v>28</v>
      </c>
      <c r="G24" t="s" s="0">
        <v>262</v>
      </c>
      <c r="H24" s="26">
        <f t="shared" ref="H24" si="3">F24*G24</f>
        <v>9660</v>
      </c>
      <c r="I24" t="s" s="0">
        <v>224</v>
      </c>
      <c r="J24" s="26">
        <v>2</v>
      </c>
      <c r="K24" s="26">
        <v>2.5</v>
      </c>
      <c r="L24" s="26">
        <f t="shared" ref="L24" si="4">H24</f>
        <v>9660</v>
      </c>
      <c r="M24" s="26">
        <f t="shared" ref="M24" si="5">ROUND(L24*I24%,2)</f>
        <v>289.8</v>
      </c>
      <c r="N24" s="26">
        <f t="shared" ref="N24" si="6">H24-M24</f>
        <v>9370.2000000000007</v>
      </c>
      <c r="O24" s="26">
        <f t="shared" ref="O24" si="7">ROUND(N24*J24%,2)</f>
        <v>187.4</v>
      </c>
      <c r="P24" s="26">
        <f t="shared" ref="P24" si="8">ROUND(N24-O24,2)</f>
        <v>9182.7999999999993</v>
      </c>
      <c r="Q24" s="26">
        <f t="shared" ref="Q24" si="9">ROUND(P24*K24%,2)</f>
        <v>229.57</v>
      </c>
      <c r="R24" s="26">
        <f t="shared" ref="R24" si="10">ROUND((M24+O24+Q24),2)</f>
        <v>706.77</v>
      </c>
      <c r="S24" s="26">
        <f t="shared" ref="S24" si="11">ROUND((H24-R24),2)</f>
        <v>8953.23</v>
      </c>
      <c r="T24" s="55" t="s">
        <v>273</v>
      </c>
      <c r="U24" s="43">
        <v>0.18</v>
      </c>
      <c r="V24" s="26">
        <f t="shared" ref="V24" si="12">IF(OR($C$21=1,$C$21=4),ROUND(((S24*U24)/2),2),0)</f>
        <v>805.79</v>
      </c>
      <c r="W24" s="26">
        <f t="shared" ref="W24" si="13">IF($C$21=1,ROUND(((S24*U24)/2),2),0)</f>
        <v>805.79</v>
      </c>
      <c r="X24" s="26">
        <f t="shared" ref="X24" si="14">IF($C$21=2,ROUND(((S24*U24)),2),0)</f>
        <v>0</v>
      </c>
      <c r="Y24" s="26">
        <f t="shared" ref="Y24" si="15">IF($C$21=4,ROUND(((S24*U24)/2),2),0)</f>
        <v>0</v>
      </c>
      <c r="Z24" s="91">
        <v>0</v>
      </c>
      <c r="AA24" s="26">
        <f t="shared" ref="AA24" si="16">IF($C22=3, 0, ROUND(S24*Z24, 2))</f>
        <v>0</v>
      </c>
      <c r="AB24" s="25">
        <f t="shared" ref="AB24" si="17">V24+W24+X24+Y24+AA24</f>
        <v>1611.58</v>
      </c>
      <c r="AC24" s="25">
        <f t="shared" ref="AC24" si="18">IF($V22=1,S24+AB24,S24)</f>
        <v>8953.23</v>
      </c>
      <c r="AD24" s="55">
        <v>350</v>
      </c>
      <c r="AE24" s="55">
        <f>IF($P$21=1,(S24/$S$25)*$E$36,AD24/$AD$25*$E$36)</f>
        <v>0</v>
      </c>
      <c r="AF24" s="55"/>
      <c r="AG24" s="55">
        <f>IF($P$21=1,(S24/$S$25)*$E$38,AD24/$AD$25*$E$38)</f>
        <v>0</v>
      </c>
      <c r="AH24" s="55">
        <f>IF($P$21=1,(S24/$S$25)*$E$39,AD24/$AD$25*$E$39)</f>
        <v>0</v>
      </c>
      <c r="AI24" s="55">
        <f t="shared" si="1"/>
        <v>8953.23</v>
      </c>
      <c r="AJ24" s="55">
        <f t="shared" ref="AJ24" si="19">IF($C$21=3,0,AG24+AH24)</f>
        <v>0</v>
      </c>
      <c r="AK24" s="55">
        <f t="shared" si="2"/>
        <v>0</v>
      </c>
      <c r="AL24" s="82">
        <v>2</v>
      </c>
      <c r="AM24" s="55">
        <f>F24/AL24</f>
        <v>14</v>
      </c>
      <c r="AN24" s="55">
        <f t="shared" ref="AN24" si="20">ROUND(AI24/AM24,5)</f>
        <v>639.51643000000001</v>
      </c>
      <c r="AO24" s="55">
        <f t="shared" ref="AO24" si="21">AJ24/AM24</f>
        <v>0</v>
      </c>
      <c r="AP24" s="55">
        <f t="shared" ref="AP24" si="22">AK24/AM24</f>
        <v>0</v>
      </c>
      <c r="AQ24" s="55" t="s">
        <v>58</v>
      </c>
      <c r="AR24" s="55">
        <f t="shared" ref="AR24" si="23">ROUND(AN24+AO24+AP24,5)</f>
        <v>639.51643000000001</v>
      </c>
      <c r="AS24" s="48" t="s">
        <v>217</v>
      </c>
      <c r="AT24" s="48" t="s">
        <v>58</v>
      </c>
      <c r="AU24" t="s" s="0">
        <v>336</v>
      </c>
      <c r="AV24" t="s" s="0">
        <v>522</v>
      </c>
      <c r="AW24" s="48">
        <f>AM24</f>
        <v>14</v>
      </c>
      <c r="AX24" s="48">
        <f>AR24</f>
        <v>639.51643000000001</v>
      </c>
      <c r="AY24" s="48">
        <f>AU24+AW24</f>
        <v>14</v>
      </c>
      <c r="AZ24" s="48">
        <f>ROUND(((AU24*AV24)+(AW24*AX24))/(AU24+AW24),5)</f>
        <v>639.51643000000001</v>
      </c>
      <c r="BA24" s="50"/>
      <c r="BB24" s="50" t="s">
        <v>149</v>
      </c>
      <c r="BC24" s="80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122" t="s">
        <v>31</v>
      </c>
      <c r="BM24" t="s" s="0">
        <v>526</v>
      </c>
      <c r="BN24" t="s" s="0">
        <v>525</v>
      </c>
      <c r="BO24" s="48">
        <f>ROUND((((AW24*AZ24)+(BN24*BM24))/(AW24+BN24)),5)</f>
        <v>639.51643000000001</v>
      </c>
      <c r="BP24" s="53">
        <f>BN24+AW24</f>
        <v>56</v>
      </c>
      <c r="BQ24" s="54">
        <v>123562</v>
      </c>
    </row>
    <row r="25" spans="1:69" ht="15.75" thickBot="1">
      <c r="A25" s="16"/>
      <c r="C25" s="62" t="s">
        <v>87</v>
      </c>
      <c r="D25" s="28"/>
      <c r="E25" s="28"/>
      <c r="F25" s="28"/>
      <c r="G25" s="29"/>
      <c r="H25" s="30">
        <f>SUM(H23:H24)</f>
        <v>10785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778.32999999999993</v>
      </c>
      <c r="S25" s="30">
        <f>SUM(S23:S24)</f>
        <v>10006.67</v>
      </c>
      <c r="T25" s="30"/>
      <c r="U25" s="30"/>
      <c r="V25" s="39">
        <f t="shared" ref="V25:AE25" si="24">SUM(V23:V24)</f>
        <v>900.59999999999991</v>
      </c>
      <c r="W25" s="39">
        <f t="shared" si="24"/>
        <v>900.59999999999991</v>
      </c>
      <c r="X25" s="39">
        <f t="shared" si="24"/>
        <v>0</v>
      </c>
      <c r="Y25" s="39">
        <f t="shared" si="24"/>
        <v>0</v>
      </c>
      <c r="Z25" s="120">
        <f t="shared" si="24"/>
        <v>0</v>
      </c>
      <c r="AA25" s="39">
        <f t="shared" si="24"/>
        <v>0</v>
      </c>
      <c r="AB25" s="30">
        <f t="shared" si="24"/>
        <v>1801.1999999999998</v>
      </c>
      <c r="AC25" s="44">
        <f t="shared" si="24"/>
        <v>10196.289999999999</v>
      </c>
      <c r="AD25" s="45">
        <f t="shared" si="24"/>
        <v>470</v>
      </c>
      <c r="AE25" s="45">
        <f t="shared" si="24"/>
        <v>0</v>
      </c>
      <c r="AF25" s="44"/>
      <c r="AG25" s="45">
        <f>SUM(AG23:AG24)</f>
        <v>0</v>
      </c>
      <c r="AH25" s="45">
        <f>IF($P$21=1,(S25/$S$25)*$E$39,AD25/$AD$25*$E$39)</f>
        <v>0</v>
      </c>
      <c r="AI25" s="45">
        <f>SUM(AI23:AI24)</f>
        <v>10006.67</v>
      </c>
      <c r="AJ25" s="45">
        <f>SUM(AJ23:AJ24)</f>
        <v>0</v>
      </c>
      <c r="AK25" s="45">
        <f>SUM(AK23:AK24)</f>
        <v>0</v>
      </c>
      <c r="AL25" s="44"/>
      <c r="AM25" s="44"/>
      <c r="AN25" s="44"/>
      <c r="AO25" s="44"/>
      <c r="AP25" s="44"/>
      <c r="AQ25" s="44"/>
      <c r="AR25" s="44"/>
      <c r="AS25" s="16"/>
      <c r="AT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</row>
    <row r="26" spans="1:69" ht="15.75" thickBo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</row>
    <row r="27" spans="1:69" ht="15.75" thickBot="1">
      <c r="A27" s="16"/>
      <c r="B27" s="16"/>
      <c r="C27" s="16"/>
      <c r="D27" s="16"/>
      <c r="E27" s="16"/>
      <c r="F27" s="16"/>
      <c r="G27" s="156" t="s">
        <v>194</v>
      </c>
      <c r="H27" s="157"/>
      <c r="I27" s="158">
        <f>H25</f>
        <v>10785</v>
      </c>
      <c r="J27" s="158"/>
      <c r="K27" s="65"/>
      <c r="L27" s="16"/>
      <c r="M27" s="159" t="s">
        <v>195</v>
      </c>
      <c r="N27" s="160"/>
      <c r="O27" s="160"/>
      <c r="P27" s="161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 t="s">
        <v>278</v>
      </c>
      <c r="BI27" s="108" t="s">
        <v>279</v>
      </c>
      <c r="BJ27" s="16"/>
      <c r="BK27" s="16"/>
      <c r="BL27" s="16"/>
      <c r="BM27" s="16"/>
      <c r="BN27" s="16"/>
      <c r="BO27" s="16"/>
    </row>
    <row r="28" spans="1:69" ht="15.75" thickBot="1">
      <c r="A28" s="16"/>
      <c r="B28" s="16"/>
      <c r="C28" s="16"/>
      <c r="D28" s="16"/>
      <c r="E28" s="16"/>
      <c r="F28" s="16"/>
      <c r="G28" s="156" t="s">
        <v>196</v>
      </c>
      <c r="H28" s="157"/>
      <c r="I28" s="158">
        <f>R25</f>
        <v>778.32999999999993</v>
      </c>
      <c r="J28" s="158"/>
      <c r="K28" s="16"/>
      <c r="L28" s="16"/>
      <c r="M28" s="66">
        <v>1</v>
      </c>
      <c r="N28" s="66" t="s">
        <v>58</v>
      </c>
      <c r="O28" s="66">
        <v>2</v>
      </c>
      <c r="P28" s="66" t="s">
        <v>163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 t="s">
        <v>280</v>
      </c>
      <c r="BI28" s="108" t="s">
        <v>281</v>
      </c>
      <c r="BJ28" s="16"/>
      <c r="BK28" s="16"/>
      <c r="BL28" s="16"/>
      <c r="BM28" s="16"/>
      <c r="BN28" s="16"/>
      <c r="BO28" s="16"/>
    </row>
    <row r="29" spans="1:69" ht="15.75" thickBot="1">
      <c r="A29" s="16"/>
      <c r="B29" s="16"/>
      <c r="C29" s="16"/>
      <c r="D29" s="16"/>
      <c r="E29" s="16"/>
      <c r="F29" s="16"/>
      <c r="G29" s="156" t="s">
        <v>197</v>
      </c>
      <c r="H29" s="157"/>
      <c r="I29" s="158">
        <f>S25</f>
        <v>10006.67</v>
      </c>
      <c r="J29" s="158"/>
      <c r="K29" s="16"/>
      <c r="L29" s="16"/>
      <c r="M29" s="25">
        <v>1</v>
      </c>
      <c r="N29" s="25" t="s">
        <v>58</v>
      </c>
      <c r="O29" s="25">
        <v>2.5</v>
      </c>
      <c r="P29" s="25" t="s">
        <v>176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</row>
    <row r="30" spans="1:69" ht="15.75" thickBot="1">
      <c r="A30" s="16"/>
      <c r="B30" s="16"/>
      <c r="C30" s="16"/>
      <c r="D30" s="16"/>
      <c r="E30" s="16"/>
      <c r="F30" s="16"/>
      <c r="G30" s="156" t="s">
        <v>198</v>
      </c>
      <c r="H30" s="157"/>
      <c r="I30" s="158">
        <f>AB25</f>
        <v>1801.1999999999998</v>
      </c>
      <c r="J30" s="158"/>
      <c r="K30" s="16"/>
      <c r="L30" s="16"/>
      <c r="M30" s="25">
        <v>1</v>
      </c>
      <c r="N30" s="25" t="s">
        <v>163</v>
      </c>
      <c r="O30" s="25">
        <v>1E-3</v>
      </c>
      <c r="P30" s="25" t="s">
        <v>185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</row>
    <row r="31" spans="1:69" ht="15.75" thickBot="1">
      <c r="A31" s="16"/>
      <c r="B31" s="16"/>
      <c r="C31" s="16"/>
      <c r="D31" s="16"/>
      <c r="E31" s="16"/>
      <c r="F31" s="16"/>
      <c r="G31" s="156" t="s">
        <v>199</v>
      </c>
      <c r="H31" s="157"/>
      <c r="I31" s="162">
        <f>I29+I30</f>
        <v>11807.869999999999</v>
      </c>
      <c r="J31" s="162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</row>
    <row r="32" spans="1:6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 t="s">
        <v>282</v>
      </c>
      <c r="BN32" s="16" t="s">
        <v>283</v>
      </c>
      <c r="BO32" s="16"/>
    </row>
    <row r="33" spans="1:67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 t="s">
        <v>284</v>
      </c>
      <c r="BL33" s="16">
        <v>12.5</v>
      </c>
      <c r="BM33" s="16">
        <f>BL35*BL36</f>
        <v>18277.77</v>
      </c>
      <c r="BN33" s="16">
        <f>BL33*BL34</f>
        <v>6092.59</v>
      </c>
      <c r="BO33" s="16"/>
    </row>
    <row r="34" spans="1:67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 t="s">
        <v>285</v>
      </c>
      <c r="BL34" s="16">
        <v>487.40719999999999</v>
      </c>
      <c r="BM34" s="16">
        <f>BL33+BL35</f>
        <v>50</v>
      </c>
      <c r="BN34" s="16"/>
      <c r="BO34" s="16"/>
    </row>
    <row r="35" spans="1:67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 t="s">
        <v>286</v>
      </c>
      <c r="BL35" s="16">
        <v>37.5</v>
      </c>
      <c r="BM35" s="16"/>
      <c r="BN35" s="16"/>
      <c r="BO35" s="16"/>
    </row>
    <row r="36" spans="1:67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 t="s">
        <v>287</v>
      </c>
      <c r="BL36" s="16">
        <v>487.40719999999999</v>
      </c>
      <c r="BM36" s="16"/>
      <c r="BN36" s="16"/>
      <c r="BO36" s="16"/>
    </row>
    <row r="37" spans="1:6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>
        <f>BM33+BN33</f>
        <v>24370.36</v>
      </c>
      <c r="BN37" s="16">
        <f>BM37/BM34</f>
        <v>487.40719999999999</v>
      </c>
      <c r="BO37" s="16"/>
    </row>
    <row r="38" spans="1:67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</row>
    <row r="39" spans="1:67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</row>
  </sheetData>
  <mergeCells count="14">
    <mergeCell ref="G31:H31"/>
    <mergeCell ref="I31:J31"/>
    <mergeCell ref="G28:H28"/>
    <mergeCell ref="I28:J28"/>
    <mergeCell ref="G29:H29"/>
    <mergeCell ref="I29:J29"/>
    <mergeCell ref="G30:H30"/>
    <mergeCell ref="I30:J30"/>
    <mergeCell ref="A1:AC1"/>
    <mergeCell ref="B19:G19"/>
    <mergeCell ref="A21:B21"/>
    <mergeCell ref="G27:H27"/>
    <mergeCell ref="I27:J27"/>
    <mergeCell ref="M27:P27"/>
  </mergeCells>
  <pageMargins left="0.7" right="0.7" top="0.75" bottom="0.75" header="0.3" footer="0.3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>
  <dimension ref="A1:BQ39"/>
  <sheetViews>
    <sheetView topLeftCell="AY13" workbookViewId="0">
      <selection activeCell="E27" sqref="E27"/>
    </sheetView>
  </sheetViews>
  <sheetFormatPr defaultColWidth="9" defaultRowHeight="15"/>
  <cols>
    <col min="2" max="2" customWidth="true" width="23.5703125"/>
    <col min="4" max="4" bestFit="true" customWidth="true" width="72.42578125"/>
    <col min="11" max="11" customWidth="true" width="6.140625"/>
    <col min="29" max="29" bestFit="true" customWidth="true" width="11.5703125"/>
    <col min="35" max="35" customWidth="true" width="14.28515625"/>
    <col min="36" max="36" customWidth="true" width="17.5703125"/>
    <col min="37" max="37" bestFit="true" customWidth="true" width="13.42578125"/>
    <col min="38" max="38" bestFit="true" customWidth="true" width="13.5703125"/>
    <col min="45" max="45" customWidth="true" width="9.42578125"/>
    <col min="47" max="47" customWidth="true" width="15.28515625"/>
    <col min="48" max="48" customWidth="true" width="20.28515625"/>
    <col min="50" max="50" bestFit="true" customWidth="true" width="16.28515625"/>
    <col min="51" max="51" customWidth="true" width="13.85546875"/>
    <col min="52" max="52" customWidth="true" width="18.85546875"/>
    <col min="54" max="57" customWidth="true" width="21.7109375"/>
    <col min="58" max="58" customWidth="true" width="16.5703125"/>
    <col min="59" max="59" customWidth="true" width="13.7109375"/>
    <col min="60" max="60" customWidth="true" width="12.42578125"/>
    <col min="63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67" ht="18.75" thickBot="1">
      <c r="A1" s="154" t="s">
        <v>154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</row>
    <row r="2" spans="1:67" ht="18.75" thickBot="1">
      <c r="A2" s="121" t="s">
        <v>47</v>
      </c>
      <c r="B2" s="121"/>
      <c r="C2" s="121"/>
      <c r="D2" s="121"/>
      <c r="E2" s="121"/>
      <c r="F2" s="121"/>
      <c r="G2" s="121"/>
      <c r="H2" s="121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</row>
    <row r="3" spans="1:67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</row>
    <row r="4" spans="1:67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</row>
    <row r="5" spans="1:67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</row>
    <row r="6" spans="1:67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</row>
    <row r="7" spans="1:67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</row>
    <row r="8" spans="1:67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</row>
    <row r="9" spans="1:67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</row>
    <row r="10" spans="1:67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</row>
    <row r="11" spans="1:67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</row>
    <row r="12" spans="1:67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</row>
    <row r="13" spans="1:67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</row>
    <row r="14" spans="1:67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</row>
    <row r="15" spans="1:67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</row>
    <row r="16" spans="1:67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</row>
    <row r="17" spans="1:69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</row>
    <row r="18" spans="1:69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</row>
    <row r="19" spans="1:69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</row>
    <row r="20" spans="1:69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</row>
    <row r="21" spans="1:69" ht="15.75" thickBot="1">
      <c r="A21" s="151" t="s">
        <v>89</v>
      </c>
      <c r="B21" s="151"/>
      <c r="C21" s="20">
        <v>2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2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</row>
    <row r="22" spans="1:69" ht="58.5" thickTop="1" thickBot="1">
      <c r="A22" s="61" t="s">
        <v>155</v>
      </c>
      <c r="B22" s="61" t="s">
        <v>49</v>
      </c>
      <c r="C22" s="61" t="s">
        <v>156</v>
      </c>
      <c r="D22" s="61" t="s">
        <v>51</v>
      </c>
      <c r="E22" s="61" t="s">
        <v>52</v>
      </c>
      <c r="F22" s="61" t="s">
        <v>53</v>
      </c>
      <c r="G22" s="61" t="s">
        <v>54</v>
      </c>
      <c r="H22" s="61" t="s">
        <v>55</v>
      </c>
      <c r="I22" s="63" t="s">
        <v>97</v>
      </c>
      <c r="J22" s="63" t="s">
        <v>99</v>
      </c>
      <c r="K22" s="63" t="s">
        <v>98</v>
      </c>
      <c r="L22" s="64" t="s">
        <v>100</v>
      </c>
      <c r="M22" s="64" t="s">
        <v>101</v>
      </c>
      <c r="N22" s="64" t="s">
        <v>104</v>
      </c>
      <c r="O22" s="64" t="s">
        <v>105</v>
      </c>
      <c r="P22" s="64" t="s">
        <v>157</v>
      </c>
      <c r="Q22" s="64" t="s">
        <v>103</v>
      </c>
      <c r="R22" s="63" t="s">
        <v>106</v>
      </c>
      <c r="S22" s="61" t="s">
        <v>158</v>
      </c>
      <c r="T22" s="61" t="s">
        <v>108</v>
      </c>
      <c r="U22" s="67" t="s">
        <v>159</v>
      </c>
      <c r="V22" s="67" t="s">
        <v>110</v>
      </c>
      <c r="W22" s="67" t="s">
        <v>111</v>
      </c>
      <c r="X22" s="67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69" t="s">
        <v>114</v>
      </c>
      <c r="AD22" s="69" t="s">
        <v>115</v>
      </c>
      <c r="AE22" s="69" t="s">
        <v>116</v>
      </c>
      <c r="AF22" s="69" t="s">
        <v>117</v>
      </c>
      <c r="AG22" s="69" t="s">
        <v>118</v>
      </c>
      <c r="AH22" s="69" t="s">
        <v>119</v>
      </c>
      <c r="AI22" s="69" t="s">
        <v>120</v>
      </c>
      <c r="AJ22" s="69" t="s">
        <v>121</v>
      </c>
      <c r="AK22" s="69" t="s">
        <v>122</v>
      </c>
      <c r="AL22" s="69" t="s">
        <v>123</v>
      </c>
      <c r="AM22" s="69" t="s">
        <v>124</v>
      </c>
      <c r="AN22" s="69" t="s">
        <v>125</v>
      </c>
      <c r="AO22" s="69" t="s">
        <v>126</v>
      </c>
      <c r="AP22" s="69" t="s">
        <v>127</v>
      </c>
      <c r="AQ22" s="69" t="s">
        <v>128</v>
      </c>
      <c r="AR22" s="70" t="s">
        <v>160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69" ht="15.75" thickBot="1">
      <c r="A23" s="25">
        <v>1</v>
      </c>
      <c r="B23" s="25" t="s">
        <v>301</v>
      </c>
      <c r="C23" s="25" t="s">
        <v>162</v>
      </c>
      <c r="D23" s="25" t="s">
        <v>58</v>
      </c>
      <c r="E23" s="25" t="s">
        <v>163</v>
      </c>
      <c r="F23" s="26">
        <v>25</v>
      </c>
      <c r="G23" s="26">
        <v>257.63</v>
      </c>
      <c r="H23" s="26">
        <f>F23*G23</f>
        <v>6440.75</v>
      </c>
      <c r="I23" s="26">
        <v>1</v>
      </c>
      <c r="J23" s="26">
        <v>2</v>
      </c>
      <c r="K23" s="26">
        <v>2.5</v>
      </c>
      <c r="L23" s="26">
        <f>H23</f>
        <v>6440.75</v>
      </c>
      <c r="M23" s="26">
        <f>ROUND(L23*I23%,2)</f>
        <v>64.41</v>
      </c>
      <c r="N23" s="26">
        <f>H23-M23</f>
        <v>6376.34</v>
      </c>
      <c r="O23" s="26">
        <f>ROUND(N23*J23%,2)</f>
        <v>127.53</v>
      </c>
      <c r="P23" s="26">
        <f>ROUND(N23-O23,2)</f>
        <v>6248.81</v>
      </c>
      <c r="Q23" s="26">
        <f>ROUND(P23*K23%,2)</f>
        <v>156.22</v>
      </c>
      <c r="R23" s="26">
        <f>ROUND((M23+O23+Q23),2)</f>
        <v>348.16</v>
      </c>
      <c r="S23" s="26">
        <f>ROUND((H23-R23),2)</f>
        <v>6092.59</v>
      </c>
      <c r="T23" s="55" t="s">
        <v>146</v>
      </c>
      <c r="U23" s="43">
        <v>0.18</v>
      </c>
      <c r="V23" s="26">
        <f>IF(OR($C$21=1,$C$21=4),ROUND(((S23*U23)/2),2),0)</f>
        <v>0</v>
      </c>
      <c r="W23" s="26">
        <f>IF($C$21=1,ROUND(((S23*U23)/2),2),0)</f>
        <v>0</v>
      </c>
      <c r="X23" s="26">
        <f>IF($C$21=2,ROUND(((S23*U23)),2),0)</f>
        <v>1096.67</v>
      </c>
      <c r="Y23" s="26">
        <f>IF($C$21=4,ROUND(((S23*U23)/2),2),0)</f>
        <v>0</v>
      </c>
      <c r="Z23" s="91">
        <v>0</v>
      </c>
      <c r="AA23" s="26">
        <f>IF($C21=3, 0, ROUND(S23*Z23, 2))</f>
        <v>0</v>
      </c>
      <c r="AB23" s="25">
        <f>V23+W23+X23+Y23+AA23</f>
        <v>1096.67</v>
      </c>
      <c r="AC23" s="25">
        <f>IF($V21=1,S23+AB23,S23)</f>
        <v>7189.26</v>
      </c>
      <c r="AD23" s="55">
        <v>120</v>
      </c>
      <c r="AE23" s="55">
        <f>IF($P$21=1,(S23/$S$25)*$E$36,AD23/$AD$25*$E$36)</f>
        <v>0</v>
      </c>
      <c r="AF23" s="55"/>
      <c r="AG23" s="55">
        <f>IF($P$21=1,(S23/$S$25)*$E$38,AD23/$AD$25*$E$38)</f>
        <v>0</v>
      </c>
      <c r="AH23" s="55">
        <f>IF($P$21=1,(S23/$S$25)*$E$39,AD23/$AD$25*$E$39)</f>
        <v>0</v>
      </c>
      <c r="AI23" s="55">
        <f t="shared" ref="AI23:AI24" si="1">S23*$M$21</f>
        <v>6092.59</v>
      </c>
      <c r="AJ23" s="55">
        <f>IF($C$21=3,0,AG23+AH23)</f>
        <v>0</v>
      </c>
      <c r="AK23" s="55">
        <f t="shared" ref="AK23:AK24" si="2">IF($C$21=3,AE23+AG23+AH23,0)</f>
        <v>0</v>
      </c>
      <c r="AL23" s="82">
        <v>2</v>
      </c>
      <c r="AM23" s="55">
        <f>F23/AL23</f>
        <v>12.5</v>
      </c>
      <c r="AN23" s="55">
        <f>ROUND(AI23/AM23,5)</f>
        <v>487.40719999999999</v>
      </c>
      <c r="AO23" s="55">
        <f>AJ23/AM23</f>
        <v>0</v>
      </c>
      <c r="AP23" s="55">
        <f>AK23/AM23</f>
        <v>0</v>
      </c>
      <c r="AQ23" s="55" t="s">
        <v>58</v>
      </c>
      <c r="AR23" s="55">
        <f>ROUND(AN23+AO23+AP23,5)</f>
        <v>487.40719999999999</v>
      </c>
      <c r="AS23" s="48" t="s">
        <v>217</v>
      </c>
      <c r="AT23" s="48" t="s">
        <v>58</v>
      </c>
      <c r="AU23" t="s" s="0">
        <v>372</v>
      </c>
      <c r="AV23" t="s" s="0">
        <v>500</v>
      </c>
      <c r="AW23" s="48">
        <f>AM23</f>
        <v>12.5</v>
      </c>
      <c r="AX23" s="48">
        <f>AR23</f>
        <v>487.40719999999999</v>
      </c>
      <c r="AY23" s="48">
        <f>AU23+AW23</f>
        <v>12.5</v>
      </c>
      <c r="AZ23" s="48">
        <f>ROUND(((AU23*AV23)+(AW23*AX23))/(AU23+AW23),5)</f>
        <v>1220.52478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122" t="s">
        <v>259</v>
      </c>
      <c r="BM23" t="s" s="0">
        <v>219</v>
      </c>
      <c r="BN23" t="s" s="0">
        <v>219</v>
      </c>
      <c r="BO23" s="48">
        <f>ROUND((((AW23*AZ23)+(BN23*BM23))/(AW23+BN23)),5)</f>
        <v>1220.52478</v>
      </c>
      <c r="BP23" s="53">
        <f>BN23+AW23</f>
        <v>300</v>
      </c>
      <c r="BQ23" s="54">
        <v>123562</v>
      </c>
    </row>
    <row r="24" spans="1:69" ht="15.75" thickBot="1">
      <c r="A24" s="25">
        <v>2</v>
      </c>
      <c r="B24" s="25" t="s">
        <v>302</v>
      </c>
      <c r="C24" s="25" t="s">
        <v>175</v>
      </c>
      <c r="D24" s="25" t="s">
        <v>58</v>
      </c>
      <c r="E24" s="25" t="s">
        <v>163</v>
      </c>
      <c r="F24" s="26">
        <v>28</v>
      </c>
      <c r="G24" s="26">
        <v>150.5</v>
      </c>
      <c r="H24" s="26">
        <f t="shared" ref="H24" si="3">F24*G24</f>
        <v>4214</v>
      </c>
      <c r="I24" s="26">
        <v>1</v>
      </c>
      <c r="J24" s="26">
        <v>2</v>
      </c>
      <c r="K24" s="26">
        <v>2.5</v>
      </c>
      <c r="L24" s="26">
        <f t="shared" ref="L24" si="4">H24</f>
        <v>4214</v>
      </c>
      <c r="M24" s="26">
        <f t="shared" ref="M24" si="5">ROUND(L24*I24%,2)</f>
        <v>42.14</v>
      </c>
      <c r="N24" s="26">
        <f t="shared" ref="N24" si="6">H24-M24</f>
        <v>4171.8599999999997</v>
      </c>
      <c r="O24" s="26">
        <f t="shared" ref="O24" si="7">ROUND(N24*J24%,2)</f>
        <v>83.44</v>
      </c>
      <c r="P24" s="26">
        <f t="shared" ref="P24" si="8">ROUND(N24-O24,2)</f>
        <v>4088.42</v>
      </c>
      <c r="Q24" s="26">
        <f t="shared" ref="Q24" si="9">ROUND(P24*K24%,2)</f>
        <v>102.21</v>
      </c>
      <c r="R24" s="26">
        <f t="shared" ref="R24" si="10">ROUND((M24+O24+Q24),2)</f>
        <v>227.79</v>
      </c>
      <c r="S24" s="26">
        <f t="shared" ref="S24" si="11">ROUND((H24-R24),2)</f>
        <v>3986.21</v>
      </c>
      <c r="T24" s="55" t="s">
        <v>273</v>
      </c>
      <c r="U24" s="43">
        <v>0.18</v>
      </c>
      <c r="V24" s="26">
        <f t="shared" ref="V24" si="12">IF(OR($C$21=1,$C$21=4),ROUND(((S24*U24)/2),2),0)</f>
        <v>0</v>
      </c>
      <c r="W24" s="26">
        <f t="shared" ref="W24" si="13">IF($C$21=1,ROUND(((S24*U24)/2),2),0)</f>
        <v>0</v>
      </c>
      <c r="X24" s="26">
        <f t="shared" ref="X24" si="14">IF($C$21=2,ROUND(((S24*U24)),2),0)</f>
        <v>717.52</v>
      </c>
      <c r="Y24" s="26">
        <f t="shared" ref="Y24" si="15">IF($C$21=4,ROUND(((S24*U24)/2),2),0)</f>
        <v>0</v>
      </c>
      <c r="Z24" s="91">
        <v>0</v>
      </c>
      <c r="AA24" s="26">
        <f t="shared" ref="AA24" si="16">IF($C22=3, 0, ROUND(S24*Z24, 2))</f>
        <v>0</v>
      </c>
      <c r="AB24" s="25">
        <f t="shared" ref="AB24" si="17">V24+W24+X24+Y24+AA24</f>
        <v>717.52</v>
      </c>
      <c r="AC24" s="25">
        <f t="shared" ref="AC24" si="18">IF($V22=1,S24+AB24,S24)</f>
        <v>3986.21</v>
      </c>
      <c r="AD24" s="55">
        <v>350</v>
      </c>
      <c r="AE24" s="55">
        <f>IF($P$21=1,(S24/$S$25)*$E$36,AD24/$AD$25*$E$36)</f>
        <v>0</v>
      </c>
      <c r="AF24" s="55"/>
      <c r="AG24" s="55">
        <f>IF($P$21=1,(S24/$S$25)*$E$38,AD24/$AD$25*$E$38)</f>
        <v>0</v>
      </c>
      <c r="AH24" s="55">
        <f>IF($P$21=1,(S24/$S$25)*$E$39,AD24/$AD$25*$E$39)</f>
        <v>0</v>
      </c>
      <c r="AI24" s="55">
        <f t="shared" si="1"/>
        <v>3986.21</v>
      </c>
      <c r="AJ24" s="55">
        <f t="shared" ref="AJ24" si="19">IF($C$21=3,0,AG24+AH24)</f>
        <v>0</v>
      </c>
      <c r="AK24" s="55">
        <f t="shared" si="2"/>
        <v>0</v>
      </c>
      <c r="AL24" s="82">
        <v>2</v>
      </c>
      <c r="AM24" s="55">
        <f>F24/AL24</f>
        <v>14</v>
      </c>
      <c r="AN24" s="55">
        <f t="shared" ref="AN24" si="20">ROUND(AI24/AM24,5)</f>
        <v>284.72928999999999</v>
      </c>
      <c r="AO24" s="55">
        <f t="shared" ref="AO24" si="21">AJ24/AM24</f>
        <v>0</v>
      </c>
      <c r="AP24" s="55">
        <f t="shared" ref="AP24" si="22">AK24/AM24</f>
        <v>0</v>
      </c>
      <c r="AQ24" s="55" t="s">
        <v>58</v>
      </c>
      <c r="AR24" s="55">
        <f t="shared" ref="AR24" si="23">ROUND(AN24+AO24+AP24,5)</f>
        <v>284.72928999999999</v>
      </c>
      <c r="AS24" s="48" t="s">
        <v>217</v>
      </c>
      <c r="AT24" s="48" t="s">
        <v>58</v>
      </c>
      <c r="AU24" t="s" s="0">
        <v>378</v>
      </c>
      <c r="AV24" t="s" s="0">
        <v>501</v>
      </c>
      <c r="AW24" s="48">
        <f>AM24</f>
        <v>14</v>
      </c>
      <c r="AX24" s="48">
        <f>AR24</f>
        <v>284.72928999999999</v>
      </c>
      <c r="AY24" s="48">
        <f>AU24+AW24</f>
        <v>130.67000000000002</v>
      </c>
      <c r="AZ24" s="48">
        <f>ROUND(((AU24*AV24)+(AW24*AX24))/(AU24+AW24),5)</f>
        <v>1548.17093</v>
      </c>
      <c r="BA24" s="50"/>
      <c r="BB24" s="50" t="s">
        <v>149</v>
      </c>
      <c r="BC24" s="80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122" t="s">
        <v>259</v>
      </c>
      <c r="BM24" t="s" s="0">
        <v>219</v>
      </c>
      <c r="BN24" t="s" s="0">
        <v>219</v>
      </c>
      <c r="BO24" s="48">
        <f>ROUND((((AW24*AZ24)+(BN24*BM24))/(AW24+BN24)),5)</f>
        <v>1548.17093</v>
      </c>
      <c r="BP24" s="53">
        <f>BN24+AW24</f>
        <v>14</v>
      </c>
      <c r="BQ24" s="54">
        <v>123562</v>
      </c>
    </row>
    <row r="25" spans="1:69" ht="15.75" thickBot="1">
      <c r="A25" s="16"/>
      <c r="C25" s="62" t="s">
        <v>87</v>
      </c>
      <c r="D25" s="28"/>
      <c r="E25" s="28"/>
      <c r="F25" s="28"/>
      <c r="G25" s="29"/>
      <c r="H25" s="30">
        <f>SUM(H23:H24)</f>
        <v>10654.75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575.95000000000005</v>
      </c>
      <c r="S25" s="30">
        <f>SUM(S23:S24)</f>
        <v>10078.799999999999</v>
      </c>
      <c r="T25" s="30"/>
      <c r="U25" s="30"/>
      <c r="V25" s="39">
        <f t="shared" ref="V25:AE25" si="24">SUM(V23:V24)</f>
        <v>0</v>
      </c>
      <c r="W25" s="39">
        <f t="shared" si="24"/>
        <v>0</v>
      </c>
      <c r="X25" s="39">
        <f t="shared" si="24"/>
        <v>1814.19</v>
      </c>
      <c r="Y25" s="39">
        <f t="shared" si="24"/>
        <v>0</v>
      </c>
      <c r="Z25" s="120">
        <f t="shared" si="24"/>
        <v>0</v>
      </c>
      <c r="AA25" s="39">
        <f t="shared" si="24"/>
        <v>0</v>
      </c>
      <c r="AB25" s="30">
        <f t="shared" si="24"/>
        <v>1814.19</v>
      </c>
      <c r="AC25" s="44">
        <f t="shared" si="24"/>
        <v>11175.470000000001</v>
      </c>
      <c r="AD25" s="45">
        <f t="shared" si="24"/>
        <v>470</v>
      </c>
      <c r="AE25" s="45">
        <f t="shared" si="24"/>
        <v>0</v>
      </c>
      <c r="AF25" s="44"/>
      <c r="AG25" s="45">
        <f>SUM(AG23:AG24)</f>
        <v>0</v>
      </c>
      <c r="AH25" s="45">
        <f>IF($P$21=1,(S25/$S$25)*$E$39,AD25/$AD$25*$E$39)</f>
        <v>0</v>
      </c>
      <c r="AI25" s="45">
        <f>SUM(AI23:AI24)</f>
        <v>10078.799999999999</v>
      </c>
      <c r="AJ25" s="45">
        <f>SUM(AJ23:AJ24)</f>
        <v>0</v>
      </c>
      <c r="AK25" s="45">
        <f>SUM(AK23:AK24)</f>
        <v>0</v>
      </c>
      <c r="AL25" s="44"/>
      <c r="AM25" s="44"/>
      <c r="AN25" s="44"/>
      <c r="AO25" s="44"/>
      <c r="AP25" s="44"/>
      <c r="AQ25" s="44"/>
      <c r="AR25" s="44"/>
      <c r="AS25" s="16"/>
      <c r="AT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</row>
    <row r="26" spans="1:69" ht="15.75" thickBo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</row>
    <row r="27" spans="1:69" ht="15.75" thickBot="1">
      <c r="A27" s="16"/>
      <c r="B27" s="16"/>
      <c r="C27" s="16"/>
      <c r="D27" s="16"/>
      <c r="E27" s="16"/>
      <c r="F27" s="16"/>
      <c r="G27" s="156" t="s">
        <v>194</v>
      </c>
      <c r="H27" s="157"/>
      <c r="I27" s="158">
        <f>H25</f>
        <v>10654.75</v>
      </c>
      <c r="J27" s="158"/>
      <c r="K27" s="65"/>
      <c r="L27" s="16"/>
      <c r="M27" s="159" t="s">
        <v>195</v>
      </c>
      <c r="N27" s="160"/>
      <c r="O27" s="160"/>
      <c r="P27" s="161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 t="s">
        <v>278</v>
      </c>
      <c r="BI27" s="108" t="s">
        <v>279</v>
      </c>
      <c r="BJ27" s="16"/>
      <c r="BK27" s="16"/>
      <c r="BL27" s="16"/>
      <c r="BM27" s="16"/>
      <c r="BN27" s="16"/>
      <c r="BO27" s="16"/>
    </row>
    <row r="28" spans="1:69" ht="15.75" thickBot="1">
      <c r="A28" s="16"/>
      <c r="B28" s="16"/>
      <c r="C28" s="16"/>
      <c r="D28" s="16"/>
      <c r="E28" s="16"/>
      <c r="F28" s="16"/>
      <c r="G28" s="156" t="s">
        <v>196</v>
      </c>
      <c r="H28" s="157"/>
      <c r="I28" s="158">
        <f>R25</f>
        <v>575.95000000000005</v>
      </c>
      <c r="J28" s="158"/>
      <c r="K28" s="16"/>
      <c r="L28" s="16"/>
      <c r="M28" s="66">
        <v>1</v>
      </c>
      <c r="N28" s="66" t="s">
        <v>58</v>
      </c>
      <c r="O28" s="66">
        <v>2</v>
      </c>
      <c r="P28" s="66" t="s">
        <v>163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 t="s">
        <v>280</v>
      </c>
      <c r="BI28" s="108" t="s">
        <v>281</v>
      </c>
      <c r="BJ28" s="16"/>
      <c r="BK28" s="16"/>
      <c r="BL28" s="16"/>
      <c r="BM28" s="16"/>
      <c r="BN28" s="16"/>
      <c r="BO28" s="16"/>
    </row>
    <row r="29" spans="1:69" ht="15.75" thickBot="1">
      <c r="A29" s="16"/>
      <c r="B29" s="16"/>
      <c r="C29" s="16"/>
      <c r="D29" s="16"/>
      <c r="E29" s="16"/>
      <c r="F29" s="16"/>
      <c r="G29" s="156" t="s">
        <v>197</v>
      </c>
      <c r="H29" s="157"/>
      <c r="I29" s="158">
        <f>S25</f>
        <v>10078.799999999999</v>
      </c>
      <c r="J29" s="158"/>
      <c r="K29" s="16"/>
      <c r="L29" s="16"/>
      <c r="M29" s="25">
        <v>1</v>
      </c>
      <c r="N29" s="25" t="s">
        <v>58</v>
      </c>
      <c r="O29" s="25">
        <v>2.5</v>
      </c>
      <c r="P29" s="25" t="s">
        <v>176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</row>
    <row r="30" spans="1:69" ht="15.75" thickBot="1">
      <c r="A30" s="16"/>
      <c r="B30" s="16"/>
      <c r="C30" s="16"/>
      <c r="D30" s="16"/>
      <c r="E30" s="16"/>
      <c r="F30" s="16"/>
      <c r="G30" s="156" t="s">
        <v>198</v>
      </c>
      <c r="H30" s="157"/>
      <c r="I30" s="158">
        <f>AB25</f>
        <v>1814.19</v>
      </c>
      <c r="J30" s="158"/>
      <c r="K30" s="16"/>
      <c r="L30" s="16"/>
      <c r="M30" s="25">
        <v>1</v>
      </c>
      <c r="N30" s="25" t="s">
        <v>163</v>
      </c>
      <c r="O30" s="25">
        <v>1E-3</v>
      </c>
      <c r="P30" s="25" t="s">
        <v>185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</row>
    <row r="31" spans="1:69" ht="15.75" thickBot="1">
      <c r="A31" s="16"/>
      <c r="B31" s="16"/>
      <c r="C31" s="16"/>
      <c r="D31" s="16"/>
      <c r="E31" s="16"/>
      <c r="F31" s="16"/>
      <c r="G31" s="156" t="s">
        <v>199</v>
      </c>
      <c r="H31" s="157"/>
      <c r="I31" s="162">
        <f>I29+I30</f>
        <v>11892.99</v>
      </c>
      <c r="J31" s="162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</row>
    <row r="32" spans="1:6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 t="s">
        <v>282</v>
      </c>
      <c r="BN32" s="16" t="s">
        <v>283</v>
      </c>
      <c r="BO32" s="16"/>
    </row>
    <row r="33" spans="1:67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 t="s">
        <v>284</v>
      </c>
      <c r="BL33" s="16">
        <v>12.5</v>
      </c>
      <c r="BM33" s="16">
        <f>BL35*BL36</f>
        <v>18277.77</v>
      </c>
      <c r="BN33" s="16">
        <f>BL33*BL34</f>
        <v>6092.59</v>
      </c>
      <c r="BO33" s="16"/>
    </row>
    <row r="34" spans="1:67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 t="s">
        <v>285</v>
      </c>
      <c r="BL34" s="16">
        <v>487.40719999999999</v>
      </c>
      <c r="BM34" s="16">
        <f>BL33+BL35</f>
        <v>50</v>
      </c>
      <c r="BN34" s="16"/>
      <c r="BO34" s="16"/>
    </row>
    <row r="35" spans="1:67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 t="s">
        <v>286</v>
      </c>
      <c r="BL35" s="16">
        <v>37.5</v>
      </c>
      <c r="BM35" s="16"/>
      <c r="BN35" s="16"/>
      <c r="BO35" s="16"/>
    </row>
    <row r="36" spans="1:67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 t="s">
        <v>287</v>
      </c>
      <c r="BL36" s="16">
        <v>487.40719999999999</v>
      </c>
      <c r="BM36" s="16"/>
      <c r="BN36" s="16"/>
      <c r="BO36" s="16"/>
    </row>
    <row r="37" spans="1:6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>
        <f>BM33+BN33</f>
        <v>24370.36</v>
      </c>
      <c r="BN37" s="16">
        <f>BM37/BM34</f>
        <v>487.40719999999999</v>
      </c>
      <c r="BO37" s="16"/>
    </row>
    <row r="38" spans="1:67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</row>
    <row r="39" spans="1:67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</row>
  </sheetData>
  <mergeCells count="14">
    <mergeCell ref="G31:H31"/>
    <mergeCell ref="I31:J31"/>
    <mergeCell ref="G28:H28"/>
    <mergeCell ref="I28:J28"/>
    <mergeCell ref="G29:H29"/>
    <mergeCell ref="I29:J29"/>
    <mergeCell ref="G30:H30"/>
    <mergeCell ref="I30:J30"/>
    <mergeCell ref="A1:AC1"/>
    <mergeCell ref="B19:G19"/>
    <mergeCell ref="A21:B21"/>
    <mergeCell ref="G27:H27"/>
    <mergeCell ref="I27:J27"/>
    <mergeCell ref="M27:P27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BM34"/>
  <sheetViews>
    <sheetView topLeftCell="A10" workbookViewId="0">
      <selection activeCell="V24" sqref="V24"/>
    </sheetView>
  </sheetViews>
  <sheetFormatPr defaultColWidth="9" defaultRowHeight="15"/>
  <cols>
    <col min="2" max="2" customWidth="true" width="23.5703125"/>
    <col min="8" max="8" customWidth="true" width="30.0"/>
    <col min="32" max="32" customWidth="true" width="14.28515625"/>
    <col min="62" max="62" customWidth="true" width="41.140625"/>
    <col min="64" max="64" customWidth="true" width="18.85546875"/>
    <col min="65" max="65" customWidth="true" width="34.42578125"/>
  </cols>
  <sheetData>
    <row r="1" spans="1:64" ht="18">
      <c r="A1" s="154" t="s">
        <v>154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</row>
    <row r="2" spans="1:64" ht="18">
      <c r="A2" s="1" t="s">
        <v>47</v>
      </c>
      <c r="B2" s="1"/>
      <c r="C2" s="1"/>
      <c r="D2" s="1"/>
      <c r="E2" s="1"/>
      <c r="F2" s="1"/>
      <c r="G2" s="1"/>
      <c r="H2" s="1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</row>
    <row r="3" spans="1:64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</row>
    <row r="4" spans="1:64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</row>
    <row r="5" spans="1:64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</row>
    <row r="6" spans="1:64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</row>
    <row r="7" spans="1:64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</row>
    <row r="8" spans="1:64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</row>
    <row r="9" spans="1:64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</row>
    <row r="10" spans="1:64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</row>
    <row r="11" spans="1:64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</row>
    <row r="12" spans="1:64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</row>
    <row r="13" spans="1:64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2507.6799999999998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</row>
    <row r="14" spans="1:64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64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</row>
    <row r="16" spans="1:64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</row>
    <row r="17" spans="1:65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</row>
    <row r="18" spans="1:65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</row>
    <row r="19" spans="1:65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</row>
    <row r="20" spans="1:65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</row>
    <row r="21" spans="1:65">
      <c r="A21" s="151" t="s">
        <v>89</v>
      </c>
      <c r="B21" s="151"/>
      <c r="C21" s="20">
        <v>1</v>
      </c>
      <c r="D21" s="21" t="s">
        <v>90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2</v>
      </c>
      <c r="Q21" s="34" t="s">
        <v>95</v>
      </c>
      <c r="R21" s="18"/>
      <c r="S21" s="18"/>
      <c r="T21" s="18"/>
      <c r="U21" s="18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</row>
    <row r="22" spans="1:65" ht="57">
      <c r="A22" s="61" t="s">
        <v>155</v>
      </c>
      <c r="B22" s="61" t="s">
        <v>49</v>
      </c>
      <c r="C22" s="61" t="s">
        <v>156</v>
      </c>
      <c r="D22" s="61" t="s">
        <v>51</v>
      </c>
      <c r="E22" s="61" t="s">
        <v>52</v>
      </c>
      <c r="F22" s="61" t="s">
        <v>53</v>
      </c>
      <c r="G22" s="61" t="s">
        <v>54</v>
      </c>
      <c r="H22" s="61" t="s">
        <v>55</v>
      </c>
      <c r="I22" s="63" t="s">
        <v>97</v>
      </c>
      <c r="J22" s="63" t="s">
        <v>99</v>
      </c>
      <c r="K22" s="63" t="s">
        <v>98</v>
      </c>
      <c r="L22" s="64" t="s">
        <v>100</v>
      </c>
      <c r="M22" s="64" t="s">
        <v>101</v>
      </c>
      <c r="N22" s="64" t="s">
        <v>104</v>
      </c>
      <c r="O22" s="64" t="s">
        <v>105</v>
      </c>
      <c r="P22" s="64" t="s">
        <v>157</v>
      </c>
      <c r="Q22" s="64" t="s">
        <v>103</v>
      </c>
      <c r="R22" s="63" t="s">
        <v>106</v>
      </c>
      <c r="S22" s="61" t="s">
        <v>158</v>
      </c>
      <c r="T22" s="61" t="s">
        <v>108</v>
      </c>
      <c r="U22" s="67" t="s">
        <v>159</v>
      </c>
      <c r="V22" s="67" t="s">
        <v>110</v>
      </c>
      <c r="W22" s="67" t="s">
        <v>111</v>
      </c>
      <c r="X22" s="67" t="s">
        <v>112</v>
      </c>
      <c r="Y22" s="67" t="s">
        <v>113</v>
      </c>
      <c r="Z22" s="69" t="s">
        <v>114</v>
      </c>
      <c r="AA22" s="69" t="s">
        <v>115</v>
      </c>
      <c r="AB22" s="69" t="s">
        <v>116</v>
      </c>
      <c r="AC22" s="69" t="s">
        <v>117</v>
      </c>
      <c r="AD22" s="69" t="s">
        <v>118</v>
      </c>
      <c r="AE22" s="69" t="s">
        <v>119</v>
      </c>
      <c r="AF22" s="69" t="s">
        <v>120</v>
      </c>
      <c r="AG22" s="69" t="s">
        <v>121</v>
      </c>
      <c r="AH22" s="69" t="s">
        <v>122</v>
      </c>
      <c r="AI22" s="69" t="s">
        <v>123</v>
      </c>
      <c r="AJ22" s="69" t="s">
        <v>124</v>
      </c>
      <c r="AK22" s="69" t="s">
        <v>125</v>
      </c>
      <c r="AL22" s="69" t="s">
        <v>126</v>
      </c>
      <c r="AM22" s="69" t="s">
        <v>127</v>
      </c>
      <c r="AN22" s="69" t="s">
        <v>128</v>
      </c>
      <c r="AO22" s="70" t="s">
        <v>160</v>
      </c>
      <c r="AP22" s="3" t="s">
        <v>211</v>
      </c>
      <c r="AQ22" s="3" t="s">
        <v>128</v>
      </c>
      <c r="AR22" s="47" t="s">
        <v>131</v>
      </c>
      <c r="AS22" s="47" t="s">
        <v>132</v>
      </c>
      <c r="AT22" s="47" t="s">
        <v>133</v>
      </c>
      <c r="AU22" s="47" t="s">
        <v>134</v>
      </c>
      <c r="AV22" s="47" t="s">
        <v>135</v>
      </c>
      <c r="AW22" s="47" t="s">
        <v>136</v>
      </c>
      <c r="AX22" s="47" t="s">
        <v>137</v>
      </c>
      <c r="AY22" s="47" t="s">
        <v>138</v>
      </c>
      <c r="AZ22" s="49" t="s">
        <v>139</v>
      </c>
      <c r="BA22" s="49" t="s">
        <v>8</v>
      </c>
      <c r="BB22" s="49" t="s">
        <v>9</v>
      </c>
      <c r="BC22" s="47" t="s">
        <v>212</v>
      </c>
      <c r="BD22" s="47" t="s">
        <v>140</v>
      </c>
      <c r="BE22" s="47" t="s">
        <v>141</v>
      </c>
      <c r="BF22" s="47" t="s">
        <v>142</v>
      </c>
      <c r="BG22" s="47" t="s">
        <v>143</v>
      </c>
      <c r="BH22" s="47" t="s">
        <v>144</v>
      </c>
      <c r="BI22" s="47" t="s">
        <v>213</v>
      </c>
      <c r="BJ22" s="52" t="s">
        <v>214</v>
      </c>
      <c r="BK22" s="47" t="s">
        <v>215</v>
      </c>
      <c r="BL22" s="47" t="s">
        <v>136</v>
      </c>
      <c r="BM22" s="56" t="s">
        <v>216</v>
      </c>
    </row>
    <row r="23" spans="1:65">
      <c r="A23" s="25">
        <v>1</v>
      </c>
      <c r="B23" s="25" t="s">
        <v>288</v>
      </c>
      <c r="C23" s="25" t="s">
        <v>162</v>
      </c>
      <c r="D23" s="25" t="s">
        <v>58</v>
      </c>
      <c r="E23" s="25" t="s">
        <v>163</v>
      </c>
      <c r="F23" s="26">
        <v>25</v>
      </c>
      <c r="G23" s="26">
        <v>257.63</v>
      </c>
      <c r="H23" s="26">
        <f>F23*G23</f>
        <v>6440.75</v>
      </c>
      <c r="I23" s="26">
        <v>1</v>
      </c>
      <c r="J23" s="26">
        <v>2</v>
      </c>
      <c r="K23" s="26">
        <v>2.5</v>
      </c>
      <c r="L23" s="26">
        <f>H23</f>
        <v>6440.75</v>
      </c>
      <c r="M23" s="26">
        <f>ROUND(L23*I23%,2)</f>
        <v>64.41</v>
      </c>
      <c r="N23" s="26">
        <f>H23-M23</f>
        <v>6376.34</v>
      </c>
      <c r="O23" s="26">
        <f>ROUND(N23*J23%,2)</f>
        <v>127.53</v>
      </c>
      <c r="P23" s="26">
        <f>ROUND(N23-O23,2)</f>
        <v>6248.81</v>
      </c>
      <c r="Q23" s="26">
        <f>ROUND(P23*K23%,2)</f>
        <v>156.22</v>
      </c>
      <c r="R23" s="26">
        <f>ROUND((M23+O23+Q23),2)</f>
        <v>348.16</v>
      </c>
      <c r="S23" s="26">
        <f>ROUND((H23-R23),2)</f>
        <v>6092.59</v>
      </c>
      <c r="T23" s="55" t="s">
        <v>146</v>
      </c>
      <c r="U23" s="43">
        <v>0.05</v>
      </c>
      <c r="V23" s="26">
        <f>IF($C$21=1,ROUND(((S23*U23)/2),2),0)</f>
        <v>152.31</v>
      </c>
      <c r="W23" s="26">
        <f>IF($C$21=1,ROUND(((S23*U23)/2),2),0)</f>
        <v>152.31</v>
      </c>
      <c r="X23" s="26">
        <f>IF($C$21=2,ROUND(((S23*U23)),2),0)</f>
        <v>0</v>
      </c>
      <c r="Y23" s="25">
        <f>ROUND((S23*18%),2)</f>
        <v>1096.67</v>
      </c>
      <c r="Z23" s="25">
        <f>S23+Y23</f>
        <v>7189.26</v>
      </c>
      <c r="AA23" s="55">
        <v>120</v>
      </c>
      <c r="AB23" s="55">
        <f>IF($P$21=1,(S23/$S$25)*$E$36,AA23/$AA$25*$E$36)</f>
        <v>0</v>
      </c>
      <c r="AC23" s="55"/>
      <c r="AD23" s="55">
        <f>IF($P$21=1,(S23/$S$25)*$E$38,AA23/$AA$25*$E$38)</f>
        <v>0</v>
      </c>
      <c r="AE23" s="55">
        <f>IF($P$21=1,(S23/$S$25)*$E$39,AA23/$AA$25*$E$39)</f>
        <v>0</v>
      </c>
      <c r="AF23" s="55">
        <f t="shared" ref="AF23:AF24" si="1">S23*$M$21</f>
        <v>6092.59</v>
      </c>
      <c r="AG23" s="55">
        <f>IF($C$21=3,0,AD23+AE23)</f>
        <v>0</v>
      </c>
      <c r="AH23" s="55">
        <f t="shared" ref="AH23:AH24" si="2">IF($C$21=3,AB23+AD23+AE23,0)</f>
        <v>0</v>
      </c>
      <c r="AI23" s="82">
        <v>2</v>
      </c>
      <c r="AJ23" s="55">
        <f t="shared" ref="AJ23:AJ24" si="3">F23/AI23</f>
        <v>12.5</v>
      </c>
      <c r="AK23" s="55">
        <f>ROUND(AF23/AJ23,5)</f>
        <v>487.40719999999999</v>
      </c>
      <c r="AL23" s="55">
        <f>AG23/AJ23</f>
        <v>0</v>
      </c>
      <c r="AM23" s="55">
        <f>AH23/AJ23</f>
        <v>0</v>
      </c>
      <c r="AN23" s="55" t="s">
        <v>58</v>
      </c>
      <c r="AO23" s="55">
        <f>ROUND(AK23+AL23+AM23,5)</f>
        <v>487.40719999999999</v>
      </c>
      <c r="AP23" s="7" t="s">
        <v>217</v>
      </c>
      <c r="AQ23" s="7" t="s">
        <v>58</v>
      </c>
      <c r="AR23" t="s" s="0">
        <v>289</v>
      </c>
      <c r="AS23" t="s" s="0">
        <v>290</v>
      </c>
      <c r="AT23" s="48">
        <f>AJ23</f>
        <v>12.5</v>
      </c>
      <c r="AU23" s="9">
        <f>AO23</f>
        <v>487.40719999999999</v>
      </c>
      <c r="AV23" s="48">
        <f>AR23+AT23</f>
        <v>127.5</v>
      </c>
      <c r="AW23" s="7">
        <f>ROUND(((AR23*AS23)+(AT23*AU23))/(AR23+AT23),5)</f>
        <v>329.22604999999999</v>
      </c>
      <c r="AX23" s="71"/>
      <c r="AY23" s="71" t="s">
        <v>149</v>
      </c>
      <c r="AZ23" s="72" t="s">
        <v>38</v>
      </c>
      <c r="BA23" s="72" t="s">
        <v>291</v>
      </c>
      <c r="BB23" s="72" t="s">
        <v>292</v>
      </c>
      <c r="BC23" s="71"/>
      <c r="BD23" s="71"/>
      <c r="BE23" s="71"/>
      <c r="BF23" s="7"/>
      <c r="BG23" s="7"/>
      <c r="BH23" s="7"/>
      <c r="BI23" s="7" t="s">
        <v>271</v>
      </c>
      <c r="BJ23" t="s" s="0">
        <v>293</v>
      </c>
      <c r="BK23" t="s" s="0">
        <v>294</v>
      </c>
      <c r="BL23" s="7">
        <f>ROUND((((AT23*AW23)+(BK23*BJ23))/(AT23+BK23)),5)</f>
        <v>150.66895</v>
      </c>
      <c r="BM23" s="53">
        <f>BK23+AT23</f>
        <v>205</v>
      </c>
    </row>
    <row r="24" spans="1:65">
      <c r="A24" s="25">
        <v>2</v>
      </c>
      <c r="B24" s="25" t="s">
        <v>295</v>
      </c>
      <c r="C24" s="25" t="s">
        <v>175</v>
      </c>
      <c r="D24" s="25" t="s">
        <v>58</v>
      </c>
      <c r="E24" s="25" t="s">
        <v>163</v>
      </c>
      <c r="F24" s="26">
        <v>28</v>
      </c>
      <c r="G24" s="26">
        <v>150.5</v>
      </c>
      <c r="H24" s="26">
        <f t="shared" ref="H24" si="4">F24*G24</f>
        <v>4214</v>
      </c>
      <c r="I24" s="26">
        <v>1</v>
      </c>
      <c r="J24" s="26">
        <v>2</v>
      </c>
      <c r="K24" s="26">
        <v>2.5</v>
      </c>
      <c r="L24" s="26">
        <f t="shared" ref="L24" si="5">H24</f>
        <v>4214</v>
      </c>
      <c r="M24" s="26">
        <f t="shared" ref="M24" si="6">ROUND(L24*I24%,2)</f>
        <v>42.14</v>
      </c>
      <c r="N24" s="26">
        <f t="shared" ref="N24" si="7">H24-M24</f>
        <v>4171.8599999999997</v>
      </c>
      <c r="O24" s="26">
        <f t="shared" ref="O24" si="8">ROUND(N24*J24%,2)</f>
        <v>83.44</v>
      </c>
      <c r="P24" s="26">
        <f t="shared" ref="P24" si="9">ROUND(N24-O24,2)</f>
        <v>4088.42</v>
      </c>
      <c r="Q24" s="26">
        <f t="shared" ref="Q24" si="10">ROUND(P24*K24%,2)</f>
        <v>102.21</v>
      </c>
      <c r="R24" s="26">
        <f t="shared" ref="R24" si="11">ROUND((M24+O24+Q24),2)</f>
        <v>227.79</v>
      </c>
      <c r="S24" s="26">
        <f t="shared" ref="S24" si="12">ROUND((H24-R24),2)</f>
        <v>3986.21</v>
      </c>
      <c r="T24" s="55" t="s">
        <v>273</v>
      </c>
      <c r="U24" s="43">
        <v>0.12</v>
      </c>
      <c r="V24" s="26">
        <f t="shared" ref="V24" si="13">IF($C$21=1,ROUND(((S24*U24)/2),2),0)</f>
        <v>239.17</v>
      </c>
      <c r="W24" s="26">
        <f t="shared" ref="W24" si="14">IF($C$21=1,ROUND(((S24*U24)/2),2),0)</f>
        <v>239.17</v>
      </c>
      <c r="X24" s="26">
        <f t="shared" ref="X24" si="15">IF($C$21=2,ROUND(((S24*U24)),2),0)</f>
        <v>0</v>
      </c>
      <c r="Y24" s="25">
        <f t="shared" ref="Y24" si="16">ROUND((S24*18%),2)</f>
        <v>717.52</v>
      </c>
      <c r="Z24" s="25">
        <f t="shared" ref="Z24" si="17">S24+Y24</f>
        <v>4703.7299999999996</v>
      </c>
      <c r="AA24" s="55">
        <v>350</v>
      </c>
      <c r="AB24" s="55">
        <f>IF($P$21=1,(S24/$S$25)*$E$36,AA24/$AA$25*$E$36)</f>
        <v>0</v>
      </c>
      <c r="AC24" s="55"/>
      <c r="AD24" s="55">
        <f>IF($P$21=1,(S24/$S$25)*$E$38,AA24/$AA$25*$E$38)</f>
        <v>0</v>
      </c>
      <c r="AE24" s="55">
        <f>IF($P$21=1,(S24/$S$25)*$E$39,AA24/$AA$25*$E$39)</f>
        <v>0</v>
      </c>
      <c r="AF24" s="55">
        <f t="shared" si="1"/>
        <v>3986.21</v>
      </c>
      <c r="AG24" s="55">
        <f t="shared" ref="AG24" si="18">IF($C$21=3,0,AD24+AE24)</f>
        <v>0</v>
      </c>
      <c r="AH24" s="55">
        <f t="shared" si="2"/>
        <v>0</v>
      </c>
      <c r="AI24" s="82">
        <v>2</v>
      </c>
      <c r="AJ24" s="55">
        <f t="shared" si="3"/>
        <v>14</v>
      </c>
      <c r="AK24" s="55">
        <f t="shared" ref="AK24" si="19">ROUND(AF24/AJ24,5)</f>
        <v>284.72928999999999</v>
      </c>
      <c r="AL24" s="55">
        <f t="shared" ref="AL24" si="20">AG24/AJ24</f>
        <v>0</v>
      </c>
      <c r="AM24" s="55">
        <f t="shared" ref="AM24" si="21">AH24/AJ24</f>
        <v>0</v>
      </c>
      <c r="AN24" s="55" t="s">
        <v>58</v>
      </c>
      <c r="AO24" s="55">
        <f t="shared" ref="AO24" si="22">ROUND(AK24+AL24+AM24,5)</f>
        <v>284.72928999999999</v>
      </c>
      <c r="AP24" s="7" t="s">
        <v>217</v>
      </c>
      <c r="AQ24" s="7" t="s">
        <v>58</v>
      </c>
      <c r="AR24" t="s" s="0">
        <v>296</v>
      </c>
      <c r="AS24" t="s" s="0">
        <v>297</v>
      </c>
      <c r="AT24" s="9">
        <f>AJ24</f>
        <v>14</v>
      </c>
      <c r="AU24" s="9">
        <f>AO24</f>
        <v>284.72928999999999</v>
      </c>
      <c r="AV24" s="48">
        <f t="shared" ref="AV24" si="23">AR24+AT24</f>
        <v>90</v>
      </c>
      <c r="AW24" s="7">
        <f>ROUND(((AR24*AS24)+(AT24*AU24))/(AR24+AT24),5)</f>
        <v>229.65969000000001</v>
      </c>
      <c r="AX24" s="71"/>
      <c r="AY24" s="71"/>
      <c r="AZ24" s="72" t="s">
        <v>38</v>
      </c>
      <c r="BA24" s="72" t="s">
        <v>298</v>
      </c>
      <c r="BB24" s="72" t="s">
        <v>292</v>
      </c>
      <c r="BC24" s="71"/>
      <c r="BD24" s="71"/>
      <c r="BE24" s="71"/>
      <c r="BF24" s="7"/>
      <c r="BG24" s="7"/>
      <c r="BH24" s="7"/>
      <c r="BI24" s="7" t="s">
        <v>271</v>
      </c>
      <c r="BJ24" t="s" s="0">
        <v>299</v>
      </c>
      <c r="BK24" t="s" s="0">
        <v>300</v>
      </c>
      <c r="BL24" s="7">
        <f>ROUND((((AT24*AW24)+(BK24*BJ24))/(AT24+BK24)),5)</f>
        <v>171.52964</v>
      </c>
      <c r="BM24" s="53">
        <f t="shared" ref="BM24" si="24">BK24+AT24</f>
        <v>138</v>
      </c>
    </row>
    <row r="25" spans="1:65">
      <c r="A25" s="16"/>
      <c r="C25" s="62" t="s">
        <v>87</v>
      </c>
      <c r="D25" s="28"/>
      <c r="E25" s="28"/>
      <c r="F25" s="28"/>
      <c r="G25" s="29"/>
      <c r="H25" s="30">
        <f>SUM(H23:H24)</f>
        <v>10654.75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575.95000000000005</v>
      </c>
      <c r="S25" s="30">
        <f>SUM(S23:S24)</f>
        <v>10078.799999999999</v>
      </c>
      <c r="T25" s="30"/>
      <c r="U25" s="30"/>
      <c r="V25" s="39">
        <f t="shared" ref="V25:AB25" si="25">SUM(V23:V24)</f>
        <v>391.48</v>
      </c>
      <c r="W25" s="39">
        <f t="shared" si="25"/>
        <v>391.48</v>
      </c>
      <c r="X25" s="39">
        <f t="shared" si="25"/>
        <v>0</v>
      </c>
      <c r="Y25" s="30">
        <f t="shared" si="25"/>
        <v>1814.19</v>
      </c>
      <c r="Z25" s="44">
        <f t="shared" si="25"/>
        <v>11892.99</v>
      </c>
      <c r="AA25" s="45">
        <f t="shared" si="25"/>
        <v>470</v>
      </c>
      <c r="AB25" s="45">
        <f t="shared" si="25"/>
        <v>0</v>
      </c>
      <c r="AC25" s="44"/>
      <c r="AD25" s="45">
        <f>SUM(AD23:AD24)</f>
        <v>0</v>
      </c>
      <c r="AE25" s="45">
        <f>IF($P$21=1,(S25/$S$25)*$E$39,AA25/$AA$25*$E$39)</f>
        <v>0</v>
      </c>
      <c r="AF25" s="45">
        <f>SUM(AF23:AF24)</f>
        <v>10078.799999999999</v>
      </c>
      <c r="AG25" s="45">
        <f>SUM(AG23:AG24)</f>
        <v>0</v>
      </c>
      <c r="AH25" s="45">
        <f>SUM(AH23:AH24)</f>
        <v>0</v>
      </c>
      <c r="AI25" s="44"/>
      <c r="AJ25" s="44"/>
      <c r="AK25" s="44"/>
      <c r="AL25" s="44"/>
      <c r="AM25" s="44"/>
      <c r="AN25" s="44"/>
      <c r="AO25" s="44"/>
      <c r="AP25" s="16"/>
      <c r="AQ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</row>
    <row r="26" spans="1:6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</row>
    <row r="27" spans="1:65">
      <c r="A27" s="16"/>
      <c r="B27" s="16"/>
      <c r="C27" s="16"/>
      <c r="D27" s="16"/>
      <c r="E27" s="16"/>
      <c r="F27" s="16"/>
      <c r="G27" s="156" t="s">
        <v>194</v>
      </c>
      <c r="H27" s="157"/>
      <c r="I27" s="158">
        <f>H25</f>
        <v>10654.75</v>
      </c>
      <c r="J27" s="158"/>
      <c r="K27" s="65"/>
      <c r="L27" s="16"/>
      <c r="M27" s="159" t="s">
        <v>195</v>
      </c>
      <c r="N27" s="160"/>
      <c r="O27" s="160"/>
      <c r="P27" s="161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 t="s">
        <v>278</v>
      </c>
      <c r="BF27" s="108" t="s">
        <v>279</v>
      </c>
      <c r="BG27" s="16"/>
      <c r="BH27" s="16"/>
      <c r="BI27" s="16"/>
      <c r="BJ27" s="16"/>
      <c r="BK27" s="16"/>
      <c r="BL27" s="16"/>
    </row>
    <row r="28" spans="1:65">
      <c r="A28" s="16"/>
      <c r="B28" s="16"/>
      <c r="C28" s="16"/>
      <c r="D28" s="16"/>
      <c r="E28" s="16"/>
      <c r="F28" s="16"/>
      <c r="G28" s="156" t="s">
        <v>196</v>
      </c>
      <c r="H28" s="157"/>
      <c r="I28" s="158">
        <f>R25</f>
        <v>575.95000000000005</v>
      </c>
      <c r="J28" s="158"/>
      <c r="K28" s="16"/>
      <c r="L28" s="16"/>
      <c r="M28" s="66">
        <v>1</v>
      </c>
      <c r="N28" s="66" t="s">
        <v>58</v>
      </c>
      <c r="O28" s="66">
        <v>2</v>
      </c>
      <c r="P28" s="66" t="s">
        <v>163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 t="s">
        <v>280</v>
      </c>
      <c r="BF28" s="108" t="s">
        <v>281</v>
      </c>
      <c r="BG28" s="16"/>
      <c r="BH28" s="16"/>
      <c r="BI28" s="16"/>
      <c r="BJ28" s="16"/>
      <c r="BK28" s="16"/>
      <c r="BL28" s="16"/>
    </row>
    <row r="29" spans="1:65">
      <c r="A29" s="16"/>
      <c r="B29" s="16"/>
      <c r="C29" s="16"/>
      <c r="D29" s="16"/>
      <c r="E29" s="16"/>
      <c r="F29" s="16"/>
      <c r="G29" s="156" t="s">
        <v>197</v>
      </c>
      <c r="H29" s="157"/>
      <c r="I29" s="158">
        <f>S25</f>
        <v>10078.799999999999</v>
      </c>
      <c r="J29" s="158"/>
      <c r="K29" s="16"/>
      <c r="L29" s="16"/>
      <c r="M29" s="25">
        <v>1</v>
      </c>
      <c r="N29" s="25" t="s">
        <v>58</v>
      </c>
      <c r="O29" s="25">
        <v>2.5</v>
      </c>
      <c r="P29" s="25" t="s">
        <v>176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</row>
    <row r="30" spans="1:65">
      <c r="A30" s="16"/>
      <c r="B30" s="16"/>
      <c r="C30" s="16"/>
      <c r="D30" s="16"/>
      <c r="E30" s="16"/>
      <c r="F30" s="16"/>
      <c r="G30" s="156" t="s">
        <v>198</v>
      </c>
      <c r="H30" s="157"/>
      <c r="I30" s="158">
        <f>Y25</f>
        <v>1814.19</v>
      </c>
      <c r="J30" s="158"/>
      <c r="K30" s="16"/>
      <c r="L30" s="16"/>
      <c r="M30" s="25">
        <v>1</v>
      </c>
      <c r="N30" s="25" t="s">
        <v>163</v>
      </c>
      <c r="O30" s="25">
        <v>1E-3</v>
      </c>
      <c r="P30" s="25" t="s">
        <v>185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</row>
    <row r="31" spans="1:65">
      <c r="A31" s="16"/>
      <c r="B31" s="16"/>
      <c r="C31" s="16"/>
      <c r="D31" s="16"/>
      <c r="E31" s="16"/>
      <c r="F31" s="16"/>
      <c r="G31" s="156" t="s">
        <v>199</v>
      </c>
      <c r="H31" s="157"/>
      <c r="I31" s="162">
        <f>I29+I30</f>
        <v>11892.99</v>
      </c>
      <c r="J31" s="162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</row>
    <row r="32" spans="1:6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 t="s">
        <v>282</v>
      </c>
      <c r="BK32" s="16" t="s">
        <v>283</v>
      </c>
      <c r="BL32" s="16"/>
    </row>
    <row r="33" spans="1:64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 t="s">
        <v>284</v>
      </c>
      <c r="BI33" s="16">
        <v>12.5</v>
      </c>
      <c r="BJ33" s="16">
        <f>BI35*BI36</f>
        <v>0</v>
      </c>
      <c r="BK33" s="16">
        <f>BI33*BI34</f>
        <v>6092.59</v>
      </c>
      <c r="BL33" s="16"/>
    </row>
    <row r="34" spans="1:6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 t="s">
        <v>285</v>
      </c>
      <c r="BI34" s="16">
        <v>487.40719999999999</v>
      </c>
      <c r="BJ34" s="16">
        <f>BI33+BI35</f>
        <v>12.5</v>
      </c>
      <c r="BK34" s="16"/>
      <c r="BL34" s="16"/>
    </row>
  </sheetData>
  <mergeCells count="14">
    <mergeCell ref="G31:H31"/>
    <mergeCell ref="I31:J31"/>
    <mergeCell ref="G28:H28"/>
    <mergeCell ref="I28:J28"/>
    <mergeCell ref="G29:H29"/>
    <mergeCell ref="I29:J29"/>
    <mergeCell ref="G30:H30"/>
    <mergeCell ref="I30:J30"/>
    <mergeCell ref="A1:Z1"/>
    <mergeCell ref="B19:G19"/>
    <mergeCell ref="A21:B21"/>
    <mergeCell ref="G27:H27"/>
    <mergeCell ref="I27:J27"/>
    <mergeCell ref="M27:P27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BM34"/>
  <sheetViews>
    <sheetView topLeftCell="A13" workbookViewId="0">
      <selection activeCell="F28" sqref="F28"/>
    </sheetView>
  </sheetViews>
  <sheetFormatPr defaultColWidth="9" defaultRowHeight="15"/>
  <cols>
    <col min="2" max="2" customWidth="true" width="16.28515625"/>
  </cols>
  <sheetData>
    <row r="1" spans="1:64" ht="18">
      <c r="A1" s="154" t="s">
        <v>154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</row>
    <row r="2" spans="1:64" ht="18">
      <c r="A2" s="1" t="s">
        <v>47</v>
      </c>
      <c r="B2" s="1"/>
      <c r="C2" s="1"/>
      <c r="D2" s="1"/>
      <c r="E2" s="1"/>
      <c r="F2" s="1"/>
      <c r="G2" s="1"/>
      <c r="H2" s="1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</row>
    <row r="3" spans="1:64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</row>
    <row r="4" spans="1:64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</row>
    <row r="5" spans="1:64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</row>
    <row r="6" spans="1:64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</row>
    <row r="7" spans="1:64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</row>
    <row r="8" spans="1:64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</row>
    <row r="9" spans="1:64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</row>
    <row r="10" spans="1:64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</row>
    <row r="11" spans="1:64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</row>
    <row r="12" spans="1:64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</row>
    <row r="13" spans="1:64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2507.6799999999998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</row>
    <row r="14" spans="1:64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64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</row>
    <row r="16" spans="1:64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</row>
    <row r="17" spans="1:65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</row>
    <row r="18" spans="1:65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</row>
    <row r="19" spans="1:65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</row>
    <row r="20" spans="1:65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</row>
    <row r="21" spans="1:65">
      <c r="A21" s="151" t="s">
        <v>89</v>
      </c>
      <c r="B21" s="151"/>
      <c r="C21" s="20">
        <v>1</v>
      </c>
      <c r="D21" s="21" t="s">
        <v>90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2</v>
      </c>
      <c r="Q21" s="34" t="s">
        <v>95</v>
      </c>
      <c r="R21" s="18"/>
      <c r="S21" s="18"/>
      <c r="T21" s="18"/>
      <c r="U21" s="18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</row>
    <row r="22" spans="1:65" ht="57">
      <c r="A22" s="61" t="s">
        <v>155</v>
      </c>
      <c r="B22" s="61" t="s">
        <v>49</v>
      </c>
      <c r="C22" s="61" t="s">
        <v>156</v>
      </c>
      <c r="D22" s="61" t="s">
        <v>51</v>
      </c>
      <c r="E22" s="61" t="s">
        <v>52</v>
      </c>
      <c r="F22" s="61" t="s">
        <v>53</v>
      </c>
      <c r="G22" s="61" t="s">
        <v>54</v>
      </c>
      <c r="H22" s="61" t="s">
        <v>55</v>
      </c>
      <c r="I22" s="63" t="s">
        <v>97</v>
      </c>
      <c r="J22" s="63" t="s">
        <v>99</v>
      </c>
      <c r="K22" s="63" t="s">
        <v>98</v>
      </c>
      <c r="L22" s="64" t="s">
        <v>100</v>
      </c>
      <c r="M22" s="64" t="s">
        <v>101</v>
      </c>
      <c r="N22" s="64" t="s">
        <v>104</v>
      </c>
      <c r="O22" s="64" t="s">
        <v>105</v>
      </c>
      <c r="P22" s="64" t="s">
        <v>157</v>
      </c>
      <c r="Q22" s="64" t="s">
        <v>103</v>
      </c>
      <c r="R22" s="63" t="s">
        <v>106</v>
      </c>
      <c r="S22" s="61" t="s">
        <v>158</v>
      </c>
      <c r="T22" s="61" t="s">
        <v>108</v>
      </c>
      <c r="U22" s="67" t="s">
        <v>159</v>
      </c>
      <c r="V22" s="67" t="s">
        <v>110</v>
      </c>
      <c r="W22" s="67" t="s">
        <v>111</v>
      </c>
      <c r="X22" s="67" t="s">
        <v>112</v>
      </c>
      <c r="Y22" s="67" t="s">
        <v>113</v>
      </c>
      <c r="Z22" s="69" t="s">
        <v>114</v>
      </c>
      <c r="AA22" s="69" t="s">
        <v>115</v>
      </c>
      <c r="AB22" s="69" t="s">
        <v>116</v>
      </c>
      <c r="AC22" s="69" t="s">
        <v>117</v>
      </c>
      <c r="AD22" s="69" t="s">
        <v>118</v>
      </c>
      <c r="AE22" s="69" t="s">
        <v>119</v>
      </c>
      <c r="AF22" s="69" t="s">
        <v>120</v>
      </c>
      <c r="AG22" s="69" t="s">
        <v>121</v>
      </c>
      <c r="AH22" s="69" t="s">
        <v>122</v>
      </c>
      <c r="AI22" s="69" t="s">
        <v>123</v>
      </c>
      <c r="AJ22" s="69" t="s">
        <v>124</v>
      </c>
      <c r="AK22" s="69" t="s">
        <v>125</v>
      </c>
      <c r="AL22" s="69" t="s">
        <v>126</v>
      </c>
      <c r="AM22" s="69" t="s">
        <v>127</v>
      </c>
      <c r="AN22" s="69" t="s">
        <v>128</v>
      </c>
      <c r="AO22" s="70" t="s">
        <v>160</v>
      </c>
      <c r="AP22" s="3" t="s">
        <v>211</v>
      </c>
      <c r="AQ22" s="3" t="s">
        <v>128</v>
      </c>
      <c r="AR22" s="47" t="s">
        <v>131</v>
      </c>
      <c r="AS22" s="47" t="s">
        <v>132</v>
      </c>
      <c r="AT22" s="47" t="s">
        <v>133</v>
      </c>
      <c r="AU22" s="47" t="s">
        <v>134</v>
      </c>
      <c r="AV22" s="47" t="s">
        <v>135</v>
      </c>
      <c r="AW22" s="47" t="s">
        <v>136</v>
      </c>
      <c r="AX22" s="47" t="s">
        <v>137</v>
      </c>
      <c r="AY22" s="47" t="s">
        <v>138</v>
      </c>
      <c r="AZ22" s="49" t="s">
        <v>139</v>
      </c>
      <c r="BA22" s="49" t="s">
        <v>8</v>
      </c>
      <c r="BB22" s="49" t="s">
        <v>9</v>
      </c>
      <c r="BC22" s="47" t="s">
        <v>212</v>
      </c>
      <c r="BD22" s="47" t="s">
        <v>140</v>
      </c>
      <c r="BE22" s="47" t="s">
        <v>141</v>
      </c>
      <c r="BF22" s="47" t="s">
        <v>142</v>
      </c>
      <c r="BG22" s="47" t="s">
        <v>143</v>
      </c>
      <c r="BH22" s="47" t="s">
        <v>144</v>
      </c>
      <c r="BI22" s="47" t="s">
        <v>213</v>
      </c>
      <c r="BJ22" s="52" t="s">
        <v>214</v>
      </c>
      <c r="BK22" s="47" t="s">
        <v>215</v>
      </c>
      <c r="BL22" s="47" t="s">
        <v>136</v>
      </c>
      <c r="BM22" s="56" t="s">
        <v>216</v>
      </c>
    </row>
    <row r="23" spans="1:65">
      <c r="A23" s="25">
        <v>1</v>
      </c>
      <c r="B23" s="25" t="s">
        <v>301</v>
      </c>
      <c r="C23" s="25" t="s">
        <v>162</v>
      </c>
      <c r="D23" s="25" t="s">
        <v>58</v>
      </c>
      <c r="E23" s="25" t="s">
        <v>163</v>
      </c>
      <c r="F23" s="26">
        <v>25</v>
      </c>
      <c r="G23" s="26">
        <v>257.63</v>
      </c>
      <c r="H23" s="26">
        <f>F23*G23</f>
        <v>6440.75</v>
      </c>
      <c r="I23" s="26">
        <v>1</v>
      </c>
      <c r="J23" s="26">
        <v>2</v>
      </c>
      <c r="K23" s="26">
        <v>2.5</v>
      </c>
      <c r="L23" s="26">
        <f>H23</f>
        <v>6440.75</v>
      </c>
      <c r="M23" s="26">
        <f>ROUND(L23*I23%,2)</f>
        <v>64.41</v>
      </c>
      <c r="N23" s="26">
        <f>H23-M23</f>
        <v>6376.34</v>
      </c>
      <c r="O23" s="26">
        <f>ROUND(N23*J23%,2)</f>
        <v>127.53</v>
      </c>
      <c r="P23" s="26">
        <f>ROUND(N23-O23,2)</f>
        <v>6248.81</v>
      </c>
      <c r="Q23" s="26">
        <f>ROUND(P23*K23%,2)</f>
        <v>156.22</v>
      </c>
      <c r="R23" s="26">
        <f>ROUND((M23+O23+Q23),2)</f>
        <v>348.16</v>
      </c>
      <c r="S23" s="26">
        <f>ROUND((H23-R23),2)</f>
        <v>6092.59</v>
      </c>
      <c r="T23" s="55" t="s">
        <v>146</v>
      </c>
      <c r="U23" s="43">
        <v>0.18</v>
      </c>
      <c r="V23" s="26">
        <f>IF($C$21=1,ROUND(((S23*U23)/2),2),0)</f>
        <v>548.33000000000004</v>
      </c>
      <c r="W23" s="26">
        <f>IF($C$21=1,ROUND(((S23*U23)/2),2),0)</f>
        <v>548.33000000000004</v>
      </c>
      <c r="X23" s="26">
        <f>IF($C$21=2,ROUND(((S23*U23)),2),0)</f>
        <v>0</v>
      </c>
      <c r="Y23" s="25">
        <f>ROUND((S23*18%),2)</f>
        <v>1096.67</v>
      </c>
      <c r="Z23" s="25">
        <f>S23+Y23</f>
        <v>7189.26</v>
      </c>
      <c r="AA23" s="55">
        <v>120</v>
      </c>
      <c r="AB23" s="55">
        <f>IF($P$21=1,(S23/$S$25)*$E$36,AA23/$AA$25*$E$36)</f>
        <v>0</v>
      </c>
      <c r="AC23" s="55"/>
      <c r="AD23" s="55">
        <f>IF($P$21=1,(S23/$S$25)*$E$38,AA23/$AA$25*$E$38)</f>
        <v>0</v>
      </c>
      <c r="AE23" s="55">
        <f>IF($P$21=1,(S23/$S$25)*$E$39,AA23/$AA$25*$E$39)</f>
        <v>0</v>
      </c>
      <c r="AF23" s="55">
        <f t="shared" ref="AF23:AF24" si="1">S23*$M$21</f>
        <v>6092.59</v>
      </c>
      <c r="AG23" s="55">
        <f>IF($C$21=3,0,AD23+AE23)</f>
        <v>0</v>
      </c>
      <c r="AH23" s="55">
        <f t="shared" ref="AH23:AH24" si="2">IF($C$21=3,AB23+AD23+AE23,0)</f>
        <v>0</v>
      </c>
      <c r="AI23" s="82">
        <v>2</v>
      </c>
      <c r="AJ23" s="55">
        <f t="shared" ref="AJ23:AJ24" si="3">F23/AI23</f>
        <v>12.5</v>
      </c>
      <c r="AK23" s="55">
        <f>ROUND(AF23/AJ23,5)</f>
        <v>487.40719999999999</v>
      </c>
      <c r="AL23" s="55">
        <f>AG23/AJ23</f>
        <v>0</v>
      </c>
      <c r="AM23" s="55">
        <f>AH23/AJ23</f>
        <v>0</v>
      </c>
      <c r="AN23" s="55" t="s">
        <v>58</v>
      </c>
      <c r="AO23" s="55">
        <f>ROUND(AK23+AL23+AM23,5)</f>
        <v>487.40719999999999</v>
      </c>
      <c r="AP23" s="7" t="s">
        <v>217</v>
      </c>
      <c r="AQ23" s="7" t="s">
        <v>58</v>
      </c>
      <c r="AR23" t="s" s="0">
        <v>219</v>
      </c>
      <c r="AS23" t="s" s="0">
        <v>270</v>
      </c>
      <c r="AT23" s="48">
        <f>AJ23</f>
        <v>12.5</v>
      </c>
      <c r="AU23" s="9">
        <f>AO23</f>
        <v>487.40719999999999</v>
      </c>
      <c r="AV23" s="48">
        <f>AR23+AT23</f>
        <v>12.5</v>
      </c>
      <c r="AW23" s="7">
        <f>ROUND(((AR23*AS23)+(AT23*AU23))/(AR23+AT23),5)</f>
        <v>487.40719999999999</v>
      </c>
      <c r="AX23" s="71"/>
      <c r="AY23" s="71" t="s">
        <v>149</v>
      </c>
      <c r="AZ23" s="72" t="s">
        <v>38</v>
      </c>
      <c r="BA23" s="72" t="s">
        <v>291</v>
      </c>
      <c r="BB23" s="72" t="s">
        <v>292</v>
      </c>
      <c r="BC23" s="71"/>
      <c r="BD23" s="71"/>
      <c r="BE23" s="71"/>
      <c r="BF23" s="7"/>
      <c r="BG23" s="7"/>
      <c r="BH23" s="7"/>
      <c r="BI23" s="7" t="s">
        <v>259</v>
      </c>
      <c r="BJ23" t="s" s="0">
        <v>270</v>
      </c>
      <c r="BK23" t="s" s="0">
        <v>262</v>
      </c>
      <c r="BL23" s="7">
        <f>ROUND((((AT23*AW23)+(BK23*BJ23))/(AT23+BK23)),5)</f>
        <v>487.40719999999999</v>
      </c>
      <c r="BM23" s="53">
        <f>BK23+AT23</f>
        <v>112.5</v>
      </c>
    </row>
    <row r="24" spans="1:65">
      <c r="A24" s="25">
        <v>2</v>
      </c>
      <c r="B24" s="25" t="s">
        <v>302</v>
      </c>
      <c r="C24" s="25" t="s">
        <v>175</v>
      </c>
      <c r="D24" s="25" t="s">
        <v>58</v>
      </c>
      <c r="E24" s="25" t="s">
        <v>163</v>
      </c>
      <c r="F24" s="26">
        <v>28</v>
      </c>
      <c r="G24" s="26">
        <v>150.5</v>
      </c>
      <c r="H24" s="26">
        <f t="shared" ref="H24" si="4">F24*G24</f>
        <v>4214</v>
      </c>
      <c r="I24" s="26">
        <v>1</v>
      </c>
      <c r="J24" s="26">
        <v>2</v>
      </c>
      <c r="K24" s="26">
        <v>2.5</v>
      </c>
      <c r="L24" s="26">
        <f t="shared" ref="L24" si="5">H24</f>
        <v>4214</v>
      </c>
      <c r="M24" s="26">
        <f t="shared" ref="M24" si="6">ROUND(L24*I24%,2)</f>
        <v>42.14</v>
      </c>
      <c r="N24" s="26">
        <f t="shared" ref="N24" si="7">H24-M24</f>
        <v>4171.8599999999997</v>
      </c>
      <c r="O24" s="26">
        <f t="shared" ref="O24" si="8">ROUND(N24*J24%,2)</f>
        <v>83.44</v>
      </c>
      <c r="P24" s="26">
        <f t="shared" ref="P24" si="9">ROUND(N24-O24,2)</f>
        <v>4088.42</v>
      </c>
      <c r="Q24" s="26">
        <f t="shared" ref="Q24" si="10">ROUND(P24*K24%,2)</f>
        <v>102.21</v>
      </c>
      <c r="R24" s="26">
        <f t="shared" ref="R24" si="11">ROUND((M24+O24+Q24),2)</f>
        <v>227.79</v>
      </c>
      <c r="S24" s="26">
        <f t="shared" ref="S24" si="12">ROUND((H24-R24),2)</f>
        <v>3986.21</v>
      </c>
      <c r="T24" s="55" t="s">
        <v>273</v>
      </c>
      <c r="U24" s="43">
        <v>0.18</v>
      </c>
      <c r="V24" s="26">
        <f t="shared" ref="V24" si="13">IF($C$21=1,ROUND(((S24*U24)/2),2),0)</f>
        <v>358.76</v>
      </c>
      <c r="W24" s="26">
        <f t="shared" ref="W24" si="14">IF($C$21=1,ROUND(((S24*U24)/2),2),0)</f>
        <v>358.76</v>
      </c>
      <c r="X24" s="26">
        <f t="shared" ref="X24" si="15">IF($C$21=2,ROUND(((S24*U24)),2),0)</f>
        <v>0</v>
      </c>
      <c r="Y24" s="25">
        <f t="shared" ref="Y24" si="16">ROUND((S24*18%),2)</f>
        <v>717.52</v>
      </c>
      <c r="Z24" s="25">
        <f t="shared" ref="Z24" si="17">S24+Y24</f>
        <v>4703.7299999999996</v>
      </c>
      <c r="AA24" s="55">
        <v>350</v>
      </c>
      <c r="AB24" s="55">
        <f>IF($P$21=1,(S24/$S$25)*$E$36,AA24/$AA$25*$E$36)</f>
        <v>0</v>
      </c>
      <c r="AC24" s="55"/>
      <c r="AD24" s="55">
        <f>IF($P$21=1,(S24/$S$25)*$E$38,AA24/$AA$25*$E$38)</f>
        <v>0</v>
      </c>
      <c r="AE24" s="55">
        <f>IF($P$21=1,(S24/$S$25)*$E$39,AA24/$AA$25*$E$39)</f>
        <v>0</v>
      </c>
      <c r="AF24" s="55">
        <f t="shared" si="1"/>
        <v>3986.21</v>
      </c>
      <c r="AG24" s="55">
        <f t="shared" ref="AG24" si="18">IF($C$21=3,0,AD24+AE24)</f>
        <v>0</v>
      </c>
      <c r="AH24" s="55">
        <f t="shared" si="2"/>
        <v>0</v>
      </c>
      <c r="AI24" s="82">
        <v>2.5</v>
      </c>
      <c r="AJ24" s="55">
        <f t="shared" si="3"/>
        <v>11.2</v>
      </c>
      <c r="AK24" s="55">
        <f t="shared" ref="AK24" si="19">ROUND(AF24/AJ24,5)</f>
        <v>355.91161</v>
      </c>
      <c r="AL24" s="55">
        <f t="shared" ref="AL24" si="20">AG24/AJ24</f>
        <v>0</v>
      </c>
      <c r="AM24" s="55">
        <f t="shared" ref="AM24" si="21">AH24/AJ24</f>
        <v>0</v>
      </c>
      <c r="AN24" s="55" t="s">
        <v>58</v>
      </c>
      <c r="AO24" s="55">
        <f t="shared" ref="AO24" si="22">ROUND(AK24+AL24+AM24,5)</f>
        <v>355.91161</v>
      </c>
      <c r="AP24" s="7" t="s">
        <v>217</v>
      </c>
      <c r="AQ24" s="7" t="s">
        <v>58</v>
      </c>
      <c r="AR24" t="s" s="0">
        <v>219</v>
      </c>
      <c r="AS24" t="s" s="0">
        <v>274</v>
      </c>
      <c r="AT24" s="48">
        <f t="shared" ref="AT24" si="23">AJ24</f>
        <v>11.2</v>
      </c>
      <c r="AU24" s="9">
        <f>AO24</f>
        <v>355.91161</v>
      </c>
      <c r="AV24" s="48">
        <f t="shared" ref="AV24" si="24">AR24+AT24</f>
        <v>11.2</v>
      </c>
      <c r="AW24" s="7">
        <f>ROUND(((AR24*AS24)+(AT24*AU24))/(AR24+AT24),5)</f>
        <v>355.91161</v>
      </c>
      <c r="AX24" s="71"/>
      <c r="AY24" s="71"/>
      <c r="AZ24" s="72" t="s">
        <v>38</v>
      </c>
      <c r="BA24" s="72" t="s">
        <v>298</v>
      </c>
      <c r="BB24" s="72" t="s">
        <v>292</v>
      </c>
      <c r="BC24" s="71"/>
      <c r="BD24" s="71"/>
      <c r="BE24" s="71"/>
      <c r="BF24" s="7"/>
      <c r="BG24" s="7"/>
      <c r="BH24" s="7"/>
      <c r="BI24" s="7" t="s">
        <v>259</v>
      </c>
      <c r="BJ24" t="s" s="0">
        <v>274</v>
      </c>
      <c r="BK24" t="s" s="0">
        <v>303</v>
      </c>
      <c r="BL24" s="7">
        <f t="shared" ref="BL24" si="25">ROUND((((AT24*AW24)+(BK24*BJ24))/(AT24+BK24)),5)</f>
        <v>355.91161</v>
      </c>
      <c r="BM24" s="53">
        <f t="shared" ref="BM24" si="26">BK24+AT24</f>
        <v>100.8</v>
      </c>
    </row>
    <row r="25" spans="1:65">
      <c r="A25" s="16"/>
      <c r="C25" s="62" t="s">
        <v>87</v>
      </c>
      <c r="D25" s="28"/>
      <c r="E25" s="28"/>
      <c r="F25" s="28"/>
      <c r="G25" s="29"/>
      <c r="H25" s="30">
        <f>SUM(H23:H24)</f>
        <v>10654.75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575.95000000000005</v>
      </c>
      <c r="S25" s="30">
        <f>SUM(S23:S24)</f>
        <v>10078.799999999999</v>
      </c>
      <c r="T25" s="30"/>
      <c r="U25" s="30"/>
      <c r="V25" s="39">
        <f t="shared" ref="V25:AB25" si="27">SUM(V23:V24)</f>
        <v>907.09</v>
      </c>
      <c r="W25" s="39">
        <f t="shared" si="27"/>
        <v>907.09</v>
      </c>
      <c r="X25" s="39">
        <f t="shared" si="27"/>
        <v>0</v>
      </c>
      <c r="Y25" s="30">
        <f t="shared" si="27"/>
        <v>1814.19</v>
      </c>
      <c r="Z25" s="44">
        <f t="shared" si="27"/>
        <v>11892.99</v>
      </c>
      <c r="AA25" s="45">
        <f t="shared" si="27"/>
        <v>470</v>
      </c>
      <c r="AB25" s="45">
        <f t="shared" si="27"/>
        <v>0</v>
      </c>
      <c r="AC25" s="44"/>
      <c r="AD25" s="45">
        <f>SUM(AD23:AD24)</f>
        <v>0</v>
      </c>
      <c r="AE25" s="45">
        <f>IF($P$21=1,(S25/$S$25)*$E$39,AA25/$AA$25*$E$39)</f>
        <v>0</v>
      </c>
      <c r="AF25" s="45">
        <f>SUM(AF23:AF24)</f>
        <v>10078.799999999999</v>
      </c>
      <c r="AG25" s="45">
        <f>SUM(AG23:AG24)</f>
        <v>0</v>
      </c>
      <c r="AH25" s="45">
        <f>SUM(AH23:AH24)</f>
        <v>0</v>
      </c>
      <c r="AI25" s="44"/>
      <c r="AJ25" s="44"/>
      <c r="AK25" s="44"/>
      <c r="AL25" s="44"/>
      <c r="AM25" s="44"/>
      <c r="AN25" s="44"/>
      <c r="AO25" s="44"/>
      <c r="AP25" s="16"/>
      <c r="AQ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</row>
    <row r="26" spans="1:6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</row>
    <row r="27" spans="1:65">
      <c r="A27" s="16"/>
      <c r="B27" s="16"/>
      <c r="C27" s="16"/>
      <c r="D27" s="16"/>
      <c r="E27" s="16"/>
      <c r="F27" s="16"/>
      <c r="G27" s="156" t="s">
        <v>194</v>
      </c>
      <c r="H27" s="157"/>
      <c r="I27" s="158">
        <f>H25</f>
        <v>10654.75</v>
      </c>
      <c r="J27" s="158"/>
      <c r="K27" s="65"/>
      <c r="L27" s="16"/>
      <c r="M27" s="159" t="s">
        <v>195</v>
      </c>
      <c r="N27" s="160"/>
      <c r="O27" s="160"/>
      <c r="P27" s="161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 t="s">
        <v>278</v>
      </c>
      <c r="BF27" s="108" t="s">
        <v>279</v>
      </c>
      <c r="BG27" s="16"/>
      <c r="BH27" s="16"/>
      <c r="BI27" s="16"/>
      <c r="BJ27" s="16"/>
      <c r="BK27" s="16"/>
      <c r="BL27" s="16"/>
    </row>
    <row r="28" spans="1:65">
      <c r="A28" s="16"/>
      <c r="B28" s="16"/>
      <c r="C28" s="16"/>
      <c r="D28" s="16"/>
      <c r="E28" s="16"/>
      <c r="F28" s="16"/>
      <c r="G28" s="156" t="s">
        <v>196</v>
      </c>
      <c r="H28" s="157"/>
      <c r="I28" s="158">
        <f>R25</f>
        <v>575.95000000000005</v>
      </c>
      <c r="J28" s="158"/>
      <c r="K28" s="16"/>
      <c r="L28" s="16"/>
      <c r="M28" s="66">
        <v>1</v>
      </c>
      <c r="N28" s="66" t="s">
        <v>58</v>
      </c>
      <c r="O28" s="66">
        <v>2</v>
      </c>
      <c r="P28" s="66" t="s">
        <v>163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 t="s">
        <v>280</v>
      </c>
      <c r="BF28" s="108" t="s">
        <v>281</v>
      </c>
      <c r="BG28" s="16"/>
      <c r="BH28" s="16"/>
      <c r="BI28" s="16"/>
      <c r="BJ28" s="16"/>
      <c r="BK28" s="16"/>
      <c r="BL28" s="16"/>
    </row>
    <row r="29" spans="1:65">
      <c r="A29" s="16"/>
      <c r="B29" s="16"/>
      <c r="C29" s="16"/>
      <c r="D29" s="16"/>
      <c r="E29" s="16"/>
      <c r="F29" s="16"/>
      <c r="G29" s="156" t="s">
        <v>197</v>
      </c>
      <c r="H29" s="157"/>
      <c r="I29" s="158">
        <f>S25</f>
        <v>10078.799999999999</v>
      </c>
      <c r="J29" s="158"/>
      <c r="K29" s="16"/>
      <c r="L29" s="16"/>
      <c r="M29" s="25">
        <v>1</v>
      </c>
      <c r="N29" s="25" t="s">
        <v>58</v>
      </c>
      <c r="O29" s="25">
        <v>2.5</v>
      </c>
      <c r="P29" s="25" t="s">
        <v>176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</row>
    <row r="30" spans="1:65">
      <c r="A30" s="16"/>
      <c r="B30" s="16"/>
      <c r="C30" s="16"/>
      <c r="D30" s="16"/>
      <c r="E30" s="16"/>
      <c r="F30" s="16"/>
      <c r="G30" s="156" t="s">
        <v>198</v>
      </c>
      <c r="H30" s="157"/>
      <c r="I30" s="158">
        <f>Y25</f>
        <v>1814.19</v>
      </c>
      <c r="J30" s="158"/>
      <c r="K30" s="16"/>
      <c r="L30" s="16"/>
      <c r="M30" s="25">
        <v>1</v>
      </c>
      <c r="N30" s="25" t="s">
        <v>163</v>
      </c>
      <c r="O30" s="25">
        <v>1E-3</v>
      </c>
      <c r="P30" s="25" t="s">
        <v>185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</row>
    <row r="31" spans="1:65">
      <c r="A31" s="16"/>
      <c r="B31" s="16"/>
      <c r="C31" s="16"/>
      <c r="D31" s="16"/>
      <c r="E31" s="16"/>
      <c r="F31" s="16"/>
      <c r="G31" s="156" t="s">
        <v>199</v>
      </c>
      <c r="H31" s="157"/>
      <c r="I31" s="162">
        <f>I29+I30</f>
        <v>11892.99</v>
      </c>
      <c r="J31" s="162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</row>
    <row r="32" spans="1:6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 t="s">
        <v>282</v>
      </c>
      <c r="BK32" s="16" t="s">
        <v>283</v>
      </c>
      <c r="BL32" s="16"/>
    </row>
    <row r="33" spans="1:64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 t="s">
        <v>284</v>
      </c>
      <c r="BI33" s="16">
        <v>12.5</v>
      </c>
      <c r="BJ33" s="16">
        <f>BI35*BI36</f>
        <v>0</v>
      </c>
      <c r="BK33" s="16">
        <f>BI33*BI34</f>
        <v>6092.59</v>
      </c>
      <c r="BL33" s="16"/>
    </row>
    <row r="34" spans="1:6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 t="s">
        <v>285</v>
      </c>
      <c r="BI34" s="16">
        <v>487.40719999999999</v>
      </c>
      <c r="BJ34" s="16">
        <f>BI33+BI35</f>
        <v>12.5</v>
      </c>
      <c r="BK34" s="16"/>
      <c r="BL34" s="16"/>
    </row>
  </sheetData>
  <mergeCells count="14">
    <mergeCell ref="G31:H31"/>
    <mergeCell ref="I31:J31"/>
    <mergeCell ref="G28:H28"/>
    <mergeCell ref="I28:J28"/>
    <mergeCell ref="G29:H29"/>
    <mergeCell ref="I29:J29"/>
    <mergeCell ref="G30:H30"/>
    <mergeCell ref="I30:J30"/>
    <mergeCell ref="A1:Z1"/>
    <mergeCell ref="B19:G19"/>
    <mergeCell ref="A21:B21"/>
    <mergeCell ref="G27:H27"/>
    <mergeCell ref="I27:J27"/>
    <mergeCell ref="M27:P27"/>
  </mergeCells>
  <pageMargins left="0.7" right="0.7" top="0.75" bottom="0.75" header="0.3" footer="0.3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>
  <dimension ref="A1:BM34"/>
  <sheetViews>
    <sheetView topLeftCell="A13" workbookViewId="0">
      <selection activeCell="AW23" sqref="AW23"/>
    </sheetView>
  </sheetViews>
  <sheetFormatPr defaultColWidth="9" defaultRowHeight="15"/>
  <cols>
    <col min="2" max="2" customWidth="true" width="16.28515625"/>
    <col min="35" max="35" customWidth="true" width="13.5703125"/>
    <col min="36" max="36" customWidth="true" width="15.5703125"/>
    <col min="44" max="44" customWidth="true" width="15.28515625"/>
    <col min="45" max="45" customWidth="true" width="20.28515625"/>
    <col min="46" max="46" customWidth="true" width="11.42578125"/>
    <col min="47" max="47" customWidth="true" width="16.28515625"/>
    <col min="48" max="48" customWidth="true" width="13.85546875"/>
    <col min="49" max="49" customWidth="true" width="18.85546875"/>
    <col min="51" max="51" customWidth="true" width="21.7109375"/>
    <col min="65" max="65" customWidth="true" width="34.42578125"/>
  </cols>
  <sheetData>
    <row r="1" spans="1:64" ht="18">
      <c r="A1" s="154" t="s">
        <v>154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</row>
    <row r="2" spans="1:64" ht="18">
      <c r="A2" s="1" t="s">
        <v>47</v>
      </c>
      <c r="B2" s="1"/>
      <c r="C2" s="1"/>
      <c r="D2" s="1"/>
      <c r="E2" s="1"/>
      <c r="F2" s="1"/>
      <c r="G2" s="1"/>
      <c r="H2" s="1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</row>
    <row r="3" spans="1:64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</row>
    <row r="4" spans="1:64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</row>
    <row r="5" spans="1:64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</row>
    <row r="6" spans="1:64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</row>
    <row r="7" spans="1:64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</row>
    <row r="8" spans="1:64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</row>
    <row r="9" spans="1:64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</row>
    <row r="10" spans="1:64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</row>
    <row r="11" spans="1:64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</row>
    <row r="12" spans="1:64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</row>
    <row r="13" spans="1:64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2507.6799999999998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</row>
    <row r="14" spans="1:64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64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</row>
    <row r="16" spans="1:64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</row>
    <row r="17" spans="1:65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</row>
    <row r="18" spans="1:65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</row>
    <row r="19" spans="1:65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</row>
    <row r="20" spans="1:65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</row>
    <row r="21" spans="1:65">
      <c r="A21" s="151" t="s">
        <v>89</v>
      </c>
      <c r="B21" s="151"/>
      <c r="C21" s="20">
        <v>1</v>
      </c>
      <c r="D21" s="21" t="s">
        <v>90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2</v>
      </c>
      <c r="Q21" s="34" t="s">
        <v>95</v>
      </c>
      <c r="R21" s="18"/>
      <c r="S21" s="18"/>
      <c r="T21" s="18"/>
      <c r="U21" s="18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</row>
    <row r="22" spans="1:65" ht="57">
      <c r="A22" s="61" t="s">
        <v>155</v>
      </c>
      <c r="B22" s="61" t="s">
        <v>49</v>
      </c>
      <c r="C22" s="61" t="s">
        <v>156</v>
      </c>
      <c r="D22" s="61" t="s">
        <v>51</v>
      </c>
      <c r="E22" s="61" t="s">
        <v>52</v>
      </c>
      <c r="F22" s="61" t="s">
        <v>53</v>
      </c>
      <c r="G22" s="61" t="s">
        <v>54</v>
      </c>
      <c r="H22" s="61" t="s">
        <v>55</v>
      </c>
      <c r="I22" s="63" t="s">
        <v>97</v>
      </c>
      <c r="J22" s="63" t="s">
        <v>99</v>
      </c>
      <c r="K22" s="63" t="s">
        <v>98</v>
      </c>
      <c r="L22" s="64" t="s">
        <v>100</v>
      </c>
      <c r="M22" s="64" t="s">
        <v>101</v>
      </c>
      <c r="N22" s="64" t="s">
        <v>104</v>
      </c>
      <c r="O22" s="64" t="s">
        <v>105</v>
      </c>
      <c r="P22" s="64" t="s">
        <v>157</v>
      </c>
      <c r="Q22" s="64" t="s">
        <v>103</v>
      </c>
      <c r="R22" s="63" t="s">
        <v>106</v>
      </c>
      <c r="S22" s="61" t="s">
        <v>158</v>
      </c>
      <c r="T22" s="61" t="s">
        <v>108</v>
      </c>
      <c r="U22" s="67" t="s">
        <v>159</v>
      </c>
      <c r="V22" s="67" t="s">
        <v>110</v>
      </c>
      <c r="W22" s="67" t="s">
        <v>111</v>
      </c>
      <c r="X22" s="67" t="s">
        <v>112</v>
      </c>
      <c r="Y22" s="67" t="s">
        <v>113</v>
      </c>
      <c r="Z22" s="69" t="s">
        <v>114</v>
      </c>
      <c r="AA22" s="69" t="s">
        <v>115</v>
      </c>
      <c r="AB22" s="69" t="s">
        <v>116</v>
      </c>
      <c r="AC22" s="69" t="s">
        <v>117</v>
      </c>
      <c r="AD22" s="69" t="s">
        <v>118</v>
      </c>
      <c r="AE22" s="69" t="s">
        <v>119</v>
      </c>
      <c r="AF22" s="69" t="s">
        <v>120</v>
      </c>
      <c r="AG22" s="69" t="s">
        <v>121</v>
      </c>
      <c r="AH22" s="69" t="s">
        <v>122</v>
      </c>
      <c r="AI22" s="69" t="s">
        <v>123</v>
      </c>
      <c r="AJ22" s="69" t="s">
        <v>124</v>
      </c>
      <c r="AK22" s="69" t="s">
        <v>125</v>
      </c>
      <c r="AL22" s="69" t="s">
        <v>126</v>
      </c>
      <c r="AM22" s="69" t="s">
        <v>127</v>
      </c>
      <c r="AN22" s="69" t="s">
        <v>128</v>
      </c>
      <c r="AO22" s="70" t="s">
        <v>160</v>
      </c>
      <c r="AP22" s="3" t="s">
        <v>211</v>
      </c>
      <c r="AQ22" s="3" t="s">
        <v>128</v>
      </c>
      <c r="AR22" s="47" t="s">
        <v>131</v>
      </c>
      <c r="AS22" s="47" t="s">
        <v>132</v>
      </c>
      <c r="AT22" s="47" t="s">
        <v>133</v>
      </c>
      <c r="AU22" s="47" t="s">
        <v>134</v>
      </c>
      <c r="AV22" s="47" t="s">
        <v>135</v>
      </c>
      <c r="AW22" s="47" t="s">
        <v>136</v>
      </c>
      <c r="AX22" s="47" t="s">
        <v>137</v>
      </c>
      <c r="AY22" s="47" t="s">
        <v>138</v>
      </c>
      <c r="AZ22" s="49" t="s">
        <v>139</v>
      </c>
      <c r="BA22" s="49" t="s">
        <v>8</v>
      </c>
      <c r="BB22" s="49" t="s">
        <v>9</v>
      </c>
      <c r="BC22" s="47" t="s">
        <v>212</v>
      </c>
      <c r="BD22" s="47" t="s">
        <v>140</v>
      </c>
      <c r="BE22" s="47" t="s">
        <v>141</v>
      </c>
      <c r="BF22" s="47" t="s">
        <v>142</v>
      </c>
      <c r="BG22" s="47" t="s">
        <v>143</v>
      </c>
      <c r="BH22" s="47" t="s">
        <v>144</v>
      </c>
      <c r="BI22" s="47" t="s">
        <v>213</v>
      </c>
      <c r="BJ22" s="52" t="s">
        <v>214</v>
      </c>
      <c r="BK22" s="47" t="s">
        <v>215</v>
      </c>
      <c r="BL22" s="47" t="s">
        <v>136</v>
      </c>
      <c r="BM22" s="56" t="s">
        <v>216</v>
      </c>
    </row>
    <row r="23" spans="1:65">
      <c r="A23" s="25">
        <v>1</v>
      </c>
      <c r="B23" s="25" t="s">
        <v>309</v>
      </c>
      <c r="C23" s="25" t="s">
        <v>162</v>
      </c>
      <c r="D23" s="25" t="s">
        <v>58</v>
      </c>
      <c r="E23" s="25" t="s">
        <v>163</v>
      </c>
      <c r="F23" s="26">
        <v>25</v>
      </c>
      <c r="G23" t="s" s="0">
        <v>310</v>
      </c>
      <c r="H23" s="26">
        <f>F23*G23</f>
        <v>1967.5</v>
      </c>
      <c r="I23" t="s" s="0">
        <v>224</v>
      </c>
      <c r="J23" s="26">
        <v>2</v>
      </c>
      <c r="K23" s="26">
        <v>2.5</v>
      </c>
      <c r="L23" s="26">
        <f>H23</f>
        <v>1967.5</v>
      </c>
      <c r="M23" s="26">
        <f>ROUND(L23*I23%,2)</f>
        <v>39.35</v>
      </c>
      <c r="N23" s="26">
        <f>H23-M23</f>
        <v>1928.15</v>
      </c>
      <c r="O23" s="26">
        <f>ROUND(N23*J23%,2)</f>
        <v>38.56</v>
      </c>
      <c r="P23" s="26">
        <f>ROUND(N23-O23,2)</f>
        <v>1889.59</v>
      </c>
      <c r="Q23" s="26">
        <f>ROUND(P23*K23%,2)</f>
        <v>47.24</v>
      </c>
      <c r="R23" s="26">
        <f>ROUND((M23+O23+Q23),2)</f>
        <v>125.15</v>
      </c>
      <c r="S23" s="26">
        <f>ROUND((H23-R23),2)</f>
        <v>1842.35</v>
      </c>
      <c r="T23" s="55" t="s">
        <v>146</v>
      </c>
      <c r="U23" s="43">
        <v>0.18</v>
      </c>
      <c r="V23" s="26">
        <f>IF($C$21=1,ROUND(((S23*U23)/2),2),0)</f>
        <v>165.81</v>
      </c>
      <c r="W23" s="26">
        <f>IF($C$21=1,ROUND(((S23*U23)/2),2),0)</f>
        <v>165.81</v>
      </c>
      <c r="X23" s="26">
        <f>IF($C$21=2,ROUND(((S23*U23)),2),0)</f>
        <v>0</v>
      </c>
      <c r="Y23" s="25">
        <f>ROUND((S23*18%),2)</f>
        <v>331.62</v>
      </c>
      <c r="Z23" s="25">
        <f>S23+Y23</f>
        <v>2173.9699999999998</v>
      </c>
      <c r="AA23" s="55">
        <v>120</v>
      </c>
      <c r="AB23" s="55">
        <f>IF($P$21=1,(S23/$S$25)*$E$36,AA23/$AA$25*$E$36)</f>
        <v>0</v>
      </c>
      <c r="AC23" s="55"/>
      <c r="AD23" s="55">
        <f>IF($P$21=1,(S23/$S$25)*$E$38,AA23/$AA$25*$E$38)</f>
        <v>0</v>
      </c>
      <c r="AE23" s="55">
        <f>IF($P$21=1,(S23/$S$25)*$E$39,AA23/$AA$25*$E$39)</f>
        <v>0</v>
      </c>
      <c r="AF23" s="55">
        <f t="shared" ref="AF23:AF24" si="1">S23*$M$21</f>
        <v>1842.35</v>
      </c>
      <c r="AG23" s="55">
        <f>IF($C$21=3,0,AD23+AE23)</f>
        <v>0</v>
      </c>
      <c r="AH23" s="55">
        <f t="shared" ref="AH23:AH24" si="2">IF($C$21=3,AB23+AD23+AE23,0)</f>
        <v>0</v>
      </c>
      <c r="AI23" s="26">
        <v>2</v>
      </c>
      <c r="AJ23" s="55">
        <f t="shared" ref="AJ23:AJ24" si="3">F23/AI23</f>
        <v>12.5</v>
      </c>
      <c r="AK23" s="55">
        <f>ROUND(AF23/AJ23,5)</f>
        <v>147.38800000000001</v>
      </c>
      <c r="AL23" s="55">
        <f>AG23/AJ23</f>
        <v>0</v>
      </c>
      <c r="AM23" s="55">
        <f>AH23/AJ23</f>
        <v>0</v>
      </c>
      <c r="AN23" s="55" t="s">
        <v>58</v>
      </c>
      <c r="AO23" s="55">
        <f>ROUND(AK23+AL23+AM23,5)</f>
        <v>147.38800000000001</v>
      </c>
      <c r="AP23" s="7" t="s">
        <v>217</v>
      </c>
      <c r="AQ23" s="7" t="s">
        <v>58</v>
      </c>
      <c r="AR23" t="s" s="0">
        <v>305</v>
      </c>
      <c r="AS23" t="s" s="0">
        <v>311</v>
      </c>
      <c r="AT23" s="9">
        <f>AJ23</f>
        <v>12.5</v>
      </c>
      <c r="AU23" s="9">
        <f>AO23</f>
        <v>147.38800000000001</v>
      </c>
      <c r="AV23" s="48">
        <f>AR23+AT23</f>
        <v>25</v>
      </c>
      <c r="AW23" s="7">
        <f>ROUND(((AR23*AS23)+(AT23*AU23))/(AR23+AT23),5)</f>
        <v>147.38800000000001</v>
      </c>
      <c r="AX23" s="71"/>
      <c r="AY23" s="71" t="s">
        <v>149</v>
      </c>
      <c r="AZ23" s="72" t="s">
        <v>38</v>
      </c>
      <c r="BA23" s="72" t="s">
        <v>291</v>
      </c>
      <c r="BB23" s="72" t="s">
        <v>292</v>
      </c>
      <c r="BC23" s="71"/>
      <c r="BD23" s="71"/>
      <c r="BE23" s="71"/>
      <c r="BF23" s="7"/>
      <c r="BG23" s="7"/>
      <c r="BH23" s="7"/>
      <c r="BI23" s="7" t="s">
        <v>271</v>
      </c>
      <c r="BJ23" t="s" s="0">
        <v>219</v>
      </c>
      <c r="BK23" t="s" s="0">
        <v>219</v>
      </c>
      <c r="BL23" s="7">
        <f>ROUND((((AT23*AW23)+(BK23*BJ23))/(AT23+BK23)),5)</f>
        <v>147.38800000000001</v>
      </c>
      <c r="BM23" s="53">
        <f>BK23+AT23</f>
        <v>12.5</v>
      </c>
    </row>
    <row r="24" spans="1:65">
      <c r="A24" s="25">
        <v>2</v>
      </c>
      <c r="B24" s="25" t="s">
        <v>312</v>
      </c>
      <c r="C24" s="25" t="s">
        <v>175</v>
      </c>
      <c r="D24" s="25" t="s">
        <v>58</v>
      </c>
      <c r="E24" s="25" t="s">
        <v>163</v>
      </c>
      <c r="F24" s="26">
        <v>28</v>
      </c>
      <c r="G24" t="s" s="0">
        <v>313</v>
      </c>
      <c r="H24" s="26">
        <f t="shared" ref="H24" si="4">F24*G24</f>
        <v>2380</v>
      </c>
      <c r="I24" t="s" s="0">
        <v>307</v>
      </c>
      <c r="J24" s="26">
        <v>2</v>
      </c>
      <c r="K24" s="26">
        <v>2.5</v>
      </c>
      <c r="L24" s="26">
        <f t="shared" ref="L24" si="5">H24</f>
        <v>2380</v>
      </c>
      <c r="M24" s="26">
        <f t="shared" ref="M24" si="6">ROUND(L24*I24%,2)</f>
        <v>71.400000000000006</v>
      </c>
      <c r="N24" s="26">
        <f t="shared" ref="N24" si="7">H24-M24</f>
        <v>2308.6</v>
      </c>
      <c r="O24" s="26">
        <f t="shared" ref="O24" si="8">ROUND(N24*J24%,2)</f>
        <v>46.17</v>
      </c>
      <c r="P24" s="26">
        <f t="shared" ref="P24" si="9">ROUND(N24-O24,2)</f>
        <v>2262.4299999999998</v>
      </c>
      <c r="Q24" s="26">
        <f t="shared" ref="Q24" si="10">ROUND(P24*K24%,2)</f>
        <v>56.56</v>
      </c>
      <c r="R24" s="26">
        <f t="shared" ref="R24" si="11">ROUND((M24+O24+Q24),2)</f>
        <v>174.13</v>
      </c>
      <c r="S24" s="26">
        <f t="shared" ref="S24" si="12">ROUND((H24-R24),2)</f>
        <v>2205.87</v>
      </c>
      <c r="T24" s="55" t="s">
        <v>273</v>
      </c>
      <c r="U24" s="43">
        <v>0.18</v>
      </c>
      <c r="V24" s="26">
        <f t="shared" ref="V24" si="13">IF($C$21=1,ROUND(((S24*U24)/2),2),0)</f>
        <v>198.53</v>
      </c>
      <c r="W24" s="26">
        <f t="shared" ref="W24" si="14">IF($C$21=1,ROUND(((S24*U24)/2),2),0)</f>
        <v>198.53</v>
      </c>
      <c r="X24" s="26">
        <f t="shared" ref="X24" si="15">IF($C$21=2,ROUND(((S24*U24)),2),0)</f>
        <v>0</v>
      </c>
      <c r="Y24" s="25">
        <f t="shared" ref="Y24" si="16">ROUND((S24*18%),2)</f>
        <v>397.06</v>
      </c>
      <c r="Z24" s="25">
        <f t="shared" ref="Z24" si="17">S24+Y24</f>
        <v>2602.9299999999998</v>
      </c>
      <c r="AA24" s="55">
        <v>350</v>
      </c>
      <c r="AB24" s="55">
        <f>IF($P$21=1,(S24/$S$25)*$E$36,AA24/$AA$25*$E$36)</f>
        <v>0</v>
      </c>
      <c r="AC24" s="55"/>
      <c r="AD24" s="55">
        <f>IF($P$21=1,(S24/$S$25)*$E$38,AA24/$AA$25*$E$38)</f>
        <v>0</v>
      </c>
      <c r="AE24" s="55">
        <f>IF($P$21=1,(S24/$S$25)*$E$39,AA24/$AA$25*$E$39)</f>
        <v>0</v>
      </c>
      <c r="AF24" s="55">
        <f t="shared" si="1"/>
        <v>2205.87</v>
      </c>
      <c r="AG24" s="55">
        <f t="shared" ref="AG24" si="18">IF($C$21=3,0,AD24+AE24)</f>
        <v>0</v>
      </c>
      <c r="AH24" s="55">
        <f t="shared" si="2"/>
        <v>0</v>
      </c>
      <c r="AI24" s="26">
        <v>2</v>
      </c>
      <c r="AJ24" s="55">
        <f t="shared" si="3"/>
        <v>14</v>
      </c>
      <c r="AK24" s="55">
        <f t="shared" ref="AK24" si="19">ROUND(AF24/AJ24,5)</f>
        <v>157.56214</v>
      </c>
      <c r="AL24" s="55">
        <f t="shared" ref="AL24" si="20">AG24/AJ24</f>
        <v>0</v>
      </c>
      <c r="AM24" s="55">
        <f t="shared" ref="AM24" si="21">AH24/AJ24</f>
        <v>0</v>
      </c>
      <c r="AN24" s="55" t="s">
        <v>58</v>
      </c>
      <c r="AO24" s="55">
        <f t="shared" ref="AO24" si="22">ROUND(AK24+AL24+AM24,5)</f>
        <v>157.56214</v>
      </c>
      <c r="AP24" s="7" t="s">
        <v>217</v>
      </c>
      <c r="AQ24" s="7" t="s">
        <v>58</v>
      </c>
      <c r="AR24" t="s" s="0">
        <v>308</v>
      </c>
      <c r="AS24" t="s" s="0">
        <v>314</v>
      </c>
      <c r="AT24" s="9">
        <f>AJ24</f>
        <v>14</v>
      </c>
      <c r="AU24" s="9">
        <f>AO24</f>
        <v>157.56214</v>
      </c>
      <c r="AV24" s="48">
        <f t="shared" ref="AV24" si="23">AR24+AT24</f>
        <v>28</v>
      </c>
      <c r="AW24" s="7">
        <f>ROUND(((AR24*AS24)+(AT24*AU24))/(AR24+AT24),5)</f>
        <v>157.56214</v>
      </c>
      <c r="AX24" s="71"/>
      <c r="AY24" s="71"/>
      <c r="AZ24" s="72" t="s">
        <v>38</v>
      </c>
      <c r="BA24" s="72" t="s">
        <v>298</v>
      </c>
      <c r="BB24" s="72" t="s">
        <v>292</v>
      </c>
      <c r="BC24" s="71"/>
      <c r="BD24" s="71"/>
      <c r="BE24" s="71"/>
      <c r="BF24" s="7"/>
      <c r="BG24" s="7"/>
      <c r="BH24" s="7"/>
      <c r="BI24" s="7" t="s">
        <v>271</v>
      </c>
      <c r="BJ24" t="s" s="0">
        <v>219</v>
      </c>
      <c r="BK24" t="s" s="0">
        <v>219</v>
      </c>
      <c r="BL24" s="7">
        <f t="shared" ref="BL24" si="24">ROUND((((AT24*AW24)+(BK24*BJ24))/(AT24+BK24)),5)</f>
        <v>157.56214</v>
      </c>
      <c r="BM24" s="53">
        <f t="shared" ref="BM24" si="25">BK24+AT24</f>
        <v>14</v>
      </c>
    </row>
    <row r="25" spans="1:65">
      <c r="A25" s="16"/>
      <c r="C25" s="62" t="s">
        <v>87</v>
      </c>
      <c r="D25" s="28"/>
      <c r="E25" s="28"/>
      <c r="F25" s="28"/>
      <c r="G25" s="29"/>
      <c r="H25" s="30">
        <f>SUM(H23:H24)</f>
        <v>4347.5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299.27999999999997</v>
      </c>
      <c r="S25" s="30">
        <f>SUM(S23:S24)</f>
        <v>4048.22</v>
      </c>
      <c r="T25" s="30"/>
      <c r="U25" s="30"/>
      <c r="V25" s="39">
        <f t="shared" ref="V25:AB25" si="26">SUM(V23:V24)</f>
        <v>364.34</v>
      </c>
      <c r="W25" s="39">
        <f t="shared" si="26"/>
        <v>364.34</v>
      </c>
      <c r="X25" s="39">
        <f t="shared" si="26"/>
        <v>0</v>
      </c>
      <c r="Y25" s="30">
        <f t="shared" si="26"/>
        <v>728.68</v>
      </c>
      <c r="Z25" s="44">
        <f t="shared" si="26"/>
        <v>4776.8999999999996</v>
      </c>
      <c r="AA25" s="45">
        <f t="shared" si="26"/>
        <v>470</v>
      </c>
      <c r="AB25" s="45">
        <f t="shared" si="26"/>
        <v>0</v>
      </c>
      <c r="AC25" s="44"/>
      <c r="AD25" s="45">
        <f>SUM(AD23:AD24)</f>
        <v>0</v>
      </c>
      <c r="AE25" s="45">
        <f>IF($P$21=1,(S25/$S$25)*$E$39,AA25/$AA$25*$E$39)</f>
        <v>0</v>
      </c>
      <c r="AF25" s="45">
        <f>SUM(AF23:AF24)</f>
        <v>4048.22</v>
      </c>
      <c r="AG25" s="45">
        <f>SUM(AG23:AG24)</f>
        <v>0</v>
      </c>
      <c r="AH25" s="45">
        <f>SUM(AH23:AH24)</f>
        <v>0</v>
      </c>
      <c r="AI25" s="44"/>
      <c r="AJ25" s="44"/>
      <c r="AK25" s="44"/>
      <c r="AL25" s="44"/>
      <c r="AM25" s="44"/>
      <c r="AN25" s="44"/>
      <c r="AO25" s="44"/>
      <c r="AP25" s="16"/>
      <c r="AQ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</row>
    <row r="26" spans="1:6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</row>
    <row r="27" spans="1:65">
      <c r="A27" s="16"/>
      <c r="B27" s="16"/>
      <c r="C27" s="16"/>
      <c r="D27" s="16"/>
      <c r="E27" s="16"/>
      <c r="F27" s="16"/>
      <c r="G27" s="156" t="s">
        <v>194</v>
      </c>
      <c r="H27" s="157"/>
      <c r="I27" s="158">
        <f>H25</f>
        <v>4347.5</v>
      </c>
      <c r="J27" s="158"/>
      <c r="K27" s="65"/>
      <c r="L27" s="16"/>
      <c r="M27" s="159" t="s">
        <v>195</v>
      </c>
      <c r="N27" s="160"/>
      <c r="O27" s="160"/>
      <c r="P27" s="161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 t="s">
        <v>278</v>
      </c>
      <c r="BF27" s="108" t="s">
        <v>279</v>
      </c>
      <c r="BG27" s="16"/>
      <c r="BH27" s="16"/>
      <c r="BI27" s="16"/>
      <c r="BJ27" s="16"/>
      <c r="BK27" s="16"/>
      <c r="BL27" s="16"/>
    </row>
    <row r="28" spans="1:65">
      <c r="A28" s="16"/>
      <c r="B28" s="16"/>
      <c r="C28" s="16"/>
      <c r="D28" s="16"/>
      <c r="E28" s="16"/>
      <c r="F28" s="16"/>
      <c r="G28" s="156" t="s">
        <v>196</v>
      </c>
      <c r="H28" s="157"/>
      <c r="I28" s="158">
        <f>R25</f>
        <v>299.27999999999997</v>
      </c>
      <c r="J28" s="158"/>
      <c r="K28" s="16"/>
      <c r="L28" s="16"/>
      <c r="M28" s="66">
        <v>1</v>
      </c>
      <c r="N28" s="66" t="s">
        <v>58</v>
      </c>
      <c r="O28" s="66">
        <v>2</v>
      </c>
      <c r="P28" s="66" t="s">
        <v>163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 t="s">
        <v>280</v>
      </c>
      <c r="BF28" s="108" t="s">
        <v>281</v>
      </c>
      <c r="BG28" s="16"/>
      <c r="BH28" s="16"/>
      <c r="BI28" s="16"/>
      <c r="BJ28" s="16"/>
      <c r="BK28" s="16"/>
      <c r="BL28" s="16"/>
    </row>
    <row r="29" spans="1:65">
      <c r="A29" s="16"/>
      <c r="B29" s="16"/>
      <c r="C29" s="16"/>
      <c r="D29" s="16"/>
      <c r="E29" s="16"/>
      <c r="F29" s="16"/>
      <c r="G29" s="156" t="s">
        <v>197</v>
      </c>
      <c r="H29" s="157"/>
      <c r="I29" s="158">
        <f>S25</f>
        <v>4048.22</v>
      </c>
      <c r="J29" s="158"/>
      <c r="K29" s="16"/>
      <c r="L29" s="16"/>
      <c r="M29" s="25">
        <v>1</v>
      </c>
      <c r="N29" s="25" t="s">
        <v>58</v>
      </c>
      <c r="O29" s="25">
        <v>2.5</v>
      </c>
      <c r="P29" s="25" t="s">
        <v>176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</row>
    <row r="30" spans="1:65">
      <c r="A30" s="16"/>
      <c r="B30" s="16"/>
      <c r="C30" s="16"/>
      <c r="D30" s="16"/>
      <c r="E30" s="16"/>
      <c r="F30" s="16"/>
      <c r="G30" s="156" t="s">
        <v>198</v>
      </c>
      <c r="H30" s="157"/>
      <c r="I30" s="158">
        <f>Y25</f>
        <v>728.68</v>
      </c>
      <c r="J30" s="158"/>
      <c r="K30" s="16"/>
      <c r="L30" s="16"/>
      <c r="M30" s="25">
        <v>1</v>
      </c>
      <c r="N30" s="25" t="s">
        <v>163</v>
      </c>
      <c r="O30" s="25">
        <v>1E-3</v>
      </c>
      <c r="P30" s="25" t="s">
        <v>185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</row>
    <row r="31" spans="1:65">
      <c r="A31" s="16"/>
      <c r="B31" s="16"/>
      <c r="C31" s="16"/>
      <c r="D31" s="16"/>
      <c r="E31" s="16"/>
      <c r="F31" s="16"/>
      <c r="G31" s="156" t="s">
        <v>199</v>
      </c>
      <c r="H31" s="157"/>
      <c r="I31" s="162">
        <f>I29+I30</f>
        <v>4776.8999999999996</v>
      </c>
      <c r="J31" s="162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</row>
    <row r="32" spans="1:6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 t="s">
        <v>282</v>
      </c>
      <c r="BK32" s="16" t="s">
        <v>283</v>
      </c>
      <c r="BL32" s="16"/>
    </row>
    <row r="33" spans="1:64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 t="s">
        <v>284</v>
      </c>
      <c r="BI33" s="16">
        <v>12.5</v>
      </c>
      <c r="BJ33" s="16">
        <f>BI35*BI36</f>
        <v>0</v>
      </c>
      <c r="BK33" s="16">
        <f>BI33*BI34</f>
        <v>6092.59</v>
      </c>
      <c r="BL33" s="16"/>
    </row>
    <row r="34" spans="1:6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 t="s">
        <v>285</v>
      </c>
      <c r="BI34" s="16">
        <v>487.40719999999999</v>
      </c>
      <c r="BJ34" s="16">
        <f>BI33+BI35</f>
        <v>12.5</v>
      </c>
      <c r="BK34" s="16"/>
      <c r="BL34" s="16"/>
    </row>
  </sheetData>
  <mergeCells count="14">
    <mergeCell ref="G31:H31"/>
    <mergeCell ref="I31:J31"/>
    <mergeCell ref="G28:H28"/>
    <mergeCell ref="I28:J28"/>
    <mergeCell ref="G29:H29"/>
    <mergeCell ref="I29:J29"/>
    <mergeCell ref="G30:H30"/>
    <mergeCell ref="I30:J30"/>
    <mergeCell ref="A1:Z1"/>
    <mergeCell ref="B19:G19"/>
    <mergeCell ref="A21:B21"/>
    <mergeCell ref="G27:H27"/>
    <mergeCell ref="I27:J27"/>
    <mergeCell ref="M27:P27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BO26"/>
  <sheetViews>
    <sheetView topLeftCell="A19" workbookViewId="0">
      <selection activeCell="C23" sqref="C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62.710937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2" max="12" customWidth="true" width="13.85546875"/>
    <col min="14" max="14" customWidth="true" width="13.5703125"/>
    <col min="16" max="16" customWidth="true" width="13.7109375"/>
    <col min="17" max="17" customWidth="true" width="37.7109375"/>
    <col min="18" max="18" customWidth="true" width="10.85546875"/>
    <col min="26" max="26" customWidth="true" width="10.28515625"/>
    <col min="27" max="27" customWidth="true" width="12.85546875"/>
    <col min="28" max="28" customWidth="true" width="8.7109375"/>
    <col min="29" max="29" customWidth="true" width="9.28515625"/>
    <col min="31" max="31" customWidth="true" width="8.42578125"/>
    <col min="32" max="32" customWidth="true" width="14.28515625"/>
    <col min="35" max="35" customWidth="true" width="13.5703125"/>
    <col min="36" max="36" customWidth="true" width="15.5703125"/>
    <col min="39" max="39" customWidth="true" width="8.5703125"/>
    <col min="40" max="40" customWidth="true" width="11.85546875"/>
    <col min="48" max="48" customWidth="true" width="13.85546875"/>
    <col min="49" max="49" customWidth="true" width="18.85546875"/>
    <col min="57" max="57" customWidth="true" width="12.5703125"/>
    <col min="58" max="58" customWidth="true" width="21.7109375"/>
    <col min="59" max="59" customWidth="true" width="30.5703125"/>
    <col min="62" max="62" customWidth="true" width="41.140625"/>
    <col min="63" max="63" customWidth="true" width="37.0"/>
    <col min="64" max="64" customWidth="true" width="18.85546875"/>
    <col min="65" max="65" customWidth="true" width="34.42578125"/>
  </cols>
  <sheetData>
    <row r="1" spans="1:42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6"/>
      <c r="AP1" s="16"/>
    </row>
    <row r="2" spans="1:42" ht="18">
      <c r="A2" s="1" t="s">
        <v>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6"/>
      <c r="AP2" s="16"/>
    </row>
    <row r="3" spans="1:42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16"/>
    </row>
    <row r="4" spans="1:42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16"/>
    </row>
    <row r="5" spans="1:42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16"/>
    </row>
    <row r="6" spans="1:42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16"/>
    </row>
    <row r="7" spans="1:42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16"/>
    </row>
    <row r="8" spans="1:42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16"/>
    </row>
    <row r="9" spans="1:42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16"/>
    </row>
    <row r="10" spans="1:42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16"/>
    </row>
    <row r="11" spans="1:42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16"/>
    </row>
    <row r="12" spans="1:42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16"/>
    </row>
    <row r="13" spans="1:42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2507.6799999999998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16"/>
    </row>
    <row r="14" spans="1:42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16"/>
    </row>
    <row r="15" spans="1:42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16"/>
    </row>
    <row r="16" spans="1:42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16"/>
    </row>
    <row r="17" spans="1:67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>
        <v>5858.27</v>
      </c>
      <c r="T17" s="32"/>
      <c r="U17" s="31"/>
      <c r="V17" s="31"/>
      <c r="W17" s="31"/>
      <c r="X17" s="31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16"/>
    </row>
    <row r="18" spans="1:67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16"/>
    </row>
    <row r="19" spans="1:67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6"/>
    </row>
    <row r="20" spans="1:67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6"/>
    </row>
    <row r="21" spans="1:67">
      <c r="A21" s="151" t="s">
        <v>89</v>
      </c>
      <c r="B21" s="151"/>
      <c r="C21" s="20">
        <v>1</v>
      </c>
      <c r="D21" s="21" t="s">
        <v>90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6"/>
    </row>
    <row r="22" spans="1:67" ht="57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113</v>
      </c>
      <c r="Z22" s="41" t="s">
        <v>114</v>
      </c>
      <c r="AA22" s="41" t="s">
        <v>115</v>
      </c>
      <c r="AB22" s="42" t="s">
        <v>116</v>
      </c>
      <c r="AC22" s="42" t="s">
        <v>117</v>
      </c>
      <c r="AD22" s="42" t="s">
        <v>118</v>
      </c>
      <c r="AE22" s="41" t="s">
        <v>119</v>
      </c>
      <c r="AF22" s="41" t="s">
        <v>120</v>
      </c>
      <c r="AG22" s="42" t="s">
        <v>121</v>
      </c>
      <c r="AH22" s="42" t="s">
        <v>122</v>
      </c>
      <c r="AI22" s="41" t="s">
        <v>123</v>
      </c>
      <c r="AJ22" s="41" t="s">
        <v>124</v>
      </c>
      <c r="AK22" s="42" t="s">
        <v>125</v>
      </c>
      <c r="AL22" s="42" t="s">
        <v>126</v>
      </c>
      <c r="AM22" s="42" t="s">
        <v>127</v>
      </c>
      <c r="AN22" s="41" t="s">
        <v>128</v>
      </c>
      <c r="AO22" s="46" t="s">
        <v>129</v>
      </c>
      <c r="AP22" s="3" t="s">
        <v>211</v>
      </c>
      <c r="AQ22" s="3" t="s">
        <v>128</v>
      </c>
      <c r="AR22" s="47" t="s">
        <v>131</v>
      </c>
      <c r="AS22" s="47" t="s">
        <v>132</v>
      </c>
      <c r="AT22" s="47" t="s">
        <v>133</v>
      </c>
      <c r="AU22" s="47" t="s">
        <v>134</v>
      </c>
      <c r="AV22" s="47" t="s">
        <v>135</v>
      </c>
      <c r="AW22" s="47" t="s">
        <v>136</v>
      </c>
      <c r="AX22" s="47" t="s">
        <v>137</v>
      </c>
      <c r="AY22" s="47" t="s">
        <v>138</v>
      </c>
      <c r="AZ22" s="49" t="s">
        <v>139</v>
      </c>
      <c r="BA22" s="49" t="s">
        <v>8</v>
      </c>
      <c r="BB22" s="49" t="s">
        <v>9</v>
      </c>
      <c r="BC22" s="47" t="s">
        <v>212</v>
      </c>
      <c r="BD22" s="47" t="s">
        <v>140</v>
      </c>
      <c r="BE22" s="47" t="s">
        <v>141</v>
      </c>
      <c r="BF22" s="47" t="s">
        <v>142</v>
      </c>
      <c r="BG22" s="47" t="s">
        <v>143</v>
      </c>
      <c r="BH22" s="47" t="s">
        <v>144</v>
      </c>
      <c r="BI22" s="47" t="s">
        <v>213</v>
      </c>
      <c r="BJ22" s="52" t="s">
        <v>214</v>
      </c>
      <c r="BK22" s="47" t="s">
        <v>215</v>
      </c>
      <c r="BL22" s="47" t="s">
        <v>136</v>
      </c>
      <c r="BM22" s="56" t="s">
        <v>216</v>
      </c>
    </row>
    <row r="23" spans="1:67">
      <c r="A23" s="25">
        <v>1</v>
      </c>
      <c r="B23" s="25" t="s">
        <v>315</v>
      </c>
      <c r="C23" s="25" t="s">
        <v>57</v>
      </c>
      <c r="D23" s="25" t="s">
        <v>58</v>
      </c>
      <c r="E23" s="25" t="s">
        <v>58</v>
      </c>
      <c r="F23" s="26">
        <v>2</v>
      </c>
      <c r="G23" s="26">
        <v>250.25</v>
      </c>
      <c r="H23" s="26">
        <f>F23*G23</f>
        <v>500.5</v>
      </c>
      <c r="I23" s="26">
        <v>2.21</v>
      </c>
      <c r="J23" s="26">
        <v>1.79</v>
      </c>
      <c r="K23" s="26">
        <v>2.5</v>
      </c>
      <c r="L23" s="26">
        <f>H23</f>
        <v>500.5</v>
      </c>
      <c r="M23" s="26">
        <f>ROUND(L23*I23%,2)</f>
        <v>11.06</v>
      </c>
      <c r="N23" s="26">
        <f>H23-M23</f>
        <v>489.44</v>
      </c>
      <c r="O23" s="26">
        <f>ROUND(N23*J23%,2)</f>
        <v>8.76</v>
      </c>
      <c r="P23" s="26">
        <f>ROUND(N23-O23,2)</f>
        <v>480.68</v>
      </c>
      <c r="Q23" s="26">
        <f>ROUND(P23*K23%,2)</f>
        <v>12.02</v>
      </c>
      <c r="R23" s="26">
        <f>M23+O23+Q23</f>
        <v>31.84</v>
      </c>
      <c r="S23" s="26">
        <f>(H23-R23)</f>
        <v>468.66</v>
      </c>
      <c r="T23" s="26" t="s">
        <v>146</v>
      </c>
      <c r="U23" s="26">
        <v>0.18</v>
      </c>
      <c r="V23" s="26">
        <f>IF($C$21=1,ROUND(((S23*U23)/2),2),0)</f>
        <v>42.18</v>
      </c>
      <c r="W23" s="26">
        <f>IF($C$21=1,ROUND(((S23*U23)/2),2),0)</f>
        <v>42.18</v>
      </c>
      <c r="X23" s="26">
        <f>IF($C$21=2,ROUND(((S23*U23)),2),0)</f>
        <v>0</v>
      </c>
      <c r="Y23" s="26">
        <f>V23+W23+X23</f>
        <v>84.36</v>
      </c>
      <c r="Z23" s="26">
        <f t="shared" ref="Z23:Z24" si="1">S23+Y23</f>
        <v>553.02</v>
      </c>
      <c r="AA23" s="26">
        <v>120</v>
      </c>
      <c r="AB23" s="26">
        <f>IF($P$21=1,(S23/$S$25)*$E$36,AA23/$AA$25*$E$36)</f>
        <v>0</v>
      </c>
      <c r="AC23" s="26"/>
      <c r="AD23" s="26">
        <f>IF($P$21=1,(S23/$S$25)*$E$38,AA23/$AA$25*$E$38)</f>
        <v>0</v>
      </c>
      <c r="AE23" s="26">
        <f>IF($P$21=1,(S23/$S$25)*$E$38,AA23/$AA$25*$E$38)</f>
        <v>0</v>
      </c>
      <c r="AF23" s="26">
        <f t="shared" ref="AF23:AF24" si="2">S23*$M$21</f>
        <v>468.66</v>
      </c>
      <c r="AG23" s="26">
        <f t="shared" ref="AG23:AG24" si="3">IF($C$21=3,0,AD23+AE23)</f>
        <v>0</v>
      </c>
      <c r="AH23" s="26">
        <f t="shared" ref="AH23:AH24" si="4">IF($C$21=3,AB23+AD23+AE23,0)</f>
        <v>0</v>
      </c>
      <c r="AI23" s="26">
        <v>1</v>
      </c>
      <c r="AJ23" s="26">
        <f t="shared" ref="AJ23:AJ24" si="5">F23/AI23</f>
        <v>2</v>
      </c>
      <c r="AK23" s="26">
        <f>AF23/AJ23</f>
        <v>234.33</v>
      </c>
      <c r="AL23" s="26">
        <f>AG23/AJ23</f>
        <v>0</v>
      </c>
      <c r="AM23" s="26">
        <f>AH23/AJ23</f>
        <v>0</v>
      </c>
      <c r="AN23" s="26" t="s">
        <v>58</v>
      </c>
      <c r="AO23" s="26">
        <f>AK23+AL23+AM23</f>
        <v>234.33</v>
      </c>
      <c r="AP23" s="48" t="s">
        <v>217</v>
      </c>
      <c r="AQ23" s="48" t="s">
        <v>58</v>
      </c>
      <c r="AR23" t="s" s="0">
        <v>219</v>
      </c>
      <c r="AS23" t="s" s="0">
        <v>240</v>
      </c>
      <c r="AT23" s="48">
        <f>AJ23</f>
        <v>2</v>
      </c>
      <c r="AU23" s="48">
        <f>AO23</f>
        <v>234.33</v>
      </c>
      <c r="AV23" s="48">
        <f>AR23+AT23</f>
        <v>2</v>
      </c>
      <c r="AW23" s="48">
        <f>ROUND(((AR23*AS23)+(AT23*AU23))/(AR23+AT23),5)</f>
        <v>234.33</v>
      </c>
      <c r="AX23" s="50"/>
      <c r="AY23" s="50" t="s">
        <v>149</v>
      </c>
      <c r="AZ23" s="51" t="s">
        <v>38</v>
      </c>
      <c r="BA23" s="51" t="s">
        <v>30</v>
      </c>
      <c r="BB23" s="51" t="s">
        <v>39</v>
      </c>
      <c r="BC23" s="50"/>
      <c r="BD23" s="50"/>
      <c r="BE23" s="50"/>
      <c r="BF23" s="48"/>
      <c r="BG23" s="48"/>
      <c r="BH23" s="48"/>
      <c r="BI23" s="48" t="s">
        <v>31</v>
      </c>
      <c r="BJ23" t="s" s="0">
        <v>240</v>
      </c>
      <c r="BK23" t="s" s="0">
        <v>317</v>
      </c>
      <c r="BL23" s="48">
        <f>ROUND((((AT23*AW23)+(BK23*BJ23))/(AT23+BK23)),5)</f>
        <v>234.33</v>
      </c>
      <c r="BM23" s="53">
        <f>BK23+AT23</f>
        <v>12</v>
      </c>
      <c r="BN23" s="53"/>
      <c r="BO23" s="53"/>
    </row>
    <row r="24" spans="1:67">
      <c r="A24" s="25">
        <v>2</v>
      </c>
      <c r="B24" s="25" t="s">
        <v>318</v>
      </c>
      <c r="C24" s="25" t="s">
        <v>60</v>
      </c>
      <c r="D24" s="25" t="s">
        <v>58</v>
      </c>
      <c r="E24" s="25" t="s">
        <v>58</v>
      </c>
      <c r="F24" s="26">
        <v>3</v>
      </c>
      <c r="G24" s="26">
        <v>251.25</v>
      </c>
      <c r="H24" s="26">
        <f t="shared" ref="H24" si="6">F24*G24</f>
        <v>753.75</v>
      </c>
      <c r="I24" s="26">
        <v>2.21</v>
      </c>
      <c r="J24" s="26">
        <v>1.79</v>
      </c>
      <c r="K24" s="26">
        <v>2.5</v>
      </c>
      <c r="L24" s="26">
        <f t="shared" ref="L24" si="7">H24</f>
        <v>753.75</v>
      </c>
      <c r="M24" s="26">
        <f t="shared" ref="M24" si="8">ROUND(L24*I24%,2)</f>
        <v>16.66</v>
      </c>
      <c r="N24" s="26">
        <f t="shared" ref="N24" si="9">H24-M24</f>
        <v>737.09</v>
      </c>
      <c r="O24" s="26">
        <f t="shared" ref="O24" si="10">ROUND(N24*J24%,2)</f>
        <v>13.19</v>
      </c>
      <c r="P24" s="26">
        <f t="shared" ref="P24" si="11">ROUND(N24-O24,2)</f>
        <v>723.9</v>
      </c>
      <c r="Q24" s="26">
        <f t="shared" ref="Q24" si="12">ROUND(P24*K24%,2)</f>
        <v>18.100000000000001</v>
      </c>
      <c r="R24" s="26">
        <f t="shared" ref="R24" si="13">M24+O24+Q24</f>
        <v>47.95</v>
      </c>
      <c r="S24" s="26">
        <f t="shared" ref="S24" si="14">(H24-R24)</f>
        <v>705.8</v>
      </c>
      <c r="T24" s="26" t="s">
        <v>146</v>
      </c>
      <c r="U24" s="26">
        <v>0.18</v>
      </c>
      <c r="V24" s="26">
        <f t="shared" ref="V24" si="15">IF($C$21=1,ROUND(((S24*U24)/2),2),0)</f>
        <v>63.52</v>
      </c>
      <c r="W24" s="26">
        <f t="shared" ref="W24" si="16">IF($C$21=1,ROUND(((S24*U24)/2),2),0)</f>
        <v>63.52</v>
      </c>
      <c r="X24" s="26">
        <f t="shared" ref="X24" si="17">IF($C$21=2,ROUND(((S24*U24)),2),0)</f>
        <v>0</v>
      </c>
      <c r="Y24" s="26">
        <f t="shared" ref="Y24" si="18">V24+W24+X24</f>
        <v>127.04</v>
      </c>
      <c r="Z24" s="26">
        <f t="shared" si="1"/>
        <v>832.84</v>
      </c>
      <c r="AA24" s="26">
        <v>120</v>
      </c>
      <c r="AB24" s="26">
        <f>IF($P$21=1,(S24/$S$25)*$E$36,AA24/$AA$25*$E$36)</f>
        <v>0</v>
      </c>
      <c r="AC24" s="26"/>
      <c r="AD24" s="26">
        <f>IF($P$21=1,(S24/$S$25)*$E$38,AA24/$AA$25*$E$38)</f>
        <v>0</v>
      </c>
      <c r="AE24" s="26">
        <f>IF($P$21=1,(S24/$S$25)*$E$38,AA24/$AA$25*$E$38)</f>
        <v>0</v>
      </c>
      <c r="AF24" s="26">
        <f t="shared" si="2"/>
        <v>705.8</v>
      </c>
      <c r="AG24" s="26">
        <f t="shared" si="3"/>
        <v>0</v>
      </c>
      <c r="AH24" s="26">
        <f t="shared" si="4"/>
        <v>0</v>
      </c>
      <c r="AI24" s="26">
        <v>1</v>
      </c>
      <c r="AJ24" s="26">
        <f t="shared" si="5"/>
        <v>3</v>
      </c>
      <c r="AK24" s="26">
        <f t="shared" ref="AK24" si="19">AF24/AJ24</f>
        <v>235.26666666666699</v>
      </c>
      <c r="AL24" s="26">
        <f t="shared" ref="AL24" si="20">AG24/AJ24</f>
        <v>0</v>
      </c>
      <c r="AM24" s="26">
        <f t="shared" ref="AM24" si="21">AH24/AJ24</f>
        <v>0</v>
      </c>
      <c r="AN24" s="26" t="s">
        <v>58</v>
      </c>
      <c r="AO24" s="26">
        <f t="shared" ref="AO24" si="22">AK24+AL24+AM24</f>
        <v>235.26666666666699</v>
      </c>
      <c r="AP24" s="48" t="s">
        <v>217</v>
      </c>
      <c r="AQ24" s="48" t="s">
        <v>58</v>
      </c>
      <c r="AR24" t="s" s="0">
        <v>219</v>
      </c>
      <c r="AS24" t="s" s="0">
        <v>319</v>
      </c>
      <c r="AT24" s="48">
        <f t="shared" ref="AT24" si="23">AJ24</f>
        <v>3</v>
      </c>
      <c r="AU24" s="48">
        <f t="shared" ref="AU24" si="24">AO24</f>
        <v>235.26666666666699</v>
      </c>
      <c r="AV24" s="48">
        <f t="shared" ref="AV24" si="25">AR24+AT24</f>
        <v>3</v>
      </c>
      <c r="AW24" s="48">
        <f t="shared" ref="AW24" si="26">ROUND(((AR24*AS24)+(AT24*AU24))/(AR24+AT24),5)</f>
        <v>235.26667</v>
      </c>
      <c r="AX24" s="50"/>
      <c r="AY24" s="50"/>
      <c r="AZ24" s="51" t="s">
        <v>38</v>
      </c>
      <c r="BA24" s="51" t="s">
        <v>30</v>
      </c>
      <c r="BB24" s="51" t="s">
        <v>39</v>
      </c>
      <c r="BC24" s="50"/>
      <c r="BD24" s="50"/>
      <c r="BE24" s="50"/>
      <c r="BF24" s="48"/>
      <c r="BG24" s="48"/>
      <c r="BH24" s="48"/>
      <c r="BI24" s="48" t="s">
        <v>31</v>
      </c>
      <c r="BJ24" t="s" s="0">
        <v>319</v>
      </c>
      <c r="BK24" t="s" s="0">
        <v>307</v>
      </c>
      <c r="BL24" s="48">
        <f t="shared" ref="BL24" si="27">ROUND((((AT24*AW24)+(BK24*BJ24))/(AT24+BK24)),5)</f>
        <v>235.26667</v>
      </c>
      <c r="BM24" s="53">
        <f t="shared" ref="BM24" si="28">BK24+AT24</f>
        <v>6</v>
      </c>
      <c r="BN24" s="53"/>
      <c r="BO24" s="53"/>
    </row>
    <row r="25" spans="1:67">
      <c r="A25" s="16"/>
      <c r="B25" s="27"/>
      <c r="C25" s="27"/>
      <c r="D25" s="28" t="s">
        <v>87</v>
      </c>
      <c r="E25" s="28"/>
      <c r="F25" s="28"/>
      <c r="G25" s="29"/>
      <c r="H25" s="30">
        <f>SUM(H23:H24)</f>
        <v>1254.25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79.790000000000006</v>
      </c>
      <c r="S25" s="39">
        <f>SUM(S23:S24)</f>
        <v>1174.46</v>
      </c>
      <c r="T25" s="30"/>
      <c r="U25" s="30"/>
      <c r="V25" s="40">
        <f t="shared" ref="V25:AB25" si="29">SUM(V23:V24)</f>
        <v>105.7</v>
      </c>
      <c r="W25" s="40">
        <f t="shared" si="29"/>
        <v>105.7</v>
      </c>
      <c r="X25" s="40">
        <f t="shared" si="29"/>
        <v>0</v>
      </c>
      <c r="Y25" s="30">
        <f t="shared" si="29"/>
        <v>211.4</v>
      </c>
      <c r="Z25" s="44">
        <f t="shared" si="29"/>
        <v>1385.86</v>
      </c>
      <c r="AA25" s="45">
        <f t="shared" si="29"/>
        <v>240</v>
      </c>
      <c r="AB25" s="45">
        <f t="shared" si="29"/>
        <v>0</v>
      </c>
      <c r="AC25" s="44"/>
      <c r="AD25" s="45">
        <f>SUM(AD23:AD24)</f>
        <v>0</v>
      </c>
      <c r="AE25" s="45">
        <f>SUM(AE23:AE24)</f>
        <v>0</v>
      </c>
      <c r="AF25" s="45">
        <f>SUM(AF23:AF24)</f>
        <v>1174.46</v>
      </c>
      <c r="AG25" s="45">
        <f>SUM(AG23:AG24)</f>
        <v>0</v>
      </c>
      <c r="AH25" s="45">
        <f>SUM(AH23:AH24)</f>
        <v>0</v>
      </c>
      <c r="AI25" s="44"/>
      <c r="AJ25" s="44"/>
      <c r="AK25" s="44"/>
      <c r="AL25" s="44"/>
      <c r="AM25" s="44"/>
      <c r="AN25" s="44"/>
      <c r="AO25" s="44"/>
      <c r="AP25" s="16"/>
    </row>
    <row r="26" spans="1:67">
      <c r="A26" s="16"/>
      <c r="B26" s="27"/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</row>
  </sheetData>
  <mergeCells count="3">
    <mergeCell ref="A1:Z1"/>
    <mergeCell ref="B19:G19"/>
    <mergeCell ref="A21:B2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BO26"/>
  <sheetViews>
    <sheetView topLeftCell="A16" workbookViewId="0">
      <selection sqref="A1:XFD1048576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62.710937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12" max="12" customWidth="true" width="13.85546875"/>
    <col min="26" max="26" customWidth="true" width="10.28515625"/>
    <col min="27" max="27" customWidth="true" width="12.85546875"/>
    <col min="28" max="28" customWidth="true" width="8.7109375"/>
    <col min="48" max="48" customWidth="true" width="13.85546875"/>
    <col min="57" max="57" customWidth="true" width="12.5703125"/>
    <col min="58" max="58" customWidth="true" width="21.7109375"/>
    <col min="59" max="59" customWidth="true" width="30.5703125"/>
    <col min="62" max="62" customWidth="true" width="41.140625"/>
    <col min="63" max="63" customWidth="true" width="37.0"/>
    <col min="64" max="64" customWidth="true" width="18.85546875"/>
    <col min="65" max="65" customWidth="true" width="34.42578125"/>
  </cols>
  <sheetData>
    <row r="1" spans="1:42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6"/>
      <c r="AP1" s="16"/>
    </row>
    <row r="2" spans="1:42" ht="18">
      <c r="A2" s="1" t="s">
        <v>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6"/>
      <c r="AP2" s="16"/>
    </row>
    <row r="3" spans="1:42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16"/>
    </row>
    <row r="4" spans="1:42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16"/>
    </row>
    <row r="5" spans="1:42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16"/>
    </row>
    <row r="6" spans="1:42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16"/>
    </row>
    <row r="7" spans="1:42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16"/>
    </row>
    <row r="8" spans="1:42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16"/>
    </row>
    <row r="9" spans="1:42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16"/>
    </row>
    <row r="10" spans="1:42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16"/>
    </row>
    <row r="11" spans="1:42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16"/>
    </row>
    <row r="12" spans="1:42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16"/>
    </row>
    <row r="13" spans="1:42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2507.6799999999998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16"/>
    </row>
    <row r="14" spans="1:42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16"/>
    </row>
    <row r="15" spans="1:42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16"/>
    </row>
    <row r="16" spans="1:42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16"/>
    </row>
    <row r="17" spans="1:67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>
        <v>5858.27</v>
      </c>
      <c r="T17" s="32"/>
      <c r="U17" s="31"/>
      <c r="V17" s="31"/>
      <c r="W17" s="31"/>
      <c r="X17" s="31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16"/>
    </row>
    <row r="18" spans="1:67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16"/>
    </row>
    <row r="19" spans="1:67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6"/>
    </row>
    <row r="20" spans="1:67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6"/>
    </row>
    <row r="21" spans="1:67">
      <c r="A21" s="151" t="s">
        <v>89</v>
      </c>
      <c r="B21" s="151"/>
      <c r="C21" s="20">
        <v>1</v>
      </c>
      <c r="D21" s="21" t="s">
        <v>90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6"/>
    </row>
    <row r="22" spans="1:67" ht="57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113</v>
      </c>
      <c r="Z22" s="41" t="s">
        <v>114</v>
      </c>
      <c r="AA22" s="41" t="s">
        <v>115</v>
      </c>
      <c r="AB22" s="42" t="s">
        <v>116</v>
      </c>
      <c r="AC22" s="42" t="s">
        <v>117</v>
      </c>
      <c r="AD22" s="42" t="s">
        <v>118</v>
      </c>
      <c r="AE22" s="41" t="s">
        <v>119</v>
      </c>
      <c r="AF22" s="41" t="s">
        <v>120</v>
      </c>
      <c r="AG22" s="42" t="s">
        <v>121</v>
      </c>
      <c r="AH22" s="42" t="s">
        <v>122</v>
      </c>
      <c r="AI22" s="41" t="s">
        <v>123</v>
      </c>
      <c r="AJ22" s="41" t="s">
        <v>124</v>
      </c>
      <c r="AK22" s="42" t="s">
        <v>125</v>
      </c>
      <c r="AL22" s="42" t="s">
        <v>126</v>
      </c>
      <c r="AM22" s="42" t="s">
        <v>127</v>
      </c>
      <c r="AN22" s="41" t="s">
        <v>128</v>
      </c>
      <c r="AO22" s="46" t="s">
        <v>129</v>
      </c>
      <c r="AP22" s="3" t="s">
        <v>211</v>
      </c>
      <c r="AQ22" s="3" t="s">
        <v>128</v>
      </c>
      <c r="AR22" s="47" t="s">
        <v>131</v>
      </c>
      <c r="AS22" s="47" t="s">
        <v>132</v>
      </c>
      <c r="AT22" s="47" t="s">
        <v>133</v>
      </c>
      <c r="AU22" s="47" t="s">
        <v>134</v>
      </c>
      <c r="AV22" s="47" t="s">
        <v>135</v>
      </c>
      <c r="AW22" s="47" t="s">
        <v>136</v>
      </c>
      <c r="AX22" s="47" t="s">
        <v>137</v>
      </c>
      <c r="AY22" s="47" t="s">
        <v>138</v>
      </c>
      <c r="AZ22" s="49" t="s">
        <v>139</v>
      </c>
      <c r="BA22" s="49" t="s">
        <v>8</v>
      </c>
      <c r="BB22" s="49" t="s">
        <v>9</v>
      </c>
      <c r="BC22" s="47" t="s">
        <v>212</v>
      </c>
      <c r="BD22" s="47" t="s">
        <v>140</v>
      </c>
      <c r="BE22" s="47" t="s">
        <v>141</v>
      </c>
      <c r="BF22" s="47" t="s">
        <v>142</v>
      </c>
      <c r="BG22" s="47" t="s">
        <v>143</v>
      </c>
      <c r="BH22" s="47" t="s">
        <v>144</v>
      </c>
      <c r="BI22" s="47" t="s">
        <v>213</v>
      </c>
      <c r="BJ22" s="52" t="s">
        <v>214</v>
      </c>
      <c r="BK22" s="47" t="s">
        <v>215</v>
      </c>
      <c r="BL22" s="47" t="s">
        <v>136</v>
      </c>
      <c r="BM22" s="56" t="s">
        <v>216</v>
      </c>
    </row>
    <row r="23" spans="1:67">
      <c r="A23" s="25">
        <v>1</v>
      </c>
      <c r="B23" s="25" t="s">
        <v>324</v>
      </c>
      <c r="C23" s="25" t="s">
        <v>57</v>
      </c>
      <c r="D23" s="25" t="s">
        <v>58</v>
      </c>
      <c r="E23" s="25" t="s">
        <v>58</v>
      </c>
      <c r="F23" s="26">
        <v>2</v>
      </c>
      <c r="G23" t="s" s="0">
        <v>325</v>
      </c>
      <c r="H23" s="26">
        <f>F23*G23</f>
        <v>1572</v>
      </c>
      <c r="I23" t="s" s="0">
        <v>257</v>
      </c>
      <c r="J23" s="26">
        <v>1.79</v>
      </c>
      <c r="K23" s="26">
        <v>2.5</v>
      </c>
      <c r="L23" s="26">
        <f>H23</f>
        <v>1572</v>
      </c>
      <c r="M23" s="26">
        <f>ROUND(L23*I23%,2)</f>
        <v>33.01</v>
      </c>
      <c r="N23" s="26">
        <f>H23-M23</f>
        <v>1538.99</v>
      </c>
      <c r="O23" s="26">
        <f>ROUND(N23*J23%,2)</f>
        <v>27.55</v>
      </c>
      <c r="P23" s="26">
        <f>ROUND(N23-O23,2)</f>
        <v>1511.44</v>
      </c>
      <c r="Q23" s="26">
        <f>ROUND(P23*K23%,2)</f>
        <v>37.79</v>
      </c>
      <c r="R23" s="26">
        <f>M23+O23+Q23</f>
        <v>98.35</v>
      </c>
      <c r="S23" s="26">
        <f>(H23-R23)</f>
        <v>1473.65</v>
      </c>
      <c r="T23" s="26" t="s">
        <v>146</v>
      </c>
      <c r="U23" s="26">
        <v>0.18</v>
      </c>
      <c r="V23" s="26">
        <f>IF($C$21=1,ROUND(((S23*U23)/2),2),0)</f>
        <v>132.63</v>
      </c>
      <c r="W23" s="26">
        <f>IF($C$21=1,ROUND(((S23*U23)/2),2),0)</f>
        <v>132.63</v>
      </c>
      <c r="X23" s="26">
        <f>IF($C$21=2,ROUND(((S23*U23)),2),0)</f>
        <v>0</v>
      </c>
      <c r="Y23" s="26">
        <f>V23+W23+X23</f>
        <v>265.26</v>
      </c>
      <c r="Z23" s="26">
        <f t="shared" ref="Z23:Z24" si="1">S23+Y23</f>
        <v>1738.91</v>
      </c>
      <c r="AA23" s="26">
        <v>120</v>
      </c>
      <c r="AB23" s="26">
        <f>IF($P$21=1,(S23/$S$25)*$E$36,AA23/$AA$25*$E$36)</f>
        <v>0</v>
      </c>
      <c r="AC23" s="26"/>
      <c r="AD23" s="26">
        <f>IF($P$21=1,(S23/$S$25)*$E$38,AA23/$AA$25*$E$38)</f>
        <v>0</v>
      </c>
      <c r="AE23" s="26">
        <f>IF($P$21=1,(S23/$S$25)*$E$38,AA23/$AA$25*$E$38)</f>
        <v>0</v>
      </c>
      <c r="AF23" s="26">
        <f t="shared" ref="AF23:AF24" si="2">S23*$M$21</f>
        <v>1473.65</v>
      </c>
      <c r="AG23" s="26">
        <f t="shared" ref="AG23:AG24" si="3">IF($C$21=3,0,AD23+AE23)</f>
        <v>0</v>
      </c>
      <c r="AH23" s="26">
        <f t="shared" ref="AH23:AH24" si="4">IF($C$21=3,AB23+AD23+AE23,0)</f>
        <v>0</v>
      </c>
      <c r="AI23" s="26">
        <v>1</v>
      </c>
      <c r="AJ23" s="26">
        <f t="shared" ref="AJ23:AJ24" si="5">F23/AI23</f>
        <v>2</v>
      </c>
      <c r="AK23" s="26">
        <f>AF23/AJ23</f>
        <v>736.82500000000005</v>
      </c>
      <c r="AL23" s="26">
        <f>AG23/AJ23</f>
        <v>0</v>
      </c>
      <c r="AM23" s="26">
        <f>AH23/AJ23</f>
        <v>0</v>
      </c>
      <c r="AN23" s="26" t="s">
        <v>58</v>
      </c>
      <c r="AO23" s="26">
        <f>AK23+AL23+AM23</f>
        <v>736.82500000000005</v>
      </c>
      <c r="AP23" s="48" t="s">
        <v>217</v>
      </c>
      <c r="AQ23" s="48" t="s">
        <v>58</v>
      </c>
      <c r="AR23" t="s" s="0">
        <v>219</v>
      </c>
      <c r="AS23" t="s" s="0">
        <v>326</v>
      </c>
      <c r="AT23" s="48">
        <f>AJ23</f>
        <v>2</v>
      </c>
      <c r="AU23" s="48">
        <f>AO23</f>
        <v>736.82500000000005</v>
      </c>
      <c r="AV23" s="48">
        <f>AR23+AT23</f>
        <v>2</v>
      </c>
      <c r="AW23" s="48">
        <f>ROUND(((AR23*AS23)+(AT23*AU23))/(AR23+AT23),5)</f>
        <v>736.82500000000005</v>
      </c>
      <c r="AX23" s="50"/>
      <c r="AY23" s="50" t="s">
        <v>149</v>
      </c>
      <c r="AZ23" s="51" t="s">
        <v>38</v>
      </c>
      <c r="BA23" s="51" t="s">
        <v>30</v>
      </c>
      <c r="BB23" s="51" t="s">
        <v>39</v>
      </c>
      <c r="BC23" s="50"/>
      <c r="BD23" s="50"/>
      <c r="BE23" s="50"/>
      <c r="BF23" s="48"/>
      <c r="BG23" s="48"/>
      <c r="BH23" s="48"/>
      <c r="BI23" s="48" t="s">
        <v>31</v>
      </c>
      <c r="BJ23" t="s" s="0">
        <v>326</v>
      </c>
      <c r="BK23" t="s" s="0">
        <v>224</v>
      </c>
      <c r="BL23" s="48">
        <f>ROUND((((AT23*AW23)+(BK23*BJ23))/(AT23+BK23)),5)</f>
        <v>736.82500000000005</v>
      </c>
      <c r="BM23" s="53">
        <f>BK23+AT23</f>
        <v>4</v>
      </c>
      <c r="BN23" s="53"/>
      <c r="BO23" s="53"/>
    </row>
    <row r="24" spans="1:67">
      <c r="A24" s="25">
        <v>2</v>
      </c>
      <c r="B24" s="25" t="s">
        <v>327</v>
      </c>
      <c r="C24" s="25" t="s">
        <v>60</v>
      </c>
      <c r="D24" s="25" t="s">
        <v>58</v>
      </c>
      <c r="E24" s="25" t="s">
        <v>58</v>
      </c>
      <c r="F24" s="26">
        <v>3</v>
      </c>
      <c r="G24" t="s" s="0">
        <v>328</v>
      </c>
      <c r="H24" s="26">
        <f t="shared" ref="H24" si="6">F24*G24</f>
        <v>1305</v>
      </c>
      <c r="I24" t="s" s="0">
        <v>329</v>
      </c>
      <c r="J24" s="26">
        <v>1.68</v>
      </c>
      <c r="K24" s="26">
        <v>2.5</v>
      </c>
      <c r="L24" s="26">
        <f>H24</f>
        <v>1305</v>
      </c>
      <c r="M24" s="26">
        <f>ROUND(L24*I24%,2)</f>
        <v>30.02</v>
      </c>
      <c r="N24" s="26">
        <f t="shared" ref="N24" si="7">H24-M24</f>
        <v>1274.98</v>
      </c>
      <c r="O24" s="26">
        <f t="shared" ref="O24" si="8">ROUND(N24*J24%,2)</f>
        <v>21.42</v>
      </c>
      <c r="P24" s="26">
        <f t="shared" ref="P24" si="9">ROUND(N24-O24,2)</f>
        <v>1253.56</v>
      </c>
      <c r="Q24" s="26">
        <f t="shared" ref="Q24" si="10">ROUND(P24*K24%,2)</f>
        <v>31.34</v>
      </c>
      <c r="R24" s="26">
        <f t="shared" ref="R24" si="11">M24+O24+Q24</f>
        <v>82.78</v>
      </c>
      <c r="S24" s="26">
        <f>(H24-R24)</f>
        <v>1222.22</v>
      </c>
      <c r="T24" s="26" t="s">
        <v>146</v>
      </c>
      <c r="U24" s="26">
        <v>0.18</v>
      </c>
      <c r="V24" s="26">
        <f t="shared" ref="V24" si="12">IF($C$21=1,ROUND(((S24*U24)/2),2),0)</f>
        <v>110</v>
      </c>
      <c r="W24" s="26">
        <f>IF($C$21=1,ROUND(((S24*U24)/2),2),0)</f>
        <v>110</v>
      </c>
      <c r="X24" s="26">
        <f>IF($C$21=2,ROUND(((S24*U24)),2),0)</f>
        <v>0</v>
      </c>
      <c r="Y24" s="26">
        <f t="shared" ref="Y24" si="13">V24+W24+X24</f>
        <v>220</v>
      </c>
      <c r="Z24" s="26">
        <f t="shared" si="1"/>
        <v>1442.22</v>
      </c>
      <c r="AA24" s="26">
        <v>200</v>
      </c>
      <c r="AB24" s="26">
        <f>IF($P$21=1,(S24/$S$25)*$E$36,AA24/$AA$25*$E$36)</f>
        <v>0</v>
      </c>
      <c r="AC24" s="26"/>
      <c r="AD24" s="26">
        <f>IF($P$21=1,(S24/$S$25)*$E$38,AA24/$AA$25*$E$38)</f>
        <v>0</v>
      </c>
      <c r="AE24" s="26">
        <f>IF($P$21=1,(S24/$S$25)*$E$38,AA24/$AA$25*$E$38)</f>
        <v>0</v>
      </c>
      <c r="AF24" s="26">
        <f t="shared" si="2"/>
        <v>1222.22</v>
      </c>
      <c r="AG24" s="26">
        <f t="shared" si="3"/>
        <v>0</v>
      </c>
      <c r="AH24" s="26">
        <f t="shared" si="4"/>
        <v>0</v>
      </c>
      <c r="AI24" s="26">
        <v>1</v>
      </c>
      <c r="AJ24" s="26">
        <f t="shared" si="5"/>
        <v>3</v>
      </c>
      <c r="AK24" s="26">
        <f t="shared" ref="AK24" si="14">AF24/AJ24</f>
        <v>407.40666666666698</v>
      </c>
      <c r="AL24" s="26">
        <f t="shared" ref="AL24" si="15">AG24/AJ24</f>
        <v>0</v>
      </c>
      <c r="AM24" s="26">
        <f t="shared" ref="AM24" si="16">AH24/AJ24</f>
        <v>0</v>
      </c>
      <c r="AN24" s="26" t="s">
        <v>58</v>
      </c>
      <c r="AO24" s="26">
        <f t="shared" ref="AO24" si="17">AK24+AL24+AM24</f>
        <v>407.40666666666698</v>
      </c>
      <c r="AP24" s="48" t="s">
        <v>217</v>
      </c>
      <c r="AQ24" s="48" t="s">
        <v>58</v>
      </c>
      <c r="AR24" t="s" s="0">
        <v>219</v>
      </c>
      <c r="AS24" t="s" s="0">
        <v>330</v>
      </c>
      <c r="AT24" s="48">
        <f t="shared" ref="AT24" si="18">AJ24</f>
        <v>3</v>
      </c>
      <c r="AU24" s="48">
        <f>AO24</f>
        <v>407.40666666666698</v>
      </c>
      <c r="AV24" s="48">
        <f t="shared" ref="AV24" si="19">AR24+AT24</f>
        <v>3</v>
      </c>
      <c r="AW24" s="48">
        <f>ROUND(((AR24*AS24)+(AT24*AU24))/(AR24+AT24),5)</f>
        <v>407.40667000000002</v>
      </c>
      <c r="AX24" s="50"/>
      <c r="AY24" s="50"/>
      <c r="AZ24" s="51" t="s">
        <v>38</v>
      </c>
      <c r="BA24" s="58" t="s">
        <v>221</v>
      </c>
      <c r="BB24" s="58"/>
      <c r="BC24" s="50"/>
      <c r="BD24" s="50"/>
      <c r="BE24" s="50"/>
      <c r="BF24" s="48"/>
      <c r="BG24" s="48"/>
      <c r="BH24" s="48"/>
      <c r="BI24" s="48" t="s">
        <v>31</v>
      </c>
      <c r="BJ24" t="s" s="0">
        <v>330</v>
      </c>
      <c r="BK24" t="s" s="0">
        <v>307</v>
      </c>
      <c r="BL24" s="48">
        <f t="shared" ref="BL24" si="20">ROUND((((AT24*AW24)+(BK24*BJ24))/(AT24+BK24)),5)</f>
        <v>407.40667000000002</v>
      </c>
      <c r="BM24" s="53">
        <f t="shared" ref="BM24" si="21">BK24+AT24</f>
        <v>6</v>
      </c>
      <c r="BN24" s="53"/>
      <c r="BO24" s="53"/>
    </row>
    <row r="25" spans="1:67">
      <c r="A25" s="16"/>
      <c r="B25" s="27"/>
      <c r="C25" s="27"/>
      <c r="D25" s="28" t="s">
        <v>87</v>
      </c>
      <c r="E25" s="28"/>
      <c r="F25" s="28"/>
      <c r="G25" s="29"/>
      <c r="H25" s="30">
        <f>SUM(H23:H24)</f>
        <v>2877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181.13</v>
      </c>
      <c r="S25" s="39">
        <f>SUM(S23:S24)</f>
        <v>2695.87</v>
      </c>
      <c r="T25" s="30"/>
      <c r="U25" s="30"/>
      <c r="V25" s="40">
        <f t="shared" ref="V25:AB25" si="22">SUM(V23:V24)</f>
        <v>242.63</v>
      </c>
      <c r="W25" s="40">
        <f t="shared" si="22"/>
        <v>242.63</v>
      </c>
      <c r="X25" s="40">
        <f t="shared" si="22"/>
        <v>0</v>
      </c>
      <c r="Y25" s="30">
        <f t="shared" si="22"/>
        <v>485.26</v>
      </c>
      <c r="Z25" s="44">
        <f t="shared" si="22"/>
        <v>3181.13</v>
      </c>
      <c r="AA25" s="45">
        <f t="shared" si="22"/>
        <v>320</v>
      </c>
      <c r="AB25" s="45">
        <f t="shared" si="22"/>
        <v>0</v>
      </c>
      <c r="AC25" s="44"/>
      <c r="AD25" s="45">
        <f>SUM(AD23:AD24)</f>
        <v>0</v>
      </c>
      <c r="AE25" s="45">
        <f>SUM(AE23:AE24)</f>
        <v>0</v>
      </c>
      <c r="AF25" s="45">
        <f>SUM(AF23:AF24)</f>
        <v>2695.87</v>
      </c>
      <c r="AG25" s="45">
        <f>SUM(AG23:AG24)</f>
        <v>0</v>
      </c>
      <c r="AH25" s="45">
        <f>SUM(AH23:AH24)</f>
        <v>0</v>
      </c>
      <c r="AI25" s="44"/>
      <c r="AJ25" s="44"/>
      <c r="AK25" s="44"/>
      <c r="AL25" s="44"/>
      <c r="AM25" s="44"/>
      <c r="AN25" s="44"/>
      <c r="AO25" s="44"/>
      <c r="AP25" s="16"/>
    </row>
    <row r="26" spans="1:67">
      <c r="A26" s="16"/>
      <c r="B26" s="27"/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</row>
  </sheetData>
  <mergeCells count="3">
    <mergeCell ref="A1:Z1"/>
    <mergeCell ref="B19:G19"/>
    <mergeCell ref="A21:B2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BO26"/>
  <sheetViews>
    <sheetView topLeftCell="A16" workbookViewId="0">
      <selection activeCell="B23" sqref="B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62.710937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26" max="26" customWidth="true" width="10.28515625"/>
    <col min="27" max="27" customWidth="true" width="12.85546875"/>
    <col min="28" max="28" customWidth="true" width="8.7109375"/>
    <col min="48" max="48" customWidth="true" width="13.85546875"/>
    <col min="57" max="57" customWidth="true" width="12.5703125"/>
    <col min="58" max="58" customWidth="true" width="21.7109375"/>
    <col min="59" max="59" customWidth="true" width="30.5703125"/>
    <col min="64" max="64" customWidth="true" width="18.85546875"/>
    <col min="65" max="65" customWidth="true" width="34.42578125"/>
  </cols>
  <sheetData>
    <row r="1" spans="1:42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6"/>
      <c r="AP1" s="16"/>
    </row>
    <row r="2" spans="1:42" ht="18">
      <c r="A2" s="1" t="s">
        <v>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6"/>
      <c r="AP2" s="16"/>
    </row>
    <row r="3" spans="1:42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16"/>
    </row>
    <row r="4" spans="1:42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16"/>
    </row>
    <row r="5" spans="1:42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16"/>
    </row>
    <row r="6" spans="1:42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16"/>
    </row>
    <row r="7" spans="1:42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16"/>
    </row>
    <row r="8" spans="1:42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16"/>
    </row>
    <row r="9" spans="1:42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16"/>
    </row>
    <row r="10" spans="1:42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16"/>
    </row>
    <row r="11" spans="1:42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16"/>
    </row>
    <row r="12" spans="1:42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16"/>
    </row>
    <row r="13" spans="1:42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2507.6799999999998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16"/>
    </row>
    <row r="14" spans="1:42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16"/>
    </row>
    <row r="15" spans="1:42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16"/>
    </row>
    <row r="16" spans="1:42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16"/>
    </row>
    <row r="17" spans="1:67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>
        <v>5858.27</v>
      </c>
      <c r="T17" s="32"/>
      <c r="U17" s="31"/>
      <c r="V17" s="31"/>
      <c r="W17" s="31"/>
      <c r="X17" s="31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16"/>
    </row>
    <row r="18" spans="1:67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16"/>
    </row>
    <row r="19" spans="1:67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6"/>
    </row>
    <row r="20" spans="1:67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6"/>
    </row>
    <row r="21" spans="1:67">
      <c r="A21" s="151" t="s">
        <v>89</v>
      </c>
      <c r="B21" s="151"/>
      <c r="C21" s="20">
        <v>1</v>
      </c>
      <c r="D21" s="21" t="s">
        <v>90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6"/>
    </row>
    <row r="22" spans="1:67" ht="57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113</v>
      </c>
      <c r="Z22" s="41" t="s">
        <v>114</v>
      </c>
      <c r="AA22" s="41" t="s">
        <v>115</v>
      </c>
      <c r="AB22" s="42" t="s">
        <v>116</v>
      </c>
      <c r="AC22" s="42" t="s">
        <v>117</v>
      </c>
      <c r="AD22" s="42" t="s">
        <v>118</v>
      </c>
      <c r="AE22" s="41" t="s">
        <v>119</v>
      </c>
      <c r="AF22" s="41" t="s">
        <v>120</v>
      </c>
      <c r="AG22" s="42" t="s">
        <v>121</v>
      </c>
      <c r="AH22" s="42" t="s">
        <v>122</v>
      </c>
      <c r="AI22" s="41" t="s">
        <v>123</v>
      </c>
      <c r="AJ22" s="41" t="s">
        <v>124</v>
      </c>
      <c r="AK22" s="42" t="s">
        <v>125</v>
      </c>
      <c r="AL22" s="42" t="s">
        <v>126</v>
      </c>
      <c r="AM22" s="42" t="s">
        <v>127</v>
      </c>
      <c r="AN22" s="41" t="s">
        <v>128</v>
      </c>
      <c r="AO22" s="46" t="s">
        <v>129</v>
      </c>
      <c r="AP22" s="3" t="s">
        <v>211</v>
      </c>
      <c r="AQ22" s="3" t="s">
        <v>128</v>
      </c>
      <c r="AR22" s="47" t="s">
        <v>131</v>
      </c>
      <c r="AS22" s="47" t="s">
        <v>132</v>
      </c>
      <c r="AT22" s="47" t="s">
        <v>133</v>
      </c>
      <c r="AU22" s="47" t="s">
        <v>134</v>
      </c>
      <c r="AV22" s="47" t="s">
        <v>135</v>
      </c>
      <c r="AW22" s="47" t="s">
        <v>136</v>
      </c>
      <c r="AX22" s="47" t="s">
        <v>137</v>
      </c>
      <c r="AY22" s="47" t="s">
        <v>138</v>
      </c>
      <c r="AZ22" s="49" t="s">
        <v>139</v>
      </c>
      <c r="BA22" s="49" t="s">
        <v>8</v>
      </c>
      <c r="BB22" s="49" t="s">
        <v>9</v>
      </c>
      <c r="BC22" s="47" t="s">
        <v>212</v>
      </c>
      <c r="BD22" s="47" t="s">
        <v>140</v>
      </c>
      <c r="BE22" s="47" t="s">
        <v>141</v>
      </c>
      <c r="BF22" s="47" t="s">
        <v>142</v>
      </c>
      <c r="BG22" s="47" t="s">
        <v>143</v>
      </c>
      <c r="BH22" s="47" t="s">
        <v>144</v>
      </c>
      <c r="BI22" s="47" t="s">
        <v>213</v>
      </c>
      <c r="BJ22" s="52" t="s">
        <v>214</v>
      </c>
      <c r="BK22" s="47" t="s">
        <v>215</v>
      </c>
      <c r="BL22" s="47" t="s">
        <v>136</v>
      </c>
      <c r="BM22" s="56" t="s">
        <v>216</v>
      </c>
      <c r="BN22" s="57" t="s">
        <v>108</v>
      </c>
    </row>
    <row r="23" spans="1:67">
      <c r="A23" s="25">
        <v>1</v>
      </c>
      <c r="B23" s="84" t="s">
        <v>222</v>
      </c>
      <c r="C23" s="25" t="s">
        <v>57</v>
      </c>
      <c r="D23" s="25" t="s">
        <v>58</v>
      </c>
      <c r="E23" s="25" t="s">
        <v>58</v>
      </c>
      <c r="F23" s="26">
        <v>2</v>
      </c>
      <c r="G23" s="26">
        <v>250.25</v>
      </c>
      <c r="H23" s="26">
        <f>F23*G23</f>
        <v>500.5</v>
      </c>
      <c r="I23" s="26">
        <v>2.21</v>
      </c>
      <c r="J23" s="26">
        <v>1.79</v>
      </c>
      <c r="K23" s="26">
        <v>2.5</v>
      </c>
      <c r="L23" s="26">
        <f>H23</f>
        <v>500.5</v>
      </c>
      <c r="M23" s="26">
        <f>ROUND(L23*I23%,2)</f>
        <v>11.06</v>
      </c>
      <c r="N23" s="26">
        <f>H23-M23</f>
        <v>489.44</v>
      </c>
      <c r="O23" s="26">
        <f>ROUND(N23*J23%,2)</f>
        <v>8.76</v>
      </c>
      <c r="P23" s="26">
        <f>ROUND(N23-O23,2)</f>
        <v>480.68</v>
      </c>
      <c r="Q23" s="26">
        <f>ROUND(P23*K23%,2)</f>
        <v>12.02</v>
      </c>
      <c r="R23" s="26">
        <f>M23+O23+Q23</f>
        <v>31.84</v>
      </c>
      <c r="S23" s="26">
        <f>(H23-R23)</f>
        <v>468.66</v>
      </c>
      <c r="T23" s="26" t="s">
        <v>146</v>
      </c>
      <c r="U23" s="26">
        <v>0.18</v>
      </c>
      <c r="V23" s="26">
        <f>IF($C$21=1,ROUND(((S23*U23)/2),2),0)</f>
        <v>42.18</v>
      </c>
      <c r="W23" s="26">
        <f>IF($C$21=1,ROUND(((S23*U23)/2),2),0)</f>
        <v>42.18</v>
      </c>
      <c r="X23" s="26">
        <f>IF($C$21=2,ROUND(((S23*U23)),2),0)</f>
        <v>0</v>
      </c>
      <c r="Y23" s="26">
        <f>V23+W23+X23</f>
        <v>84.36</v>
      </c>
      <c r="Z23" s="26">
        <f t="shared" ref="Z23:Z24" si="1">S23+Y23</f>
        <v>553.02</v>
      </c>
      <c r="AA23" s="26">
        <v>120</v>
      </c>
      <c r="AB23" s="26">
        <f>IF($P$21=1,(S23/$S$25)*$E$36,AA23/$AA$25*$E$36)</f>
        <v>0</v>
      </c>
      <c r="AC23" s="26"/>
      <c r="AD23" s="26">
        <f>IF($P$21=1,(S23/$S$25)*$E$38,AA23/$AA$25*$E$38)</f>
        <v>0</v>
      </c>
      <c r="AE23" s="26">
        <f>IF($P$21=1,(S23/$S$25)*$E$38,AA23/$AA$25*$E$38)</f>
        <v>0</v>
      </c>
      <c r="AF23" s="26">
        <f t="shared" ref="AF23:AF24" si="2">S23*$M$21</f>
        <v>468.66</v>
      </c>
      <c r="AG23" s="26">
        <f t="shared" ref="AG23:AG24" si="3">IF($C$21=3,0,AD23+AE23)</f>
        <v>0</v>
      </c>
      <c r="AH23" s="26">
        <f t="shared" ref="AH23:AH24" si="4">IF($C$21=3,AB23+AD23+AE23,0)</f>
        <v>0</v>
      </c>
      <c r="AI23" s="26">
        <v>1</v>
      </c>
      <c r="AJ23" s="26">
        <f t="shared" ref="AJ23:AJ24" si="5">F23/AI23</f>
        <v>2</v>
      </c>
      <c r="AK23" s="26">
        <f>AF23/AJ23</f>
        <v>234.33</v>
      </c>
      <c r="AL23" s="26">
        <f>AG23/AJ23</f>
        <v>0</v>
      </c>
      <c r="AM23" s="26">
        <f>AH23/AJ23</f>
        <v>0</v>
      </c>
      <c r="AN23" s="26" t="s">
        <v>58</v>
      </c>
      <c r="AO23" s="26">
        <f>AK23+AL23+AM23</f>
        <v>234.33</v>
      </c>
      <c r="AP23" s="48" t="s">
        <v>217</v>
      </c>
      <c r="AQ23" s="48" t="s">
        <v>58</v>
      </c>
      <c r="AR23" t="s" s="0">
        <v>365</v>
      </c>
      <c r="AS23" t="s" s="0">
        <v>366</v>
      </c>
      <c r="AT23" s="48">
        <f>AJ23</f>
        <v>2</v>
      </c>
      <c r="AU23" s="48">
        <f>AO23</f>
        <v>234.33</v>
      </c>
      <c r="AV23" s="48">
        <f>AR23+AT23</f>
        <v>13337</v>
      </c>
      <c r="AW23" s="48">
        <f>ROUND(((AR23*AS23)+(AT23*AU23))/(AR23+AT23),5)</f>
        <v>513.23680999999999</v>
      </c>
      <c r="AX23" s="50"/>
      <c r="AY23" s="50" t="s">
        <v>149</v>
      </c>
      <c r="AZ23" s="58" t="s">
        <v>29</v>
      </c>
      <c r="BA23" s="51" t="s">
        <v>30</v>
      </c>
      <c r="BB23" s="51" t="s">
        <v>39</v>
      </c>
      <c r="BC23" s="50"/>
      <c r="BD23" s="50"/>
      <c r="BE23" s="50"/>
      <c r="BF23" s="48"/>
      <c r="BG23" s="48"/>
      <c r="BH23" s="48"/>
      <c r="BI23" s="48" t="s">
        <v>31</v>
      </c>
      <c r="BJ23" t="s" s="0">
        <v>367</v>
      </c>
      <c r="BK23" t="s" s="0">
        <v>368</v>
      </c>
      <c r="BL23" s="48">
        <f>ROUND((((AT23*AW23)+(BK23*BJ23))/(AT23+BK23)),5)</f>
        <v>513.43796999999995</v>
      </c>
      <c r="BM23" s="53">
        <f>BK23+AT23</f>
        <v>195</v>
      </c>
      <c r="BN23" s="54">
        <v>123562</v>
      </c>
      <c r="BO23" s="53"/>
    </row>
    <row r="24" spans="1:67">
      <c r="A24" s="25">
        <v>2</v>
      </c>
      <c r="B24" s="83" t="s">
        <v>226</v>
      </c>
      <c r="C24" s="25" t="s">
        <v>60</v>
      </c>
      <c r="D24" s="25" t="s">
        <v>58</v>
      </c>
      <c r="E24" s="25" t="s">
        <v>58</v>
      </c>
      <c r="F24" s="26">
        <v>3</v>
      </c>
      <c r="G24" s="26">
        <v>130.25</v>
      </c>
      <c r="H24" s="26">
        <f t="shared" ref="H24" si="6">F24*G24</f>
        <v>390.75</v>
      </c>
      <c r="I24" s="26">
        <v>1.25</v>
      </c>
      <c r="J24" s="26">
        <v>1.68</v>
      </c>
      <c r="K24" s="26">
        <v>2.5</v>
      </c>
      <c r="L24" s="26">
        <f>H24</f>
        <v>390.75</v>
      </c>
      <c r="M24" s="26">
        <f>ROUND(L24*I24%,2)</f>
        <v>4.88</v>
      </c>
      <c r="N24" s="26">
        <f t="shared" ref="N24" si="7">H24-M24</f>
        <v>385.87</v>
      </c>
      <c r="O24" s="26">
        <f t="shared" ref="O24" si="8">ROUND(N24*J24%,2)</f>
        <v>6.48</v>
      </c>
      <c r="P24" s="26">
        <f t="shared" ref="P24" si="9">ROUND(N24-O24,2)</f>
        <v>379.39</v>
      </c>
      <c r="Q24" s="26">
        <f t="shared" ref="Q24" si="10">ROUND(P24*K24%,2)</f>
        <v>9.48</v>
      </c>
      <c r="R24" s="26">
        <f t="shared" ref="R24" si="11">M24+O24+Q24</f>
        <v>20.84</v>
      </c>
      <c r="S24" s="26">
        <f t="shared" ref="S24" si="12">(H24-R24)</f>
        <v>369.91</v>
      </c>
      <c r="T24" s="26" t="s">
        <v>146</v>
      </c>
      <c r="U24" s="26">
        <v>0.18</v>
      </c>
      <c r="V24" s="26">
        <f t="shared" ref="V24" si="13">IF($C$21=1,ROUND(((S24*U24)/2),2),0)</f>
        <v>33.29</v>
      </c>
      <c r="W24" s="26">
        <f t="shared" ref="W24" si="14">IF($C$21=1,ROUND(((S24*U24)/2),2),0)</f>
        <v>33.29</v>
      </c>
      <c r="X24" s="26">
        <f t="shared" ref="X24" si="15">IF($C$21=2,ROUND(((S24*U24)),2),0)</f>
        <v>0</v>
      </c>
      <c r="Y24" s="26">
        <f t="shared" ref="Y24" si="16">V24+W24+X24</f>
        <v>66.58</v>
      </c>
      <c r="Z24" s="26">
        <f t="shared" si="1"/>
        <v>436.49</v>
      </c>
      <c r="AA24" s="26">
        <v>200</v>
      </c>
      <c r="AB24" s="26">
        <f>IF($P$21=1,(S24/$S$25)*$E$36,AA24/$AA$25*$E$36)</f>
        <v>0</v>
      </c>
      <c r="AC24" s="26"/>
      <c r="AD24" s="26">
        <f>IF($P$21=1,(S24/$S$25)*$E$38,AA24/$AA$25*$E$38)</f>
        <v>0</v>
      </c>
      <c r="AE24" s="26">
        <f>IF($P$21=1,(S24/$S$25)*$E$38,AA24/$AA$25*$E$38)</f>
        <v>0</v>
      </c>
      <c r="AF24" s="26">
        <f t="shared" si="2"/>
        <v>369.91</v>
      </c>
      <c r="AG24" s="26">
        <f t="shared" si="3"/>
        <v>0</v>
      </c>
      <c r="AH24" s="26">
        <f t="shared" si="4"/>
        <v>0</v>
      </c>
      <c r="AI24" s="26">
        <v>1</v>
      </c>
      <c r="AJ24" s="26">
        <f t="shared" si="5"/>
        <v>3</v>
      </c>
      <c r="AK24" s="26">
        <f t="shared" ref="AK24" si="17">AF24/AJ24</f>
        <v>123.303333333333</v>
      </c>
      <c r="AL24" s="26">
        <f t="shared" ref="AL24" si="18">AG24/AJ24</f>
        <v>0</v>
      </c>
      <c r="AM24" s="26">
        <f t="shared" ref="AM24" si="19">AH24/AJ24</f>
        <v>0</v>
      </c>
      <c r="AN24" s="26" t="s">
        <v>58</v>
      </c>
      <c r="AO24" s="26">
        <f t="shared" ref="AO24" si="20">AK24+AL24+AM24</f>
        <v>123.303333333333</v>
      </c>
      <c r="AP24" s="48" t="s">
        <v>217</v>
      </c>
      <c r="AQ24" s="48" t="s">
        <v>58</v>
      </c>
      <c r="AR24" t="s" s="0">
        <v>229</v>
      </c>
      <c r="AS24" t="s" s="0">
        <v>369</v>
      </c>
      <c r="AT24" s="48">
        <f t="shared" ref="AT24" si="21">AJ24</f>
        <v>3</v>
      </c>
      <c r="AU24" s="48">
        <f>AO24</f>
        <v>123.303333333333</v>
      </c>
      <c r="AV24" s="48">
        <f t="shared" ref="AV24" si="22">AR24+AT24</f>
        <v>12249</v>
      </c>
      <c r="AW24" s="48">
        <f>ROUND(((AR24*AS24)+(AT24*AU24))/(AR24+AT24),5)</f>
        <v>226.52041</v>
      </c>
      <c r="AX24" s="50"/>
      <c r="AY24" s="50"/>
      <c r="AZ24" s="51" t="s">
        <v>38</v>
      </c>
      <c r="BA24" s="58" t="s">
        <v>221</v>
      </c>
      <c r="BB24" s="58"/>
      <c r="BC24" s="50"/>
      <c r="BD24" s="50"/>
      <c r="BE24" s="50"/>
      <c r="BF24" s="48"/>
      <c r="BG24" s="48"/>
      <c r="BH24" s="48"/>
      <c r="BI24" s="48" t="s">
        <v>31</v>
      </c>
      <c r="BJ24" t="s" s="0">
        <v>370</v>
      </c>
      <c r="BK24" t="s" s="0">
        <v>371</v>
      </c>
      <c r="BL24" s="48">
        <f t="shared" ref="BL24" si="23">ROUND((((AT24*AW24)+(BK24*BJ24))/(AT24+BK24)),5)</f>
        <v>226.59775999999999</v>
      </c>
      <c r="BM24" s="53">
        <f t="shared" ref="BM24" si="24">BK24+AT24</f>
        <v>3153</v>
      </c>
      <c r="BN24" s="54">
        <v>123562</v>
      </c>
      <c r="BO24" s="53"/>
    </row>
    <row r="25" spans="1:67">
      <c r="A25" s="16"/>
      <c r="B25" s="27"/>
      <c r="C25" s="27"/>
      <c r="D25" s="28" t="s">
        <v>87</v>
      </c>
      <c r="E25" s="28"/>
      <c r="F25" s="28"/>
      <c r="G25" s="29"/>
      <c r="H25" s="30">
        <f>SUM(H23:H24)</f>
        <v>891.25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52.68</v>
      </c>
      <c r="S25" s="39">
        <f>SUM(S23:S24)</f>
        <v>838.57</v>
      </c>
      <c r="T25" s="30"/>
      <c r="U25" s="30"/>
      <c r="V25" s="40">
        <f t="shared" ref="V25:AB25" si="25">SUM(V23:V24)</f>
        <v>75.47</v>
      </c>
      <c r="W25" s="40">
        <f t="shared" si="25"/>
        <v>75.47</v>
      </c>
      <c r="X25" s="40">
        <f t="shared" si="25"/>
        <v>0</v>
      </c>
      <c r="Y25" s="30">
        <f t="shared" si="25"/>
        <v>150.94</v>
      </c>
      <c r="Z25" s="44">
        <f t="shared" si="25"/>
        <v>989.51</v>
      </c>
      <c r="AA25" s="45">
        <f t="shared" si="25"/>
        <v>320</v>
      </c>
      <c r="AB25" s="45">
        <f t="shared" si="25"/>
        <v>0</v>
      </c>
      <c r="AC25" s="44"/>
      <c r="AD25" s="45">
        <f>SUM(AD23:AD24)</f>
        <v>0</v>
      </c>
      <c r="AE25" s="45">
        <f>SUM(AE23:AE24)</f>
        <v>0</v>
      </c>
      <c r="AF25" s="45">
        <f>SUM(AF23:AF24)</f>
        <v>838.57</v>
      </c>
      <c r="AG25" s="45">
        <f>SUM(AG23:AG24)</f>
        <v>0</v>
      </c>
      <c r="AH25" s="45">
        <f>SUM(AH23:AH24)</f>
        <v>0</v>
      </c>
      <c r="AI25" s="44"/>
      <c r="AJ25" s="44"/>
      <c r="AK25" s="44"/>
      <c r="AL25" s="44"/>
      <c r="AM25" s="44"/>
      <c r="AN25" s="44"/>
      <c r="AO25" s="44"/>
      <c r="AP25" s="16"/>
    </row>
    <row r="26" spans="1:67">
      <c r="A26" s="16"/>
      <c r="B26" s="27"/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</row>
  </sheetData>
  <mergeCells count="3">
    <mergeCell ref="A1:Z1"/>
    <mergeCell ref="B19:G19"/>
    <mergeCell ref="A21:B2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BO25"/>
  <sheetViews>
    <sheetView workbookViewId="0">
      <selection sqref="A1:XFD1048576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62.710937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26" max="26" customWidth="true" width="10.28515625"/>
    <col min="27" max="27" customWidth="true" width="12.85546875"/>
    <col min="28" max="28" customWidth="true" width="8.7109375"/>
    <col min="48" max="48" customWidth="true" width="13.85546875"/>
    <col min="57" max="57" customWidth="true" width="12.5703125"/>
    <col min="58" max="58" customWidth="true" width="21.7109375"/>
    <col min="59" max="59" customWidth="true" width="30.5703125"/>
    <col min="64" max="64" customWidth="true" width="18.85546875"/>
    <col min="65" max="65" customWidth="true" width="34.42578125"/>
  </cols>
  <sheetData>
    <row r="1" spans="1:42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6"/>
      <c r="AP1" s="16"/>
    </row>
    <row r="2" spans="1:42" ht="18">
      <c r="A2" s="1" t="s">
        <v>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6"/>
      <c r="AP2" s="16"/>
    </row>
    <row r="3" spans="1:42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16"/>
    </row>
    <row r="4" spans="1:42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16"/>
    </row>
    <row r="5" spans="1:42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16"/>
    </row>
    <row r="6" spans="1:42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16"/>
    </row>
    <row r="7" spans="1:42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16"/>
    </row>
    <row r="8" spans="1:42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16"/>
    </row>
    <row r="9" spans="1:42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16"/>
    </row>
    <row r="10" spans="1:42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16"/>
    </row>
    <row r="11" spans="1:42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16"/>
    </row>
    <row r="12" spans="1:42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16"/>
    </row>
    <row r="13" spans="1:42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2507.6799999999998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16"/>
    </row>
    <row r="14" spans="1:42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16"/>
    </row>
    <row r="15" spans="1:42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16"/>
    </row>
    <row r="16" spans="1:42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16"/>
    </row>
    <row r="17" spans="1:67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>
        <v>5858.27</v>
      </c>
      <c r="T17" s="32"/>
      <c r="U17" s="31"/>
      <c r="V17" s="31"/>
      <c r="W17" s="31"/>
      <c r="X17" s="31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16"/>
    </row>
    <row r="18" spans="1:67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16"/>
    </row>
    <row r="19" spans="1:67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6"/>
    </row>
    <row r="20" spans="1:67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6"/>
    </row>
    <row r="21" spans="1:67">
      <c r="A21" s="151" t="s">
        <v>89</v>
      </c>
      <c r="B21" s="151"/>
      <c r="C21" s="20">
        <v>1</v>
      </c>
      <c r="D21" s="21" t="s">
        <v>90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6"/>
    </row>
    <row r="22" spans="1:67" ht="57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113</v>
      </c>
      <c r="Z22" s="41" t="s">
        <v>114</v>
      </c>
      <c r="AA22" s="41" t="s">
        <v>115</v>
      </c>
      <c r="AB22" s="42" t="s">
        <v>116</v>
      </c>
      <c r="AC22" s="42" t="s">
        <v>117</v>
      </c>
      <c r="AD22" s="42" t="s">
        <v>118</v>
      </c>
      <c r="AE22" s="41" t="s">
        <v>119</v>
      </c>
      <c r="AF22" s="41" t="s">
        <v>120</v>
      </c>
      <c r="AG22" s="42" t="s">
        <v>121</v>
      </c>
      <c r="AH22" s="42" t="s">
        <v>122</v>
      </c>
      <c r="AI22" s="41" t="s">
        <v>123</v>
      </c>
      <c r="AJ22" s="41" t="s">
        <v>124</v>
      </c>
      <c r="AK22" s="42" t="s">
        <v>125</v>
      </c>
      <c r="AL22" s="42" t="s">
        <v>126</v>
      </c>
      <c r="AM22" s="42" t="s">
        <v>127</v>
      </c>
      <c r="AN22" s="41" t="s">
        <v>128</v>
      </c>
      <c r="AO22" s="46" t="s">
        <v>129</v>
      </c>
      <c r="AP22" s="3" t="s">
        <v>211</v>
      </c>
      <c r="AQ22" s="3" t="s">
        <v>128</v>
      </c>
      <c r="AR22" s="47" t="s">
        <v>131</v>
      </c>
      <c r="AS22" s="47" t="s">
        <v>132</v>
      </c>
      <c r="AT22" s="47" t="s">
        <v>133</v>
      </c>
      <c r="AU22" s="47" t="s">
        <v>134</v>
      </c>
      <c r="AV22" s="47" t="s">
        <v>135</v>
      </c>
      <c r="AW22" s="47" t="s">
        <v>136</v>
      </c>
      <c r="AX22" s="47" t="s">
        <v>137</v>
      </c>
      <c r="AY22" s="47" t="s">
        <v>138</v>
      </c>
      <c r="AZ22" s="49" t="s">
        <v>139</v>
      </c>
      <c r="BA22" s="49" t="s">
        <v>8</v>
      </c>
      <c r="BB22" s="49" t="s">
        <v>9</v>
      </c>
      <c r="BC22" s="47" t="s">
        <v>212</v>
      </c>
      <c r="BD22" s="47" t="s">
        <v>140</v>
      </c>
      <c r="BE22" s="47" t="s">
        <v>141</v>
      </c>
      <c r="BF22" s="47" t="s">
        <v>142</v>
      </c>
      <c r="BG22" s="47" t="s">
        <v>143</v>
      </c>
      <c r="BH22" s="47" t="s">
        <v>144</v>
      </c>
      <c r="BI22" s="47" t="s">
        <v>213</v>
      </c>
      <c r="BJ22" s="52" t="s">
        <v>214</v>
      </c>
      <c r="BK22" s="47" t="s">
        <v>215</v>
      </c>
      <c r="BL22" s="47" t="s">
        <v>136</v>
      </c>
      <c r="BM22" s="56" t="s">
        <v>216</v>
      </c>
      <c r="BN22" s="57" t="s">
        <v>108</v>
      </c>
    </row>
    <row r="23" spans="1:67">
      <c r="A23" s="25">
        <v>1</v>
      </c>
      <c r="B23" s="84" t="s">
        <v>242</v>
      </c>
      <c r="C23" s="25" t="s">
        <v>57</v>
      </c>
      <c r="D23" s="25" t="s">
        <v>58</v>
      </c>
      <c r="E23" s="25" t="s">
        <v>58</v>
      </c>
      <c r="F23" s="26">
        <v>2</v>
      </c>
      <c r="G23" s="26">
        <v>250.25</v>
      </c>
      <c r="H23" s="26">
        <f>F23*G23</f>
        <v>500.5</v>
      </c>
      <c r="I23" s="26">
        <v>2.21</v>
      </c>
      <c r="J23" s="26">
        <v>1.79</v>
      </c>
      <c r="K23" s="26">
        <v>2.5</v>
      </c>
      <c r="L23" s="26">
        <f>H23</f>
        <v>500.5</v>
      </c>
      <c r="M23" s="26">
        <f>ROUND(L23*I23%,2)</f>
        <v>11.06</v>
      </c>
      <c r="N23" s="26">
        <f>H23-M23</f>
        <v>489.44</v>
      </c>
      <c r="O23" s="26">
        <f>ROUND(N23*J23%,2)</f>
        <v>8.76</v>
      </c>
      <c r="P23" s="26">
        <f>ROUND(N23-O23,2)</f>
        <v>480.68</v>
      </c>
      <c r="Q23" s="26">
        <f>ROUND(P23*K23%,2)</f>
        <v>12.02</v>
      </c>
      <c r="R23" s="26">
        <f>M23+O23+Q23</f>
        <v>31.84</v>
      </c>
      <c r="S23" s="26">
        <f>(H23-R23)</f>
        <v>468.66</v>
      </c>
      <c r="T23" s="26" t="s">
        <v>146</v>
      </c>
      <c r="U23" s="26">
        <v>0.18</v>
      </c>
      <c r="V23" s="26">
        <f>IF($C$21=1,ROUND(((S23*U23)/2),2),0)</f>
        <v>42.18</v>
      </c>
      <c r="W23" s="26">
        <f>IF($C$21=1,ROUND(((S23*U23)/2),2),0)</f>
        <v>42.18</v>
      </c>
      <c r="X23" s="26">
        <f>IF($C$21=2,ROUND(((S23*U23)),2),0)</f>
        <v>0</v>
      </c>
      <c r="Y23" s="26">
        <f>V23+W23+X23</f>
        <v>84.36</v>
      </c>
      <c r="Z23" s="26">
        <f t="shared" ref="Z23" si="1">S23+Y23</f>
        <v>553.02</v>
      </c>
      <c r="AA23" s="26">
        <v>120</v>
      </c>
      <c r="AB23" s="26">
        <f>IF($P$21=1,(S23/$S$24)*$E$35,AA23/$AA$24*$E$35)</f>
        <v>0</v>
      </c>
      <c r="AC23" s="26"/>
      <c r="AD23" s="26">
        <f>IF($P$21=1,(S23/$S$24)*$E$37,AA23/$AA$24*$E$37)</f>
        <v>0</v>
      </c>
      <c r="AE23" s="26">
        <f>IF($P$21=1,(S23/$S$24)*$E$37,AA23/$AA$24*$E$37)</f>
        <v>0</v>
      </c>
      <c r="AF23" s="26">
        <f t="shared" ref="AF23" si="2">S23*$M$21</f>
        <v>468.66</v>
      </c>
      <c r="AG23" s="26">
        <f t="shared" ref="AG23" si="3">IF($C$21=3,0,AD23+AE23)</f>
        <v>0</v>
      </c>
      <c r="AH23" s="26">
        <f t="shared" ref="AH23" si="4">IF($C$21=3,AB23+AD23+AE23,0)</f>
        <v>0</v>
      </c>
      <c r="AI23" s="26">
        <v>1</v>
      </c>
      <c r="AJ23" s="26">
        <f t="shared" ref="AJ23" si="5">F23/AI23</f>
        <v>2</v>
      </c>
      <c r="AK23" s="26">
        <f>AF23/AJ23</f>
        <v>234.33</v>
      </c>
      <c r="AL23" s="26">
        <f>AG23/AJ23</f>
        <v>0</v>
      </c>
      <c r="AM23" s="26">
        <f>AH23/AJ23</f>
        <v>0</v>
      </c>
      <c r="AN23" s="26" t="s">
        <v>58</v>
      </c>
      <c r="AO23" s="26">
        <f>AK23+AL23+AM23</f>
        <v>234.33</v>
      </c>
      <c r="AP23" s="48" t="s">
        <v>217</v>
      </c>
      <c r="AQ23" s="48" t="s">
        <v>58</v>
      </c>
      <c r="AR23" t="s" s="0">
        <v>365</v>
      </c>
      <c r="AS23" t="s" s="0">
        <v>366</v>
      </c>
      <c r="AT23" s="48">
        <f>AJ23</f>
        <v>2</v>
      </c>
      <c r="AU23" s="48">
        <f>AO23</f>
        <v>234.33</v>
      </c>
      <c r="AV23" s="48">
        <f>AR23+AT23</f>
        <v>13337</v>
      </c>
      <c r="AW23" s="48">
        <f>ROUND(((AR23*AS23)+(AT23*AU23))/(AR23+AT23),5)</f>
        <v>513.23680999999999</v>
      </c>
      <c r="AX23" s="50"/>
      <c r="AY23" s="50" t="s">
        <v>149</v>
      </c>
      <c r="AZ23" s="58" t="s">
        <v>29</v>
      </c>
      <c r="BA23" s="51" t="s">
        <v>30</v>
      </c>
      <c r="BB23" s="51" t="s">
        <v>39</v>
      </c>
      <c r="BC23" s="50"/>
      <c r="BD23" s="50"/>
      <c r="BE23" s="50"/>
      <c r="BF23" s="48"/>
      <c r="BG23" s="48"/>
      <c r="BH23" s="48"/>
      <c r="BI23" s="48" t="s">
        <v>31</v>
      </c>
      <c r="BJ23" t="s" s="0">
        <v>367</v>
      </c>
      <c r="BK23" t="s" s="0">
        <v>368</v>
      </c>
      <c r="BL23" s="48">
        <f>ROUND((((AT23*AW23)+(BK23*BJ23))/(AT23+BK23)),5)</f>
        <v>513.43796999999995</v>
      </c>
      <c r="BM23" s="53">
        <f>BK23+AT23</f>
        <v>195</v>
      </c>
      <c r="BN23" s="54">
        <v>123562</v>
      </c>
      <c r="BO23" s="53"/>
    </row>
    <row r="24" spans="1:67">
      <c r="A24" s="16"/>
      <c r="B24" s="27"/>
      <c r="C24" s="27"/>
      <c r="D24" s="28" t="s">
        <v>87</v>
      </c>
      <c r="E24" s="28"/>
      <c r="F24" s="28"/>
      <c r="G24" s="29"/>
      <c r="H24" s="30">
        <f>SUM(H23:H23)</f>
        <v>500.5</v>
      </c>
      <c r="I24" s="25"/>
      <c r="J24" s="25"/>
      <c r="K24" s="25"/>
      <c r="L24" s="25"/>
      <c r="M24" s="25"/>
      <c r="N24" s="25"/>
      <c r="O24" s="25"/>
      <c r="P24" s="25"/>
      <c r="Q24" s="25"/>
      <c r="R24" s="30">
        <f>SUM(R23:R23)</f>
        <v>31.84</v>
      </c>
      <c r="S24" s="39">
        <f>SUM(S23:S23)</f>
        <v>468.66</v>
      </c>
      <c r="T24" s="30"/>
      <c r="U24" s="30"/>
      <c r="V24" s="40">
        <f t="shared" ref="V24:AB24" si="6">SUM(V23:V23)</f>
        <v>42.18</v>
      </c>
      <c r="W24" s="40">
        <f t="shared" si="6"/>
        <v>42.18</v>
      </c>
      <c r="X24" s="40">
        <f t="shared" si="6"/>
        <v>0</v>
      </c>
      <c r="Y24" s="30">
        <f t="shared" si="6"/>
        <v>84.36</v>
      </c>
      <c r="Z24" s="44">
        <f t="shared" si="6"/>
        <v>553.02</v>
      </c>
      <c r="AA24" s="45">
        <f t="shared" si="6"/>
        <v>120</v>
      </c>
      <c r="AB24" s="45">
        <f t="shared" si="6"/>
        <v>0</v>
      </c>
      <c r="AC24" s="44"/>
      <c r="AD24" s="45">
        <f>SUM(AD23:AD23)</f>
        <v>0</v>
      </c>
      <c r="AE24" s="45">
        <f>SUM(AE23:AE23)</f>
        <v>0</v>
      </c>
      <c r="AF24" s="45">
        <f>SUM(AF23:AF23)</f>
        <v>468.66</v>
      </c>
      <c r="AG24" s="45">
        <f>SUM(AG23:AG23)</f>
        <v>0</v>
      </c>
      <c r="AH24" s="45">
        <f>SUM(AH23:AH23)</f>
        <v>0</v>
      </c>
      <c r="AI24" s="44"/>
      <c r="AJ24" s="44"/>
      <c r="AK24" s="44"/>
      <c r="AL24" s="44"/>
      <c r="AM24" s="44"/>
      <c r="AN24" s="44"/>
      <c r="AO24" s="44"/>
      <c r="AP24" s="16"/>
    </row>
    <row r="25" spans="1:67">
      <c r="A25" s="16"/>
      <c r="B25" s="27"/>
      <c r="C25" s="2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</row>
  </sheetData>
  <mergeCells count="3">
    <mergeCell ref="A1:Z1"/>
    <mergeCell ref="B19:G19"/>
    <mergeCell ref="A21:B2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BO26"/>
  <sheetViews>
    <sheetView topLeftCell="BF19" workbookViewId="0">
      <selection activeCell="BN22" sqref="BN22:BN24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62.710937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26" max="26" customWidth="true" width="10.28515625"/>
    <col min="27" max="27" customWidth="true" width="12.85546875"/>
    <col min="28" max="28" customWidth="true" width="8.7109375"/>
    <col min="48" max="48" customWidth="true" width="13.85546875"/>
    <col min="57" max="57" customWidth="true" width="12.5703125"/>
    <col min="58" max="58" customWidth="true" width="21.7109375"/>
    <col min="59" max="59" customWidth="true" width="30.5703125"/>
    <col min="64" max="64" customWidth="true" width="18.85546875"/>
    <col min="65" max="65" customWidth="true" width="34.42578125"/>
  </cols>
  <sheetData>
    <row r="1" spans="1:42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6"/>
      <c r="AP1" s="16"/>
    </row>
    <row r="2" spans="1:42" ht="18">
      <c r="A2" s="1" t="s">
        <v>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6"/>
      <c r="AP2" s="16"/>
    </row>
    <row r="3" spans="1:42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16"/>
    </row>
    <row r="4" spans="1:42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16"/>
    </row>
    <row r="5" spans="1:42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16"/>
    </row>
    <row r="6" spans="1:42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16"/>
    </row>
    <row r="7" spans="1:42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16"/>
    </row>
    <row r="8" spans="1:42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16"/>
    </row>
    <row r="9" spans="1:42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16"/>
    </row>
    <row r="10" spans="1:42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16"/>
    </row>
    <row r="11" spans="1:42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16"/>
    </row>
    <row r="12" spans="1:42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16"/>
    </row>
    <row r="13" spans="1:42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2507.6799999999998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16"/>
    </row>
    <row r="14" spans="1:42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16"/>
    </row>
    <row r="15" spans="1:42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16"/>
    </row>
    <row r="16" spans="1:42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16"/>
    </row>
    <row r="17" spans="1:67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>
        <v>5858.27</v>
      </c>
      <c r="T17" s="32"/>
      <c r="U17" s="31"/>
      <c r="V17" s="31"/>
      <c r="W17" s="31"/>
      <c r="X17" s="31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16"/>
    </row>
    <row r="18" spans="1:67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16"/>
    </row>
    <row r="19" spans="1:67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6"/>
    </row>
    <row r="20" spans="1:67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6"/>
    </row>
    <row r="21" spans="1:67">
      <c r="A21" s="151" t="s">
        <v>89</v>
      </c>
      <c r="B21" s="151"/>
      <c r="C21" s="20">
        <v>1</v>
      </c>
      <c r="D21" s="21" t="s">
        <v>90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6"/>
    </row>
    <row r="22" spans="1:67" ht="57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113</v>
      </c>
      <c r="Z22" s="41" t="s">
        <v>114</v>
      </c>
      <c r="AA22" s="41" t="s">
        <v>115</v>
      </c>
      <c r="AB22" s="42" t="s">
        <v>116</v>
      </c>
      <c r="AC22" s="42" t="s">
        <v>117</v>
      </c>
      <c r="AD22" s="42" t="s">
        <v>118</v>
      </c>
      <c r="AE22" s="41" t="s">
        <v>119</v>
      </c>
      <c r="AF22" s="41" t="s">
        <v>120</v>
      </c>
      <c r="AG22" s="42" t="s">
        <v>121</v>
      </c>
      <c r="AH22" s="42" t="s">
        <v>122</v>
      </c>
      <c r="AI22" s="41" t="s">
        <v>123</v>
      </c>
      <c r="AJ22" s="41" t="s">
        <v>124</v>
      </c>
      <c r="AK22" s="42" t="s">
        <v>125</v>
      </c>
      <c r="AL22" s="42" t="s">
        <v>126</v>
      </c>
      <c r="AM22" s="42" t="s">
        <v>127</v>
      </c>
      <c r="AN22" s="41" t="s">
        <v>128</v>
      </c>
      <c r="AO22" s="46" t="s">
        <v>129</v>
      </c>
      <c r="AP22" s="3" t="s">
        <v>211</v>
      </c>
      <c r="AQ22" s="3" t="s">
        <v>128</v>
      </c>
      <c r="AR22" s="47" t="s">
        <v>131</v>
      </c>
      <c r="AS22" s="47" t="s">
        <v>132</v>
      </c>
      <c r="AT22" s="47" t="s">
        <v>133</v>
      </c>
      <c r="AU22" s="47" t="s">
        <v>134</v>
      </c>
      <c r="AV22" s="47" t="s">
        <v>135</v>
      </c>
      <c r="AW22" s="47" t="s">
        <v>136</v>
      </c>
      <c r="AX22" s="47" t="s">
        <v>137</v>
      </c>
      <c r="AY22" s="47" t="s">
        <v>138</v>
      </c>
      <c r="AZ22" s="49" t="s">
        <v>139</v>
      </c>
      <c r="BA22" s="49" t="s">
        <v>8</v>
      </c>
      <c r="BB22" s="49" t="s">
        <v>9</v>
      </c>
      <c r="BC22" s="47" t="s">
        <v>212</v>
      </c>
      <c r="BD22" s="47" t="s">
        <v>140</v>
      </c>
      <c r="BE22" s="47" t="s">
        <v>141</v>
      </c>
      <c r="BF22" s="47" t="s">
        <v>142</v>
      </c>
      <c r="BG22" s="47" t="s">
        <v>143</v>
      </c>
      <c r="BH22" s="47" t="s">
        <v>144</v>
      </c>
      <c r="BI22" s="47" t="s">
        <v>213</v>
      </c>
      <c r="BJ22" s="52" t="s">
        <v>214</v>
      </c>
      <c r="BK22" s="47" t="s">
        <v>215</v>
      </c>
      <c r="BL22" s="47" t="s">
        <v>136</v>
      </c>
      <c r="BM22" s="56" t="s">
        <v>216</v>
      </c>
      <c r="BN22" s="57" t="s">
        <v>108</v>
      </c>
    </row>
    <row r="23" spans="1:67">
      <c r="A23" s="25">
        <v>1</v>
      </c>
      <c r="B23" s="83" t="s">
        <v>243</v>
      </c>
      <c r="C23" s="25" t="s">
        <v>57</v>
      </c>
      <c r="D23" s="25" t="s">
        <v>58</v>
      </c>
      <c r="E23" s="25" t="s">
        <v>58</v>
      </c>
      <c r="F23" s="26">
        <v>2</v>
      </c>
      <c r="G23" t="s" s="0">
        <v>244</v>
      </c>
      <c r="H23" s="26">
        <f>F23*G23</f>
        <v>2460</v>
      </c>
      <c r="I23" t="s" s="0">
        <v>245</v>
      </c>
      <c r="J23" s="26">
        <v>1.79</v>
      </c>
      <c r="K23" s="26">
        <v>2.5</v>
      </c>
      <c r="L23" s="26">
        <f>H23</f>
        <v>2460</v>
      </c>
      <c r="M23" s="26">
        <f>ROUND(L23*I23%,2)</f>
        <v>24.6</v>
      </c>
      <c r="N23" s="26">
        <f>H23-M23</f>
        <v>2435.4</v>
      </c>
      <c r="O23" s="26">
        <f>ROUND(N23*J23%,2)</f>
        <v>43.59</v>
      </c>
      <c r="P23" s="26">
        <f>ROUND(N23-O23,2)</f>
        <v>2391.81</v>
      </c>
      <c r="Q23" s="26">
        <f>ROUND(P23*K23%,2)</f>
        <v>59.8</v>
      </c>
      <c r="R23" s="26">
        <f>M23+O23+Q23</f>
        <v>127.99</v>
      </c>
      <c r="S23" s="26">
        <f>(H23-R23)</f>
        <v>2332.0100000000002</v>
      </c>
      <c r="T23" s="26" t="s">
        <v>146</v>
      </c>
      <c r="U23" s="26">
        <v>0.18</v>
      </c>
      <c r="V23" s="26">
        <f>IF($C$21=1,ROUND(((S23*U23)/2),2),0)</f>
        <v>209.88</v>
      </c>
      <c r="W23" s="26">
        <f>IF($C$21=1,ROUND(((S23*U23)/2),2),0)</f>
        <v>209.88</v>
      </c>
      <c r="X23" s="26">
        <f>IF($C$21=2,ROUND(((S23*U23)),2),0)</f>
        <v>0</v>
      </c>
      <c r="Y23" s="26">
        <f>V23+W23+X23</f>
        <v>419.76</v>
      </c>
      <c r="Z23" s="26">
        <f t="shared" ref="Z23:Z24" si="1">S23+Y23</f>
        <v>2751.77</v>
      </c>
      <c r="AA23" s="26">
        <v>120</v>
      </c>
      <c r="AB23" s="26">
        <f>IF($P$21=1,(S23/$S$25)*$E$36,AA23/$AA$25*$E$36)</f>
        <v>0</v>
      </c>
      <c r="AC23" s="26"/>
      <c r="AD23" s="26">
        <f>IF($P$21=1,(S23/$S$25)*$E$38,AA23/$AA$25*$E$38)</f>
        <v>0</v>
      </c>
      <c r="AE23" s="26">
        <f>IF($P$21=1,(S23/$S$25)*$E$38,AA23/$AA$25*$E$38)</f>
        <v>0</v>
      </c>
      <c r="AF23" s="26">
        <f t="shared" ref="AF23:AF24" si="2">S23*$M$21</f>
        <v>2332.0100000000002</v>
      </c>
      <c r="AG23" s="26">
        <f t="shared" ref="AG23:AG24" si="3">IF($C$21=3,0,AD23+AE23)</f>
        <v>0</v>
      </c>
      <c r="AH23" s="26">
        <f t="shared" ref="AH23:AH24" si="4">IF($C$21=3,AB23+AD23+AE23,0)</f>
        <v>0</v>
      </c>
      <c r="AI23" s="26">
        <v>1</v>
      </c>
      <c r="AJ23" s="26">
        <f t="shared" ref="AJ23:AJ24" si="5">F23/AI23</f>
        <v>2</v>
      </c>
      <c r="AK23" s="26">
        <f>AF23/AJ23</f>
        <v>1166.0050000000001</v>
      </c>
      <c r="AL23" s="26">
        <f>AG23/AJ23</f>
        <v>0</v>
      </c>
      <c r="AM23" s="26">
        <f>AH23/AJ23</f>
        <v>0</v>
      </c>
      <c r="AN23" s="26" t="s">
        <v>58</v>
      </c>
      <c r="AO23" s="26">
        <f>AK23+AL23+AM23</f>
        <v>1166.0050000000001</v>
      </c>
      <c r="AP23" s="48" t="s">
        <v>217</v>
      </c>
      <c r="AQ23" s="48" t="s">
        <v>58</v>
      </c>
      <c r="AR23" t="s" s="0">
        <v>246</v>
      </c>
      <c r="AS23" t="s" s="0">
        <v>247</v>
      </c>
      <c r="AT23" s="48">
        <f>AJ23</f>
        <v>2</v>
      </c>
      <c r="AU23" s="48">
        <f>AO23</f>
        <v>1166.0050000000001</v>
      </c>
      <c r="AV23" s="48">
        <f>AR23+AT23</f>
        <v>432</v>
      </c>
      <c r="AW23" s="48">
        <f>ROUND(((AR23*AS23)+(AT23*AU23))/(AR23+AT23),5)</f>
        <v>1187.56412</v>
      </c>
      <c r="AX23" s="50"/>
      <c r="AY23" s="50" t="s">
        <v>149</v>
      </c>
      <c r="AZ23" s="58" t="s">
        <v>29</v>
      </c>
      <c r="BA23" s="51" t="s">
        <v>30</v>
      </c>
      <c r="BB23" s="51" t="s">
        <v>39</v>
      </c>
      <c r="BC23" s="50"/>
      <c r="BD23" s="50"/>
      <c r="BE23" s="50"/>
      <c r="BF23" s="48"/>
      <c r="BG23" s="48"/>
      <c r="BH23" s="48"/>
      <c r="BI23" s="48" t="s">
        <v>31</v>
      </c>
      <c r="BJ23" t="s" s="0">
        <v>248</v>
      </c>
      <c r="BK23" t="s" s="0">
        <v>249</v>
      </c>
      <c r="BL23" s="48">
        <f>ROUND((((AT23*AW23)+(BK23*BJ23))/(AT23+BK23)),5)</f>
        <v>1161.02145</v>
      </c>
      <c r="BM23" s="53">
        <f>BK23+AT23</f>
        <v>222</v>
      </c>
      <c r="BN23" s="54">
        <v>123562</v>
      </c>
      <c r="BO23" s="53"/>
    </row>
    <row r="24" spans="1:67">
      <c r="A24" s="25">
        <v>2</v>
      </c>
      <c r="B24" s="83" t="s">
        <v>250</v>
      </c>
      <c r="C24" s="25" t="s">
        <v>60</v>
      </c>
      <c r="D24" s="25" t="s">
        <v>58</v>
      </c>
      <c r="E24" s="25" t="s">
        <v>58</v>
      </c>
      <c r="F24" s="26">
        <v>3</v>
      </c>
      <c r="G24" s="26">
        <v>130.25</v>
      </c>
      <c r="H24" s="26">
        <f t="shared" ref="H24" si="6">F24*G24</f>
        <v>390.75</v>
      </c>
      <c r="I24" s="26">
        <v>1.25</v>
      </c>
      <c r="J24" s="26">
        <v>1.68</v>
      </c>
      <c r="K24" s="26">
        <v>2.5</v>
      </c>
      <c r="L24" s="26">
        <f>H24</f>
        <v>390.75</v>
      </c>
      <c r="M24" s="26">
        <f>ROUND(L24*I24%,2)</f>
        <v>4.88</v>
      </c>
      <c r="N24" s="26">
        <f t="shared" ref="N24" si="7">H24-M24</f>
        <v>385.87</v>
      </c>
      <c r="O24" s="26">
        <f t="shared" ref="O24" si="8">ROUND(N24*J24%,2)</f>
        <v>6.48</v>
      </c>
      <c r="P24" s="26">
        <f t="shared" ref="P24" si="9">ROUND(N24-O24,2)</f>
        <v>379.39</v>
      </c>
      <c r="Q24" s="26">
        <f t="shared" ref="Q24" si="10">ROUND(P24*K24%,2)</f>
        <v>9.48</v>
      </c>
      <c r="R24" s="26">
        <f t="shared" ref="R24" si="11">M24+O24+Q24</f>
        <v>20.84</v>
      </c>
      <c r="S24" s="26">
        <f t="shared" ref="S24" si="12">(H24-R24)</f>
        <v>369.91</v>
      </c>
      <c r="T24" s="26" t="s">
        <v>146</v>
      </c>
      <c r="U24" s="26">
        <v>0.18</v>
      </c>
      <c r="V24" s="26">
        <f t="shared" ref="V24" si="13">IF($C$21=1,ROUND(((S24*U24)/2),2),0)</f>
        <v>33.29</v>
      </c>
      <c r="W24" s="26">
        <f t="shared" ref="W24" si="14">IF($C$21=1,ROUND(((S24*U24)/2),2),0)</f>
        <v>33.29</v>
      </c>
      <c r="X24" s="26">
        <f t="shared" ref="X24" si="15">IF($C$21=2,ROUND(((S24*U24)),2),0)</f>
        <v>0</v>
      </c>
      <c r="Y24" s="26">
        <f t="shared" ref="Y24" si="16">V24+W24+X24</f>
        <v>66.58</v>
      </c>
      <c r="Z24" s="26">
        <f t="shared" si="1"/>
        <v>436.49</v>
      </c>
      <c r="AA24" s="26">
        <v>200</v>
      </c>
      <c r="AB24" s="26">
        <f>IF($P$21=1,(S24/$S$25)*$E$36,AA24/$AA$25*$E$36)</f>
        <v>0</v>
      </c>
      <c r="AC24" s="26"/>
      <c r="AD24" s="26">
        <f>IF($P$21=1,(S24/$S$25)*$E$38,AA24/$AA$25*$E$38)</f>
        <v>0</v>
      </c>
      <c r="AE24" s="26">
        <f>IF($P$21=1,(S24/$S$25)*$E$38,AA24/$AA$25*$E$38)</f>
        <v>0</v>
      </c>
      <c r="AF24" s="26">
        <f t="shared" si="2"/>
        <v>369.91</v>
      </c>
      <c r="AG24" s="26">
        <f t="shared" si="3"/>
        <v>0</v>
      </c>
      <c r="AH24" s="26">
        <f t="shared" si="4"/>
        <v>0</v>
      </c>
      <c r="AI24" s="26">
        <v>1</v>
      </c>
      <c r="AJ24" s="26">
        <f t="shared" si="5"/>
        <v>3</v>
      </c>
      <c r="AK24" s="26">
        <f t="shared" ref="AK24" si="17">AF24/AJ24</f>
        <v>123.303333333333</v>
      </c>
      <c r="AL24" s="26">
        <f t="shared" ref="AL24" si="18">AG24/AJ24</f>
        <v>0</v>
      </c>
      <c r="AM24" s="26">
        <f t="shared" ref="AM24" si="19">AH24/AJ24</f>
        <v>0</v>
      </c>
      <c r="AN24" s="26" t="s">
        <v>58</v>
      </c>
      <c r="AO24" s="26">
        <f t="shared" ref="AO24" si="20">AK24+AL24+AM24</f>
        <v>123.303333333333</v>
      </c>
      <c r="AP24" s="48" t="s">
        <v>217</v>
      </c>
      <c r="AQ24" s="48" t="s">
        <v>58</v>
      </c>
      <c r="AR24" t="s" s="0">
        <v>252</v>
      </c>
      <c r="AS24" t="s" s="0">
        <v>253</v>
      </c>
      <c r="AT24" s="48">
        <f t="shared" ref="AT24" si="21">AJ24</f>
        <v>3</v>
      </c>
      <c r="AU24" s="48">
        <f>AO24</f>
        <v>123.303333333333</v>
      </c>
      <c r="AV24" s="48">
        <f t="shared" ref="AV24" si="22">AR24+AT24</f>
        <v>343</v>
      </c>
      <c r="AW24" s="48">
        <f>ROUND(((AR24*AS24)+(AT24*AU24))/(AR24+AT24),5)</f>
        <v>247.47411</v>
      </c>
      <c r="AX24" s="50"/>
      <c r="AY24" s="50"/>
      <c r="AZ24" s="51" t="s">
        <v>38</v>
      </c>
      <c r="BA24" s="58" t="s">
        <v>221</v>
      </c>
      <c r="BB24" s="58"/>
      <c r="BC24" s="50"/>
      <c r="BD24" s="50"/>
      <c r="BE24" s="50"/>
      <c r="BF24" s="48"/>
      <c r="BG24" s="48"/>
      <c r="BH24" s="48"/>
      <c r="BI24" s="48" t="s">
        <v>31</v>
      </c>
      <c r="BJ24" t="s" s="0">
        <v>254</v>
      </c>
      <c r="BK24" t="s" s="0">
        <v>255</v>
      </c>
      <c r="BL24" s="48">
        <f t="shared" ref="BL24" si="23">ROUND((((AT24*AW24)+(BK24*BJ24))/(AT24+BK24)),5)</f>
        <v>247.55556999999999</v>
      </c>
      <c r="BM24" s="53">
        <f t="shared" ref="BM24" si="24">BK24+AT24</f>
        <v>342</v>
      </c>
      <c r="BN24" s="54">
        <v>123562</v>
      </c>
      <c r="BO24" s="53"/>
    </row>
    <row r="25" spans="1:67">
      <c r="A25" s="16"/>
      <c r="B25" s="27"/>
      <c r="C25" s="27"/>
      <c r="D25" s="28" t="s">
        <v>87</v>
      </c>
      <c r="E25" s="28"/>
      <c r="F25" s="28"/>
      <c r="G25" s="29"/>
      <c r="H25" s="30">
        <f>SUM(H23:H24)</f>
        <v>2850.75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148.83000000000001</v>
      </c>
      <c r="S25" s="39">
        <f>SUM(S23:S24)</f>
        <v>2701.92</v>
      </c>
      <c r="T25" s="30"/>
      <c r="U25" s="30"/>
      <c r="V25" s="40">
        <f t="shared" ref="V25:AB25" si="25">SUM(V23:V24)</f>
        <v>243.17</v>
      </c>
      <c r="W25" s="40">
        <f t="shared" si="25"/>
        <v>243.17</v>
      </c>
      <c r="X25" s="40">
        <f t="shared" si="25"/>
        <v>0</v>
      </c>
      <c r="Y25" s="30">
        <f t="shared" si="25"/>
        <v>486.34</v>
      </c>
      <c r="Z25" s="44">
        <f t="shared" si="25"/>
        <v>3188.26</v>
      </c>
      <c r="AA25" s="45">
        <f t="shared" si="25"/>
        <v>320</v>
      </c>
      <c r="AB25" s="45">
        <f t="shared" si="25"/>
        <v>0</v>
      </c>
      <c r="AC25" s="44"/>
      <c r="AD25" s="45">
        <f>SUM(AD23:AD24)</f>
        <v>0</v>
      </c>
      <c r="AE25" s="45">
        <f>SUM(AE23:AE24)</f>
        <v>0</v>
      </c>
      <c r="AF25" s="45">
        <f>SUM(AF23:AF24)</f>
        <v>2701.92</v>
      </c>
      <c r="AG25" s="45">
        <f>SUM(AG23:AG24)</f>
        <v>0</v>
      </c>
      <c r="AH25" s="45">
        <f>SUM(AH23:AH24)</f>
        <v>0</v>
      </c>
      <c r="AI25" s="44"/>
      <c r="AJ25" s="44"/>
      <c r="AK25" s="44"/>
      <c r="AL25" s="44"/>
      <c r="AM25" s="44"/>
      <c r="AN25" s="44"/>
      <c r="AO25" s="44"/>
      <c r="AP25" s="16"/>
    </row>
    <row r="26" spans="1:67">
      <c r="A26" s="16"/>
      <c r="B26" s="27"/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</row>
  </sheetData>
  <mergeCells count="3">
    <mergeCell ref="A1:Z1"/>
    <mergeCell ref="B19:G19"/>
    <mergeCell ref="A21:B2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BO25"/>
  <sheetViews>
    <sheetView workbookViewId="0">
      <selection sqref="A1:XFD1048576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62.710937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26" max="26" customWidth="true" width="10.28515625"/>
    <col min="27" max="27" customWidth="true" width="12.85546875"/>
    <col min="28" max="28" customWidth="true" width="8.7109375"/>
    <col min="48" max="48" customWidth="true" width="13.85546875"/>
    <col min="57" max="57" customWidth="true" width="12.5703125"/>
    <col min="58" max="58" customWidth="true" width="21.7109375"/>
    <col min="59" max="59" customWidth="true" width="30.5703125"/>
    <col min="64" max="64" customWidth="true" width="18.85546875"/>
    <col min="65" max="65" customWidth="true" width="34.42578125"/>
  </cols>
  <sheetData>
    <row r="1" spans="1:42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6"/>
      <c r="AP1" s="16"/>
    </row>
    <row r="2" spans="1:42" ht="18">
      <c r="A2" s="1" t="s">
        <v>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6"/>
      <c r="AP2" s="16"/>
    </row>
    <row r="3" spans="1:42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16"/>
    </row>
    <row r="4" spans="1:42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16"/>
    </row>
    <row r="5" spans="1:42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16"/>
    </row>
    <row r="6" spans="1:42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16"/>
    </row>
    <row r="7" spans="1:42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16"/>
    </row>
    <row r="8" spans="1:42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16"/>
    </row>
    <row r="9" spans="1:42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16"/>
    </row>
    <row r="10" spans="1:42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16"/>
    </row>
    <row r="11" spans="1:42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16"/>
    </row>
    <row r="12" spans="1:42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16"/>
    </row>
    <row r="13" spans="1:42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2507.6799999999998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16"/>
    </row>
    <row r="14" spans="1:42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16"/>
    </row>
    <row r="15" spans="1:42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16"/>
    </row>
    <row r="16" spans="1:42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16"/>
    </row>
    <row r="17" spans="1:67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>
        <v>5858.27</v>
      </c>
      <c r="T17" s="32"/>
      <c r="U17" s="31"/>
      <c r="V17" s="31"/>
      <c r="W17" s="31"/>
      <c r="X17" s="31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16"/>
    </row>
    <row r="18" spans="1:67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16"/>
    </row>
    <row r="19" spans="1:67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6"/>
    </row>
    <row r="20" spans="1:67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6"/>
    </row>
    <row r="21" spans="1:67">
      <c r="A21" s="151" t="s">
        <v>89</v>
      </c>
      <c r="B21" s="151"/>
      <c r="C21" s="20">
        <v>1</v>
      </c>
      <c r="D21" s="21" t="s">
        <v>90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6"/>
    </row>
    <row r="22" spans="1:67" ht="57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113</v>
      </c>
      <c r="Z22" s="41" t="s">
        <v>114</v>
      </c>
      <c r="AA22" s="41" t="s">
        <v>115</v>
      </c>
      <c r="AB22" s="42" t="s">
        <v>116</v>
      </c>
      <c r="AC22" s="42" t="s">
        <v>117</v>
      </c>
      <c r="AD22" s="42" t="s">
        <v>118</v>
      </c>
      <c r="AE22" s="41" t="s">
        <v>119</v>
      </c>
      <c r="AF22" s="41" t="s">
        <v>120</v>
      </c>
      <c r="AG22" s="42" t="s">
        <v>121</v>
      </c>
      <c r="AH22" s="42" t="s">
        <v>122</v>
      </c>
      <c r="AI22" s="41" t="s">
        <v>123</v>
      </c>
      <c r="AJ22" s="41" t="s">
        <v>124</v>
      </c>
      <c r="AK22" s="42" t="s">
        <v>125</v>
      </c>
      <c r="AL22" s="42" t="s">
        <v>126</v>
      </c>
      <c r="AM22" s="42" t="s">
        <v>127</v>
      </c>
      <c r="AN22" s="41" t="s">
        <v>128</v>
      </c>
      <c r="AO22" s="46" t="s">
        <v>129</v>
      </c>
      <c r="AP22" s="3" t="s">
        <v>211</v>
      </c>
      <c r="AQ22" s="3" t="s">
        <v>128</v>
      </c>
      <c r="AR22" s="47" t="s">
        <v>131</v>
      </c>
      <c r="AS22" s="47" t="s">
        <v>132</v>
      </c>
      <c r="AT22" s="47" t="s">
        <v>133</v>
      </c>
      <c r="AU22" s="47" t="s">
        <v>134</v>
      </c>
      <c r="AV22" s="47" t="s">
        <v>135</v>
      </c>
      <c r="AW22" s="47" t="s">
        <v>136</v>
      </c>
      <c r="AX22" s="47" t="s">
        <v>137</v>
      </c>
      <c r="AY22" s="47" t="s">
        <v>138</v>
      </c>
      <c r="AZ22" s="49" t="s">
        <v>139</v>
      </c>
      <c r="BA22" s="49" t="s">
        <v>8</v>
      </c>
      <c r="BB22" s="49" t="s">
        <v>9</v>
      </c>
      <c r="BC22" s="47" t="s">
        <v>212</v>
      </c>
      <c r="BD22" s="47" t="s">
        <v>140</v>
      </c>
      <c r="BE22" s="47" t="s">
        <v>141</v>
      </c>
      <c r="BF22" s="47" t="s">
        <v>142</v>
      </c>
      <c r="BG22" s="47" t="s">
        <v>143</v>
      </c>
      <c r="BH22" s="47" t="s">
        <v>144</v>
      </c>
      <c r="BI22" s="47" t="s">
        <v>213</v>
      </c>
      <c r="BJ22" s="52" t="s">
        <v>214</v>
      </c>
      <c r="BK22" s="47" t="s">
        <v>215</v>
      </c>
      <c r="BL22" s="47" t="s">
        <v>136</v>
      </c>
      <c r="BM22" s="56" t="s">
        <v>216</v>
      </c>
      <c r="BN22" s="57" t="s">
        <v>108</v>
      </c>
    </row>
    <row r="23" spans="1:67">
      <c r="A23" s="25">
        <v>1</v>
      </c>
      <c r="B23" s="25" t="s">
        <v>265</v>
      </c>
      <c r="C23" s="25" t="s">
        <v>57</v>
      </c>
      <c r="D23" s="25" t="s">
        <v>58</v>
      </c>
      <c r="E23" s="25" t="s">
        <v>58</v>
      </c>
      <c r="F23" s="26">
        <v>2</v>
      </c>
      <c r="G23" s="26">
        <v>250.25</v>
      </c>
      <c r="H23" s="26">
        <f>F23*G23</f>
        <v>500.5</v>
      </c>
      <c r="I23" s="26">
        <v>2.21</v>
      </c>
      <c r="J23" s="26">
        <v>1.79</v>
      </c>
      <c r="K23" s="26">
        <v>2.5</v>
      </c>
      <c r="L23" s="26">
        <f>H23</f>
        <v>500.5</v>
      </c>
      <c r="M23" s="26">
        <f>ROUND(L23*I23%,2)</f>
        <v>11.06</v>
      </c>
      <c r="N23" s="26">
        <f>H23-M23</f>
        <v>489.44</v>
      </c>
      <c r="O23" s="26">
        <f>ROUND(N23*J23%,2)</f>
        <v>8.76</v>
      </c>
      <c r="P23" s="26">
        <f>ROUND(N23-O23,2)</f>
        <v>480.68</v>
      </c>
      <c r="Q23" s="26">
        <f>ROUND(P23*K23%,2)</f>
        <v>12.02</v>
      </c>
      <c r="R23" s="26">
        <f>M23+O23+Q23</f>
        <v>31.84</v>
      </c>
      <c r="S23" s="26">
        <f>(H23-R23)</f>
        <v>468.66</v>
      </c>
      <c r="T23" s="26" t="s">
        <v>146</v>
      </c>
      <c r="U23" s="26">
        <v>0.18</v>
      </c>
      <c r="V23" s="26">
        <f>IF($C$21=1,ROUND(((S23*U23)/2),2),0)</f>
        <v>42.18</v>
      </c>
      <c r="W23" s="26">
        <f>IF($C$21=1,ROUND(((S23*U23)/2),2),0)</f>
        <v>42.18</v>
      </c>
      <c r="X23" s="26">
        <f>IF($C$21=2,ROUND(((S23*U23)),2),0)</f>
        <v>0</v>
      </c>
      <c r="Y23" s="26">
        <f>V23+W23+X23</f>
        <v>84.36</v>
      </c>
      <c r="Z23" s="26">
        <f t="shared" ref="Z23" si="1">S23+Y23</f>
        <v>553.02</v>
      </c>
      <c r="AA23" s="26">
        <v>120</v>
      </c>
      <c r="AB23" s="26">
        <f>IF($P$21=1,(S23/$S$24)*$E$35,AA23/$AA$24*$E$35)</f>
        <v>0</v>
      </c>
      <c r="AC23" s="26"/>
      <c r="AD23" s="26">
        <f>IF($P$21=1,(S23/$S$24)*$E$37,AA23/$AA$24*$E$37)</f>
        <v>0</v>
      </c>
      <c r="AE23" s="26">
        <f>IF($P$21=1,(S23/$S$24)*$E$37,AA23/$AA$24*$E$37)</f>
        <v>0</v>
      </c>
      <c r="AF23" s="26">
        <f t="shared" ref="AF23" si="2">S23*$M$21</f>
        <v>468.66</v>
      </c>
      <c r="AG23" s="26">
        <f t="shared" ref="AG23" si="3">IF($C$21=3,0,AD23+AE23)</f>
        <v>0</v>
      </c>
      <c r="AH23" s="26">
        <f t="shared" ref="AH23" si="4">IF($C$21=3,AB23+AD23+AE23,0)</f>
        <v>0</v>
      </c>
      <c r="AI23" s="26">
        <v>1</v>
      </c>
      <c r="AJ23" s="26">
        <f t="shared" ref="AJ23" si="5">F23/AI23</f>
        <v>2</v>
      </c>
      <c r="AK23" s="26">
        <f>AF23/AJ23</f>
        <v>234.33</v>
      </c>
      <c r="AL23" s="26">
        <f>AG23/AJ23</f>
        <v>0</v>
      </c>
      <c r="AM23" s="26">
        <f>AH23/AJ23</f>
        <v>0</v>
      </c>
      <c r="AN23" s="26" t="s">
        <v>58</v>
      </c>
      <c r="AO23" s="26">
        <f>AK23+AL23+AM23</f>
        <v>234.33</v>
      </c>
      <c r="AP23" s="48" t="s">
        <v>217</v>
      </c>
      <c r="AQ23" s="48" t="s">
        <v>58</v>
      </c>
      <c r="AR23" t="s" s="0">
        <v>365</v>
      </c>
      <c r="AS23" t="s" s="0">
        <v>366</v>
      </c>
      <c r="AT23" s="48">
        <f>AJ23</f>
        <v>2</v>
      </c>
      <c r="AU23" s="48">
        <f>AO23</f>
        <v>234.33</v>
      </c>
      <c r="AV23" s="48">
        <f>AR23+AT23</f>
        <v>13337</v>
      </c>
      <c r="AW23" s="48">
        <f>ROUND(((AR23*AS23)+(AT23*AU23))/(AR23+AT23),5)</f>
        <v>513.23680999999999</v>
      </c>
      <c r="AX23" s="50"/>
      <c r="AY23" s="50" t="s">
        <v>149</v>
      </c>
      <c r="AZ23" s="58" t="s">
        <v>29</v>
      </c>
      <c r="BA23" s="51" t="s">
        <v>30</v>
      </c>
      <c r="BB23" s="51" t="s">
        <v>39</v>
      </c>
      <c r="BC23" s="50"/>
      <c r="BD23" s="50"/>
      <c r="BE23" s="50"/>
      <c r="BF23" s="48"/>
      <c r="BG23" s="48"/>
      <c r="BH23" s="48"/>
      <c r="BI23" s="48" t="s">
        <v>31</v>
      </c>
      <c r="BJ23" t="s" s="0">
        <v>367</v>
      </c>
      <c r="BK23" t="s" s="0">
        <v>368</v>
      </c>
      <c r="BL23" s="48">
        <f>ROUND((((AT23*AW23)+(BK23*BJ23))/(AT23+BK23)),5)</f>
        <v>513.43796999999995</v>
      </c>
      <c r="BM23" s="53">
        <f>BK23+AT23</f>
        <v>195</v>
      </c>
      <c r="BN23" s="54">
        <v>123562</v>
      </c>
      <c r="BO23" s="53"/>
    </row>
    <row r="24" spans="1:67">
      <c r="A24" s="16"/>
      <c r="B24" s="27"/>
      <c r="C24" s="27"/>
      <c r="D24" s="28" t="s">
        <v>87</v>
      </c>
      <c r="E24" s="28"/>
      <c r="F24" s="28"/>
      <c r="G24" s="29"/>
      <c r="H24" s="30">
        <f>SUM(H23:H23)</f>
        <v>500.5</v>
      </c>
      <c r="I24" s="25"/>
      <c r="J24" s="25"/>
      <c r="K24" s="25"/>
      <c r="L24" s="25"/>
      <c r="M24" s="25"/>
      <c r="N24" s="25"/>
      <c r="O24" s="25"/>
      <c r="P24" s="25"/>
      <c r="Q24" s="25"/>
      <c r="R24" s="30">
        <f>SUM(R23:R23)</f>
        <v>31.84</v>
      </c>
      <c r="S24" s="39">
        <f>SUM(S23:S23)</f>
        <v>468.66</v>
      </c>
      <c r="T24" s="30"/>
      <c r="U24" s="30"/>
      <c r="V24" s="40">
        <f t="shared" ref="V24:AB24" si="6">SUM(V23:V23)</f>
        <v>42.18</v>
      </c>
      <c r="W24" s="40">
        <f t="shared" si="6"/>
        <v>42.18</v>
      </c>
      <c r="X24" s="40">
        <f t="shared" si="6"/>
        <v>0</v>
      </c>
      <c r="Y24" s="30">
        <f t="shared" si="6"/>
        <v>84.36</v>
      </c>
      <c r="Z24" s="44">
        <f t="shared" si="6"/>
        <v>553.02</v>
      </c>
      <c r="AA24" s="45">
        <f t="shared" si="6"/>
        <v>120</v>
      </c>
      <c r="AB24" s="45">
        <f t="shared" si="6"/>
        <v>0</v>
      </c>
      <c r="AC24" s="44"/>
      <c r="AD24" s="45">
        <f>SUM(AD23:AD23)</f>
        <v>0</v>
      </c>
      <c r="AE24" s="45">
        <f>SUM(AE23:AE23)</f>
        <v>0</v>
      </c>
      <c r="AF24" s="45">
        <f>SUM(AF23:AF23)</f>
        <v>468.66</v>
      </c>
      <c r="AG24" s="45">
        <f>SUM(AG23:AG23)</f>
        <v>0</v>
      </c>
      <c r="AH24" s="45">
        <f>SUM(AH23:AH23)</f>
        <v>0</v>
      </c>
      <c r="AI24" s="44"/>
      <c r="AJ24" s="44"/>
      <c r="AK24" s="44"/>
      <c r="AL24" s="44"/>
      <c r="AM24" s="44"/>
      <c r="AN24" s="44"/>
      <c r="AO24" s="44"/>
      <c r="AP24" s="16"/>
    </row>
    <row r="25" spans="1:67">
      <c r="A25" s="16"/>
      <c r="B25" s="27"/>
      <c r="C25" s="2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</row>
  </sheetData>
  <mergeCells count="3">
    <mergeCell ref="A1:Z1"/>
    <mergeCell ref="B19:G19"/>
    <mergeCell ref="A21:B2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BN34"/>
  <sheetViews>
    <sheetView topLeftCell="A13" workbookViewId="0">
      <selection activeCell="J34" sqref="J34"/>
    </sheetView>
  </sheetViews>
  <sheetFormatPr defaultColWidth="9" defaultRowHeight="15"/>
  <cols>
    <col min="2" max="2" customWidth="true" width="16.28515625"/>
    <col min="65" max="65" customWidth="true" width="34.42578125"/>
  </cols>
  <sheetData>
    <row r="1" spans="1:64" ht="18">
      <c r="A1" s="154" t="s">
        <v>154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</row>
    <row r="2" spans="1:64" ht="18">
      <c r="A2" s="1" t="s">
        <v>47</v>
      </c>
      <c r="B2" s="1"/>
      <c r="C2" s="1"/>
      <c r="D2" s="1"/>
      <c r="E2" s="1"/>
      <c r="F2" s="1"/>
      <c r="G2" s="1"/>
      <c r="H2" s="1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</row>
    <row r="3" spans="1:64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</row>
    <row r="4" spans="1:64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</row>
    <row r="5" spans="1:64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</row>
    <row r="6" spans="1:64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</row>
    <row r="7" spans="1:64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</row>
    <row r="8" spans="1:64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</row>
    <row r="9" spans="1:64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</row>
    <row r="10" spans="1:64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</row>
    <row r="11" spans="1:64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</row>
    <row r="12" spans="1:64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</row>
    <row r="13" spans="1:64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2507.6799999999998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</row>
    <row r="14" spans="1:64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64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</row>
    <row r="16" spans="1:64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</row>
    <row r="17" spans="1:66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</row>
    <row r="18" spans="1:66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</row>
    <row r="19" spans="1:66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</row>
    <row r="20" spans="1:66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</row>
    <row r="21" spans="1:66">
      <c r="A21" s="151" t="s">
        <v>89</v>
      </c>
      <c r="B21" s="151"/>
      <c r="C21" s="20">
        <v>1</v>
      </c>
      <c r="D21" s="21" t="s">
        <v>90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2</v>
      </c>
      <c r="Q21" s="34" t="s">
        <v>95</v>
      </c>
      <c r="R21" s="18"/>
      <c r="S21" s="18"/>
      <c r="T21" s="18"/>
      <c r="U21" s="18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</row>
    <row r="22" spans="1:66" ht="57">
      <c r="A22" s="61" t="s">
        <v>155</v>
      </c>
      <c r="B22" s="61" t="s">
        <v>49</v>
      </c>
      <c r="C22" s="61" t="s">
        <v>156</v>
      </c>
      <c r="D22" s="61" t="s">
        <v>51</v>
      </c>
      <c r="E22" s="61" t="s">
        <v>52</v>
      </c>
      <c r="F22" s="61" t="s">
        <v>53</v>
      </c>
      <c r="G22" s="61" t="s">
        <v>54</v>
      </c>
      <c r="H22" s="61" t="s">
        <v>55</v>
      </c>
      <c r="I22" s="63" t="s">
        <v>97</v>
      </c>
      <c r="J22" s="63" t="s">
        <v>99</v>
      </c>
      <c r="K22" s="63" t="s">
        <v>98</v>
      </c>
      <c r="L22" s="64" t="s">
        <v>100</v>
      </c>
      <c r="M22" s="64" t="s">
        <v>101</v>
      </c>
      <c r="N22" s="64" t="s">
        <v>104</v>
      </c>
      <c r="O22" s="64" t="s">
        <v>105</v>
      </c>
      <c r="P22" s="64" t="s">
        <v>157</v>
      </c>
      <c r="Q22" s="64" t="s">
        <v>103</v>
      </c>
      <c r="R22" s="63" t="s">
        <v>106</v>
      </c>
      <c r="S22" s="61" t="s">
        <v>158</v>
      </c>
      <c r="T22" s="61" t="s">
        <v>108</v>
      </c>
      <c r="U22" s="67" t="s">
        <v>159</v>
      </c>
      <c r="V22" s="67" t="s">
        <v>110</v>
      </c>
      <c r="W22" s="67" t="s">
        <v>111</v>
      </c>
      <c r="X22" s="67" t="s">
        <v>112</v>
      </c>
      <c r="Y22" s="67" t="s">
        <v>113</v>
      </c>
      <c r="Z22" s="69" t="s">
        <v>114</v>
      </c>
      <c r="AA22" s="69" t="s">
        <v>115</v>
      </c>
      <c r="AB22" s="69" t="s">
        <v>116</v>
      </c>
      <c r="AC22" s="69" t="s">
        <v>117</v>
      </c>
      <c r="AD22" s="69" t="s">
        <v>118</v>
      </c>
      <c r="AE22" s="69" t="s">
        <v>119</v>
      </c>
      <c r="AF22" s="69" t="s">
        <v>120</v>
      </c>
      <c r="AG22" s="69" t="s">
        <v>121</v>
      </c>
      <c r="AH22" s="69" t="s">
        <v>122</v>
      </c>
      <c r="AI22" s="69" t="s">
        <v>123</v>
      </c>
      <c r="AJ22" s="69" t="s">
        <v>124</v>
      </c>
      <c r="AK22" s="69" t="s">
        <v>125</v>
      </c>
      <c r="AL22" s="69" t="s">
        <v>126</v>
      </c>
      <c r="AM22" s="69" t="s">
        <v>127</v>
      </c>
      <c r="AN22" s="69" t="s">
        <v>128</v>
      </c>
      <c r="AO22" s="70" t="s">
        <v>160</v>
      </c>
      <c r="AP22" s="3" t="s">
        <v>211</v>
      </c>
      <c r="AQ22" s="3" t="s">
        <v>128</v>
      </c>
      <c r="AR22" s="47" t="s">
        <v>131</v>
      </c>
      <c r="AS22" s="47" t="s">
        <v>132</v>
      </c>
      <c r="AT22" s="47" t="s">
        <v>133</v>
      </c>
      <c r="AU22" s="47" t="s">
        <v>134</v>
      </c>
      <c r="AV22" s="47" t="s">
        <v>135</v>
      </c>
      <c r="AW22" s="47" t="s">
        <v>136</v>
      </c>
      <c r="AX22" s="47" t="s">
        <v>137</v>
      </c>
      <c r="AY22" s="47" t="s">
        <v>138</v>
      </c>
      <c r="AZ22" s="49" t="s">
        <v>139</v>
      </c>
      <c r="BA22" s="49" t="s">
        <v>8</v>
      </c>
      <c r="BB22" s="49" t="s">
        <v>9</v>
      </c>
      <c r="BC22" s="47" t="s">
        <v>212</v>
      </c>
      <c r="BD22" s="47" t="s">
        <v>140</v>
      </c>
      <c r="BE22" s="47" t="s">
        <v>141</v>
      </c>
      <c r="BF22" s="47" t="s">
        <v>142</v>
      </c>
      <c r="BG22" s="47" t="s">
        <v>143</v>
      </c>
      <c r="BH22" s="47" t="s">
        <v>144</v>
      </c>
      <c r="BI22" s="47" t="s">
        <v>213</v>
      </c>
      <c r="BJ22" s="52" t="s">
        <v>214</v>
      </c>
      <c r="BK22" s="47" t="s">
        <v>215</v>
      </c>
      <c r="BL22" s="47" t="s">
        <v>136</v>
      </c>
      <c r="BM22" s="56" t="s">
        <v>216</v>
      </c>
      <c r="BN22" s="57" t="s">
        <v>108</v>
      </c>
    </row>
    <row r="23" spans="1:66">
      <c r="A23" s="25">
        <v>1</v>
      </c>
      <c r="B23" s="25" t="s">
        <v>301</v>
      </c>
      <c r="C23" s="25" t="s">
        <v>162</v>
      </c>
      <c r="D23" s="25" t="s">
        <v>58</v>
      </c>
      <c r="E23" s="25" t="s">
        <v>163</v>
      </c>
      <c r="F23" s="26">
        <v>25</v>
      </c>
      <c r="G23" t="s" s="0">
        <v>268</v>
      </c>
      <c r="H23" s="26">
        <f>F23*G23</f>
        <v>8625</v>
      </c>
      <c r="I23" t="s" s="0">
        <v>224</v>
      </c>
      <c r="J23" s="26">
        <v>2</v>
      </c>
      <c r="K23" s="26">
        <v>2.5</v>
      </c>
      <c r="L23" s="26">
        <f>H23</f>
        <v>8625</v>
      </c>
      <c r="M23" s="26">
        <f>ROUND(L23*I23%,2)</f>
        <v>172.5</v>
      </c>
      <c r="N23" s="26">
        <f>H23-M23</f>
        <v>8452.5</v>
      </c>
      <c r="O23" s="26">
        <f>ROUND(N23*J23%,2)</f>
        <v>169.05</v>
      </c>
      <c r="P23" s="26">
        <f>ROUND(N23-O23,2)</f>
        <v>8283.4500000000007</v>
      </c>
      <c r="Q23" s="26">
        <f>ROUND(P23*K23%,2)</f>
        <v>207.09</v>
      </c>
      <c r="R23" s="26">
        <f>ROUND((M23+O23+Q23),2)</f>
        <v>548.64</v>
      </c>
      <c r="S23" s="26">
        <f>ROUND((H23-R23),2)</f>
        <v>8076.36</v>
      </c>
      <c r="T23" s="55" t="s">
        <v>146</v>
      </c>
      <c r="U23" s="43">
        <v>0.18</v>
      </c>
      <c r="V23" s="26">
        <f>IF($C$21=1,ROUND(((S23*U23)/2),2),0)</f>
        <v>726.87</v>
      </c>
      <c r="W23" s="26">
        <f>IF($C$21=1,ROUND(((S23*U23)/2),2),0)</f>
        <v>726.87</v>
      </c>
      <c r="X23" s="26">
        <f>IF($C$21=2,ROUND(((S23*U23)),2),0)</f>
        <v>0</v>
      </c>
      <c r="Y23" s="25">
        <f>ROUND((S23*18%),2)</f>
        <v>1453.74</v>
      </c>
      <c r="Z23" s="25">
        <f>S23+Y23</f>
        <v>9530.1</v>
      </c>
      <c r="AA23" s="55">
        <v>120</v>
      </c>
      <c r="AB23" s="55">
        <f>IF($P$21=1,(S23/$S$25)*$E$36,AA23/$AA$25*$E$36)</f>
        <v>0</v>
      </c>
      <c r="AC23" s="55"/>
      <c r="AD23" s="55">
        <f>IF($P$21=1,(S23/$S$25)*$E$38,AA23/$AA$25*$E$38)</f>
        <v>0</v>
      </c>
      <c r="AE23" s="55">
        <f>IF($P$21=1,(S23/$S$25)*$E$39,AA23/$AA$25*$E$39)</f>
        <v>0</v>
      </c>
      <c r="AF23" s="55">
        <f t="shared" ref="AF23:AF24" si="1">S23*$M$21</f>
        <v>8076.36</v>
      </c>
      <c r="AG23" s="55">
        <f>IF($C$21=3,0,AD23+AE23)</f>
        <v>0</v>
      </c>
      <c r="AH23" s="55">
        <f t="shared" ref="AH23:AH24" si="2">IF($C$21=3,AB23+AD23+AE23,0)</f>
        <v>0</v>
      </c>
      <c r="AI23" s="82">
        <v>2</v>
      </c>
      <c r="AJ23" s="55">
        <f t="shared" ref="AJ23:AJ24" si="3">F23/AI23</f>
        <v>12.5</v>
      </c>
      <c r="AK23" s="55">
        <f>ROUND(AF23/AJ23,5)</f>
        <v>646.10879999999997</v>
      </c>
      <c r="AL23" s="55">
        <f>AG23/AJ23</f>
        <v>0</v>
      </c>
      <c r="AM23" s="55">
        <f>AH23/AJ23</f>
        <v>0</v>
      </c>
      <c r="AN23" s="55" t="s">
        <v>58</v>
      </c>
      <c r="AO23" s="55">
        <f>ROUND(AK23+AL23+AM23,5)</f>
        <v>646.10879999999997</v>
      </c>
      <c r="AP23" s="7" t="s">
        <v>217</v>
      </c>
      <c r="AQ23" s="7" t="s">
        <v>58</v>
      </c>
      <c r="AR23" t="s" s="0">
        <v>372</v>
      </c>
      <c r="AS23" t="s" s="0">
        <v>373</v>
      </c>
      <c r="AT23" s="48">
        <f>AJ23</f>
        <v>12.5</v>
      </c>
      <c r="AU23" s="9">
        <f>AO23</f>
        <v>646.10879999999997</v>
      </c>
      <c r="AV23" s="48">
        <f>AR23+AT23</f>
        <v>116.67</v>
      </c>
      <c r="AW23" s="7">
        <f>ROUND(((AR23*AS23)+(AT23*AU23))/(AR23+AT23),5)</f>
        <v>1316.2078799999999</v>
      </c>
      <c r="AX23" s="71"/>
      <c r="AY23" s="71" t="s">
        <v>149</v>
      </c>
      <c r="AZ23" s="72" t="s">
        <v>38</v>
      </c>
      <c r="BA23" s="72" t="s">
        <v>291</v>
      </c>
      <c r="BB23" s="72" t="s">
        <v>292</v>
      </c>
      <c r="BC23" s="71"/>
      <c r="BD23" s="71"/>
      <c r="BE23" s="71"/>
      <c r="BF23" s="7"/>
      <c r="BG23" s="7"/>
      <c r="BH23" s="7"/>
      <c r="BI23" s="7" t="s">
        <v>271</v>
      </c>
      <c r="BJ23" t="s" s="0">
        <v>374</v>
      </c>
      <c r="BK23" t="s" s="0">
        <v>375</v>
      </c>
      <c r="BL23" s="7">
        <f>ROUND((((AT23*AW23)+(BK23*BJ23))/(AT23+BK23)),5)</f>
        <v>1451.9629199999999</v>
      </c>
      <c r="BM23" s="53">
        <f>BK23+AT23</f>
        <v>33.332999999999998</v>
      </c>
      <c r="BN23" s="54">
        <v>123562</v>
      </c>
    </row>
    <row r="24" spans="1:66">
      <c r="A24" s="25">
        <v>2</v>
      </c>
      <c r="B24" s="25" t="s">
        <v>302</v>
      </c>
      <c r="C24" s="25" t="s">
        <v>175</v>
      </c>
      <c r="D24" s="25" t="s">
        <v>58</v>
      </c>
      <c r="E24" s="25" t="s">
        <v>163</v>
      </c>
      <c r="F24" s="26">
        <v>28</v>
      </c>
      <c r="G24" t="s" s="0">
        <v>376</v>
      </c>
      <c r="H24" s="26">
        <f t="shared" ref="H24" si="4">F24*G24</f>
        <v>12600</v>
      </c>
      <c r="I24" t="s" s="0">
        <v>377</v>
      </c>
      <c r="J24" s="26">
        <v>2</v>
      </c>
      <c r="K24" s="26">
        <v>2.5</v>
      </c>
      <c r="L24" s="26">
        <f t="shared" ref="L24" si="5">H24</f>
        <v>12600</v>
      </c>
      <c r="M24" s="26">
        <f t="shared" ref="M24" si="6">ROUND(L24*I24%,2)</f>
        <v>302.39999999999998</v>
      </c>
      <c r="N24" s="26">
        <f t="shared" ref="N24" si="7">H24-M24</f>
        <v>12297.6</v>
      </c>
      <c r="O24" s="26">
        <f t="shared" ref="O24" si="8">ROUND(N24*J24%,2)</f>
        <v>245.95</v>
      </c>
      <c r="P24" s="26">
        <f t="shared" ref="P24" si="9">ROUND(N24-O24,2)</f>
        <v>12051.65</v>
      </c>
      <c r="Q24" s="26">
        <f t="shared" ref="Q24" si="10">ROUND(P24*K24%,2)</f>
        <v>301.29000000000002</v>
      </c>
      <c r="R24" s="26">
        <f t="shared" ref="R24" si="11">ROUND((M24+O24+Q24),2)</f>
        <v>849.64</v>
      </c>
      <c r="S24" s="26">
        <f t="shared" ref="S24" si="12">ROUND((H24-R24),2)</f>
        <v>11750.36</v>
      </c>
      <c r="T24" s="55" t="s">
        <v>273</v>
      </c>
      <c r="U24" s="43">
        <v>0.18</v>
      </c>
      <c r="V24" s="26">
        <f t="shared" ref="V24" si="13">IF($C$21=1,ROUND(((S24*U24)/2),2),0)</f>
        <v>1057.53</v>
      </c>
      <c r="W24" s="26">
        <f t="shared" ref="W24" si="14">IF($C$21=1,ROUND(((S24*U24)/2),2),0)</f>
        <v>1057.53</v>
      </c>
      <c r="X24" s="26">
        <f t="shared" ref="X24" si="15">IF($C$21=2,ROUND(((S24*U24)),2),0)</f>
        <v>0</v>
      </c>
      <c r="Y24" s="25">
        <f t="shared" ref="Y24" si="16">ROUND((S24*18%),2)</f>
        <v>2115.06</v>
      </c>
      <c r="Z24" s="25">
        <f t="shared" ref="Z24" si="17">S24+Y24</f>
        <v>13865.42</v>
      </c>
      <c r="AA24" s="55">
        <v>350</v>
      </c>
      <c r="AB24" s="55">
        <f>IF($P$21=1,(S24/$S$25)*$E$36,AA24/$AA$25*$E$36)</f>
        <v>0</v>
      </c>
      <c r="AC24" s="55"/>
      <c r="AD24" s="55">
        <f>IF($P$21=1,(S24/$S$25)*$E$38,AA24/$AA$25*$E$38)</f>
        <v>0</v>
      </c>
      <c r="AE24" s="55">
        <f>IF($P$21=1,(S24/$S$25)*$E$39,AA24/$AA$25*$E$39)</f>
        <v>0</v>
      </c>
      <c r="AF24" s="55">
        <f t="shared" si="1"/>
        <v>11750.36</v>
      </c>
      <c r="AG24" s="55">
        <f t="shared" ref="AG24" si="18">IF($C$21=3,0,AD24+AE24)</f>
        <v>0</v>
      </c>
      <c r="AH24" s="55">
        <f t="shared" si="2"/>
        <v>0</v>
      </c>
      <c r="AI24" s="82">
        <v>2.5</v>
      </c>
      <c r="AJ24" s="55">
        <f t="shared" si="3"/>
        <v>11.2</v>
      </c>
      <c r="AK24" s="55">
        <f t="shared" ref="AK24" si="19">ROUND(AF24/AJ24,5)</f>
        <v>1049.1392900000001</v>
      </c>
      <c r="AL24" s="55">
        <f t="shared" ref="AL24" si="20">AG24/AJ24</f>
        <v>0</v>
      </c>
      <c r="AM24" s="55">
        <f t="shared" ref="AM24" si="21">AH24/AJ24</f>
        <v>0</v>
      </c>
      <c r="AN24" s="55" t="s">
        <v>58</v>
      </c>
      <c r="AO24" s="55">
        <f t="shared" ref="AO24" si="22">ROUND(AK24+AL24+AM24,5)</f>
        <v>1049.1392900000001</v>
      </c>
      <c r="AP24" s="7" t="s">
        <v>217</v>
      </c>
      <c r="AQ24" s="7" t="s">
        <v>58</v>
      </c>
      <c r="AR24" t="s" s="0">
        <v>378</v>
      </c>
      <c r="AS24" t="s" s="0">
        <v>379</v>
      </c>
      <c r="AT24" s="48">
        <f t="shared" ref="AT24" si="23">AJ24</f>
        <v>11.2</v>
      </c>
      <c r="AU24" s="9">
        <f>AO24</f>
        <v>1049.1392900000001</v>
      </c>
      <c r="AV24" s="48">
        <f t="shared" ref="AV24" si="24">AR24+AT24</f>
        <v>127.87</v>
      </c>
      <c r="AW24" s="7">
        <f>ROUND(((AR24*AS24)+(AT24*AU24))/(AR24+AT24),5)</f>
        <v>1747.2370599999999</v>
      </c>
      <c r="AX24" s="71"/>
      <c r="AY24" s="71"/>
      <c r="AZ24" s="72" t="s">
        <v>38</v>
      </c>
      <c r="BA24" s="72" t="s">
        <v>298</v>
      </c>
      <c r="BB24" s="72" t="s">
        <v>292</v>
      </c>
      <c r="BC24" s="71"/>
      <c r="BD24" s="71"/>
      <c r="BE24" s="71"/>
      <c r="BF24" s="7"/>
      <c r="BG24" s="7"/>
      <c r="BH24" s="7"/>
      <c r="BI24" s="7" t="s">
        <v>271</v>
      </c>
      <c r="BJ24" t="s" s="0">
        <v>380</v>
      </c>
      <c r="BK24" t="s" s="0">
        <v>381</v>
      </c>
      <c r="BL24" s="7">
        <f t="shared" ref="BL24" si="25">ROUND((((AT24*AW24)+(BK24*BJ24))/(AT24+BK24)),5)</f>
        <v>1912.586</v>
      </c>
      <c r="BM24" s="53">
        <f t="shared" ref="BM24" si="26">BK24+AT24</f>
        <v>34.533000000000001</v>
      </c>
      <c r="BN24" s="54">
        <v>123562</v>
      </c>
    </row>
    <row r="25" spans="1:66">
      <c r="A25" s="16"/>
      <c r="C25" s="62" t="s">
        <v>87</v>
      </c>
      <c r="D25" s="28"/>
      <c r="E25" s="28"/>
      <c r="F25" s="28"/>
      <c r="G25" s="29"/>
      <c r="H25" s="30">
        <f>SUM(H23:H24)</f>
        <v>21225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1398.28</v>
      </c>
      <c r="S25" s="30">
        <f>SUM(S23:S24)</f>
        <v>19826.72</v>
      </c>
      <c r="T25" s="30"/>
      <c r="U25" s="30"/>
      <c r="V25" s="39">
        <f t="shared" ref="V25:AB25" si="27">SUM(V23:V24)</f>
        <v>1784.4</v>
      </c>
      <c r="W25" s="39">
        <f t="shared" si="27"/>
        <v>1784.4</v>
      </c>
      <c r="X25" s="39">
        <f t="shared" si="27"/>
        <v>0</v>
      </c>
      <c r="Y25" s="30">
        <f t="shared" si="27"/>
        <v>3568.8</v>
      </c>
      <c r="Z25" s="44">
        <f t="shared" si="27"/>
        <v>23395.52</v>
      </c>
      <c r="AA25" s="45">
        <f t="shared" si="27"/>
        <v>470</v>
      </c>
      <c r="AB25" s="45">
        <f t="shared" si="27"/>
        <v>0</v>
      </c>
      <c r="AC25" s="44"/>
      <c r="AD25" s="45">
        <f>SUM(AD23:AD24)</f>
        <v>0</v>
      </c>
      <c r="AE25" s="45">
        <f>IF($P$21=1,(S25/$S$25)*$E$39,AA25/$AA$25*$E$39)</f>
        <v>0</v>
      </c>
      <c r="AF25" s="45">
        <f>SUM(AF23:AF24)</f>
        <v>19826.72</v>
      </c>
      <c r="AG25" s="45">
        <f>SUM(AG23:AG24)</f>
        <v>0</v>
      </c>
      <c r="AH25" s="45">
        <f>SUM(AH23:AH24)</f>
        <v>0</v>
      </c>
      <c r="AI25" s="44"/>
      <c r="AJ25" s="44"/>
      <c r="AK25" s="44"/>
      <c r="AL25" s="44"/>
      <c r="AM25" s="44"/>
      <c r="AN25" s="44"/>
      <c r="AO25" s="44"/>
      <c r="AP25" s="16"/>
      <c r="AQ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</row>
    <row r="26" spans="1:6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</row>
    <row r="27" spans="1:66">
      <c r="A27" s="16"/>
      <c r="B27" s="16"/>
      <c r="C27" s="16"/>
      <c r="D27" s="16"/>
      <c r="E27" s="16"/>
      <c r="F27" s="16"/>
      <c r="G27" s="156" t="s">
        <v>194</v>
      </c>
      <c r="H27" s="157"/>
      <c r="I27" s="158">
        <f>H25</f>
        <v>21225</v>
      </c>
      <c r="J27" s="158"/>
      <c r="K27" s="65"/>
      <c r="L27" s="16"/>
      <c r="M27" s="159" t="s">
        <v>195</v>
      </c>
      <c r="N27" s="160"/>
      <c r="O27" s="160"/>
      <c r="P27" s="161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 t="s">
        <v>278</v>
      </c>
      <c r="BF27" s="108" t="s">
        <v>279</v>
      </c>
      <c r="BG27" s="16"/>
      <c r="BH27" s="16"/>
      <c r="BI27" s="16"/>
      <c r="BJ27" s="16"/>
      <c r="BK27" s="16"/>
      <c r="BL27" s="16"/>
    </row>
    <row r="28" spans="1:66">
      <c r="A28" s="16"/>
      <c r="B28" s="16"/>
      <c r="C28" s="16"/>
      <c r="D28" s="16"/>
      <c r="E28" s="16"/>
      <c r="F28" s="16"/>
      <c r="G28" s="156" t="s">
        <v>196</v>
      </c>
      <c r="H28" s="157"/>
      <c r="I28" s="158">
        <f>R25</f>
        <v>1398.28</v>
      </c>
      <c r="J28" s="158"/>
      <c r="K28" s="16"/>
      <c r="L28" s="16"/>
      <c r="M28" s="66">
        <v>1</v>
      </c>
      <c r="N28" s="66" t="s">
        <v>58</v>
      </c>
      <c r="O28" s="66">
        <v>2</v>
      </c>
      <c r="P28" s="66" t="s">
        <v>163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 t="s">
        <v>280</v>
      </c>
      <c r="BF28" s="108" t="s">
        <v>281</v>
      </c>
      <c r="BG28" s="16"/>
      <c r="BH28" s="16"/>
      <c r="BI28" s="16"/>
      <c r="BJ28" s="16"/>
      <c r="BK28" s="16"/>
      <c r="BL28" s="16"/>
    </row>
    <row r="29" spans="1:66">
      <c r="A29" s="16"/>
      <c r="B29" s="16"/>
      <c r="C29" s="16"/>
      <c r="D29" s="16"/>
      <c r="E29" s="16"/>
      <c r="F29" s="16"/>
      <c r="G29" s="156" t="s">
        <v>197</v>
      </c>
      <c r="H29" s="157"/>
      <c r="I29" s="158">
        <f>S25</f>
        <v>19826.72</v>
      </c>
      <c r="J29" s="158"/>
      <c r="K29" s="16"/>
      <c r="L29" s="16"/>
      <c r="M29" s="25">
        <v>1</v>
      </c>
      <c r="N29" s="25" t="s">
        <v>58</v>
      </c>
      <c r="O29" s="25">
        <v>2.5</v>
      </c>
      <c r="P29" s="25" t="s">
        <v>176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</row>
    <row r="30" spans="1:66">
      <c r="A30" s="16"/>
      <c r="B30" s="16"/>
      <c r="C30" s="16"/>
      <c r="D30" s="16"/>
      <c r="E30" s="16"/>
      <c r="F30" s="16"/>
      <c r="G30" s="156" t="s">
        <v>198</v>
      </c>
      <c r="H30" s="157"/>
      <c r="I30" s="158">
        <f>Y25</f>
        <v>3568.8</v>
      </c>
      <c r="J30" s="158"/>
      <c r="K30" s="16"/>
      <c r="L30" s="16"/>
      <c r="M30" s="25">
        <v>1</v>
      </c>
      <c r="N30" s="25" t="s">
        <v>163</v>
      </c>
      <c r="O30" s="25">
        <v>1E-3</v>
      </c>
      <c r="P30" s="25" t="s">
        <v>185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</row>
    <row r="31" spans="1:66">
      <c r="A31" s="16"/>
      <c r="B31" s="16"/>
      <c r="C31" s="16"/>
      <c r="D31" s="16"/>
      <c r="E31" s="16"/>
      <c r="F31" s="16"/>
      <c r="G31" s="156" t="s">
        <v>199</v>
      </c>
      <c r="H31" s="157"/>
      <c r="I31" s="162">
        <f>I29+I30</f>
        <v>23395.52</v>
      </c>
      <c r="J31" s="162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</row>
    <row r="32" spans="1:66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 t="s">
        <v>282</v>
      </c>
      <c r="BK32" s="16" t="s">
        <v>283</v>
      </c>
      <c r="BL32" s="16"/>
    </row>
    <row r="33" spans="1:64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 t="s">
        <v>284</v>
      </c>
      <c r="BI33" s="16">
        <v>12.5</v>
      </c>
      <c r="BJ33" s="16">
        <f>BI35*BI36</f>
        <v>0</v>
      </c>
      <c r="BK33" s="16">
        <f>BI33*BI34</f>
        <v>6092.59</v>
      </c>
      <c r="BL33" s="16"/>
    </row>
    <row r="34" spans="1:6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 t="s">
        <v>285</v>
      </c>
      <c r="BI34" s="16">
        <v>487.40719999999999</v>
      </c>
      <c r="BJ34" s="16">
        <f>BI33+BI35</f>
        <v>12.5</v>
      </c>
      <c r="BK34" s="16"/>
      <c r="BL34" s="16"/>
    </row>
  </sheetData>
  <mergeCells count="14">
    <mergeCell ref="G31:H31"/>
    <mergeCell ref="I31:J31"/>
    <mergeCell ref="G28:H28"/>
    <mergeCell ref="I28:J28"/>
    <mergeCell ref="G29:H29"/>
    <mergeCell ref="I29:J29"/>
    <mergeCell ref="G30:H30"/>
    <mergeCell ref="I30:J30"/>
    <mergeCell ref="A1:Z1"/>
    <mergeCell ref="B19:G19"/>
    <mergeCell ref="A21:B21"/>
    <mergeCell ref="G27:H27"/>
    <mergeCell ref="I27:J27"/>
    <mergeCell ref="M27:P27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BN34"/>
  <sheetViews>
    <sheetView topLeftCell="A12" workbookViewId="0">
      <selection activeCell="F23" sqref="F23"/>
    </sheetView>
  </sheetViews>
  <sheetFormatPr defaultColWidth="9" defaultRowHeight="15"/>
  <cols>
    <col min="2" max="2" customWidth="true" width="16.28515625"/>
    <col min="61" max="61" customWidth="true" width="10.140625"/>
    <col min="62" max="62" customWidth="true" width="41.140625"/>
    <col min="63" max="63" customWidth="true" width="37.0"/>
    <col min="64" max="64" customWidth="true" width="18.85546875"/>
    <col min="65" max="65" customWidth="true" width="34.42578125"/>
  </cols>
  <sheetData>
    <row r="1" spans="1:64" ht="18">
      <c r="A1" s="154" t="s">
        <v>154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</row>
    <row r="2" spans="1:64" ht="18">
      <c r="A2" s="1" t="s">
        <v>47</v>
      </c>
      <c r="B2" s="1"/>
      <c r="C2" s="1"/>
      <c r="D2" s="1"/>
      <c r="E2" s="1"/>
      <c r="F2" s="1"/>
      <c r="G2" s="1"/>
      <c r="H2" s="1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</row>
    <row r="3" spans="1:64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</row>
    <row r="4" spans="1:64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</row>
    <row r="5" spans="1:64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</row>
    <row r="6" spans="1:64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</row>
    <row r="7" spans="1:64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</row>
    <row r="8" spans="1:64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</row>
    <row r="9" spans="1:64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</row>
    <row r="10" spans="1:64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</row>
    <row r="11" spans="1:64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</row>
    <row r="12" spans="1:64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</row>
    <row r="13" spans="1:64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2507.6799999999998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</row>
    <row r="14" spans="1:64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64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</row>
    <row r="16" spans="1:64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</row>
    <row r="17" spans="1:66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</row>
    <row r="18" spans="1:66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</row>
    <row r="19" spans="1:66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</row>
    <row r="20" spans="1:66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</row>
    <row r="21" spans="1:66">
      <c r="A21" s="151" t="s">
        <v>89</v>
      </c>
      <c r="B21" s="151"/>
      <c r="C21" s="20">
        <v>1</v>
      </c>
      <c r="D21" s="21" t="s">
        <v>90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2</v>
      </c>
      <c r="Q21" s="34" t="s">
        <v>95</v>
      </c>
      <c r="R21" s="18"/>
      <c r="S21" s="18"/>
      <c r="T21" s="18"/>
      <c r="U21" s="18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</row>
    <row r="22" spans="1:66" ht="57">
      <c r="A22" s="61" t="s">
        <v>155</v>
      </c>
      <c r="B22" s="61" t="s">
        <v>49</v>
      </c>
      <c r="C22" s="61" t="s">
        <v>156</v>
      </c>
      <c r="D22" s="61" t="s">
        <v>51</v>
      </c>
      <c r="E22" s="61" t="s">
        <v>52</v>
      </c>
      <c r="F22" s="61" t="s">
        <v>53</v>
      </c>
      <c r="G22" s="61" t="s">
        <v>54</v>
      </c>
      <c r="H22" s="61" t="s">
        <v>55</v>
      </c>
      <c r="I22" s="63" t="s">
        <v>97</v>
      </c>
      <c r="J22" s="63" t="s">
        <v>99</v>
      </c>
      <c r="K22" s="63" t="s">
        <v>98</v>
      </c>
      <c r="L22" s="64" t="s">
        <v>100</v>
      </c>
      <c r="M22" s="64" t="s">
        <v>101</v>
      </c>
      <c r="N22" s="64" t="s">
        <v>104</v>
      </c>
      <c r="O22" s="64" t="s">
        <v>105</v>
      </c>
      <c r="P22" s="64" t="s">
        <v>157</v>
      </c>
      <c r="Q22" s="64" t="s">
        <v>103</v>
      </c>
      <c r="R22" s="63" t="s">
        <v>106</v>
      </c>
      <c r="S22" s="61" t="s">
        <v>158</v>
      </c>
      <c r="T22" s="61" t="s">
        <v>108</v>
      </c>
      <c r="U22" s="67" t="s">
        <v>159</v>
      </c>
      <c r="V22" s="67" t="s">
        <v>110</v>
      </c>
      <c r="W22" s="67" t="s">
        <v>111</v>
      </c>
      <c r="X22" s="67" t="s">
        <v>112</v>
      </c>
      <c r="Y22" s="67" t="s">
        <v>113</v>
      </c>
      <c r="Z22" s="69" t="s">
        <v>114</v>
      </c>
      <c r="AA22" s="69" t="s">
        <v>115</v>
      </c>
      <c r="AB22" s="69" t="s">
        <v>116</v>
      </c>
      <c r="AC22" s="69" t="s">
        <v>117</v>
      </c>
      <c r="AD22" s="69" t="s">
        <v>118</v>
      </c>
      <c r="AE22" s="69" t="s">
        <v>119</v>
      </c>
      <c r="AF22" s="69" t="s">
        <v>120</v>
      </c>
      <c r="AG22" s="69" t="s">
        <v>121</v>
      </c>
      <c r="AH22" s="69" t="s">
        <v>122</v>
      </c>
      <c r="AI22" s="69" t="s">
        <v>123</v>
      </c>
      <c r="AJ22" s="69" t="s">
        <v>124</v>
      </c>
      <c r="AK22" s="69" t="s">
        <v>125</v>
      </c>
      <c r="AL22" s="69" t="s">
        <v>126</v>
      </c>
      <c r="AM22" s="69" t="s">
        <v>127</v>
      </c>
      <c r="AN22" s="69" t="s">
        <v>128</v>
      </c>
      <c r="AO22" s="70" t="s">
        <v>160</v>
      </c>
      <c r="AP22" s="3" t="s">
        <v>211</v>
      </c>
      <c r="AQ22" s="3" t="s">
        <v>128</v>
      </c>
      <c r="AR22" s="47" t="s">
        <v>131</v>
      </c>
      <c r="AS22" s="47" t="s">
        <v>132</v>
      </c>
      <c r="AT22" s="47" t="s">
        <v>133</v>
      </c>
      <c r="AU22" s="47" t="s">
        <v>134</v>
      </c>
      <c r="AV22" s="47" t="s">
        <v>135</v>
      </c>
      <c r="AW22" s="47" t="s">
        <v>136</v>
      </c>
      <c r="AX22" s="47" t="s">
        <v>137</v>
      </c>
      <c r="AY22" s="47" t="s">
        <v>138</v>
      </c>
      <c r="AZ22" s="49" t="s">
        <v>139</v>
      </c>
      <c r="BA22" s="49" t="s">
        <v>8</v>
      </c>
      <c r="BB22" s="49" t="s">
        <v>9</v>
      </c>
      <c r="BC22" s="47" t="s">
        <v>212</v>
      </c>
      <c r="BD22" s="47" t="s">
        <v>140</v>
      </c>
      <c r="BE22" s="47" t="s">
        <v>141</v>
      </c>
      <c r="BF22" s="47" t="s">
        <v>142</v>
      </c>
      <c r="BG22" s="47" t="s">
        <v>143</v>
      </c>
      <c r="BH22" s="73" t="s">
        <v>144</v>
      </c>
      <c r="BI22" s="74" t="s">
        <v>213</v>
      </c>
      <c r="BJ22" s="75" t="s">
        <v>214</v>
      </c>
      <c r="BK22" s="74" t="s">
        <v>215</v>
      </c>
      <c r="BL22" s="74" t="s">
        <v>136</v>
      </c>
      <c r="BM22" s="74" t="s">
        <v>216</v>
      </c>
      <c r="BN22" s="79" t="s">
        <v>108</v>
      </c>
    </row>
    <row r="23" spans="1:66">
      <c r="A23" s="25">
        <v>1</v>
      </c>
      <c r="B23" s="25" t="s">
        <v>333</v>
      </c>
      <c r="C23" s="25" t="s">
        <v>162</v>
      </c>
      <c r="D23" s="25" t="s">
        <v>58</v>
      </c>
      <c r="E23" s="25" t="s">
        <v>163</v>
      </c>
      <c r="F23" s="26">
        <v>25</v>
      </c>
      <c r="G23" t="s" s="0">
        <v>262</v>
      </c>
      <c r="H23" s="26">
        <f>F23*G23</f>
        <v>2500</v>
      </c>
      <c r="I23" t="s" s="0">
        <v>224</v>
      </c>
      <c r="J23" s="26">
        <v>2</v>
      </c>
      <c r="K23" s="26">
        <v>2.5</v>
      </c>
      <c r="L23" s="26">
        <f>H23</f>
        <v>2500</v>
      </c>
      <c r="M23" s="26">
        <f>ROUND(L23*I23%,2)</f>
        <v>50</v>
      </c>
      <c r="N23" s="26">
        <f>H23-M23</f>
        <v>2450</v>
      </c>
      <c r="O23" s="26">
        <f>ROUND(N23*J23%,2)</f>
        <v>49</v>
      </c>
      <c r="P23" s="26">
        <f>ROUND(N23-O23,2)</f>
        <v>2401</v>
      </c>
      <c r="Q23" s="26">
        <f>ROUND(P23*K23%,2)</f>
        <v>60.03</v>
      </c>
      <c r="R23" s="26">
        <f>ROUND((M23+O23+Q23),2)</f>
        <v>159.03</v>
      </c>
      <c r="S23" s="26">
        <f>ROUND((H23-R23),2)</f>
        <v>2340.9699999999998</v>
      </c>
      <c r="T23" s="55" t="s">
        <v>146</v>
      </c>
      <c r="U23" s="43">
        <v>0.18</v>
      </c>
      <c r="V23" s="26">
        <f>IF($C$21=1,ROUND(((S23*U23)/2),2),0)</f>
        <v>210.69</v>
      </c>
      <c r="W23" s="26">
        <f>IF($C$21=1,ROUND(((S23*U23)/2),2),0)</f>
        <v>210.69</v>
      </c>
      <c r="X23" s="26">
        <f>IF($C$21=2,ROUND(((S23*U23)),2),0)</f>
        <v>0</v>
      </c>
      <c r="Y23" s="25">
        <f>ROUND((S23*18%),2)</f>
        <v>421.37</v>
      </c>
      <c r="Z23" s="25">
        <f>S23+Y23</f>
        <v>2762.34</v>
      </c>
      <c r="AA23" s="55">
        <v>120</v>
      </c>
      <c r="AB23" s="55">
        <f>IF($P$21=1,(S23/$S$25)*$E$36,AA23/$AA$25*$E$36)</f>
        <v>0</v>
      </c>
      <c r="AC23" s="55"/>
      <c r="AD23" s="55">
        <f>IF($P$21=1,(S23/$S$25)*$E$38,AA23/$AA$25*$E$38)</f>
        <v>0</v>
      </c>
      <c r="AE23" s="55">
        <f>IF($P$21=1,(S23/$S$25)*$E$39,AA23/$AA$25*$E$39)</f>
        <v>0</v>
      </c>
      <c r="AF23" s="55">
        <f t="shared" ref="AF23:AF24" si="1">S23*$M$21</f>
        <v>2340.9699999999998</v>
      </c>
      <c r="AG23" s="55">
        <f>IF($C$21=3,0,AD23+AE23)</f>
        <v>0</v>
      </c>
      <c r="AH23" s="55">
        <f t="shared" ref="AH23:AH24" si="2">IF($C$21=3,AB23+AD23+AE23,0)</f>
        <v>0</v>
      </c>
      <c r="AI23" s="26">
        <v>2</v>
      </c>
      <c r="AJ23" s="55">
        <f t="shared" ref="AJ23:AJ24" si="3">F23/AI23</f>
        <v>12.5</v>
      </c>
      <c r="AK23" s="55">
        <f>ROUND(AF23/AJ23,5)</f>
        <v>187.27760000000001</v>
      </c>
      <c r="AL23" s="55">
        <f>AG23/AJ23</f>
        <v>0</v>
      </c>
      <c r="AM23" s="55">
        <f>AH23/AJ23</f>
        <v>0</v>
      </c>
      <c r="AN23" s="55" t="s">
        <v>58</v>
      </c>
      <c r="AO23" s="55">
        <f>ROUND(AK23+AL23+AM23,5)</f>
        <v>187.27760000000001</v>
      </c>
      <c r="AP23" s="7" t="s">
        <v>217</v>
      </c>
      <c r="AQ23" s="7" t="s">
        <v>58</v>
      </c>
      <c r="AR23" t="s" s="0">
        <v>263</v>
      </c>
      <c r="AS23" t="s" s="0">
        <v>334</v>
      </c>
      <c r="AT23" s="48">
        <f>AJ23</f>
        <v>12.5</v>
      </c>
      <c r="AU23" s="9">
        <f>AO23</f>
        <v>187.27760000000001</v>
      </c>
      <c r="AV23" s="48">
        <f>AR23+AT23</f>
        <v>37.5</v>
      </c>
      <c r="AW23" s="7">
        <f>ROUND(((AR23*AS23)+(AT23*AU23))/(AR23+AT23),5)</f>
        <v>187.27760000000001</v>
      </c>
      <c r="AX23" s="71"/>
      <c r="AY23" s="71" t="s">
        <v>149</v>
      </c>
      <c r="AZ23" s="72" t="s">
        <v>38</v>
      </c>
      <c r="BA23" s="72" t="s">
        <v>291</v>
      </c>
      <c r="BB23" s="72" t="s">
        <v>292</v>
      </c>
      <c r="BC23" s="71"/>
      <c r="BD23" s="71"/>
      <c r="BE23" s="71"/>
      <c r="BF23" s="7"/>
      <c r="BG23" s="7"/>
      <c r="BH23" s="76"/>
      <c r="BI23" s="77" t="s">
        <v>31</v>
      </c>
      <c r="BJ23" t="s" s="0">
        <v>334</v>
      </c>
      <c r="BK23" t="s" s="0">
        <v>263</v>
      </c>
      <c r="BL23" s="78">
        <f>ROUND((((AT23*AW23)+(BK23*BJ23))/(AT23+BK23)),5)</f>
        <v>187.27760000000001</v>
      </c>
      <c r="BM23" s="80">
        <f>BK23+AT23</f>
        <v>37.5</v>
      </c>
      <c r="BN23" s="81">
        <v>123562</v>
      </c>
    </row>
    <row r="24" spans="1:66">
      <c r="A24" s="25">
        <v>2</v>
      </c>
      <c r="B24" s="25" t="s">
        <v>335</v>
      </c>
      <c r="C24" s="25" t="s">
        <v>175</v>
      </c>
      <c r="D24" s="25" t="s">
        <v>58</v>
      </c>
      <c r="E24" s="25" t="s">
        <v>163</v>
      </c>
      <c r="F24" s="26">
        <v>28</v>
      </c>
      <c r="G24" t="s" s="0">
        <v>262</v>
      </c>
      <c r="H24" s="26">
        <f t="shared" ref="H24" si="4">F24*G24</f>
        <v>2800</v>
      </c>
      <c r="I24" t="s" s="0">
        <v>224</v>
      </c>
      <c r="J24" s="26">
        <v>2</v>
      </c>
      <c r="K24" s="26">
        <v>2.5</v>
      </c>
      <c r="L24" s="26">
        <f t="shared" ref="L24" si="5">H24</f>
        <v>2800</v>
      </c>
      <c r="M24" s="26">
        <f t="shared" ref="M24" si="6">ROUND(L24*I24%,2)</f>
        <v>56</v>
      </c>
      <c r="N24" s="26">
        <f t="shared" ref="N24" si="7">H24-M24</f>
        <v>2744</v>
      </c>
      <c r="O24" s="26">
        <f t="shared" ref="O24" si="8">ROUND(N24*J24%,2)</f>
        <v>54.88</v>
      </c>
      <c r="P24" s="26">
        <f t="shared" ref="P24" si="9">ROUND(N24-O24,2)</f>
        <v>2689.12</v>
      </c>
      <c r="Q24" s="26">
        <f t="shared" ref="Q24" si="10">ROUND(P24*K24%,2)</f>
        <v>67.23</v>
      </c>
      <c r="R24" s="26">
        <f t="shared" ref="R24" si="11">ROUND((M24+O24+Q24),2)</f>
        <v>178.11</v>
      </c>
      <c r="S24" s="26">
        <f t="shared" ref="S24" si="12">ROUND((H24-R24),2)</f>
        <v>2621.89</v>
      </c>
      <c r="T24" s="55" t="s">
        <v>273</v>
      </c>
      <c r="U24" s="43">
        <v>0.18</v>
      </c>
      <c r="V24" s="26">
        <f t="shared" ref="V24" si="13">IF($C$21=1,ROUND(((S24*U24)/2),2),0)</f>
        <v>235.97</v>
      </c>
      <c r="W24" s="26">
        <f t="shared" ref="W24" si="14">IF($C$21=1,ROUND(((S24*U24)/2),2),0)</f>
        <v>235.97</v>
      </c>
      <c r="X24" s="26">
        <f t="shared" ref="X24" si="15">IF($C$21=2,ROUND(((S24*U24)),2),0)</f>
        <v>0</v>
      </c>
      <c r="Y24" s="25">
        <f t="shared" ref="Y24" si="16">ROUND((S24*18%),2)</f>
        <v>471.94</v>
      </c>
      <c r="Z24" s="25">
        <f t="shared" ref="Z24" si="17">S24+Y24</f>
        <v>3093.83</v>
      </c>
      <c r="AA24" s="55">
        <v>350</v>
      </c>
      <c r="AB24" s="55">
        <f>IF($P$21=1,(S24/$S$25)*$E$36,AA24/$AA$25*$E$36)</f>
        <v>0</v>
      </c>
      <c r="AC24" s="55"/>
      <c r="AD24" s="55">
        <f>IF($P$21=1,(S24/$S$25)*$E$38,AA24/$AA$25*$E$38)</f>
        <v>0</v>
      </c>
      <c r="AE24" s="55">
        <f>IF($P$21=1,(S24/$S$25)*$E$39,AA24/$AA$25*$E$39)</f>
        <v>0</v>
      </c>
      <c r="AF24" s="55">
        <f t="shared" si="1"/>
        <v>2621.89</v>
      </c>
      <c r="AG24" s="55">
        <f t="shared" ref="AG24" si="18">IF($C$21=3,0,AD24+AE24)</f>
        <v>0</v>
      </c>
      <c r="AH24" s="55">
        <f t="shared" si="2"/>
        <v>0</v>
      </c>
      <c r="AI24" s="26">
        <v>2</v>
      </c>
      <c r="AJ24" s="55">
        <f t="shared" si="3"/>
        <v>14</v>
      </c>
      <c r="AK24" s="55">
        <f t="shared" ref="AK24" si="19">ROUND(AF24/AJ24,5)</f>
        <v>187.27786</v>
      </c>
      <c r="AL24" s="55">
        <f t="shared" ref="AL24" si="20">AG24/AJ24</f>
        <v>0</v>
      </c>
      <c r="AM24" s="55">
        <f t="shared" ref="AM24" si="21">AH24/AJ24</f>
        <v>0</v>
      </c>
      <c r="AN24" s="55" t="s">
        <v>58</v>
      </c>
      <c r="AO24" s="55">
        <f t="shared" ref="AO24" si="22">ROUND(AK24+AL24+AM24,5)</f>
        <v>187.27786</v>
      </c>
      <c r="AP24" s="7" t="s">
        <v>217</v>
      </c>
      <c r="AQ24" s="7" t="s">
        <v>58</v>
      </c>
      <c r="AR24" t="s" s="0">
        <v>336</v>
      </c>
      <c r="AS24" t="s" s="0">
        <v>337</v>
      </c>
      <c r="AT24" s="48">
        <f t="shared" ref="AT24" si="23">AJ24</f>
        <v>14</v>
      </c>
      <c r="AU24" s="9">
        <f>AO24</f>
        <v>187.27786</v>
      </c>
      <c r="AV24" s="48">
        <f t="shared" ref="AV24" si="24">AR24+AT24</f>
        <v>42</v>
      </c>
      <c r="AW24" s="7">
        <f>ROUND(((AR24*AS24)+(AT24*AU24))/(AR24+AT24),5)</f>
        <v>187.27786</v>
      </c>
      <c r="AX24" s="71"/>
      <c r="AY24" s="71"/>
      <c r="AZ24" s="72" t="s">
        <v>38</v>
      </c>
      <c r="BA24" s="72" t="s">
        <v>298</v>
      </c>
      <c r="BB24" s="72" t="s">
        <v>292</v>
      </c>
      <c r="BC24" s="71"/>
      <c r="BD24" s="71"/>
      <c r="BE24" s="71"/>
      <c r="BF24" s="7"/>
      <c r="BG24" s="7"/>
      <c r="BH24" s="76"/>
      <c r="BI24" s="77" t="s">
        <v>31</v>
      </c>
      <c r="BJ24" t="s" s="0">
        <v>337</v>
      </c>
      <c r="BK24" t="s" s="0">
        <v>336</v>
      </c>
      <c r="BL24" s="78">
        <f t="shared" ref="BL24" si="25">ROUND((((AT24*AW24)+(BK24*BJ24))/(AT24+BK24)),5)</f>
        <v>187.27786</v>
      </c>
      <c r="BM24" s="80">
        <f t="shared" ref="BM24" si="26">BK24+AT24</f>
        <v>42</v>
      </c>
      <c r="BN24" s="81">
        <v>123562</v>
      </c>
    </row>
    <row r="25" spans="1:66">
      <c r="A25" s="16"/>
      <c r="C25" s="62" t="s">
        <v>87</v>
      </c>
      <c r="D25" s="28"/>
      <c r="E25" s="28"/>
      <c r="F25" s="28"/>
      <c r="G25" s="29"/>
      <c r="H25" s="30">
        <f>SUM(H23:H24)</f>
        <v>5300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337.14</v>
      </c>
      <c r="S25" s="30">
        <f>SUM(S23:S24)</f>
        <v>4962.8599999999997</v>
      </c>
      <c r="T25" s="30"/>
      <c r="U25" s="30"/>
      <c r="V25" s="39">
        <f t="shared" ref="V25:AB25" si="27">SUM(V23:V24)</f>
        <v>446.66</v>
      </c>
      <c r="W25" s="39">
        <f t="shared" si="27"/>
        <v>446.66</v>
      </c>
      <c r="X25" s="39">
        <f t="shared" si="27"/>
        <v>0</v>
      </c>
      <c r="Y25" s="30">
        <f t="shared" si="27"/>
        <v>893.31</v>
      </c>
      <c r="Z25" s="44">
        <f t="shared" si="27"/>
        <v>5856.17</v>
      </c>
      <c r="AA25" s="45">
        <f t="shared" si="27"/>
        <v>470</v>
      </c>
      <c r="AB25" s="45">
        <f t="shared" si="27"/>
        <v>0</v>
      </c>
      <c r="AC25" s="44"/>
      <c r="AD25" s="45">
        <f>SUM(AD23:AD24)</f>
        <v>0</v>
      </c>
      <c r="AE25" s="45">
        <f>IF($P$21=1,(S25/$S$25)*$E$39,AA25/$AA$25*$E$39)</f>
        <v>0</v>
      </c>
      <c r="AF25" s="45">
        <f>SUM(AF23:AF24)</f>
        <v>4962.8599999999997</v>
      </c>
      <c r="AG25" s="45">
        <f>SUM(AG23:AG24)</f>
        <v>0</v>
      </c>
      <c r="AH25" s="45">
        <f>SUM(AH23:AH24)</f>
        <v>0</v>
      </c>
      <c r="AI25" s="44"/>
      <c r="AJ25" s="44"/>
      <c r="AK25" s="44"/>
      <c r="AL25" s="44"/>
      <c r="AM25" s="44"/>
      <c r="AN25" s="44"/>
      <c r="AO25" s="44"/>
      <c r="AP25" s="16"/>
      <c r="AQ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</row>
    <row r="26" spans="1:6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</row>
    <row r="27" spans="1:66">
      <c r="A27" s="16"/>
      <c r="B27" s="16"/>
      <c r="C27" s="16"/>
      <c r="D27" s="16"/>
      <c r="E27" s="16"/>
      <c r="F27" s="16"/>
      <c r="G27" s="156" t="s">
        <v>194</v>
      </c>
      <c r="H27" s="157"/>
      <c r="I27" s="158">
        <f>H25</f>
        <v>5300</v>
      </c>
      <c r="J27" s="158"/>
      <c r="K27" s="65"/>
      <c r="L27" s="16"/>
      <c r="M27" s="159" t="s">
        <v>195</v>
      </c>
      <c r="N27" s="160"/>
      <c r="O27" s="160"/>
      <c r="P27" s="161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 t="s">
        <v>278</v>
      </c>
      <c r="BF27" s="108" t="s">
        <v>279</v>
      </c>
      <c r="BG27" s="16"/>
      <c r="BH27" s="16"/>
      <c r="BI27" s="16"/>
      <c r="BJ27" s="16"/>
      <c r="BK27" s="16"/>
      <c r="BL27" s="16"/>
    </row>
    <row r="28" spans="1:66">
      <c r="A28" s="16"/>
      <c r="B28" s="16"/>
      <c r="C28" s="16"/>
      <c r="D28" s="16"/>
      <c r="E28" s="16"/>
      <c r="F28" s="16"/>
      <c r="G28" s="156" t="s">
        <v>196</v>
      </c>
      <c r="H28" s="157"/>
      <c r="I28" s="158">
        <f>R25</f>
        <v>337.14</v>
      </c>
      <c r="J28" s="158"/>
      <c r="K28" s="16"/>
      <c r="L28" s="16"/>
      <c r="M28" s="66">
        <v>1</v>
      </c>
      <c r="N28" s="66" t="s">
        <v>58</v>
      </c>
      <c r="O28" s="66">
        <v>2</v>
      </c>
      <c r="P28" s="66" t="s">
        <v>163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 t="s">
        <v>280</v>
      </c>
      <c r="BF28" s="108" t="s">
        <v>281</v>
      </c>
      <c r="BG28" s="16"/>
      <c r="BH28" s="16"/>
      <c r="BI28" s="16"/>
      <c r="BJ28" s="16"/>
      <c r="BK28" s="16"/>
      <c r="BL28" s="16"/>
    </row>
    <row r="29" spans="1:66">
      <c r="A29" s="16"/>
      <c r="B29" s="16"/>
      <c r="C29" s="16"/>
      <c r="D29" s="16"/>
      <c r="E29" s="16"/>
      <c r="F29" s="16"/>
      <c r="G29" s="156" t="s">
        <v>197</v>
      </c>
      <c r="H29" s="157"/>
      <c r="I29" s="158">
        <f>S25</f>
        <v>4962.8599999999997</v>
      </c>
      <c r="J29" s="158"/>
      <c r="K29" s="16"/>
      <c r="L29" s="16"/>
      <c r="M29" s="25">
        <v>1</v>
      </c>
      <c r="N29" s="25" t="s">
        <v>58</v>
      </c>
      <c r="O29" s="25">
        <v>2.5</v>
      </c>
      <c r="P29" s="25" t="s">
        <v>176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</row>
    <row r="30" spans="1:66">
      <c r="A30" s="16"/>
      <c r="B30" s="16"/>
      <c r="C30" s="16"/>
      <c r="D30" s="16"/>
      <c r="E30" s="16"/>
      <c r="F30" s="16"/>
      <c r="G30" s="156" t="s">
        <v>198</v>
      </c>
      <c r="H30" s="157"/>
      <c r="I30" s="158">
        <f>Y25</f>
        <v>893.31</v>
      </c>
      <c r="J30" s="158"/>
      <c r="K30" s="16"/>
      <c r="L30" s="16"/>
      <c r="M30" s="25">
        <v>1</v>
      </c>
      <c r="N30" s="25" t="s">
        <v>163</v>
      </c>
      <c r="O30" s="25">
        <v>1E-3</v>
      </c>
      <c r="P30" s="25" t="s">
        <v>185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</row>
    <row r="31" spans="1:66">
      <c r="A31" s="16"/>
      <c r="B31" s="16"/>
      <c r="C31" s="16"/>
      <c r="D31" s="16"/>
      <c r="E31" s="16"/>
      <c r="F31" s="16"/>
      <c r="G31" s="156" t="s">
        <v>199</v>
      </c>
      <c r="H31" s="157"/>
      <c r="I31" s="162">
        <f>I29+I30</f>
        <v>5856.17</v>
      </c>
      <c r="J31" s="162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</row>
    <row r="32" spans="1:66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 t="s">
        <v>282</v>
      </c>
      <c r="BK32" s="16" t="s">
        <v>283</v>
      </c>
      <c r="BL32" s="16"/>
    </row>
    <row r="33" spans="1:64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 t="s">
        <v>284</v>
      </c>
      <c r="BI33" s="16">
        <v>12.5</v>
      </c>
      <c r="BJ33" s="16">
        <f>BI35*BI36</f>
        <v>0</v>
      </c>
      <c r="BK33" s="16">
        <f>BI33*BI34</f>
        <v>6092.59</v>
      </c>
      <c r="BL33" s="16"/>
    </row>
    <row r="34" spans="1:64">
      <c r="A34" s="16"/>
      <c r="B34" s="16"/>
      <c r="C34" s="5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 t="s">
        <v>285</v>
      </c>
      <c r="BI34" s="16">
        <v>487.40719999999999</v>
      </c>
      <c r="BJ34" s="16">
        <f>BI33+BI35</f>
        <v>12.5</v>
      </c>
      <c r="BK34" s="16"/>
      <c r="BL34" s="16"/>
    </row>
  </sheetData>
  <mergeCells count="14">
    <mergeCell ref="G31:H31"/>
    <mergeCell ref="I31:J31"/>
    <mergeCell ref="G28:H28"/>
    <mergeCell ref="I28:J28"/>
    <mergeCell ref="G29:H29"/>
    <mergeCell ref="I29:J29"/>
    <mergeCell ref="G30:H30"/>
    <mergeCell ref="I30:J30"/>
    <mergeCell ref="A1:Z1"/>
    <mergeCell ref="B19:G19"/>
    <mergeCell ref="A21:B21"/>
    <mergeCell ref="G27:H27"/>
    <mergeCell ref="I27:J27"/>
    <mergeCell ref="M27:P27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BM35"/>
  <sheetViews>
    <sheetView topLeftCell="A10" workbookViewId="0">
      <selection sqref="A1:XFD1048576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62.710937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32" max="32" customWidth="true" width="14.28515625"/>
    <col min="40" max="40" customWidth="true" width="11.85546875"/>
    <col min="41" max="41" customWidth="true" width="23.28515625"/>
    <col min="42" max="42" customWidth="true" width="11.140625"/>
    <col min="43" max="43" customWidth="true" width="11.85546875"/>
    <col min="44" max="44" customWidth="true" width="15.28515625"/>
    <col min="45" max="45" customWidth="true" width="20.28515625"/>
    <col min="46" max="46" customWidth="true" width="11.42578125"/>
    <col min="47" max="47" customWidth="true" width="16.28515625"/>
    <col min="48" max="48" customWidth="true" width="13.85546875"/>
    <col min="49" max="49" customWidth="true" width="18.85546875"/>
    <col min="50" max="50" customWidth="true" width="19.0"/>
    <col min="51" max="51" customWidth="true" width="21.7109375"/>
    <col min="52" max="52" customWidth="true" width="16.0"/>
    <col min="53" max="53" customWidth="true" width="14.28515625"/>
    <col min="54" max="54" customWidth="true" width="17.28515625"/>
    <col min="55" max="55" customWidth="true" width="13.7109375"/>
    <col min="56" max="56" customWidth="true" width="12.42578125"/>
    <col min="57" max="57" customWidth="true" width="12.5703125"/>
    <col min="58" max="58" customWidth="true" width="21.7109375"/>
    <col min="59" max="59" customWidth="true" width="30.5703125"/>
    <col min="62" max="62" customWidth="true" width="41.140625"/>
    <col min="63" max="63" customWidth="true" width="37.0"/>
    <col min="64" max="64" customWidth="true" width="18.85546875"/>
    <col min="65" max="65" customWidth="true" width="34.42578125"/>
  </cols>
  <sheetData>
    <row r="1" spans="1:42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6"/>
      <c r="AP1" s="16"/>
    </row>
    <row r="2" spans="1:42" ht="18">
      <c r="A2" s="1" t="s">
        <v>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6"/>
      <c r="AP2" s="16"/>
    </row>
    <row r="3" spans="1:42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16"/>
    </row>
    <row r="4" spans="1:42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16"/>
    </row>
    <row r="5" spans="1:42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16"/>
    </row>
    <row r="6" spans="1:42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16"/>
    </row>
    <row r="7" spans="1:42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16"/>
    </row>
    <row r="8" spans="1:42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16"/>
    </row>
    <row r="9" spans="1:42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16"/>
    </row>
    <row r="10" spans="1:42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16"/>
    </row>
    <row r="11" spans="1:42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16"/>
    </row>
    <row r="12" spans="1:42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16"/>
    </row>
    <row r="13" spans="1:42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2507.6799999999998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16"/>
    </row>
    <row r="14" spans="1:42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16"/>
    </row>
    <row r="15" spans="1:42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16"/>
    </row>
    <row r="16" spans="1:42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16"/>
    </row>
    <row r="17" spans="1:65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>
        <v>5858.27</v>
      </c>
      <c r="T17" s="32"/>
      <c r="U17" s="31"/>
      <c r="V17" s="31"/>
      <c r="W17" s="31"/>
      <c r="X17" s="31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16"/>
    </row>
    <row r="18" spans="1:65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16"/>
    </row>
    <row r="19" spans="1:65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6"/>
    </row>
    <row r="20" spans="1:65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6"/>
    </row>
    <row r="21" spans="1:65">
      <c r="A21" s="151" t="s">
        <v>89</v>
      </c>
      <c r="B21" s="151"/>
      <c r="C21" s="20">
        <v>2</v>
      </c>
      <c r="D21" s="21" t="s">
        <v>90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6"/>
    </row>
    <row r="22" spans="1:65" ht="57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113</v>
      </c>
      <c r="Z22" s="41" t="s">
        <v>114</v>
      </c>
      <c r="AA22" s="41" t="s">
        <v>115</v>
      </c>
      <c r="AB22" s="42" t="s">
        <v>116</v>
      </c>
      <c r="AC22" s="42" t="s">
        <v>117</v>
      </c>
      <c r="AD22" s="42" t="s">
        <v>118</v>
      </c>
      <c r="AE22" s="41" t="s">
        <v>119</v>
      </c>
      <c r="AF22" s="41" t="s">
        <v>120</v>
      </c>
      <c r="AG22" s="42" t="s">
        <v>121</v>
      </c>
      <c r="AH22" s="42" t="s">
        <v>122</v>
      </c>
      <c r="AI22" s="41" t="s">
        <v>123</v>
      </c>
      <c r="AJ22" s="41" t="s">
        <v>124</v>
      </c>
      <c r="AK22" s="42" t="s">
        <v>125</v>
      </c>
      <c r="AL22" s="42" t="s">
        <v>126</v>
      </c>
      <c r="AM22" s="42" t="s">
        <v>127</v>
      </c>
      <c r="AN22" s="41" t="s">
        <v>128</v>
      </c>
      <c r="AO22" s="46" t="s">
        <v>129</v>
      </c>
      <c r="AP22" s="3" t="s">
        <v>211</v>
      </c>
      <c r="AQ22" s="3" t="s">
        <v>128</v>
      </c>
      <c r="AR22" s="47" t="s">
        <v>131</v>
      </c>
      <c r="AS22" s="47" t="s">
        <v>132</v>
      </c>
      <c r="AT22" s="47" t="s">
        <v>133</v>
      </c>
      <c r="AU22" s="47" t="s">
        <v>134</v>
      </c>
      <c r="AV22" s="47" t="s">
        <v>135</v>
      </c>
      <c r="AW22" s="47" t="s">
        <v>136</v>
      </c>
      <c r="AX22" s="47" t="s">
        <v>137</v>
      </c>
      <c r="AY22" s="47" t="s">
        <v>138</v>
      </c>
      <c r="AZ22" s="49" t="s">
        <v>139</v>
      </c>
      <c r="BA22" s="49" t="s">
        <v>8</v>
      </c>
      <c r="BB22" s="49" t="s">
        <v>9</v>
      </c>
      <c r="BC22" s="47" t="s">
        <v>212</v>
      </c>
      <c r="BD22" s="47" t="s">
        <v>140</v>
      </c>
      <c r="BE22" s="47" t="s">
        <v>141</v>
      </c>
      <c r="BF22" s="47" t="s">
        <v>142</v>
      </c>
      <c r="BG22" s="47" t="s">
        <v>143</v>
      </c>
      <c r="BH22" s="47" t="s">
        <v>144</v>
      </c>
      <c r="BI22" s="47" t="s">
        <v>213</v>
      </c>
      <c r="BJ22" s="52" t="s">
        <v>214</v>
      </c>
      <c r="BK22" s="47" t="s">
        <v>215</v>
      </c>
      <c r="BL22" s="47" t="s">
        <v>136</v>
      </c>
      <c r="BM22" s="56" t="s">
        <v>216</v>
      </c>
    </row>
    <row r="23" spans="1:65">
      <c r="A23" s="25">
        <v>1</v>
      </c>
      <c r="B23" s="25" t="s">
        <v>389</v>
      </c>
      <c r="C23" s="25" t="s">
        <v>57</v>
      </c>
      <c r="D23" s="25" t="s">
        <v>163</v>
      </c>
      <c r="E23" s="25" t="s">
        <v>163</v>
      </c>
      <c r="F23" s="26">
        <v>25</v>
      </c>
      <c r="G23" t="s" s="0">
        <v>487</v>
      </c>
      <c r="H23" s="26">
        <f>F23*G23</f>
        <v>850</v>
      </c>
      <c r="I23" t="s" s="0">
        <v>224</v>
      </c>
      <c r="J23" s="26">
        <v>1.79</v>
      </c>
      <c r="K23" s="26">
        <v>2.5</v>
      </c>
      <c r="L23" s="26">
        <f>H23</f>
        <v>850</v>
      </c>
      <c r="M23" s="26">
        <f>ROUND(L23*I23%,2)</f>
        <v>18.79</v>
      </c>
      <c r="N23" s="26">
        <f>H23-M23</f>
        <v>831.21</v>
      </c>
      <c r="O23" s="26">
        <f>ROUND(N23*J23%,2)</f>
        <v>14.88</v>
      </c>
      <c r="P23" s="26">
        <f>ROUND(N23-O23,2)</f>
        <v>816.33</v>
      </c>
      <c r="Q23" s="26">
        <f>ROUND(P23*K23%,2)</f>
        <v>20.41</v>
      </c>
      <c r="R23" s="26">
        <f>M23+O23+Q23</f>
        <v>54.08</v>
      </c>
      <c r="S23" s="26">
        <f>(H23-R23)</f>
        <v>795.92</v>
      </c>
      <c r="T23" s="26" t="s">
        <v>146</v>
      </c>
      <c r="U23" s="26">
        <v>0.18</v>
      </c>
      <c r="V23" s="26">
        <f>IF($C$21=1,ROUND(((S23*U23)/2),2),0)</f>
        <v>0</v>
      </c>
      <c r="W23" s="26">
        <f>IF($C$21=1,ROUND(((S23*U23)/2),2),0)</f>
        <v>0</v>
      </c>
      <c r="X23" s="26">
        <f>IF($C$21=2,ROUND(((S23*U23)),2),0)</f>
        <v>143.27000000000001</v>
      </c>
      <c r="Y23" s="26">
        <f>V23+W23+X23</f>
        <v>143.27000000000001</v>
      </c>
      <c r="Z23" s="26">
        <f t="shared" ref="Z23:Z24" si="1">S23+Y23</f>
        <v>939.19</v>
      </c>
      <c r="AA23" s="26">
        <v>120</v>
      </c>
      <c r="AB23" s="26">
        <f>IF($P$21=1,(S23/$S$25)*$E$36,AA23/$AA$25*$E$36)</f>
        <v>0</v>
      </c>
      <c r="AC23" s="26"/>
      <c r="AD23" s="26">
        <f>IF($P$21=1,(S23/$S$25)*$E$38,AA23/$AA$25*$E$38)</f>
        <v>0</v>
      </c>
      <c r="AE23" s="26">
        <f>IF($P$21=1,(S23/$S$25)*$E$38,AA23/$AA$25*$E$38)</f>
        <v>0</v>
      </c>
      <c r="AF23" s="26">
        <f t="shared" ref="AF23:AF24" si="2">S23*$M$21</f>
        <v>795.92</v>
      </c>
      <c r="AG23" s="26">
        <f t="shared" ref="AG23:AG24" si="3">IF($C$21=3,0,AD23+AE23)</f>
        <v>0</v>
      </c>
      <c r="AH23" s="26">
        <f t="shared" ref="AH23:AH24" si="4">IF($C$21=3,AB23+AD23+AE23,0)</f>
        <v>0</v>
      </c>
      <c r="AI23" s="26">
        <v>1</v>
      </c>
      <c r="AJ23" s="26">
        <f t="shared" ref="AJ23:AJ24" si="5">F23/AI23</f>
        <v>25</v>
      </c>
      <c r="AK23" s="26">
        <f>AF23/AJ23</f>
        <v>31.8368</v>
      </c>
      <c r="AL23" s="26">
        <f>AG23/AJ23</f>
        <v>0</v>
      </c>
      <c r="AM23" s="26">
        <f>AH23/AJ23</f>
        <v>0</v>
      </c>
      <c r="AN23" s="26" t="s">
        <v>58</v>
      </c>
      <c r="AO23" s="26">
        <f>AK23+AL23+AM23</f>
        <v>31.8368</v>
      </c>
      <c r="AP23" s="48" t="s">
        <v>258</v>
      </c>
      <c r="AQ23" s="48" t="s">
        <v>58</v>
      </c>
      <c r="AT23" s="48">
        <f>AJ23</f>
        <v>25</v>
      </c>
      <c r="AW23" s="48">
        <f>ROUND(((AR23*AS23)+(AT23*AU23))/(AR23+AT23),5)</f>
        <v>31.8368</v>
      </c>
      <c r="AX23" s="50"/>
      <c r="AY23" s="50" t="s">
        <v>149</v>
      </c>
      <c r="AZ23" s="58" t="s">
        <v>29</v>
      </c>
      <c r="BA23" s="51" t="s">
        <v>30</v>
      </c>
      <c r="BB23" s="51" t="s">
        <v>39</v>
      </c>
      <c r="BC23" s="50"/>
      <c r="BD23" s="50"/>
      <c r="BE23" s="50"/>
      <c r="BF23" s="48"/>
      <c r="BG23" s="48"/>
      <c r="BH23" s="48"/>
      <c r="BI23" s="48" t="s">
        <v>259</v>
      </c>
      <c r="BJ23" t="s" s="0">
        <v>219</v>
      </c>
      <c r="BK23" t="s" s="0">
        <v>219</v>
      </c>
      <c r="BL23" s="48">
        <f>ROUND((((AT23*AW23)+(BK23*BJ23))/(AT23+BK23)),5)</f>
        <v>31.8368</v>
      </c>
    </row>
    <row r="24" spans="1:65">
      <c r="A24" s="25">
        <v>2</v>
      </c>
      <c r="B24" s="25" t="s">
        <v>390</v>
      </c>
      <c r="C24" s="25" t="s">
        <v>60</v>
      </c>
      <c r="D24" s="25" t="s">
        <v>163</v>
      </c>
      <c r="E24" s="25" t="s">
        <v>163</v>
      </c>
      <c r="F24" s="26">
        <v>35</v>
      </c>
      <c r="G24" s="26">
        <v>30</v>
      </c>
      <c r="H24" s="26">
        <f t="shared" ref="H24" si="6">F24*G24</f>
        <v>1050</v>
      </c>
      <c r="I24" s="26">
        <v>1.25</v>
      </c>
      <c r="J24" s="26">
        <v>1.68</v>
      </c>
      <c r="K24" s="26">
        <v>2.5</v>
      </c>
      <c r="L24" s="26">
        <f>H24</f>
        <v>1050</v>
      </c>
      <c r="M24" s="26">
        <f>ROUND(L24*I24%,2)</f>
        <v>13.13</v>
      </c>
      <c r="N24" s="26">
        <f t="shared" ref="N24" si="7">H24-M24</f>
        <v>1036.8699999999999</v>
      </c>
      <c r="O24" s="26">
        <f t="shared" ref="O24" si="8">ROUND(N24*J24%,2)</f>
        <v>17.420000000000002</v>
      </c>
      <c r="P24" s="26">
        <f t="shared" ref="P24" si="9">ROUND(N24-O24,2)</f>
        <v>1019.45</v>
      </c>
      <c r="Q24" s="26">
        <f t="shared" ref="Q24" si="10">ROUND(P24*K24%,2)</f>
        <v>25.49</v>
      </c>
      <c r="R24" s="26">
        <f t="shared" ref="R24" si="11">M24+O24+Q24</f>
        <v>56.04</v>
      </c>
      <c r="S24" s="26">
        <f t="shared" ref="S24" si="12">(H24-R24)</f>
        <v>993.96</v>
      </c>
      <c r="T24" s="26" t="s">
        <v>146</v>
      </c>
      <c r="U24" s="26">
        <v>0.18</v>
      </c>
      <c r="V24" s="26">
        <f t="shared" ref="V24" si="13">IF($C$21=1,ROUND(((S24*U24)/2),2),0)</f>
        <v>0</v>
      </c>
      <c r="W24" s="26">
        <f t="shared" ref="W24" si="14">IF($C$21=1,ROUND(((S24*U24)/2),2),0)</f>
        <v>0</v>
      </c>
      <c r="X24" s="26">
        <f t="shared" ref="X24" si="15">IF($C$21=2,ROUND(((S24*U24)),2),0)</f>
        <v>178.91</v>
      </c>
      <c r="Y24" s="26">
        <f t="shared" ref="Y24" si="16">V24+W24+X24</f>
        <v>178.91</v>
      </c>
      <c r="Z24" s="26">
        <f t="shared" si="1"/>
        <v>1172.8699999999999</v>
      </c>
      <c r="AA24" s="26">
        <v>200</v>
      </c>
      <c r="AB24" s="26">
        <f>IF($P$21=1,(S24/$S$25)*$E$36,AA24/$AA$25*$E$36)</f>
        <v>0</v>
      </c>
      <c r="AC24" s="26"/>
      <c r="AD24" s="26">
        <f>IF($P$21=1,(S24/$S$25)*$E$38,AA24/$AA$25*$E$38)</f>
        <v>0</v>
      </c>
      <c r="AE24" s="26">
        <f>IF($P$21=1,(S24/$S$25)*$E$38,AA24/$AA$25*$E$38)</f>
        <v>0</v>
      </c>
      <c r="AF24" s="26">
        <f t="shared" si="2"/>
        <v>993.96</v>
      </c>
      <c r="AG24" s="26">
        <f t="shared" si="3"/>
        <v>0</v>
      </c>
      <c r="AH24" s="26">
        <f t="shared" si="4"/>
        <v>0</v>
      </c>
      <c r="AI24" s="26">
        <v>1</v>
      </c>
      <c r="AJ24" s="26">
        <f t="shared" si="5"/>
        <v>35</v>
      </c>
      <c r="AK24" s="26">
        <f t="shared" ref="AK24" si="17">AF24/AJ24</f>
        <v>28.3988571428571</v>
      </c>
      <c r="AL24" s="26">
        <f t="shared" ref="AL24" si="18">AG24/AJ24</f>
        <v>0</v>
      </c>
      <c r="AM24" s="26">
        <f t="shared" ref="AM24" si="19">AH24/AJ24</f>
        <v>0</v>
      </c>
      <c r="AN24" s="26" t="s">
        <v>58</v>
      </c>
      <c r="AO24" s="26">
        <f t="shared" ref="AO24" si="20">AK24+AL24+AM24</f>
        <v>28.3988571428571</v>
      </c>
      <c r="AP24" s="48" t="s">
        <v>258</v>
      </c>
      <c r="AQ24" s="48" t="s">
        <v>58</v>
      </c>
      <c r="AT24" s="48">
        <f t="shared" ref="AT24" si="21">AJ24</f>
        <v>35</v>
      </c>
      <c r="AW24" s="48">
        <f>ROUND(((AR24*AS24)+(AT24*AU24))/(AR24+AT24),5)</f>
        <v>28.398859999999999</v>
      </c>
      <c r="AX24" s="50"/>
      <c r="AY24" s="50"/>
      <c r="AZ24" s="51" t="s">
        <v>38</v>
      </c>
      <c r="BA24" s="58" t="s">
        <v>221</v>
      </c>
      <c r="BB24" s="58"/>
      <c r="BC24" s="50"/>
      <c r="BD24" s="50"/>
      <c r="BE24" s="50"/>
      <c r="BF24" s="48"/>
      <c r="BG24" s="48"/>
      <c r="BH24" s="48"/>
      <c r="BI24" s="48" t="s">
        <v>259</v>
      </c>
      <c r="BJ24" t="s" s="0">
        <v>219</v>
      </c>
      <c r="BK24" t="s" s="0">
        <v>219</v>
      </c>
      <c r="BL24" s="48">
        <f>ROUND((((AT24*AW24)+(BK24*BJ24))/(AT24+BK24)),5)</f>
        <v>28.398859999999999</v>
      </c>
    </row>
    <row r="25" spans="1:65">
      <c r="A25" s="16"/>
      <c r="B25" s="27"/>
      <c r="C25" s="27"/>
      <c r="D25" s="28" t="s">
        <v>87</v>
      </c>
      <c r="E25" s="28"/>
      <c r="F25" s="28"/>
      <c r="G25" s="29"/>
      <c r="H25" s="30">
        <f>SUM(H23:H24)</f>
        <v>1900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110.12</v>
      </c>
      <c r="S25" s="39">
        <f>SUM(S23:S24)</f>
        <v>1789.88</v>
      </c>
      <c r="T25" s="30"/>
      <c r="U25" s="30"/>
      <c r="V25" s="40">
        <f t="shared" ref="V25:AB25" si="22">SUM(V23:V24)</f>
        <v>0</v>
      </c>
      <c r="W25" s="40">
        <f t="shared" si="22"/>
        <v>0</v>
      </c>
      <c r="X25" s="40">
        <f t="shared" si="22"/>
        <v>322.18</v>
      </c>
      <c r="Y25" s="30">
        <f t="shared" si="22"/>
        <v>322.18</v>
      </c>
      <c r="Z25" s="44">
        <f t="shared" si="22"/>
        <v>2112.06</v>
      </c>
      <c r="AA25" s="45">
        <f t="shared" si="22"/>
        <v>320</v>
      </c>
      <c r="AB25" s="45">
        <f t="shared" si="22"/>
        <v>0</v>
      </c>
      <c r="AC25" s="44"/>
      <c r="AD25" s="45">
        <f>SUM(AD23:AD24)</f>
        <v>0</v>
      </c>
      <c r="AE25" s="45">
        <f>SUM(AE23:AE24)</f>
        <v>0</v>
      </c>
      <c r="AF25" s="45">
        <f>SUM(AF23:AF24)</f>
        <v>1789.88</v>
      </c>
      <c r="AG25" s="45">
        <f>SUM(AG23:AG24)</f>
        <v>0</v>
      </c>
      <c r="AH25" s="45">
        <f>SUM(AH23:AH24)</f>
        <v>0</v>
      </c>
      <c r="AI25" s="44"/>
      <c r="AJ25" s="44"/>
      <c r="AK25" s="44"/>
      <c r="AL25" s="44"/>
      <c r="AM25" s="44"/>
      <c r="AN25" s="44"/>
      <c r="AO25" s="44"/>
      <c r="AP25" s="16"/>
    </row>
    <row r="26" spans="1:65">
      <c r="A26" s="16"/>
      <c r="B26" s="27"/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59"/>
      <c r="AQ26" s="59"/>
      <c r="BG26" s="59"/>
      <c r="BH26" s="59"/>
    </row>
    <row r="27" spans="1:65">
      <c r="BH27" s="60"/>
      <c r="BI27" s="60"/>
    </row>
    <row r="35" spans="45:45">
      <c r="AS35" s="0">
        <v>31.8368</v>
      </c>
    </row>
  </sheetData>
  <mergeCells count="3">
    <mergeCell ref="A1:Z1"/>
    <mergeCell ref="B19:G19"/>
    <mergeCell ref="A21:B2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BM35"/>
  <sheetViews>
    <sheetView workbookViewId="0">
      <selection sqref="A1:XFD1048576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62.710937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32" max="32" customWidth="true" width="14.28515625"/>
    <col min="40" max="40" customWidth="true" width="11.85546875"/>
    <col min="41" max="41" customWidth="true" width="23.28515625"/>
    <col min="42" max="42" customWidth="true" width="11.140625"/>
    <col min="43" max="43" customWidth="true" width="11.85546875"/>
    <col min="44" max="44" customWidth="true" width="15.28515625"/>
    <col min="45" max="45" customWidth="true" width="20.28515625"/>
    <col min="46" max="46" customWidth="true" width="11.42578125"/>
    <col min="47" max="47" customWidth="true" width="16.28515625"/>
    <col min="48" max="48" customWidth="true" width="13.85546875"/>
    <col min="49" max="49" customWidth="true" width="18.85546875"/>
    <col min="50" max="50" customWidth="true" width="19.0"/>
    <col min="51" max="51" customWidth="true" width="21.7109375"/>
    <col min="52" max="52" customWidth="true" width="16.0"/>
    <col min="53" max="53" customWidth="true" width="14.28515625"/>
    <col min="54" max="54" customWidth="true" width="17.28515625"/>
    <col min="55" max="55" customWidth="true" width="13.7109375"/>
    <col min="56" max="56" customWidth="true" width="12.42578125"/>
    <col min="57" max="57" customWidth="true" width="12.5703125"/>
    <col min="58" max="58" customWidth="true" width="21.7109375"/>
    <col min="59" max="59" customWidth="true" width="30.5703125"/>
    <col min="62" max="62" customWidth="true" width="41.140625"/>
    <col min="63" max="63" customWidth="true" width="37.0"/>
    <col min="64" max="64" customWidth="true" width="18.85546875"/>
    <col min="65" max="65" customWidth="true" width="34.42578125"/>
  </cols>
  <sheetData>
    <row r="1" spans="1:42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6"/>
      <c r="AP1" s="16"/>
    </row>
    <row r="2" spans="1:42" ht="18">
      <c r="A2" s="1" t="s">
        <v>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6"/>
      <c r="AP2" s="16"/>
    </row>
    <row r="3" spans="1:42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16"/>
    </row>
    <row r="4" spans="1:42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16"/>
    </row>
    <row r="5" spans="1:42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16"/>
    </row>
    <row r="6" spans="1:42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16"/>
    </row>
    <row r="7" spans="1:42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16"/>
    </row>
    <row r="8" spans="1:42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16"/>
    </row>
    <row r="9" spans="1:42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16"/>
    </row>
    <row r="10" spans="1:42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16"/>
    </row>
    <row r="11" spans="1:42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16"/>
    </row>
    <row r="12" spans="1:42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16"/>
    </row>
    <row r="13" spans="1:42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2507.6799999999998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16"/>
    </row>
    <row r="14" spans="1:42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16"/>
    </row>
    <row r="15" spans="1:42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16"/>
    </row>
    <row r="16" spans="1:42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16"/>
    </row>
    <row r="17" spans="1:65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>
        <v>5858.27</v>
      </c>
      <c r="T17" s="32"/>
      <c r="U17" s="31"/>
      <c r="V17" s="31"/>
      <c r="W17" s="31"/>
      <c r="X17" s="31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16"/>
    </row>
    <row r="18" spans="1:65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16"/>
    </row>
    <row r="19" spans="1:65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6"/>
    </row>
    <row r="20" spans="1:65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6"/>
    </row>
    <row r="21" spans="1:65">
      <c r="A21" s="151" t="s">
        <v>89</v>
      </c>
      <c r="B21" s="151"/>
      <c r="C21" s="20">
        <v>2</v>
      </c>
      <c r="D21" s="21" t="s">
        <v>90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6"/>
    </row>
    <row r="22" spans="1:65" ht="57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113</v>
      </c>
      <c r="Z22" s="41" t="s">
        <v>114</v>
      </c>
      <c r="AA22" s="41" t="s">
        <v>115</v>
      </c>
      <c r="AB22" s="42" t="s">
        <v>116</v>
      </c>
      <c r="AC22" s="42" t="s">
        <v>117</v>
      </c>
      <c r="AD22" s="42" t="s">
        <v>118</v>
      </c>
      <c r="AE22" s="41" t="s">
        <v>119</v>
      </c>
      <c r="AF22" s="41" t="s">
        <v>120</v>
      </c>
      <c r="AG22" s="42" t="s">
        <v>121</v>
      </c>
      <c r="AH22" s="42" t="s">
        <v>122</v>
      </c>
      <c r="AI22" s="41" t="s">
        <v>123</v>
      </c>
      <c r="AJ22" s="41" t="s">
        <v>124</v>
      </c>
      <c r="AK22" s="42" t="s">
        <v>125</v>
      </c>
      <c r="AL22" s="42" t="s">
        <v>126</v>
      </c>
      <c r="AM22" s="42" t="s">
        <v>127</v>
      </c>
      <c r="AN22" s="41" t="s">
        <v>128</v>
      </c>
      <c r="AO22" s="46" t="s">
        <v>129</v>
      </c>
      <c r="AP22" s="3" t="s">
        <v>211</v>
      </c>
      <c r="AQ22" s="3" t="s">
        <v>128</v>
      </c>
      <c r="AR22" s="47" t="s">
        <v>131</v>
      </c>
      <c r="AS22" s="47" t="s">
        <v>132</v>
      </c>
      <c r="AT22" s="47" t="s">
        <v>133</v>
      </c>
      <c r="AU22" s="47" t="s">
        <v>134</v>
      </c>
      <c r="AV22" s="47" t="s">
        <v>135</v>
      </c>
      <c r="AW22" s="47" t="s">
        <v>136</v>
      </c>
      <c r="AX22" s="47" t="s">
        <v>137</v>
      </c>
      <c r="AY22" s="47" t="s">
        <v>138</v>
      </c>
      <c r="AZ22" s="49" t="s">
        <v>139</v>
      </c>
      <c r="BA22" s="49" t="s">
        <v>8</v>
      </c>
      <c r="BB22" s="49" t="s">
        <v>9</v>
      </c>
      <c r="BC22" s="47" t="s">
        <v>212</v>
      </c>
      <c r="BD22" s="47" t="s">
        <v>140</v>
      </c>
      <c r="BE22" s="47" t="s">
        <v>141</v>
      </c>
      <c r="BF22" s="47" t="s">
        <v>142</v>
      </c>
      <c r="BG22" s="47" t="s">
        <v>143</v>
      </c>
      <c r="BH22" s="47" t="s">
        <v>144</v>
      </c>
      <c r="BI22" s="47" t="s">
        <v>213</v>
      </c>
      <c r="BJ22" s="52" t="s">
        <v>214</v>
      </c>
      <c r="BK22" s="47" t="s">
        <v>215</v>
      </c>
      <c r="BL22" s="47" t="s">
        <v>136</v>
      </c>
      <c r="BM22" s="56" t="s">
        <v>216</v>
      </c>
    </row>
    <row r="23" spans="1:65">
      <c r="A23" s="25">
        <v>1</v>
      </c>
      <c r="B23" s="25" t="s">
        <v>391</v>
      </c>
      <c r="C23" s="25" t="s">
        <v>57</v>
      </c>
      <c r="D23" s="25" t="s">
        <v>163</v>
      </c>
      <c r="E23" s="25" t="s">
        <v>163</v>
      </c>
      <c r="F23" s="26">
        <v>25</v>
      </c>
      <c r="G23" t="s" s="0">
        <v>392</v>
      </c>
      <c r="H23" s="26">
        <f>F23*G23</f>
        <v>17200</v>
      </c>
      <c r="I23" t="s" s="0">
        <v>224</v>
      </c>
      <c r="J23" s="26">
        <v>1.79</v>
      </c>
      <c r="K23" s="26">
        <v>2.5</v>
      </c>
      <c r="L23" s="26">
        <f>H23</f>
        <v>17200</v>
      </c>
      <c r="M23" s="26">
        <f>ROUND(L23*I23%,2)</f>
        <v>344</v>
      </c>
      <c r="N23" s="26">
        <f>H23-M23</f>
        <v>16856</v>
      </c>
      <c r="O23" s="26">
        <f>ROUND(N23*J23%,2)</f>
        <v>301.72000000000003</v>
      </c>
      <c r="P23" s="26">
        <f>ROUND(N23-O23,2)</f>
        <v>16554.28</v>
      </c>
      <c r="Q23" s="26">
        <f>ROUND(P23*K23%,2)</f>
        <v>413.86</v>
      </c>
      <c r="R23" s="26">
        <f>M23+O23+Q23</f>
        <v>1059.58</v>
      </c>
      <c r="S23" s="26">
        <f>(H23-R23)</f>
        <v>16140.42</v>
      </c>
      <c r="T23" s="26" t="s">
        <v>146</v>
      </c>
      <c r="U23" s="26">
        <v>0.18</v>
      </c>
      <c r="V23" s="26">
        <f>IF($C$21=1,ROUND(((S23*U23)/2),2),0)</f>
        <v>0</v>
      </c>
      <c r="W23" s="26">
        <f>IF($C$21=1,ROUND(((S23*U23)/2),2),0)</f>
        <v>0</v>
      </c>
      <c r="X23" s="26">
        <f>IF($C$21=2,ROUND(((S23*U23)),2),0)</f>
        <v>2905.28</v>
      </c>
      <c r="Y23" s="26">
        <f>V23+W23+X23</f>
        <v>2905.28</v>
      </c>
      <c r="Z23" s="26">
        <f t="shared" ref="Z23:Z24" si="1">S23+Y23</f>
        <v>19045.7</v>
      </c>
      <c r="AA23" s="26">
        <v>120</v>
      </c>
      <c r="AB23" s="26">
        <f>IF($P$21=1,(S23/$S$25)*$E$36,AA23/$AA$25*$E$36)</f>
        <v>0</v>
      </c>
      <c r="AC23" s="26"/>
      <c r="AD23" s="26">
        <f>IF($P$21=1,(S23/$S$25)*$E$38,AA23/$AA$25*$E$38)</f>
        <v>0</v>
      </c>
      <c r="AE23" s="26">
        <f>IF($P$21=1,(S23/$S$25)*$E$38,AA23/$AA$25*$E$38)</f>
        <v>0</v>
      </c>
      <c r="AF23" s="26">
        <f t="shared" ref="AF23:AF24" si="2">S23*$M$21</f>
        <v>16140.42</v>
      </c>
      <c r="AG23" s="26">
        <f t="shared" ref="AG23:AG24" si="3">IF($C$21=3,0,AD23+AE23)</f>
        <v>0</v>
      </c>
      <c r="AH23" s="26">
        <f t="shared" ref="AH23:AH24" si="4">IF($C$21=3,AB23+AD23+AE23,0)</f>
        <v>0</v>
      </c>
      <c r="AI23" s="26">
        <v>1</v>
      </c>
      <c r="AJ23" s="26">
        <f t="shared" ref="AJ23:AJ24" si="5">F23/AI23</f>
        <v>25</v>
      </c>
      <c r="AK23" s="26">
        <f>AF23/AJ23</f>
        <v>645.61680000000001</v>
      </c>
      <c r="AL23" s="26">
        <f>AG23/AJ23</f>
        <v>0</v>
      </c>
      <c r="AM23" s="26">
        <f>AH23/AJ23</f>
        <v>0</v>
      </c>
      <c r="AN23" s="26" t="s">
        <v>58</v>
      </c>
      <c r="AO23" s="26">
        <f>AK23+AL23+AM23</f>
        <v>645.61680000000001</v>
      </c>
      <c r="AP23" s="48" t="s">
        <v>258</v>
      </c>
      <c r="AQ23" s="48" t="s">
        <v>58</v>
      </c>
      <c r="AT23" s="48">
        <f>AJ23</f>
        <v>25</v>
      </c>
      <c r="AW23" s="48">
        <f>ROUND(((AR23*AS23)+(AT23*AU23))/(AR23+AT23),5)</f>
        <v>645.61680000000001</v>
      </c>
      <c r="AX23" s="50"/>
      <c r="AY23" s="50" t="s">
        <v>149</v>
      </c>
      <c r="AZ23" s="58" t="s">
        <v>29</v>
      </c>
      <c r="BA23" s="51" t="s">
        <v>30</v>
      </c>
      <c r="BB23" s="51" t="s">
        <v>39</v>
      </c>
      <c r="BC23" s="50"/>
      <c r="BD23" s="50"/>
      <c r="BE23" s="50"/>
      <c r="BF23" s="48"/>
      <c r="BG23" s="48"/>
      <c r="BH23" s="48"/>
      <c r="BI23" s="48" t="s">
        <v>259</v>
      </c>
      <c r="BJ23" t="s" s="0">
        <v>219</v>
      </c>
      <c r="BK23" t="s" s="0">
        <v>219</v>
      </c>
      <c r="BL23" s="48">
        <f>ROUND((((AT23*AW23)+(BK23*BJ23))/(AT23+BK23)),5)</f>
        <v>645.61680000000001</v>
      </c>
    </row>
    <row r="24" spans="1:65">
      <c r="A24" s="25">
        <v>2</v>
      </c>
      <c r="B24" s="25" t="s">
        <v>393</v>
      </c>
      <c r="C24" s="25" t="s">
        <v>60</v>
      </c>
      <c r="D24" s="25" t="s">
        <v>163</v>
      </c>
      <c r="E24" s="25" t="s">
        <v>163</v>
      </c>
      <c r="F24" s="26">
        <v>35</v>
      </c>
      <c r="G24" t="s" s="0">
        <v>328</v>
      </c>
      <c r="H24" s="26">
        <f t="shared" ref="H24" si="6">F24*G24</f>
        <v>15225</v>
      </c>
      <c r="I24" t="s" s="0">
        <v>218</v>
      </c>
      <c r="J24" s="26">
        <v>1.68</v>
      </c>
      <c r="K24" s="26">
        <v>2.5</v>
      </c>
      <c r="L24" s="26">
        <f>H24</f>
        <v>15225</v>
      </c>
      <c r="M24" s="26">
        <f>ROUND(L24*I24%,2)</f>
        <v>609</v>
      </c>
      <c r="N24" s="26">
        <f t="shared" ref="N24" si="7">H24-M24</f>
        <v>14616</v>
      </c>
      <c r="O24" s="26">
        <f t="shared" ref="O24" si="8">ROUND(N24*J24%,2)</f>
        <v>245.55</v>
      </c>
      <c r="P24" s="26">
        <f t="shared" ref="P24" si="9">ROUND(N24-O24,2)</f>
        <v>14370.45</v>
      </c>
      <c r="Q24" s="26">
        <f t="shared" ref="Q24" si="10">ROUND(P24*K24%,2)</f>
        <v>359.26</v>
      </c>
      <c r="R24" s="26">
        <f t="shared" ref="R24" si="11">M24+O24+Q24</f>
        <v>1213.81</v>
      </c>
      <c r="S24" s="26">
        <f t="shared" ref="S24" si="12">(H24-R24)</f>
        <v>14011.19</v>
      </c>
      <c r="T24" s="26" t="s">
        <v>146</v>
      </c>
      <c r="U24" s="26">
        <v>0.18</v>
      </c>
      <c r="V24" s="26">
        <f t="shared" ref="V24" si="13">IF($C$21=1,ROUND(((S24*U24)/2),2),0)</f>
        <v>0</v>
      </c>
      <c r="W24" s="26">
        <f t="shared" ref="W24" si="14">IF($C$21=1,ROUND(((S24*U24)/2),2),0)</f>
        <v>0</v>
      </c>
      <c r="X24" s="26">
        <f t="shared" ref="X24" si="15">IF($C$21=2,ROUND(((S24*U24)),2),0)</f>
        <v>2522.0100000000002</v>
      </c>
      <c r="Y24" s="26">
        <f t="shared" ref="Y24" si="16">V24+W24+X24</f>
        <v>2522.0100000000002</v>
      </c>
      <c r="Z24" s="26">
        <f t="shared" si="1"/>
        <v>16533.2</v>
      </c>
      <c r="AA24" s="26">
        <v>200</v>
      </c>
      <c r="AB24" s="26">
        <f>IF($P$21=1,(S24/$S$25)*$E$36,AA24/$AA$25*$E$36)</f>
        <v>0</v>
      </c>
      <c r="AC24" s="26"/>
      <c r="AD24" s="26">
        <f>IF($P$21=1,(S24/$S$25)*$E$38,AA24/$AA$25*$E$38)</f>
        <v>0</v>
      </c>
      <c r="AE24" s="26">
        <f>IF($P$21=1,(S24/$S$25)*$E$38,AA24/$AA$25*$E$38)</f>
        <v>0</v>
      </c>
      <c r="AF24" s="26">
        <f t="shared" si="2"/>
        <v>14011.19</v>
      </c>
      <c r="AG24" s="26">
        <f t="shared" si="3"/>
        <v>0</v>
      </c>
      <c r="AH24" s="26">
        <f t="shared" si="4"/>
        <v>0</v>
      </c>
      <c r="AI24" s="26">
        <v>1</v>
      </c>
      <c r="AJ24" s="26">
        <f t="shared" si="5"/>
        <v>35</v>
      </c>
      <c r="AK24" s="26">
        <f t="shared" ref="AK24" si="17">AF24/AJ24</f>
        <v>400.31971428571399</v>
      </c>
      <c r="AL24" s="26">
        <f t="shared" ref="AL24" si="18">AG24/AJ24</f>
        <v>0</v>
      </c>
      <c r="AM24" s="26">
        <f t="shared" ref="AM24" si="19">AH24/AJ24</f>
        <v>0</v>
      </c>
      <c r="AN24" s="26" t="s">
        <v>58</v>
      </c>
      <c r="AO24" s="26">
        <f t="shared" ref="AO24" si="20">AK24+AL24+AM24</f>
        <v>400.31971428571399</v>
      </c>
      <c r="AP24" s="48" t="s">
        <v>258</v>
      </c>
      <c r="AQ24" s="48" t="s">
        <v>58</v>
      </c>
      <c r="AT24" s="48">
        <f t="shared" ref="AT24" si="21">AJ24</f>
        <v>35</v>
      </c>
      <c r="AW24" s="48">
        <f>ROUND(((AR24*AS24)+(AT24*AU24))/(AR24+AT24),5)</f>
        <v>400.31970999999999</v>
      </c>
      <c r="AX24" s="50"/>
      <c r="AY24" s="50"/>
      <c r="AZ24" s="51" t="s">
        <v>38</v>
      </c>
      <c r="BA24" s="58" t="s">
        <v>221</v>
      </c>
      <c r="BB24" s="58"/>
      <c r="BC24" s="50"/>
      <c r="BD24" s="50"/>
      <c r="BE24" s="50"/>
      <c r="BF24" s="48"/>
      <c r="BG24" s="48"/>
      <c r="BH24" s="48"/>
      <c r="BI24" s="48" t="s">
        <v>259</v>
      </c>
      <c r="BJ24" t="s" s="0">
        <v>219</v>
      </c>
      <c r="BK24" t="s" s="0">
        <v>219</v>
      </c>
      <c r="BL24" s="48">
        <f>ROUND((((AT24*AW24)+(BK24*BJ24))/(AT24+BK24)),5)</f>
        <v>400.31970999999999</v>
      </c>
    </row>
    <row r="25" spans="1:65">
      <c r="A25" s="16"/>
      <c r="B25" s="27"/>
      <c r="C25" s="27"/>
      <c r="D25" s="28" t="s">
        <v>87</v>
      </c>
      <c r="E25" s="28"/>
      <c r="F25" s="28"/>
      <c r="G25" s="29"/>
      <c r="H25" s="30">
        <f>SUM(H23:H24)</f>
        <v>32425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2273.39</v>
      </c>
      <c r="S25" s="39">
        <f>SUM(S23:S24)</f>
        <v>30151.61</v>
      </c>
      <c r="T25" s="30"/>
      <c r="U25" s="30"/>
      <c r="V25" s="40">
        <f t="shared" ref="V25:AB25" si="22">SUM(V23:V24)</f>
        <v>0</v>
      </c>
      <c r="W25" s="40">
        <f t="shared" si="22"/>
        <v>0</v>
      </c>
      <c r="X25" s="40">
        <f t="shared" si="22"/>
        <v>5427.29</v>
      </c>
      <c r="Y25" s="30">
        <f t="shared" si="22"/>
        <v>5427.29</v>
      </c>
      <c r="Z25" s="44">
        <f t="shared" si="22"/>
        <v>35578.9</v>
      </c>
      <c r="AA25" s="45">
        <f t="shared" si="22"/>
        <v>320</v>
      </c>
      <c r="AB25" s="45">
        <f t="shared" si="22"/>
        <v>0</v>
      </c>
      <c r="AC25" s="44"/>
      <c r="AD25" s="45">
        <f>SUM(AD23:AD24)</f>
        <v>0</v>
      </c>
      <c r="AE25" s="45">
        <f>SUM(AE23:AE24)</f>
        <v>0</v>
      </c>
      <c r="AF25" s="45">
        <f>SUM(AF23:AF24)</f>
        <v>30151.61</v>
      </c>
      <c r="AG25" s="45">
        <f>SUM(AG23:AG24)</f>
        <v>0</v>
      </c>
      <c r="AH25" s="45">
        <f>SUM(AH23:AH24)</f>
        <v>0</v>
      </c>
      <c r="AI25" s="44"/>
      <c r="AJ25" s="44"/>
      <c r="AK25" s="44"/>
      <c r="AL25" s="44"/>
      <c r="AM25" s="44"/>
      <c r="AN25" s="44"/>
      <c r="AO25" s="44"/>
      <c r="AP25" s="16"/>
    </row>
    <row r="26" spans="1:65">
      <c r="A26" s="16"/>
      <c r="B26" s="27"/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59"/>
      <c r="AQ26" s="59"/>
      <c r="BG26" s="59"/>
      <c r="BH26" s="59"/>
    </row>
    <row r="27" spans="1:65">
      <c r="BH27" s="60"/>
      <c r="BI27" s="60"/>
    </row>
    <row r="35" spans="45:45">
      <c r="AS35" s="0">
        <v>31.8368</v>
      </c>
    </row>
  </sheetData>
  <mergeCells count="3">
    <mergeCell ref="A1:Z1"/>
    <mergeCell ref="B19:G19"/>
    <mergeCell ref="A21:B21"/>
  </mergeCells>
  <pageMargins left="0.7" right="0.7" top="0.75" bottom="0.75" header="0.3" footer="0.3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>
  <dimension ref="A1:BM34"/>
  <sheetViews>
    <sheetView topLeftCell="I16" workbookViewId="0">
      <selection activeCell="Z20" sqref="Z20:Z27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62.710937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32" max="32" customWidth="true" width="14.28515625"/>
    <col min="40" max="40" customWidth="true" width="11.85546875"/>
    <col min="41" max="41" customWidth="true" width="23.28515625"/>
    <col min="42" max="42" customWidth="true" width="11.140625"/>
    <col min="43" max="43" customWidth="true" width="11.85546875"/>
    <col min="44" max="44" customWidth="true" width="15.28515625"/>
    <col min="45" max="45" customWidth="true" width="20.28515625"/>
    <col min="46" max="46" customWidth="true" width="11.42578125"/>
    <col min="47" max="47" customWidth="true" width="16.28515625"/>
    <col min="48" max="48" customWidth="true" width="13.85546875"/>
    <col min="49" max="49" customWidth="true" width="18.85546875"/>
    <col min="50" max="50" customWidth="true" width="19.0"/>
    <col min="51" max="51" customWidth="true" width="21.7109375"/>
    <col min="52" max="52" customWidth="true" width="16.0"/>
    <col min="53" max="53" customWidth="true" width="14.28515625"/>
    <col min="54" max="54" customWidth="true" width="17.28515625"/>
    <col min="55" max="55" customWidth="true" width="13.7109375"/>
    <col min="56" max="56" customWidth="true" width="12.42578125"/>
    <col min="57" max="57" customWidth="true" width="12.5703125"/>
    <col min="58" max="58" customWidth="true" width="21.7109375"/>
    <col min="59" max="59" customWidth="true" width="30.5703125"/>
    <col min="62" max="62" customWidth="true" width="41.140625"/>
    <col min="63" max="63" customWidth="true" width="37.0"/>
    <col min="64" max="64" customWidth="true" width="18.85546875"/>
    <col min="65" max="65" customWidth="true" width="34.42578125"/>
  </cols>
  <sheetData>
    <row r="1" spans="1:42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6"/>
      <c r="AP1" s="16"/>
    </row>
    <row r="2" spans="1:42" ht="18">
      <c r="A2" s="1" t="s">
        <v>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6"/>
      <c r="AP2" s="16"/>
    </row>
    <row r="3" spans="1:42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16"/>
    </row>
    <row r="4" spans="1:42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16"/>
    </row>
    <row r="5" spans="1:42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16"/>
    </row>
    <row r="6" spans="1:42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16"/>
    </row>
    <row r="7" spans="1:42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16"/>
    </row>
    <row r="8" spans="1:42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16"/>
    </row>
    <row r="9" spans="1:42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16"/>
    </row>
    <row r="10" spans="1:42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16"/>
    </row>
    <row r="11" spans="1:42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16"/>
    </row>
    <row r="12" spans="1:42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16"/>
    </row>
    <row r="13" spans="1:42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2507.6799999999998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16"/>
    </row>
    <row r="14" spans="1:42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16"/>
    </row>
    <row r="15" spans="1:42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16"/>
    </row>
    <row r="16" spans="1:42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16"/>
    </row>
    <row r="17" spans="1:65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>
        <v>5858.27</v>
      </c>
      <c r="T17" s="32"/>
      <c r="U17" s="31"/>
      <c r="V17" s="31"/>
      <c r="W17" s="31"/>
      <c r="X17" s="31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16"/>
    </row>
    <row r="18" spans="1:65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16"/>
    </row>
    <row r="19" spans="1:65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6"/>
    </row>
    <row r="20" spans="1:65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6"/>
    </row>
    <row r="21" spans="1:65">
      <c r="A21" s="151" t="s">
        <v>89</v>
      </c>
      <c r="B21" s="151"/>
      <c r="C21" s="20">
        <v>2</v>
      </c>
      <c r="D21" s="21" t="s">
        <v>90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6"/>
    </row>
    <row r="22" spans="1:65" ht="57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113</v>
      </c>
      <c r="Z22" s="41" t="s">
        <v>114</v>
      </c>
      <c r="AA22" s="41" t="s">
        <v>115</v>
      </c>
      <c r="AB22" s="42" t="s">
        <v>116</v>
      </c>
      <c r="AC22" s="42" t="s">
        <v>117</v>
      </c>
      <c r="AD22" s="42" t="s">
        <v>118</v>
      </c>
      <c r="AE22" s="41" t="s">
        <v>119</v>
      </c>
      <c r="AF22" s="41" t="s">
        <v>120</v>
      </c>
      <c r="AG22" s="42" t="s">
        <v>121</v>
      </c>
      <c r="AH22" s="42" t="s">
        <v>122</v>
      </c>
      <c r="AI22" s="41" t="s">
        <v>123</v>
      </c>
      <c r="AJ22" s="41" t="s">
        <v>124</v>
      </c>
      <c r="AK22" s="42" t="s">
        <v>125</v>
      </c>
      <c r="AL22" s="42" t="s">
        <v>126</v>
      </c>
      <c r="AM22" s="42" t="s">
        <v>127</v>
      </c>
      <c r="AN22" s="41" t="s">
        <v>128</v>
      </c>
      <c r="AO22" s="46" t="s">
        <v>129</v>
      </c>
      <c r="AP22" s="3" t="s">
        <v>211</v>
      </c>
      <c r="AQ22" s="3" t="s">
        <v>128</v>
      </c>
      <c r="AR22" s="47" t="s">
        <v>131</v>
      </c>
      <c r="AS22" s="47" t="s">
        <v>132</v>
      </c>
      <c r="AT22" s="47" t="s">
        <v>133</v>
      </c>
      <c r="AU22" s="47" t="s">
        <v>134</v>
      </c>
      <c r="AV22" s="47" t="s">
        <v>135</v>
      </c>
      <c r="AW22" s="47" t="s">
        <v>136</v>
      </c>
      <c r="AX22" s="47" t="s">
        <v>137</v>
      </c>
      <c r="AY22" s="47" t="s">
        <v>138</v>
      </c>
      <c r="AZ22" s="49" t="s">
        <v>139</v>
      </c>
      <c r="BA22" s="49" t="s">
        <v>8</v>
      </c>
      <c r="BB22" s="49" t="s">
        <v>9</v>
      </c>
      <c r="BC22" s="47" t="s">
        <v>212</v>
      </c>
      <c r="BD22" s="47" t="s">
        <v>140</v>
      </c>
      <c r="BE22" s="47" t="s">
        <v>141</v>
      </c>
      <c r="BF22" s="47" t="s">
        <v>142</v>
      </c>
      <c r="BG22" s="47" t="s">
        <v>143</v>
      </c>
      <c r="BH22" s="47" t="s">
        <v>144</v>
      </c>
      <c r="BI22" s="47" t="s">
        <v>213</v>
      </c>
      <c r="BJ22" s="52" t="s">
        <v>214</v>
      </c>
      <c r="BK22" s="47" t="s">
        <v>215</v>
      </c>
      <c r="BL22" s="47" t="s">
        <v>136</v>
      </c>
      <c r="BM22" s="56" t="s">
        <v>216</v>
      </c>
    </row>
    <row r="23" spans="1:65">
      <c r="A23" s="25">
        <v>1</v>
      </c>
      <c r="B23" s="25" t="s">
        <v>395</v>
      </c>
      <c r="C23" s="25" t="s">
        <v>57</v>
      </c>
      <c r="D23" s="25" t="s">
        <v>163</v>
      </c>
      <c r="E23" s="25" t="s">
        <v>163</v>
      </c>
      <c r="F23" s="26">
        <v>25</v>
      </c>
      <c r="G23" t="s" s="0">
        <v>488</v>
      </c>
      <c r="H23" s="26">
        <f>F23*G23</f>
        <v>17200</v>
      </c>
      <c r="I23" t="s" s="0">
        <v>307</v>
      </c>
      <c r="J23" s="26">
        <v>1.79</v>
      </c>
      <c r="K23" s="26">
        <v>2.5</v>
      </c>
      <c r="L23" s="26">
        <f>H23</f>
        <v>17200</v>
      </c>
      <c r="M23" s="26">
        <f>ROUND(L23*I23%,2)</f>
        <v>344</v>
      </c>
      <c r="N23" s="26">
        <f>H23-M23</f>
        <v>16856</v>
      </c>
      <c r="O23" s="26">
        <f>ROUND(N23*J23%,2)</f>
        <v>301.72000000000003</v>
      </c>
      <c r="P23" s="26">
        <f>ROUND(N23-O23,2)</f>
        <v>16554.28</v>
      </c>
      <c r="Q23" s="26">
        <f>ROUND(P23*K23%,2)</f>
        <v>413.86</v>
      </c>
      <c r="R23" s="26">
        <f>M23+O23+Q23</f>
        <v>1059.58</v>
      </c>
      <c r="S23" s="26">
        <f>(H23-R23)</f>
        <v>16140.42</v>
      </c>
      <c r="T23" s="26" t="s">
        <v>146</v>
      </c>
      <c r="U23" s="26">
        <v>0.18</v>
      </c>
      <c r="V23" s="26">
        <f>IF($C$21=1,ROUND(((S23*U23)/2),2),0)</f>
        <v>0</v>
      </c>
      <c r="W23" s="26">
        <f>IF($C$21=1,ROUND(((S23*U23)/2),2),0)</f>
        <v>0</v>
      </c>
      <c r="X23" s="26">
        <f>IF($C$21=2,ROUND(((S23*U23)),2),0)</f>
        <v>2905.28</v>
      </c>
      <c r="Y23" s="26">
        <f>V23+W23+X23</f>
        <v>2905.28</v>
      </c>
      <c r="Z23" s="26">
        <f t="shared" ref="Z23" si="1">S23+Y23</f>
        <v>19045.7</v>
      </c>
      <c r="AA23" s="26">
        <v>120</v>
      </c>
      <c r="AB23" s="26">
        <f>IF($P$21=1,(S23/$S$24)*$E$35,AA23/$AA$24*$E$35)</f>
        <v>0</v>
      </c>
      <c r="AC23" s="26"/>
      <c r="AD23" s="26">
        <f>IF($P$21=1,(S23/$S$24)*$E$37,AA23/$AA$24*$E$37)</f>
        <v>0</v>
      </c>
      <c r="AE23" s="26">
        <f>IF($P$21=1,(S23/$S$24)*$E$37,AA23/$AA$24*$E$37)</f>
        <v>0</v>
      </c>
      <c r="AF23" s="26">
        <f t="shared" ref="AF23" si="2">S23*$M$21</f>
        <v>16140.42</v>
      </c>
      <c r="AG23" s="26">
        <f t="shared" ref="AG23" si="3">IF($C$21=3,0,AD23+AE23)</f>
        <v>0</v>
      </c>
      <c r="AH23" s="26">
        <f t="shared" ref="AH23" si="4">IF($C$21=3,AB23+AD23+AE23,0)</f>
        <v>0</v>
      </c>
      <c r="AI23" s="26">
        <v>1</v>
      </c>
      <c r="AJ23" s="26">
        <f t="shared" ref="AJ23" si="5">F23/AI23</f>
        <v>25</v>
      </c>
      <c r="AK23" s="26">
        <f>AF23/AJ23</f>
        <v>645.61680000000001</v>
      </c>
      <c r="AL23" s="26">
        <f>AG23/AJ23</f>
        <v>0</v>
      </c>
      <c r="AM23" s="26">
        <f>AH23/AJ23</f>
        <v>0</v>
      </c>
      <c r="AN23" s="26" t="s">
        <v>58</v>
      </c>
      <c r="AO23" s="26">
        <f>AK23+AL23+AM23</f>
        <v>645.61680000000001</v>
      </c>
      <c r="AP23" s="48" t="s">
        <v>258</v>
      </c>
      <c r="AQ23" s="48" t="s">
        <v>58</v>
      </c>
      <c r="AT23" s="48">
        <f>AJ23</f>
        <v>25</v>
      </c>
      <c r="AW23" s="48">
        <f>ROUND(((AR23*AS23)+(AT23*AU23))/(AR23+AT23),5)</f>
        <v>645.61680000000001</v>
      </c>
      <c r="AX23" s="50"/>
      <c r="AY23" s="50" t="s">
        <v>149</v>
      </c>
      <c r="AZ23" s="58" t="s">
        <v>29</v>
      </c>
      <c r="BA23" s="51" t="s">
        <v>30</v>
      </c>
      <c r="BB23" s="51" t="s">
        <v>39</v>
      </c>
      <c r="BC23" s="50"/>
      <c r="BD23" s="50"/>
      <c r="BE23" s="50"/>
      <c r="BF23" s="48"/>
      <c r="BG23" s="48"/>
      <c r="BH23" s="48"/>
      <c r="BI23" s="48" t="s">
        <v>259</v>
      </c>
      <c r="BJ23" t="s" s="0">
        <v>219</v>
      </c>
      <c r="BK23" t="s" s="0">
        <v>219</v>
      </c>
      <c r="BL23" s="48">
        <f>ROUND((((AT23*AW23)+(BK23*BJ23))/(AT23+BK23)),5)</f>
        <v>645.61680000000001</v>
      </c>
    </row>
    <row r="24" spans="1:65">
      <c r="A24" s="16"/>
      <c r="B24" s="27"/>
      <c r="C24" s="27"/>
      <c r="D24" s="28" t="s">
        <v>87</v>
      </c>
      <c r="E24" s="28"/>
      <c r="F24" s="28"/>
      <c r="G24" s="29"/>
      <c r="H24" s="30">
        <f>SUM(H23:H23)</f>
        <v>17200</v>
      </c>
      <c r="I24" s="25"/>
      <c r="J24" s="25"/>
      <c r="K24" s="25"/>
      <c r="L24" s="25"/>
      <c r="M24" s="25"/>
      <c r="N24" s="25"/>
      <c r="O24" s="25"/>
      <c r="P24" s="25"/>
      <c r="Q24" s="25"/>
      <c r="R24" s="30">
        <f>SUM(R23:R23)</f>
        <v>1059.58</v>
      </c>
      <c r="S24" s="39">
        <f>SUM(S23:S23)</f>
        <v>16140.42</v>
      </c>
      <c r="T24" s="30"/>
      <c r="U24" s="30"/>
      <c r="V24" s="40">
        <f t="shared" ref="V24:AB24" si="6">SUM(V23:V23)</f>
        <v>0</v>
      </c>
      <c r="W24" s="40">
        <f t="shared" si="6"/>
        <v>0</v>
      </c>
      <c r="X24" s="40">
        <f t="shared" si="6"/>
        <v>2905.28</v>
      </c>
      <c r="Y24" s="30">
        <f t="shared" si="6"/>
        <v>2905.28</v>
      </c>
      <c r="Z24" s="44">
        <f t="shared" si="6"/>
        <v>19045.7</v>
      </c>
      <c r="AA24" s="45">
        <f t="shared" si="6"/>
        <v>120</v>
      </c>
      <c r="AB24" s="45">
        <f t="shared" si="6"/>
        <v>0</v>
      </c>
      <c r="AC24" s="44"/>
      <c r="AD24" s="45">
        <f>SUM(AD23:AD23)</f>
        <v>0</v>
      </c>
      <c r="AE24" s="45">
        <f>SUM(AE23:AE23)</f>
        <v>0</v>
      </c>
      <c r="AF24" s="45">
        <f>SUM(AF23:AF23)</f>
        <v>16140.42</v>
      </c>
      <c r="AG24" s="45">
        <f>SUM(AG23:AG23)</f>
        <v>0</v>
      </c>
      <c r="AH24" s="45">
        <f>SUM(AH23:AH23)</f>
        <v>0</v>
      </c>
      <c r="AI24" s="44"/>
      <c r="AJ24" s="44"/>
      <c r="AK24" s="44"/>
      <c r="AL24" s="44"/>
      <c r="AM24" s="44"/>
      <c r="AN24" s="44"/>
      <c r="AO24" s="44"/>
      <c r="AP24" s="16"/>
    </row>
    <row r="25" spans="1:65">
      <c r="A25" s="16"/>
      <c r="B25" s="27"/>
      <c r="C25" s="2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59"/>
      <c r="AQ25" s="59"/>
      <c r="BG25" s="59"/>
      <c r="BH25" s="59"/>
    </row>
    <row r="26" spans="1:65">
      <c r="BH26" s="60"/>
      <c r="BI26" s="60"/>
    </row>
    <row r="34" spans="45:45">
      <c r="AS34" s="0">
        <v>31.8368</v>
      </c>
    </row>
  </sheetData>
  <mergeCells count="3">
    <mergeCell ref="A1:Z1"/>
    <mergeCell ref="B19:G19"/>
    <mergeCell ref="A21:B2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BO26"/>
  <sheetViews>
    <sheetView workbookViewId="0">
      <selection sqref="A1:XFD1048576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62.710937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26" max="26" customWidth="true" width="10.28515625"/>
    <col min="27" max="27" customWidth="true" width="12.85546875"/>
    <col min="28" max="28" customWidth="true" width="8.7109375"/>
    <col min="48" max="48" customWidth="true" width="13.85546875"/>
    <col min="57" max="57" customWidth="true" width="12.5703125"/>
    <col min="58" max="58" customWidth="true" width="21.7109375"/>
    <col min="59" max="60" customWidth="true" width="30.5703125"/>
    <col min="64" max="64" customWidth="true" width="18.85546875"/>
    <col min="65" max="65" customWidth="true" width="34.42578125"/>
  </cols>
  <sheetData>
    <row r="1" spans="1:42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6"/>
      <c r="AP1" s="16"/>
    </row>
    <row r="2" spans="1:42" ht="18">
      <c r="A2" s="1" t="s">
        <v>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6"/>
      <c r="AP2" s="16"/>
    </row>
    <row r="3" spans="1:42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16"/>
    </row>
    <row r="4" spans="1:42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16"/>
    </row>
    <row r="5" spans="1:42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16"/>
    </row>
    <row r="6" spans="1:42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16"/>
    </row>
    <row r="7" spans="1:42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16"/>
    </row>
    <row r="8" spans="1:42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16"/>
    </row>
    <row r="9" spans="1:42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16"/>
    </row>
    <row r="10" spans="1:42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16"/>
    </row>
    <row r="11" spans="1:42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16"/>
    </row>
    <row r="12" spans="1:42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16"/>
    </row>
    <row r="13" spans="1:42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2507.6799999999998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16"/>
    </row>
    <row r="14" spans="1:42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16"/>
    </row>
    <row r="15" spans="1:42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16"/>
    </row>
    <row r="16" spans="1:42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16"/>
    </row>
    <row r="17" spans="1:67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>
        <v>5858.27</v>
      </c>
      <c r="T17" s="32"/>
      <c r="U17" s="31"/>
      <c r="V17" s="31"/>
      <c r="W17" s="31"/>
      <c r="X17" s="31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16"/>
    </row>
    <row r="18" spans="1:67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16"/>
    </row>
    <row r="19" spans="1:67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6"/>
    </row>
    <row r="20" spans="1:67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6"/>
    </row>
    <row r="21" spans="1:67">
      <c r="A21" s="151" t="s">
        <v>89</v>
      </c>
      <c r="B21" s="151"/>
      <c r="C21" s="20">
        <v>1</v>
      </c>
      <c r="D21" s="21" t="s">
        <v>90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6"/>
    </row>
    <row r="22" spans="1:67" ht="57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113</v>
      </c>
      <c r="Z22" s="41" t="s">
        <v>114</v>
      </c>
      <c r="AA22" s="41" t="s">
        <v>115</v>
      </c>
      <c r="AB22" s="42" t="s">
        <v>116</v>
      </c>
      <c r="AC22" s="42" t="s">
        <v>117</v>
      </c>
      <c r="AD22" s="42" t="s">
        <v>118</v>
      </c>
      <c r="AE22" s="41" t="s">
        <v>119</v>
      </c>
      <c r="AF22" s="41" t="s">
        <v>120</v>
      </c>
      <c r="AG22" s="42" t="s">
        <v>121</v>
      </c>
      <c r="AH22" s="42" t="s">
        <v>122</v>
      </c>
      <c r="AI22" s="41" t="s">
        <v>123</v>
      </c>
      <c r="AJ22" s="41" t="s">
        <v>124</v>
      </c>
      <c r="AK22" s="42" t="s">
        <v>125</v>
      </c>
      <c r="AL22" s="42" t="s">
        <v>126</v>
      </c>
      <c r="AM22" s="42" t="s">
        <v>127</v>
      </c>
      <c r="AN22" s="41" t="s">
        <v>128</v>
      </c>
      <c r="AO22" s="46" t="s">
        <v>129</v>
      </c>
      <c r="AP22" s="3" t="s">
        <v>211</v>
      </c>
      <c r="AQ22" s="3" t="s">
        <v>128</v>
      </c>
      <c r="AR22" s="47" t="s">
        <v>131</v>
      </c>
      <c r="AS22" s="47" t="s">
        <v>132</v>
      </c>
      <c r="AT22" s="47" t="s">
        <v>133</v>
      </c>
      <c r="AU22" s="47" t="s">
        <v>134</v>
      </c>
      <c r="AV22" s="47" t="s">
        <v>135</v>
      </c>
      <c r="AW22" s="47" t="s">
        <v>136</v>
      </c>
      <c r="AX22" s="47" t="s">
        <v>137</v>
      </c>
      <c r="AY22" s="47" t="s">
        <v>138</v>
      </c>
      <c r="AZ22" s="49" t="s">
        <v>139</v>
      </c>
      <c r="BA22" s="49" t="s">
        <v>8</v>
      </c>
      <c r="BB22" s="49" t="s">
        <v>9</v>
      </c>
      <c r="BC22" s="47" t="s">
        <v>212</v>
      </c>
      <c r="BD22" s="47" t="s">
        <v>140</v>
      </c>
      <c r="BE22" s="47" t="s">
        <v>141</v>
      </c>
      <c r="BF22" s="47" t="s">
        <v>142</v>
      </c>
      <c r="BG22" s="47" t="s">
        <v>143</v>
      </c>
      <c r="BH22" s="47" t="s">
        <v>144</v>
      </c>
      <c r="BI22" s="47" t="s">
        <v>213</v>
      </c>
      <c r="BJ22" s="52" t="s">
        <v>214</v>
      </c>
      <c r="BK22" s="47" t="s">
        <v>215</v>
      </c>
      <c r="BL22" s="47" t="s">
        <v>136</v>
      </c>
      <c r="BM22" s="56" t="s">
        <v>216</v>
      </c>
      <c r="BN22" s="57" t="s">
        <v>108</v>
      </c>
    </row>
    <row r="23" spans="1:67">
      <c r="A23" s="25">
        <v>1</v>
      </c>
      <c r="B23" s="25" t="s">
        <v>396</v>
      </c>
      <c r="C23" s="25" t="s">
        <v>57</v>
      </c>
      <c r="D23" s="25" t="s">
        <v>58</v>
      </c>
      <c r="E23" s="25" t="s">
        <v>58</v>
      </c>
      <c r="F23" s="26">
        <v>2</v>
      </c>
      <c r="G23" s="26">
        <v>250.25</v>
      </c>
      <c r="H23" s="26">
        <f>F23*G23</f>
        <v>500.5</v>
      </c>
      <c r="I23" s="26">
        <v>2.21</v>
      </c>
      <c r="J23" s="26">
        <v>1.79</v>
      </c>
      <c r="K23" s="26">
        <v>2.5</v>
      </c>
      <c r="L23" s="26">
        <f>H23</f>
        <v>500.5</v>
      </c>
      <c r="M23" s="26">
        <f>ROUND(L23*I23%,2)</f>
        <v>11.06</v>
      </c>
      <c r="N23" s="26">
        <f>H23-M23</f>
        <v>489.44</v>
      </c>
      <c r="O23" s="26">
        <f>ROUND(N23*J23%,2)</f>
        <v>8.76</v>
      </c>
      <c r="P23" s="26">
        <f>ROUND(N23-O23,2)</f>
        <v>480.68</v>
      </c>
      <c r="Q23" s="26">
        <f>ROUND(P23*K23%,2)</f>
        <v>12.02</v>
      </c>
      <c r="R23" s="26">
        <f>M23+O23+Q23</f>
        <v>31.84</v>
      </c>
      <c r="S23" s="26">
        <f>(H23-R23)</f>
        <v>468.66</v>
      </c>
      <c r="T23" s="26" t="s">
        <v>146</v>
      </c>
      <c r="U23" s="26">
        <v>0.18</v>
      </c>
      <c r="V23" s="26">
        <f>IF($C$21=1,ROUND(((S23*U23)/2),2),0)</f>
        <v>42.18</v>
      </c>
      <c r="W23" s="26">
        <f>IF($C$21=1,ROUND(((S23*U23)/2),2),0)</f>
        <v>42.18</v>
      </c>
      <c r="X23" s="26">
        <f>IF($C$21=2,ROUND(((S23*U23)),2),0)</f>
        <v>0</v>
      </c>
      <c r="Y23" s="26">
        <f>V23+W23+X23</f>
        <v>84.36</v>
      </c>
      <c r="Z23" s="26">
        <f t="shared" ref="Z23:Z24" si="1">S23+Y23</f>
        <v>553.02</v>
      </c>
      <c r="AA23" s="26">
        <v>120</v>
      </c>
      <c r="AB23" s="26">
        <f>IF($P$21=1,(S23/$S$25)*$E$36,AA23/$AA$25*$E$36)</f>
        <v>0</v>
      </c>
      <c r="AC23" s="26"/>
      <c r="AD23" s="26">
        <f>IF($P$21=1,(S23/$S$25)*$E$38,AA23/$AA$25*$E$38)</f>
        <v>0</v>
      </c>
      <c r="AE23" s="26">
        <f>IF($P$21=1,(S23/$S$25)*$E$38,AA23/$AA$25*$E$38)</f>
        <v>0</v>
      </c>
      <c r="AF23" s="26">
        <f t="shared" ref="AF23:AF24" si="2">S23*$M$21</f>
        <v>468.66</v>
      </c>
      <c r="AG23" s="26">
        <f t="shared" ref="AG23:AG24" si="3">IF($C$21=3,0,AD23+AE23)</f>
        <v>0</v>
      </c>
      <c r="AH23" s="26">
        <f t="shared" ref="AH23:AH24" si="4">IF($C$21=3,AB23+AD23+AE23,0)</f>
        <v>0</v>
      </c>
      <c r="AI23" s="26">
        <v>1</v>
      </c>
      <c r="AJ23" s="26">
        <f t="shared" ref="AJ23:AJ24" si="5">F23/AI23</f>
        <v>2</v>
      </c>
      <c r="AK23" s="26">
        <f>AF23/AJ23</f>
        <v>234.33</v>
      </c>
      <c r="AL23" s="26">
        <f>AG23/AJ23</f>
        <v>0</v>
      </c>
      <c r="AM23" s="26">
        <f>AH23/AJ23</f>
        <v>0</v>
      </c>
      <c r="AN23" s="26" t="s">
        <v>58</v>
      </c>
      <c r="AO23" s="26">
        <f>AK23+AL23+AM23</f>
        <v>234.33</v>
      </c>
      <c r="AP23" s="48" t="s">
        <v>217</v>
      </c>
      <c r="AQ23" s="48" t="s">
        <v>58</v>
      </c>
      <c r="AR23" t="s" s="0">
        <v>219</v>
      </c>
      <c r="AS23" t="s" s="0">
        <v>240</v>
      </c>
      <c r="AT23" s="48">
        <f>AJ23</f>
        <v>2</v>
      </c>
      <c r="AU23" s="48">
        <f>AO23</f>
        <v>234.33</v>
      </c>
      <c r="AV23" s="48">
        <f>AR23+AT23</f>
        <v>2</v>
      </c>
      <c r="AW23" s="48">
        <f>ROUND(((AR23*AS23)+(AT23*AU23))/(AR23+AT23),5)</f>
        <v>234.33</v>
      </c>
      <c r="AX23" s="50"/>
      <c r="AY23" s="50" t="s">
        <v>149</v>
      </c>
      <c r="AZ23" s="51" t="s">
        <v>38</v>
      </c>
      <c r="BA23" s="51" t="s">
        <v>30</v>
      </c>
      <c r="BB23" s="51" t="s">
        <v>39</v>
      </c>
      <c r="BC23" s="50"/>
      <c r="BD23" s="50"/>
      <c r="BE23" s="50"/>
      <c r="BF23" s="48"/>
      <c r="BG23" s="48"/>
      <c r="BH23" s="48"/>
      <c r="BI23" s="48" t="s">
        <v>31</v>
      </c>
      <c r="BJ23" t="s" s="0">
        <v>361</v>
      </c>
      <c r="BK23" t="s" s="0">
        <v>362</v>
      </c>
      <c r="BL23" s="48">
        <f>ROUND((((AT23*AW23)+(BK23*BJ23))/(AT23+BK23)),5)</f>
        <v>168.49708000000001</v>
      </c>
      <c r="BM23" s="53">
        <f>BK23+AT23</f>
        <v>2340.6</v>
      </c>
      <c r="BN23" s="54">
        <v>123562</v>
      </c>
      <c r="BO23" s="53"/>
    </row>
    <row r="24" spans="1:67">
      <c r="A24" s="25">
        <v>2</v>
      </c>
      <c r="B24" s="25" t="s">
        <v>397</v>
      </c>
      <c r="C24" s="25" t="s">
        <v>60</v>
      </c>
      <c r="D24" s="25" t="s">
        <v>58</v>
      </c>
      <c r="E24" s="25" t="s">
        <v>58</v>
      </c>
      <c r="F24" s="26">
        <v>3</v>
      </c>
      <c r="G24" s="26">
        <v>130.25</v>
      </c>
      <c r="H24" s="26">
        <f t="shared" ref="H24" si="6">F24*G24</f>
        <v>390.75</v>
      </c>
      <c r="I24" s="26">
        <v>1.25</v>
      </c>
      <c r="J24" s="26">
        <v>1.68</v>
      </c>
      <c r="K24" s="26">
        <v>2.5</v>
      </c>
      <c r="L24" s="26">
        <f>H24</f>
        <v>390.75</v>
      </c>
      <c r="M24" s="26">
        <f>ROUND(L24*I24%,2)</f>
        <v>4.88</v>
      </c>
      <c r="N24" s="26">
        <f t="shared" ref="N24" si="7">H24-M24</f>
        <v>385.87</v>
      </c>
      <c r="O24" s="26">
        <f t="shared" ref="O24" si="8">ROUND(N24*J24%,2)</f>
        <v>6.48</v>
      </c>
      <c r="P24" s="26">
        <f t="shared" ref="P24" si="9">ROUND(N24-O24,2)</f>
        <v>379.39</v>
      </c>
      <c r="Q24" s="26">
        <f t="shared" ref="Q24" si="10">ROUND(P24*K24%,2)</f>
        <v>9.48</v>
      </c>
      <c r="R24" s="26">
        <f t="shared" ref="R24" si="11">M24+O24+Q24</f>
        <v>20.84</v>
      </c>
      <c r="S24" s="26">
        <f t="shared" ref="S24" si="12">(H24-R24)</f>
        <v>369.91</v>
      </c>
      <c r="T24" s="26" t="s">
        <v>146</v>
      </c>
      <c r="U24" s="26">
        <v>0.18</v>
      </c>
      <c r="V24" s="26">
        <f t="shared" ref="V24" si="13">IF($C$21=1,ROUND(((S24*U24)/2),2),0)</f>
        <v>33.29</v>
      </c>
      <c r="W24" s="26">
        <f t="shared" ref="W24" si="14">IF($C$21=1,ROUND(((S24*U24)/2),2),0)</f>
        <v>33.29</v>
      </c>
      <c r="X24" s="26">
        <f t="shared" ref="X24" si="15">IF($C$21=2,ROUND(((S24*U24)),2),0)</f>
        <v>0</v>
      </c>
      <c r="Y24" s="26">
        <f t="shared" ref="Y24" si="16">V24+W24+X24</f>
        <v>66.58</v>
      </c>
      <c r="Z24" s="26">
        <f t="shared" si="1"/>
        <v>436.49</v>
      </c>
      <c r="AA24" s="26">
        <v>200</v>
      </c>
      <c r="AB24" s="26">
        <f>IF($P$21=1,(S24/$S$25)*$E$36,AA24/$AA$25*$E$36)</f>
        <v>0</v>
      </c>
      <c r="AC24" s="26"/>
      <c r="AD24" s="26">
        <f>IF($P$21=1,(S24/$S$25)*$E$38,AA24/$AA$25*$E$38)</f>
        <v>0</v>
      </c>
      <c r="AE24" s="26">
        <f>IF($P$21=1,(S24/$S$25)*$E$38,AA24/$AA$25*$E$38)</f>
        <v>0</v>
      </c>
      <c r="AF24" s="26">
        <f t="shared" si="2"/>
        <v>369.91</v>
      </c>
      <c r="AG24" s="26">
        <f t="shared" si="3"/>
        <v>0</v>
      </c>
      <c r="AH24" s="26">
        <f t="shared" si="4"/>
        <v>0</v>
      </c>
      <c r="AI24" s="26">
        <v>1</v>
      </c>
      <c r="AJ24" s="26">
        <f t="shared" si="5"/>
        <v>3</v>
      </c>
      <c r="AK24" s="26">
        <f t="shared" ref="AK24" si="17">AF24/AJ24</f>
        <v>123.303333333333</v>
      </c>
      <c r="AL24" s="26">
        <f t="shared" ref="AL24" si="18">AG24/AJ24</f>
        <v>0</v>
      </c>
      <c r="AM24" s="26">
        <f t="shared" ref="AM24" si="19">AH24/AJ24</f>
        <v>0</v>
      </c>
      <c r="AN24" s="26" t="s">
        <v>58</v>
      </c>
      <c r="AO24" s="26">
        <f t="shared" ref="AO24" si="20">AK24+AL24+AM24</f>
        <v>123.303333333333</v>
      </c>
      <c r="AP24" s="48" t="s">
        <v>217</v>
      </c>
      <c r="AQ24" s="48" t="s">
        <v>58</v>
      </c>
      <c r="AR24" t="s" s="0">
        <v>219</v>
      </c>
      <c r="AS24" t="s" s="0">
        <v>220</v>
      </c>
      <c r="AT24" s="48">
        <f t="shared" ref="AT24" si="21">AJ24</f>
        <v>3</v>
      </c>
      <c r="AU24" s="48">
        <f>AO24</f>
        <v>123.303333333333</v>
      </c>
      <c r="AV24" s="48">
        <f t="shared" ref="AV24" si="22">AR24+AT24</f>
        <v>3</v>
      </c>
      <c r="AW24" s="48">
        <f>ROUND(((AR24*AS24)+(AT24*AU24))/(AR24+AT24),5)</f>
        <v>123.30333</v>
      </c>
      <c r="AX24" s="50"/>
      <c r="AY24" s="50"/>
      <c r="AZ24" s="51" t="s">
        <v>38</v>
      </c>
      <c r="BA24" s="58" t="s">
        <v>221</v>
      </c>
      <c r="BB24" s="58"/>
      <c r="BC24" s="50"/>
      <c r="BD24" s="50"/>
      <c r="BE24" s="50"/>
      <c r="BF24" s="48"/>
      <c r="BG24" s="48"/>
      <c r="BH24" s="48"/>
      <c r="BI24" s="48" t="s">
        <v>31</v>
      </c>
      <c r="BJ24" t="s" s="0">
        <v>363</v>
      </c>
      <c r="BK24" t="s" s="0">
        <v>364</v>
      </c>
      <c r="BL24" s="48">
        <f t="shared" ref="BL24" si="23">ROUND((((AT24*AW24)+(BK24*BJ24))/(AT24+BK24)),5)</f>
        <v>100.89858</v>
      </c>
      <c r="BM24" s="53">
        <f t="shared" ref="BM24" si="24">BK24+AT24</f>
        <v>8730</v>
      </c>
      <c r="BN24" s="54">
        <v>123562</v>
      </c>
      <c r="BO24" s="53"/>
    </row>
    <row r="25" spans="1:67">
      <c r="A25" s="16"/>
      <c r="B25" s="27"/>
      <c r="C25" s="27"/>
      <c r="D25" s="28" t="s">
        <v>87</v>
      </c>
      <c r="E25" s="28"/>
      <c r="F25" s="28"/>
      <c r="G25" s="29"/>
      <c r="H25" s="30">
        <f>SUM(H23:H24)</f>
        <v>891.25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52.68</v>
      </c>
      <c r="S25" s="39">
        <f>SUM(S23:S24)</f>
        <v>838.57</v>
      </c>
      <c r="T25" s="30"/>
      <c r="U25" s="30"/>
      <c r="V25" s="40">
        <f t="shared" ref="V25:AB25" si="25">SUM(V23:V24)</f>
        <v>75.47</v>
      </c>
      <c r="W25" s="40">
        <f t="shared" si="25"/>
        <v>75.47</v>
      </c>
      <c r="X25" s="40">
        <f t="shared" si="25"/>
        <v>0</v>
      </c>
      <c r="Y25" s="30">
        <f t="shared" si="25"/>
        <v>150.94</v>
      </c>
      <c r="Z25" s="44">
        <f t="shared" si="25"/>
        <v>989.51</v>
      </c>
      <c r="AA25" s="45">
        <f t="shared" si="25"/>
        <v>320</v>
      </c>
      <c r="AB25" s="45">
        <f t="shared" si="25"/>
        <v>0</v>
      </c>
      <c r="AC25" s="44"/>
      <c r="AD25" s="45">
        <f>SUM(AD23:AD24)</f>
        <v>0</v>
      </c>
      <c r="AE25" s="45">
        <f>SUM(AE23:AE24)</f>
        <v>0</v>
      </c>
      <c r="AF25" s="45">
        <f>SUM(AF23:AF24)</f>
        <v>838.57</v>
      </c>
      <c r="AG25" s="45">
        <f>SUM(AG23:AG24)</f>
        <v>0</v>
      </c>
      <c r="AH25" s="45">
        <f>SUM(AH23:AH24)</f>
        <v>0</v>
      </c>
      <c r="AI25" s="44"/>
      <c r="AJ25" s="44"/>
      <c r="AK25" s="44"/>
      <c r="AL25" s="44"/>
      <c r="AM25" s="44"/>
      <c r="AN25" s="44"/>
      <c r="AO25" s="44"/>
      <c r="AP25" s="16"/>
    </row>
    <row r="26" spans="1:67">
      <c r="A26" s="16"/>
      <c r="B26" s="27"/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</row>
  </sheetData>
  <mergeCells count="3">
    <mergeCell ref="A1:Z1"/>
    <mergeCell ref="B19:G19"/>
    <mergeCell ref="A21:B21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BR25"/>
  <sheetViews>
    <sheetView topLeftCell="I7" workbookViewId="0">
      <selection activeCell="AB23" sqref="AB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72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29" max="29" customWidth="true" width="10.28515625"/>
    <col min="30" max="30" customWidth="true" width="12.85546875"/>
    <col min="31" max="31" customWidth="true" width="8.7109375"/>
    <col min="43" max="43" customWidth="true" width="11.85546875"/>
    <col min="44" max="44" customWidth="true" width="23.285156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6"/>
      <c r="AS1" s="16"/>
    </row>
    <row r="2" spans="1:45" ht="18">
      <c r="A2" s="1" t="s">
        <v>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6"/>
      <c r="AS2" s="16"/>
    </row>
    <row r="3" spans="1:45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2507.6799999999998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>
        <v>5858.27</v>
      </c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>
      <c r="A21" s="151" t="s">
        <v>89</v>
      </c>
      <c r="B21" s="151"/>
      <c r="C21" s="20">
        <v>5</v>
      </c>
      <c r="D21" s="21" t="s">
        <v>398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7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56" t="s">
        <v>216</v>
      </c>
      <c r="BQ22" s="57" t="s">
        <v>108</v>
      </c>
    </row>
    <row r="23" spans="1:70">
      <c r="A23" s="25">
        <v>1</v>
      </c>
      <c r="B23" s="25" t="s">
        <v>397</v>
      </c>
      <c r="C23" s="25" t="s">
        <v>57</v>
      </c>
      <c r="D23" s="25" t="s">
        <v>58</v>
      </c>
      <c r="E23" s="25" t="s">
        <v>58</v>
      </c>
      <c r="F23" s="26">
        <v>2</v>
      </c>
      <c r="G23" s="26">
        <v>250.25</v>
      </c>
      <c r="H23" s="26">
        <f>F23*G23</f>
        <v>500.5</v>
      </c>
      <c r="I23" s="26">
        <v>2.21</v>
      </c>
      <c r="J23" s="26">
        <v>1.79</v>
      </c>
      <c r="K23" s="26">
        <v>2.5</v>
      </c>
      <c r="L23" s="26">
        <f>H23</f>
        <v>500.5</v>
      </c>
      <c r="M23" s="26">
        <f>ROUND(L23*I23%,2)</f>
        <v>11.06</v>
      </c>
      <c r="N23" s="26">
        <f>H23-M23</f>
        <v>489.44</v>
      </c>
      <c r="O23" s="26">
        <f>ROUND(N23*J23%,2)</f>
        <v>8.76</v>
      </c>
      <c r="P23" s="26">
        <f>ROUND(N23-O23,2)</f>
        <v>480.68</v>
      </c>
      <c r="Q23" s="26">
        <f>ROUND(P23*K23%,2)</f>
        <v>12.02</v>
      </c>
      <c r="R23" s="26">
        <f>M23+O23+Q23</f>
        <v>31.84</v>
      </c>
      <c r="S23" s="26">
        <f>(H23-R23)</f>
        <v>468.66</v>
      </c>
      <c r="T23" s="26" t="s">
        <v>146</v>
      </c>
      <c r="U23" s="26">
        <v>0.18</v>
      </c>
      <c r="V23" s="26">
        <f>IF($C$21=1,ROUND(((S23*U23)/2),2),0)</f>
        <v>0</v>
      </c>
      <c r="W23" s="26">
        <f>IF($C$21=1,ROUND(((S23*U23)/2),2),0)</f>
        <v>0</v>
      </c>
      <c r="X23" s="26">
        <f>IF($C$21=2,ROUND(((S23*U23)),2),0)</f>
        <v>0</v>
      </c>
      <c r="Y23" s="26">
        <f>IF($C$21=4,ROUND(((S23*U23)/2),2),0)</f>
        <v>0</v>
      </c>
      <c r="Z23" s="43">
        <v>0.06</v>
      </c>
      <c r="AA23" s="26">
        <f>IF($C$21=5,ROUND(((S23*Z23)),2),0)</f>
        <v>28.12</v>
      </c>
      <c r="AB23" s="26">
        <f>V23+W23+X23+Y23+AA23</f>
        <v>28.12</v>
      </c>
      <c r="AC23" s="26">
        <f t="shared" ref="AC23" si="1">S23+AB23</f>
        <v>496.78</v>
      </c>
      <c r="AD23" s="26">
        <v>120</v>
      </c>
      <c r="AE23" s="26">
        <f>IF($P$21=1,(S23/$S$24)*$E$35,AD23/$AD$24*$E$35)</f>
        <v>0</v>
      </c>
      <c r="AF23" s="26"/>
      <c r="AG23" s="26">
        <f>IF($P$21=1,(S23/$S$24)*$E$37,AD23/$AD$24*$E$37)</f>
        <v>0</v>
      </c>
      <c r="AH23" s="26">
        <f>IF($P$21=1,(S23/$S$24)*$E$37,AD23/$AD$24*$E$37)</f>
        <v>0</v>
      </c>
      <c r="AI23" s="26">
        <f t="shared" ref="AI23" si="2">S23*$M$21</f>
        <v>468.66</v>
      </c>
      <c r="AJ23" s="26">
        <f t="shared" ref="AJ23" si="3">IF($C$21=3,0,AG23+AH23)</f>
        <v>0</v>
      </c>
      <c r="AK23" s="26">
        <f t="shared" ref="AK23" si="4">IF($C$21=3,AE23+AG23+AH23,0)</f>
        <v>0</v>
      </c>
      <c r="AL23" s="26">
        <v>1</v>
      </c>
      <c r="AM23" s="26">
        <f t="shared" ref="AM23" si="5">F23/AL23</f>
        <v>2</v>
      </c>
      <c r="AN23" s="26">
        <f>AI23/AM23</f>
        <v>234.33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234.33</v>
      </c>
      <c r="AS23" s="48" t="s">
        <v>217</v>
      </c>
      <c r="AT23" s="48" t="s">
        <v>58</v>
      </c>
      <c r="AU23" t="s" s="0">
        <v>219</v>
      </c>
      <c r="AV23" t="s" s="0">
        <v>240</v>
      </c>
      <c r="AW23" s="48">
        <f>AM23</f>
        <v>2</v>
      </c>
      <c r="AX23" s="48">
        <f>AR23</f>
        <v>234.33</v>
      </c>
      <c r="AY23" s="48">
        <f>AU23+AW23</f>
        <v>2</v>
      </c>
      <c r="AZ23" s="48">
        <f>ROUND(((AU23*AV23)+(AW23*AX23))/(AU23+AW23),5)</f>
        <v>234.33</v>
      </c>
      <c r="BA23" s="50"/>
      <c r="BB23" s="50" t="s">
        <v>149</v>
      </c>
      <c r="BC23" s="51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31</v>
      </c>
      <c r="BM23" t="s" s="0">
        <v>361</v>
      </c>
      <c r="BN23" t="s" s="0">
        <v>362</v>
      </c>
      <c r="BO23" s="48">
        <f>ROUND((((AW23*AZ23)+(BN23*BM23))/(AW23+BN23)),5)</f>
        <v>168.49708000000001</v>
      </c>
      <c r="BP23" s="53">
        <f>BN23+AW23</f>
        <v>2340.6</v>
      </c>
      <c r="BQ23" s="54">
        <v>123562</v>
      </c>
      <c r="BR23" s="53"/>
    </row>
    <row r="24" spans="1:70">
      <c r="A24" s="16"/>
      <c r="B24" s="27"/>
      <c r="C24" s="27"/>
      <c r="D24" s="28" t="s">
        <v>87</v>
      </c>
      <c r="E24" s="28"/>
      <c r="F24" s="28"/>
      <c r="G24" s="29"/>
      <c r="H24" s="30">
        <f>SUM(H23:H23)</f>
        <v>500.5</v>
      </c>
      <c r="I24" s="25"/>
      <c r="J24" s="25"/>
      <c r="K24" s="25"/>
      <c r="L24" s="25"/>
      <c r="M24" s="25"/>
      <c r="N24" s="25"/>
      <c r="O24" s="25"/>
      <c r="P24" s="25"/>
      <c r="Q24" s="25"/>
      <c r="R24" s="30">
        <f>SUM(R23:R23)</f>
        <v>31.84</v>
      </c>
      <c r="S24" s="39">
        <f>SUM(S23:S23)</f>
        <v>468.66</v>
      </c>
      <c r="T24" s="30"/>
      <c r="U24" s="30"/>
      <c r="V24" s="40">
        <f t="shared" ref="V24:AE24" si="6">SUM(V23:V23)</f>
        <v>0</v>
      </c>
      <c r="W24" s="40">
        <f t="shared" si="6"/>
        <v>0</v>
      </c>
      <c r="X24" s="40">
        <f t="shared" si="6"/>
        <v>0</v>
      </c>
      <c r="Y24" s="40"/>
      <c r="Z24" s="40"/>
      <c r="AA24" s="40"/>
      <c r="AB24" s="30">
        <f t="shared" si="6"/>
        <v>28.12</v>
      </c>
      <c r="AC24" s="44">
        <f t="shared" si="6"/>
        <v>496.78</v>
      </c>
      <c r="AD24" s="45">
        <f t="shared" si="6"/>
        <v>120</v>
      </c>
      <c r="AE24" s="45">
        <f t="shared" si="6"/>
        <v>0</v>
      </c>
      <c r="AF24" s="44"/>
      <c r="AG24" s="45">
        <f>SUM(AG23:AG23)</f>
        <v>0</v>
      </c>
      <c r="AH24" s="45">
        <f>SUM(AH23:AH23)</f>
        <v>0</v>
      </c>
      <c r="AI24" s="45">
        <f>SUM(AI23:AI23)</f>
        <v>468.66</v>
      </c>
      <c r="AJ24" s="45">
        <f>SUM(AJ23:AJ23)</f>
        <v>0</v>
      </c>
      <c r="AK24" s="45">
        <f>SUM(AK23:AK23)</f>
        <v>0</v>
      </c>
      <c r="AL24" s="44"/>
      <c r="AM24" s="44"/>
      <c r="AN24" s="44"/>
      <c r="AO24" s="44"/>
      <c r="AP24" s="44"/>
      <c r="AQ24" s="44"/>
      <c r="AR24" s="44"/>
      <c r="AS24" s="16"/>
    </row>
    <row r="25" spans="1:70">
      <c r="A25" s="16"/>
      <c r="B25" s="27"/>
      <c r="C25" s="2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BR25"/>
  <sheetViews>
    <sheetView topLeftCell="A16" workbookViewId="0">
      <selection activeCell="J21" sqref="J21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27.75" customHeight="1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6"/>
      <c r="AS1" s="16"/>
    </row>
    <row r="2" spans="1:45" ht="27.75" customHeight="1">
      <c r="A2" s="1" t="s">
        <v>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6"/>
      <c r="AS2" s="16"/>
    </row>
    <row r="3" spans="1:45" ht="27.75" customHeight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 ht="27.75" customHeight="1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 ht="27.75" customHeight="1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 ht="27.75" customHeight="1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 ht="27.75" customHeight="1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 ht="27.75" customHeight="1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 ht="27.75" customHeight="1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 ht="27.75" customHeight="1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 ht="27.75" customHeight="1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 ht="27.75" customHeight="1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 ht="27.75" customHeight="1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2507.6799999999998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 ht="27.75" customHeight="1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 ht="27.75" customHeight="1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 ht="27.75" customHeight="1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>
        <v>5858.27</v>
      </c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>
      <c r="A21" s="151" t="s">
        <v>89</v>
      </c>
      <c r="B21" s="151"/>
      <c r="C21" s="20">
        <v>1</v>
      </c>
      <c r="D21" s="21" t="s">
        <v>402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7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>
      <c r="A23" s="25">
        <v>1</v>
      </c>
      <c r="B23" s="25" t="s">
        <v>403</v>
      </c>
      <c r="C23" s="25" t="s">
        <v>57</v>
      </c>
      <c r="D23" s="25" t="s">
        <v>58</v>
      </c>
      <c r="E23" s="25" t="s">
        <v>58</v>
      </c>
      <c r="F23" s="26">
        <v>2</v>
      </c>
      <c r="G23" s="26">
        <v>250.25</v>
      </c>
      <c r="H23" s="26">
        <f>F23*G23</f>
        <v>500.5</v>
      </c>
      <c r="I23" s="26">
        <v>2.21</v>
      </c>
      <c r="J23" s="26">
        <v>1.79</v>
      </c>
      <c r="K23" s="26">
        <v>2.5</v>
      </c>
      <c r="L23" s="26">
        <f>H23</f>
        <v>500.5</v>
      </c>
      <c r="M23" s="26">
        <f>ROUND(L23*I23%,2)</f>
        <v>11.06</v>
      </c>
      <c r="N23" s="26">
        <f>H23-M23</f>
        <v>489.44</v>
      </c>
      <c r="O23" s="26">
        <f>ROUND(N23*J23%,2)</f>
        <v>8.76</v>
      </c>
      <c r="P23" s="26">
        <f>ROUND(N23-O23,2)</f>
        <v>480.68</v>
      </c>
      <c r="Q23" s="26">
        <f>ROUND(P23*K23%,2)</f>
        <v>12.02</v>
      </c>
      <c r="R23" s="26">
        <f>M23+O23+Q23</f>
        <v>31.84</v>
      </c>
      <c r="S23" s="26">
        <f>(H23-R23)</f>
        <v>468.66</v>
      </c>
      <c r="T23" s="26" t="s">
        <v>146</v>
      </c>
      <c r="U23" s="26">
        <v>0.18</v>
      </c>
      <c r="V23" s="26">
        <f>IF($C$21=1,ROUND(((S23*U23)/2),2),0)</f>
        <v>42.18</v>
      </c>
      <c r="W23" s="26">
        <f>IF($C$21=1,ROUND(((S23*U23)/2),2),0)</f>
        <v>42.18</v>
      </c>
      <c r="X23" s="26">
        <f>IF($C$21=2,ROUND(((S23*U23)),2),0)</f>
        <v>0</v>
      </c>
      <c r="Y23" s="26">
        <f>IF($C$21=4,ROUND(((S23*U23)/2),2),0)</f>
        <v>0</v>
      </c>
      <c r="Z23" s="43">
        <v>0.06</v>
      </c>
      <c r="AA23" s="26">
        <f>IF($C$21=5,ROUND(((S23*Z23)),2),0)</f>
        <v>0</v>
      </c>
      <c r="AB23" s="26">
        <f>V23+W23+X23+Y23+AA23</f>
        <v>84.36</v>
      </c>
      <c r="AC23" s="26">
        <f>S23</f>
        <v>468.66</v>
      </c>
      <c r="AD23" s="26">
        <v>120</v>
      </c>
      <c r="AE23" s="26">
        <f>IF($P$21=1,(S23/$S$24)*$E$35,AD23/$AD$24*$E$35)</f>
        <v>0</v>
      </c>
      <c r="AF23" s="26"/>
      <c r="AG23" s="26">
        <f>IF($P$21=1,(S23/$S$24)*$E$37,AD23/$AD$24*$E$37)</f>
        <v>0</v>
      </c>
      <c r="AH23" s="26">
        <f>IF($P$21=1,(S23/$S$24)*$E$37,AD23/$AD$24*$E$37)</f>
        <v>0</v>
      </c>
      <c r="AI23" s="26">
        <f t="shared" ref="AI23" si="1">S23*$M$21</f>
        <v>468.66</v>
      </c>
      <c r="AJ23" s="26">
        <f t="shared" ref="AJ23" si="2">IF($C$21=3,0,AG23+AH23)</f>
        <v>0</v>
      </c>
      <c r="AK23" s="26">
        <f t="shared" ref="AK23" si="3">IF($C$21=3,AE23+AG23+AH23,0)</f>
        <v>0</v>
      </c>
      <c r="AL23" s="26">
        <v>1</v>
      </c>
      <c r="AM23" s="26">
        <f t="shared" ref="AM23" si="4">F23/AL23</f>
        <v>2</v>
      </c>
      <c r="AN23" s="26">
        <f>AI23/AM23</f>
        <v>234.33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234.33</v>
      </c>
      <c r="AS23" s="48" t="s">
        <v>217</v>
      </c>
      <c r="AT23" s="48" t="s">
        <v>58</v>
      </c>
      <c r="AU23" t="s" s="0">
        <v>224</v>
      </c>
      <c r="AV23" t="s" s="0">
        <v>405</v>
      </c>
      <c r="AW23" s="48">
        <f>AM23</f>
        <v>2</v>
      </c>
      <c r="AX23" s="48">
        <f>AR23</f>
        <v>234.33</v>
      </c>
      <c r="AY23" s="48">
        <f>AU23+AW23</f>
        <v>4</v>
      </c>
      <c r="AZ23" s="48">
        <f>ROUND(((AU23*AV23)+(AW23*AX23))/(AU23+AW23),5)</f>
        <v>238.31</v>
      </c>
      <c r="BA23" s="50"/>
      <c r="BB23" s="50" t="s">
        <v>149</v>
      </c>
      <c r="BC23" s="51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31</v>
      </c>
      <c r="BM23" t="s" s="0">
        <v>406</v>
      </c>
      <c r="BN23" t="s" s="0">
        <v>407</v>
      </c>
      <c r="BO23" s="48">
        <f>ROUND((((AW23*AZ23)+(BN23*BM23))/(AW23+BN23)),5)</f>
        <v>3100.4197100000001</v>
      </c>
      <c r="BP23" s="53">
        <f>BN23+AW23</f>
        <v>14</v>
      </c>
      <c r="BQ23" s="54">
        <v>123562</v>
      </c>
      <c r="BR23" s="53"/>
    </row>
    <row r="24" spans="1:70">
      <c r="A24" s="16"/>
      <c r="B24" s="27"/>
      <c r="C24" s="27"/>
      <c r="D24" s="28" t="s">
        <v>87</v>
      </c>
      <c r="E24" s="28"/>
      <c r="F24" s="28"/>
      <c r="G24" s="29"/>
      <c r="H24" s="30">
        <f>SUM(H23:H23)</f>
        <v>500.5</v>
      </c>
      <c r="I24" s="25"/>
      <c r="J24" s="25"/>
      <c r="K24" s="25"/>
      <c r="L24" s="25"/>
      <c r="M24" s="25"/>
      <c r="N24" s="25"/>
      <c r="O24" s="25"/>
      <c r="P24" s="25"/>
      <c r="Q24" s="25"/>
      <c r="R24" s="30">
        <f>SUM(R23:R23)</f>
        <v>31.84</v>
      </c>
      <c r="S24" s="39">
        <f>SUM(S23:S23)</f>
        <v>468.66</v>
      </c>
      <c r="T24" s="30"/>
      <c r="U24" s="30"/>
      <c r="V24" s="40">
        <f t="shared" ref="V24:AE24" si="5">SUM(V23:V23)</f>
        <v>42.18</v>
      </c>
      <c r="W24" s="40">
        <f t="shared" si="5"/>
        <v>42.18</v>
      </c>
      <c r="X24" s="40">
        <f t="shared" si="5"/>
        <v>0</v>
      </c>
      <c r="Y24" s="40"/>
      <c r="Z24" s="40"/>
      <c r="AA24" s="40"/>
      <c r="AB24" s="30">
        <f t="shared" si="5"/>
        <v>84.36</v>
      </c>
      <c r="AC24" s="44">
        <f t="shared" si="5"/>
        <v>468.66</v>
      </c>
      <c r="AD24" s="45">
        <f t="shared" si="5"/>
        <v>120</v>
      </c>
      <c r="AE24" s="45">
        <f t="shared" si="5"/>
        <v>0</v>
      </c>
      <c r="AF24" s="44"/>
      <c r="AG24" s="45">
        <f>SUM(AG23:AG23)</f>
        <v>0</v>
      </c>
      <c r="AH24" s="45">
        <f>SUM(AH23:AH23)</f>
        <v>0</v>
      </c>
      <c r="AI24" s="45">
        <f>SUM(AI23:AI23)</f>
        <v>468.66</v>
      </c>
      <c r="AJ24" s="45">
        <f>SUM(AJ23:AJ23)</f>
        <v>0</v>
      </c>
      <c r="AK24" s="45">
        <f>SUM(AK23:AK23)</f>
        <v>0</v>
      </c>
      <c r="AL24" s="44"/>
      <c r="AM24" s="44"/>
      <c r="AN24" s="44"/>
      <c r="AO24" s="44"/>
      <c r="AP24" s="44"/>
      <c r="AQ24" s="44"/>
      <c r="AR24" s="44"/>
      <c r="AS24" s="16"/>
    </row>
    <row r="25" spans="1:70">
      <c r="A25" s="16"/>
      <c r="B25" s="27"/>
      <c r="C25" s="2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BR25"/>
  <sheetViews>
    <sheetView workbookViewId="0">
      <selection sqref="A1:XFD1048576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7" max="27" width="9.425781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27.75" customHeight="1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6"/>
      <c r="AS1" s="16"/>
    </row>
    <row r="2" spans="1:45" ht="27.75" customHeight="1">
      <c r="A2" s="1" t="s">
        <v>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6"/>
      <c r="AS2" s="16"/>
    </row>
    <row r="3" spans="1:45" ht="27.75" customHeight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 ht="27.75" customHeight="1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 ht="27.75" customHeight="1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 ht="27.75" customHeight="1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 ht="27.75" customHeight="1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 ht="27.75" customHeight="1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 ht="27.75" customHeight="1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 ht="27.75" customHeight="1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 ht="27.75" customHeight="1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 ht="27.75" customHeight="1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 ht="27.75" customHeight="1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2507.6799999999998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 ht="27.75" customHeight="1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 ht="27.75" customHeight="1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 ht="27.75" customHeight="1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>
        <v>5858.27</v>
      </c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>
      <c r="A21" s="151" t="s">
        <v>89</v>
      </c>
      <c r="B21" s="151"/>
      <c r="C21" s="20">
        <v>3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50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7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>
      <c r="A23" s="25">
        <v>1</v>
      </c>
      <c r="B23" s="25" t="s">
        <v>403</v>
      </c>
      <c r="C23" s="25" t="s">
        <v>57</v>
      </c>
      <c r="D23" s="25" t="s">
        <v>58</v>
      </c>
      <c r="E23" s="25" t="s">
        <v>58</v>
      </c>
      <c r="F23" s="26">
        <v>2</v>
      </c>
      <c r="G23" s="26">
        <v>250.25</v>
      </c>
      <c r="H23" s="26">
        <f>F23*G23</f>
        <v>500.5</v>
      </c>
      <c r="I23" s="26">
        <v>2.21</v>
      </c>
      <c r="J23" s="26">
        <v>1.79</v>
      </c>
      <c r="K23" s="26">
        <v>2.5</v>
      </c>
      <c r="L23" s="26">
        <f>H23</f>
        <v>500.5</v>
      </c>
      <c r="M23" s="26">
        <f>ROUND(L23*I23%,2)</f>
        <v>11.06</v>
      </c>
      <c r="N23" s="26">
        <f>H23-M23</f>
        <v>489.44</v>
      </c>
      <c r="O23" s="26">
        <f>ROUND(N23*J23%,2)</f>
        <v>8.76</v>
      </c>
      <c r="P23" s="26">
        <f>ROUND(N23-O23,2)</f>
        <v>480.68</v>
      </c>
      <c r="Q23" s="26">
        <f>ROUND(P23*K23%,2)</f>
        <v>12.02</v>
      </c>
      <c r="R23" s="26">
        <f>M23+O23+Q23</f>
        <v>31.84</v>
      </c>
      <c r="S23" s="26">
        <f>(H23-R23)</f>
        <v>468.66</v>
      </c>
      <c r="T23" s="26" t="s">
        <v>146</v>
      </c>
      <c r="U23" s="26">
        <v>0.18</v>
      </c>
      <c r="V23" s="26">
        <f>IF(OR($C$21=1,$C$21=4),ROUND(((S23*U23)/2),2),0)</f>
        <v>0</v>
      </c>
      <c r="W23" s="26">
        <f>IF($C$21=1,ROUND(((S23*U23)/2),2),0)</f>
        <v>0</v>
      </c>
      <c r="X23" s="26">
        <f>IF($C$21=2,ROUND(((S23*U23)),2),0)</f>
        <v>0</v>
      </c>
      <c r="Y23" s="26">
        <f>IF($C$21=4,ROUND(((S23*U23)/2),2),0)</f>
        <v>0</v>
      </c>
      <c r="Z23" s="43">
        <v>0.06</v>
      </c>
      <c r="AA23" s="26">
        <f>IF($C21=3,0,S23*Z23)</f>
        <v>0</v>
      </c>
      <c r="AB23" s="26">
        <f>V23+W23+X23+Y23+AA23</f>
        <v>0</v>
      </c>
      <c r="AC23" s="26">
        <f>IF($V21=1,S23+AB23,S23)</f>
        <v>468.66</v>
      </c>
      <c r="AD23" s="26">
        <v>120</v>
      </c>
      <c r="AE23" s="26">
        <f>IF($P$21=1,(S23/$S$24)*$E$35,AD23/$AD$24*$E$35)</f>
        <v>0</v>
      </c>
      <c r="AF23" s="26"/>
      <c r="AG23" s="26">
        <f>IF($P$21=1,(S23/$S$24)*$E$37,AD23/$AD$24*$E$37)</f>
        <v>0</v>
      </c>
      <c r="AH23" s="26">
        <f>IF($P$21=1,(S23/$S$24)*$E$37,AD23/$AD$24*$E$37)</f>
        <v>0</v>
      </c>
      <c r="AI23" s="26">
        <f t="shared" ref="AI23" si="1">S23*$M$21</f>
        <v>23433</v>
      </c>
      <c r="AJ23" s="26">
        <f t="shared" ref="AJ23" si="2">IF($C$21=3,0,AG23+AH23)</f>
        <v>0</v>
      </c>
      <c r="AK23" s="26">
        <f t="shared" ref="AK23" si="3">IF($C$21=3,AE23+AG23+AH23,0)</f>
        <v>0</v>
      </c>
      <c r="AL23" s="26">
        <v>1</v>
      </c>
      <c r="AM23" s="26">
        <f t="shared" ref="AM23" si="4">F23/AL23</f>
        <v>2</v>
      </c>
      <c r="AN23" s="26">
        <f>AI23/AM23</f>
        <v>11716.5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11716.5</v>
      </c>
      <c r="AS23" s="48" t="s">
        <v>217</v>
      </c>
      <c r="AT23" s="48" t="s">
        <v>58</v>
      </c>
      <c r="AU23" t="s" s="0">
        <v>224</v>
      </c>
      <c r="AV23" t="s" s="0">
        <v>240</v>
      </c>
      <c r="AW23" s="48">
        <f>AM23</f>
        <v>2</v>
      </c>
      <c r="AX23" s="48">
        <f>AR23</f>
        <v>11716.5</v>
      </c>
      <c r="AY23" s="48">
        <f>AU23+AW23</f>
        <v>4</v>
      </c>
      <c r="AZ23" s="48">
        <f>ROUND(((AU23*AV23)+(AW23*AX23))/(AU23+AW23),5)</f>
        <v>5975.415</v>
      </c>
      <c r="BA23" s="50"/>
      <c r="BB23" s="50" t="s">
        <v>149</v>
      </c>
      <c r="BC23" s="51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31</v>
      </c>
      <c r="BM23" t="s" s="0">
        <v>410</v>
      </c>
      <c r="BN23" t="s" s="0">
        <v>317</v>
      </c>
      <c r="BO23" s="48">
        <f>ROUND((((AW23*AZ23)+(BN23*BM23))/(AW23+BN23)),5)</f>
        <v>4534.2855</v>
      </c>
      <c r="BP23" s="53">
        <f>BN23+AW23</f>
        <v>12</v>
      </c>
      <c r="BQ23" s="54">
        <v>123562</v>
      </c>
      <c r="BR23" s="53"/>
    </row>
    <row r="24" spans="1:70">
      <c r="A24" s="16"/>
      <c r="B24" s="27"/>
      <c r="C24" s="27"/>
      <c r="D24" s="28" t="s">
        <v>87</v>
      </c>
      <c r="E24" s="28"/>
      <c r="F24" s="28"/>
      <c r="G24" s="29"/>
      <c r="H24" s="30">
        <f>SUM(H23:H23)</f>
        <v>500.5</v>
      </c>
      <c r="I24" s="25"/>
      <c r="J24" s="25"/>
      <c r="K24" s="25"/>
      <c r="L24" s="25"/>
      <c r="M24" s="25"/>
      <c r="N24" s="25"/>
      <c r="O24" s="25"/>
      <c r="P24" s="25"/>
      <c r="Q24" s="25"/>
      <c r="R24" s="30">
        <f>SUM(R23:R23)</f>
        <v>31.84</v>
      </c>
      <c r="S24" s="39">
        <f>SUM(S23:S23)</f>
        <v>468.66</v>
      </c>
      <c r="T24" s="30"/>
      <c r="U24" s="30"/>
      <c r="V24" s="40">
        <f t="shared" ref="V24:AE24" si="5">SUM(V23:V23)</f>
        <v>0</v>
      </c>
      <c r="W24" s="40">
        <f t="shared" si="5"/>
        <v>0</v>
      </c>
      <c r="X24" s="40">
        <f t="shared" si="5"/>
        <v>0</v>
      </c>
      <c r="Y24" s="40"/>
      <c r="Z24" s="40"/>
      <c r="AA24" s="40"/>
      <c r="AB24" s="30">
        <f t="shared" si="5"/>
        <v>0</v>
      </c>
      <c r="AC24" s="44">
        <f t="shared" si="5"/>
        <v>468.66</v>
      </c>
      <c r="AD24" s="45">
        <f t="shared" si="5"/>
        <v>120</v>
      </c>
      <c r="AE24" s="45">
        <f t="shared" si="5"/>
        <v>0</v>
      </c>
      <c r="AF24" s="44"/>
      <c r="AG24" s="45">
        <f>SUM(AG23:AG23)</f>
        <v>0</v>
      </c>
      <c r="AH24" s="45">
        <f>SUM(AH23:AH23)</f>
        <v>0</v>
      </c>
      <c r="AI24" s="45">
        <f>SUM(AI23:AI23)</f>
        <v>23433</v>
      </c>
      <c r="AJ24" s="45">
        <f>SUM(AJ23:AJ23)</f>
        <v>0</v>
      </c>
      <c r="AK24" s="45">
        <f>SUM(AK23:AK23)</f>
        <v>0</v>
      </c>
      <c r="AL24" s="44"/>
      <c r="AM24" s="44"/>
      <c r="AN24" s="44"/>
      <c r="AO24" s="44"/>
      <c r="AP24" s="44"/>
      <c r="AQ24" s="44"/>
      <c r="AR24" s="44"/>
      <c r="AS24" s="16"/>
    </row>
    <row r="25" spans="1:70">
      <c r="A25" s="16"/>
      <c r="B25" s="27"/>
      <c r="C25" s="2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BR25"/>
  <sheetViews>
    <sheetView topLeftCell="O14" workbookViewId="0">
      <selection activeCell="AA23" sqref="AA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12" max="12" customWidth="true" width="13.85546875"/>
    <col min="14" max="14" customWidth="true" width="13.5703125"/>
    <col min="15" max="15" customWidth="true" width="15.28515625"/>
    <col min="16" max="16" customWidth="true" width="13.7109375"/>
    <col min="18" max="18" customWidth="true" width="10.85546875"/>
    <col min="19" max="19" customWidth="true" width="9.42578125"/>
    <col min="29" max="29" customWidth="true" width="10.28515625"/>
    <col min="30" max="30" customWidth="true" width="12.85546875"/>
    <col min="31" max="31" customWidth="true" width="8.710937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27.75" customHeight="1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6"/>
      <c r="AS1" s="16"/>
    </row>
    <row r="2" spans="1:45" ht="27.75" customHeight="1">
      <c r="A2" s="1" t="s">
        <v>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6"/>
      <c r="AS2" s="16"/>
    </row>
    <row r="3" spans="1:45" ht="27.75" customHeight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 ht="27.75" customHeight="1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 ht="27.75" customHeight="1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 ht="27.75" customHeight="1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 ht="27.75" customHeight="1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 ht="27.75" customHeight="1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 ht="27.75" customHeight="1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 ht="27.75" customHeight="1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 ht="27.75" customHeight="1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 ht="27.75" customHeight="1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 ht="27.75" customHeight="1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2507.6799999999998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 ht="27.75" customHeight="1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 ht="27.75" customHeight="1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 ht="27.75" customHeight="1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>
        <v>5858.27</v>
      </c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>
      <c r="A21" s="151" t="s">
        <v>89</v>
      </c>
      <c r="B21" s="151"/>
      <c r="C21" s="20">
        <v>1</v>
      </c>
      <c r="D21" s="21" t="s">
        <v>402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7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>
      <c r="A23" s="25">
        <v>1</v>
      </c>
      <c r="B23" s="25" t="s">
        <v>403</v>
      </c>
      <c r="C23" s="25" t="s">
        <v>57</v>
      </c>
      <c r="D23" s="25" t="s">
        <v>58</v>
      </c>
      <c r="E23" s="25" t="s">
        <v>58</v>
      </c>
      <c r="F23" s="26">
        <v>2</v>
      </c>
      <c r="G23" s="26">
        <v>250.25</v>
      </c>
      <c r="H23" s="26">
        <f>F23*G23</f>
        <v>500.5</v>
      </c>
      <c r="I23" s="26">
        <v>1</v>
      </c>
      <c r="J23" s="26">
        <v>2</v>
      </c>
      <c r="K23" s="26">
        <v>3</v>
      </c>
      <c r="L23" s="26">
        <v>0</v>
      </c>
      <c r="M23" s="26">
        <f>ROUND(L23*I23%,2)</f>
        <v>0</v>
      </c>
      <c r="N23" s="26">
        <v>0</v>
      </c>
      <c r="O23" s="26">
        <f>ROUND(N23*J23%,2)</f>
        <v>0</v>
      </c>
      <c r="P23" s="26">
        <f>ROUND(N23-O23,2)</f>
        <v>0</v>
      </c>
      <c r="Q23" s="26">
        <f>ROUND(P23*K23%,2)</f>
        <v>0</v>
      </c>
      <c r="R23" s="26">
        <f>M23+O23+Q23</f>
        <v>0</v>
      </c>
      <c r="S23" s="26">
        <f>(H23-R23)</f>
        <v>500.5</v>
      </c>
      <c r="T23" s="26" t="s">
        <v>146</v>
      </c>
      <c r="U23" s="26">
        <v>0.18</v>
      </c>
      <c r="V23" s="26">
        <f>IF($C$21=1,ROUND(((S23*U23)/2),2),0)</f>
        <v>45.05</v>
      </c>
      <c r="W23" s="26">
        <f>IF($C$21=1,ROUND(((S23*U23)/2),2),0)</f>
        <v>45.05</v>
      </c>
      <c r="X23" s="26">
        <f>IF($C$21=2,ROUND(((S23*U23)),2),0)</f>
        <v>0</v>
      </c>
      <c r="Y23" s="26">
        <f>IF($C$21=4,ROUND(((S23*U23)/2),2),0)</f>
        <v>0</v>
      </c>
      <c r="Z23" s="43">
        <v>0.01</v>
      </c>
      <c r="AA23" s="55">
        <f>S23*Z23</f>
        <v>5.0049999999999999</v>
      </c>
      <c r="AB23" s="55">
        <f>V23+W23+X23+Y23+AA23</f>
        <v>95.105000000000004</v>
      </c>
      <c r="AC23" s="26">
        <f>S23</f>
        <v>500.5</v>
      </c>
      <c r="AD23" s="26">
        <v>120</v>
      </c>
      <c r="AE23" s="26">
        <f>IF($P$21=1,(S23/$S$24)*$E$35,AD23/$AD$24*$E$35)</f>
        <v>0</v>
      </c>
      <c r="AF23" s="26"/>
      <c r="AG23" s="26">
        <f>IF($P$21=1,(S23/$S$24)*$E$37,AD23/$AD$24*$E$37)</f>
        <v>0</v>
      </c>
      <c r="AH23" s="26">
        <f>IF($P$21=1,(S23/$S$24)*$E$37,AD23/$AD$24*$E$37)</f>
        <v>0</v>
      </c>
      <c r="AI23" s="26">
        <f t="shared" ref="AI23" si="1">S23*$M$21</f>
        <v>500.5</v>
      </c>
      <c r="AJ23" s="26">
        <f t="shared" ref="AJ23" si="2">IF($C$21=3,0,AG23+AH23)</f>
        <v>0</v>
      </c>
      <c r="AK23" s="26">
        <f t="shared" ref="AK23" si="3">IF($C$21=3,AE23+AG23+AH23,0)</f>
        <v>0</v>
      </c>
      <c r="AL23" s="26">
        <v>1</v>
      </c>
      <c r="AM23" s="26">
        <f t="shared" ref="AM23" si="4">F23/AL23</f>
        <v>2</v>
      </c>
      <c r="AN23" s="26">
        <f>AI23/AM23</f>
        <v>250.25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250.25</v>
      </c>
      <c r="AS23" s="48" t="s">
        <v>217</v>
      </c>
      <c r="AT23" s="48" t="s">
        <v>58</v>
      </c>
      <c r="AU23" t="s" s="0">
        <v>224</v>
      </c>
      <c r="AV23" t="s" s="0">
        <v>411</v>
      </c>
      <c r="AW23" s="48">
        <f>AM23</f>
        <v>2</v>
      </c>
      <c r="AX23" s="48">
        <f>AR23</f>
        <v>250.25</v>
      </c>
      <c r="AY23" s="48">
        <f>AU23+AW23</f>
        <v>4</v>
      </c>
      <c r="AZ23" s="48">
        <f>ROUND(((AU23*AV23)+(AW23*AX23))/(AU23+AW23),5)</f>
        <v>249.255</v>
      </c>
      <c r="BA23" s="50"/>
      <c r="BB23" s="50" t="s">
        <v>149</v>
      </c>
      <c r="BC23" s="51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31</v>
      </c>
      <c r="BM23" t="s" s="0">
        <v>412</v>
      </c>
      <c r="BN23" t="s" s="0">
        <v>413</v>
      </c>
      <c r="BO23" s="48">
        <f>ROUND((((AW23*AZ23)+(BN23*BM23))/(AW23+BN23)),5)</f>
        <v>2467.6014399999999</v>
      </c>
      <c r="BP23" s="53">
        <f>BN23+AW23</f>
        <v>18</v>
      </c>
      <c r="BQ23" s="54">
        <v>123562</v>
      </c>
      <c r="BR23" s="53"/>
    </row>
    <row r="24" spans="1:70">
      <c r="A24" s="16"/>
      <c r="B24" s="27"/>
      <c r="C24" s="27"/>
      <c r="D24" s="28" t="s">
        <v>87</v>
      </c>
      <c r="E24" s="28"/>
      <c r="F24" s="28"/>
      <c r="G24" s="29"/>
      <c r="H24" s="30">
        <f>SUM(H23:H23)</f>
        <v>500.5</v>
      </c>
      <c r="I24" s="25"/>
      <c r="J24" s="25"/>
      <c r="K24" s="25"/>
      <c r="L24" s="25"/>
      <c r="M24" s="25"/>
      <c r="N24" s="25"/>
      <c r="O24" s="25"/>
      <c r="P24" s="25"/>
      <c r="Q24" s="25"/>
      <c r="R24" s="30">
        <f>SUM(R23:R23)</f>
        <v>0</v>
      </c>
      <c r="S24" s="39">
        <f>SUM(S23:S23)</f>
        <v>500.5</v>
      </c>
      <c r="T24" s="30"/>
      <c r="U24" s="30"/>
      <c r="V24" s="40">
        <f t="shared" ref="V24:AE24" si="5">SUM(V23:V23)</f>
        <v>45.05</v>
      </c>
      <c r="W24" s="40">
        <f t="shared" si="5"/>
        <v>45.05</v>
      </c>
      <c r="X24" s="40">
        <f t="shared" si="5"/>
        <v>0</v>
      </c>
      <c r="Y24" s="40"/>
      <c r="Z24" s="40"/>
      <c r="AA24" s="40"/>
      <c r="AB24" s="30">
        <f t="shared" si="5"/>
        <v>95.105000000000004</v>
      </c>
      <c r="AC24" s="44">
        <f t="shared" si="5"/>
        <v>500.5</v>
      </c>
      <c r="AD24" s="45">
        <f t="shared" si="5"/>
        <v>120</v>
      </c>
      <c r="AE24" s="45">
        <f t="shared" si="5"/>
        <v>0</v>
      </c>
      <c r="AF24" s="44"/>
      <c r="AG24" s="45">
        <f>SUM(AG23:AG23)</f>
        <v>0</v>
      </c>
      <c r="AH24" s="45">
        <f>SUM(AH23:AH23)</f>
        <v>0</v>
      </c>
      <c r="AI24" s="45">
        <f>SUM(AI23:AI23)</f>
        <v>500.5</v>
      </c>
      <c r="AJ24" s="45">
        <f>SUM(AJ23:AJ23)</f>
        <v>0</v>
      </c>
      <c r="AK24" s="45">
        <f>SUM(AK23:AK23)</f>
        <v>0</v>
      </c>
      <c r="AL24" s="44"/>
      <c r="AM24" s="44"/>
      <c r="AN24" s="44"/>
      <c r="AO24" s="44"/>
      <c r="AP24" s="44"/>
      <c r="AQ24" s="44"/>
      <c r="AR24" s="44"/>
      <c r="AS24" s="16"/>
    </row>
    <row r="25" spans="1:70">
      <c r="A25" s="16"/>
      <c r="B25" s="27"/>
      <c r="C25" s="2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BR26"/>
  <sheetViews>
    <sheetView workbookViewId="0">
      <selection sqref="A1:XFD1048576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60" max="60" customWidth="true" width="12.5703125"/>
    <col min="61" max="61" customWidth="true" width="21.7109375"/>
    <col min="62" max="63" customWidth="true" width="30.5703125"/>
    <col min="64" max="64" bestFit="true" customWidth="true" width="8.1406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6"/>
      <c r="AS1" s="16"/>
    </row>
    <row r="2" spans="1:45" ht="18.75" thickBot="1">
      <c r="A2" s="141" t="s">
        <v>47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2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353</v>
      </c>
      <c r="C23" s="25" t="s">
        <v>57</v>
      </c>
      <c r="D23" s="25" t="s">
        <v>58</v>
      </c>
      <c r="E23" s="25" t="s">
        <v>58</v>
      </c>
      <c r="F23" s="26">
        <v>2</v>
      </c>
      <c r="G23" s="0">
        <v>300</v>
      </c>
      <c r="H23" s="26">
        <f>F23*G23</f>
        <v>600</v>
      </c>
      <c r="I23" t="s" s="0">
        <v>551</v>
      </c>
      <c r="J23" s="26">
        <v>1.79</v>
      </c>
      <c r="K23" s="26">
        <v>2.5</v>
      </c>
      <c r="L23" s="26">
        <f>H23</f>
        <v>600</v>
      </c>
      <c r="M23" s="26">
        <f>ROUND(L23*I23%,2)</f>
        <v>30</v>
      </c>
      <c r="N23" s="26">
        <f>H23-M23</f>
        <v>570</v>
      </c>
      <c r="O23" s="26">
        <f>ROUND(N23*J23%,2)</f>
        <v>10.199999999999999</v>
      </c>
      <c r="P23" s="26">
        <f>ROUND(N23-O23,2)</f>
        <v>559.79999999999995</v>
      </c>
      <c r="Q23" s="26">
        <f>ROUND(P23*K23%,2)</f>
        <v>14</v>
      </c>
      <c r="R23" s="26">
        <f>M23+O23+Q23</f>
        <v>54.2</v>
      </c>
      <c r="S23" s="26">
        <f>(H23-R23)</f>
        <v>545.79999999999995</v>
      </c>
      <c r="T23" s="26" t="s">
        <v>146</v>
      </c>
      <c r="U23" s="26">
        <v>0.18</v>
      </c>
      <c r="V23" s="26">
        <f>IF(OR($C$21=1,$C$21=4),ROUND(((S23*U23)/2),2),0)</f>
        <v>0</v>
      </c>
      <c r="W23" s="26">
        <f>IF($C$21=1,ROUND(((S23*U23)/2),2),0)</f>
        <v>0</v>
      </c>
      <c r="X23" s="26">
        <f>IF($C$21=2,ROUND(((S23*U23)),2),0)</f>
        <v>98.24</v>
      </c>
      <c r="Y23" s="26">
        <f>IF($C$21=4,ROUND(((S23*U23)/2),2),0)</f>
        <v>0</v>
      </c>
      <c r="Z23" s="43">
        <v>0</v>
      </c>
      <c r="AA23" s="26">
        <f>IF($C21=3, 0, ROUND(S23*Z23, 2))</f>
        <v>0</v>
      </c>
      <c r="AB23" s="26">
        <f>V23+W23+X23+Y23+AA23</f>
        <v>98.24</v>
      </c>
      <c r="AC23" s="26">
        <f>IF($V21=1,S23+AB23,S23)</f>
        <v>644.04</v>
      </c>
      <c r="AD23" s="26">
        <v>120</v>
      </c>
      <c r="AE23" s="26">
        <f>IF($P$21=1,(S23/$S$25)*$E$36,AD23/$AD$25*$E$36)</f>
        <v>0</v>
      </c>
      <c r="AF23" s="26"/>
      <c r="AG23" s="26">
        <f>IF($P$21=1,(S23/$S$25)*$E$38,AD23/$AD$25*$E$38)</f>
        <v>0</v>
      </c>
      <c r="AH23" s="26">
        <f>IF($P$21=1,(S23/$S$25)*$E$38,AD23/$AD$25*$E$38)</f>
        <v>0</v>
      </c>
      <c r="AI23" s="26">
        <f t="shared" ref="AI23:AI24" si="1">S23*$M$21</f>
        <v>545.79999999999995</v>
      </c>
      <c r="AJ23" s="26">
        <f t="shared" ref="AJ23:AJ24" si="2">IF($C$21=3,0,AG23+AH23)</f>
        <v>0</v>
      </c>
      <c r="AK23" s="26">
        <f t="shared" ref="AK23:AK24" si="3">IF($C$21=3,AE23+AG23+AH23,0)</f>
        <v>0</v>
      </c>
      <c r="AL23" s="26">
        <v>1</v>
      </c>
      <c r="AM23" s="26">
        <f t="shared" ref="AM23:AM24" si="4">F23/AL23</f>
        <v>2</v>
      </c>
      <c r="AN23" s="26">
        <f>AI23/AM23</f>
        <v>272.89999999999998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272.89999999999998</v>
      </c>
      <c r="AS23" s="48" t="s">
        <v>347</v>
      </c>
      <c r="AT23" s="48" t="s">
        <v>58</v>
      </c>
      <c r="AU23" t="s" s="0">
        <v>219</v>
      </c>
      <c r="AV23" t="s" s="0">
        <v>355</v>
      </c>
      <c r="AW23" s="48">
        <f>AM23</f>
        <v>2</v>
      </c>
      <c r="AX23" s="48">
        <f>AR23</f>
        <v>272.89999999999998</v>
      </c>
      <c r="AY23" s="48">
        <f>AU23+AW23</f>
        <v>2</v>
      </c>
      <c r="AZ23" s="48">
        <f>ROUND(((AU23*AV23)+(AW23*AX23))/(AU23+AW23),5)</f>
        <v>272.89999999999998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348</v>
      </c>
      <c r="BM23" t="s" s="0">
        <v>355</v>
      </c>
      <c r="BN23" t="s" s="0">
        <v>407</v>
      </c>
      <c r="BO23" s="48">
        <f>ROUND((((AW23*AZ23)+(BN23*BM23))/(AW23+BN23)),5)</f>
        <v>235.24571</v>
      </c>
      <c r="BP23" s="53">
        <f>BN23+AW23</f>
        <v>10</v>
      </c>
      <c r="BQ23" s="54">
        <v>123562</v>
      </c>
      <c r="BR23" s="53"/>
    </row>
    <row r="24" spans="1:70" ht="15.75" thickBot="1">
      <c r="A24" s="25">
        <v>2</v>
      </c>
      <c r="B24" s="25" t="s">
        <v>356</v>
      </c>
      <c r="C24" s="25" t="s">
        <v>57</v>
      </c>
      <c r="D24" s="25" t="s">
        <v>58</v>
      </c>
      <c r="E24" s="25" t="s">
        <v>58</v>
      </c>
      <c r="F24" s="26">
        <v>2</v>
      </c>
      <c r="G24" s="0">
        <v>344</v>
      </c>
      <c r="H24" s="26">
        <f>F24*G24</f>
        <v>688</v>
      </c>
      <c r="I24" t="s" s="0">
        <v>307</v>
      </c>
      <c r="J24" s="26">
        <v>1.79</v>
      </c>
      <c r="K24" s="26">
        <v>2.5</v>
      </c>
      <c r="L24" s="26">
        <f>H24</f>
        <v>688</v>
      </c>
      <c r="M24" s="26">
        <f>ROUND(L24*I24%,2)</f>
        <v>20.64</v>
      </c>
      <c r="N24" s="26">
        <f>H24-M24</f>
        <v>667.36</v>
      </c>
      <c r="O24" s="26">
        <f>ROUND(N24*J24%,2)</f>
        <v>11.95</v>
      </c>
      <c r="P24" s="26">
        <f>ROUND(N24-O24,2)</f>
        <v>655.41</v>
      </c>
      <c r="Q24" s="26">
        <f>ROUND(P24*K24%,2)</f>
        <v>16.39</v>
      </c>
      <c r="R24" s="26">
        <f>M24+O24+Q24</f>
        <v>48.980000000000004</v>
      </c>
      <c r="S24" s="26">
        <f>(H24-R24)</f>
        <v>639.02</v>
      </c>
      <c r="T24" s="26" t="s">
        <v>146</v>
      </c>
      <c r="U24" s="26">
        <v>0.18</v>
      </c>
      <c r="V24" s="26">
        <f>IF(OR($C$21=1,$C$21=4),ROUND(((S24*U24)/2),2),0)</f>
        <v>0</v>
      </c>
      <c r="W24" s="26">
        <f>IF($C$21=1,ROUND(((S24*U24)/2),2),0)</f>
        <v>0</v>
      </c>
      <c r="X24" s="26">
        <f>IF($C$21=2,ROUND(((S24*U24)),2),0)</f>
        <v>115.02</v>
      </c>
      <c r="Y24" s="26">
        <f>IF($C$21=4,ROUND(((S24*U24)/2),2),0)</f>
        <v>0</v>
      </c>
      <c r="Z24" s="43">
        <v>0</v>
      </c>
      <c r="AA24" s="26">
        <f>IF($C22=3, 0, ROUND(S24*Z24, 2))</f>
        <v>0</v>
      </c>
      <c r="AB24" s="26">
        <f>V24+W24+X24+Y24+AA24</f>
        <v>115.02</v>
      </c>
      <c r="AC24" s="26">
        <f>IF($V22=1,S24+AB24,S24)</f>
        <v>639.02</v>
      </c>
      <c r="AD24" s="26">
        <v>120</v>
      </c>
      <c r="AE24" s="26">
        <f>IF($P$21=1,(S24/$S$25)*$E$36,AD24/$AD$25*$E$36)</f>
        <v>0</v>
      </c>
      <c r="AF24" s="26"/>
      <c r="AG24" s="26">
        <f>IF($P$21=1,(S24/$S$25)*$E$38,AD24/$AD$25*$E$38)</f>
        <v>0</v>
      </c>
      <c r="AH24" s="26">
        <f>IF($P$21=1,(S24/$S$25)*$E$38,AD24/$AD$25*$E$38)</f>
        <v>0</v>
      </c>
      <c r="AI24" s="26">
        <f t="shared" si="1"/>
        <v>639.02</v>
      </c>
      <c r="AJ24" s="26">
        <f t="shared" si="2"/>
        <v>0</v>
      </c>
      <c r="AK24" s="26">
        <f t="shared" si="3"/>
        <v>0</v>
      </c>
      <c r="AL24" s="26">
        <v>1</v>
      </c>
      <c r="AM24" s="26">
        <f t="shared" si="4"/>
        <v>2</v>
      </c>
      <c r="AN24" s="26">
        <f>AI24/AM24</f>
        <v>319.51</v>
      </c>
      <c r="AO24" s="26">
        <f>AJ24/AM24</f>
        <v>0</v>
      </c>
      <c r="AP24" s="26">
        <f>AK24/AM24</f>
        <v>0</v>
      </c>
      <c r="AQ24" s="26" t="s">
        <v>58</v>
      </c>
      <c r="AR24" s="26">
        <f>AN24+AO24+AP24</f>
        <v>319.51</v>
      </c>
      <c r="AS24" s="48" t="s">
        <v>347</v>
      </c>
      <c r="AT24" s="48" t="s">
        <v>58</v>
      </c>
      <c r="AU24" t="s" s="0">
        <v>219</v>
      </c>
      <c r="AV24" t="s" s="0">
        <v>483</v>
      </c>
      <c r="AW24" s="48">
        <f>AM24</f>
        <v>2</v>
      </c>
      <c r="AX24" s="48">
        <f>AR24</f>
        <v>319.51</v>
      </c>
      <c r="AY24" s="48">
        <f>AU24+AW24</f>
        <v>2</v>
      </c>
      <c r="AZ24" s="48">
        <f>ROUND(((AU24*AV24)+(AW24*AX24))/(AU24+AW24),5)</f>
        <v>319.51</v>
      </c>
      <c r="BA24" s="50"/>
      <c r="BB24" s="50" t="s">
        <v>149</v>
      </c>
      <c r="BC24" s="80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48" t="s">
        <v>348</v>
      </c>
      <c r="BM24" t="s" s="0">
        <v>535</v>
      </c>
      <c r="BN24" t="s" s="0">
        <v>308</v>
      </c>
      <c r="BO24" s="48">
        <f>ROUND((((AW24*AZ24)+(BN24*BM24))/(AW24+BN24)),5)</f>
        <v>319.73624999999998</v>
      </c>
      <c r="BP24" s="53">
        <f>BN24+AW24</f>
        <v>12</v>
      </c>
      <c r="BQ24" s="54">
        <v>123562</v>
      </c>
      <c r="BR24" s="53"/>
    </row>
    <row r="25" spans="1:70" ht="15.75" thickBot="1">
      <c r="A25" s="16"/>
      <c r="B25" s="27"/>
      <c r="C25" s="27"/>
      <c r="D25" s="28" t="s">
        <v>87</v>
      </c>
      <c r="E25" s="28"/>
      <c r="F25" s="28"/>
      <c r="G25" s="29"/>
      <c r="H25" s="30">
        <f>SUM(H23:H24)</f>
        <v>1288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103.18</v>
      </c>
      <c r="S25" s="39">
        <f>SUM(S23:S24)</f>
        <v>1184.82</v>
      </c>
      <c r="T25" s="30"/>
      <c r="U25" s="30"/>
      <c r="V25" s="40">
        <f>SUM(V23:V24)</f>
        <v>0</v>
      </c>
      <c r="W25" s="40">
        <f>SUM(W23:W24)</f>
        <v>0</v>
      </c>
      <c r="X25" s="40">
        <f>SUM(X23:X24)</f>
        <v>213.26</v>
      </c>
      <c r="Y25" s="40">
        <f>SUM(Y23:Y24)</f>
        <v>0</v>
      </c>
      <c r="Z25" s="40"/>
      <c r="AA25" s="40">
        <f>SUM(AA23:AA24)</f>
        <v>0</v>
      </c>
      <c r="AB25" s="30">
        <f>SUM(AB23:AB24)</f>
        <v>213.26</v>
      </c>
      <c r="AC25" s="44">
        <f>SUM(AC23:AC24)</f>
        <v>1283.06</v>
      </c>
      <c r="AD25" s="45">
        <f t="shared" ref="AD25:AE25" si="5">SUM(AD23:AD23)</f>
        <v>120</v>
      </c>
      <c r="AE25" s="45">
        <f t="shared" si="5"/>
        <v>0</v>
      </c>
      <c r="AF25" s="44"/>
      <c r="AG25" s="45">
        <f>SUM(AG23:AG23)</f>
        <v>0</v>
      </c>
      <c r="AH25" s="45">
        <f>SUM(AH23:AH23)</f>
        <v>0</v>
      </c>
      <c r="AI25" s="45">
        <f>SUM(AI23:AI24)</f>
        <v>1184.82</v>
      </c>
      <c r="AJ25" s="45">
        <f>SUM(AJ23:AJ23)</f>
        <v>0</v>
      </c>
      <c r="AK25" s="45">
        <f>SUM(AK23:AK23)</f>
        <v>0</v>
      </c>
      <c r="AL25" s="44"/>
      <c r="AM25" s="44"/>
      <c r="AN25" s="44"/>
      <c r="AO25" s="44"/>
      <c r="AP25" s="44"/>
      <c r="AQ25" s="44"/>
      <c r="AR25" s="44"/>
      <c r="AS25" s="16"/>
    </row>
    <row r="26" spans="1:70">
      <c r="A26" s="16"/>
      <c r="B26" s="27"/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BR25"/>
  <sheetViews>
    <sheetView topLeftCell="E17" workbookViewId="0">
      <selection activeCell="H23" sqref="H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12" max="12" customWidth="true" width="13.85546875"/>
    <col min="14" max="14" customWidth="true" width="13.5703125"/>
    <col min="15" max="15" customWidth="true" width="15.28515625"/>
    <col min="16" max="16" customWidth="true" width="13.7109375"/>
    <col min="18" max="18" customWidth="true" width="10.85546875"/>
    <col min="19" max="19" customWidth="true" width="9.42578125"/>
    <col min="29" max="29" customWidth="true" width="10.28515625"/>
    <col min="30" max="30" customWidth="true" width="12.85546875"/>
    <col min="31" max="31" customWidth="true" width="8.710937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27.75" customHeight="1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6"/>
      <c r="AS1" s="16"/>
    </row>
    <row r="2" spans="1:45" ht="27.75" customHeight="1">
      <c r="A2" s="1" t="s">
        <v>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6"/>
      <c r="AS2" s="16"/>
    </row>
    <row r="3" spans="1:45" ht="27.75" customHeight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 ht="27.75" customHeight="1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 ht="27.75" customHeight="1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 ht="27.75" customHeight="1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 ht="27.75" customHeight="1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 ht="27.75" customHeight="1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 ht="27.75" customHeight="1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 ht="27.75" customHeight="1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 ht="27.75" customHeight="1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 ht="27.75" customHeight="1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 ht="27.75" customHeight="1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2507.6799999999998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 ht="27.75" customHeight="1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 ht="27.75" customHeight="1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 ht="27.75" customHeight="1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>
        <v>5858.27</v>
      </c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>
      <c r="A21" s="151" t="s">
        <v>89</v>
      </c>
      <c r="B21" s="151"/>
      <c r="C21" s="20">
        <v>2</v>
      </c>
      <c r="D21" s="21" t="s">
        <v>402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7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>
      <c r="A23" s="25">
        <v>1</v>
      </c>
      <c r="B23" s="25" t="s">
        <v>403</v>
      </c>
      <c r="C23" s="25" t="s">
        <v>57</v>
      </c>
      <c r="D23" s="25" t="s">
        <v>58</v>
      </c>
      <c r="E23" s="25" t="s">
        <v>58</v>
      </c>
      <c r="F23" s="26">
        <v>2</v>
      </c>
      <c r="G23" s="26">
        <v>250.25</v>
      </c>
      <c r="H23" s="26">
        <f>F23*G23</f>
        <v>500.5</v>
      </c>
      <c r="I23" s="26">
        <v>0</v>
      </c>
      <c r="J23" s="26">
        <v>0</v>
      </c>
      <c r="K23" s="26">
        <v>0</v>
      </c>
      <c r="L23" s="26">
        <v>0</v>
      </c>
      <c r="M23" s="26">
        <f>ROUND(L23*I23%,2)</f>
        <v>0</v>
      </c>
      <c r="N23" s="26">
        <v>0</v>
      </c>
      <c r="O23" s="26">
        <f>ROUND(N23*J23%,2)</f>
        <v>0</v>
      </c>
      <c r="P23" s="26">
        <f>ROUND(N23-O23,2)</f>
        <v>0</v>
      </c>
      <c r="Q23" s="26">
        <f>ROUND(P23*K23%,2)</f>
        <v>0</v>
      </c>
      <c r="R23" s="26">
        <f>M23+O23+Q23</f>
        <v>0</v>
      </c>
      <c r="S23" s="26">
        <f>(H23-R23)</f>
        <v>500.5</v>
      </c>
      <c r="T23" s="26" t="s">
        <v>146</v>
      </c>
      <c r="U23" s="26">
        <v>0.18</v>
      </c>
      <c r="V23" s="26">
        <f>IF($C$21=1,ROUND(((S23*U23)/2),2),0)</f>
        <v>0</v>
      </c>
      <c r="W23" s="26">
        <f>IF($C$21=1,ROUND(((S23*U23)/2),2),0)</f>
        <v>0</v>
      </c>
      <c r="X23" s="26">
        <f>IF($C$21=2,ROUND(((S23*U23)),2),0)</f>
        <v>90.09</v>
      </c>
      <c r="Y23" s="26">
        <f>IF($C$21=4,ROUND(((S23*U23)/2),2),0)</f>
        <v>0</v>
      </c>
      <c r="Z23" s="43">
        <v>0.06</v>
      </c>
      <c r="AA23" s="26">
        <f>IF($C$21=5,ROUND(((S23*Z23)),2),0)</f>
        <v>0</v>
      </c>
      <c r="AB23" s="26">
        <f>V23+W23+X23+Y23+AA23</f>
        <v>90.09</v>
      </c>
      <c r="AC23" s="26">
        <f>S23</f>
        <v>500.5</v>
      </c>
      <c r="AD23" s="26">
        <v>120</v>
      </c>
      <c r="AE23" s="26">
        <f>IF($P$21=1,(S23/$S$24)*$E$35,AD23/$AD$24*$E$35)</f>
        <v>0</v>
      </c>
      <c r="AF23" s="26"/>
      <c r="AG23" s="26">
        <f>IF($P$21=1,(S23/$S$24)*$E$37,AD23/$AD$24*$E$37)</f>
        <v>0</v>
      </c>
      <c r="AH23" s="26">
        <f>IF($P$21=1,(S23/$S$24)*$E$37,AD23/$AD$24*$E$37)</f>
        <v>0</v>
      </c>
      <c r="AI23" s="26">
        <f t="shared" ref="AI23" si="1">S23*$M$21</f>
        <v>500.5</v>
      </c>
      <c r="AJ23" s="26">
        <f t="shared" ref="AJ23" si="2">IF($C$21=3,0,AG23+AH23)</f>
        <v>0</v>
      </c>
      <c r="AK23" s="26">
        <f t="shared" ref="AK23" si="3">IF($C$21=3,AE23+AG23+AH23,0)</f>
        <v>0</v>
      </c>
      <c r="AL23" s="26">
        <v>1</v>
      </c>
      <c r="AM23" s="26">
        <f t="shared" ref="AM23" si="4">F23/AL23</f>
        <v>2</v>
      </c>
      <c r="AN23" s="26">
        <f>AI23/AM23</f>
        <v>250.25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250.25</v>
      </c>
      <c r="AS23" s="48" t="s">
        <v>217</v>
      </c>
      <c r="AT23" s="48" t="s">
        <v>58</v>
      </c>
      <c r="AU23" t="s" s="0">
        <v>224</v>
      </c>
      <c r="AV23" t="s" s="0">
        <v>240</v>
      </c>
      <c r="AW23" s="48">
        <f>AM23</f>
        <v>2</v>
      </c>
      <c r="AX23" s="48">
        <f>AR23</f>
        <v>250.25</v>
      </c>
      <c r="AY23" s="48">
        <f>AU23+AW23</f>
        <v>4</v>
      </c>
      <c r="AZ23" s="48">
        <f>ROUND(((AU23*AV23)+(AW23*AX23))/(AU23+AW23),5)</f>
        <v>242.29</v>
      </c>
      <c r="BA23" s="50"/>
      <c r="BB23" s="50" t="s">
        <v>149</v>
      </c>
      <c r="BC23" s="51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31</v>
      </c>
      <c r="BM23" t="s" s="0">
        <v>406</v>
      </c>
      <c r="BN23" t="s" s="0">
        <v>407</v>
      </c>
      <c r="BO23" s="48">
        <f>ROUND((((AW23*AZ23)+(BN23*BM23))/(AW23+BN23)),5)</f>
        <v>3100.9882899999998</v>
      </c>
      <c r="BP23" s="53">
        <f>BN23+AW23</f>
        <v>14</v>
      </c>
      <c r="BQ23" s="54">
        <v>123562</v>
      </c>
      <c r="BR23" s="53"/>
    </row>
    <row r="24" spans="1:70">
      <c r="A24" s="16"/>
      <c r="B24" s="27"/>
      <c r="C24" s="27"/>
      <c r="D24" s="28" t="s">
        <v>87</v>
      </c>
      <c r="E24" s="28"/>
      <c r="F24" s="28"/>
      <c r="G24" s="29"/>
      <c r="H24" s="30">
        <f>SUM(H23:H23)</f>
        <v>500.5</v>
      </c>
      <c r="I24" s="25"/>
      <c r="J24" s="25"/>
      <c r="K24" s="25"/>
      <c r="L24" s="25"/>
      <c r="M24" s="25"/>
      <c r="N24" s="25"/>
      <c r="O24" s="25"/>
      <c r="P24" s="25"/>
      <c r="Q24" s="25"/>
      <c r="R24" s="30">
        <f>SUM(R23:R23)</f>
        <v>0</v>
      </c>
      <c r="S24" s="39">
        <f>SUM(S23:S23)</f>
        <v>500.5</v>
      </c>
      <c r="T24" s="30"/>
      <c r="U24" s="30"/>
      <c r="V24" s="40">
        <f t="shared" ref="V24:AE24" si="5">SUM(V23:V23)</f>
        <v>0</v>
      </c>
      <c r="W24" s="40">
        <f t="shared" si="5"/>
        <v>0</v>
      </c>
      <c r="X24" s="40">
        <f t="shared" si="5"/>
        <v>90.09</v>
      </c>
      <c r="Y24" s="40"/>
      <c r="Z24" s="40"/>
      <c r="AA24" s="40"/>
      <c r="AB24" s="30">
        <f t="shared" si="5"/>
        <v>90.09</v>
      </c>
      <c r="AC24" s="44">
        <f t="shared" si="5"/>
        <v>500.5</v>
      </c>
      <c r="AD24" s="45">
        <f t="shared" si="5"/>
        <v>120</v>
      </c>
      <c r="AE24" s="45">
        <f t="shared" si="5"/>
        <v>0</v>
      </c>
      <c r="AF24" s="44"/>
      <c r="AG24" s="45">
        <f>SUM(AG23:AG23)</f>
        <v>0</v>
      </c>
      <c r="AH24" s="45">
        <f>SUM(AH23:AH23)</f>
        <v>0</v>
      </c>
      <c r="AI24" s="45">
        <f>SUM(AI23:AI23)</f>
        <v>500.5</v>
      </c>
      <c r="AJ24" s="45">
        <f>SUM(AJ23:AJ23)</f>
        <v>0</v>
      </c>
      <c r="AK24" s="45">
        <f>SUM(AK23:AK23)</f>
        <v>0</v>
      </c>
      <c r="AL24" s="44"/>
      <c r="AM24" s="44"/>
      <c r="AN24" s="44"/>
      <c r="AO24" s="44"/>
      <c r="AP24" s="44"/>
      <c r="AQ24" s="44"/>
      <c r="AR24" s="44"/>
      <c r="AS24" s="16"/>
    </row>
    <row r="25" spans="1:70">
      <c r="A25" s="16"/>
      <c r="B25" s="27"/>
      <c r="C25" s="2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BR26"/>
  <sheetViews>
    <sheetView topLeftCell="BD13" workbookViewId="0">
      <selection activeCell="BL24" sqref="BL24"/>
    </sheetView>
  </sheetViews>
  <sheetFormatPr defaultColWidth="9" defaultRowHeight="15"/>
  <cols>
    <col min="2" max="2" bestFit="true" customWidth="true" width="30.2851562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60" max="60" customWidth="true" width="12.5703125"/>
    <col min="61" max="61" customWidth="true" width="21.7109375"/>
    <col min="62" max="63" customWidth="true" width="30.5703125"/>
    <col min="64" max="64" bestFit="true" customWidth="true" width="8.1406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49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6"/>
      <c r="AS1" s="16"/>
    </row>
    <row r="2" spans="1:45" ht="18.75" thickBot="1">
      <c r="A2" s="148" t="s">
        <v>47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6"/>
      <c r="AS2" s="16"/>
    </row>
    <row r="3" spans="1:45" ht="15.75" thickTop="1">
      <c r="A3" s="2" t="s">
        <v>48</v>
      </c>
      <c r="B3" s="3" t="s">
        <v>49</v>
      </c>
      <c r="C3" s="4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5" t="s">
        <v>55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6"/>
    </row>
    <row r="4" spans="1:45">
      <c r="A4" s="6">
        <v>1</v>
      </c>
      <c r="B4" s="7" t="s">
        <v>56</v>
      </c>
      <c r="C4" s="7" t="s">
        <v>57</v>
      </c>
      <c r="D4" s="7" t="s">
        <v>58</v>
      </c>
      <c r="E4" s="7" t="s">
        <v>58</v>
      </c>
      <c r="F4" s="8">
        <v>25</v>
      </c>
      <c r="G4" s="9">
        <v>257.63</v>
      </c>
      <c r="H4" s="10">
        <f>F4*G4</f>
        <v>6440.75</v>
      </c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1"/>
      <c r="V4" s="31"/>
      <c r="W4" s="31"/>
      <c r="X4" s="31"/>
      <c r="Y4" s="31"/>
      <c r="Z4" s="31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16"/>
    </row>
    <row r="5" spans="1:45">
      <c r="A5" s="6">
        <v>2</v>
      </c>
      <c r="B5" s="7" t="s">
        <v>59</v>
      </c>
      <c r="C5" s="7" t="s">
        <v>60</v>
      </c>
      <c r="D5" s="7" t="s">
        <v>58</v>
      </c>
      <c r="E5" s="7" t="s">
        <v>58</v>
      </c>
      <c r="F5" s="8">
        <v>35</v>
      </c>
      <c r="G5" s="9">
        <v>125.45</v>
      </c>
      <c r="H5" s="10">
        <f>F5*G5</f>
        <v>4390.75</v>
      </c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1"/>
      <c r="V5" s="31"/>
      <c r="W5" s="31"/>
      <c r="X5" s="31"/>
      <c r="Y5" s="31"/>
      <c r="Z5" s="31"/>
      <c r="AA5" s="31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16"/>
    </row>
    <row r="6" spans="1:45">
      <c r="A6" s="6">
        <v>3</v>
      </c>
      <c r="B6" s="7" t="s">
        <v>61</v>
      </c>
      <c r="C6" s="7" t="s">
        <v>62</v>
      </c>
      <c r="D6" s="7" t="s">
        <v>58</v>
      </c>
      <c r="E6" s="7" t="s">
        <v>58</v>
      </c>
      <c r="F6" s="8">
        <v>45</v>
      </c>
      <c r="G6" s="9">
        <v>125.36</v>
      </c>
      <c r="H6" s="10">
        <f>F6*G6</f>
        <v>5641.2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16"/>
    </row>
    <row r="7" spans="1:45">
      <c r="A7" s="6">
        <v>4</v>
      </c>
      <c r="B7" s="7" t="s">
        <v>63</v>
      </c>
      <c r="C7" s="7" t="s">
        <v>64</v>
      </c>
      <c r="D7" s="7" t="s">
        <v>58</v>
      </c>
      <c r="E7" s="7" t="s">
        <v>58</v>
      </c>
      <c r="F7" s="8">
        <v>55</v>
      </c>
      <c r="G7" s="9">
        <v>45.25</v>
      </c>
      <c r="H7" s="10">
        <f t="shared" ref="H7:H18" si="0">F7*G7</f>
        <v>2488.75</v>
      </c>
      <c r="I7" s="31"/>
      <c r="J7" s="31"/>
      <c r="K7" s="31"/>
      <c r="L7" s="32"/>
      <c r="M7" s="32"/>
      <c r="N7" s="32"/>
      <c r="O7" s="32"/>
      <c r="P7" s="32"/>
      <c r="Q7" s="32"/>
      <c r="R7" s="32"/>
      <c r="S7" s="32"/>
      <c r="T7" s="32"/>
      <c r="U7" s="31"/>
      <c r="V7" s="31"/>
      <c r="W7" s="31"/>
      <c r="X7" s="31"/>
      <c r="Y7" s="31"/>
      <c r="Z7" s="31"/>
      <c r="AA7" s="31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16"/>
    </row>
    <row r="8" spans="1:45">
      <c r="A8" s="6">
        <v>5</v>
      </c>
      <c r="B8" s="7" t="s">
        <v>65</v>
      </c>
      <c r="C8" s="7" t="s">
        <v>66</v>
      </c>
      <c r="D8" s="7" t="s">
        <v>58</v>
      </c>
      <c r="E8" s="7" t="s">
        <v>58</v>
      </c>
      <c r="F8" s="8">
        <v>60</v>
      </c>
      <c r="G8" s="9">
        <v>45.5</v>
      </c>
      <c r="H8" s="10">
        <f t="shared" si="0"/>
        <v>2730</v>
      </c>
      <c r="I8" s="31"/>
      <c r="J8" s="31"/>
      <c r="K8" s="31"/>
      <c r="L8" s="32"/>
      <c r="M8" s="32"/>
      <c r="N8" s="32"/>
      <c r="O8" s="32"/>
      <c r="P8" s="32"/>
      <c r="Q8" s="32"/>
      <c r="R8" s="32"/>
      <c r="S8" s="32"/>
      <c r="T8" s="32"/>
      <c r="U8" s="31"/>
      <c r="V8" s="31"/>
      <c r="W8" s="31"/>
      <c r="X8" s="31"/>
      <c r="Y8" s="31"/>
      <c r="Z8" s="31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16"/>
    </row>
    <row r="9" spans="1:45">
      <c r="A9" s="6">
        <v>6</v>
      </c>
      <c r="B9" s="7" t="s">
        <v>67</v>
      </c>
      <c r="C9" s="7" t="s">
        <v>68</v>
      </c>
      <c r="D9" s="7" t="s">
        <v>58</v>
      </c>
      <c r="E9" s="7" t="s">
        <v>58</v>
      </c>
      <c r="F9" s="8">
        <v>75</v>
      </c>
      <c r="G9" s="9">
        <v>125.25</v>
      </c>
      <c r="H9" s="10">
        <f t="shared" si="0"/>
        <v>9393.75</v>
      </c>
      <c r="I9" s="31"/>
      <c r="J9" s="31"/>
      <c r="K9" s="31"/>
      <c r="L9" s="32"/>
      <c r="M9" s="32"/>
      <c r="N9" s="32"/>
      <c r="O9" s="32"/>
      <c r="P9" s="32"/>
      <c r="Q9" s="32"/>
      <c r="R9" s="32"/>
      <c r="S9" s="32"/>
      <c r="T9" s="32"/>
      <c r="U9" s="31"/>
      <c r="V9" s="31"/>
      <c r="W9" s="31"/>
      <c r="X9" s="31"/>
      <c r="Y9" s="31"/>
      <c r="Z9" s="31"/>
      <c r="AA9" s="31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16"/>
    </row>
    <row r="10" spans="1:45">
      <c r="A10" s="6">
        <v>7</v>
      </c>
      <c r="B10" s="7" t="s">
        <v>69</v>
      </c>
      <c r="C10" s="7" t="s">
        <v>70</v>
      </c>
      <c r="D10" s="7" t="s">
        <v>58</v>
      </c>
      <c r="E10" s="7" t="s">
        <v>58</v>
      </c>
      <c r="F10" s="8">
        <v>28</v>
      </c>
      <c r="G10" s="9">
        <v>150.5</v>
      </c>
      <c r="H10" s="10">
        <f t="shared" si="0"/>
        <v>4214</v>
      </c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16"/>
    </row>
    <row r="11" spans="1:45">
      <c r="A11" s="6">
        <v>8</v>
      </c>
      <c r="B11" s="7" t="s">
        <v>71</v>
      </c>
      <c r="C11" s="7" t="s">
        <v>72</v>
      </c>
      <c r="D11" s="7" t="s">
        <v>58</v>
      </c>
      <c r="E11" s="7" t="s">
        <v>58</v>
      </c>
      <c r="F11" s="8">
        <v>30</v>
      </c>
      <c r="G11" s="9">
        <v>65.319999999999993</v>
      </c>
      <c r="H11" s="10">
        <f t="shared" si="0"/>
        <v>1959.6</v>
      </c>
      <c r="I11" s="31"/>
      <c r="J11" s="31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6"/>
    </row>
    <row r="12" spans="1:45">
      <c r="A12" s="6">
        <v>9</v>
      </c>
      <c r="B12" s="7" t="s">
        <v>73</v>
      </c>
      <c r="C12" s="7" t="s">
        <v>74</v>
      </c>
      <c r="D12" s="7" t="s">
        <v>58</v>
      </c>
      <c r="E12" s="7" t="s">
        <v>58</v>
      </c>
      <c r="F12" s="8">
        <v>25</v>
      </c>
      <c r="G12" s="9">
        <v>74.89</v>
      </c>
      <c r="H12" s="10">
        <f t="shared" si="0"/>
        <v>1872.25</v>
      </c>
      <c r="I12" s="31"/>
      <c r="J12" s="31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16"/>
    </row>
    <row r="13" spans="1:45">
      <c r="A13" s="6">
        <v>10</v>
      </c>
      <c r="B13" s="7" t="s">
        <v>75</v>
      </c>
      <c r="C13" s="7" t="s">
        <v>76</v>
      </c>
      <c r="D13" s="7" t="s">
        <v>58</v>
      </c>
      <c r="E13" s="7" t="s">
        <v>58</v>
      </c>
      <c r="F13" s="8">
        <v>28</v>
      </c>
      <c r="G13" s="9">
        <v>89.56</v>
      </c>
      <c r="H13" s="10">
        <f t="shared" si="0"/>
        <v>2507.6800000000003</v>
      </c>
      <c r="I13" s="31"/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16"/>
    </row>
    <row r="14" spans="1:45">
      <c r="A14" s="6">
        <v>11</v>
      </c>
      <c r="B14" s="7" t="s">
        <v>77</v>
      </c>
      <c r="C14" s="7" t="s">
        <v>78</v>
      </c>
      <c r="D14" s="7" t="s">
        <v>58</v>
      </c>
      <c r="E14" s="7" t="s">
        <v>58</v>
      </c>
      <c r="F14" s="8">
        <v>37</v>
      </c>
      <c r="G14" s="9">
        <v>89.54</v>
      </c>
      <c r="H14" s="10">
        <f t="shared" si="0"/>
        <v>3312.98</v>
      </c>
      <c r="I14" s="31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1"/>
      <c r="V14" s="31"/>
      <c r="W14" s="31"/>
      <c r="X14" s="31"/>
      <c r="Y14" s="31"/>
      <c r="Z14" s="31"/>
      <c r="AA14" s="31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16"/>
    </row>
    <row r="15" spans="1:45">
      <c r="A15" s="6">
        <v>12</v>
      </c>
      <c r="B15" s="7" t="s">
        <v>79</v>
      </c>
      <c r="C15" s="7" t="s">
        <v>80</v>
      </c>
      <c r="D15" s="7" t="s">
        <v>58</v>
      </c>
      <c r="E15" s="7" t="s">
        <v>58</v>
      </c>
      <c r="F15" s="8">
        <v>39</v>
      </c>
      <c r="G15" s="9">
        <v>98.25</v>
      </c>
      <c r="H15" s="10">
        <f t="shared" si="0"/>
        <v>3831.75</v>
      </c>
      <c r="I15" s="31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1"/>
      <c r="V15" s="31"/>
      <c r="W15" s="31"/>
      <c r="X15" s="31"/>
      <c r="Y15" s="31"/>
      <c r="Z15" s="31"/>
      <c r="AA15" s="31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16"/>
    </row>
    <row r="16" spans="1:45">
      <c r="A16" s="6">
        <v>13</v>
      </c>
      <c r="B16" s="7" t="s">
        <v>81</v>
      </c>
      <c r="C16" s="7" t="s">
        <v>82</v>
      </c>
      <c r="D16" s="7" t="s">
        <v>58</v>
      </c>
      <c r="E16" s="7" t="s">
        <v>58</v>
      </c>
      <c r="F16" s="8">
        <v>70</v>
      </c>
      <c r="G16" s="9">
        <v>102.25</v>
      </c>
      <c r="H16" s="10">
        <f t="shared" si="0"/>
        <v>7157.5</v>
      </c>
      <c r="I16" s="31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1"/>
      <c r="V16" s="31"/>
      <c r="W16" s="31"/>
      <c r="X16" s="31"/>
      <c r="Y16" s="31"/>
      <c r="Z16" s="31"/>
      <c r="AA16" s="31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16"/>
    </row>
    <row r="17" spans="1:70">
      <c r="A17" s="6">
        <v>14</v>
      </c>
      <c r="B17" s="7" t="s">
        <v>83</v>
      </c>
      <c r="C17" s="7" t="s">
        <v>84</v>
      </c>
      <c r="D17" s="7" t="s">
        <v>58</v>
      </c>
      <c r="E17" s="7" t="s">
        <v>58</v>
      </c>
      <c r="F17" s="8">
        <v>100</v>
      </c>
      <c r="G17" s="9">
        <v>103.5</v>
      </c>
      <c r="H17" s="10">
        <f t="shared" si="0"/>
        <v>10350</v>
      </c>
      <c r="I17" s="31"/>
      <c r="J17" s="31"/>
      <c r="K17" s="31"/>
      <c r="L17" s="32"/>
      <c r="M17" s="32"/>
      <c r="N17" s="32"/>
      <c r="O17" s="32"/>
      <c r="P17" s="32"/>
      <c r="Q17" s="32"/>
      <c r="R17" s="32"/>
      <c r="S17" s="37"/>
      <c r="T17" s="32"/>
      <c r="U17" s="31"/>
      <c r="V17" s="31"/>
      <c r="W17" s="31"/>
      <c r="X17" s="31"/>
      <c r="Y17" s="31"/>
      <c r="Z17" s="31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16"/>
    </row>
    <row r="18" spans="1:70" ht="15.75" thickBot="1">
      <c r="A18" s="11">
        <v>15</v>
      </c>
      <c r="B18" s="12" t="s">
        <v>85</v>
      </c>
      <c r="C18" s="12" t="s">
        <v>86</v>
      </c>
      <c r="D18" s="12" t="s">
        <v>58</v>
      </c>
      <c r="E18" s="12" t="s">
        <v>58</v>
      </c>
      <c r="F18" s="13">
        <v>85</v>
      </c>
      <c r="G18" s="14">
        <v>65.48</v>
      </c>
      <c r="H18" s="15">
        <f t="shared" si="0"/>
        <v>5565.8</v>
      </c>
      <c r="I18" s="31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1"/>
      <c r="V18" s="31"/>
      <c r="W18" s="31"/>
      <c r="X18" s="31"/>
      <c r="Y18" s="31"/>
      <c r="Z18" s="31"/>
      <c r="AA18" s="31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16"/>
    </row>
    <row r="19" spans="1:70" ht="15.75" thickTop="1">
      <c r="A19" s="16"/>
      <c r="B19" s="150" t="s">
        <v>87</v>
      </c>
      <c r="C19" s="150"/>
      <c r="D19" s="150"/>
      <c r="E19" s="150"/>
      <c r="F19" s="150"/>
      <c r="G19" s="150"/>
      <c r="H19" s="17">
        <f>SUM(H4:H18)</f>
        <v>71856.759999999995</v>
      </c>
      <c r="I19" s="33"/>
      <c r="J19" s="33"/>
      <c r="K19" s="33"/>
      <c r="L19" s="33"/>
      <c r="M19" s="33"/>
      <c r="N19" s="33"/>
      <c r="O19" s="33"/>
      <c r="P19" s="33"/>
      <c r="Q19" s="33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6"/>
    </row>
    <row r="20" spans="1:70">
      <c r="A20" s="18" t="s">
        <v>88</v>
      </c>
      <c r="B20" s="19"/>
      <c r="C20" s="19"/>
      <c r="D20" s="19"/>
      <c r="E20" s="19"/>
      <c r="F20" s="19"/>
      <c r="G20" s="19"/>
      <c r="H20" s="18"/>
      <c r="I20" s="34"/>
      <c r="J20" s="34"/>
      <c r="K20" s="34"/>
      <c r="L20" s="34"/>
      <c r="M20" s="34"/>
      <c r="N20" s="34"/>
      <c r="O20" s="34"/>
      <c r="P20" s="34"/>
      <c r="Q20" s="34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6"/>
    </row>
    <row r="21" spans="1:70" ht="15.75" thickBot="1">
      <c r="A21" s="151" t="s">
        <v>89</v>
      </c>
      <c r="B21" s="151"/>
      <c r="C21" s="20">
        <v>1</v>
      </c>
      <c r="D21" s="21" t="s">
        <v>408</v>
      </c>
      <c r="E21" s="19"/>
      <c r="F21" s="19"/>
      <c r="G21" s="19"/>
      <c r="H21" s="18"/>
      <c r="I21" s="34" t="s">
        <v>91</v>
      </c>
      <c r="J21" s="34" t="s">
        <v>92</v>
      </c>
      <c r="K21" s="34"/>
      <c r="L21" s="34" t="s">
        <v>93</v>
      </c>
      <c r="M21" s="34">
        <v>1</v>
      </c>
      <c r="N21" s="34"/>
      <c r="O21" s="34" t="s">
        <v>94</v>
      </c>
      <c r="P21" s="34">
        <v>1</v>
      </c>
      <c r="Q21" s="34" t="s">
        <v>95</v>
      </c>
      <c r="R21" s="18"/>
      <c r="S21" s="18"/>
      <c r="T21" s="18"/>
      <c r="U21" s="18"/>
      <c r="V21" s="18">
        <v>1</v>
      </c>
      <c r="W21" s="18" t="s">
        <v>409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6"/>
    </row>
    <row r="22" spans="1:70" ht="58.5" thickTop="1" thickBot="1">
      <c r="A22" s="22" t="s">
        <v>48</v>
      </c>
      <c r="B22" s="22" t="s">
        <v>49</v>
      </c>
      <c r="C22" s="23" t="s">
        <v>50</v>
      </c>
      <c r="D22" s="22" t="s">
        <v>51</v>
      </c>
      <c r="E22" s="22" t="s">
        <v>52</v>
      </c>
      <c r="F22" s="24" t="s">
        <v>96</v>
      </c>
      <c r="G22" s="22" t="s">
        <v>54</v>
      </c>
      <c r="H22" s="22" t="s">
        <v>55</v>
      </c>
      <c r="I22" s="35" t="s">
        <v>97</v>
      </c>
      <c r="J22" s="35" t="s">
        <v>98</v>
      </c>
      <c r="K22" s="35" t="s">
        <v>99</v>
      </c>
      <c r="L22" s="36" t="s">
        <v>100</v>
      </c>
      <c r="M22" s="36" t="s">
        <v>101</v>
      </c>
      <c r="N22" s="36" t="s">
        <v>102</v>
      </c>
      <c r="O22" s="36" t="s">
        <v>103</v>
      </c>
      <c r="P22" s="36" t="s">
        <v>104</v>
      </c>
      <c r="Q22" s="36" t="s">
        <v>105</v>
      </c>
      <c r="R22" s="35" t="s">
        <v>106</v>
      </c>
      <c r="S22" s="22" t="s">
        <v>107</v>
      </c>
      <c r="T22" s="22" t="s">
        <v>108</v>
      </c>
      <c r="U22" s="38" t="s">
        <v>109</v>
      </c>
      <c r="V22" s="38" t="s">
        <v>110</v>
      </c>
      <c r="W22" s="38" t="s">
        <v>111</v>
      </c>
      <c r="X22" s="38" t="s">
        <v>112</v>
      </c>
      <c r="Y22" s="38" t="s">
        <v>399</v>
      </c>
      <c r="Z22" s="38" t="s">
        <v>400</v>
      </c>
      <c r="AA22" s="38" t="s">
        <v>401</v>
      </c>
      <c r="AB22" s="38" t="s">
        <v>113</v>
      </c>
      <c r="AC22" s="41" t="s">
        <v>114</v>
      </c>
      <c r="AD22" s="41" t="s">
        <v>115</v>
      </c>
      <c r="AE22" s="42" t="s">
        <v>116</v>
      </c>
      <c r="AF22" s="42" t="s">
        <v>117</v>
      </c>
      <c r="AG22" s="42" t="s">
        <v>118</v>
      </c>
      <c r="AH22" s="41" t="s">
        <v>119</v>
      </c>
      <c r="AI22" s="41" t="s">
        <v>120</v>
      </c>
      <c r="AJ22" s="42" t="s">
        <v>121</v>
      </c>
      <c r="AK22" s="42" t="s">
        <v>122</v>
      </c>
      <c r="AL22" s="41" t="s">
        <v>123</v>
      </c>
      <c r="AM22" s="41" t="s">
        <v>124</v>
      </c>
      <c r="AN22" s="42" t="s">
        <v>125</v>
      </c>
      <c r="AO22" s="42" t="s">
        <v>126</v>
      </c>
      <c r="AP22" s="42" t="s">
        <v>127</v>
      </c>
      <c r="AQ22" s="41" t="s">
        <v>128</v>
      </c>
      <c r="AR22" s="46" t="s">
        <v>129</v>
      </c>
      <c r="AS22" s="3" t="s">
        <v>211</v>
      </c>
      <c r="AT22" s="3" t="s">
        <v>128</v>
      </c>
      <c r="AU22" s="47" t="s">
        <v>131</v>
      </c>
      <c r="AV22" s="47" t="s">
        <v>132</v>
      </c>
      <c r="AW22" s="47" t="s">
        <v>133</v>
      </c>
      <c r="AX22" s="47" t="s">
        <v>134</v>
      </c>
      <c r="AY22" s="47" t="s">
        <v>135</v>
      </c>
      <c r="AZ22" s="47" t="s">
        <v>136</v>
      </c>
      <c r="BA22" s="47" t="s">
        <v>137</v>
      </c>
      <c r="BB22" s="47" t="s">
        <v>138</v>
      </c>
      <c r="BC22" s="49" t="s">
        <v>139</v>
      </c>
      <c r="BD22" s="49" t="s">
        <v>8</v>
      </c>
      <c r="BE22" s="49" t="s">
        <v>9</v>
      </c>
      <c r="BF22" s="47" t="s">
        <v>212</v>
      </c>
      <c r="BG22" s="47" t="s">
        <v>140</v>
      </c>
      <c r="BH22" s="47" t="s">
        <v>141</v>
      </c>
      <c r="BI22" s="47" t="s">
        <v>142</v>
      </c>
      <c r="BJ22" s="47" t="s">
        <v>143</v>
      </c>
      <c r="BK22" s="47" t="s">
        <v>144</v>
      </c>
      <c r="BL22" s="47" t="s">
        <v>213</v>
      </c>
      <c r="BM22" s="52" t="s">
        <v>214</v>
      </c>
      <c r="BN22" s="47" t="s">
        <v>215</v>
      </c>
      <c r="BO22" s="47" t="s">
        <v>136</v>
      </c>
      <c r="BP22" s="47" t="s">
        <v>216</v>
      </c>
      <c r="BQ22" s="47" t="s">
        <v>108</v>
      </c>
    </row>
    <row r="23" spans="1:70" ht="15.75" thickBot="1">
      <c r="A23" s="25">
        <v>1</v>
      </c>
      <c r="B23" s="25" t="s">
        <v>353</v>
      </c>
      <c r="C23" s="25" t="s">
        <v>57</v>
      </c>
      <c r="D23" s="25" t="s">
        <v>58</v>
      </c>
      <c r="E23" s="25" t="s">
        <v>58</v>
      </c>
      <c r="F23" s="26">
        <v>2</v>
      </c>
      <c r="G23" t="s" s="0">
        <v>558</v>
      </c>
      <c r="H23" s="26">
        <f>F23*G23</f>
        <v>600</v>
      </c>
      <c r="I23" t="s" s="0">
        <v>551</v>
      </c>
      <c r="J23" s="26">
        <v>1.79</v>
      </c>
      <c r="K23" s="26">
        <v>2.5</v>
      </c>
      <c r="L23" s="26">
        <f>H23</f>
        <v>600</v>
      </c>
      <c r="M23" s="26">
        <f>ROUND(L23*I23%,2)</f>
        <v>30</v>
      </c>
      <c r="N23" s="26">
        <f>H23-M23</f>
        <v>570</v>
      </c>
      <c r="O23" s="26">
        <f>ROUND(N23*J23%,2)</f>
        <v>10.199999999999999</v>
      </c>
      <c r="P23" s="26">
        <f>ROUND(N23-O23,2)</f>
        <v>559.79999999999995</v>
      </c>
      <c r="Q23" s="26">
        <f>ROUND(P23*K23%,2)</f>
        <v>14</v>
      </c>
      <c r="R23" s="26">
        <f>M23+O23+Q23</f>
        <v>54.2</v>
      </c>
      <c r="S23" s="26">
        <f>(H23-R23)</f>
        <v>545.79999999999995</v>
      </c>
      <c r="T23" s="26" t="s">
        <v>146</v>
      </c>
      <c r="U23" s="26">
        <v>0.18</v>
      </c>
      <c r="V23" s="26">
        <f>IF(OR($C$21=1,$C$21=4),ROUND(((S23*U23)/2),2),0)</f>
        <v>49.12</v>
      </c>
      <c r="W23" s="26">
        <f>IF($C$21=1,ROUND(((S23*U23)/2),2),0)</f>
        <v>49.12</v>
      </c>
      <c r="X23" s="26">
        <f>IF($C$21=2,ROUND(((S23*U23)),2),0)</f>
        <v>0</v>
      </c>
      <c r="Y23" s="26">
        <f>IF($C$21=4,ROUND(((S23*U23)/2),2),0)</f>
        <v>0</v>
      </c>
      <c r="Z23" s="43">
        <v>0</v>
      </c>
      <c r="AA23" s="26">
        <f>IF($C21=3, 0, ROUND(S23*Z23, 2))</f>
        <v>0</v>
      </c>
      <c r="AB23" s="26">
        <f>V23+W23+X23+Y23+AA23</f>
        <v>98.24</v>
      </c>
      <c r="AC23" s="26">
        <f>IF($V21=1,S23+AB23,S23)</f>
        <v>644.04</v>
      </c>
      <c r="AD23" s="26">
        <v>120</v>
      </c>
      <c r="AE23" s="26">
        <f>IF($P$21=1,(S23/$S$25)*$E$36,AD23/$AD$25*$E$36)</f>
        <v>0</v>
      </c>
      <c r="AF23" s="26"/>
      <c r="AG23" s="26">
        <f>IF($P$21=1,(S23/$S$25)*$E$38,AD23/$AD$25*$E$38)</f>
        <v>0</v>
      </c>
      <c r="AH23" s="26">
        <f>IF($P$21=1,(S23/$S$25)*$E$38,AD23/$AD$25*$E$38)</f>
        <v>0</v>
      </c>
      <c r="AI23" s="26">
        <f t="shared" ref="AI23:AI24" si="1">S23*$M$21</f>
        <v>545.79999999999995</v>
      </c>
      <c r="AJ23" s="26">
        <f t="shared" ref="AJ23:AJ24" si="2">IF($C$21=3,0,AG23+AH23)</f>
        <v>0</v>
      </c>
      <c r="AK23" s="26">
        <f t="shared" ref="AK23:AK24" si="3">IF($C$21=3,AE23+AG23+AH23,0)</f>
        <v>0</v>
      </c>
      <c r="AL23" s="26">
        <v>1</v>
      </c>
      <c r="AM23" s="26">
        <f t="shared" ref="AM23:AM24" si="4">F23/AL23</f>
        <v>2</v>
      </c>
      <c r="AN23" s="26">
        <f>AI23/AM23</f>
        <v>272.89999999999998</v>
      </c>
      <c r="AO23" s="26">
        <f>AJ23/AM23</f>
        <v>0</v>
      </c>
      <c r="AP23" s="26">
        <f>AK23/AM23</f>
        <v>0</v>
      </c>
      <c r="AQ23" s="26" t="s">
        <v>58</v>
      </c>
      <c r="AR23" s="26">
        <f>AN23+AO23+AP23</f>
        <v>272.89999999999998</v>
      </c>
      <c r="AS23" s="48" t="s">
        <v>217</v>
      </c>
      <c r="AT23" s="48" t="s">
        <v>58</v>
      </c>
      <c r="AU23" t="s" s="0">
        <v>224</v>
      </c>
      <c r="AV23" t="s" s="0">
        <v>559</v>
      </c>
      <c r="AW23" s="48">
        <f>AM23</f>
        <v>2</v>
      </c>
      <c r="AX23" s="48">
        <f>AR23</f>
        <v>272.89999999999998</v>
      </c>
      <c r="AY23" s="48">
        <f>AU23+AW23</f>
        <v>2</v>
      </c>
      <c r="AZ23" s="48">
        <f>ROUND(((AU23*AV23)+(AW23*AX23))/(AU23+AW23),5)</f>
        <v>272.89999999999998</v>
      </c>
      <c r="BA23" s="50"/>
      <c r="BB23" s="50" t="s">
        <v>149</v>
      </c>
      <c r="BC23" s="80" t="s">
        <v>38</v>
      </c>
      <c r="BD23" s="51" t="s">
        <v>30</v>
      </c>
      <c r="BE23" s="51" t="s">
        <v>39</v>
      </c>
      <c r="BF23" s="50"/>
      <c r="BG23" s="50"/>
      <c r="BH23" s="50"/>
      <c r="BI23" s="48"/>
      <c r="BJ23" s="48"/>
      <c r="BK23" s="48"/>
      <c r="BL23" s="48" t="s">
        <v>271</v>
      </c>
      <c r="BM23" t="s" s="0">
        <v>219</v>
      </c>
      <c r="BN23" t="s" s="0">
        <v>219</v>
      </c>
      <c r="BO23" s="48">
        <f>ROUND((((AW23*AZ23)+(BN23*BM23))/(AW23+BN23)),5)</f>
        <v>235.24571</v>
      </c>
      <c r="BP23" s="53">
        <f>BN23+AW23</f>
        <v>14</v>
      </c>
      <c r="BQ23" s="54">
        <v>123562</v>
      </c>
      <c r="BR23" s="53"/>
    </row>
    <row r="24" spans="1:70" ht="15.75" thickBot="1">
      <c r="A24" s="25">
        <v>2</v>
      </c>
      <c r="B24" s="25" t="s">
        <v>356</v>
      </c>
      <c r="C24" s="25" t="s">
        <v>57</v>
      </c>
      <c r="D24" s="25" t="s">
        <v>58</v>
      </c>
      <c r="E24" s="25" t="s">
        <v>58</v>
      </c>
      <c r="F24" s="26">
        <v>2</v>
      </c>
      <c r="G24" t="s" s="0">
        <v>466</v>
      </c>
      <c r="H24" s="26">
        <f>F24*G24</f>
        <v>688</v>
      </c>
      <c r="I24" t="s" s="0">
        <v>307</v>
      </c>
      <c r="J24" s="26">
        <v>1.79</v>
      </c>
      <c r="K24" s="26">
        <v>2.5</v>
      </c>
      <c r="L24" s="26">
        <f>H24</f>
        <v>688</v>
      </c>
      <c r="M24" s="26">
        <f>ROUND(L24*I24%,2)</f>
        <v>20.64</v>
      </c>
      <c r="N24" s="26">
        <f>H24-M24</f>
        <v>667.36</v>
      </c>
      <c r="O24" s="26">
        <f>ROUND(N24*J24%,2)</f>
        <v>11.95</v>
      </c>
      <c r="P24" s="26">
        <f>ROUND(N24-O24,2)</f>
        <v>655.41</v>
      </c>
      <c r="Q24" s="26">
        <f>ROUND(P24*K24%,2)</f>
        <v>16.39</v>
      </c>
      <c r="R24" s="26">
        <f>M24+O24+Q24</f>
        <v>48.980000000000004</v>
      </c>
      <c r="S24" s="26">
        <f>(H24-R24)</f>
        <v>639.02</v>
      </c>
      <c r="T24" s="26" t="s">
        <v>146</v>
      </c>
      <c r="U24" s="26">
        <v>0.18</v>
      </c>
      <c r="V24" s="26">
        <f>IF(OR($C$21=1,$C$21=4),ROUND(((S24*U24)/2),2),0)</f>
        <v>57.51</v>
      </c>
      <c r="W24" s="26">
        <f>IF($C$21=1,ROUND(((S24*U24)/2),2),0)</f>
        <v>57.51</v>
      </c>
      <c r="X24" s="26">
        <f>IF($C$21=2,ROUND(((S24*U24)),2),0)</f>
        <v>0</v>
      </c>
      <c r="Y24" s="26">
        <f>IF($C$21=4,ROUND(((S24*U24)/2),2),0)</f>
        <v>0</v>
      </c>
      <c r="Z24" s="43">
        <v>0</v>
      </c>
      <c r="AA24" s="26">
        <f>IF($C22=3, 0, ROUND(S24*Z24, 2))</f>
        <v>0</v>
      </c>
      <c r="AB24" s="26">
        <f>V24+W24+X24+Y24+AA24</f>
        <v>115.02</v>
      </c>
      <c r="AC24" s="26">
        <f>IF($V22=1,S24+AB24,S24)</f>
        <v>639.02</v>
      </c>
      <c r="AD24" s="26">
        <v>120</v>
      </c>
      <c r="AE24" s="26">
        <f>IF($P$21=1,(S24/$S$25)*$E$36,AD24/$AD$25*$E$36)</f>
        <v>0</v>
      </c>
      <c r="AF24" s="26"/>
      <c r="AG24" s="26">
        <f>IF($P$21=1,(S24/$S$25)*$E$38,AD24/$AD$25*$E$38)</f>
        <v>0</v>
      </c>
      <c r="AH24" s="26">
        <f>IF($P$21=1,(S24/$S$25)*$E$38,AD24/$AD$25*$E$38)</f>
        <v>0</v>
      </c>
      <c r="AI24" s="26">
        <f t="shared" si="1"/>
        <v>639.02</v>
      </c>
      <c r="AJ24" s="26">
        <f t="shared" si="2"/>
        <v>0</v>
      </c>
      <c r="AK24" s="26">
        <f t="shared" si="3"/>
        <v>0</v>
      </c>
      <c r="AL24" s="26">
        <v>1</v>
      </c>
      <c r="AM24" s="26">
        <f t="shared" si="4"/>
        <v>2</v>
      </c>
      <c r="AN24" s="26">
        <f>AI24/AM24</f>
        <v>319.51</v>
      </c>
      <c r="AO24" s="26">
        <f>AJ24/AM24</f>
        <v>0</v>
      </c>
      <c r="AP24" s="26">
        <f>AK24/AM24</f>
        <v>0</v>
      </c>
      <c r="AQ24" s="26" t="s">
        <v>58</v>
      </c>
      <c r="AR24" s="26">
        <f>AN24+AO24+AP24</f>
        <v>319.51</v>
      </c>
      <c r="AS24" s="48" t="s">
        <v>217</v>
      </c>
      <c r="AT24" s="48" t="s">
        <v>58</v>
      </c>
      <c r="AU24" t="s" s="0">
        <v>224</v>
      </c>
      <c r="AV24" t="s" s="0">
        <v>560</v>
      </c>
      <c r="AW24" s="48">
        <f>AM24</f>
        <v>2</v>
      </c>
      <c r="AX24" s="48">
        <f>AR24</f>
        <v>319.51</v>
      </c>
      <c r="AY24" s="48">
        <f>AU24+AW24</f>
        <v>2</v>
      </c>
      <c r="AZ24" s="48">
        <f>ROUND(((AU24*AV24)+(AW24*AX24))/(AU24+AW24),5)</f>
        <v>319.51</v>
      </c>
      <c r="BA24" s="50"/>
      <c r="BB24" s="50" t="s">
        <v>149</v>
      </c>
      <c r="BC24" s="80" t="s">
        <v>38</v>
      </c>
      <c r="BD24" s="51" t="s">
        <v>30</v>
      </c>
      <c r="BE24" s="51" t="s">
        <v>39</v>
      </c>
      <c r="BF24" s="50"/>
      <c r="BG24" s="50"/>
      <c r="BH24" s="50"/>
      <c r="BI24" s="48"/>
      <c r="BJ24" s="48"/>
      <c r="BK24" s="48"/>
      <c r="BL24" s="48" t="s">
        <v>271</v>
      </c>
      <c r="BM24" t="s" s="0">
        <v>219</v>
      </c>
      <c r="BN24" t="s" s="0">
        <v>219</v>
      </c>
      <c r="BO24" s="48">
        <f>ROUND((((AW24*AZ24)+(BN24*BM24))/(AW24+BN24)),5)</f>
        <v>319.73624999999998</v>
      </c>
      <c r="BP24" s="53">
        <f>BN24+AW24</f>
        <v>16</v>
      </c>
      <c r="BQ24" s="54">
        <v>123562</v>
      </c>
      <c r="BR24" s="53"/>
    </row>
    <row r="25" spans="1:70" ht="15.75" thickBot="1">
      <c r="A25" s="16"/>
      <c r="B25" s="27"/>
      <c r="C25" s="27"/>
      <c r="D25" s="28" t="s">
        <v>87</v>
      </c>
      <c r="E25" s="28"/>
      <c r="F25" s="28"/>
      <c r="G25" s="29"/>
      <c r="H25" s="30">
        <f>SUM(H23:H24)</f>
        <v>1288</v>
      </c>
      <c r="I25" s="25"/>
      <c r="J25" s="25"/>
      <c r="K25" s="25"/>
      <c r="L25" s="25"/>
      <c r="M25" s="25"/>
      <c r="N25" s="25"/>
      <c r="O25" s="25"/>
      <c r="P25" s="25"/>
      <c r="Q25" s="25"/>
      <c r="R25" s="30">
        <f>SUM(R23:R24)</f>
        <v>103.18</v>
      </c>
      <c r="S25" s="39">
        <f>SUM(S23:S24)</f>
        <v>1184.82</v>
      </c>
      <c r="T25" s="30"/>
      <c r="U25" s="30"/>
      <c r="V25" s="40">
        <f>SUM(V23:V24)</f>
        <v>106.63</v>
      </c>
      <c r="W25" s="40">
        <f>SUM(W23:W24)</f>
        <v>106.63</v>
      </c>
      <c r="X25" s="40">
        <f>SUM(X23:X24)</f>
        <v>0</v>
      </c>
      <c r="Y25" s="40">
        <f>SUM(Y23:Y24)</f>
        <v>0</v>
      </c>
      <c r="Z25" s="40"/>
      <c r="AA25" s="40">
        <f>SUM(AA23:AA24)</f>
        <v>0</v>
      </c>
      <c r="AB25" s="30">
        <f>SUM(AB23:AB24)</f>
        <v>213.26</v>
      </c>
      <c r="AC25" s="44">
        <f>SUM(AC23:AC24)</f>
        <v>1283.06</v>
      </c>
      <c r="AD25" s="45">
        <f t="shared" ref="AD25:AE25" si="5">SUM(AD23:AD23)</f>
        <v>120</v>
      </c>
      <c r="AE25" s="45">
        <f t="shared" si="5"/>
        <v>0</v>
      </c>
      <c r="AF25" s="44"/>
      <c r="AG25" s="45">
        <f>SUM(AG23:AG23)</f>
        <v>0</v>
      </c>
      <c r="AH25" s="45">
        <f>SUM(AH23:AH23)</f>
        <v>0</v>
      </c>
      <c r="AI25" s="45">
        <f>SUM(AI23:AI24)</f>
        <v>1184.82</v>
      </c>
      <c r="AJ25" s="45">
        <f>SUM(AJ23:AJ23)</f>
        <v>0</v>
      </c>
      <c r="AK25" s="45">
        <f>SUM(AK23:AK23)</f>
        <v>0</v>
      </c>
      <c r="AL25" s="44"/>
      <c r="AM25" s="44"/>
      <c r="AN25" s="44"/>
      <c r="AO25" s="44"/>
      <c r="AP25" s="44"/>
      <c r="AQ25" s="44"/>
      <c r="AR25" s="44"/>
      <c r="AS25" s="16"/>
    </row>
    <row r="26" spans="1:70">
      <c r="A26" s="16"/>
      <c r="B26" s="27"/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66</vt:i4>
      </vt:variant>
    </vt:vector>
  </HeadingPairs>
  <TitlesOfParts>
    <vt:vector size="66" baseType="lpstr">
      <vt:lpstr>test</vt:lpstr>
      <vt:lpstr>DBDetails2</vt:lpstr>
      <vt:lpstr>Sheet3</vt:lpstr>
      <vt:lpstr>Sheet1</vt:lpstr>
      <vt:lpstr>Sheet4</vt:lpstr>
      <vt:lpstr>POSER</vt:lpstr>
      <vt:lpstr>POGENUD</vt:lpstr>
      <vt:lpstr>ToleranceQty</vt:lpstr>
      <vt:lpstr>FreePassDirectGRNUserDefined</vt:lpstr>
      <vt:lpstr>POwithGrnWithoutQualityEnabled</vt:lpstr>
      <vt:lpstr>PriceListGenWOQE</vt:lpstr>
      <vt:lpstr>POWithRateContractGen</vt:lpstr>
      <vt:lpstr>POwithoutQualityRateGen</vt:lpstr>
      <vt:lpstr>PriceListMaterial</vt:lpstr>
      <vt:lpstr>POwithRateContractMat</vt:lpstr>
      <vt:lpstr>POMATUD</vt:lpstr>
      <vt:lpstr>PurchaseWithImportSupplier</vt:lpstr>
      <vt:lpstr>STRateContract</vt:lpstr>
      <vt:lpstr>StockTransferItemGeneralType</vt:lpstr>
      <vt:lpstr>FreePassUdRateSer</vt:lpstr>
      <vt:lpstr>FreePassDirectGRNSerUserDefined</vt:lpstr>
      <vt:lpstr>RateContractSer</vt:lpstr>
      <vt:lpstr>PriceListItemGen</vt:lpstr>
      <vt:lpstr>FreePassUdGen</vt:lpstr>
      <vt:lpstr>FreePassUDRatContract</vt:lpstr>
      <vt:lpstr>StockTransferFreePassUD</vt:lpstr>
      <vt:lpstr>FreePassUdService</vt:lpstr>
      <vt:lpstr>FreePassSerPrice</vt:lpstr>
      <vt:lpstr>PriceListItemSer</vt:lpstr>
      <vt:lpstr>StockTransferPriceList</vt:lpstr>
      <vt:lpstr>StockTransferPOUserDefined</vt:lpstr>
      <vt:lpstr>StockTransferSameRateContract</vt:lpstr>
      <vt:lpstr>DifferentUOMUD</vt:lpstr>
      <vt:lpstr>DirectPOWithFreePassItem</vt:lpstr>
      <vt:lpstr>StockTransferRateDifferent</vt:lpstr>
      <vt:lpstr>DirectPOPriceListFreePassGRN</vt:lpstr>
      <vt:lpstr>StocktransferPriceListDifferent</vt:lpstr>
      <vt:lpstr>PoToGrnRateContractGenWQE</vt:lpstr>
      <vt:lpstr>PotoGRNDiffUOMPriceListGenWQE</vt:lpstr>
      <vt:lpstr>PoToGrnDifferentUomGenWOQE</vt:lpstr>
      <vt:lpstr>DifferentUOMRateGen</vt:lpstr>
      <vt:lpstr>StockTransferPricelistFreePass</vt:lpstr>
      <vt:lpstr>DifferentUOMPriceListGen</vt:lpstr>
      <vt:lpstr>StockTransferUDDifferentUOM</vt:lpstr>
      <vt:lpstr>DifferentUOMMATUD</vt:lpstr>
      <vt:lpstr>DifferentUOMStocktransferUD</vt:lpstr>
      <vt:lpstr>DifferentUOMRateMat</vt:lpstr>
      <vt:lpstr>POwithGrnWithoutQEMaterial</vt:lpstr>
      <vt:lpstr>POwithoutQualityRateMat</vt:lpstr>
      <vt:lpstr>FreePassDirectGRNRateGen</vt:lpstr>
      <vt:lpstr>FreePassDirectRateSer</vt:lpstr>
      <vt:lpstr>FreePassDirectPriceListGen</vt:lpstr>
      <vt:lpstr>FreePassDirectGRNPriceListSer</vt:lpstr>
      <vt:lpstr>DirectGrnDifFreePassRateContGen</vt:lpstr>
      <vt:lpstr>DirectgrndiffFreePassPricelistG</vt:lpstr>
      <vt:lpstr>StockTransferPORateContract</vt:lpstr>
      <vt:lpstr>StockTransferPOpriceList</vt:lpstr>
      <vt:lpstr>StocktransferPriceListPO</vt:lpstr>
      <vt:lpstr>TvsMrvApplicationControl</vt:lpstr>
      <vt:lpstr>MrvLineWiseCancel</vt:lpstr>
      <vt:lpstr>LocalUnregisterSuplier</vt:lpstr>
      <vt:lpstr>InterstateSupplierUnregister</vt:lpstr>
      <vt:lpstr>CESS</vt:lpstr>
      <vt:lpstr>FreePassGenPrice</vt:lpstr>
      <vt:lpstr>WithoutDiscount</vt:lpstr>
      <vt:lpstr>FreePassMatPrice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2024-08-28T12:59:00Z</dcterms:created>
  <dc:creator>Premkumar.K</dc:creator>
  <cp:lastModifiedBy>Premkumar.K</cp:lastModifiedBy>
  <dcterms:modified xsi:type="dcterms:W3CDTF">2025-10-15T07:12:57Z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DF1FCE896026400A82FB33CE9FFFC117_12</vt:lpwstr>
  </property>
  <property fmtid="{D5CDD505-2E9C-101B-9397-08002B2CF9AE}" pid="3" name="KSOProductBuildVer">
    <vt:lpwstr>1033-12.2.0.21931</vt:lpwstr>
  </property>
</Properties>
</file>