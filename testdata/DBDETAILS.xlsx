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xl/worksheets/sheet98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worksheets/sheet96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0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91" activeTab="9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" sheetId="102" r:id="rId91"/>
    <sheet name="StockTransferAddLocalEX" sheetId="94" r:id="rId92"/>
    <sheet name="StocktransferInterstate" sheetId="95" r:id="rId93"/>
    <sheet name="StocktransferISForRCM" sheetId="96" r:id="rId94"/>
    <sheet name="StocktransferLCRCM" sheetId="99" r:id="rId95"/>
    <sheet name="StocktransferLC" sheetId="97" r:id="rId96"/>
    <sheet name="StocktransferAddItemWithEx" sheetId="98" r:id="rId97"/>
    <sheet name="StocktransferUR" sheetId="101" r:id="rId98"/>
    <sheet name="poSerPurbills" sheetId="103" r:id="rId99"/>
    <sheet name="PoSerPurBillsInterstate" sheetId="104" r:id="rId100"/>
  </sheets>
  <externalReferences>
    <externalReference r:id="rId101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104"/>
  <c r="H24"/>
  <c r="AY23"/>
  <c r="AW23"/>
  <c r="BP23" s="1"/>
  <c r="AM23"/>
  <c r="AK23"/>
  <c r="AP23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03"/>
  <c r="AM23"/>
  <c r="AW23" s="1"/>
  <c r="AK23"/>
  <c r="AP23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N23" i="104" l="1"/>
  <c r="AK24"/>
  <c r="BP23" i="103"/>
  <c r="AY23"/>
  <c r="AK24"/>
  <c r="N23"/>
  <c r="H24"/>
  <c r="O23" i="104" l="1"/>
  <c r="O23" i="103"/>
  <c r="P23" i="104" l="1"/>
  <c r="Q23" s="1"/>
  <c r="R23" s="1"/>
  <c r="P23" i="103"/>
  <c r="Q23" s="1"/>
  <c r="R23" s="1"/>
  <c r="R24" i="104" l="1"/>
  <c r="S23"/>
  <c r="R24" i="103"/>
  <c r="S23"/>
  <c r="AE23" i="104" l="1"/>
  <c r="AE24" s="1"/>
  <c r="AG23"/>
  <c r="AH23"/>
  <c r="AH24" s="1"/>
  <c r="S24"/>
  <c r="AI23"/>
  <c r="X23"/>
  <c r="AA23"/>
  <c r="AG23" i="103"/>
  <c r="V23"/>
  <c r="W23"/>
  <c r="W24" s="1"/>
  <c r="S24"/>
  <c r="AH23" s="1"/>
  <c r="AH24" s="1"/>
  <c r="AI23"/>
  <c r="AA23"/>
  <c r="AI24" i="104" l="1"/>
  <c r="AN23"/>
  <c r="AG24"/>
  <c r="AJ23"/>
  <c r="X24"/>
  <c r="AB23"/>
  <c r="AI24" i="103"/>
  <c r="AN23"/>
  <c r="AE23"/>
  <c r="AE24" s="1"/>
  <c r="AG24"/>
  <c r="AJ23"/>
  <c r="V24"/>
  <c r="AB23"/>
  <c r="AO23" i="104" l="1"/>
  <c r="AR23" s="1"/>
  <c r="AX23" s="1"/>
  <c r="AZ23" s="1"/>
  <c r="BO23" s="1"/>
  <c r="AJ24"/>
  <c r="AB24"/>
  <c r="AC23"/>
  <c r="AC24" s="1"/>
  <c r="AB24" i="103"/>
  <c r="AC23"/>
  <c r="AC24" s="1"/>
  <c r="AO23"/>
  <c r="AR23" s="1"/>
  <c r="AX23" s="1"/>
  <c r="AZ23" s="1"/>
  <c r="BO23" s="1"/>
  <c r="AJ24"/>
  <c r="H24" i="102" l="1"/>
  <c r="BM37"/>
  <c r="BN36"/>
  <c r="BM36"/>
  <c r="BM40" s="1"/>
  <c r="BN40" s="1"/>
  <c r="AK28"/>
  <c r="AH28"/>
  <c r="AD28"/>
  <c r="AG27" s="1"/>
  <c r="Z28"/>
  <c r="BP27"/>
  <c r="AW27"/>
  <c r="AY27" s="1"/>
  <c r="AM27"/>
  <c r="AK27"/>
  <c r="AP27" s="1"/>
  <c r="AH27"/>
  <c r="AE27"/>
  <c r="AE28" s="1"/>
  <c r="Y27"/>
  <c r="Y28" s="1"/>
  <c r="X27"/>
  <c r="X28" s="1"/>
  <c r="H27"/>
  <c r="H28" s="1"/>
  <c r="I30" s="1"/>
  <c r="AM26"/>
  <c r="AW26" s="1"/>
  <c r="AK26"/>
  <c r="AG26"/>
  <c r="AE26"/>
  <c r="Y26"/>
  <c r="X26"/>
  <c r="L26"/>
  <c r="M26" s="1"/>
  <c r="H26"/>
  <c r="AM25"/>
  <c r="AP25" s="1"/>
  <c r="AK25"/>
  <c r="AH25"/>
  <c r="AJ25" s="1"/>
  <c r="AO25" s="1"/>
  <c r="AG25"/>
  <c r="Y25"/>
  <c r="X25"/>
  <c r="M25"/>
  <c r="L25"/>
  <c r="H25"/>
  <c r="AM24"/>
  <c r="AW24" s="1"/>
  <c r="AK24"/>
  <c r="AP24" s="1"/>
  <c r="AH24"/>
  <c r="AE24"/>
  <c r="Y24"/>
  <c r="X24"/>
  <c r="AM23"/>
  <c r="AW23" s="1"/>
  <c r="AK23"/>
  <c r="AP23" s="1"/>
  <c r="AG23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M33" i="101"/>
  <c r="BN32"/>
  <c r="BM32"/>
  <c r="BM36" s="1"/>
  <c r="BN36" s="1"/>
  <c r="AH24"/>
  <c r="AD24"/>
  <c r="Z24"/>
  <c r="Y24"/>
  <c r="X24"/>
  <c r="AM23"/>
  <c r="AW23" s="1"/>
  <c r="AK23"/>
  <c r="AP23" s="1"/>
  <c r="AH23"/>
  <c r="AG23"/>
  <c r="AE23"/>
  <c r="AE24" s="1"/>
  <c r="Y23"/>
  <c r="X23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H19" s="1"/>
  <c r="AK25" i="100"/>
  <c r="AD25"/>
  <c r="AY24"/>
  <c r="AW24"/>
  <c r="BP24" s="1"/>
  <c r="AM24"/>
  <c r="AK24"/>
  <c r="AP24" s="1"/>
  <c r="Y24"/>
  <c r="X24"/>
  <c r="L24"/>
  <c r="M24" s="1"/>
  <c r="H24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BN36" i="99"/>
  <c r="BM36"/>
  <c r="BM33"/>
  <c r="BN32"/>
  <c r="BM32"/>
  <c r="AD24"/>
  <c r="AH24" s="1"/>
  <c r="Z24"/>
  <c r="AM23"/>
  <c r="AW23" s="1"/>
  <c r="AK23"/>
  <c r="AP23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98"/>
  <c r="BN32"/>
  <c r="BM32"/>
  <c r="AH24"/>
  <c r="AD24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N26" i="102" l="1"/>
  <c r="BP26"/>
  <c r="AY26"/>
  <c r="AY23"/>
  <c r="BP23"/>
  <c r="BP24"/>
  <c r="AY24"/>
  <c r="AJ27"/>
  <c r="AG28"/>
  <c r="AJ23"/>
  <c r="AO23" s="1"/>
  <c r="AP26"/>
  <c r="AH23"/>
  <c r="L24"/>
  <c r="M24" s="1"/>
  <c r="N24" s="1"/>
  <c r="AG24"/>
  <c r="AJ24" s="1"/>
  <c r="AO24" s="1"/>
  <c r="AE25"/>
  <c r="N25"/>
  <c r="AW25"/>
  <c r="AH26"/>
  <c r="AJ26" s="1"/>
  <c r="AO26" s="1"/>
  <c r="L27"/>
  <c r="M27" s="1"/>
  <c r="N27" s="1"/>
  <c r="L23"/>
  <c r="M23" s="1"/>
  <c r="N23" s="1"/>
  <c r="AJ23" i="101"/>
  <c r="AO23" s="1"/>
  <c r="AG24"/>
  <c r="BP23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J23" s="1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CX24"/>
  <c r="L23"/>
  <c r="M23" s="1"/>
  <c r="N23" s="1"/>
  <c r="BP23"/>
  <c r="DB24"/>
  <c r="EM23" i="88"/>
  <c r="DV23"/>
  <c r="AY23"/>
  <c r="CI23"/>
  <c r="CJ23" s="1"/>
  <c r="CK23" s="1"/>
  <c r="DM23"/>
  <c r="N23" i="87"/>
  <c r="DE23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P27" i="102" l="1"/>
  <c r="Q27" s="1"/>
  <c r="O27"/>
  <c r="O24"/>
  <c r="P24" s="1"/>
  <c r="Q24" s="1"/>
  <c r="R24" s="1"/>
  <c r="S24" s="1"/>
  <c r="O26"/>
  <c r="O25"/>
  <c r="O23"/>
  <c r="AY25"/>
  <c r="BP25"/>
  <c r="AJ28"/>
  <c r="AO27"/>
  <c r="R27"/>
  <c r="AJ24" i="101"/>
  <c r="N23"/>
  <c r="P24" i="100"/>
  <c r="Q24" s="1"/>
  <c r="O24"/>
  <c r="O23"/>
  <c r="AG24" i="99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O23" i="95"/>
  <c r="AJ24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4" i="86"/>
  <c r="AJ28" i="92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W24" i="102" l="1"/>
  <c r="AA24"/>
  <c r="V24"/>
  <c r="AI24"/>
  <c r="AN24" s="1"/>
  <c r="AR24" s="1"/>
  <c r="AX24" s="1"/>
  <c r="AZ24" s="1"/>
  <c r="BO24" s="1"/>
  <c r="R28"/>
  <c r="I31" s="1"/>
  <c r="S27"/>
  <c r="R25"/>
  <c r="S25" s="1"/>
  <c r="P25"/>
  <c r="Q25" s="1"/>
  <c r="P23"/>
  <c r="Q23" s="1"/>
  <c r="R23" s="1"/>
  <c r="S23" s="1"/>
  <c r="R26"/>
  <c r="S26" s="1"/>
  <c r="P26"/>
  <c r="Q26" s="1"/>
  <c r="O23" i="101"/>
  <c r="R23" i="100"/>
  <c r="P23"/>
  <c r="Q23" s="1"/>
  <c r="R24"/>
  <c r="S24" s="1"/>
  <c r="O23" i="99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AB25" s="1"/>
  <c r="AC25" s="1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AB26" i="102" l="1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E25" s="1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N23" i="101" l="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R24" s="1"/>
  <c r="AX24" s="1"/>
  <c r="AZ24" s="1"/>
  <c r="BO24" s="1"/>
  <c r="AB23" i="99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AB24" i="101" l="1"/>
  <c r="I29" s="1"/>
  <c r="I30" s="1"/>
  <c r="AC23"/>
  <c r="AC24" s="1"/>
  <c r="AT24" s="1"/>
  <c r="AO23" i="100"/>
  <c r="AR23" s="1"/>
  <c r="AX23" s="1"/>
  <c r="AZ23" s="1"/>
  <c r="BO23" s="1"/>
  <c r="AJ25"/>
  <c r="EU23" i="87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J24" i="75" l="1"/>
  <c r="AD24"/>
  <c r="AM23"/>
  <c r="AW23" s="1"/>
  <c r="AJ23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4" i="78"/>
  <c r="AD24"/>
  <c r="AM23"/>
  <c r="AW23" s="1"/>
  <c r="AJ23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K24" i="65"/>
  <c r="AD24"/>
  <c r="AM23"/>
  <c r="AW23" s="1"/>
  <c r="AK23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25" s="1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AB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P24" i="51" l="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AB25" s="1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O24" i="19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J23" i="50" l="1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O23" i="69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S24" i="66"/>
  <c r="AH23" s="1"/>
  <c r="AH24" s="1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AJ24" i="47" l="1"/>
  <c r="AI23" i="66"/>
  <c r="AI24" s="1"/>
  <c r="AA23"/>
  <c r="AJ25" i="51"/>
  <c r="AJ25" i="68"/>
  <c r="X23" i="65"/>
  <c r="X24" s="1"/>
  <c r="AO23" i="51"/>
  <c r="AI23" i="65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AE23" i="66"/>
  <c r="AE24" s="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AG23" i="66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AB23" i="66"/>
  <c r="AB24" s="1"/>
  <c r="V24"/>
  <c r="O24" i="8"/>
  <c r="P24" s="1"/>
  <c r="Q24" s="1"/>
  <c r="AI24" i="65"/>
  <c r="AN23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N23" i="66" l="1"/>
  <c r="AB23" i="65"/>
  <c r="AB24" s="1"/>
  <c r="AG23" i="45"/>
  <c r="AG24" s="1"/>
  <c r="AJ23" i="65"/>
  <c r="S24" i="58"/>
  <c r="AE23" s="1"/>
  <c r="AE24" s="1"/>
  <c r="AE23" i="77"/>
  <c r="AG23" i="43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4" i="66"/>
  <c r="AJ23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G24" i="43"/>
  <c r="AO23" i="65"/>
  <c r="AR23" s="1"/>
  <c r="AX23" s="1"/>
  <c r="AZ23" s="1"/>
  <c r="BO23" s="1"/>
  <c r="AJ24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K23" i="58" l="1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K23" s="1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AG23" s="1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K24" i="64" l="1"/>
  <c r="AJ24" i="45"/>
  <c r="AG23" i="9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J24" s="1"/>
  <c r="AO24" s="1"/>
  <c r="AR24" s="1"/>
  <c r="AX24" s="1"/>
  <c r="AZ24" s="1"/>
  <c r="BO24" s="1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R23" s="1"/>
  <c r="AX23" s="1"/>
  <c r="AZ23" s="1"/>
  <c r="BO23" s="1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K24" i="78"/>
  <c r="AP23"/>
  <c r="AR23" s="1"/>
  <c r="AX23" s="1"/>
  <c r="AZ23" s="1"/>
  <c r="BO23" s="1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E23" i="13"/>
  <c r="AE25" s="1"/>
  <c r="AG24" i="54"/>
  <c r="AE24"/>
  <c r="AH24"/>
  <c r="AD26" i="2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G25" i="9"/>
  <c r="AL23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AP23" i="71"/>
  <c r="AR23" s="1"/>
  <c r="AX23" s="1"/>
  <c r="AZ23" s="1"/>
  <c r="BO23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AL23" i="60"/>
  <c r="AO23" s="1"/>
  <c r="AU23" s="1"/>
  <c r="AW23" s="1"/>
  <c r="BL23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R23" s="1"/>
  <c r="AX23" s="1"/>
  <c r="AZ23" s="1"/>
  <c r="BO23" s="1"/>
  <c r="AI24"/>
  <c r="S24" i="70"/>
  <c r="AH23" s="1"/>
  <c r="AH24" s="1"/>
  <c r="AI23"/>
  <c r="AC23"/>
  <c r="AC24" s="1"/>
  <c r="V24" i="6"/>
  <c r="AB23"/>
  <c r="AG25" i="39"/>
  <c r="AJ23"/>
  <c r="V24" i="31"/>
  <c r="W24"/>
  <c r="W25" s="1"/>
  <c r="AI24"/>
  <c r="AA24"/>
  <c r="AA25" s="1"/>
  <c r="AC24"/>
  <c r="S25"/>
  <c r="I29" s="1"/>
  <c r="AC23"/>
  <c r="AN23" i="13"/>
  <c r="AK23" i="80" l="1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K24" i="72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O23" i="27"/>
  <c r="AR23" s="1"/>
  <c r="AX23" s="1"/>
  <c r="AZ23" s="1"/>
  <c r="BO23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J24" i="6" l="1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X23" s="1"/>
  <c r="AZ23" s="1"/>
  <c r="BO23" s="1"/>
  <c r="AB25" i="34"/>
  <c r="AC23"/>
  <c r="AC25" s="1"/>
  <c r="AB25" i="28"/>
  <c r="AC23"/>
  <c r="AC25" s="1"/>
  <c r="AJ25" i="56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J25" i="12" l="1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<sst xmlns="http://schemas.openxmlformats.org/spreadsheetml/2006/main" count="20234" uniqueCount="580">
  <si>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</si>
  <si>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</si>
  <si>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</si>
  <si>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</si>
  <si>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</si>
  <si>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</si>
  <si>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</si>
  <si>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</si>
  <si>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</si>
  <si>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</si>
  <si>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</si>
  <si>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</si>
  <si>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</si>
  <si>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</si>
  <si>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</si>
  <si>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</si>
  <si>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</si>
  <si>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</si>
  <si>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</si>
  <si>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</si>
  <si>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</si>
  <si>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</si>
  <si>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</si>
  <si>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</si>
  <si>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</si>
  <si>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</si>
  <si>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</si>
  <si>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</si>
  <si>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</si>
  <si>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</si>
  <si>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</si>
  <si>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</si>
  <si>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</si>
  <si>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</si>
  <si>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</si>
  <si>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</si>
  <si>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</si>
  <si>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</si>
  <si>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</si>
  <si>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</si>
  <si>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</si>
  <si>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</si>
  <si>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</si>
  <si>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</si>
  <si>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</si>
  <si>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</si>
  <si>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</si>
  <si>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</si>
  <si>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</si>
  <si>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</si>
  <si>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</si>
  <si>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</si>
  <si>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</si>
  <si>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</si>
  <si>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</si>
  <si>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</si>
  <si>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</si>
  <si>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</si>
  <si>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</si>
  <si>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</si>
  <si>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</si>
  <si>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</si>
  <si>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</si>
  <si>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</si>
  <si>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</si>
  <si>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</si>
  <si>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</si>
  <si>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</si>
  <si>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</si>
  <si>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</si>
  <si>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</si>
  <si>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</si>
  <si>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</si>
  <si>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</si>
  <si>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</si>
  <si>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</si>
  <si>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</si>
  <si>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</si>
  <si>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</si>
  <si>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</si>
  <si>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</si>
  <si>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</si>
  <si>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</si>
  <si>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</si>
  <si>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</si>
  <si>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</si>
  <si>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</si>
  <si>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</si>
  <si>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</si>
  <si>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</si>
  <si>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</si>
  <si>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</si>
  <si>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</si>
  <si>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</si>
  <si>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</si>
  <si>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</si>
  <si>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</si>
  <si>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</si>
  <si>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</si>
  <si>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</si>
  <si>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</si>
  <si>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</si>
  <si>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</si>
  <si>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</si>
  <si>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</si>
  <si>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</si>
  <si>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</si>
  <si>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</si>
  <si>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</si>
  <si>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</si>
  <si>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</si>
  <si>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</si>
  <si>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</si>
  <si>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</si>
  <si>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</si>
  <si>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</si>
  <si>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</si>
  <si>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</si>
  <si>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</si>
  <si>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</si>
  <si>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</si>
  <si>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</si>
  <si>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</si>
  <si>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</si>
  <si>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</si>
  <si>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</si>
  <si>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</si>
  <si>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</si>
  <si>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</si>
  <si>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</si>
  <si>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</si>
  <si>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</si>
  <si>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</si>
  <si>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</si>
  <si>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</si>
  <si>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</si>
  <si>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</si>
  <si>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</si>
  <si>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</si>
  <si>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</si>
  <si>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</si>
  <si>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</si>
  <si>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</si>
  <si>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</si>
  <si>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</si>
  <si>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</si>
  <si>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</si>
  <si>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</si>
  <si>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</si>
  <si>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</si>
  <si>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</si>
  <si>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</si>
  <si>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</si>
  <si>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</si>
  <si>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</si>
  <si>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</si>
  <si>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</si>
  <si>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</si>
  <si>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</si>
  <si>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</si>
  <si>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</si>
  <si>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</si>
  <si>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</si>
  <si>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</si>
  <si>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</si>
  <si>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</si>
  <si>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</si>
  <si>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</si>
  <si>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</si>
  <si>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</si>
  <si>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</si>
  <si>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</si>
  <si>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</si>
  <si>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</si>
  <si>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</si>
  <si>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</si>
  <si>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</si>
  <si>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</si>
  <si>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</si>
  <si>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</si>
  <si>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</si>
  <si>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</si>
  <si>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</si>
  <si>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</si>
  <si>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</si>
  <si>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</si>
  <si>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</si>
  <si>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</si>
  <si>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</si>
  <si>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</si>
  <si>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</si>
  <si>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</si>
  <si>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</si>
  <si>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</si>
  <si>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</si>
  <si>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</si>
  <si>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</si>
  <si>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</si>
  <si>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</si>
  <si>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</si>
  <si>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</si>
  <si>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</si>
  <si>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</si>
  <si>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</si>
  <si>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</si>
  <si>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</si>
  <si>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</si>
  <si>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</si>
  <si>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</si>
  <si>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</si>
  <si>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</si>
  <si>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</si>
  <si>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</si>
  <si>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</si>
  <si>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</si>
  <si>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</si>
  <si>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</si>
  <si>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</si>
  <si>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</si>
  <si>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</si>
  <si>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</si>
  <si>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</si>
  <si>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</si>
  <si>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</si>
  <si>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</si>
  <si>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</si>
  <si>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</si>
  <si>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</si>
  <si>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</si>
  <si>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</si>
  <si>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</si>
  <si>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</si>
  <si>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</si>
  <si>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</si>
  <si>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</si>
  <si>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</si>
  <si>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</si>
  <si>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</si>
  <si>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</si>
  <si>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</si>
  <si>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</si>
  <si>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</si>
  <si>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</si>
  <si>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</si>
  <si>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</si>
  <si>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</si>
  <si>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</si>
  <si>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</si>
  <si>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</si>
  <si>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</si>
  <si>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</si>
  <si>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</si>
  <si>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</si>
  <si>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</si>
  <si>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</si>
  <si>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</si>
  <si>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</si>
  <si>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</si>
  <si>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</si>
  <si>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</si>
  <si>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</si>
  <si>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</si>
  <si>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</si>
  <si>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</si>
  <si>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</si>
  <si>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</si>
  <si>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</si>
  <si>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</si>
  <si>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</si>
  <si>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</si>
  <si>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</si>
  <si>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</si>
  <si>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</si>
  <si>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</si>
  <si>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</si>
  <si>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</si>
  <si>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</si>
  <si>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</si>
  <si>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</si>
  <si>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</si>
  <si>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</si>
  <si>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</si>
  <si>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</si>
  <si>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</si>
  <si>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</si>
  <si>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</si>
  <si>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</si>
  <si>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</si>
  <si>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</si>
  <si>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</si>
  <si>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</si>
  <si>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</si>
  <si>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</si>
  <si>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</si>
  <si>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</si>
  <si>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</si>
  <si>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</si>
  <si>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</si>
  <si>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</si>
  <si>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</si>
  <si>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</si>
  <si>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</si>
  <si>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</si>
  <si>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</si>
  <si>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</si>
  <si>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</si>
  <si>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</si>
  <si>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</si>
  <si>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</si>
  <si>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</si>
  <si>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</si>
  <si>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</si>
  <si>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</si>
  <si>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</si>
  <si>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</si>
  <si>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</si>
  <si>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</si>
  <si>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</si>
  <si>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</si>
  <si>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</si>
  <si>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</si>
  <si>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</si>
  <si>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</si>
  <si>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</si>
  <si>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</si>
  <si>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</si>
  <si>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</si>
  <si>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</si>
  <si>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</si>
  <si>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</si>
  <si>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</si>
  <si>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</si>
  <si>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</si>
  <si>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</si>
  <si>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</si>
  <si>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</si>
  <si>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</si>
  <si>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</si>
  <si>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</si>
  <si>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</si>
  <si>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</si>
  <si>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</si>
  <si>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</si>
  <si>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</si>
  <si>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</si>
  <si>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</si>
  <si>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</si>
  <si>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</si>
  <si>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</si>
  <si>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</si>
  <si>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</si>
  <si>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</si>
  <si>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</si>
  <si>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</si>
  <si>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</si>
  <si>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</si>
  <si>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</si>
  <si>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</si>
  <si>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</si>
  <si>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</si>
  <si>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</si>
  <si>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</si>
  <si>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</si>
  <si>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</si>
  <si>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</si>
  <si>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</si>
  <si>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</si>
  <si>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</si>
  <si>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</si>
  <si>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</si>
  <si>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</si>
  <si>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</si>
  <si>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</si>
  <si>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</si>
  <si>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</si>
  <si>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</si>
  <si>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</si>
  <si>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</si>
  <si>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</si>
  <si>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</si>
  <si>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</si>
  <si>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</si>
  <si>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</si>
  <si>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</si>
  <si>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</si>
  <si>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</si>
  <si>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</si>
  <si>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</si>
  <si>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</si>
  <si>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</si>
  <si>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</si>
  <si>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</si>
  <si>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</si>
  <si>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</si>
  <si>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</si>
  <si>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</si>
  <si>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</si>
  <si>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</si>
  <si>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</si>
  <si>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</si>
  <si>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</si>
  <si>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</si>
  <si>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</si>
  <si>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</si>
  <si>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</si>
  <si>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</si>
  <si>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</si>
  <si>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</si>
  <si>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</si>
  <si>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</si>
  <si>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</si>
  <si>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</si>
  <si>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</si>
  <si>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</si>
  <si>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</si>
  <si>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</si>
  <si>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</si>
  <si>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</si>
  <si>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</si>
  <si>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</si>
  <si>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</si>
  <si>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</si>
  <si>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</si>
  <si>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</si>
  <si>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</si>
  <si>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</si>
  <si>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</si>
  <si>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</si>
  <si>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</si>
  <si>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</si>
  <si>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</si>
  <si>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</si>
  <si>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</si>
  <si>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</si>
  <si>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</si>
  <si>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</si>
  <si>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</si>
  <si>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</si>
  <si>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</si>
  <si>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</si>
  <si>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</si>
  <si>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</si>
  <si>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</si>
  <si>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</si>
  <si>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</si>
  <si>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</si>
  <si>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</si>
  <si>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</si>
  <si>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</si>
  <si>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</si>
  <si>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</si>
  <si>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</si>
  <si>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</si>
  <si>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</si>
  <si>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</si>
  <si>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</si>
  <si>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</si>
  <si>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</si>
  <si>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</si>
  <si>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</si>
  <si>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</si>
  <si>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</si>
  <si>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</si>
  <si>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</si>
  <si>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</si>
  <si>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</si>
  <si>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</si>
  <si>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</si>
  <si>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</si>
  <si>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</si>
  <si>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</si>
  <si>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</si>
  <si>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</si>
  <si>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</si>
  <si>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</si>
  <si>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</si>
  <si>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</si>
  <si>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</si>
  <si>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</si>
  <si>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</si>
  <si>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</si>
  <si>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</si>
  <si>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</si>
  <si>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</si>
  <si>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</si>
  <si>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</si>
  <si>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</si>
  <si>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</si>
  <si>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</si>
  <si>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</si>
  <si>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</si>
  <si>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</si>
  <si>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</si>
  <si>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</si>
  <si>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</si>
  <si>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</si>
  <si>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</si>
  <si>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</si>
  <si>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</si>
  <si>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</si>
  <si>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</si>
  <si>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</si>
  <si>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</si>
  <si>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</si>
  <si>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</si>
  <si>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</si>
  <si>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</si>
  <si>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</si>
  <si>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</si>
  <si>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</si>
  <si>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</si>
  <si>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</si>
  <si>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</si>
  <si>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</si>
  <si>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</si>
  <si>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</si>
  <si>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</si>
  <si>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</si>
  <si>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</si>
  <si>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</si>
  <si>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</si>
  <si>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</si>
  <si>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</si>
  <si>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</si>
  <si>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</si>
  <si>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</si>
  <si>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</si>
  <si>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</si>
  <si>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</si>
  <si>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</si>
  <si>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</si>
  <si>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</si>
  <si>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</si>
  <si>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</si>
  <si>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</si>
  <si>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</si>
  <si>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</si>
  <si>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</si>
  <si>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</si>
  <si>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</si>
  <si>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</si>
  <si>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</si>
  <si>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</si>
  <si>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</si>
  <si>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</si>
  <si>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</si>
  <si>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</si>
  <si>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</si>
  <si>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</si>
  <si>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</si>
  <si>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</si>
  <si>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</si>
  <si>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</si>
  <si>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</si>
  <si>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</si>
  <si>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</si>
  <si>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</si>
  <si>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3881.2</t>
  </si>
  <si>
    <t>281</t>
  </si>
  <si>
    <t>1232.35627</t>
  </si>
  <si>
    <t>4100</t>
  </si>
  <si>
    <t>137</t>
  </si>
  <si>
    <t>571.84774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</si>
  <si>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</si>
  <si>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</si>
  <si>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</si>
  <si>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</si>
  <si>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</si>
  <si>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</si>
  <si>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</si>
  <si>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</si>
  <si>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</si>
  <si>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</si>
  <si>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</si>
  <si>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</si>
  <si>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</si>
  <si>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</si>
  <si>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</si>
  <si>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</si>
  <si>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475.8861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</si>
</sst>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4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55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0" fontId="1" fillId="0" borderId="0" xfId="0" applyFont="1" applyBorder="1" applyAlignment="1">
      <alignment horizontal="left" vertical="top"/>
    </xf>
    <xf numFmtId="10" fontId="10" fillId="0" borderId="0" xfId="0" applyNumberFormat="1" applyFont="1" applyFill="1" applyBorder="1"/>
    <xf numFmtId="2" fontId="10" fillId="0" borderId="0" xfId="0" applyNumberFormat="1" applyFont="1" applyFill="1" applyBorder="1"/>
    <xf numFmtId="0" fontId="13" fillId="0" borderId="0" xfId="0" applyFont="1"/>
    <xf numFmtId="0" fontId="10" fillId="0" borderId="0" xfId="0" applyFont="1" applyBorder="1"/>
    <xf numFmtId="0" fontId="11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/>
    </xf>
    <xf numFmtId="2" fontId="11" fillId="3" borderId="13" xfId="0" applyNumberFormat="1" applyFont="1" applyFill="1" applyBorder="1"/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0" borderId="13" xfId="0" applyFont="1" applyBorder="1" applyAlignment="1">
      <alignment horizontal="right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9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21"/>
      <c r="J33" s="221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21"/>
      <c r="J34" s="221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21"/>
      <c r="J35" s="221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22"/>
      <c r="H36" s="222"/>
      <c r="I36" s="221"/>
      <c r="J36" s="221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22"/>
      <c r="H37" s="222"/>
      <c r="I37" s="221"/>
      <c r="J37" s="221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23" t="s">
        <v>154</v>
      </c>
      <c r="B21" s="223"/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R21" s="223"/>
      <c r="S21" s="223"/>
      <c r="T21" s="223"/>
      <c r="U21" s="223"/>
      <c r="V21" s="223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24" t="s">
        <v>87</v>
      </c>
      <c r="C38" s="224"/>
      <c r="D38" s="224"/>
      <c r="E38" s="224"/>
      <c r="F38" s="224"/>
      <c r="G38" s="224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25" t="s">
        <v>194</v>
      </c>
      <c r="H40" s="226"/>
      <c r="I40" s="227">
        <f>H38</f>
        <v>75435.260000000009</v>
      </c>
      <c r="J40" s="227"/>
      <c r="K40" s="100"/>
      <c r="L40" s="66"/>
      <c r="M40" s="228" t="s">
        <v>195</v>
      </c>
      <c r="N40" s="229"/>
      <c r="O40" s="229"/>
      <c r="P40" s="230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25" t="s">
        <v>196</v>
      </c>
      <c r="H41" s="226"/>
      <c r="I41" s="227">
        <f>R38</f>
        <v>4077.7</v>
      </c>
      <c r="J41" s="227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25" t="s">
        <v>197</v>
      </c>
      <c r="H42" s="226"/>
      <c r="I42" s="227">
        <f>S38</f>
        <v>71357.56</v>
      </c>
      <c r="J42" s="227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25" t="s">
        <v>198</v>
      </c>
      <c r="H43" s="226"/>
      <c r="I43" s="227">
        <f>U38</f>
        <v>12844.370000000004</v>
      </c>
      <c r="J43" s="227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25" t="s">
        <v>199</v>
      </c>
      <c r="H44" s="226"/>
      <c r="I44" s="231">
        <f>I42+I43</f>
        <v>84201.930000000008</v>
      </c>
      <c r="J44" s="231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23" t="s">
        <v>200</v>
      </c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3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24" t="s">
        <v>87</v>
      </c>
      <c r="C21" s="224"/>
      <c r="D21" s="224"/>
      <c r="E21" s="224"/>
      <c r="F21" s="224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32" t="s">
        <v>206</v>
      </c>
      <c r="G23" s="232"/>
      <c r="H23" s="232"/>
      <c r="I23" s="232"/>
      <c r="J23" s="66"/>
      <c r="K23" s="232" t="s">
        <v>207</v>
      </c>
      <c r="L23" s="232"/>
      <c r="M23" s="232"/>
      <c r="N23" s="232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25" t="s">
        <v>194</v>
      </c>
      <c r="G24" s="226"/>
      <c r="H24" s="233">
        <f>G21</f>
        <v>71856.759999999995</v>
      </c>
      <c r="I24" s="233"/>
      <c r="J24" s="100"/>
      <c r="K24" s="225" t="s">
        <v>194</v>
      </c>
      <c r="L24" s="226"/>
      <c r="M24" s="233">
        <f>H24*$T$4</f>
        <v>5958362.5391999995</v>
      </c>
      <c r="N24" s="233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25" t="s">
        <v>196</v>
      </c>
      <c r="G25" s="226"/>
      <c r="H25" s="233">
        <f>Q21</f>
        <v>3884.27</v>
      </c>
      <c r="I25" s="233"/>
      <c r="J25" s="66"/>
      <c r="K25" s="225" t="s">
        <v>196</v>
      </c>
      <c r="L25" s="226"/>
      <c r="M25" s="233">
        <f t="shared" ref="M25:M28" si="14">H25*$T$4</f>
        <v>322083.66840000002</v>
      </c>
      <c r="N25" s="233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25" t="s">
        <v>197</v>
      </c>
      <c r="G26" s="226"/>
      <c r="H26" s="233">
        <f>R21</f>
        <v>67972.490000000005</v>
      </c>
      <c r="I26" s="233"/>
      <c r="J26" s="66"/>
      <c r="K26" s="225" t="s">
        <v>197</v>
      </c>
      <c r="L26" s="226"/>
      <c r="M26" s="233">
        <f t="shared" si="14"/>
        <v>5636278.8708000006</v>
      </c>
      <c r="N26" s="233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25" t="s">
        <v>198</v>
      </c>
      <c r="G27" s="226"/>
      <c r="H27" s="233">
        <f>T21</f>
        <v>12235.060000000003</v>
      </c>
      <c r="I27" s="233"/>
      <c r="J27" s="66"/>
      <c r="K27" s="225" t="s">
        <v>198</v>
      </c>
      <c r="L27" s="226"/>
      <c r="M27" s="233">
        <f t="shared" si="14"/>
        <v>1014531.1752000003</v>
      </c>
      <c r="N27" s="233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25" t="s">
        <v>199</v>
      </c>
      <c r="G28" s="226"/>
      <c r="H28" s="234">
        <f>H26+H27</f>
        <v>80207.55</v>
      </c>
      <c r="I28" s="234"/>
      <c r="J28" s="66"/>
      <c r="K28" s="225" t="s">
        <v>199</v>
      </c>
      <c r="L28" s="226"/>
      <c r="M28" s="234">
        <f t="shared" si="14"/>
        <v>6650810.0460000001</v>
      </c>
      <c r="N28" s="234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23" t="s">
        <v>208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24" t="s">
        <v>87</v>
      </c>
      <c r="C18" s="224"/>
      <c r="D18" s="224"/>
      <c r="E18" s="224"/>
      <c r="F18" s="224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32" t="s">
        <v>206</v>
      </c>
      <c r="G20" s="232"/>
      <c r="H20" s="232"/>
      <c r="I20" s="232"/>
      <c r="J20" s="66"/>
      <c r="K20" s="232" t="s">
        <v>207</v>
      </c>
      <c r="L20" s="232"/>
      <c r="M20" s="232"/>
      <c r="N20" s="232"/>
      <c r="O20" s="66"/>
      <c r="P20" s="66"/>
      <c r="Q20" s="228" t="s">
        <v>195</v>
      </c>
      <c r="R20" s="229"/>
      <c r="S20" s="229"/>
      <c r="T20" s="230"/>
      <c r="U20" s="66"/>
      <c r="V20" s="66"/>
      <c r="W20" s="66"/>
    </row>
    <row r="21" spans="1:23">
      <c r="A21" s="66"/>
      <c r="B21" s="66"/>
      <c r="C21" s="66"/>
      <c r="D21" s="66"/>
      <c r="E21" s="66"/>
      <c r="F21" s="225" t="s">
        <v>194</v>
      </c>
      <c r="G21" s="226"/>
      <c r="H21" s="233">
        <f>G18</f>
        <v>71570.810000000012</v>
      </c>
      <c r="I21" s="233"/>
      <c r="J21" s="100"/>
      <c r="K21" s="225" t="s">
        <v>194</v>
      </c>
      <c r="L21" s="226"/>
      <c r="M21" s="233">
        <f>H21*$T$1</f>
        <v>5934651.565200001</v>
      </c>
      <c r="N21" s="233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25" t="s">
        <v>196</v>
      </c>
      <c r="G22" s="226"/>
      <c r="H22" s="233">
        <f>Q18</f>
        <v>3868.82</v>
      </c>
      <c r="I22" s="233"/>
      <c r="J22" s="66"/>
      <c r="K22" s="225" t="s">
        <v>196</v>
      </c>
      <c r="L22" s="226"/>
      <c r="M22" s="233">
        <f t="shared" ref="M22:M25" si="14">H22*$T$1</f>
        <v>320802.55440000002</v>
      </c>
      <c r="N22" s="233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25" t="s">
        <v>197</v>
      </c>
      <c r="G23" s="226"/>
      <c r="H23" s="233">
        <f>R18</f>
        <v>67701.989999999991</v>
      </c>
      <c r="I23" s="233"/>
      <c r="J23" s="66"/>
      <c r="K23" s="225" t="s">
        <v>197</v>
      </c>
      <c r="L23" s="226"/>
      <c r="M23" s="233">
        <f t="shared" si="14"/>
        <v>5613849.0107999993</v>
      </c>
      <c r="N23" s="233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25" t="s">
        <v>198</v>
      </c>
      <c r="G24" s="226"/>
      <c r="H24" s="233">
        <f>T18</f>
        <v>12186.370000000004</v>
      </c>
      <c r="I24" s="233"/>
      <c r="J24" s="66"/>
      <c r="K24" s="225" t="s">
        <v>198</v>
      </c>
      <c r="L24" s="226"/>
      <c r="M24" s="233">
        <f t="shared" si="14"/>
        <v>1010493.8004000004</v>
      </c>
      <c r="N24" s="233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25" t="s">
        <v>199</v>
      </c>
      <c r="G25" s="226"/>
      <c r="H25" s="234">
        <f>H23+H24</f>
        <v>79888.36</v>
      </c>
      <c r="I25" s="234"/>
      <c r="J25" s="66"/>
      <c r="K25" s="225" t="s">
        <v>199</v>
      </c>
      <c r="L25" s="226"/>
      <c r="M25" s="234">
        <f t="shared" si="14"/>
        <v>6624342.8112000003</v>
      </c>
      <c r="N25" s="234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04"/>
      <c r="AE1" s="204"/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66"/>
      <c r="AS1" s="66"/>
    </row>
    <row r="2" spans="1:45" ht="18.75" thickBot="1">
      <c r="A2" s="204" t="s">
        <v>47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4"/>
      <c r="AP2" s="204"/>
      <c r="AQ2" s="204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567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1800.64885</v>
      </c>
      <c r="BP23" s="87">
        <f>BN23+AW23</f>
        <v>26</v>
      </c>
      <c r="BQ23" s="88">
        <v>88363222</v>
      </c>
      <c r="BR23" s="87"/>
    </row>
    <row r="24" spans="1:70" ht="15.75" thickBot="1">
      <c r="A24" s="68">
        <v>2</v>
      </c>
      <c r="B24" s="68" t="s">
        <v>568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553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566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3673.17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198.56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3474.6099999999997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625.44000000000005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4100.0499999999993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5" t="s">
        <v>194</v>
      </c>
      <c r="H26" s="226"/>
      <c r="I26" s="227">
        <f>H24</f>
        <v>14400</v>
      </c>
      <c r="J26" s="227"/>
      <c r="K26" s="100"/>
      <c r="L26" s="66"/>
      <c r="M26" s="228" t="s">
        <v>195</v>
      </c>
      <c r="N26" s="229"/>
      <c r="O26" s="229"/>
      <c r="P26" s="23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196</v>
      </c>
      <c r="H27" s="226"/>
      <c r="I27" s="227">
        <f>R24</f>
        <v>1123.43</v>
      </c>
      <c r="J27" s="22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197</v>
      </c>
      <c r="H28" s="226"/>
      <c r="I28" s="227">
        <f>S24</f>
        <v>13276.57</v>
      </c>
      <c r="J28" s="22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198</v>
      </c>
      <c r="H29" s="226"/>
      <c r="I29" s="227">
        <f>AB24</f>
        <v>2389.7800000000002</v>
      </c>
      <c r="J29" s="22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199</v>
      </c>
      <c r="H30" s="226"/>
      <c r="I30" s="231">
        <f>I28+I29</f>
        <v>15666.35</v>
      </c>
      <c r="J30" s="23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387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388</v>
      </c>
      <c r="BN23" t="s">
        <v>389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5" t="s">
        <v>194</v>
      </c>
      <c r="H26" s="226"/>
      <c r="I26" s="227">
        <f>H24</f>
        <v>7500</v>
      </c>
      <c r="J26" s="227"/>
      <c r="K26" s="100"/>
      <c r="L26" s="66"/>
      <c r="M26" s="228" t="s">
        <v>195</v>
      </c>
      <c r="N26" s="229"/>
      <c r="O26" s="229"/>
      <c r="P26" s="23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196</v>
      </c>
      <c r="H27" s="226"/>
      <c r="I27" s="227">
        <f>R24</f>
        <v>441.06</v>
      </c>
      <c r="J27" s="22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197</v>
      </c>
      <c r="H28" s="226"/>
      <c r="I28" s="227">
        <f>S24</f>
        <v>7058.94</v>
      </c>
      <c r="J28" s="22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198</v>
      </c>
      <c r="H29" s="226"/>
      <c r="I29" s="227">
        <f>AB24</f>
        <v>1270.5999999999999</v>
      </c>
      <c r="J29" s="22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199</v>
      </c>
      <c r="H30" s="226"/>
      <c r="I30" s="231">
        <f>I28+I29</f>
        <v>8329.5399999999991</v>
      </c>
      <c r="J30" s="23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390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391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392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394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395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12358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842.29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11515.71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2072.8200000000002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13588.529999999999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396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21300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1458.09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19841.91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3571.55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23413.46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399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399</v>
      </c>
      <c r="BN23" t="s">
        <v>400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402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403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403</v>
      </c>
      <c r="BN24" t="s">
        <v>404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15152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944.18000000000006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14207.82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2557.4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16765.22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24000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1526.6399999999999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22473.360000000001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4045.2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26518.560000000001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8" t="s">
        <v>89</v>
      </c>
      <c r="B21" s="2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407</v>
      </c>
      <c r="H23" s="69">
        <f>F23*G23</f>
        <v>3555</v>
      </c>
      <c r="I23" t="s">
        <v>408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409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409</v>
      </c>
      <c r="BN23" t="s">
        <v>410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411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412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413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414</v>
      </c>
      <c r="BN24" t="s">
        <v>415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39">
        <f>H25</f>
        <v>14499</v>
      </c>
      <c r="J27" s="240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39">
        <f>R25</f>
        <v>1001.74</v>
      </c>
      <c r="J28" s="24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39">
        <f>S25</f>
        <v>13497.26</v>
      </c>
      <c r="J29" s="24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39">
        <f>AB25</f>
        <v>2429.5</v>
      </c>
      <c r="J30" s="24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41">
        <f>I29+I30</f>
        <v>15926.76</v>
      </c>
      <c r="J31" s="24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8" t="s">
        <v>89</v>
      </c>
      <c r="B21" s="2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416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417</v>
      </c>
      <c r="BN23" t="s">
        <v>418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421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421</v>
      </c>
      <c r="BN24" t="s">
        <v>422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39">
        <f>H25</f>
        <v>9000</v>
      </c>
      <c r="J27" s="240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39">
        <f>R25</f>
        <v>615.49</v>
      </c>
      <c r="J28" s="24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39">
        <f>S25</f>
        <v>8384.51</v>
      </c>
      <c r="J29" s="24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39">
        <f>AB25</f>
        <v>1509.22</v>
      </c>
      <c r="J30" s="24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41">
        <f>I29+I30</f>
        <v>9893.73</v>
      </c>
      <c r="J31" s="24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8" t="s">
        <v>89</v>
      </c>
      <c r="B21" s="2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423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424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424</v>
      </c>
      <c r="BN23" t="s">
        <v>425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426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427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427</v>
      </c>
      <c r="BN24" t="s">
        <v>428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39">
        <f>H25</f>
        <v>6443.34</v>
      </c>
      <c r="J27" s="240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39">
        <f>R25</f>
        <v>348.28999999999996</v>
      </c>
      <c r="J28" s="24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39">
        <f>S25</f>
        <v>6095.05</v>
      </c>
      <c r="J29" s="24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39">
        <f>AB25</f>
        <v>1097.0999999999999</v>
      </c>
      <c r="J30" s="24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41">
        <f>I29+I30</f>
        <v>7192.15</v>
      </c>
      <c r="J31" s="24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429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430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430</v>
      </c>
      <c r="BN23" t="s">
        <v>410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431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431</v>
      </c>
      <c r="BN24" t="s">
        <v>432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4545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328.67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4216.33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758.93999999999994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4975.2699999999995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433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434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9300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637.44000000000005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8662.5600000000013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1559.27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10221.830000000002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9300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637.44000000000005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8662.5600000000013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1559.27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10221.830000000002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438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10076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710.49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9365.51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1685.79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11051.3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319</v>
      </c>
      <c r="AV23" t="s">
        <v>569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569</v>
      </c>
      <c r="BN23" t="s">
        <v>234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1500</v>
      </c>
      <c r="I24" t="s">
        <v>263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372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570</v>
      </c>
      <c r="AV24" t="s">
        <v>571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571</v>
      </c>
      <c r="BN24" t="s">
        <v>232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2700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171.75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2528.25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455.08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2983.33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5349.0599999999995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289.16000000000003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5059.8999999999996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AB25</f>
        <v>910.78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5970.6799999999994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441</v>
      </c>
      <c r="AS23" t="s">
        <v>442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445</v>
      </c>
      <c r="BK23" t="s">
        <v>446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447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448</v>
      </c>
      <c r="AS24" t="s">
        <v>449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451</v>
      </c>
      <c r="BK24" t="s">
        <v>452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10654.75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575.95000000000005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10078.799999999999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Y25</f>
        <v>1814.19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11892.99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453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424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424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455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455</v>
      </c>
      <c r="BK24" t="s">
        <v>456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10654.75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575.95000000000005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10078.799999999999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Y25</f>
        <v>1814.19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11892.99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23" t="s">
        <v>154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458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459</v>
      </c>
      <c r="AS23" t="s">
        <v>460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443</v>
      </c>
      <c r="BB23" s="107" t="s">
        <v>444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462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463</v>
      </c>
      <c r="AS24" t="s">
        <v>464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450</v>
      </c>
      <c r="BB24" s="107" t="s">
        <v>444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5" t="s">
        <v>194</v>
      </c>
      <c r="H27" s="226"/>
      <c r="I27" s="227">
        <f>H25</f>
        <v>4347.5</v>
      </c>
      <c r="J27" s="227"/>
      <c r="K27" s="100"/>
      <c r="L27" s="66"/>
      <c r="M27" s="228" t="s">
        <v>195</v>
      </c>
      <c r="N27" s="229"/>
      <c r="O27" s="229"/>
      <c r="P27" s="23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5" t="s">
        <v>196</v>
      </c>
      <c r="H28" s="226"/>
      <c r="I28" s="227">
        <f>R25</f>
        <v>299.27999999999997</v>
      </c>
      <c r="J28" s="22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5" t="s">
        <v>197</v>
      </c>
      <c r="H29" s="226"/>
      <c r="I29" s="227">
        <f>S25</f>
        <v>4048.22</v>
      </c>
      <c r="J29" s="22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5" t="s">
        <v>198</v>
      </c>
      <c r="H30" s="226"/>
      <c r="I30" s="227">
        <f>Y25</f>
        <v>728.68000000000006</v>
      </c>
      <c r="J30" s="22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5" t="s">
        <v>199</v>
      </c>
      <c r="H31" s="226"/>
      <c r="I31" s="231">
        <f>I29+I30</f>
        <v>4776.8999999999996</v>
      </c>
      <c r="J31" s="23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466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467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467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469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470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470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471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472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473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473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475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475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475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475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479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480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480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20" t="s">
        <v>89</v>
      </c>
      <c r="B21" s="220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481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482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20" t="s">
        <v>89</v>
      </c>
      <c r="B21" s="22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484</v>
      </c>
      <c r="BK23" t="s">
        <v>485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486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487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488</v>
      </c>
      <c r="BK24" t="s">
        <v>489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5</v>
      </c>
      <c r="D21" s="21" t="s">
        <v>490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486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484</v>
      </c>
      <c r="BN23" t="s">
        <v>485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492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1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495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8" t="s">
        <v>46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20" t="s">
        <v>89</v>
      </c>
      <c r="B21" s="220"/>
      <c r="C21" s="20">
        <v>2</v>
      </c>
      <c r="D21" s="21" t="s">
        <v>491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35" t="s">
        <v>87</v>
      </c>
      <c r="C19" s="236"/>
      <c r="D19" s="236"/>
      <c r="E19" s="236"/>
      <c r="F19" s="236"/>
      <c r="G19" s="2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502</v>
      </c>
      <c r="C23" s="25" t="s">
        <v>502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43" t="s">
        <v>46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9" t="s">
        <v>87</v>
      </c>
      <c r="C19" s="219"/>
      <c r="D19" s="219"/>
      <c r="E19" s="219"/>
      <c r="F19" s="219"/>
      <c r="G19" s="21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20" t="s">
        <v>89</v>
      </c>
      <c r="B21" s="22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</row>
    <row r="23" spans="1:150" ht="15.75" thickBot="1">
      <c r="A23" s="170">
        <v>1</v>
      </c>
      <c r="B23" s="170" t="s">
        <v>511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511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1000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1000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180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1180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505</v>
      </c>
      <c r="EN22" s="167" t="s">
        <v>506</v>
      </c>
      <c r="EO22" s="167" t="s">
        <v>507</v>
      </c>
      <c r="EP22" s="167" t="s">
        <v>508</v>
      </c>
      <c r="EQ22" s="167" t="s">
        <v>509</v>
      </c>
      <c r="ER22" s="167" t="s">
        <v>510</v>
      </c>
    </row>
    <row r="23" spans="1:148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516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372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309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311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516</v>
      </c>
      <c r="EN23" s="85" t="s">
        <v>513</v>
      </c>
      <c r="EO23" s="85" t="s">
        <v>514</v>
      </c>
      <c r="EP23" s="85" t="s">
        <v>515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1000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44" t="s">
        <v>194</v>
      </c>
      <c r="CC26" s="245"/>
      <c r="CD26" s="247">
        <f>CC24</f>
        <v>1000</v>
      </c>
      <c r="CE26" s="247"/>
      <c r="CF26" s="186"/>
      <c r="CG26" s="137"/>
      <c r="CH26" s="251" t="s">
        <v>195</v>
      </c>
      <c r="CI26" s="252"/>
      <c r="CJ26" s="252"/>
      <c r="CK26" s="253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374</v>
      </c>
      <c r="ED26" s="187" t="s">
        <v>375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44" t="s">
        <v>196</v>
      </c>
      <c r="CC27" s="245"/>
      <c r="CD27" s="247">
        <f>CM24</f>
        <v>0</v>
      </c>
      <c r="CE27" s="247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376</v>
      </c>
      <c r="ED27" s="187" t="s">
        <v>377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1000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44" t="s">
        <v>197</v>
      </c>
      <c r="CC28" s="245"/>
      <c r="CD28" s="247">
        <f>CN24</f>
        <v>1000</v>
      </c>
      <c r="CE28" s="247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180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44" t="s">
        <v>198</v>
      </c>
      <c r="CC29" s="245"/>
      <c r="CD29" s="247">
        <f>CW24</f>
        <v>180</v>
      </c>
      <c r="CE29" s="247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1180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44" t="s">
        <v>199</v>
      </c>
      <c r="CC30" s="245"/>
      <c r="CD30" s="246">
        <f>CD28+CD29</f>
        <v>1180</v>
      </c>
      <c r="CE30" s="246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378</v>
      </c>
      <c r="EI31" s="137" t="s">
        <v>379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380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381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382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383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</row>
    <row r="23" spans="1:75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517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1000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1000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180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1180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8" t="s">
        <v>154</v>
      </c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8"/>
      <c r="CY1" s="248"/>
      <c r="CZ1" s="248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9" t="s">
        <v>87</v>
      </c>
      <c r="BZ19" s="249"/>
      <c r="CA19" s="249"/>
      <c r="CB19" s="249"/>
      <c r="CC19" s="249"/>
      <c r="CD19" s="249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0" t="s">
        <v>89</v>
      </c>
      <c r="BY21" s="250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</row>
    <row r="23" spans="1:150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511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1000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4" t="s">
        <v>194</v>
      </c>
      <c r="CE26" s="245"/>
      <c r="CF26" s="247">
        <f>CE24</f>
        <v>1000</v>
      </c>
      <c r="CG26" s="247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4" t="s">
        <v>196</v>
      </c>
      <c r="CE27" s="245"/>
      <c r="CF27" s="247">
        <f>CO24</f>
        <v>0</v>
      </c>
      <c r="CG27" s="247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1000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4" t="s">
        <v>197</v>
      </c>
      <c r="CE28" s="245"/>
      <c r="CF28" s="247">
        <f>CP24</f>
        <v>1000</v>
      </c>
      <c r="CG28" s="247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180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4" t="s">
        <v>198</v>
      </c>
      <c r="CE29" s="245"/>
      <c r="CF29" s="247">
        <f>CY24</f>
        <v>280</v>
      </c>
      <c r="CG29" s="247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1180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4" t="s">
        <v>199</v>
      </c>
      <c r="CE30" s="245"/>
      <c r="CF30" s="246">
        <f>CF28+CF29</f>
        <v>1280</v>
      </c>
      <c r="CG30" s="246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8" t="s">
        <v>154</v>
      </c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8"/>
      <c r="CY1" s="248"/>
      <c r="CZ1" s="248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9" t="s">
        <v>87</v>
      </c>
      <c r="BZ19" s="249"/>
      <c r="CA19" s="249"/>
      <c r="CB19" s="249"/>
      <c r="CC19" s="249"/>
      <c r="CD19" s="249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0" t="s">
        <v>89</v>
      </c>
      <c r="BY21" s="250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</row>
    <row r="23" spans="1:151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1000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4" t="s">
        <v>194</v>
      </c>
      <c r="CE26" s="245"/>
      <c r="CF26" s="247">
        <f>CE24</f>
        <v>1000</v>
      </c>
      <c r="CG26" s="247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4" t="s">
        <v>196</v>
      </c>
      <c r="CE27" s="245"/>
      <c r="CF27" s="247">
        <f>CO24</f>
        <v>0</v>
      </c>
      <c r="CG27" s="247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1000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4" t="s">
        <v>197</v>
      </c>
      <c r="CE28" s="245"/>
      <c r="CF28" s="247">
        <f>CP24</f>
        <v>1000</v>
      </c>
      <c r="CG28" s="247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180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4" t="s">
        <v>198</v>
      </c>
      <c r="CE29" s="245"/>
      <c r="CF29" s="247">
        <f>CY24</f>
        <v>180</v>
      </c>
      <c r="CG29" s="247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1180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4" t="s">
        <v>199</v>
      </c>
      <c r="CE30" s="245"/>
      <c r="CF30" s="246">
        <f>CF28+CF29</f>
        <v>1180</v>
      </c>
      <c r="CG30" s="246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8" t="s">
        <v>154</v>
      </c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8"/>
      <c r="CY1" s="248"/>
      <c r="CZ1" s="248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9" t="s">
        <v>87</v>
      </c>
      <c r="BZ19" s="249"/>
      <c r="CA19" s="249"/>
      <c r="CB19" s="249"/>
      <c r="CC19" s="249"/>
      <c r="CD19" s="249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0" t="s">
        <v>89</v>
      </c>
      <c r="BY21" s="250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96" t="s">
        <v>520</v>
      </c>
    </row>
    <row r="23" spans="1:152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521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372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1800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4" t="s">
        <v>194</v>
      </c>
      <c r="CE26" s="245"/>
      <c r="CF26" s="247">
        <f>CE24</f>
        <v>1000</v>
      </c>
      <c r="CG26" s="247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4" t="s">
        <v>196</v>
      </c>
      <c r="CE27" s="245"/>
      <c r="CF27" s="247">
        <f>CO24</f>
        <v>0</v>
      </c>
      <c r="CG27" s="247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1800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4" t="s">
        <v>197</v>
      </c>
      <c r="CE28" s="245"/>
      <c r="CF28" s="247">
        <f>CP24</f>
        <v>1000</v>
      </c>
      <c r="CG28" s="247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324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4" t="s">
        <v>198</v>
      </c>
      <c r="CE29" s="245"/>
      <c r="CF29" s="247">
        <f>CY24</f>
        <v>180</v>
      </c>
      <c r="CG29" s="247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2124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4" t="s">
        <v>199</v>
      </c>
      <c r="CE30" s="245"/>
      <c r="CF30" s="246">
        <f>CF28+CF29</f>
        <v>1180</v>
      </c>
      <c r="CG30" s="246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8" t="s">
        <v>154</v>
      </c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8"/>
      <c r="CY1" s="248"/>
      <c r="CZ1" s="248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9" t="s">
        <v>87</v>
      </c>
      <c r="BZ19" s="249"/>
      <c r="CA19" s="249"/>
      <c r="CB19" s="249"/>
      <c r="CC19" s="249"/>
      <c r="CD19" s="249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0" t="s">
        <v>89</v>
      </c>
      <c r="BY21" s="250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96" t="s">
        <v>520</v>
      </c>
    </row>
    <row r="23" spans="1:152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522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372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512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1500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4" t="s">
        <v>194</v>
      </c>
      <c r="CE26" s="245"/>
      <c r="CF26" s="247">
        <f>CE24</f>
        <v>1000</v>
      </c>
      <c r="CG26" s="247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4" t="s">
        <v>196</v>
      </c>
      <c r="CE27" s="245"/>
      <c r="CF27" s="247">
        <f>CO24</f>
        <v>0</v>
      </c>
      <c r="CG27" s="247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1500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4" t="s">
        <v>197</v>
      </c>
      <c r="CE28" s="245"/>
      <c r="CF28" s="247">
        <f>CP24</f>
        <v>1000</v>
      </c>
      <c r="CG28" s="247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270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4" t="s">
        <v>198</v>
      </c>
      <c r="CE29" s="245"/>
      <c r="CF29" s="247">
        <f>CY24</f>
        <v>180</v>
      </c>
      <c r="CG29" s="247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1770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4" t="s">
        <v>199</v>
      </c>
      <c r="CE30" s="245"/>
      <c r="CF30" s="246">
        <f>CF28+CF29</f>
        <v>1180</v>
      </c>
      <c r="CG30" s="246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8" t="s">
        <v>154</v>
      </c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248"/>
      <c r="CV1" s="248"/>
      <c r="CW1" s="248"/>
      <c r="CX1" s="248"/>
      <c r="CY1" s="248"/>
      <c r="CZ1" s="248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9" t="s">
        <v>87</v>
      </c>
      <c r="BZ19" s="249"/>
      <c r="CA19" s="249"/>
      <c r="CB19" s="249"/>
      <c r="CC19" s="249"/>
      <c r="CD19" s="249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50" t="s">
        <v>89</v>
      </c>
      <c r="BY21" s="250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505</v>
      </c>
      <c r="BS22" s="167" t="s">
        <v>506</v>
      </c>
      <c r="BT22" s="167" t="s">
        <v>507</v>
      </c>
      <c r="BU22" s="167" t="s">
        <v>508</v>
      </c>
      <c r="BV22" s="167" t="s">
        <v>509</v>
      </c>
      <c r="BW22" s="167" t="s">
        <v>510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505</v>
      </c>
      <c r="EP22" s="167" t="s">
        <v>506</v>
      </c>
      <c r="EQ22" s="167" t="s">
        <v>507</v>
      </c>
      <c r="ER22" s="167" t="s">
        <v>508</v>
      </c>
      <c r="ES22" s="167" t="s">
        <v>509</v>
      </c>
      <c r="ET22" s="167" t="s">
        <v>510</v>
      </c>
      <c r="EU22" s="167" t="s">
        <v>518</v>
      </c>
      <c r="EV22" s="167" t="s">
        <v>520</v>
      </c>
      <c r="EW22" s="167" t="s">
        <v>523</v>
      </c>
      <c r="EX22" s="167" t="s">
        <v>524</v>
      </c>
    </row>
    <row r="23" spans="1:154" ht="15.75" thickBot="1">
      <c r="A23" s="170">
        <v>1</v>
      </c>
      <c r="B23" s="170" t="s">
        <v>511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372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525</v>
      </c>
      <c r="BS23" s="85" t="s">
        <v>513</v>
      </c>
      <c r="BT23" s="85" t="s">
        <v>514</v>
      </c>
      <c r="BU23" s="85" t="s">
        <v>515</v>
      </c>
      <c r="BV23" s="85">
        <f>BQ23+100</f>
        <v>88363322</v>
      </c>
      <c r="BW23" s="85">
        <v>34</v>
      </c>
      <c r="BX23" s="170">
        <v>1</v>
      </c>
      <c r="BY23" s="170" t="s">
        <v>519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512</v>
      </c>
      <c r="EP23" s="85" t="s">
        <v>513</v>
      </c>
      <c r="EQ23" s="85" t="s">
        <v>514</v>
      </c>
      <c r="ER23" s="85" t="s">
        <v>515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150.27000000000001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4" t="s">
        <v>194</v>
      </c>
      <c r="CE26" s="245"/>
      <c r="CF26" s="247">
        <f>CE24</f>
        <v>1000</v>
      </c>
      <c r="CG26" s="247"/>
      <c r="CH26" s="186"/>
      <c r="CI26" s="137"/>
      <c r="CJ26" s="251" t="s">
        <v>195</v>
      </c>
      <c r="CK26" s="252"/>
      <c r="CL26" s="252"/>
      <c r="CM26" s="25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0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4" t="s">
        <v>196</v>
      </c>
      <c r="CE27" s="245"/>
      <c r="CF27" s="247">
        <f>CO24</f>
        <v>0</v>
      </c>
      <c r="CG27" s="247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150.27000000000001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4" t="s">
        <v>197</v>
      </c>
      <c r="CE28" s="245"/>
      <c r="CF28" s="247">
        <f>CP24</f>
        <v>1000</v>
      </c>
      <c r="CG28" s="247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27.04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4" t="s">
        <v>198</v>
      </c>
      <c r="CE29" s="245"/>
      <c r="CF29" s="247">
        <f>CY24</f>
        <v>180</v>
      </c>
      <c r="CG29" s="247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177.31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4" t="s">
        <v>199</v>
      </c>
      <c r="CE30" s="245"/>
      <c r="CF30" s="246">
        <f>CF28+CF29</f>
        <v>1180</v>
      </c>
      <c r="CG30" s="246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48" t="s">
        <v>154</v>
      </c>
      <c r="BS1" s="248"/>
      <c r="BT1" s="248"/>
      <c r="BU1" s="248"/>
      <c r="BV1" s="248"/>
      <c r="BW1" s="248"/>
      <c r="BX1" s="248"/>
      <c r="BY1" s="248"/>
      <c r="BZ1" s="248"/>
      <c r="CA1" s="248"/>
      <c r="CB1" s="248"/>
      <c r="CC1" s="248"/>
      <c r="CD1" s="248"/>
      <c r="CE1" s="248"/>
      <c r="CF1" s="248"/>
      <c r="CG1" s="248"/>
      <c r="CH1" s="248"/>
      <c r="CI1" s="248"/>
      <c r="CJ1" s="248"/>
      <c r="CK1" s="248"/>
      <c r="CL1" s="248"/>
      <c r="CM1" s="248"/>
      <c r="CN1" s="248"/>
      <c r="CO1" s="248"/>
      <c r="CP1" s="248"/>
      <c r="CQ1" s="248"/>
      <c r="CR1" s="248"/>
      <c r="CS1" s="248"/>
      <c r="CT1" s="248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49" t="s">
        <v>87</v>
      </c>
      <c r="BT19" s="249"/>
      <c r="BU19" s="249"/>
      <c r="BV19" s="249"/>
      <c r="BW19" s="249"/>
      <c r="BX19" s="249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50" t="s">
        <v>89</v>
      </c>
      <c r="BS21" s="250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526</v>
      </c>
      <c r="EJ22" s="197" t="s">
        <v>505</v>
      </c>
      <c r="EK22" s="197" t="s">
        <v>527</v>
      </c>
      <c r="EL22" s="197" t="s">
        <v>528</v>
      </c>
      <c r="EM22" s="197" t="s">
        <v>506</v>
      </c>
      <c r="EN22" s="197" t="s">
        <v>507</v>
      </c>
      <c r="EO22" s="197" t="s">
        <v>508</v>
      </c>
      <c r="EP22" s="197" t="s">
        <v>509</v>
      </c>
      <c r="EQ22" s="197" t="s">
        <v>529</v>
      </c>
      <c r="ER22" s="198" t="s">
        <v>53</v>
      </c>
    </row>
    <row r="23" spans="1:148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360</v>
      </c>
      <c r="H23" s="171">
        <f>F23*G23</f>
        <v>7200</v>
      </c>
      <c r="I23" t="s">
        <v>263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531</v>
      </c>
      <c r="AT23" s="176" t="s">
        <v>58</v>
      </c>
      <c r="AU23" t="s">
        <v>239</v>
      </c>
      <c r="AV23" t="s">
        <v>532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534</v>
      </c>
      <c r="BN23" t="s">
        <v>535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530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263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531</v>
      </c>
      <c r="DK23" s="176" t="s">
        <v>58</v>
      </c>
      <c r="DL23" t="s">
        <v>239</v>
      </c>
      <c r="DM23" t="s">
        <v>536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533</v>
      </c>
      <c r="ED23" t="s">
        <v>537</v>
      </c>
      <c r="EE23" t="s">
        <v>463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538</v>
      </c>
      <c r="EJ23" s="199" t="s">
        <v>512</v>
      </c>
      <c r="EK23" s="199">
        <v>10100</v>
      </c>
      <c r="EL23" s="199" t="s">
        <v>539</v>
      </c>
      <c r="EM23" s="200" t="s">
        <v>540</v>
      </c>
      <c r="EN23" s="199" t="s">
        <v>514</v>
      </c>
      <c r="EO23" s="201" t="s">
        <v>541</v>
      </c>
      <c r="EP23" s="199">
        <v>450</v>
      </c>
      <c r="EQ23" s="199" t="s">
        <v>542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7200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44" t="s">
        <v>194</v>
      </c>
      <c r="BY26" s="245"/>
      <c r="BZ26" s="247">
        <f>BY24</f>
        <v>13200</v>
      </c>
      <c r="CA26" s="247"/>
      <c r="CB26" s="186"/>
      <c r="CC26" s="137"/>
      <c r="CD26" s="251" t="s">
        <v>195</v>
      </c>
      <c r="CE26" s="252"/>
      <c r="CF26" s="252"/>
      <c r="CG26" s="253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7" t="s">
        <v>375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526.79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44" t="s">
        <v>196</v>
      </c>
      <c r="BY27" s="245"/>
      <c r="BZ27" s="247">
        <f>CI24</f>
        <v>965.78</v>
      </c>
      <c r="CA27" s="247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7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6673.21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44" t="s">
        <v>197</v>
      </c>
      <c r="BY28" s="245"/>
      <c r="BZ28" s="247">
        <f>CJ24</f>
        <v>12234.22</v>
      </c>
      <c r="CA28" s="247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1201.18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44" t="s">
        <v>198</v>
      </c>
      <c r="BY29" s="245"/>
      <c r="BZ29" s="247">
        <f>CS24</f>
        <v>2202.16</v>
      </c>
      <c r="CA29" s="247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7874.39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44" t="s">
        <v>199</v>
      </c>
      <c r="BY30" s="245"/>
      <c r="BZ30" s="246">
        <f>BZ28+BZ29</f>
        <v>14436.38</v>
      </c>
      <c r="CA30" s="246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575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716.08</v>
      </c>
      <c r="AC23" s="170">
        <f>IF($V21=1,S23+AB23,S23)</f>
        <v>3978.23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491.36716999999999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575</v>
      </c>
      <c r="H24" s="171">
        <f>F24*G24</f>
        <v>4100</v>
      </c>
      <c r="I24">
        <v>0</v>
      </c>
      <c r="J24" s="171">
        <v>0</v>
      </c>
      <c r="K24" s="171">
        <v>0</v>
      </c>
      <c r="L24" s="171">
        <f>H24</f>
        <v>4100</v>
      </c>
      <c r="M24" s="171">
        <f>ROUND(L24*I24%,2)</f>
        <v>0</v>
      </c>
      <c r="N24" s="171">
        <f>H24-M24</f>
        <v>4100</v>
      </c>
      <c r="O24" s="171">
        <f>ROUND(N24*J24%,2)</f>
        <v>0</v>
      </c>
      <c r="P24" s="171">
        <f>ROUND(N24-O24,2)</f>
        <v>4100</v>
      </c>
      <c r="Q24" s="171">
        <f>ROUND(P24*K24%,2)</f>
        <v>0</v>
      </c>
      <c r="R24" s="171">
        <f>ROUND((M24+O24+Q24),2)</f>
        <v>0</v>
      </c>
      <c r="S24" s="171">
        <f>ROUND((H24-R24),2)</f>
        <v>4100</v>
      </c>
      <c r="T24" s="172" t="s">
        <v>146</v>
      </c>
      <c r="U24" s="173">
        <v>0.18</v>
      </c>
      <c r="V24" s="171">
        <f>IF(OR($C$21=1,$C$21=4),ROUND(((S24*U24)/2),2),0)</f>
        <v>369</v>
      </c>
      <c r="W24" s="171">
        <f>IF($C$21=1,ROUND(((S24*U24)/2),2),0)</f>
        <v>369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738</v>
      </c>
      <c r="AC24" s="170">
        <f>IF($V21=1,S24+AB24,S24)</f>
        <v>4100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4100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4100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4100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4100</v>
      </c>
      <c r="AY24" s="176">
        <f>AU24+AW24</f>
        <v>1</v>
      </c>
      <c r="AZ24" s="176">
        <f>ROUND(((AU24*AV24)+(AW24*AX24))/(AU24+AW24),5)</f>
        <v>4100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492.02184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2588.08</v>
      </c>
      <c r="AC28" s="184">
        <f>SUM(AC23:AC27)</f>
        <v>14378.23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14378</v>
      </c>
      <c r="AU28">
        <f>AT28-AC28</f>
        <v>-0.22999999999956344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194</v>
      </c>
      <c r="H30" s="245"/>
      <c r="I30" s="247">
        <f>H28</f>
        <v>2100</v>
      </c>
      <c r="J30" s="247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4" t="s">
        <v>196</v>
      </c>
      <c r="H31" s="245"/>
      <c r="I31" s="247">
        <f>R28</f>
        <v>0</v>
      </c>
      <c r="J31" s="247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4" t="s">
        <v>197</v>
      </c>
      <c r="H32" s="245"/>
      <c r="I32" s="247">
        <f>S28</f>
        <v>2100</v>
      </c>
      <c r="J32" s="247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4" t="s">
        <v>198</v>
      </c>
      <c r="H33" s="245"/>
      <c r="I33" s="247">
        <f>AB28</f>
        <v>2588.08</v>
      </c>
      <c r="J33" s="247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4" t="s">
        <v>199</v>
      </c>
      <c r="H34" s="245"/>
      <c r="I34" s="246">
        <f>I32+I33</f>
        <v>4688.08</v>
      </c>
      <c r="J34" s="246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C21" sqref="C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556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556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194</v>
      </c>
      <c r="H30" s="245"/>
      <c r="I30" s="247">
        <f>H28</f>
        <v>2100</v>
      </c>
      <c r="J30" s="247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4" t="s">
        <v>196</v>
      </c>
      <c r="H31" s="245"/>
      <c r="I31" s="247">
        <f>R28</f>
        <v>0</v>
      </c>
      <c r="J31" s="247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4" t="s">
        <v>197</v>
      </c>
      <c r="H32" s="245"/>
      <c r="I32" s="247">
        <f>S28</f>
        <v>13984.17</v>
      </c>
      <c r="J32" s="247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4" t="s">
        <v>198</v>
      </c>
      <c r="H33" s="245"/>
      <c r="I33" s="247">
        <f>AB28</f>
        <v>2517.16</v>
      </c>
      <c r="J33" s="247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4" t="s">
        <v>199</v>
      </c>
      <c r="H34" s="245"/>
      <c r="I34" s="246">
        <f>I32+I33</f>
        <v>16501.330000000002</v>
      </c>
      <c r="J34" s="246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P19" workbookViewId="0">
      <selection activeCell="V21" sqref="V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680.03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474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8822.0299999999988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8822</v>
      </c>
      <c r="AU28">
        <f>AT28-AC28</f>
        <v>-2.9999999998835847E-2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194</v>
      </c>
      <c r="H30" s="245"/>
      <c r="I30" s="247">
        <f>H28</f>
        <v>2100</v>
      </c>
      <c r="J30" s="247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4" t="s">
        <v>196</v>
      </c>
      <c r="H31" s="245"/>
      <c r="I31" s="247">
        <f>R28</f>
        <v>0</v>
      </c>
      <c r="J31" s="247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4" t="s">
        <v>197</v>
      </c>
      <c r="H32" s="245"/>
      <c r="I32" s="247">
        <f>S28</f>
        <v>2100</v>
      </c>
      <c r="J32" s="247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4" t="s">
        <v>198</v>
      </c>
      <c r="H33" s="245"/>
      <c r="I33" s="247">
        <f>AB28</f>
        <v>1345.73</v>
      </c>
      <c r="J33" s="247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4" t="s">
        <v>199</v>
      </c>
      <c r="H34" s="245"/>
      <c r="I34" s="246">
        <f>I32+I33</f>
        <v>3445.73</v>
      </c>
      <c r="J34" s="246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Q19" workbookViewId="0">
      <selection activeCell="F24" sqref="F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1400</v>
      </c>
      <c r="I23">
        <v>2</v>
      </c>
      <c r="J23" s="171">
        <v>1</v>
      </c>
      <c r="K23" s="171">
        <v>1</v>
      </c>
      <c r="L23" s="171">
        <f>H23</f>
        <v>1400</v>
      </c>
      <c r="M23" s="171">
        <f>ROUND(L23*I23%,2)</f>
        <v>28</v>
      </c>
      <c r="N23" s="171">
        <f>H23-M23</f>
        <v>1372</v>
      </c>
      <c r="O23" s="171">
        <f>ROUND(N23*J23%,2)</f>
        <v>13.72</v>
      </c>
      <c r="P23" s="171">
        <f>ROUND(N23-O23,2)</f>
        <v>1358.28</v>
      </c>
      <c r="Q23" s="171">
        <f>ROUND(P23*K23%,2)</f>
        <v>13.58</v>
      </c>
      <c r="R23" s="171">
        <f>ROUND((M23+O23+Q23),2)</f>
        <v>55.3</v>
      </c>
      <c r="S23" s="171">
        <f>ROUND((H23-R23),2)</f>
        <v>1344.7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242.05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242.05</v>
      </c>
      <c r="AC23" s="170">
        <f>IF($V21=1,S23+AB23,S23)</f>
        <v>1586.75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1344.7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672.35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672.35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2</v>
      </c>
      <c r="AX23" s="176">
        <f>AR23</f>
        <v>672.35</v>
      </c>
      <c r="AY23" s="176">
        <f>AU23+AW23</f>
        <v>2</v>
      </c>
      <c r="AZ23" s="176">
        <f>ROUND(((AU23*AV23)+(AW23*AX23))/(AU23+AW23),5)</f>
        <v>672.35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474.65649000000002</v>
      </c>
      <c r="BP23" s="87">
        <f>BN23+AW23</f>
        <v>187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474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700</v>
      </c>
      <c r="I24">
        <v>0</v>
      </c>
      <c r="J24" s="171">
        <v>0</v>
      </c>
      <c r="K24" s="171">
        <v>0</v>
      </c>
      <c r="L24" s="171">
        <f>H24</f>
        <v>700</v>
      </c>
      <c r="M24" s="171">
        <f>ROUND(L24*I24%,2)</f>
        <v>0</v>
      </c>
      <c r="N24" s="171">
        <f>H24-M24</f>
        <v>700</v>
      </c>
      <c r="O24" s="171">
        <f>ROUND(N24*J24%,2)</f>
        <v>0</v>
      </c>
      <c r="P24" s="171">
        <f>ROUND(N24-O24,2)</f>
        <v>700</v>
      </c>
      <c r="Q24" s="171">
        <f>ROUND(P24*K24%,2)</f>
        <v>0</v>
      </c>
      <c r="R24" s="171">
        <f>ROUND((M24+O24+Q24),2)</f>
        <v>0</v>
      </c>
      <c r="S24" s="171">
        <f>ROUND((H24-R24),2)</f>
        <v>700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126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126</v>
      </c>
      <c r="AC24" s="170">
        <f>IF($V21=1,S24+AB24,S24)</f>
        <v>826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700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700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700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700</v>
      </c>
      <c r="AY24" s="176">
        <f>AU24+AW24</f>
        <v>1</v>
      </c>
      <c r="AZ24" s="176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473.74227000000002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1502.05</v>
      </c>
      <c r="AC28" s="184">
        <f>SUM(AC23:AC27)</f>
        <v>9846.75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8344.7000000000007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9847</v>
      </c>
      <c r="AU28">
        <f>AT28-AC28</f>
        <v>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194</v>
      </c>
      <c r="H30" s="245"/>
      <c r="I30" s="247">
        <f>H28</f>
        <v>2100</v>
      </c>
      <c r="J30" s="247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4" t="s">
        <v>196</v>
      </c>
      <c r="H31" s="245"/>
      <c r="I31" s="247">
        <f>R28</f>
        <v>0</v>
      </c>
      <c r="J31" s="247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4" t="s">
        <v>197</v>
      </c>
      <c r="H32" s="245"/>
      <c r="I32" s="247">
        <f>S28</f>
        <v>2100</v>
      </c>
      <c r="J32" s="247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4" t="s">
        <v>198</v>
      </c>
      <c r="H33" s="245"/>
      <c r="I33" s="247">
        <f>AB28</f>
        <v>1502.05</v>
      </c>
      <c r="J33" s="247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4" t="s">
        <v>199</v>
      </c>
      <c r="H34" s="245"/>
      <c r="I34" s="246">
        <f>I32+I33</f>
        <v>3602.05</v>
      </c>
      <c r="J34" s="246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A24" sqref="A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>
        <v>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472.53447999999997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2</v>
      </c>
      <c r="B24" s="170" t="s">
        <v>554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254</v>
      </c>
      <c r="H24" s="171">
        <f>F24*G24</f>
        <v>500</v>
      </c>
      <c r="I24">
        <v>0</v>
      </c>
      <c r="J24" s="171">
        <v>0</v>
      </c>
      <c r="K24" s="171">
        <v>0</v>
      </c>
      <c r="L24" s="171">
        <f>H24</f>
        <v>500</v>
      </c>
      <c r="M24" s="171">
        <f>ROUND(L24*I24%,2)</f>
        <v>0</v>
      </c>
      <c r="N24" s="171">
        <f>H24-M24</f>
        <v>500</v>
      </c>
      <c r="O24" s="171">
        <f>ROUND(N24*J24%,2)</f>
        <v>0</v>
      </c>
      <c r="P24" s="171">
        <f>ROUND(N24-O24,2)</f>
        <v>500</v>
      </c>
      <c r="Q24" s="171">
        <f>ROUND(P24*K24%,2)</f>
        <v>0</v>
      </c>
      <c r="R24" s="171">
        <f>ROUND((M24+O24+Q24),2)</f>
        <v>0</v>
      </c>
      <c r="S24" s="171">
        <f>ROUND((H24-R24),2)</f>
        <v>500</v>
      </c>
      <c r="T24" s="172" t="s">
        <v>146</v>
      </c>
      <c r="U24" s="173">
        <v>0.18</v>
      </c>
      <c r="V24" s="171">
        <f>IF(OR($C$21=1,$C$21=4),ROUND(((S24*U24)/2),2),0)</f>
        <v>45</v>
      </c>
      <c r="W24" s="171">
        <f>IF($C$21=1,ROUND(((S24*U24)/2),2),0)</f>
        <v>45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90</v>
      </c>
      <c r="AC24" s="170">
        <f>IF($V21=1,S24+AB24,S24)</f>
        <v>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500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500</v>
      </c>
      <c r="AY24" s="176">
        <f>AU24+AW24</f>
        <v>1</v>
      </c>
      <c r="AZ24" s="176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472.66701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3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1309.56</v>
      </c>
      <c r="AC28" s="184">
        <f>SUM(AC23:AC27)</f>
        <v>7275.35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194</v>
      </c>
      <c r="H30" s="245"/>
      <c r="I30" s="247">
        <f>H28</f>
        <v>2100</v>
      </c>
      <c r="J30" s="247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4" t="s">
        <v>196</v>
      </c>
      <c r="H31" s="245"/>
      <c r="I31" s="247">
        <f>R28</f>
        <v>0</v>
      </c>
      <c r="J31" s="247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4" t="s">
        <v>197</v>
      </c>
      <c r="H32" s="245"/>
      <c r="I32" s="247">
        <f>S28</f>
        <v>2100</v>
      </c>
      <c r="J32" s="247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4" t="s">
        <v>198</v>
      </c>
      <c r="H33" s="245"/>
      <c r="I33" s="247">
        <f>AB28</f>
        <v>1309.56</v>
      </c>
      <c r="J33" s="247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4" t="s">
        <v>199</v>
      </c>
      <c r="H34" s="245"/>
      <c r="I34" s="246">
        <f>I32+I33</f>
        <v>3409.56</v>
      </c>
      <c r="J34" s="246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A10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522</v>
      </c>
      <c r="H23" s="171">
        <f>F23*G23</f>
        <v>1500</v>
      </c>
      <c r="I23">
        <v>1</v>
      </c>
      <c r="J23" s="171">
        <v>1</v>
      </c>
      <c r="K23" s="171">
        <v>1</v>
      </c>
      <c r="L23" s="171">
        <f>H23</f>
        <v>1500</v>
      </c>
      <c r="M23" s="171">
        <f>ROUND(L23*I23%,2)</f>
        <v>15</v>
      </c>
      <c r="N23" s="171">
        <f>H23-M23</f>
        <v>1485</v>
      </c>
      <c r="O23" s="171">
        <f>ROUND(N23*J23%,2)</f>
        <v>14.85</v>
      </c>
      <c r="P23" s="171">
        <f>ROUND(N23-O23,2)</f>
        <v>1470.15</v>
      </c>
      <c r="Q23" s="171">
        <f>ROUND(P23*K23%,2)</f>
        <v>14.7</v>
      </c>
      <c r="R23" s="171">
        <f>ROUND((M23+O23+Q23),2)</f>
        <v>44.55</v>
      </c>
      <c r="S23" s="171">
        <f>ROUND((H23-R23),2)</f>
        <v>1455.45</v>
      </c>
      <c r="T23" s="172" t="s">
        <v>146</v>
      </c>
      <c r="U23" s="173">
        <v>0.18</v>
      </c>
      <c r="V23" s="171">
        <f>IF(OR($C$21=1,$C$21=4),ROUND(((S23*U23)/2),2),0)</f>
        <v>130.99</v>
      </c>
      <c r="W23" s="171">
        <f>IF($C$21=1,ROUND(((S23*U23)/2),2),0)</f>
        <v>130.99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261.98</v>
      </c>
      <c r="AC23" s="170">
        <f>IF($V21=1,S23+AB23,S23)</f>
        <v>1717.43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1455.45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1455.45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1455.45</v>
      </c>
      <c r="AS23" s="176" t="s">
        <v>531</v>
      </c>
      <c r="AT23" s="176" t="s">
        <v>58</v>
      </c>
      <c r="AU23" t="s">
        <v>239</v>
      </c>
      <c r="AV23" t="s">
        <v>543</v>
      </c>
      <c r="AW23" s="176">
        <f>AM23</f>
        <v>1</v>
      </c>
      <c r="AX23" s="176">
        <f>AR23</f>
        <v>1455.45</v>
      </c>
      <c r="AY23" s="176">
        <f>AU23+AW23</f>
        <v>1</v>
      </c>
      <c r="AZ23" s="176">
        <f>ROUND(((AU23*AV23)+(AW23*AX23))/(AU23+AW23),5)</f>
        <v>1455.45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544</v>
      </c>
      <c r="BN23" t="s">
        <v>545</v>
      </c>
      <c r="BO23" s="176">
        <f>ROUND((((AW23*AZ23)+(BN23*BM23))/(AW23+BN23)),5)</f>
        <v>477.80383</v>
      </c>
      <c r="BP23" s="87">
        <f>BN23+AW23</f>
        <v>186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546</v>
      </c>
      <c r="CA23" s="202">
        <v>60</v>
      </c>
    </row>
    <row r="24" spans="1:79" ht="15.75" thickBot="1">
      <c r="A24" s="170">
        <v>1</v>
      </c>
      <c r="B24" s="170" t="s">
        <v>530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522</v>
      </c>
      <c r="H24" s="171">
        <f>F24*G24</f>
        <v>1500</v>
      </c>
      <c r="I24">
        <v>0</v>
      </c>
      <c r="J24" s="171">
        <v>0</v>
      </c>
      <c r="K24" s="171">
        <v>0</v>
      </c>
      <c r="L24" s="171">
        <f>H24</f>
        <v>1500</v>
      </c>
      <c r="M24" s="171">
        <f>ROUND(L24*I24%,2)</f>
        <v>0</v>
      </c>
      <c r="N24" s="171">
        <f>H24-M24</f>
        <v>1500</v>
      </c>
      <c r="O24" s="171">
        <f>ROUND(N24*J24%,2)</f>
        <v>0</v>
      </c>
      <c r="P24" s="171">
        <f>ROUND(N24-O24,2)</f>
        <v>1500</v>
      </c>
      <c r="Q24" s="171">
        <f>ROUND(P24*K24%,2)</f>
        <v>0</v>
      </c>
      <c r="R24" s="171">
        <f>ROUND((M24+O24+Q24),2)</f>
        <v>0</v>
      </c>
      <c r="S24" s="171">
        <f>ROUND((H24-R24),2)</f>
        <v>1500</v>
      </c>
      <c r="T24" s="172" t="s">
        <v>146</v>
      </c>
      <c r="U24" s="173">
        <v>0.18</v>
      </c>
      <c r="V24" s="171">
        <f>IF(OR($C$21=1,$C$21=4),ROUND(((S24*U24)/2),2),0)</f>
        <v>135</v>
      </c>
      <c r="W24" s="171">
        <f>IF($C$21=1,ROUND(((S24*U24)/2),2),0)</f>
        <v>135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270</v>
      </c>
      <c r="AC24" s="170">
        <f>IF($V21=1,S24+AB24,S24)</f>
        <v>1770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1500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1500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1500</v>
      </c>
      <c r="AS24" s="176" t="s">
        <v>531</v>
      </c>
      <c r="AT24" s="176" t="s">
        <v>58</v>
      </c>
      <c r="AU24" t="s">
        <v>239</v>
      </c>
      <c r="AV24" t="s">
        <v>543</v>
      </c>
      <c r="AW24" s="176">
        <f>AM24</f>
        <v>1</v>
      </c>
      <c r="AX24" s="176">
        <f>AR24</f>
        <v>1500</v>
      </c>
      <c r="AY24" s="176">
        <f>AU24+AW24</f>
        <v>1</v>
      </c>
      <c r="AZ24" s="176">
        <f>ROUND(((AU24*AV24)+(AW24*AX24))/(AU24+AW24),5)</f>
        <v>1500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533</v>
      </c>
      <c r="BM24" t="s">
        <v>544</v>
      </c>
      <c r="BN24" t="s">
        <v>545</v>
      </c>
      <c r="BO24" s="176">
        <f>ROUND((((AW24*AZ24)+(BN24*BM24))/(AW24+BN24)),5)</f>
        <v>478.04334999999998</v>
      </c>
      <c r="BP24" s="87">
        <f>BN24+AW24</f>
        <v>186</v>
      </c>
      <c r="BQ24" s="88">
        <v>88363222</v>
      </c>
      <c r="BR24" s="199" t="s">
        <v>538</v>
      </c>
      <c r="BS24" s="199" t="s">
        <v>512</v>
      </c>
      <c r="BT24" s="199">
        <v>10100</v>
      </c>
      <c r="BU24" s="199" t="s">
        <v>539</v>
      </c>
      <c r="BV24" s="200" t="s">
        <v>540</v>
      </c>
      <c r="BW24" s="199" t="s">
        <v>514</v>
      </c>
      <c r="BX24" s="201" t="s">
        <v>541</v>
      </c>
      <c r="BY24" s="199">
        <v>800</v>
      </c>
      <c r="BZ24" s="199" t="s">
        <v>546</v>
      </c>
      <c r="CA24" s="202">
        <v>70</v>
      </c>
    </row>
    <row r="25" spans="1:79" ht="15.75" thickBot="1">
      <c r="A25" s="170">
        <v>1</v>
      </c>
      <c r="B25" s="170" t="s">
        <v>547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531</v>
      </c>
      <c r="AT25" s="176" t="s">
        <v>58</v>
      </c>
      <c r="AU25" t="s">
        <v>239</v>
      </c>
      <c r="AV25" t="s">
        <v>543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533</v>
      </c>
      <c r="BM25" t="s">
        <v>544</v>
      </c>
      <c r="BN25" t="s">
        <v>545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548</v>
      </c>
      <c r="BS25" s="199" t="s">
        <v>549</v>
      </c>
      <c r="BT25" s="199">
        <v>10101</v>
      </c>
      <c r="BU25" s="199" t="s">
        <v>550</v>
      </c>
      <c r="BV25" s="200" t="s">
        <v>540</v>
      </c>
      <c r="BW25" s="199" t="s">
        <v>514</v>
      </c>
      <c r="BX25" s="203" t="s">
        <v>49</v>
      </c>
      <c r="BY25" s="199">
        <v>400</v>
      </c>
      <c r="BZ25" s="199" t="s">
        <v>546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531</v>
      </c>
      <c r="AT26" s="176" t="s">
        <v>58</v>
      </c>
      <c r="AU26" t="s">
        <v>239</v>
      </c>
      <c r="AV26" t="s">
        <v>543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533</v>
      </c>
      <c r="BM26" t="s">
        <v>544</v>
      </c>
      <c r="BN26" t="s">
        <v>545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548</v>
      </c>
      <c r="BS26" s="199" t="s">
        <v>549</v>
      </c>
      <c r="BT26" s="199">
        <v>10101</v>
      </c>
      <c r="BU26" s="199" t="s">
        <v>550</v>
      </c>
      <c r="BV26" s="200" t="s">
        <v>540</v>
      </c>
      <c r="BW26" s="199" t="s">
        <v>514</v>
      </c>
      <c r="BX26" s="203" t="s">
        <v>49</v>
      </c>
      <c r="BY26" s="199">
        <v>400</v>
      </c>
      <c r="BZ26" s="199" t="s">
        <v>546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531</v>
      </c>
      <c r="AT27" s="176" t="s">
        <v>58</v>
      </c>
      <c r="AU27">
        <v>0</v>
      </c>
      <c r="AV27" t="s">
        <v>543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533</v>
      </c>
      <c r="BM27" t="s">
        <v>544</v>
      </c>
      <c r="BN27" t="s">
        <v>545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548</v>
      </c>
      <c r="BS27" s="199" t="s">
        <v>549</v>
      </c>
      <c r="BT27" s="199">
        <v>10101</v>
      </c>
      <c r="BU27" s="199" t="s">
        <v>550</v>
      </c>
      <c r="BV27" s="200" t="s">
        <v>540</v>
      </c>
      <c r="BW27" s="199" t="s">
        <v>514</v>
      </c>
      <c r="BX27" s="203" t="s">
        <v>49</v>
      </c>
      <c r="BY27" s="199">
        <v>400</v>
      </c>
      <c r="BZ27" s="199" t="s">
        <v>546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1665.98</v>
      </c>
      <c r="AC28" s="184">
        <f>SUM(AC23:AC27)</f>
        <v>10921.43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10921</v>
      </c>
      <c r="AU28">
        <f>AT28-AC28</f>
        <v>-0.43000000000029104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194</v>
      </c>
      <c r="H30" s="245"/>
      <c r="I30" s="247">
        <f>H28</f>
        <v>2100</v>
      </c>
      <c r="J30" s="247"/>
      <c r="K30" s="186"/>
      <c r="L30" s="137"/>
      <c r="M30" s="251" t="s">
        <v>195</v>
      </c>
      <c r="N30" s="252"/>
      <c r="O30" s="252"/>
      <c r="P30" s="253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4" t="s">
        <v>196</v>
      </c>
      <c r="H31" s="245"/>
      <c r="I31" s="247">
        <f>R28</f>
        <v>0</v>
      </c>
      <c r="J31" s="247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4" t="s">
        <v>197</v>
      </c>
      <c r="H32" s="245"/>
      <c r="I32" s="247">
        <f>S28</f>
        <v>2100</v>
      </c>
      <c r="J32" s="247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4" t="s">
        <v>198</v>
      </c>
      <c r="H33" s="245"/>
      <c r="I33" s="247">
        <f>AB28</f>
        <v>1665.98</v>
      </c>
      <c r="J33" s="247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4" t="s">
        <v>199</v>
      </c>
      <c r="H34" s="245"/>
      <c r="I34" s="246">
        <f>I32+I33</f>
        <v>3765.98</v>
      </c>
      <c r="J34" s="246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A7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0" t="s">
        <v>89</v>
      </c>
      <c r="B21" s="25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551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562</v>
      </c>
      <c r="BN23" t="s">
        <v>561</v>
      </c>
      <c r="BO23" s="176">
        <f>ROUND((((AW23*AZ23)+(BN23*BM23))/(AW23+BN23)),5)</f>
        <v>571.52639999999997</v>
      </c>
      <c r="BP23" s="87">
        <f>BN23+AW23</f>
        <v>50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1200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47.4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1152.5999999999999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207.47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1360.07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0" t="s">
        <v>89</v>
      </c>
      <c r="B21" s="250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551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564</v>
      </c>
      <c r="BN23" t="s">
        <v>563</v>
      </c>
      <c r="BO23" s="176">
        <f>ROUND((((AW23*AZ23)+(BN23*BM23))/(AW23+BN23)),5)</f>
        <v>571.60799999999995</v>
      </c>
      <c r="BP23" s="87">
        <f>BN23+AW23</f>
        <v>130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600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23.7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576.29999999999995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103.73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680.03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0" t="s">
        <v>89</v>
      </c>
      <c r="B21" s="25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575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531</v>
      </c>
      <c r="AT23" s="176" t="s">
        <v>58</v>
      </c>
      <c r="AU23" t="s">
        <v>239</v>
      </c>
      <c r="AV23" t="s">
        <v>572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574</v>
      </c>
      <c r="BN23" t="s">
        <v>573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4100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121.77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3978.23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716.08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4694.3100000000004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0" t="s">
        <v>89</v>
      </c>
      <c r="B21" s="25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560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531</v>
      </c>
      <c r="AT23" s="176" t="s">
        <v>58</v>
      </c>
      <c r="AU23" t="s">
        <v>239</v>
      </c>
      <c r="AV23" t="s">
        <v>557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559</v>
      </c>
      <c r="BN23" t="s">
        <v>558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4100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121.77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3978.23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716.08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4694.3100000000004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A38"/>
  <sheetViews>
    <sheetView topLeftCell="AJ25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50" t="s">
        <v>89</v>
      </c>
      <c r="B21" s="25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526</v>
      </c>
      <c r="BS22" s="197" t="s">
        <v>505</v>
      </c>
      <c r="BT22" s="197" t="s">
        <v>527</v>
      </c>
      <c r="BU22" s="197" t="s">
        <v>528</v>
      </c>
      <c r="BV22" s="197" t="s">
        <v>506</v>
      </c>
      <c r="BW22" s="197" t="s">
        <v>507</v>
      </c>
      <c r="BX22" s="197" t="s">
        <v>508</v>
      </c>
      <c r="BY22" s="197" t="s">
        <v>509</v>
      </c>
      <c r="BZ22" s="197" t="s">
        <v>529</v>
      </c>
      <c r="CA22" s="198" t="s">
        <v>53</v>
      </c>
    </row>
    <row r="23" spans="1:79" ht="15.75" thickBot="1">
      <c r="A23" s="170">
        <v>1</v>
      </c>
      <c r="B23" s="170" t="s">
        <v>530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263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531</v>
      </c>
      <c r="AT23" s="176" t="s">
        <v>58</v>
      </c>
      <c r="AU23" t="s">
        <v>239</v>
      </c>
      <c r="AV23" t="s">
        <v>536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533</v>
      </c>
      <c r="BM23" t="s">
        <v>537</v>
      </c>
      <c r="BN23" t="s">
        <v>463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538</v>
      </c>
      <c r="BS23" s="199" t="s">
        <v>512</v>
      </c>
      <c r="BT23" s="199">
        <v>10100</v>
      </c>
      <c r="BU23" s="199" t="s">
        <v>539</v>
      </c>
      <c r="BV23" s="200" t="s">
        <v>540</v>
      </c>
      <c r="BW23" s="199" t="s">
        <v>514</v>
      </c>
      <c r="BX23" s="201" t="s">
        <v>541</v>
      </c>
      <c r="BY23" s="199">
        <v>450</v>
      </c>
      <c r="BZ23" s="199" t="s">
        <v>542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45600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3336.32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42263.68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7607.46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49871.14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BQ38"/>
  <sheetViews>
    <sheetView topLeftCell="A4" workbookViewId="0">
      <selection activeCell="B23" sqref="B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8" t="s">
        <v>154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50" t="s">
        <v>89</v>
      </c>
      <c r="B21" s="25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554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5</v>
      </c>
      <c r="N23" s="171">
        <f>H23-M23</f>
        <v>495</v>
      </c>
      <c r="O23" s="171">
        <f>ROUND(N23*J23%,2)</f>
        <v>4.95</v>
      </c>
      <c r="P23" s="171">
        <f>ROUND(N23-O23,2)</f>
        <v>490.05</v>
      </c>
      <c r="Q23" s="171">
        <f>ROUND(P23*K23%,2)</f>
        <v>4.9000000000000004</v>
      </c>
      <c r="R23" s="171">
        <f>ROUND((M23+O23+Q23),2)</f>
        <v>14.85</v>
      </c>
      <c r="S23" s="171">
        <f>ROUND((H23-R23),2)</f>
        <v>485.15</v>
      </c>
      <c r="T23" s="172" t="s">
        <v>146</v>
      </c>
      <c r="U23" s="173">
        <v>0.18</v>
      </c>
      <c r="V23" s="171">
        <f>IF(OR($C$21=1,$C$21=4),ROUND(((S23*U23)/2),2),0)</f>
        <v>43.66</v>
      </c>
      <c r="W23" s="171">
        <f>IF($C$21=1,ROUND(((S23*U23)/2),2),0)</f>
        <v>43.66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87.32</v>
      </c>
      <c r="AC23" s="170">
        <f>IF($V21=1,S23+AB23,S23)</f>
        <v>485.15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485.15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485.15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485.15</v>
      </c>
      <c r="AS23" s="176" t="s">
        <v>576</v>
      </c>
      <c r="AT23" s="176" t="s">
        <v>58</v>
      </c>
      <c r="AU23" t="s">
        <v>239</v>
      </c>
      <c r="AV23" t="s">
        <v>578</v>
      </c>
      <c r="AW23" s="176">
        <f>AM23</f>
        <v>1</v>
      </c>
      <c r="AX23" s="176">
        <f>AR23</f>
        <v>485.15</v>
      </c>
      <c r="AY23" s="176">
        <f>AU23+AW23</f>
        <v>1</v>
      </c>
      <c r="AZ23" s="176">
        <f>ROUND(((AU23*AV23)+(AW23*AX23))/(AU23+AW23),5)</f>
        <v>485.15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577</v>
      </c>
      <c r="BM23" t="s">
        <v>579</v>
      </c>
      <c r="BN23" t="s">
        <v>307</v>
      </c>
      <c r="BO23" s="176">
        <f>ROUND((((AW23*AZ23)+(BN23*BM23))/(AW23+BN23)),5)</f>
        <v>1229.7066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14.85</v>
      </c>
      <c r="S24" s="181">
        <f>SUM(S23)</f>
        <v>485.15</v>
      </c>
      <c r="T24" s="181"/>
      <c r="U24" s="181"/>
      <c r="V24" s="182">
        <f t="shared" ref="V24:AE24" si="1">SUM(V23)</f>
        <v>43.66</v>
      </c>
      <c r="W24" s="182">
        <f t="shared" si="1"/>
        <v>43.66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87.32</v>
      </c>
      <c r="AC24" s="184">
        <f t="shared" si="1"/>
        <v>485.15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485.15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485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4" t="s">
        <v>194</v>
      </c>
      <c r="H26" s="245"/>
      <c r="I26" s="247">
        <f>H24</f>
        <v>500</v>
      </c>
      <c r="J26" s="247"/>
      <c r="K26" s="186"/>
      <c r="L26" s="137"/>
      <c r="M26" s="251" t="s">
        <v>195</v>
      </c>
      <c r="N26" s="252"/>
      <c r="O26" s="252"/>
      <c r="P26" s="253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4" t="s">
        <v>196</v>
      </c>
      <c r="H27" s="245"/>
      <c r="I27" s="247">
        <f>R24</f>
        <v>14.85</v>
      </c>
      <c r="J27" s="247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4" t="s">
        <v>197</v>
      </c>
      <c r="H28" s="245"/>
      <c r="I28" s="247">
        <f>S24</f>
        <v>485.15</v>
      </c>
      <c r="J28" s="247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4" t="s">
        <v>198</v>
      </c>
      <c r="H29" s="245"/>
      <c r="I29" s="247">
        <f>AB24</f>
        <v>87.32</v>
      </c>
      <c r="J29" s="247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4" t="s">
        <v>199</v>
      </c>
      <c r="H30" s="245"/>
      <c r="I30" s="246">
        <f>I28+I29</f>
        <v>572.47</v>
      </c>
      <c r="J30" s="246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4" t="s">
        <v>46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50" t="s">
        <v>89</v>
      </c>
      <c r="B21" s="25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42.18</v>
      </c>
      <c r="W23" s="171">
        <f>IF($C$21=1,ROUND(((S23*U23)/2),2),0)</f>
        <v>42.18</v>
      </c>
      <c r="X23" s="171">
        <f>IF($C$21=2,ROUND(((S23*U23)),2),0)</f>
        <v>0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42.18</v>
      </c>
      <c r="W24" s="217">
        <f t="shared" si="5"/>
        <v>42.18</v>
      </c>
      <c r="X24" s="217">
        <f t="shared" si="5"/>
        <v>0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1" sqref="D1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4" t="s">
        <v>46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49" t="s">
        <v>87</v>
      </c>
      <c r="C19" s="249"/>
      <c r="D19" s="249"/>
      <c r="E19" s="249"/>
      <c r="F19" s="249"/>
      <c r="G19" s="249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50" t="s">
        <v>89</v>
      </c>
      <c r="B21" s="25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84.36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0</v>
      </c>
      <c r="W24" s="217">
        <f t="shared" si="5"/>
        <v>0</v>
      </c>
      <c r="X24" s="217">
        <f t="shared" si="5"/>
        <v>84.36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2026-01-06T05:03:43Z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