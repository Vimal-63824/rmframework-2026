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920" firstSheet="75" activeTab="75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led" sheetId="23" r:id="rId11"/>
    <sheet name="PriceListGenWOQE" sheetId="27" r:id="rId12"/>
    <sheet name="POWithRateContractGen" sheetId="8" r:id="rId13"/>
    <sheet name="POwithoutQualityRateGen" sheetId="25" r:id="rId14"/>
    <sheet name="PriceListMaterial" sheetId="28" r:id="rId15"/>
    <sheet name="POwithRateContractMat" sheetId="9" r:id="rId16"/>
    <sheet name="POMATUD" sheetId="10" r:id="rId17"/>
    <sheet name="PurchaseWithImportSupplier" sheetId="62" r:id="rId18"/>
    <sheet name="STRateContract" sheetId="13" r:id="rId19"/>
    <sheet name="StockTransferItemGeneralType" sheetId="14" r:id="rId20"/>
    <sheet name="FreePassUdRateSer" sheetId="37" r:id="rId21"/>
    <sheet name="FreePassDirectGRNSerUserDefined" sheetId="42" r:id="rId22"/>
    <sheet name="FreePassDirectGRNRateGen" sheetId="43" r:id="rId23"/>
    <sheet name="FreePassDirectPriceListGen" sheetId="45" r:id="rId24"/>
    <sheet name="FreePassDirectGRNPriceListSer" sheetId="46" r:id="rId25"/>
    <sheet name="RateContractSer" sheetId="11" r:id="rId26"/>
    <sheet name="PriceListItemGen" sheetId="12" r:id="rId27"/>
    <sheet name="FreePassUdGen" sheetId="34" r:id="rId28"/>
    <sheet name="FreePassUDRatContract" sheetId="36" r:id="rId29"/>
    <sheet name="FreePassGenPrice" sheetId="38" r:id="rId30"/>
    <sheet name="StockTransferFreePassUD" sheetId="57" r:id="rId31"/>
    <sheet name="FreePassUdService" sheetId="35" r:id="rId32"/>
    <sheet name="FreePassSerPrice" sheetId="39" r:id="rId33"/>
    <sheet name="PriceListItemSer" sheetId="15" r:id="rId34"/>
    <sheet name="StockTransferPriceList" sheetId="16" r:id="rId35"/>
    <sheet name="StockTransferPOUserDefined" sheetId="54" r:id="rId36"/>
    <sheet name="StockTransferSameRateContract" sheetId="59" r:id="rId37"/>
    <sheet name="DifferentUOMUD" sheetId="18" r:id="rId38"/>
    <sheet name="DirectGrnDifFreePassRateContGen" sheetId="47" r:id="rId39"/>
    <sheet name="DirectgrndiffFreePassPricelistG" sheetId="48" r:id="rId40"/>
    <sheet name="DirectPOWithFreePassItem" sheetId="49" r:id="rId41"/>
    <sheet name="StockTransferRateDifferent" sheetId="51" r:id="rId42"/>
    <sheet name="DirectPOPriceListFreePassGRN" sheetId="50" r:id="rId43"/>
    <sheet name="StocktransferPriceListDifferent" sheetId="52" r:id="rId44"/>
    <sheet name="PoToGrnRateContractGenWQE" sheetId="31" r:id="rId45"/>
    <sheet name="PotoGRNDiffUOMPriceListGenWQE" sheetId="32" r:id="rId46"/>
    <sheet name="PoToGrnDifferentUomGenWOQE" sheetId="30" r:id="rId47"/>
    <sheet name="DifferentUOMRateGen" sheetId="21" r:id="rId48"/>
    <sheet name="StockTransferUDFreePass" sheetId="69" r:id="rId49"/>
    <sheet name="StockTransferRCFreePass" sheetId="68" r:id="rId50"/>
    <sheet name="StockTransferPricelistFreePass" sheetId="53" r:id="rId51"/>
    <sheet name="DifferentUOMPriceListGen" sheetId="29" r:id="rId52"/>
    <sheet name="StockTransferUDDifferentUOM" sheetId="67" r:id="rId53"/>
    <sheet name="DifferentUOMMATUD" sheetId="19" r:id="rId54"/>
    <sheet name="DifferentUOMStocktransferUD" sheetId="20" r:id="rId55"/>
    <sheet name="DifferentUOMRateMat" sheetId="22" r:id="rId56"/>
    <sheet name="POwithGrnWithoutQEMaterial" sheetId="24" r:id="rId57"/>
    <sheet name="POwithoutQualityRateMat" sheetId="26" r:id="rId58"/>
    <sheet name="StockTransferPORateContract" sheetId="55" r:id="rId59"/>
    <sheet name="StockTransferPOpriceList" sheetId="56" r:id="rId60"/>
    <sheet name="StocktransferPriceListPO" sheetId="58" r:id="rId61"/>
    <sheet name="TvsMrvApplicationControl" sheetId="60" r:id="rId62"/>
    <sheet name="MrvLineWiseCancel" sheetId="61" r:id="rId63"/>
    <sheet name="LocalUnregisterSuplier" sheetId="63" r:id="rId64"/>
    <sheet name="InterstateSupplierUnregister" sheetId="64" r:id="rId65"/>
    <sheet name="CESS" sheetId="66" r:id="rId66"/>
    <sheet name="WithoutDiscount" sheetId="65" r:id="rId67"/>
    <sheet name="ImportDirectGRNUDGeneralSameUOM" sheetId="70" r:id="rId68"/>
    <sheet name="ImportDirectGRNUDGeneralDiffUOM" sheetId="80" r:id="rId69"/>
    <sheet name="ImportDirectGRNUDServiceSameUOM" sheetId="71" r:id="rId70"/>
    <sheet name="ImportDirectGRNRCGeneralSameUOM" sheetId="72" r:id="rId71"/>
    <sheet name="ImportDirectGRNRCGeneralDiffUOM" sheetId="77" r:id="rId72"/>
    <sheet name="ImportDirectGRNRCServiceSameUOM" sheetId="73" r:id="rId73"/>
    <sheet name="ImportDirectGRNPLGeneralSameUOM" sheetId="74" r:id="rId74"/>
    <sheet name="ImportDirectGRNPLGeneralDiffUOM" sheetId="78" r:id="rId75"/>
    <sheet name="ImportDirectGRNPLServiceSameUOM" sheetId="75" r:id="rId7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<sst xmlns="http://schemas.openxmlformats.org/spreadsheetml/2006/main" count="13549" uniqueCount="514">
  <si>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</si>
  <si>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</si>
  <si>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</si>
  <si>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</si>
  <si>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</si>
  <si>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</si>
  <si>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</si>
  <si>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</si>
  <si>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</si>
  <si>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</si>
  <si>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</si>
  <si>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</si>
  <si>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</si>
  <si>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</si>
  <si>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</si>
  <si>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</si>
  <si>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</si>
  <si>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</si>
  <si>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</si>
  <si>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</si>
  <si>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</si>
  <si>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</si>
  <si>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</si>
  <si>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</si>
  <si>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</si>
  <si>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</si>
  <si>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</si>
  <si>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</si>
  <si>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</si>
  <si>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</si>
  <si>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</si>
  <si>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</si>
  <si>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</si>
  <si>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</si>
  <si>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</si>
  <si>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</si>
  <si>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</si>
  <si>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</si>
  <si>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</si>
  <si>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</si>
  <si>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</si>
  <si>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</si>
  <si>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</si>
  <si>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</si>
  <si>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</si>
  <si>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</si>
  <si>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</si>
  <si>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</si>
  <si>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</si>
  <si>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</si>
  <si>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</si>
  <si>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</si>
  <si>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</si>
  <si>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</si>
  <si>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</si>
  <si>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</si>
  <si>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</si>
  <si>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</si>
  <si>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</si>
  <si>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</si>
  <si>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</si>
  <si>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</si>
  <si>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</si>
  <si>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</si>
  <si>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</si>
  <si>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</si>
  <si>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</si>
  <si>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</si>
  <si>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</si>
  <si>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</si>
  <si>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</si>
  <si>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</si>
  <si>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</si>
  <si>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</si>
  <si>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</si>
  <si>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</si>
  <si>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</si>
  <si>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</si>
  <si>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</si>
  <si>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</si>
  <si>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</si>
  <si>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</si>
  <si>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</si>
  <si>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</si>
  <si>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</si>
  <si>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</si>
  <si>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</si>
  <si>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</si>
  <si>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</si>
  <si>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</si>
  <si>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</si>
  <si>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</si>
  <si>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</si>
  <si>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</si>
  <si>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</si>
  <si>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</si>
  <si>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</si>
  <si>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</si>
  <si>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</si>
  <si>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</si>
  <si>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</si>
  <si>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</si>
  <si>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</si>
  <si>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</si>
  <si>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</si>
  <si>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</si>
  <si>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</si>
  <si>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</si>
  <si>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</si>
  <si>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</si>
  <si>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</si>
  <si>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</si>
  <si>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</si>
  <si>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</si>
  <si>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</si>
  <si>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</si>
  <si>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</si>
  <si>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</si>
  <si>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</si>
  <si>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</si>
  <si>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</si>
  <si>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</si>
  <si>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</si>
  <si>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</si>
  <si>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</si>
  <si>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</si>
  <si>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</si>
  <si>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</si>
  <si>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</si>
  <si>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</si>
  <si>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</si>
  <si>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</si>
  <si>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</si>
  <si>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</si>
  <si>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</si>
  <si>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</si>
  <si>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</si>
  <si>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</si>
  <si>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</si>
  <si>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</si>
  <si>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</si>
  <si>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</si>
  <si>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</si>
  <si>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</si>
  <si>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</si>
  <si>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</si>
  <si>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</si>
  <si>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</si>
  <si>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</si>
  <si>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</si>
  <si>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</si>
  <si>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</si>
  <si>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</si>
  <si>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</si>
  <si>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</si>
  <si>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</si>
  <si>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</si>
  <si>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</si>
  <si>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</si>
  <si>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</si>
  <si>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</si>
  <si>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</si>
  <si>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</si>
  <si>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</si>
  <si>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</si>
  <si>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</si>
  <si>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</si>
  <si>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</si>
  <si>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</si>
  <si>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</si>
  <si>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</si>
  <si>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</si>
  <si>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</si>
  <si>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</si>
  <si>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</si>
  <si>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</si>
  <si>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</si>
  <si>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</si>
  <si>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</si>
  <si>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</si>
  <si>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</si>
  <si>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</si>
  <si>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</si>
  <si>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</si>
  <si>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</si>
  <si>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</si>
  <si>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</si>
  <si>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</si>
  <si>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</si>
  <si>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</si>
  <si>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</si>
  <si>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</si>
  <si>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</si>
  <si>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</si>
  <si>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</si>
  <si>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</si>
  <si>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</si>
  <si>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</si>
  <si>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</si>
  <si>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</si>
  <si>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</si>
  <si>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</si>
  <si>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</si>
  <si>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</si>
  <si>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</si>
  <si>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</si>
  <si>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</si>
  <si>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</si>
  <si>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</si>
  <si>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</si>
  <si>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</si>
  <si>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</si>
  <si>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</si>
  <si>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</si>
  <si>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</si>
  <si>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</si>
  <si>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</si>
  <si>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</si>
  <si>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</si>
  <si>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</si>
  <si>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</si>
  <si>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</si>
  <si>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</si>
  <si>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</si>
  <si>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</si>
  <si>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</si>
  <si>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</si>
  <si>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</si>
  <si>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</si>
  <si>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</si>
  <si>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</si>
  <si>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</si>
  <si>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</si>
  <si>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</si>
  <si>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</si>
  <si>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</si>
  <si>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</si>
  <si>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</si>
  <si>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</si>
  <si>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ROAU-RM-KDK-01</t>
  </si>
  <si>
    <t>0</t>
  </si>
  <si>
    <t>376.48</t>
  </si>
  <si>
    <t>282.33</t>
  </si>
  <si>
    <t>24</t>
  </si>
  <si>
    <t>ROAU-RM-KDK-02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</si>
  <si>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</si>
  <si>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</si>
  <si>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</si>
  <si>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</si>
  <si>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</si>
  <si>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</si>
  <si>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</si>
  <si>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</si>
  <si>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</si>
  <si>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</si>
  <si>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</si>
  <si>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</si>
  <si>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</si>
  <si>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</si>
  <si>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</si>
  <si>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</si>
  <si>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</si>
  <si>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</si>
  <si>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ROAU-RM-KDK-02 RateContract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</si>
  <si>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</si>
  <si>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</si>
  <si>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</si>
  <si>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</si>
  <si>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</si>
  <si>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</si>
  <si>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</si>
  <si>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</si>
  <si>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</si>
  <si>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</si>
  <si>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</si>
  <si>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</si>
  <si>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</si>
  <si>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</si>
  <si>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</si>
  <si>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</si>
  <si>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</si>
  <si>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</si>
  <si>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</si>
  <si>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</si>
  <si>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</si>
  <si>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</si>
  <si>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</si>
  <si>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</si>
  <si>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</si>
  <si>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</si>
  <si>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</si>
  <si>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</si>
  <si>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</si>
  <si>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</si>
  <si>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</si>
  <si>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</si>
  <si>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</si>
  <si>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</si>
  <si>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</si>
  <si>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</si>
  <si>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</si>
  <si>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</si>
  <si>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</si>
  <si>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</si>
  <si>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</si>
  <si>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</si>
  <si>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</si>
  <si>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</si>
  <si>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</si>
  <si>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</si>
  <si>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</si>
  <si>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</si>
  <si>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</si>
  <si>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</si>
  <si>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</si>
  <si>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</si>
  <si>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</si>
  <si>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</si>
  <si>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</si>
  <si>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</si>
  <si>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</si>
  <si>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</si>
  <si>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</si>
  <si>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</si>
  <si>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</si>
  <si>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</si>
  <si>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</si>
  <si>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</si>
  <si>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</si>
  <si>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</si>
  <si>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</si>
  <si>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</si>
  <si>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</si>
  <si>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</si>
  <si>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</si>
  <si>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</si>
  <si>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</si>
  <si>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</si>
  <si>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</si>
  <si>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</si>
  <si>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</si>
  <si>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</si>
  <si>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</si>
  <si>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</si>
  <si>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</si>
  <si>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</si>
  <si>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</si>
  <si>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</si>
  <si>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</si>
  <si>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</si>
  <si>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</si>
  <si>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</si>
  <si>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</si>
  <si>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</si>
  <si>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</si>
  <si>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</si>
  <si>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</si>
  <si>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</si>
  <si>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</si>
  <si>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</si>
  <si>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</si>
  <si>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</si>
  <si>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</si>
  <si>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</si>
  <si>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</si>
  <si>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</si>
  <si>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</si>
  <si>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</si>
  <si>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</si>
  <si>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</si>
  <si>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</si>
  <si>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</si>
  <si>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</si>
  <si>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</si>
  <si>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</si>
  <si>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</si>
  <si>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</si>
  <si>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</si>
  <si>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</si>
  <si>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</si>
  <si>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</si>
  <si>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</si>
  <si>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</si>
  <si>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</si>
  <si>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</si>
  <si>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</si>
  <si>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</si>
  <si>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</si>
  <si>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</si>
  <si>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</si>
  <si>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1411.8</t>
  </si>
  <si>
    <t>1407.3066</t>
  </si>
  <si>
    <t>53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</si>
  <si>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</si>
  <si>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</si>
  <si>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</si>
  <si>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</si>
  <si>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</si>
  <si>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</si>
  <si>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</si>
  <si>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</si>
  <si>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</si>
  <si>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</si>
  <si>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</si>
  <si>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</si>
  <si>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</si>
  <si>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</si>
  <si>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</si>
  <si>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</si>
  <si>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</si>
  <si>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</si>
  <si>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</si>
  <si>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</si>
  <si>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</si>
  <si>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</si>
  <si>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</si>
  <si>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</si>
  <si>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</si>
  <si>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</si>
  <si>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</si>
  <si>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</si>
  <si>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</si>
  <si>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</si>
  <si>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</si>
  <si>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</si>
  <si>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</si>
  <si>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</si>
  <si>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</si>
  <si>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</si>
  <si>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</si>
  <si>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</si>
  <si>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</si>
  <si>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</si>
  <si>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</si>
  <si>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</si>
  <si>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</si>
  <si>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</si>
  <si>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</si>
  <si>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</si>
  <si>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</si>
  <si>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</si>
  <si>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</si>
  <si>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</si>
  <si>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25</t>
  </si>
  <si>
    <t>187.2776</t>
  </si>
  <si>
    <t>112.5</t>
  </si>
  <si>
    <t>28</t>
  </si>
  <si>
    <t>187.27786</t>
  </si>
  <si>
    <t>126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</si>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</sst>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%"/>
  </numFmts>
  <fonts count="27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sz val="10"/>
      <color rgb="FF000000"/>
      <name val="Consolas"/>
      <charset val="134"/>
    </font>
    <font>
      <sz val="9"/>
      <color rgb="FF000000"/>
      <name val="Arial"/>
      <charset val="134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3" borderId="2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7" applyNumberFormat="0" applyFill="0" applyAlignment="0" applyProtection="0">
      <alignment vertical="center"/>
    </xf>
    <xf numFmtId="0" fontId="14" fillId="0" borderId="27" applyNumberFormat="0" applyFill="0" applyAlignment="0" applyProtection="0">
      <alignment vertical="center"/>
    </xf>
    <xf numFmtId="0" fontId="15" fillId="0" borderId="2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4" borderId="29" applyNumberFormat="0" applyAlignment="0" applyProtection="0">
      <alignment vertical="center"/>
    </xf>
    <xf numFmtId="0" fontId="17" fillId="15" borderId="30" applyNumberFormat="0" applyAlignment="0" applyProtection="0">
      <alignment vertical="center"/>
    </xf>
    <xf numFmtId="0" fontId="18" fillId="15" borderId="29" applyNumberFormat="0" applyAlignment="0" applyProtection="0">
      <alignment vertical="center"/>
    </xf>
    <xf numFmtId="0" fontId="19" fillId="16" borderId="31" applyNumberFormat="0" applyAlignment="0" applyProtection="0">
      <alignment vertical="center"/>
    </xf>
    <xf numFmtId="0" fontId="20" fillId="0" borderId="32" applyNumberFormat="0" applyFill="0" applyAlignment="0" applyProtection="0">
      <alignment vertical="center"/>
    </xf>
    <xf numFmtId="0" fontId="21" fillId="0" borderId="33" applyNumberFormat="0" applyFill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158">
    <xf numFmtId="0" fontId="0" fillId="0" borderId="0" xfId="0"/>
    <xf numFmtId="0" fontId="1" fillId="0" borderId="0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/>
    <xf numFmtId="0" fontId="3" fillId="0" borderId="5" xfId="0" applyFont="1" applyFill="1" applyBorder="1" applyAlignment="1"/>
    <xf numFmtId="180" fontId="3" fillId="0" borderId="5" xfId="0" applyNumberFormat="1" applyFont="1" applyFill="1" applyBorder="1" applyAlignment="1"/>
    <xf numFmtId="2" fontId="3" fillId="0" borderId="5" xfId="0" applyNumberFormat="1" applyFont="1" applyFill="1" applyBorder="1" applyAlignment="1"/>
    <xf numFmtId="2" fontId="3" fillId="0" borderId="6" xfId="0" applyNumberFormat="1" applyFont="1" applyFill="1" applyBorder="1" applyAlignment="1"/>
    <xf numFmtId="0" fontId="3" fillId="0" borderId="7" xfId="0" applyFont="1" applyFill="1" applyBorder="1" applyAlignment="1"/>
    <xf numFmtId="0" fontId="3" fillId="0" borderId="8" xfId="0" applyFont="1" applyFill="1" applyBorder="1" applyAlignment="1"/>
    <xf numFmtId="180" fontId="3" fillId="0" borderId="8" xfId="0" applyNumberFormat="1" applyFont="1" applyFill="1" applyBorder="1" applyAlignment="1"/>
    <xf numFmtId="2" fontId="3" fillId="0" borderId="8" xfId="0" applyNumberFormat="1" applyFont="1" applyFill="1" applyBorder="1" applyAlignment="1"/>
    <xf numFmtId="2" fontId="3" fillId="0" borderId="9" xfId="0" applyNumberFormat="1" applyFont="1" applyFill="1" applyBorder="1" applyAlignment="1"/>
    <xf numFmtId="0" fontId="3" fillId="0" borderId="0" xfId="0" applyFont="1" applyFill="1" applyAlignment="1"/>
    <xf numFmtId="0" fontId="2" fillId="3" borderId="10" xfId="0" applyFont="1" applyFill="1" applyBorder="1" applyAlignment="1">
      <alignment horizontal="center" vertical="top"/>
    </xf>
    <xf numFmtId="0" fontId="2" fillId="3" borderId="11" xfId="0" applyFont="1" applyFill="1" applyBorder="1" applyAlignment="1">
      <alignment vertical="top"/>
    </xf>
    <xf numFmtId="0" fontId="2" fillId="0" borderId="0" xfId="0" applyFont="1" applyFill="1" applyBorder="1" applyAlignment="1"/>
    <xf numFmtId="0" fontId="2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 wrapText="1"/>
    </xf>
    <xf numFmtId="0" fontId="3" fillId="0" borderId="13" xfId="0" applyFont="1" applyFill="1" applyBorder="1" applyAlignment="1"/>
    <xf numFmtId="0" fontId="3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2" fillId="3" borderId="14" xfId="0" applyFont="1" applyFill="1" applyBorder="1" applyAlignment="1"/>
    <xf numFmtId="0" fontId="2" fillId="3" borderId="15" xfId="0" applyFont="1" applyFill="1" applyBorder="1" applyAlignment="1"/>
    <xf numFmtId="0" fontId="2" fillId="3" borderId="13" xfId="0" applyFont="1" applyFill="1" applyBorder="1" applyAlignment="1"/>
    <xf numFmtId="10" fontId="3" fillId="0" borderId="0" xfId="0" applyNumberFormat="1" applyFont="1" applyFill="1" applyBorder="1" applyAlignment="1"/>
    <xf numFmtId="2" fontId="3" fillId="0" borderId="0" xfId="0" applyNumberFormat="1" applyFont="1" applyFill="1" applyBorder="1" applyAlignment="1"/>
    <xf numFmtId="0" fontId="3" fillId="0" borderId="0" xfId="0" applyFont="1" applyFill="1" applyBorder="1" applyAlignment="1"/>
    <xf numFmtId="0" fontId="2" fillId="4" borderId="1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0" borderId="0" xfId="0" applyFont="1" applyFill="1" applyAlignment="1"/>
    <xf numFmtId="0" fontId="2" fillId="6" borderId="12" xfId="0" applyFont="1" applyFill="1" applyBorder="1" applyAlignment="1">
      <alignment horizontal="center" vertical="center"/>
    </xf>
    <xf numFmtId="0" fontId="2" fillId="3" borderId="13" xfId="0" applyNumberFormat="1" applyFont="1" applyFill="1" applyBorder="1" applyAlignment="1"/>
    <xf numFmtId="2" fontId="2" fillId="3" borderId="13" xfId="0" applyNumberFormat="1" applyFont="1" applyFill="1" applyBorder="1" applyAlignment="1"/>
    <xf numFmtId="0" fontId="2" fillId="7" borderId="12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10" fontId="3" fillId="0" borderId="13" xfId="0" applyNumberFormat="1" applyFont="1" applyFill="1" applyBorder="1" applyAlignment="1"/>
    <xf numFmtId="0" fontId="2" fillId="7" borderId="13" xfId="0" applyFont="1" applyFill="1" applyBorder="1" applyAlignment="1"/>
    <xf numFmtId="2" fontId="2" fillId="7" borderId="13" xfId="0" applyNumberFormat="1" applyFont="1" applyFill="1" applyBorder="1" applyAlignment="1"/>
    <xf numFmtId="0" fontId="2" fillId="8" borderId="12" xfId="0" applyFont="1" applyFill="1" applyBorder="1" applyAlignment="1">
      <alignment horizontal="center" vertical="center"/>
    </xf>
    <xf numFmtId="0" fontId="3" fillId="2" borderId="2" xfId="0" applyFont="1" applyFill="1" applyBorder="1" applyAlignment="1"/>
    <xf numFmtId="0" fontId="3" fillId="0" borderId="5" xfId="0" applyNumberFormat="1" applyFont="1" applyFill="1" applyBorder="1" applyAlignment="1"/>
    <xf numFmtId="0" fontId="3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2" fillId="3" borderId="18" xfId="0" applyFont="1" applyFill="1" applyBorder="1" applyAlignment="1">
      <alignment horizontal="center" vertical="top"/>
    </xf>
    <xf numFmtId="0" fontId="2" fillId="3" borderId="19" xfId="0" applyFont="1" applyFill="1" applyBorder="1" applyAlignment="1">
      <alignment horizontal="center" vertical="top"/>
    </xf>
    <xf numFmtId="0" fontId="2" fillId="3" borderId="20" xfId="0" applyFont="1" applyFill="1" applyBorder="1" applyAlignment="1">
      <alignment horizontal="center" vertical="top"/>
    </xf>
    <xf numFmtId="0" fontId="1" fillId="0" borderId="0" xfId="0" applyFont="1" applyBorder="1" applyAlignment="1">
      <alignment horizontal="left" vertical="top"/>
    </xf>
    <xf numFmtId="0" fontId="3" fillId="0" borderId="4" xfId="0" applyFont="1" applyBorder="1"/>
    <xf numFmtId="0" fontId="3" fillId="0" borderId="5" xfId="0" applyFont="1" applyBorder="1"/>
    <xf numFmtId="180" fontId="3" fillId="0" borderId="5" xfId="0" applyNumberFormat="1" applyFont="1" applyBorder="1"/>
    <xf numFmtId="2" fontId="3" fillId="0" borderId="5" xfId="0" applyNumberFormat="1" applyFont="1" applyBorder="1"/>
    <xf numFmtId="2" fontId="3" fillId="0" borderId="6" xfId="0" applyNumberFormat="1" applyFont="1" applyBorder="1"/>
    <xf numFmtId="0" fontId="3" fillId="0" borderId="7" xfId="0" applyFont="1" applyBorder="1"/>
    <xf numFmtId="0" fontId="3" fillId="0" borderId="8" xfId="0" applyFont="1" applyBorder="1"/>
    <xf numFmtId="180" fontId="3" fillId="0" borderId="8" xfId="0" applyNumberFormat="1" applyFont="1" applyBorder="1"/>
    <xf numFmtId="2" fontId="3" fillId="0" borderId="8" xfId="0" applyNumberFormat="1" applyFont="1" applyBorder="1"/>
    <xf numFmtId="2" fontId="3" fillId="0" borderId="9" xfId="0" applyNumberFormat="1" applyFont="1" applyBorder="1"/>
    <xf numFmtId="0" fontId="3" fillId="0" borderId="0" xfId="0" applyFont="1"/>
    <xf numFmtId="0" fontId="2" fillId="0" borderId="0" xfId="0" applyFont="1" applyFill="1" applyBorder="1"/>
    <xf numFmtId="0" fontId="3" fillId="0" borderId="13" xfId="0" applyFont="1" applyBorder="1"/>
    <xf numFmtId="0" fontId="3" fillId="0" borderId="13" xfId="0" applyNumberFormat="1" applyFont="1" applyBorder="1"/>
    <xf numFmtId="0" fontId="0" fillId="0" borderId="0" xfId="0" applyBorder="1" applyAlignment="1"/>
    <xf numFmtId="0" fontId="2" fillId="3" borderId="13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0" fontId="4" fillId="0" borderId="0" xfId="0" applyFont="1"/>
    <xf numFmtId="0" fontId="2" fillId="3" borderId="13" xfId="0" applyNumberFormat="1" applyFont="1" applyFill="1" applyBorder="1"/>
    <xf numFmtId="2" fontId="2" fillId="3" borderId="13" xfId="0" applyNumberFormat="1" applyFont="1" applyFill="1" applyBorder="1"/>
    <xf numFmtId="10" fontId="3" fillId="0" borderId="13" xfId="0" applyNumberFormat="1" applyFont="1" applyBorder="1"/>
    <xf numFmtId="0" fontId="2" fillId="7" borderId="13" xfId="0" applyFont="1" applyFill="1" applyBorder="1"/>
    <xf numFmtId="2" fontId="2" fillId="7" borderId="13" xfId="0" applyNumberFormat="1" applyFont="1" applyFill="1" applyBorder="1"/>
    <xf numFmtId="0" fontId="3" fillId="2" borderId="2" xfId="0" applyFont="1" applyFill="1" applyBorder="1"/>
    <xf numFmtId="0" fontId="3" fillId="0" borderId="5" xfId="0" applyNumberFormat="1" applyFont="1" applyBorder="1"/>
    <xf numFmtId="0" fontId="3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3" fillId="0" borderId="13" xfId="0" applyNumberFormat="1" applyFont="1" applyBorder="1"/>
    <xf numFmtId="0" fontId="3" fillId="2" borderId="21" xfId="0" applyFont="1" applyFill="1" applyBorder="1"/>
    <xf numFmtId="0" fontId="3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5" fillId="9" borderId="22" xfId="0" applyFont="1" applyFill="1" applyBorder="1"/>
    <xf numFmtId="0" fontId="5" fillId="10" borderId="22" xfId="0" applyFont="1" applyFill="1" applyBorder="1"/>
    <xf numFmtId="0" fontId="0" fillId="0" borderId="17" xfId="0" applyNumberFormat="1" applyBorder="1"/>
    <xf numFmtId="0" fontId="1" fillId="0" borderId="23" xfId="0" applyFont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3" borderId="24" xfId="0" applyFont="1" applyFill="1" applyBorder="1" applyAlignment="1"/>
    <xf numFmtId="0" fontId="3" fillId="0" borderId="24" xfId="0" applyFont="1" applyBorder="1" applyAlignment="1">
      <alignment horizontal="left"/>
    </xf>
    <xf numFmtId="0" fontId="3" fillId="0" borderId="15" xfId="0" applyFont="1" applyBorder="1" applyAlignment="1">
      <alignment horizontal="left"/>
    </xf>
    <xf numFmtId="0" fontId="2" fillId="4" borderId="13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right"/>
    </xf>
    <xf numFmtId="0" fontId="3" fillId="0" borderId="0" xfId="0" applyFont="1" applyAlignment="1"/>
    <xf numFmtId="0" fontId="2" fillId="11" borderId="2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3" fillId="0" borderId="12" xfId="0" applyFont="1" applyBorder="1"/>
    <xf numFmtId="0" fontId="2" fillId="7" borderId="13" xfId="0" applyFont="1" applyFill="1" applyBorder="1" applyAlignment="1">
      <alignment horizontal="right"/>
    </xf>
    <xf numFmtId="0" fontId="2" fillId="6" borderId="13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80" fontId="3" fillId="0" borderId="13" xfId="0" applyNumberFormat="1" applyFont="1" applyBorder="1"/>
    <xf numFmtId="9" fontId="3" fillId="0" borderId="13" xfId="0" applyNumberFormat="1" applyFont="1" applyBorder="1"/>
    <xf numFmtId="9" fontId="2" fillId="3" borderId="13" xfId="0" applyNumberFormat="1" applyFont="1" applyFill="1" applyBorder="1"/>
    <xf numFmtId="0" fontId="3" fillId="0" borderId="5" xfId="49" applyFont="1" applyBorder="1" applyAlignment="1"/>
    <xf numFmtId="0" fontId="3" fillId="0" borderId="23" xfId="0" applyFont="1" applyFill="1" applyBorder="1" applyAlignment="1">
      <alignment horizontal="left" vertical="center"/>
    </xf>
    <xf numFmtId="0" fontId="2" fillId="0" borderId="24" xfId="0" applyFont="1" applyBorder="1" applyAlignment="1">
      <alignment horizontal="right"/>
    </xf>
    <xf numFmtId="0" fontId="2" fillId="0" borderId="15" xfId="0" applyFont="1" applyBorder="1" applyAlignment="1">
      <alignment horizontal="right"/>
    </xf>
    <xf numFmtId="0" fontId="2" fillId="7" borderId="24" xfId="0" applyFont="1" applyFill="1" applyBorder="1" applyAlignment="1">
      <alignment horizontal="right"/>
    </xf>
    <xf numFmtId="0" fontId="2" fillId="7" borderId="15" xfId="0" applyFont="1" applyFill="1" applyBorder="1" applyAlignment="1">
      <alignment horizontal="right"/>
    </xf>
    <xf numFmtId="0" fontId="2" fillId="3" borderId="13" xfId="0" applyFont="1" applyFill="1" applyBorder="1" applyAlignment="1">
      <alignment horizontal="center"/>
    </xf>
    <xf numFmtId="0" fontId="2" fillId="12" borderId="13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7" borderId="13" xfId="0" applyFont="1" applyFill="1" applyBorder="1" applyAlignment="1">
      <alignment horizontal="center"/>
    </xf>
    <xf numFmtId="0" fontId="6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2" fillId="7" borderId="13" xfId="0" applyFont="1" applyFill="1" applyBorder="1" applyAlignment="1">
      <alignment horizontal="center" vertical="center" wrapText="1"/>
    </xf>
    <xf numFmtId="181" fontId="3" fillId="0" borderId="13" xfId="0" applyNumberFormat="1" applyFont="1" applyBorder="1"/>
    <xf numFmtId="0" fontId="2" fillId="7" borderId="13" xfId="0" applyNumberFormat="1" applyFont="1" applyFill="1" applyBorder="1"/>
    <xf numFmtId="0" fontId="3" fillId="0" borderId="2" xfId="0" applyFont="1" applyBorder="1"/>
    <xf numFmtId="0" fontId="0" fillId="0" borderId="17" xfId="0" applyBorder="1"/>
    <xf numFmtId="0" fontId="0" fillId="0" borderId="25" xfId="0" applyBorder="1"/>
    <xf numFmtId="0" fontId="3" fillId="0" borderId="3" xfId="0" applyFont="1" applyBorder="1"/>
    <xf numFmtId="0" fontId="3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3" fillId="0" borderId="0" xfId="0" applyNumberFormat="1" applyFont="1"/>
    <xf numFmtId="0" fontId="3" fillId="0" borderId="0" xfId="0" applyFont="1" applyFill="1" applyBorder="1" applyAlignment="1">
      <alignment horizontal="left"/>
    </xf>
    <xf numFmtId="2" fontId="7" fillId="0" borderId="0" xfId="0" applyNumberFormat="1" applyFont="1" applyFill="1" applyBorder="1"/>
    <xf numFmtId="2" fontId="2" fillId="0" borderId="0" xfId="0" applyNumberFormat="1" applyFont="1" applyFill="1" applyBorder="1" applyAlignment="1">
      <alignment horizontal="right"/>
    </xf>
    <xf numFmtId="0" fontId="7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3" fillId="0" borderId="0" xfId="0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9" Type="http://schemas.openxmlformats.org/officeDocument/2006/relationships/styles" Target="styles.xml"/><Relationship Id="rId78" Type="http://schemas.openxmlformats.org/officeDocument/2006/relationships/sharedStrings" Target="sharedStrings.xml"/><Relationship Id="rId77" Type="http://schemas.openxmlformats.org/officeDocument/2006/relationships/theme" Target="theme/theme1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1"/>
  <sheetViews>
    <sheetView workbookViewId="0">
      <selection activeCell="A4" sqref="A4"/>
    </sheetView>
  </sheetViews>
  <sheetFormatPr defaultColWidth="9" defaultRowHeight="14.5"/>
  <cols>
    <col min="1" max="1" width="15.4272727272727" customWidth="1"/>
    <col min="2" max="2" width="16.1363636363636" customWidth="1"/>
    <col min="3" max="3" width="10.7090909090909" customWidth="1"/>
    <col min="4" max="4" width="15.5727272727273" customWidth="1"/>
    <col min="5" max="5" width="8.70909090909091" customWidth="1"/>
    <col min="6" max="6" width="13.7090909090909" customWidth="1"/>
    <col min="7" max="7" width="26.8545454545455" customWidth="1"/>
    <col min="8" max="8" width="11.1363636363636" customWidth="1"/>
    <col min="9" max="9" width="13.1363636363636" customWidth="1"/>
    <col min="10" max="10" width="15.7090909090909" customWidth="1"/>
    <col min="22" max="22" width="13.5727272727273" customWidth="1"/>
    <col min="23" max="23" width="12.4272727272727" customWidth="1"/>
    <col min="24" max="24" width="17.8545454545455" customWidth="1"/>
    <col min="25" max="25" width="8.13636363636364" customWidth="1"/>
    <col min="26" max="26" width="21.1363636363636" customWidth="1"/>
  </cols>
  <sheetData>
    <row r="1" spans="1:26">
      <c r="A1" s="153" t="s">
        <v>0</v>
      </c>
      <c r="B1" s="153" t="s">
        <v>1</v>
      </c>
      <c r="C1" s="153" t="s">
        <v>2</v>
      </c>
      <c r="D1" s="154" t="s">
        <v>3</v>
      </c>
      <c r="E1" s="154" t="s">
        <v>4</v>
      </c>
      <c r="F1" s="154" t="s">
        <v>5</v>
      </c>
      <c r="G1" s="154" t="s">
        <v>6</v>
      </c>
      <c r="H1" s="154" t="s">
        <v>7</v>
      </c>
      <c r="I1" s="154" t="s">
        <v>8</v>
      </c>
      <c r="J1" s="154" t="s">
        <v>9</v>
      </c>
      <c r="K1" s="154" t="s">
        <v>10</v>
      </c>
      <c r="L1" s="154" t="s">
        <v>11</v>
      </c>
      <c r="M1" s="154" t="s">
        <v>12</v>
      </c>
      <c r="N1" s="154" t="s">
        <v>13</v>
      </c>
      <c r="O1" s="154" t="s">
        <v>14</v>
      </c>
      <c r="P1" s="154" t="s">
        <v>15</v>
      </c>
      <c r="Q1" s="154" t="s">
        <v>16</v>
      </c>
      <c r="R1" s="154" t="s">
        <v>17</v>
      </c>
      <c r="S1" s="154" t="s">
        <v>18</v>
      </c>
      <c r="T1" s="154" t="s">
        <v>19</v>
      </c>
      <c r="U1" s="154" t="s">
        <v>20</v>
      </c>
      <c r="V1" s="154" t="s">
        <v>21</v>
      </c>
      <c r="W1" s="156" t="s">
        <v>22</v>
      </c>
      <c r="X1" s="156" t="s">
        <v>23</v>
      </c>
      <c r="Y1" s="156" t="s">
        <v>24</v>
      </c>
      <c r="Z1" s="156" t="s">
        <v>25</v>
      </c>
    </row>
    <row r="2" spans="1:26">
      <c r="A2" t="s">
        <v>26</v>
      </c>
      <c r="B2" t="s">
        <v>27</v>
      </c>
      <c r="C2" s="142">
        <v>10</v>
      </c>
      <c r="D2" s="100">
        <v>100</v>
      </c>
      <c r="E2" s="142">
        <f>A2+C2</f>
        <v>1152.6</v>
      </c>
      <c r="F2" s="142">
        <f t="shared" ref="F2:F4" si="0">ROUND(((A2*B2)+(C2*D2))/(C2+A2),5)</f>
        <v>138.51226</v>
      </c>
      <c r="G2" s="142" t="s">
        <v>28</v>
      </c>
      <c r="H2" s="142" t="s">
        <v>29</v>
      </c>
      <c r="I2" s="142" t="s">
        <v>30</v>
      </c>
      <c r="J2" s="142">
        <v>2</v>
      </c>
      <c r="K2" s="142" t="s">
        <v>31</v>
      </c>
      <c r="L2" s="142">
        <v>1000</v>
      </c>
      <c r="M2" s="142">
        <v>1000</v>
      </c>
      <c r="N2" s="142">
        <v>10</v>
      </c>
      <c r="O2" s="142">
        <v>100</v>
      </c>
      <c r="P2" s="142">
        <v>900</v>
      </c>
      <c r="Q2" s="142">
        <v>10</v>
      </c>
      <c r="R2" s="142">
        <v>90</v>
      </c>
      <c r="S2" s="142">
        <v>810</v>
      </c>
      <c r="T2" s="142">
        <v>10</v>
      </c>
      <c r="U2" s="142">
        <v>81</v>
      </c>
      <c r="V2" s="142">
        <v>729</v>
      </c>
      <c r="W2" s="157" t="s">
        <v>32</v>
      </c>
      <c r="X2" s="157" t="s">
        <v>33</v>
      </c>
      <c r="Y2" s="157">
        <v>5</v>
      </c>
      <c r="Z2" s="157" t="s">
        <v>34</v>
      </c>
    </row>
    <row r="3" spans="1:26">
      <c r="A3" t="s">
        <v>35</v>
      </c>
      <c r="B3" t="s">
        <v>36</v>
      </c>
      <c r="C3" s="142">
        <v>20</v>
      </c>
      <c r="D3" s="142">
        <v>200</v>
      </c>
      <c r="E3" s="142">
        <f t="shared" ref="E3:E4" si="1">A3+C3</f>
        <v>8682</v>
      </c>
      <c r="F3" s="142">
        <f t="shared" si="0"/>
        <v>100.89381</v>
      </c>
      <c r="G3" s="142" t="s">
        <v>37</v>
      </c>
      <c r="H3" s="142" t="s">
        <v>38</v>
      </c>
      <c r="I3" s="142" t="s">
        <v>30</v>
      </c>
      <c r="J3" s="142" t="s">
        <v>39</v>
      </c>
      <c r="K3" s="142" t="s">
        <v>31</v>
      </c>
      <c r="L3" s="142">
        <v>4000</v>
      </c>
      <c r="M3" s="142">
        <v>4000</v>
      </c>
      <c r="N3" s="142">
        <v>10</v>
      </c>
      <c r="O3" s="142">
        <v>400</v>
      </c>
      <c r="P3" s="142">
        <v>3600</v>
      </c>
      <c r="Q3" s="142">
        <v>10</v>
      </c>
      <c r="R3" s="142">
        <v>360</v>
      </c>
      <c r="S3" s="142">
        <v>3240</v>
      </c>
      <c r="T3" s="142">
        <v>10</v>
      </c>
      <c r="U3" s="142">
        <v>324</v>
      </c>
      <c r="V3" s="142">
        <v>2916</v>
      </c>
      <c r="W3" s="157" t="s">
        <v>40</v>
      </c>
      <c r="X3" s="157" t="s">
        <v>41</v>
      </c>
      <c r="Y3" s="157">
        <v>100</v>
      </c>
      <c r="Z3" s="157" t="s">
        <v>34</v>
      </c>
    </row>
    <row r="4" spans="1:22">
      <c r="A4" t="s">
        <v>42</v>
      </c>
      <c r="B4" t="s">
        <v>43</v>
      </c>
      <c r="C4" s="142">
        <v>10</v>
      </c>
      <c r="D4" s="142">
        <v>300</v>
      </c>
      <c r="E4" s="142">
        <f t="shared" si="1"/>
        <v>11412</v>
      </c>
      <c r="F4" s="142">
        <f t="shared" si="0"/>
        <v>262.44597</v>
      </c>
      <c r="G4" s="142" t="s">
        <v>44</v>
      </c>
      <c r="H4" s="142" t="s">
        <v>45</v>
      </c>
      <c r="I4" s="142" t="s">
        <v>30</v>
      </c>
      <c r="J4" s="142" t="s">
        <v>39</v>
      </c>
      <c r="K4" s="142" t="s">
        <v>31</v>
      </c>
      <c r="L4" s="142">
        <v>3000</v>
      </c>
      <c r="M4" s="142">
        <v>3000</v>
      </c>
      <c r="N4" s="142">
        <v>10</v>
      </c>
      <c r="O4" s="142">
        <v>300</v>
      </c>
      <c r="P4" s="142">
        <v>2700</v>
      </c>
      <c r="Q4" s="142">
        <v>10</v>
      </c>
      <c r="R4" s="142">
        <v>270</v>
      </c>
      <c r="S4" s="142">
        <v>2430</v>
      </c>
      <c r="T4" s="142">
        <v>10</v>
      </c>
      <c r="U4" s="142">
        <v>243</v>
      </c>
      <c r="V4" s="142">
        <v>2187</v>
      </c>
    </row>
    <row r="5" spans="1:3">
      <c r="A5" s="155"/>
      <c r="B5" s="155"/>
      <c r="C5" s="155"/>
    </row>
    <row r="6" spans="1:3">
      <c r="A6" s="155"/>
      <c r="B6" s="155"/>
      <c r="C6" s="155"/>
    </row>
    <row r="7" spans="1:3">
      <c r="A7" s="155"/>
      <c r="B7" s="155"/>
      <c r="C7" s="155"/>
    </row>
    <row r="8" spans="1:3">
      <c r="A8" s="155"/>
      <c r="B8" s="155"/>
      <c r="C8" s="155"/>
    </row>
    <row r="9" spans="1:3">
      <c r="A9" s="155"/>
      <c r="B9" s="155"/>
      <c r="C9" s="155"/>
    </row>
    <row r="10" spans="1:3">
      <c r="A10" s="155"/>
      <c r="B10" s="155"/>
      <c r="C10" s="155"/>
    </row>
    <row r="11" spans="1:3">
      <c r="A11" s="155"/>
      <c r="B11" s="155"/>
      <c r="C11" s="155"/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49"/>
  <sheetViews>
    <sheetView topLeftCell="A7" workbookViewId="0">
      <selection activeCell="AZ25" sqref="AZ25"/>
    </sheetView>
  </sheetViews>
  <sheetFormatPr defaultColWidth="10.1363636363636" defaultRowHeight="14.5"/>
  <cols>
    <col min="2" max="2" width="21.4272727272727" customWidth="1"/>
    <col min="3" max="3" width="26.8545454545455" customWidth="1"/>
    <col min="4" max="4" width="62.7090909090909" customWidth="1"/>
    <col min="5" max="5" width="11.2818181818182" customWidth="1"/>
    <col min="6" max="6" width="17.5727272727273" customWidth="1"/>
    <col min="9" max="9" width="15.2818181818182" customWidth="1"/>
    <col min="12" max="12" width="16.2818181818182" customWidth="1"/>
    <col min="13" max="13" width="13.8545454545455" customWidth="1"/>
    <col min="14" max="14" width="18.8545454545455" customWidth="1"/>
    <col min="15" max="15" width="19" customWidth="1"/>
    <col min="16" max="16" width="21.7090909090909" customWidth="1"/>
    <col min="17" max="17" width="37.7090909090909" customWidth="1"/>
    <col min="18" max="18" width="13.7090909090909" customWidth="1"/>
    <col min="19" max="19" width="12.4272727272727" customWidth="1"/>
    <col min="20" max="20" width="12.5727272727273" customWidth="1"/>
    <col min="22" max="22" width="30.5727272727273" customWidth="1"/>
    <col min="23" max="23" width="9.42727272727273" customWidth="1"/>
    <col min="24" max="24" width="10.7090909090909" customWidth="1"/>
    <col min="27" max="27" width="12.8545454545455" customWidth="1"/>
    <col min="28" max="28" width="10.7090909090909" customWidth="1"/>
    <col min="30" max="31" width="10.7090909090909" customWidth="1"/>
    <col min="32" max="32" width="14.2818181818182" customWidth="1"/>
    <col min="33" max="33" width="10.7090909090909" customWidth="1"/>
    <col min="35" max="35" width="13.5727272727273" customWidth="1"/>
    <col min="36" max="36" width="15.5727272727273" customWidth="1"/>
    <col min="40" max="40" width="11.8545454545455" customWidth="1"/>
    <col min="41" max="41" width="23.2818181818182" customWidth="1"/>
    <col min="42" max="42" width="9.42727272727273" customWidth="1"/>
    <col min="43" max="43" width="11.8545454545455" customWidth="1"/>
    <col min="44" max="44" width="15.2818181818182" customWidth="1"/>
    <col min="45" max="45" width="20.2818181818182" customWidth="1"/>
    <col min="46" max="46" width="11.4272727272727" customWidth="1"/>
    <col min="47" max="47" width="16.2818181818182" customWidth="1"/>
    <col min="48" max="48" width="13.8545454545455" customWidth="1"/>
    <col min="49" max="49" width="18.8545454545455" customWidth="1"/>
    <col min="50" max="50" width="19" customWidth="1"/>
    <col min="51" max="51" width="21.7090909090909" customWidth="1"/>
    <col min="52" max="52" width="16.5727272727273" customWidth="1"/>
    <col min="53" max="53" width="14.2818181818182" customWidth="1"/>
    <col min="54" max="54" width="17.2818181818182" customWidth="1"/>
    <col min="55" max="55" width="13.7090909090909" customWidth="1"/>
    <col min="56" max="56" width="12.4272727272727" customWidth="1"/>
    <col min="57" max="57" width="12.5727272727273" customWidth="1"/>
    <col min="58" max="58" width="21.7090909090909" customWidth="1"/>
    <col min="59" max="59" width="30.5727272727273" customWidth="1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1"/>
      <c r="AP1" s="71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1"/>
      <c r="AP2" s="71"/>
    </row>
    <row r="3" ht="15.25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71"/>
    </row>
    <row r="4" spans="1:42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1"/>
    </row>
    <row r="5" spans="1:42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1"/>
    </row>
    <row r="6" spans="1:42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1"/>
    </row>
    <row r="7" spans="1:42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1"/>
    </row>
    <row r="8" spans="1:42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1"/>
    </row>
    <row r="9" spans="1:42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1"/>
    </row>
    <row r="10" spans="1:42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1"/>
    </row>
    <row r="11" spans="1:42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1"/>
    </row>
    <row r="12" spans="1:42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1"/>
    </row>
    <row r="13" spans="1:42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1"/>
    </row>
    <row r="14" spans="1:42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1"/>
    </row>
    <row r="15" spans="1:42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1"/>
    </row>
    <row r="16" spans="1:42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1"/>
    </row>
    <row r="17" spans="1:42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>
        <v>5858.27</v>
      </c>
      <c r="T17" s="78"/>
      <c r="U17" s="77"/>
      <c r="V17" s="77"/>
      <c r="W17" s="77"/>
      <c r="X17" s="77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1"/>
    </row>
    <row r="18" ht="15.25" spans="1:42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1"/>
    </row>
    <row r="19" ht="15.25" spans="1:42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1"/>
    </row>
    <row r="20" spans="1:42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1"/>
    </row>
    <row r="21" ht="15.25" spans="1:42">
      <c r="A21" s="21" t="s">
        <v>89</v>
      </c>
      <c r="B21" s="21"/>
      <c r="C21" s="22">
        <v>1</v>
      </c>
      <c r="D21" s="23" t="s">
        <v>90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1"/>
    </row>
    <row r="22" ht="43.5" spans="1:60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113</v>
      </c>
      <c r="Z22" s="43" t="s">
        <v>114</v>
      </c>
      <c r="AA22" s="43" t="s">
        <v>115</v>
      </c>
      <c r="AB22" s="44" t="s">
        <v>116</v>
      </c>
      <c r="AC22" s="44" t="s">
        <v>117</v>
      </c>
      <c r="AD22" s="44" t="s">
        <v>118</v>
      </c>
      <c r="AE22" s="43" t="s">
        <v>119</v>
      </c>
      <c r="AF22" s="43" t="s">
        <v>120</v>
      </c>
      <c r="AG22" s="44" t="s">
        <v>121</v>
      </c>
      <c r="AH22" s="44" t="s">
        <v>122</v>
      </c>
      <c r="AI22" s="43" t="s">
        <v>123</v>
      </c>
      <c r="AJ22" s="43" t="s">
        <v>124</v>
      </c>
      <c r="AK22" s="44" t="s">
        <v>125</v>
      </c>
      <c r="AL22" s="44" t="s">
        <v>126</v>
      </c>
      <c r="AM22" s="44" t="s">
        <v>127</v>
      </c>
      <c r="AN22" s="43" t="s">
        <v>128</v>
      </c>
      <c r="AO22" s="48" t="s">
        <v>129</v>
      </c>
      <c r="AP22" s="3" t="s">
        <v>130</v>
      </c>
      <c r="AQ22" s="3" t="s">
        <v>128</v>
      </c>
      <c r="AR22" s="87" t="s">
        <v>131</v>
      </c>
      <c r="AS22" s="87" t="s">
        <v>132</v>
      </c>
      <c r="AT22" s="141" t="s">
        <v>133</v>
      </c>
      <c r="AU22" s="141" t="s">
        <v>134</v>
      </c>
      <c r="AV22" s="87" t="s">
        <v>135</v>
      </c>
      <c r="AW22" s="87" t="s">
        <v>136</v>
      </c>
      <c r="AX22" s="87" t="s">
        <v>137</v>
      </c>
      <c r="AY22" s="87" t="s">
        <v>138</v>
      </c>
      <c r="AZ22" s="89" t="s">
        <v>139</v>
      </c>
      <c r="BA22" s="89" t="s">
        <v>8</v>
      </c>
      <c r="BB22" s="89" t="s">
        <v>9</v>
      </c>
      <c r="BC22" s="87" t="s">
        <v>140</v>
      </c>
      <c r="BD22" s="87" t="s">
        <v>141</v>
      </c>
      <c r="BE22" s="141" t="s">
        <v>142</v>
      </c>
      <c r="BF22" s="141" t="s">
        <v>143</v>
      </c>
      <c r="BG22" s="141" t="s">
        <v>144</v>
      </c>
      <c r="BH22" s="144"/>
    </row>
    <row r="23" ht="15.25" spans="1:60">
      <c r="A23" s="73">
        <v>1</v>
      </c>
      <c r="B23" s="142" t="s">
        <v>28</v>
      </c>
      <c r="C23" s="73" t="s">
        <v>57</v>
      </c>
      <c r="D23" s="73" t="s">
        <v>58</v>
      </c>
      <c r="E23" s="73" t="s">
        <v>58</v>
      </c>
      <c r="F23" s="121">
        <v>25</v>
      </c>
      <c r="G23" t="s">
        <v>145</v>
      </c>
      <c r="H23" s="94" t="e">
        <f>F23*G23</f>
        <v>#VALUE!</v>
      </c>
      <c r="I23" s="74">
        <v>2.21</v>
      </c>
      <c r="J23" s="74">
        <v>1.79</v>
      </c>
      <c r="K23" s="74">
        <v>2.5</v>
      </c>
      <c r="L23" s="94" t="e">
        <f>H23</f>
        <v>#VALUE!</v>
      </c>
      <c r="M23" s="94" t="e">
        <f>ROUND(L23*I23%,2)</f>
        <v>#VALUE!</v>
      </c>
      <c r="N23" s="94" t="e">
        <f>H23-M23</f>
        <v>#VALUE!</v>
      </c>
      <c r="O23" s="94" t="e">
        <f>ROUND(N23*J23%,2)</f>
        <v>#VALUE!</v>
      </c>
      <c r="P23" s="94" t="e">
        <f>ROUND(N23-O23,2)</f>
        <v>#VALUE!</v>
      </c>
      <c r="Q23" s="94" t="e">
        <f>ROUND(P23*K23%,2)</f>
        <v>#VALUE!</v>
      </c>
      <c r="R23" s="94" t="e">
        <f>M23+O23+Q23</f>
        <v>#VALUE!</v>
      </c>
      <c r="S23" s="74" t="e">
        <f>(H23-R23)</f>
        <v>#VALUE!</v>
      </c>
      <c r="T23" s="94" t="s">
        <v>146</v>
      </c>
      <c r="U23" s="84">
        <v>0.18</v>
      </c>
      <c r="V23" s="94" t="e">
        <f>IF($C$21=1,ROUND(((S23*U23)/2),2),0)</f>
        <v>#VALUE!</v>
      </c>
      <c r="W23" s="94" t="e">
        <f>IF($C$21=1,ROUND(((S23*U23)/2),2),0)</f>
        <v>#VALUE!</v>
      </c>
      <c r="X23" s="74">
        <f>IF($C$21=2,ROUND(((S23*U23)),2),0)</f>
        <v>0</v>
      </c>
      <c r="Y23" s="94" t="e">
        <f>V23+W23+X23</f>
        <v>#VALUE!</v>
      </c>
      <c r="Z23" s="94" t="e">
        <f t="shared" ref="Z23:Z25" si="1">S23+Y23</f>
        <v>#VALUE!</v>
      </c>
      <c r="AA23" s="94">
        <v>120</v>
      </c>
      <c r="AB23" s="94" t="e">
        <f>IF($P$21=1,(S23/$S$26)*$E$37,AA23/$AA$26*$E$37)</f>
        <v>#VALUE!</v>
      </c>
      <c r="AC23" s="94"/>
      <c r="AD23" s="94" t="e">
        <f>IF($P$21=1,(S23/$S$26)*$E$39,AA23/$AA$26*$E$39)</f>
        <v>#VALUE!</v>
      </c>
      <c r="AE23" s="94" t="e">
        <f>IF($P$21=1,(S23/$S$26)*$E$39,AA23/$AA$26*$E$39)</f>
        <v>#VALUE!</v>
      </c>
      <c r="AF23" s="94" t="e">
        <f t="shared" ref="AF23:AF25" si="2">S23*$M$21</f>
        <v>#VALUE!</v>
      </c>
      <c r="AG23" s="94" t="e">
        <f t="shared" ref="AG23:AG25" si="3">IF($C$21=3,0,AD23+AE23)</f>
        <v>#VALUE!</v>
      </c>
      <c r="AH23" s="94">
        <f t="shared" ref="AH23:AH25" si="4">IF($C$21=3,AB23+AD23+AE23,0)</f>
        <v>0</v>
      </c>
      <c r="AI23" s="121">
        <v>1</v>
      </c>
      <c r="AJ23" s="94">
        <f t="shared" ref="AJ23:AJ25" si="5">F23/AI23</f>
        <v>25</v>
      </c>
      <c r="AK23" s="94" t="e">
        <f>AF23/AJ23</f>
        <v>#VALUE!</v>
      </c>
      <c r="AL23" s="94" t="e">
        <f>AG23/AJ23</f>
        <v>#VALUE!</v>
      </c>
      <c r="AM23" s="94">
        <f>AH23/AJ23</f>
        <v>0</v>
      </c>
      <c r="AN23" s="94" t="s">
        <v>58</v>
      </c>
      <c r="AO23" s="94" t="e">
        <f>AK23+AL23+AM23</f>
        <v>#VALUE!</v>
      </c>
      <c r="AP23" s="62" t="s">
        <v>31</v>
      </c>
      <c r="AQ23" s="62" t="s">
        <v>58</v>
      </c>
      <c r="AR23" t="s">
        <v>147</v>
      </c>
      <c r="AS23" t="s">
        <v>148</v>
      </c>
      <c r="AT23" s="64">
        <f>AJ23</f>
        <v>25</v>
      </c>
      <c r="AU23" s="64" t="e">
        <f>AO23</f>
        <v>#VALUE!</v>
      </c>
      <c r="AV23" s="64">
        <f>AR23+AT23</f>
        <v>1177.6</v>
      </c>
      <c r="AW23" s="62" t="e">
        <f>ROUND(((AR23*AS23)+(AT23*AU23))/(AR23+AT23),5)</f>
        <v>#VALUE!</v>
      </c>
      <c r="AX23" s="119"/>
      <c r="AY23" s="119" t="s">
        <v>149</v>
      </c>
      <c r="AZ23" s="142" t="s">
        <v>29</v>
      </c>
      <c r="BA23" s="119"/>
      <c r="BB23" s="119"/>
      <c r="BC23" s="143"/>
      <c r="BD23" s="119"/>
      <c r="BE23" s="62"/>
      <c r="BF23" s="62"/>
      <c r="BG23" s="62"/>
      <c r="BH23" s="145"/>
    </row>
    <row r="24" ht="15.25" spans="1:60">
      <c r="A24" s="73">
        <v>2</v>
      </c>
      <c r="B24" s="146" t="s">
        <v>37</v>
      </c>
      <c r="C24" s="73" t="s">
        <v>60</v>
      </c>
      <c r="D24" s="73" t="s">
        <v>58</v>
      </c>
      <c r="E24" s="73" t="s">
        <v>58</v>
      </c>
      <c r="F24" s="121">
        <v>35</v>
      </c>
      <c r="G24" t="s">
        <v>145</v>
      </c>
      <c r="H24" s="94" t="e">
        <f t="shared" ref="H24:H25" si="6">F24*G24</f>
        <v>#VALUE!</v>
      </c>
      <c r="I24" s="74">
        <v>1.25</v>
      </c>
      <c r="J24" s="74">
        <v>1.68</v>
      </c>
      <c r="K24" s="74">
        <v>2.5</v>
      </c>
      <c r="L24" s="94" t="e">
        <f>H24</f>
        <v>#VALUE!</v>
      </c>
      <c r="M24" s="94" t="e">
        <f>ROUND(L24*I24%,2)</f>
        <v>#VALUE!</v>
      </c>
      <c r="N24" s="94" t="e">
        <f t="shared" ref="N24:N25" si="7">H24-M24</f>
        <v>#VALUE!</v>
      </c>
      <c r="O24" s="94" t="e">
        <f t="shared" ref="O24:O25" si="8">ROUND(N24*J24%,2)</f>
        <v>#VALUE!</v>
      </c>
      <c r="P24" s="94" t="e">
        <f t="shared" ref="P24:P25" si="9">ROUND(N24-O24,2)</f>
        <v>#VALUE!</v>
      </c>
      <c r="Q24" s="94" t="e">
        <f t="shared" ref="Q24:Q25" si="10">ROUND(P24*K24%,2)</f>
        <v>#VALUE!</v>
      </c>
      <c r="R24" s="94" t="e">
        <f t="shared" ref="R24:R25" si="11">M24+O24+Q24</f>
        <v>#VALUE!</v>
      </c>
      <c r="S24" s="74" t="e">
        <f t="shared" ref="S24:S25" si="12">(H24-R24)</f>
        <v>#VALUE!</v>
      </c>
      <c r="T24" s="94" t="s">
        <v>146</v>
      </c>
      <c r="U24" s="84">
        <v>0.18</v>
      </c>
      <c r="V24" s="94" t="e">
        <f t="shared" ref="V24:V25" si="13">IF($C$21=1,ROUND(((S24*U24)/2),2),0)</f>
        <v>#VALUE!</v>
      </c>
      <c r="W24" s="94" t="e">
        <f t="shared" ref="W24:W25" si="14">IF($C$21=1,ROUND(((S24*U24)/2),2),0)</f>
        <v>#VALUE!</v>
      </c>
      <c r="X24" s="74">
        <f t="shared" ref="X24:X25" si="15">IF($C$21=2,ROUND(((S24*U24)),2),0)</f>
        <v>0</v>
      </c>
      <c r="Y24" s="94" t="e">
        <f t="shared" ref="Y24:Y25" si="16">V24+W24+X24</f>
        <v>#VALUE!</v>
      </c>
      <c r="Z24" s="94" t="e">
        <f t="shared" si="1"/>
        <v>#VALUE!</v>
      </c>
      <c r="AA24" s="94">
        <v>200</v>
      </c>
      <c r="AB24" s="94" t="e">
        <f>IF($P$21=1,(S24/$S$26)*$E$37,AA24/$AA$26*$E$37)</f>
        <v>#VALUE!</v>
      </c>
      <c r="AC24" s="94"/>
      <c r="AD24" s="94" t="e">
        <f>IF($P$21=1,(S24/$S$26)*$E$39,AA24/$AA$26*$E$39)</f>
        <v>#VALUE!</v>
      </c>
      <c r="AE24" s="94" t="e">
        <f>IF($P$21=1,(S24/$S$26)*$E$39,AA24/$AA$26*$E$39)</f>
        <v>#VALUE!</v>
      </c>
      <c r="AF24" s="94" t="e">
        <f t="shared" si="2"/>
        <v>#VALUE!</v>
      </c>
      <c r="AG24" s="94" t="e">
        <f t="shared" si="3"/>
        <v>#VALUE!</v>
      </c>
      <c r="AH24" s="94">
        <f t="shared" si="4"/>
        <v>0</v>
      </c>
      <c r="AI24" s="121">
        <v>1</v>
      </c>
      <c r="AJ24" s="94">
        <f t="shared" si="5"/>
        <v>35</v>
      </c>
      <c r="AK24" s="94" t="e">
        <f t="shared" ref="AK24:AK25" si="17">AF24/AJ24</f>
        <v>#VALUE!</v>
      </c>
      <c r="AL24" s="94" t="e">
        <f t="shared" ref="AL24:AL25" si="18">AG24/AJ24</f>
        <v>#VALUE!</v>
      </c>
      <c r="AM24" s="94">
        <f t="shared" ref="AM24:AM25" si="19">AH24/AJ24</f>
        <v>0</v>
      </c>
      <c r="AN24" s="94" t="s">
        <v>58</v>
      </c>
      <c r="AO24" s="94" t="e">
        <f t="shared" ref="AO24:AO25" si="20">AK24+AL24+AM24</f>
        <v>#VALUE!</v>
      </c>
      <c r="AP24" s="62" t="s">
        <v>31</v>
      </c>
      <c r="AQ24" s="62" t="s">
        <v>58</v>
      </c>
      <c r="AR24" t="s">
        <v>150</v>
      </c>
      <c r="AS24" t="s">
        <v>151</v>
      </c>
      <c r="AT24" s="64">
        <f>AJ24</f>
        <v>35</v>
      </c>
      <c r="AU24" s="64" t="e">
        <f>AO24</f>
        <v>#VALUE!</v>
      </c>
      <c r="AV24" s="64">
        <f t="shared" ref="AV24:AV25" si="21">AR24+AT24</f>
        <v>8717</v>
      </c>
      <c r="AW24" s="62" t="e">
        <f t="shared" ref="AW24:AW25" si="22">((AR24*AS24)+(AT24*AU24))/(AR24+AT24)</f>
        <v>#VALUE!</v>
      </c>
      <c r="AX24" s="119"/>
      <c r="AY24" s="119"/>
      <c r="AZ24" s="142" t="s">
        <v>38</v>
      </c>
      <c r="BA24" s="119" t="s">
        <v>152</v>
      </c>
      <c r="BB24" s="119"/>
      <c r="BC24" s="143"/>
      <c r="BD24" s="119"/>
      <c r="BE24" s="62"/>
      <c r="BF24" s="62"/>
      <c r="BG24" s="62"/>
      <c r="BH24" s="145"/>
    </row>
    <row r="25" ht="15.25" spans="1:60">
      <c r="A25" s="73">
        <v>3</v>
      </c>
      <c r="B25" s="142" t="s">
        <v>44</v>
      </c>
      <c r="C25" s="73" t="s">
        <v>62</v>
      </c>
      <c r="D25" s="73" t="s">
        <v>58</v>
      </c>
      <c r="E25" s="73" t="s">
        <v>58</v>
      </c>
      <c r="F25" s="121">
        <v>45</v>
      </c>
      <c r="G25" t="s">
        <v>145</v>
      </c>
      <c r="H25" s="94" t="e">
        <f t="shared" si="6"/>
        <v>#VALUE!</v>
      </c>
      <c r="I25" s="74">
        <v>1.25</v>
      </c>
      <c r="J25" s="74">
        <v>0.25</v>
      </c>
      <c r="K25" s="74">
        <v>2.5</v>
      </c>
      <c r="L25" s="94" t="e">
        <f>H25</f>
        <v>#VALUE!</v>
      </c>
      <c r="M25" s="94" t="e">
        <f>ROUND(L25*I25%,2)</f>
        <v>#VALUE!</v>
      </c>
      <c r="N25" s="94" t="e">
        <f t="shared" si="7"/>
        <v>#VALUE!</v>
      </c>
      <c r="O25" s="94" t="e">
        <f t="shared" si="8"/>
        <v>#VALUE!</v>
      </c>
      <c r="P25" s="94" t="e">
        <f t="shared" si="9"/>
        <v>#VALUE!</v>
      </c>
      <c r="Q25" s="94" t="e">
        <f t="shared" si="10"/>
        <v>#VALUE!</v>
      </c>
      <c r="R25" s="94" t="e">
        <f t="shared" si="11"/>
        <v>#VALUE!</v>
      </c>
      <c r="S25" s="74" t="e">
        <f t="shared" si="12"/>
        <v>#VALUE!</v>
      </c>
      <c r="T25" s="94" t="s">
        <v>146</v>
      </c>
      <c r="U25" s="84">
        <v>0.18</v>
      </c>
      <c r="V25" s="94" t="e">
        <f t="shared" si="13"/>
        <v>#VALUE!</v>
      </c>
      <c r="W25" s="94" t="e">
        <f t="shared" si="14"/>
        <v>#VALUE!</v>
      </c>
      <c r="X25" s="74">
        <f t="shared" si="15"/>
        <v>0</v>
      </c>
      <c r="Y25" s="94" t="e">
        <f t="shared" si="16"/>
        <v>#VALUE!</v>
      </c>
      <c r="Z25" s="94" t="e">
        <f t="shared" si="1"/>
        <v>#VALUE!</v>
      </c>
      <c r="AA25" s="94">
        <v>150</v>
      </c>
      <c r="AB25" s="94" t="e">
        <f>IF($P$21=1,(S25/$S$26)*$E$37,AA25/$AA$26*$E$37)</f>
        <v>#VALUE!</v>
      </c>
      <c r="AC25" s="94"/>
      <c r="AD25" s="94" t="e">
        <f>IF($P$21=1,(S25/$S$26)*$E$39,AA25/$AA$26*$E$39)</f>
        <v>#VALUE!</v>
      </c>
      <c r="AE25" s="94" t="e">
        <f>IF($P$21=1,(S25/$S$26)*$E$39,AA25/$AA$26*$E$39)</f>
        <v>#VALUE!</v>
      </c>
      <c r="AF25" s="94" t="e">
        <f t="shared" si="2"/>
        <v>#VALUE!</v>
      </c>
      <c r="AG25" s="94" t="e">
        <f t="shared" si="3"/>
        <v>#VALUE!</v>
      </c>
      <c r="AH25" s="94">
        <f t="shared" si="4"/>
        <v>0</v>
      </c>
      <c r="AI25" s="121">
        <v>1</v>
      </c>
      <c r="AJ25" s="94">
        <f t="shared" si="5"/>
        <v>45</v>
      </c>
      <c r="AK25" s="94" t="e">
        <f t="shared" si="17"/>
        <v>#VALUE!</v>
      </c>
      <c r="AL25" s="94" t="e">
        <f t="shared" si="18"/>
        <v>#VALUE!</v>
      </c>
      <c r="AM25" s="94">
        <f t="shared" si="19"/>
        <v>0</v>
      </c>
      <c r="AN25" s="94" t="s">
        <v>58</v>
      </c>
      <c r="AO25" s="94" t="e">
        <f t="shared" si="20"/>
        <v>#VALUE!</v>
      </c>
      <c r="AP25" s="62" t="s">
        <v>31</v>
      </c>
      <c r="AQ25" s="62" t="s">
        <v>58</v>
      </c>
      <c r="AR25" t="s">
        <v>42</v>
      </c>
      <c r="AS25" t="s">
        <v>43</v>
      </c>
      <c r="AT25" s="64">
        <f>AJ25</f>
        <v>45</v>
      </c>
      <c r="AU25" s="64" t="e">
        <f>AO25</f>
        <v>#VALUE!</v>
      </c>
      <c r="AV25" s="64">
        <f t="shared" si="21"/>
        <v>11447</v>
      </c>
      <c r="AW25" s="62" t="e">
        <f t="shared" si="22"/>
        <v>#VALUE!</v>
      </c>
      <c r="AX25" s="119"/>
      <c r="AY25" s="119"/>
      <c r="AZ25" s="142" t="s">
        <v>45</v>
      </c>
      <c r="BA25" s="119"/>
      <c r="BB25" s="119" t="s">
        <v>39</v>
      </c>
      <c r="BC25" s="143"/>
      <c r="BD25" s="119"/>
      <c r="BE25" s="62"/>
      <c r="BF25" s="62"/>
      <c r="BG25" s="62"/>
      <c r="BH25" s="145"/>
    </row>
    <row r="26" ht="15" customHeight="1" spans="1:42">
      <c r="A26" s="71"/>
      <c r="B26" s="75"/>
      <c r="C26" s="75"/>
      <c r="D26" s="31" t="s">
        <v>87</v>
      </c>
      <c r="E26" s="31"/>
      <c r="F26" s="31"/>
      <c r="G26" s="32"/>
      <c r="H26" s="76" t="e">
        <f>SUM(H23:H25)</f>
        <v>#VALUE!</v>
      </c>
      <c r="I26" s="73"/>
      <c r="J26" s="73"/>
      <c r="K26" s="73"/>
      <c r="L26" s="73"/>
      <c r="M26" s="73"/>
      <c r="N26" s="73"/>
      <c r="O26" s="73"/>
      <c r="P26" s="73"/>
      <c r="Q26" s="73"/>
      <c r="R26" s="76" t="e">
        <f>SUM(R23:R25)</f>
        <v>#VALUE!</v>
      </c>
      <c r="S26" s="82" t="e">
        <f>SUM(S23:S25)</f>
        <v>#VALUE!</v>
      </c>
      <c r="T26" s="76"/>
      <c r="U26" s="76"/>
      <c r="V26" s="83" t="e">
        <f t="shared" ref="V26:AB26" si="23">SUM(V23:V25)</f>
        <v>#VALUE!</v>
      </c>
      <c r="W26" s="83" t="e">
        <f t="shared" si="23"/>
        <v>#VALUE!</v>
      </c>
      <c r="X26" s="83">
        <f t="shared" si="23"/>
        <v>0</v>
      </c>
      <c r="Y26" s="76" t="e">
        <f t="shared" si="23"/>
        <v>#VALUE!</v>
      </c>
      <c r="Z26" s="85" t="e">
        <f t="shared" si="23"/>
        <v>#VALUE!</v>
      </c>
      <c r="AA26" s="86">
        <f t="shared" si="23"/>
        <v>470</v>
      </c>
      <c r="AB26" s="86" t="e">
        <f t="shared" si="23"/>
        <v>#VALUE!</v>
      </c>
      <c r="AC26" s="85"/>
      <c r="AD26" s="86" t="e">
        <f>SUM(AD23:AD25)</f>
        <v>#VALUE!</v>
      </c>
      <c r="AE26" s="86" t="e">
        <f>SUM(AE23:AE25)</f>
        <v>#VALUE!</v>
      </c>
      <c r="AF26" s="86" t="e">
        <f>SUM(AF23:AF25)</f>
        <v>#VALUE!</v>
      </c>
      <c r="AG26" s="86" t="e">
        <f>SUM(AG23:AG25)</f>
        <v>#VALUE!</v>
      </c>
      <c r="AH26" s="86">
        <f>SUM(AH23:AH25)</f>
        <v>0</v>
      </c>
      <c r="AI26" s="85"/>
      <c r="AJ26" s="85"/>
      <c r="AK26" s="85"/>
      <c r="AL26" s="85"/>
      <c r="AM26" s="85"/>
      <c r="AN26" s="85"/>
      <c r="AO26" s="85"/>
      <c r="AP26" s="71"/>
    </row>
    <row r="27" spans="1:42">
      <c r="A27" s="71"/>
      <c r="B27" s="75"/>
      <c r="C27" s="75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</row>
    <row r="28" spans="1:42">
      <c r="A28" s="71"/>
      <c r="B28" s="71"/>
      <c r="C28" s="71"/>
      <c r="D28" s="71"/>
      <c r="E28" s="71" t="s">
        <v>153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</row>
    <row r="29" spans="1:42">
      <c r="A29" s="71"/>
      <c r="D29" s="71"/>
      <c r="E29" s="71"/>
      <c r="F29" s="71"/>
      <c r="G29" s="71">
        <f>E29*F29</f>
        <v>0</v>
      </c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</row>
    <row r="30" spans="1:42">
      <c r="A30" s="71"/>
      <c r="B30" s="147"/>
      <c r="C30" s="148"/>
      <c r="D30" s="149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</row>
    <row r="31" spans="1:42">
      <c r="A31" s="71"/>
      <c r="B31" s="147"/>
      <c r="C31" s="148"/>
      <c r="D31" s="149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</row>
    <row r="32" spans="1:42">
      <c r="A32" s="71"/>
      <c r="B32" s="147"/>
      <c r="C32" s="148"/>
      <c r="D32" s="149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</row>
    <row r="33" spans="1:42">
      <c r="A33" s="71"/>
      <c r="B33" s="147"/>
      <c r="C33" s="148"/>
      <c r="D33" s="149"/>
      <c r="E33" s="71"/>
      <c r="F33" s="71"/>
      <c r="G33" s="71"/>
      <c r="H33" s="150"/>
      <c r="I33" s="152"/>
      <c r="J33" s="152"/>
      <c r="K33" s="109"/>
      <c r="L33" s="71"/>
      <c r="M33" s="71"/>
      <c r="N33" s="71"/>
      <c r="O33" s="71"/>
      <c r="P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</row>
    <row r="34" spans="1:42">
      <c r="A34" s="71"/>
      <c r="B34" s="147"/>
      <c r="C34" s="92"/>
      <c r="D34" s="151"/>
      <c r="E34" s="71"/>
      <c r="F34" s="71"/>
      <c r="G34" s="71"/>
      <c r="H34" s="150"/>
      <c r="I34" s="152"/>
      <c r="J34" s="152"/>
      <c r="K34" s="71"/>
      <c r="L34" s="71"/>
      <c r="M34" s="71"/>
      <c r="N34" s="71"/>
      <c r="O34" s="71"/>
      <c r="P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</row>
    <row r="35" spans="1:42">
      <c r="A35" s="71"/>
      <c r="B35" s="71"/>
      <c r="C35" s="71"/>
      <c r="D35" s="71"/>
      <c r="E35" s="71"/>
      <c r="F35" s="71"/>
      <c r="G35" s="71"/>
      <c r="H35" s="150"/>
      <c r="I35" s="152"/>
      <c r="J35" s="152"/>
      <c r="K35" s="71"/>
      <c r="L35" s="71"/>
      <c r="M35" s="71"/>
      <c r="N35" s="71"/>
      <c r="O35" s="71"/>
      <c r="P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</row>
    <row r="36" spans="1:42">
      <c r="A36" s="71"/>
      <c r="B36" s="71"/>
      <c r="C36" s="71"/>
      <c r="D36" s="71"/>
      <c r="E36" s="71"/>
      <c r="F36" s="71"/>
      <c r="G36" s="150"/>
      <c r="H36" s="150"/>
      <c r="I36" s="152"/>
      <c r="J36" s="152"/>
      <c r="K36" s="71"/>
      <c r="L36" s="71"/>
      <c r="M36" s="71"/>
      <c r="N36" s="71"/>
      <c r="O36" s="71"/>
      <c r="P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</row>
    <row r="37" spans="1:42">
      <c r="A37" s="71"/>
      <c r="B37" s="71"/>
      <c r="C37" s="71"/>
      <c r="D37" s="71"/>
      <c r="E37" s="71"/>
      <c r="F37" s="71"/>
      <c r="G37" s="150"/>
      <c r="H37" s="150"/>
      <c r="I37" s="152"/>
      <c r="J37" s="152"/>
      <c r="K37" s="71"/>
      <c r="L37" s="71"/>
      <c r="M37" s="71"/>
      <c r="N37" s="71"/>
      <c r="O37" s="71"/>
      <c r="P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</row>
    <row r="38" spans="1:42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</row>
    <row r="39" spans="1:42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</row>
    <row r="40" spans="1:42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</row>
    <row r="41" spans="1:42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T41" s="71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</row>
    <row r="42" spans="1:42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</row>
    <row r="43" spans="1:42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T43" s="71"/>
      <c r="U43" s="71"/>
      <c r="V43" s="71"/>
      <c r="W43" s="71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</row>
    <row r="44" spans="1:42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</row>
    <row r="45" spans="1:42">
      <c r="A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</row>
    <row r="46" spans="1:42">
      <c r="A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</row>
    <row r="47" spans="1:42">
      <c r="A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</row>
    <row r="48" spans="1:42">
      <c r="A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</row>
    <row r="49" spans="1:42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1:AP44"/>
  <sheetViews>
    <sheetView topLeftCell="A25" workbookViewId="0">
      <selection activeCell="AB22" sqref="AB22"/>
    </sheetView>
  </sheetViews>
  <sheetFormatPr defaultColWidth="9" defaultRowHeight="14.5"/>
  <cols>
    <col min="8" max="8" width="11.8545454545455" customWidth="1"/>
    <col min="12" max="12" width="13.8545454545455" customWidth="1"/>
    <col min="14" max="14" width="13.7090909090909" customWidth="1"/>
    <col min="19" max="19" width="11.5727272727273" customWidth="1"/>
    <col min="25" max="25" width="9.70909090909091" customWidth="1"/>
    <col min="28" max="29" width="9.13636363636364" customWidth="1"/>
    <col min="30" max="30" width="9.42727272727273" customWidth="1"/>
    <col min="31" max="31" width="9.13636363636364" customWidth="1"/>
    <col min="35" max="35" width="14.2818181818182" customWidth="1"/>
    <col min="36" max="36" width="17.2818181818182" customWidth="1"/>
    <col min="37" max="37" width="13.7090909090909" customWidth="1"/>
    <col min="38" max="38" width="12.4272727272727" customWidth="1"/>
    <col min="39" max="39" width="12.5727272727273" customWidth="1"/>
    <col min="40" max="40" width="21.7090909090909" customWidth="1"/>
    <col min="41" max="41" width="30.5727272727273" customWidth="1"/>
  </cols>
  <sheetData>
    <row r="21" ht="18.25" spans="1:23">
      <c r="A21" s="101" t="s">
        <v>154</v>
      </c>
      <c r="B21" s="101"/>
      <c r="C21" s="101"/>
      <c r="D21" s="101"/>
      <c r="E21" s="101"/>
      <c r="F21" s="101"/>
      <c r="G21" s="101"/>
      <c r="H21" s="101"/>
      <c r="I21" s="101"/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71"/>
    </row>
    <row r="22" ht="43.5" spans="1:42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15" t="s">
        <v>159</v>
      </c>
      <c r="U22" s="115" t="s">
        <v>113</v>
      </c>
      <c r="V22" s="117" t="s">
        <v>114</v>
      </c>
      <c r="W22" s="118" t="s">
        <v>160</v>
      </c>
      <c r="X22" s="3" t="s">
        <v>130</v>
      </c>
      <c r="Y22" s="3" t="s">
        <v>128</v>
      </c>
      <c r="Z22" s="87" t="s">
        <v>131</v>
      </c>
      <c r="AA22" s="87" t="s">
        <v>132</v>
      </c>
      <c r="AB22" s="141" t="s">
        <v>133</v>
      </c>
      <c r="AC22" s="141" t="s">
        <v>134</v>
      </c>
      <c r="AD22" s="87" t="s">
        <v>135</v>
      </c>
      <c r="AE22" s="87" t="s">
        <v>136</v>
      </c>
      <c r="AF22" s="87" t="s">
        <v>137</v>
      </c>
      <c r="AG22" s="87" t="s">
        <v>138</v>
      </c>
      <c r="AH22" s="89" t="s">
        <v>139</v>
      </c>
      <c r="AI22" s="89" t="s">
        <v>8</v>
      </c>
      <c r="AJ22" s="89" t="s">
        <v>9</v>
      </c>
      <c r="AK22" s="87" t="s">
        <v>140</v>
      </c>
      <c r="AL22" s="87" t="s">
        <v>141</v>
      </c>
      <c r="AM22" s="141" t="s">
        <v>142</v>
      </c>
      <c r="AN22" s="141" t="s">
        <v>143</v>
      </c>
      <c r="AO22" s="141" t="s">
        <v>144</v>
      </c>
      <c r="AP22" s="144"/>
    </row>
    <row r="23" ht="15.25" spans="1:42">
      <c r="A23" s="73">
        <v>1</v>
      </c>
      <c r="B23" s="73" t="s">
        <v>161</v>
      </c>
      <c r="C23" s="73" t="s">
        <v>162</v>
      </c>
      <c r="D23" s="73" t="s">
        <v>58</v>
      </c>
      <c r="E23" s="73" t="s">
        <v>163</v>
      </c>
      <c r="F23" s="73">
        <v>40</v>
      </c>
      <c r="G23" s="94">
        <v>257.63</v>
      </c>
      <c r="H23" s="94">
        <f>F23*G23</f>
        <v>10305.2</v>
      </c>
      <c r="I23" s="74">
        <v>1</v>
      </c>
      <c r="J23" s="74">
        <v>2</v>
      </c>
      <c r="K23" s="74">
        <v>2.5</v>
      </c>
      <c r="L23" s="74">
        <f>H23</f>
        <v>10305.2</v>
      </c>
      <c r="M23" s="74">
        <f>ROUND(L23*I23%,2)</f>
        <v>103.05</v>
      </c>
      <c r="N23" s="74">
        <f>H23-M23</f>
        <v>10202.15</v>
      </c>
      <c r="O23" s="74">
        <f>ROUND(N23*J23%,2)</f>
        <v>204.04</v>
      </c>
      <c r="P23" s="74">
        <f>ROUND(N23-O23,2)</f>
        <v>9998.11</v>
      </c>
      <c r="Q23" s="74">
        <f>ROUND(P23*K23%,2)</f>
        <v>249.95</v>
      </c>
      <c r="R23" s="74">
        <f>ROUND((M23+O23+Q23),2)</f>
        <v>557.04</v>
      </c>
      <c r="S23" s="74">
        <f>ROUND((H23-R23),2)</f>
        <v>9748.16</v>
      </c>
      <c r="T23" s="74">
        <v>0.18</v>
      </c>
      <c r="U23" s="74">
        <f>ROUND((S23*18%),2)</f>
        <v>1754.67</v>
      </c>
      <c r="V23" s="74">
        <f>S23+U23</f>
        <v>11502.83</v>
      </c>
      <c r="W23" s="74">
        <f t="shared" ref="W23:W28" si="0">ROUND(G23*$O$41,2)</f>
        <v>515.26</v>
      </c>
      <c r="X23" s="62" t="s">
        <v>31</v>
      </c>
      <c r="Y23" s="62" t="s">
        <v>58</v>
      </c>
      <c r="Z23">
        <v>1152.6</v>
      </c>
      <c r="AA23">
        <v>138.28799</v>
      </c>
      <c r="AB23" s="64">
        <f>R23</f>
        <v>557.04</v>
      </c>
      <c r="AC23" s="64">
        <f>W23</f>
        <v>515.26</v>
      </c>
      <c r="AD23" s="64">
        <f>Z23+AB23</f>
        <v>1709.64</v>
      </c>
      <c r="AE23" s="62">
        <f>ROUND(((Z23*AA23)+(AB23*AC23))/(Z23+AB23),5)</f>
        <v>261.11413</v>
      </c>
      <c r="AF23" s="119"/>
      <c r="AG23" s="119" t="s">
        <v>149</v>
      </c>
      <c r="AH23" s="142" t="s">
        <v>29</v>
      </c>
      <c r="AI23" s="119"/>
      <c r="AJ23" s="119"/>
      <c r="AK23" s="143"/>
      <c r="AL23" s="119"/>
      <c r="AM23" s="62"/>
      <c r="AN23" s="62"/>
      <c r="AO23" s="62"/>
      <c r="AP23" s="145"/>
    </row>
    <row r="24" ht="15.25" spans="1:42">
      <c r="A24" s="73">
        <v>2</v>
      </c>
      <c r="B24" s="73" t="s">
        <v>164</v>
      </c>
      <c r="C24" s="73" t="s">
        <v>165</v>
      </c>
      <c r="D24" s="73" t="s">
        <v>58</v>
      </c>
      <c r="E24" s="73" t="s">
        <v>163</v>
      </c>
      <c r="F24" s="73">
        <v>35</v>
      </c>
      <c r="G24" s="94">
        <v>125.45</v>
      </c>
      <c r="H24" s="94">
        <f>F24*G24</f>
        <v>4390.75</v>
      </c>
      <c r="I24" s="74">
        <v>1</v>
      </c>
      <c r="J24" s="74">
        <v>2</v>
      </c>
      <c r="K24" s="74">
        <v>2.5</v>
      </c>
      <c r="L24" s="74">
        <f>H24</f>
        <v>4390.75</v>
      </c>
      <c r="M24" s="74">
        <f t="shared" ref="M24:M37" si="1">ROUND(L24*I24%,2)</f>
        <v>43.91</v>
      </c>
      <c r="N24" s="74">
        <f>H24-M24</f>
        <v>4346.84</v>
      </c>
      <c r="O24" s="74">
        <f t="shared" ref="O24:O37" si="2">ROUND(N24*J24%,2)</f>
        <v>86.94</v>
      </c>
      <c r="P24" s="74">
        <f>ROUND(N24-O24,2)</f>
        <v>4259.9</v>
      </c>
      <c r="Q24" s="74">
        <f t="shared" ref="Q24:Q37" si="3">ROUND(P24*K24%,2)</f>
        <v>106.5</v>
      </c>
      <c r="R24" s="74">
        <f>ROUND((M24+O24+Q24),2)</f>
        <v>237.35</v>
      </c>
      <c r="S24" s="74">
        <f>ROUND((H24-R24),2)</f>
        <v>4153.4</v>
      </c>
      <c r="T24" s="74">
        <v>0.18</v>
      </c>
      <c r="U24" s="74">
        <f>ROUND((S24*18%),2)</f>
        <v>747.61</v>
      </c>
      <c r="V24" s="74">
        <f>S24+U24</f>
        <v>4901.01</v>
      </c>
      <c r="W24" s="74">
        <f t="shared" si="0"/>
        <v>250.9</v>
      </c>
      <c r="X24" s="62" t="s">
        <v>31</v>
      </c>
      <c r="Y24" s="62" t="s">
        <v>58</v>
      </c>
      <c r="Z24" t="s">
        <v>150</v>
      </c>
      <c r="AA24" t="s">
        <v>151</v>
      </c>
      <c r="AB24" s="64">
        <f>R24</f>
        <v>237.35</v>
      </c>
      <c r="AC24" s="64">
        <f>W24</f>
        <v>250.9</v>
      </c>
      <c r="AD24" s="64">
        <f t="shared" ref="AD24:AD25" si="4">Z24+AB24</f>
        <v>8919.35</v>
      </c>
      <c r="AE24" s="62">
        <f t="shared" ref="AE24:AE25" si="5">((Z24*AA24)+(AB24*AC24))/(Z24+AB24)</f>
        <v>104.769646579627</v>
      </c>
      <c r="AF24" s="119"/>
      <c r="AG24" s="119"/>
      <c r="AH24" s="142" t="s">
        <v>38</v>
      </c>
      <c r="AI24" s="119" t="s">
        <v>152</v>
      </c>
      <c r="AJ24" s="119"/>
      <c r="AK24" s="143"/>
      <c r="AL24" s="119"/>
      <c r="AM24" s="62"/>
      <c r="AN24" s="62"/>
      <c r="AO24" s="62"/>
      <c r="AP24" s="145"/>
    </row>
    <row r="25" ht="15.25" spans="1:42">
      <c r="A25" s="73">
        <v>3</v>
      </c>
      <c r="B25" s="73" t="s">
        <v>166</v>
      </c>
      <c r="C25" s="73" t="s">
        <v>167</v>
      </c>
      <c r="D25" s="73" t="s">
        <v>58</v>
      </c>
      <c r="E25" s="73" t="s">
        <v>163</v>
      </c>
      <c r="F25" s="73">
        <v>45</v>
      </c>
      <c r="G25" s="94">
        <v>125.36</v>
      </c>
      <c r="H25" s="94">
        <f>F25*G25</f>
        <v>5641.2</v>
      </c>
      <c r="I25" s="74">
        <v>1</v>
      </c>
      <c r="J25" s="74">
        <v>2</v>
      </c>
      <c r="K25" s="74">
        <v>2.5</v>
      </c>
      <c r="L25" s="74">
        <f>H25</f>
        <v>5641.2</v>
      </c>
      <c r="M25" s="74">
        <f t="shared" si="1"/>
        <v>56.41</v>
      </c>
      <c r="N25" s="74">
        <f>H25-M25</f>
        <v>5584.79</v>
      </c>
      <c r="O25" s="74">
        <f t="shared" si="2"/>
        <v>111.7</v>
      </c>
      <c r="P25" s="74">
        <f>ROUND(N25-O25,2)</f>
        <v>5473.09</v>
      </c>
      <c r="Q25" s="74">
        <f t="shared" si="3"/>
        <v>136.83</v>
      </c>
      <c r="R25" s="74">
        <f>ROUND((M25+O25+Q25),2)</f>
        <v>304.94</v>
      </c>
      <c r="S25" s="74">
        <f>ROUND((H25-R25),2)</f>
        <v>5336.26</v>
      </c>
      <c r="T25" s="74">
        <v>0.18</v>
      </c>
      <c r="U25" s="74">
        <f>ROUND((S25*18%),2)</f>
        <v>960.53</v>
      </c>
      <c r="V25" s="74">
        <f>S25+U25</f>
        <v>6296.79</v>
      </c>
      <c r="W25" s="74">
        <f t="shared" si="0"/>
        <v>250.72</v>
      </c>
      <c r="X25" s="62" t="s">
        <v>31</v>
      </c>
      <c r="Y25" s="62" t="s">
        <v>58</v>
      </c>
      <c r="Z25" t="s">
        <v>42</v>
      </c>
      <c r="AA25" t="s">
        <v>43</v>
      </c>
      <c r="AB25" s="64">
        <f>R25</f>
        <v>304.94</v>
      </c>
      <c r="AC25" s="64">
        <f>W25</f>
        <v>250.72</v>
      </c>
      <c r="AD25" s="64">
        <f t="shared" si="4"/>
        <v>11706.94</v>
      </c>
      <c r="AE25" s="62">
        <f t="shared" si="5"/>
        <v>262.10845232486</v>
      </c>
      <c r="AF25" s="119"/>
      <c r="AG25" s="119"/>
      <c r="AH25" s="142" t="s">
        <v>45</v>
      </c>
      <c r="AI25" s="119"/>
      <c r="AJ25" s="119" t="s">
        <v>39</v>
      </c>
      <c r="AK25" s="143"/>
      <c r="AL25" s="119"/>
      <c r="AM25" s="62"/>
      <c r="AN25" s="62"/>
      <c r="AO25" s="62"/>
      <c r="AP25" s="145"/>
    </row>
    <row r="26" ht="15.25" spans="1:23">
      <c r="A26" s="73">
        <v>4</v>
      </c>
      <c r="B26" s="73" t="s">
        <v>168</v>
      </c>
      <c r="C26" s="73" t="s">
        <v>169</v>
      </c>
      <c r="D26" s="73" t="s">
        <v>58</v>
      </c>
      <c r="E26" s="73" t="s">
        <v>163</v>
      </c>
      <c r="F26" s="73">
        <v>55</v>
      </c>
      <c r="G26" s="94">
        <v>45.25</v>
      </c>
      <c r="H26" s="94">
        <f t="shared" ref="H26:H37" si="6">F26*G26</f>
        <v>2488.75</v>
      </c>
      <c r="I26" s="74">
        <v>1</v>
      </c>
      <c r="J26" s="74">
        <v>2</v>
      </c>
      <c r="K26" s="74">
        <v>2.5</v>
      </c>
      <c r="L26" s="74">
        <f t="shared" ref="L26:L37" si="7">H26</f>
        <v>2488.75</v>
      </c>
      <c r="M26" s="74">
        <f t="shared" si="1"/>
        <v>24.89</v>
      </c>
      <c r="N26" s="74">
        <f t="shared" ref="N26:N37" si="8">H26-M26</f>
        <v>2463.86</v>
      </c>
      <c r="O26" s="74">
        <f t="shared" si="2"/>
        <v>49.28</v>
      </c>
      <c r="P26" s="74">
        <f t="shared" ref="P26:P37" si="9">ROUND(N26-O26,2)</f>
        <v>2414.58</v>
      </c>
      <c r="Q26" s="74">
        <f t="shared" si="3"/>
        <v>60.36</v>
      </c>
      <c r="R26" s="74">
        <f t="shared" ref="R26:R37" si="10">ROUND((M26+O26+Q26),2)</f>
        <v>134.53</v>
      </c>
      <c r="S26" s="74">
        <f t="shared" ref="S26:S37" si="11">ROUND((H26-R26),2)</f>
        <v>2354.22</v>
      </c>
      <c r="T26" s="74">
        <v>0.18</v>
      </c>
      <c r="U26" s="74">
        <f t="shared" ref="U26:U37" si="12">ROUND((S26*18%),2)</f>
        <v>423.76</v>
      </c>
      <c r="V26" s="74">
        <f t="shared" ref="V26:V37" si="13">S26+U26</f>
        <v>2777.98</v>
      </c>
      <c r="W26" s="74">
        <f t="shared" si="0"/>
        <v>90.5</v>
      </c>
    </row>
    <row r="27" ht="15.25" spans="1:23">
      <c r="A27" s="73">
        <v>5</v>
      </c>
      <c r="B27" s="73" t="s">
        <v>170</v>
      </c>
      <c r="C27" s="73" t="s">
        <v>171</v>
      </c>
      <c r="D27" s="73" t="s">
        <v>58</v>
      </c>
      <c r="E27" s="73" t="s">
        <v>163</v>
      </c>
      <c r="F27" s="73">
        <v>60</v>
      </c>
      <c r="G27" s="94">
        <v>45.5</v>
      </c>
      <c r="H27" s="94">
        <f t="shared" si="6"/>
        <v>2730</v>
      </c>
      <c r="I27" s="74">
        <v>1</v>
      </c>
      <c r="J27" s="74">
        <v>2</v>
      </c>
      <c r="K27" s="74">
        <v>2.5</v>
      </c>
      <c r="L27" s="74">
        <f t="shared" si="7"/>
        <v>2730</v>
      </c>
      <c r="M27" s="74">
        <f t="shared" si="1"/>
        <v>27.3</v>
      </c>
      <c r="N27" s="74">
        <f t="shared" si="8"/>
        <v>2702.7</v>
      </c>
      <c r="O27" s="74">
        <f t="shared" si="2"/>
        <v>54.05</v>
      </c>
      <c r="P27" s="74">
        <f t="shared" si="9"/>
        <v>2648.65</v>
      </c>
      <c r="Q27" s="74">
        <f t="shared" si="3"/>
        <v>66.22</v>
      </c>
      <c r="R27" s="74">
        <f t="shared" si="10"/>
        <v>147.57</v>
      </c>
      <c r="S27" s="74">
        <f t="shared" si="11"/>
        <v>2582.43</v>
      </c>
      <c r="T27" s="74">
        <v>0.18</v>
      </c>
      <c r="U27" s="74">
        <f t="shared" si="12"/>
        <v>464.84</v>
      </c>
      <c r="V27" s="74">
        <f t="shared" si="13"/>
        <v>3047.27</v>
      </c>
      <c r="W27" s="74">
        <f t="shared" si="0"/>
        <v>91</v>
      </c>
    </row>
    <row r="28" ht="15.25" spans="1:23">
      <c r="A28" s="73">
        <v>6</v>
      </c>
      <c r="B28" s="73" t="s">
        <v>172</v>
      </c>
      <c r="C28" s="73" t="s">
        <v>173</v>
      </c>
      <c r="D28" s="73" t="s">
        <v>58</v>
      </c>
      <c r="E28" s="73" t="s">
        <v>163</v>
      </c>
      <c r="F28" s="73">
        <v>75</v>
      </c>
      <c r="G28" s="94">
        <v>125.25</v>
      </c>
      <c r="H28" s="94">
        <f t="shared" si="6"/>
        <v>9393.75</v>
      </c>
      <c r="I28" s="74">
        <v>1</v>
      </c>
      <c r="J28" s="74">
        <v>2</v>
      </c>
      <c r="K28" s="74">
        <v>2.5</v>
      </c>
      <c r="L28" s="74">
        <f t="shared" si="7"/>
        <v>9393.75</v>
      </c>
      <c r="M28" s="74">
        <f t="shared" si="1"/>
        <v>93.94</v>
      </c>
      <c r="N28" s="74">
        <f t="shared" si="8"/>
        <v>9299.81</v>
      </c>
      <c r="O28" s="74">
        <f t="shared" si="2"/>
        <v>186</v>
      </c>
      <c r="P28" s="74">
        <f t="shared" si="9"/>
        <v>9113.81</v>
      </c>
      <c r="Q28" s="74">
        <f t="shared" si="3"/>
        <v>227.85</v>
      </c>
      <c r="R28" s="74">
        <f t="shared" si="10"/>
        <v>507.79</v>
      </c>
      <c r="S28" s="74">
        <f t="shared" si="11"/>
        <v>8885.96</v>
      </c>
      <c r="T28" s="74">
        <v>0.18</v>
      </c>
      <c r="U28" s="74">
        <f t="shared" si="12"/>
        <v>1599.47</v>
      </c>
      <c r="V28" s="74">
        <f t="shared" si="13"/>
        <v>10485.43</v>
      </c>
      <c r="W28" s="74">
        <f t="shared" si="0"/>
        <v>250.5</v>
      </c>
    </row>
    <row r="29" ht="15.25" spans="1:23">
      <c r="A29" s="73">
        <v>7</v>
      </c>
      <c r="B29" s="73" t="s">
        <v>174</v>
      </c>
      <c r="C29" s="73" t="s">
        <v>175</v>
      </c>
      <c r="D29" s="73" t="s">
        <v>58</v>
      </c>
      <c r="E29" s="73" t="s">
        <v>176</v>
      </c>
      <c r="F29" s="73">
        <v>28</v>
      </c>
      <c r="G29" s="94">
        <v>150.5</v>
      </c>
      <c r="H29" s="94">
        <f t="shared" si="6"/>
        <v>4214</v>
      </c>
      <c r="I29" s="74">
        <v>1</v>
      </c>
      <c r="J29" s="74">
        <v>2</v>
      </c>
      <c r="K29" s="74">
        <v>2.5</v>
      </c>
      <c r="L29" s="74">
        <f t="shared" si="7"/>
        <v>4214</v>
      </c>
      <c r="M29" s="74">
        <f t="shared" si="1"/>
        <v>42.14</v>
      </c>
      <c r="N29" s="74">
        <f t="shared" si="8"/>
        <v>4171.86</v>
      </c>
      <c r="O29" s="74">
        <f t="shared" si="2"/>
        <v>83.44</v>
      </c>
      <c r="P29" s="74">
        <f t="shared" si="9"/>
        <v>4088.42</v>
      </c>
      <c r="Q29" s="74">
        <f t="shared" si="3"/>
        <v>102.21</v>
      </c>
      <c r="R29" s="74">
        <f t="shared" si="10"/>
        <v>227.79</v>
      </c>
      <c r="S29" s="74">
        <f t="shared" si="11"/>
        <v>3986.21</v>
      </c>
      <c r="T29" s="74">
        <v>0.18</v>
      </c>
      <c r="U29" s="74">
        <f t="shared" si="12"/>
        <v>717.52</v>
      </c>
      <c r="V29" s="74">
        <f t="shared" si="13"/>
        <v>4703.73</v>
      </c>
      <c r="W29" s="74">
        <f>ROUND(G29*$O$42,2)</f>
        <v>376.25</v>
      </c>
    </row>
    <row r="30" ht="15.25" spans="1:23">
      <c r="A30" s="73">
        <v>8</v>
      </c>
      <c r="B30" s="73" t="s">
        <v>177</v>
      </c>
      <c r="C30" s="73" t="s">
        <v>178</v>
      </c>
      <c r="D30" s="73" t="s">
        <v>58</v>
      </c>
      <c r="E30" s="73" t="s">
        <v>176</v>
      </c>
      <c r="F30" s="73">
        <v>30</v>
      </c>
      <c r="G30" s="94">
        <v>65.32</v>
      </c>
      <c r="H30" s="94">
        <f t="shared" si="6"/>
        <v>1959.6</v>
      </c>
      <c r="I30" s="74">
        <v>1</v>
      </c>
      <c r="J30" s="74">
        <v>2</v>
      </c>
      <c r="K30" s="74">
        <v>2.5</v>
      </c>
      <c r="L30" s="74">
        <f t="shared" si="7"/>
        <v>1959.6</v>
      </c>
      <c r="M30" s="74">
        <f t="shared" si="1"/>
        <v>19.6</v>
      </c>
      <c r="N30" s="74">
        <f t="shared" si="8"/>
        <v>1940</v>
      </c>
      <c r="O30" s="74">
        <f t="shared" si="2"/>
        <v>38.8</v>
      </c>
      <c r="P30" s="74">
        <f t="shared" si="9"/>
        <v>1901.2</v>
      </c>
      <c r="Q30" s="74">
        <f t="shared" si="3"/>
        <v>47.53</v>
      </c>
      <c r="R30" s="74">
        <f t="shared" si="10"/>
        <v>105.93</v>
      </c>
      <c r="S30" s="74">
        <f t="shared" si="11"/>
        <v>1853.67</v>
      </c>
      <c r="T30" s="74">
        <v>0.18</v>
      </c>
      <c r="U30" s="74">
        <f t="shared" si="12"/>
        <v>333.66</v>
      </c>
      <c r="V30" s="74">
        <f t="shared" si="13"/>
        <v>2187.33</v>
      </c>
      <c r="W30" s="74">
        <f>ROUND(G30*$O$42,2)</f>
        <v>163.3</v>
      </c>
    </row>
    <row r="31" ht="15.25" spans="1:23">
      <c r="A31" s="73">
        <v>9</v>
      </c>
      <c r="B31" s="73" t="s">
        <v>179</v>
      </c>
      <c r="C31" s="73" t="s">
        <v>180</v>
      </c>
      <c r="D31" s="73" t="s">
        <v>58</v>
      </c>
      <c r="E31" s="73" t="s">
        <v>176</v>
      </c>
      <c r="F31" s="73">
        <v>25</v>
      </c>
      <c r="G31" s="94">
        <v>74.89</v>
      </c>
      <c r="H31" s="94">
        <f t="shared" si="6"/>
        <v>1872.25</v>
      </c>
      <c r="I31" s="74">
        <v>1</v>
      </c>
      <c r="J31" s="74">
        <v>2</v>
      </c>
      <c r="K31" s="74">
        <v>2.5</v>
      </c>
      <c r="L31" s="74">
        <f t="shared" si="7"/>
        <v>1872.25</v>
      </c>
      <c r="M31" s="74">
        <f t="shared" si="1"/>
        <v>18.72</v>
      </c>
      <c r="N31" s="74">
        <f t="shared" si="8"/>
        <v>1853.53</v>
      </c>
      <c r="O31" s="74">
        <f t="shared" si="2"/>
        <v>37.07</v>
      </c>
      <c r="P31" s="74">
        <f t="shared" si="9"/>
        <v>1816.46</v>
      </c>
      <c r="Q31" s="74">
        <f t="shared" si="3"/>
        <v>45.41</v>
      </c>
      <c r="R31" s="74">
        <f t="shared" si="10"/>
        <v>101.2</v>
      </c>
      <c r="S31" s="74">
        <f t="shared" si="11"/>
        <v>1771.05</v>
      </c>
      <c r="T31" s="74">
        <v>0.18</v>
      </c>
      <c r="U31" s="74">
        <f t="shared" si="12"/>
        <v>318.79</v>
      </c>
      <c r="V31" s="74">
        <f t="shared" si="13"/>
        <v>2089.84</v>
      </c>
      <c r="W31" s="74">
        <f>ROUND(G31*$O$42,2)</f>
        <v>187.23</v>
      </c>
    </row>
    <row r="32" ht="15.25" spans="1:23">
      <c r="A32" s="73">
        <v>10</v>
      </c>
      <c r="B32" s="73" t="s">
        <v>181</v>
      </c>
      <c r="C32" s="73" t="s">
        <v>182</v>
      </c>
      <c r="D32" s="73" t="s">
        <v>58</v>
      </c>
      <c r="E32" s="73" t="s">
        <v>176</v>
      </c>
      <c r="F32" s="73">
        <v>28</v>
      </c>
      <c r="G32" s="94">
        <v>89.56</v>
      </c>
      <c r="H32" s="94">
        <f t="shared" si="6"/>
        <v>2507.68</v>
      </c>
      <c r="I32" s="74">
        <v>1</v>
      </c>
      <c r="J32" s="74">
        <v>2</v>
      </c>
      <c r="K32" s="74">
        <v>2.5</v>
      </c>
      <c r="L32" s="74">
        <f t="shared" si="7"/>
        <v>2507.68</v>
      </c>
      <c r="M32" s="74">
        <f t="shared" si="1"/>
        <v>25.08</v>
      </c>
      <c r="N32" s="74">
        <f t="shared" si="8"/>
        <v>2482.6</v>
      </c>
      <c r="O32" s="74">
        <f t="shared" si="2"/>
        <v>49.65</v>
      </c>
      <c r="P32" s="74">
        <f t="shared" si="9"/>
        <v>2432.95</v>
      </c>
      <c r="Q32" s="74">
        <f t="shared" si="3"/>
        <v>60.82</v>
      </c>
      <c r="R32" s="74">
        <f t="shared" si="10"/>
        <v>135.55</v>
      </c>
      <c r="S32" s="74">
        <f t="shared" si="11"/>
        <v>2372.13</v>
      </c>
      <c r="T32" s="74">
        <v>0.18</v>
      </c>
      <c r="U32" s="74">
        <f t="shared" si="12"/>
        <v>426.98</v>
      </c>
      <c r="V32" s="74">
        <f t="shared" si="13"/>
        <v>2799.11</v>
      </c>
      <c r="W32" s="74">
        <f>ROUND(G32*$O$42,2)</f>
        <v>223.9</v>
      </c>
    </row>
    <row r="33" ht="15.25" spans="1:23">
      <c r="A33" s="73">
        <v>11</v>
      </c>
      <c r="B33" s="73" t="s">
        <v>183</v>
      </c>
      <c r="C33" s="73" t="s">
        <v>184</v>
      </c>
      <c r="D33" s="73" t="s">
        <v>163</v>
      </c>
      <c r="E33" s="73" t="s">
        <v>185</v>
      </c>
      <c r="F33" s="73">
        <v>37</v>
      </c>
      <c r="G33" s="94">
        <v>89.54</v>
      </c>
      <c r="H33" s="94">
        <f t="shared" si="6"/>
        <v>3312.98</v>
      </c>
      <c r="I33" s="74">
        <v>1</v>
      </c>
      <c r="J33" s="74">
        <v>2</v>
      </c>
      <c r="K33" s="74">
        <v>2.5</v>
      </c>
      <c r="L33" s="74">
        <f t="shared" si="7"/>
        <v>3312.98</v>
      </c>
      <c r="M33" s="74">
        <f t="shared" si="1"/>
        <v>33.13</v>
      </c>
      <c r="N33" s="74">
        <f t="shared" si="8"/>
        <v>3279.85</v>
      </c>
      <c r="O33" s="74">
        <f t="shared" si="2"/>
        <v>65.6</v>
      </c>
      <c r="P33" s="74">
        <f t="shared" si="9"/>
        <v>3214.25</v>
      </c>
      <c r="Q33" s="74">
        <f t="shared" si="3"/>
        <v>80.36</v>
      </c>
      <c r="R33" s="74">
        <f t="shared" si="10"/>
        <v>179.09</v>
      </c>
      <c r="S33" s="74">
        <f t="shared" si="11"/>
        <v>3133.89</v>
      </c>
      <c r="T33" s="74">
        <v>0.18</v>
      </c>
      <c r="U33" s="74">
        <f t="shared" si="12"/>
        <v>564.1</v>
      </c>
      <c r="V33" s="74">
        <f t="shared" si="13"/>
        <v>3697.99</v>
      </c>
      <c r="W33" s="74">
        <f>ROUND(G33*$O$43,2)</f>
        <v>0.09</v>
      </c>
    </row>
    <row r="34" ht="15.25" spans="1:23">
      <c r="A34" s="73">
        <v>12</v>
      </c>
      <c r="B34" s="73" t="s">
        <v>186</v>
      </c>
      <c r="C34" s="73" t="s">
        <v>187</v>
      </c>
      <c r="D34" s="73" t="s">
        <v>163</v>
      </c>
      <c r="E34" s="73" t="s">
        <v>185</v>
      </c>
      <c r="F34" s="73">
        <v>39</v>
      </c>
      <c r="G34" s="94">
        <v>35.2</v>
      </c>
      <c r="H34" s="94">
        <f t="shared" si="6"/>
        <v>1372.8</v>
      </c>
      <c r="I34" s="74">
        <v>1</v>
      </c>
      <c r="J34" s="74">
        <v>2</v>
      </c>
      <c r="K34" s="74">
        <v>2.5</v>
      </c>
      <c r="L34" s="74">
        <f t="shared" si="7"/>
        <v>1372.8</v>
      </c>
      <c r="M34" s="74">
        <f t="shared" si="1"/>
        <v>13.73</v>
      </c>
      <c r="N34" s="74">
        <f t="shared" si="8"/>
        <v>1359.07</v>
      </c>
      <c r="O34" s="74">
        <f t="shared" si="2"/>
        <v>27.18</v>
      </c>
      <c r="P34" s="74">
        <f t="shared" si="9"/>
        <v>1331.89</v>
      </c>
      <c r="Q34" s="74">
        <f t="shared" si="3"/>
        <v>33.3</v>
      </c>
      <c r="R34" s="74">
        <f t="shared" si="10"/>
        <v>74.21</v>
      </c>
      <c r="S34" s="74">
        <f t="shared" si="11"/>
        <v>1298.59</v>
      </c>
      <c r="T34" s="74">
        <v>0.18</v>
      </c>
      <c r="U34" s="74">
        <f t="shared" si="12"/>
        <v>233.75</v>
      </c>
      <c r="V34" s="74">
        <f t="shared" si="13"/>
        <v>1532.34</v>
      </c>
      <c r="W34" s="74">
        <f>ROUND(G34*$O$43,2)</f>
        <v>0.04</v>
      </c>
    </row>
    <row r="35" ht="15.25" spans="1:23">
      <c r="A35" s="73">
        <v>13</v>
      </c>
      <c r="B35" s="73" t="s">
        <v>188</v>
      </c>
      <c r="C35" s="73" t="s">
        <v>189</v>
      </c>
      <c r="D35" s="73" t="s">
        <v>163</v>
      </c>
      <c r="E35" s="73" t="s">
        <v>185</v>
      </c>
      <c r="F35" s="73">
        <v>70</v>
      </c>
      <c r="G35" s="94">
        <v>102.25</v>
      </c>
      <c r="H35" s="94">
        <f t="shared" si="6"/>
        <v>7157.5</v>
      </c>
      <c r="I35" s="74">
        <v>1</v>
      </c>
      <c r="J35" s="74">
        <v>2</v>
      </c>
      <c r="K35" s="74">
        <v>2.5</v>
      </c>
      <c r="L35" s="74">
        <f t="shared" si="7"/>
        <v>7157.5</v>
      </c>
      <c r="M35" s="74">
        <f t="shared" si="1"/>
        <v>71.58</v>
      </c>
      <c r="N35" s="74">
        <f t="shared" si="8"/>
        <v>7085.92</v>
      </c>
      <c r="O35" s="74">
        <f t="shared" si="2"/>
        <v>141.72</v>
      </c>
      <c r="P35" s="74">
        <f t="shared" si="9"/>
        <v>6944.2</v>
      </c>
      <c r="Q35" s="74">
        <f t="shared" si="3"/>
        <v>173.61</v>
      </c>
      <c r="R35" s="74">
        <f t="shared" si="10"/>
        <v>386.91</v>
      </c>
      <c r="S35" s="74">
        <f t="shared" si="11"/>
        <v>6770.59</v>
      </c>
      <c r="T35" s="74">
        <v>0.18</v>
      </c>
      <c r="U35" s="74">
        <f t="shared" si="12"/>
        <v>1218.71</v>
      </c>
      <c r="V35" s="74">
        <f t="shared" si="13"/>
        <v>7989.3</v>
      </c>
      <c r="W35" s="74">
        <f>ROUND(G35*$O$43,2)</f>
        <v>0.1</v>
      </c>
    </row>
    <row r="36" ht="15.25" spans="1:23">
      <c r="A36" s="73">
        <v>14</v>
      </c>
      <c r="B36" s="73" t="s">
        <v>190</v>
      </c>
      <c r="C36" s="73" t="s">
        <v>191</v>
      </c>
      <c r="D36" s="73" t="s">
        <v>163</v>
      </c>
      <c r="E36" s="73" t="s">
        <v>185</v>
      </c>
      <c r="F36" s="73">
        <v>100</v>
      </c>
      <c r="G36" s="94">
        <v>125.23</v>
      </c>
      <c r="H36" s="94">
        <f t="shared" si="6"/>
        <v>12523</v>
      </c>
      <c r="I36" s="74">
        <v>1</v>
      </c>
      <c r="J36" s="74">
        <v>2</v>
      </c>
      <c r="K36" s="74">
        <v>2.5</v>
      </c>
      <c r="L36" s="74">
        <f t="shared" si="7"/>
        <v>12523</v>
      </c>
      <c r="M36" s="74">
        <f t="shared" si="1"/>
        <v>125.23</v>
      </c>
      <c r="N36" s="74">
        <f t="shared" si="8"/>
        <v>12397.77</v>
      </c>
      <c r="O36" s="74">
        <f t="shared" si="2"/>
        <v>247.96</v>
      </c>
      <c r="P36" s="74">
        <f t="shared" si="9"/>
        <v>12149.81</v>
      </c>
      <c r="Q36" s="74">
        <f t="shared" si="3"/>
        <v>303.75</v>
      </c>
      <c r="R36" s="74">
        <f t="shared" si="10"/>
        <v>676.94</v>
      </c>
      <c r="S36" s="74">
        <f t="shared" si="11"/>
        <v>11846.06</v>
      </c>
      <c r="T36" s="74">
        <v>0.18</v>
      </c>
      <c r="U36" s="74">
        <f t="shared" si="12"/>
        <v>2132.29</v>
      </c>
      <c r="V36" s="74">
        <f t="shared" si="13"/>
        <v>13978.35</v>
      </c>
      <c r="W36" s="74">
        <f>ROUND(G36*$O$43,2)</f>
        <v>0.13</v>
      </c>
    </row>
    <row r="37" ht="15.25" spans="1:23">
      <c r="A37" s="73">
        <v>15</v>
      </c>
      <c r="B37" s="73" t="s">
        <v>192</v>
      </c>
      <c r="C37" s="73" t="s">
        <v>193</v>
      </c>
      <c r="D37" s="73" t="s">
        <v>163</v>
      </c>
      <c r="E37" s="73" t="s">
        <v>185</v>
      </c>
      <c r="F37" s="73">
        <v>85</v>
      </c>
      <c r="G37" s="94">
        <v>65.48</v>
      </c>
      <c r="H37" s="94">
        <f t="shared" si="6"/>
        <v>5565.8</v>
      </c>
      <c r="I37" s="74">
        <v>1</v>
      </c>
      <c r="J37" s="74">
        <v>2</v>
      </c>
      <c r="K37" s="74">
        <v>2.5</v>
      </c>
      <c r="L37" s="74">
        <f t="shared" si="7"/>
        <v>5565.8</v>
      </c>
      <c r="M37" s="74">
        <f t="shared" si="1"/>
        <v>55.66</v>
      </c>
      <c r="N37" s="74">
        <f t="shared" si="8"/>
        <v>5510.14</v>
      </c>
      <c r="O37" s="74">
        <f t="shared" si="2"/>
        <v>110.2</v>
      </c>
      <c r="P37" s="74">
        <f t="shared" si="9"/>
        <v>5399.94</v>
      </c>
      <c r="Q37" s="74">
        <f t="shared" si="3"/>
        <v>135</v>
      </c>
      <c r="R37" s="74">
        <f t="shared" si="10"/>
        <v>300.86</v>
      </c>
      <c r="S37" s="74">
        <f t="shared" si="11"/>
        <v>5264.94</v>
      </c>
      <c r="T37" s="74">
        <v>0.18</v>
      </c>
      <c r="U37" s="74">
        <f t="shared" si="12"/>
        <v>947.69</v>
      </c>
      <c r="V37" s="74">
        <f t="shared" si="13"/>
        <v>6212.63</v>
      </c>
      <c r="W37" s="74">
        <f>ROUND(G37*$O$43,2)</f>
        <v>0.07</v>
      </c>
    </row>
    <row r="38" ht="15.25" spans="1:23">
      <c r="A38" s="71"/>
      <c r="B38" s="130" t="s">
        <v>87</v>
      </c>
      <c r="C38" s="130"/>
      <c r="D38" s="130"/>
      <c r="E38" s="130"/>
      <c r="F38" s="130"/>
      <c r="G38" s="130"/>
      <c r="H38" s="76">
        <f>SUM(H23:H37)</f>
        <v>75435.26</v>
      </c>
      <c r="I38" s="73"/>
      <c r="J38" s="73"/>
      <c r="K38" s="73"/>
      <c r="L38" s="74"/>
      <c r="M38" s="74"/>
      <c r="N38" s="74"/>
      <c r="O38" s="74"/>
      <c r="P38" s="74"/>
      <c r="Q38" s="74"/>
      <c r="R38" s="82">
        <f>SUM(R23:R37)</f>
        <v>4077.7</v>
      </c>
      <c r="S38" s="82">
        <f>SUM(S23:S37)</f>
        <v>71357.56</v>
      </c>
      <c r="T38" s="82"/>
      <c r="U38" s="82">
        <f>SUM(U23:U37)</f>
        <v>12844.37</v>
      </c>
      <c r="V38" s="140">
        <f t="shared" ref="V38" si="14">SUM(V23:V37)</f>
        <v>84201.93</v>
      </c>
      <c r="W38" s="140"/>
    </row>
    <row r="39" ht="15.25" spans="1:23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</row>
    <row r="40" ht="15.25" spans="1:23">
      <c r="A40" s="71"/>
      <c r="B40" s="71"/>
      <c r="C40" s="71"/>
      <c r="D40" s="71"/>
      <c r="E40" s="71"/>
      <c r="F40" s="71"/>
      <c r="G40" s="104" t="s">
        <v>194</v>
      </c>
      <c r="H40" s="105"/>
      <c r="I40" s="108">
        <f>H38</f>
        <v>75435.26</v>
      </c>
      <c r="J40" s="108"/>
      <c r="K40" s="109"/>
      <c r="L40" s="71"/>
      <c r="M40" s="110" t="s">
        <v>195</v>
      </c>
      <c r="N40" s="111"/>
      <c r="O40" s="111"/>
      <c r="P40" s="112"/>
      <c r="Q40" s="71"/>
      <c r="R40" s="71"/>
      <c r="S40" s="71"/>
      <c r="T40" s="71"/>
      <c r="U40" s="71"/>
      <c r="V40" s="71"/>
      <c r="W40" s="71"/>
    </row>
    <row r="41" ht="15.25" spans="1:23">
      <c r="A41" s="71"/>
      <c r="B41" s="71"/>
      <c r="C41" s="71"/>
      <c r="D41" s="71"/>
      <c r="E41" s="71"/>
      <c r="F41" s="71"/>
      <c r="G41" s="104" t="s">
        <v>196</v>
      </c>
      <c r="H41" s="105"/>
      <c r="I41" s="108">
        <f>R38</f>
        <v>4077.7</v>
      </c>
      <c r="J41" s="108"/>
      <c r="K41" s="71"/>
      <c r="L41" s="71"/>
      <c r="M41" s="113">
        <v>1</v>
      </c>
      <c r="N41" s="113" t="s">
        <v>58</v>
      </c>
      <c r="O41" s="113">
        <v>2</v>
      </c>
      <c r="P41" s="113" t="s">
        <v>163</v>
      </c>
      <c r="Q41" s="71"/>
      <c r="R41" s="71"/>
      <c r="S41" s="71"/>
      <c r="T41" s="71"/>
      <c r="U41" s="71"/>
      <c r="V41" s="71"/>
      <c r="W41" s="71"/>
    </row>
    <row r="42" ht="15.25" spans="1:23">
      <c r="A42" s="71"/>
      <c r="B42" s="71"/>
      <c r="C42" s="71"/>
      <c r="D42" s="71"/>
      <c r="E42" s="71"/>
      <c r="F42" s="71"/>
      <c r="G42" s="104" t="s">
        <v>197</v>
      </c>
      <c r="H42" s="105"/>
      <c r="I42" s="108">
        <f>S38</f>
        <v>71357.56</v>
      </c>
      <c r="J42" s="108"/>
      <c r="K42" s="71"/>
      <c r="L42" s="71"/>
      <c r="M42" s="73">
        <v>1</v>
      </c>
      <c r="N42" s="73" t="s">
        <v>58</v>
      </c>
      <c r="O42" s="73">
        <v>2.5</v>
      </c>
      <c r="P42" s="73" t="s">
        <v>176</v>
      </c>
      <c r="Q42" s="71"/>
      <c r="R42" s="71"/>
      <c r="S42" s="71"/>
      <c r="T42" s="71"/>
      <c r="U42" s="71"/>
      <c r="V42" s="71"/>
      <c r="W42" s="71"/>
    </row>
    <row r="43" ht="15.25" spans="1:23">
      <c r="A43" s="71"/>
      <c r="B43" s="71"/>
      <c r="C43" s="71"/>
      <c r="D43" s="71"/>
      <c r="E43" s="71"/>
      <c r="F43" s="71"/>
      <c r="G43" s="104" t="s">
        <v>198</v>
      </c>
      <c r="H43" s="105"/>
      <c r="I43" s="108">
        <f>U38</f>
        <v>12844.37</v>
      </c>
      <c r="J43" s="108"/>
      <c r="K43" s="71"/>
      <c r="L43" s="71"/>
      <c r="M43" s="73">
        <v>1</v>
      </c>
      <c r="N43" s="73" t="s">
        <v>163</v>
      </c>
      <c r="O43" s="73">
        <v>0.001</v>
      </c>
      <c r="P43" s="73" t="s">
        <v>185</v>
      </c>
      <c r="Q43" s="71"/>
      <c r="R43" s="71"/>
      <c r="S43" s="71"/>
      <c r="T43" s="71"/>
      <c r="U43" s="71"/>
      <c r="V43" s="71"/>
      <c r="W43" s="71"/>
    </row>
    <row r="44" ht="15.25" spans="1:23">
      <c r="A44" s="71"/>
      <c r="B44" s="71"/>
      <c r="C44" s="71"/>
      <c r="D44" s="71"/>
      <c r="E44" s="71"/>
      <c r="F44" s="71"/>
      <c r="G44" s="104" t="s">
        <v>199</v>
      </c>
      <c r="H44" s="105"/>
      <c r="I44" s="114">
        <f>I42+I43</f>
        <v>84201.93</v>
      </c>
      <c r="J44" s="114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</row>
  </sheetData>
  <mergeCells count="13">
    <mergeCell ref="A21:V21"/>
    <mergeCell ref="B38:G38"/>
    <mergeCell ref="G40:H40"/>
    <mergeCell ref="I40:J40"/>
    <mergeCell ref="M40:P40"/>
    <mergeCell ref="G41:H41"/>
    <mergeCell ref="I41:J41"/>
    <mergeCell ref="G42:H42"/>
    <mergeCell ref="I42:J42"/>
    <mergeCell ref="G43:H43"/>
    <mergeCell ref="I43:J43"/>
    <mergeCell ref="G44:H44"/>
    <mergeCell ref="I44:J44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W28"/>
  <sheetViews>
    <sheetView topLeftCell="A7" workbookViewId="0">
      <selection activeCell="A4" sqref="A4:P4"/>
    </sheetView>
  </sheetViews>
  <sheetFormatPr defaultColWidth="9" defaultRowHeight="14.5"/>
  <cols>
    <col min="2" max="2" width="8.57272727272727" customWidth="1"/>
    <col min="13" max="13" width="13.7090909090909" customWidth="1"/>
    <col min="14" max="14" width="9" customWidth="1"/>
    <col min="15" max="15" width="13.5727272727273" customWidth="1"/>
    <col min="17" max="17" width="14.4272727272727" customWidth="1"/>
    <col min="18" max="18" width="19.5727272727273" customWidth="1"/>
    <col min="19" max="19" width="7.13636363636364" customWidth="1"/>
    <col min="20" max="21" width="11.5727272727273" customWidth="1"/>
    <col min="22" max="22" width="16" customWidth="1"/>
    <col min="23" max="23" width="12.4272727272727" customWidth="1"/>
  </cols>
  <sheetData>
    <row r="3" ht="15.25"/>
    <row r="4" ht="18.25" spans="1:23">
      <c r="A4" s="101" t="s">
        <v>200</v>
      </c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34" t="s">
        <v>201</v>
      </c>
      <c r="R4" s="134" t="s">
        <v>202</v>
      </c>
      <c r="S4" s="135"/>
      <c r="T4" s="134">
        <v>82.92</v>
      </c>
      <c r="U4" s="136"/>
      <c r="V4" s="137"/>
      <c r="W4" s="71"/>
    </row>
    <row r="5" ht="28.75" spans="1:23">
      <c r="A5" s="102" t="s">
        <v>155</v>
      </c>
      <c r="B5" s="102" t="s">
        <v>49</v>
      </c>
      <c r="C5" s="102" t="s">
        <v>51</v>
      </c>
      <c r="D5" s="102" t="s">
        <v>52</v>
      </c>
      <c r="E5" s="102" t="s">
        <v>53</v>
      </c>
      <c r="F5" s="102" t="s">
        <v>54</v>
      </c>
      <c r="G5" s="102" t="s">
        <v>55</v>
      </c>
      <c r="H5" s="106" t="s">
        <v>97</v>
      </c>
      <c r="I5" s="106" t="s">
        <v>99</v>
      </c>
      <c r="J5" s="106" t="s">
        <v>98</v>
      </c>
      <c r="K5" s="107" t="s">
        <v>100</v>
      </c>
      <c r="L5" s="107" t="s">
        <v>101</v>
      </c>
      <c r="M5" s="107" t="s">
        <v>104</v>
      </c>
      <c r="N5" s="107" t="s">
        <v>105</v>
      </c>
      <c r="O5" s="107" t="s">
        <v>102</v>
      </c>
      <c r="P5" s="107" t="s">
        <v>103</v>
      </c>
      <c r="Q5" s="106" t="s">
        <v>203</v>
      </c>
      <c r="R5" s="102" t="s">
        <v>204</v>
      </c>
      <c r="S5" s="115" t="s">
        <v>159</v>
      </c>
      <c r="T5" s="115" t="s">
        <v>113</v>
      </c>
      <c r="U5" s="117" t="s">
        <v>114</v>
      </c>
      <c r="V5" s="117" t="s">
        <v>205</v>
      </c>
      <c r="W5" s="118" t="s">
        <v>129</v>
      </c>
    </row>
    <row r="6" ht="15.25" spans="1:23">
      <c r="A6" s="73">
        <v>1</v>
      </c>
      <c r="B6" s="73" t="s">
        <v>56</v>
      </c>
      <c r="C6" s="73" t="s">
        <v>58</v>
      </c>
      <c r="D6" s="73" t="s">
        <v>58</v>
      </c>
      <c r="E6" s="73">
        <v>25</v>
      </c>
      <c r="F6" s="73">
        <v>257.63</v>
      </c>
      <c r="G6" s="73">
        <f>E6*F6</f>
        <v>6440.75</v>
      </c>
      <c r="H6" s="122">
        <v>0.01</v>
      </c>
      <c r="I6" s="122">
        <v>0.02</v>
      </c>
      <c r="J6" s="139">
        <v>0.025</v>
      </c>
      <c r="K6" s="73">
        <f>G6</f>
        <v>6440.75</v>
      </c>
      <c r="L6" s="73">
        <f>ROUND(K6*H6,2)</f>
        <v>64.41</v>
      </c>
      <c r="M6" s="73">
        <f>G6-L6</f>
        <v>6376.34</v>
      </c>
      <c r="N6" s="73">
        <f>ROUND(M6*I6,2)</f>
        <v>127.53</v>
      </c>
      <c r="O6" s="73">
        <f>ROUND(M6-N6,2)</f>
        <v>6248.81</v>
      </c>
      <c r="P6" s="73">
        <f>ROUND(O6*J6,2)</f>
        <v>156.22</v>
      </c>
      <c r="Q6" s="73">
        <f>ROUND((L6+N6+P6),2)</f>
        <v>348.16</v>
      </c>
      <c r="R6" s="73">
        <f>ROUND((G6-Q6),2)</f>
        <v>6092.59</v>
      </c>
      <c r="S6" s="122">
        <v>0.18</v>
      </c>
      <c r="T6" s="73">
        <f>ROUND((R6*18%),2)</f>
        <v>1096.67</v>
      </c>
      <c r="U6" s="73">
        <f>R6+T6</f>
        <v>7189.26</v>
      </c>
      <c r="V6" s="73">
        <f>U6*$T$4</f>
        <v>596133.4392</v>
      </c>
      <c r="W6" s="73">
        <f>F6*$T$4</f>
        <v>21362.6796</v>
      </c>
    </row>
    <row r="7" ht="15.25" spans="1:23">
      <c r="A7" s="73">
        <v>2</v>
      </c>
      <c r="B7" s="73" t="s">
        <v>59</v>
      </c>
      <c r="C7" s="73" t="s">
        <v>58</v>
      </c>
      <c r="D7" s="73" t="s">
        <v>58</v>
      </c>
      <c r="E7" s="73">
        <v>35</v>
      </c>
      <c r="F7" s="73">
        <v>125.45</v>
      </c>
      <c r="G7" s="73">
        <f>E7*F7</f>
        <v>4390.75</v>
      </c>
      <c r="H7" s="122">
        <v>0.01</v>
      </c>
      <c r="I7" s="122">
        <v>0.02</v>
      </c>
      <c r="J7" s="139">
        <v>0.025</v>
      </c>
      <c r="K7" s="73">
        <f>G7</f>
        <v>4390.75</v>
      </c>
      <c r="L7" s="73">
        <f>ROUND(K7*H7,2)</f>
        <v>43.91</v>
      </c>
      <c r="M7" s="73">
        <f>G7-L7</f>
        <v>4346.84</v>
      </c>
      <c r="N7" s="73">
        <f>ROUND(M7*I7,2)</f>
        <v>86.94</v>
      </c>
      <c r="O7" s="73">
        <f>ROUND(M7-N7,2)</f>
        <v>4259.9</v>
      </c>
      <c r="P7" s="73">
        <f>ROUND(O7*J7,2)</f>
        <v>106.5</v>
      </c>
      <c r="Q7" s="73">
        <f>ROUND((L7+N7+P7),2)</f>
        <v>237.35</v>
      </c>
      <c r="R7" s="73">
        <f>ROUND((G7-Q7),2)</f>
        <v>4153.4</v>
      </c>
      <c r="S7" s="122">
        <v>0.18</v>
      </c>
      <c r="T7" s="73">
        <f>ROUND((R7*18%),2)</f>
        <v>747.61</v>
      </c>
      <c r="U7" s="73">
        <f>R7+T7</f>
        <v>4901.01</v>
      </c>
      <c r="V7" s="73">
        <f t="shared" ref="V7:V20" si="0">U7*$T$4</f>
        <v>406391.7492</v>
      </c>
      <c r="W7" s="73">
        <f t="shared" ref="W7:W20" si="1">F7*$T$4</f>
        <v>10402.314</v>
      </c>
    </row>
    <row r="8" ht="15.25" spans="1:23">
      <c r="A8" s="73">
        <v>3</v>
      </c>
      <c r="B8" s="73" t="s">
        <v>61</v>
      </c>
      <c r="C8" s="73" t="s">
        <v>58</v>
      </c>
      <c r="D8" s="73" t="s">
        <v>58</v>
      </c>
      <c r="E8" s="73">
        <v>45</v>
      </c>
      <c r="F8" s="73">
        <v>125.36</v>
      </c>
      <c r="G8" s="73">
        <f>E8*F8</f>
        <v>5641.2</v>
      </c>
      <c r="H8" s="122">
        <v>0.01</v>
      </c>
      <c r="I8" s="122">
        <v>0.02</v>
      </c>
      <c r="J8" s="139">
        <v>0.025</v>
      </c>
      <c r="K8" s="73">
        <f>G8</f>
        <v>5641.2</v>
      </c>
      <c r="L8" s="73">
        <f>ROUND(K8*H8,2)</f>
        <v>56.41</v>
      </c>
      <c r="M8" s="73">
        <f>G8-L8</f>
        <v>5584.79</v>
      </c>
      <c r="N8" s="73">
        <f>ROUND(M8*I8,2)</f>
        <v>111.7</v>
      </c>
      <c r="O8" s="73">
        <f>ROUND(M8-N8,2)</f>
        <v>5473.09</v>
      </c>
      <c r="P8" s="73">
        <f>ROUND(O8*J8,2)</f>
        <v>136.83</v>
      </c>
      <c r="Q8" s="73">
        <f>ROUND((L8+N8+P8),2)</f>
        <v>304.94</v>
      </c>
      <c r="R8" s="73">
        <f>ROUND((G8-Q8),2)</f>
        <v>5336.26</v>
      </c>
      <c r="S8" s="122">
        <v>0.18</v>
      </c>
      <c r="T8" s="73">
        <f>ROUND((R8*18%),2)</f>
        <v>960.53</v>
      </c>
      <c r="U8" s="73">
        <f>R8+T8</f>
        <v>6296.79</v>
      </c>
      <c r="V8" s="73">
        <f t="shared" si="0"/>
        <v>522129.8268</v>
      </c>
      <c r="W8" s="73">
        <f t="shared" si="1"/>
        <v>10394.8512</v>
      </c>
    </row>
    <row r="9" ht="15.25" spans="1:23">
      <c r="A9" s="73">
        <v>4</v>
      </c>
      <c r="B9" s="73" t="s">
        <v>63</v>
      </c>
      <c r="C9" s="73" t="s">
        <v>58</v>
      </c>
      <c r="D9" s="73" t="s">
        <v>58</v>
      </c>
      <c r="E9" s="73">
        <v>55</v>
      </c>
      <c r="F9" s="73">
        <v>45.25</v>
      </c>
      <c r="G9" s="73">
        <f t="shared" ref="G9:G20" si="2">E9*F9</f>
        <v>2488.75</v>
      </c>
      <c r="H9" s="122">
        <v>0.01</v>
      </c>
      <c r="I9" s="122">
        <v>0.02</v>
      </c>
      <c r="J9" s="139">
        <v>0.025</v>
      </c>
      <c r="K9" s="73">
        <f t="shared" ref="K9:K20" si="3">G9</f>
        <v>2488.75</v>
      </c>
      <c r="L9" s="73">
        <f t="shared" ref="L9:L20" si="4">ROUND(K9*H9,2)</f>
        <v>24.89</v>
      </c>
      <c r="M9" s="73">
        <f t="shared" ref="M9:M20" si="5">G9-L9</f>
        <v>2463.86</v>
      </c>
      <c r="N9" s="73">
        <f t="shared" ref="N9:N20" si="6">ROUND(M9*I9,2)</f>
        <v>49.28</v>
      </c>
      <c r="O9" s="73">
        <f t="shared" ref="O9:O20" si="7">ROUND(M9-N9,2)</f>
        <v>2414.58</v>
      </c>
      <c r="P9" s="73">
        <f t="shared" ref="P9:P20" si="8">ROUND(O9*J9,2)</f>
        <v>60.36</v>
      </c>
      <c r="Q9" s="73">
        <f t="shared" ref="Q9:Q20" si="9">ROUND((L9+N9+P9),2)</f>
        <v>134.53</v>
      </c>
      <c r="R9" s="73">
        <f t="shared" ref="R9:R20" si="10">ROUND((G9-Q9),2)</f>
        <v>2354.22</v>
      </c>
      <c r="S9" s="122">
        <v>0.18</v>
      </c>
      <c r="T9" s="73">
        <f t="shared" ref="T9:T20" si="11">ROUND((R9*18%),2)</f>
        <v>423.76</v>
      </c>
      <c r="U9" s="73">
        <f t="shared" ref="U9:U20" si="12">R9+T9</f>
        <v>2777.98</v>
      </c>
      <c r="V9" s="73">
        <f t="shared" si="0"/>
        <v>230350.1016</v>
      </c>
      <c r="W9" s="73">
        <f t="shared" si="1"/>
        <v>3752.13</v>
      </c>
    </row>
    <row r="10" ht="15.25" spans="1:23">
      <c r="A10" s="73">
        <v>5</v>
      </c>
      <c r="B10" s="73" t="s">
        <v>65</v>
      </c>
      <c r="C10" s="73" t="s">
        <v>58</v>
      </c>
      <c r="D10" s="73" t="s">
        <v>58</v>
      </c>
      <c r="E10" s="73">
        <v>60</v>
      </c>
      <c r="F10" s="73">
        <v>45.5</v>
      </c>
      <c r="G10" s="73">
        <f t="shared" si="2"/>
        <v>2730</v>
      </c>
      <c r="H10" s="122">
        <v>0.01</v>
      </c>
      <c r="I10" s="122">
        <v>0.02</v>
      </c>
      <c r="J10" s="139">
        <v>0.025</v>
      </c>
      <c r="K10" s="73">
        <f t="shared" si="3"/>
        <v>2730</v>
      </c>
      <c r="L10" s="73">
        <f t="shared" si="4"/>
        <v>27.3</v>
      </c>
      <c r="M10" s="73">
        <f t="shared" si="5"/>
        <v>2702.7</v>
      </c>
      <c r="N10" s="73">
        <f t="shared" si="6"/>
        <v>54.05</v>
      </c>
      <c r="O10" s="73">
        <f t="shared" si="7"/>
        <v>2648.65</v>
      </c>
      <c r="P10" s="73">
        <f t="shared" si="8"/>
        <v>66.22</v>
      </c>
      <c r="Q10" s="73">
        <f t="shared" si="9"/>
        <v>147.57</v>
      </c>
      <c r="R10" s="73">
        <f t="shared" si="10"/>
        <v>2582.43</v>
      </c>
      <c r="S10" s="122">
        <v>0.18</v>
      </c>
      <c r="T10" s="73">
        <f t="shared" si="11"/>
        <v>464.84</v>
      </c>
      <c r="U10" s="73">
        <f t="shared" si="12"/>
        <v>3047.27</v>
      </c>
      <c r="V10" s="73">
        <f t="shared" si="0"/>
        <v>252679.6284</v>
      </c>
      <c r="W10" s="73">
        <f t="shared" si="1"/>
        <v>3772.86</v>
      </c>
    </row>
    <row r="11" ht="15.25" spans="1:23">
      <c r="A11" s="73">
        <v>6</v>
      </c>
      <c r="B11" s="73" t="s">
        <v>67</v>
      </c>
      <c r="C11" s="73" t="s">
        <v>58</v>
      </c>
      <c r="D11" s="73" t="s">
        <v>58</v>
      </c>
      <c r="E11" s="73">
        <v>75</v>
      </c>
      <c r="F11" s="73">
        <v>125.25</v>
      </c>
      <c r="G11" s="73">
        <f t="shared" si="2"/>
        <v>9393.75</v>
      </c>
      <c r="H11" s="122">
        <v>0.01</v>
      </c>
      <c r="I11" s="122">
        <v>0.02</v>
      </c>
      <c r="J11" s="139">
        <v>0.025</v>
      </c>
      <c r="K11" s="73">
        <f t="shared" si="3"/>
        <v>9393.75</v>
      </c>
      <c r="L11" s="73">
        <f t="shared" si="4"/>
        <v>93.94</v>
      </c>
      <c r="M11" s="73">
        <f t="shared" si="5"/>
        <v>9299.81</v>
      </c>
      <c r="N11" s="73">
        <f t="shared" si="6"/>
        <v>186</v>
      </c>
      <c r="O11" s="73">
        <f t="shared" si="7"/>
        <v>9113.81</v>
      </c>
      <c r="P11" s="73">
        <f t="shared" si="8"/>
        <v>227.85</v>
      </c>
      <c r="Q11" s="73">
        <f t="shared" si="9"/>
        <v>507.79</v>
      </c>
      <c r="R11" s="73">
        <f t="shared" si="10"/>
        <v>8885.96</v>
      </c>
      <c r="S11" s="122">
        <v>0.18</v>
      </c>
      <c r="T11" s="73">
        <f t="shared" si="11"/>
        <v>1599.47</v>
      </c>
      <c r="U11" s="73">
        <f t="shared" si="12"/>
        <v>10485.43</v>
      </c>
      <c r="V11" s="73">
        <f t="shared" si="0"/>
        <v>869451.8556</v>
      </c>
      <c r="W11" s="73">
        <f t="shared" si="1"/>
        <v>10385.73</v>
      </c>
    </row>
    <row r="12" ht="15.25" spans="1:23">
      <c r="A12" s="73">
        <v>7</v>
      </c>
      <c r="B12" s="73" t="s">
        <v>69</v>
      </c>
      <c r="C12" s="73" t="s">
        <v>58</v>
      </c>
      <c r="D12" s="73" t="s">
        <v>58</v>
      </c>
      <c r="E12" s="73">
        <v>28</v>
      </c>
      <c r="F12" s="73">
        <v>150.5</v>
      </c>
      <c r="G12" s="73">
        <f t="shared" si="2"/>
        <v>4214</v>
      </c>
      <c r="H12" s="122">
        <v>0.01</v>
      </c>
      <c r="I12" s="122">
        <v>0.02</v>
      </c>
      <c r="J12" s="139">
        <v>0.025</v>
      </c>
      <c r="K12" s="73">
        <f t="shared" si="3"/>
        <v>4214</v>
      </c>
      <c r="L12" s="73">
        <f t="shared" si="4"/>
        <v>42.14</v>
      </c>
      <c r="M12" s="73">
        <f t="shared" si="5"/>
        <v>4171.86</v>
      </c>
      <c r="N12" s="73">
        <f t="shared" si="6"/>
        <v>83.44</v>
      </c>
      <c r="O12" s="73">
        <f t="shared" si="7"/>
        <v>4088.42</v>
      </c>
      <c r="P12" s="73">
        <f t="shared" si="8"/>
        <v>102.21</v>
      </c>
      <c r="Q12" s="73">
        <f t="shared" si="9"/>
        <v>227.79</v>
      </c>
      <c r="R12" s="73">
        <f t="shared" si="10"/>
        <v>3986.21</v>
      </c>
      <c r="S12" s="122">
        <v>0.18</v>
      </c>
      <c r="T12" s="73">
        <f t="shared" si="11"/>
        <v>717.52</v>
      </c>
      <c r="U12" s="73">
        <f t="shared" si="12"/>
        <v>4703.73</v>
      </c>
      <c r="V12" s="73">
        <f t="shared" si="0"/>
        <v>390033.2916</v>
      </c>
      <c r="W12" s="73">
        <f t="shared" si="1"/>
        <v>12479.46</v>
      </c>
    </row>
    <row r="13" ht="15.25" spans="1:23">
      <c r="A13" s="73">
        <v>8</v>
      </c>
      <c r="B13" s="73" t="s">
        <v>71</v>
      </c>
      <c r="C13" s="73" t="s">
        <v>58</v>
      </c>
      <c r="D13" s="73" t="s">
        <v>58</v>
      </c>
      <c r="E13" s="73">
        <v>30</v>
      </c>
      <c r="F13" s="73">
        <v>65.32</v>
      </c>
      <c r="G13" s="73">
        <f t="shared" si="2"/>
        <v>1959.6</v>
      </c>
      <c r="H13" s="122">
        <v>0.01</v>
      </c>
      <c r="I13" s="122">
        <v>0.02</v>
      </c>
      <c r="J13" s="139">
        <v>0.025</v>
      </c>
      <c r="K13" s="73">
        <f t="shared" si="3"/>
        <v>1959.6</v>
      </c>
      <c r="L13" s="73">
        <f t="shared" si="4"/>
        <v>19.6</v>
      </c>
      <c r="M13" s="73">
        <f t="shared" si="5"/>
        <v>1940</v>
      </c>
      <c r="N13" s="73">
        <f t="shared" si="6"/>
        <v>38.8</v>
      </c>
      <c r="O13" s="73">
        <f t="shared" si="7"/>
        <v>1901.2</v>
      </c>
      <c r="P13" s="73">
        <f t="shared" si="8"/>
        <v>47.53</v>
      </c>
      <c r="Q13" s="73">
        <f t="shared" si="9"/>
        <v>105.93</v>
      </c>
      <c r="R13" s="73">
        <f t="shared" si="10"/>
        <v>1853.67</v>
      </c>
      <c r="S13" s="122">
        <v>0.18</v>
      </c>
      <c r="T13" s="73">
        <f t="shared" si="11"/>
        <v>333.66</v>
      </c>
      <c r="U13" s="73">
        <f t="shared" si="12"/>
        <v>2187.33</v>
      </c>
      <c r="V13" s="73">
        <f t="shared" si="0"/>
        <v>181373.4036</v>
      </c>
      <c r="W13" s="73">
        <f t="shared" si="1"/>
        <v>5416.3344</v>
      </c>
    </row>
    <row r="14" ht="15.25" spans="1:23">
      <c r="A14" s="73">
        <v>9</v>
      </c>
      <c r="B14" s="73" t="s">
        <v>73</v>
      </c>
      <c r="C14" s="73" t="s">
        <v>58</v>
      </c>
      <c r="D14" s="73" t="s">
        <v>58</v>
      </c>
      <c r="E14" s="73">
        <v>25</v>
      </c>
      <c r="F14" s="73">
        <v>74.89</v>
      </c>
      <c r="G14" s="73">
        <f t="shared" si="2"/>
        <v>1872.25</v>
      </c>
      <c r="H14" s="122">
        <v>0.01</v>
      </c>
      <c r="I14" s="122">
        <v>0.02</v>
      </c>
      <c r="J14" s="139">
        <v>0.025</v>
      </c>
      <c r="K14" s="73">
        <f t="shared" si="3"/>
        <v>1872.25</v>
      </c>
      <c r="L14" s="73">
        <f t="shared" si="4"/>
        <v>18.72</v>
      </c>
      <c r="M14" s="73">
        <f t="shared" si="5"/>
        <v>1853.53</v>
      </c>
      <c r="N14" s="73">
        <f t="shared" si="6"/>
        <v>37.07</v>
      </c>
      <c r="O14" s="73">
        <f t="shared" si="7"/>
        <v>1816.46</v>
      </c>
      <c r="P14" s="73">
        <f t="shared" si="8"/>
        <v>45.41</v>
      </c>
      <c r="Q14" s="73">
        <f t="shared" si="9"/>
        <v>101.2</v>
      </c>
      <c r="R14" s="73">
        <f t="shared" si="10"/>
        <v>1771.05</v>
      </c>
      <c r="S14" s="122">
        <v>0.18</v>
      </c>
      <c r="T14" s="73">
        <f t="shared" si="11"/>
        <v>318.79</v>
      </c>
      <c r="U14" s="73">
        <f t="shared" si="12"/>
        <v>2089.84</v>
      </c>
      <c r="V14" s="73">
        <f t="shared" si="0"/>
        <v>173289.5328</v>
      </c>
      <c r="W14" s="73">
        <f t="shared" si="1"/>
        <v>6209.8788</v>
      </c>
    </row>
    <row r="15" ht="15.25" spans="1:23">
      <c r="A15" s="73">
        <v>10</v>
      </c>
      <c r="B15" s="73" t="s">
        <v>75</v>
      </c>
      <c r="C15" s="73" t="s">
        <v>58</v>
      </c>
      <c r="D15" s="73" t="s">
        <v>58</v>
      </c>
      <c r="E15" s="73">
        <v>28</v>
      </c>
      <c r="F15" s="73">
        <v>89.56</v>
      </c>
      <c r="G15" s="73">
        <f t="shared" si="2"/>
        <v>2507.68</v>
      </c>
      <c r="H15" s="122">
        <v>0.01</v>
      </c>
      <c r="I15" s="122">
        <v>0.02</v>
      </c>
      <c r="J15" s="139">
        <v>0.025</v>
      </c>
      <c r="K15" s="73">
        <f t="shared" si="3"/>
        <v>2507.68</v>
      </c>
      <c r="L15" s="73">
        <f t="shared" si="4"/>
        <v>25.08</v>
      </c>
      <c r="M15" s="73">
        <f t="shared" si="5"/>
        <v>2482.6</v>
      </c>
      <c r="N15" s="73">
        <f t="shared" si="6"/>
        <v>49.65</v>
      </c>
      <c r="O15" s="73">
        <f t="shared" si="7"/>
        <v>2432.95</v>
      </c>
      <c r="P15" s="73">
        <f t="shared" si="8"/>
        <v>60.82</v>
      </c>
      <c r="Q15" s="73">
        <f t="shared" si="9"/>
        <v>135.55</v>
      </c>
      <c r="R15" s="73">
        <f t="shared" si="10"/>
        <v>2372.13</v>
      </c>
      <c r="S15" s="122">
        <v>0.18</v>
      </c>
      <c r="T15" s="73">
        <f t="shared" si="11"/>
        <v>426.98</v>
      </c>
      <c r="U15" s="73">
        <f t="shared" si="12"/>
        <v>2799.11</v>
      </c>
      <c r="V15" s="73">
        <f t="shared" si="0"/>
        <v>232102.2012</v>
      </c>
      <c r="W15" s="73">
        <f t="shared" si="1"/>
        <v>7426.3152</v>
      </c>
    </row>
    <row r="16" ht="15.25" spans="1:23">
      <c r="A16" s="73">
        <v>11</v>
      </c>
      <c r="B16" s="73" t="s">
        <v>77</v>
      </c>
      <c r="C16" s="73" t="s">
        <v>58</v>
      </c>
      <c r="D16" s="73" t="s">
        <v>58</v>
      </c>
      <c r="E16" s="73">
        <v>37</v>
      </c>
      <c r="F16" s="73">
        <v>89.54</v>
      </c>
      <c r="G16" s="73">
        <f t="shared" si="2"/>
        <v>3312.98</v>
      </c>
      <c r="H16" s="122">
        <v>0.01</v>
      </c>
      <c r="I16" s="122">
        <v>0.02</v>
      </c>
      <c r="J16" s="139">
        <v>0.025</v>
      </c>
      <c r="K16" s="73">
        <f t="shared" si="3"/>
        <v>3312.98</v>
      </c>
      <c r="L16" s="73">
        <f t="shared" si="4"/>
        <v>33.13</v>
      </c>
      <c r="M16" s="73">
        <f t="shared" si="5"/>
        <v>3279.85</v>
      </c>
      <c r="N16" s="73">
        <f t="shared" si="6"/>
        <v>65.6</v>
      </c>
      <c r="O16" s="73">
        <f t="shared" si="7"/>
        <v>3214.25</v>
      </c>
      <c r="P16" s="73">
        <f t="shared" si="8"/>
        <v>80.36</v>
      </c>
      <c r="Q16" s="73">
        <f t="shared" si="9"/>
        <v>179.09</v>
      </c>
      <c r="R16" s="73">
        <f t="shared" si="10"/>
        <v>3133.89</v>
      </c>
      <c r="S16" s="122">
        <v>0.18</v>
      </c>
      <c r="T16" s="73">
        <f t="shared" si="11"/>
        <v>564.1</v>
      </c>
      <c r="U16" s="73">
        <f t="shared" si="12"/>
        <v>3697.99</v>
      </c>
      <c r="V16" s="73">
        <f t="shared" si="0"/>
        <v>306637.3308</v>
      </c>
      <c r="W16" s="73">
        <f t="shared" si="1"/>
        <v>7424.6568</v>
      </c>
    </row>
    <row r="17" ht="15.25" spans="1:23">
      <c r="A17" s="73">
        <v>12</v>
      </c>
      <c r="B17" s="73" t="s">
        <v>79</v>
      </c>
      <c r="C17" s="73" t="s">
        <v>58</v>
      </c>
      <c r="D17" s="73" t="s">
        <v>58</v>
      </c>
      <c r="E17" s="73">
        <v>39</v>
      </c>
      <c r="F17" s="73">
        <v>98.25</v>
      </c>
      <c r="G17" s="73">
        <f t="shared" si="2"/>
        <v>3831.75</v>
      </c>
      <c r="H17" s="122">
        <v>0.01</v>
      </c>
      <c r="I17" s="122">
        <v>0.02</v>
      </c>
      <c r="J17" s="139">
        <v>0.025</v>
      </c>
      <c r="K17" s="73">
        <f t="shared" si="3"/>
        <v>3831.75</v>
      </c>
      <c r="L17" s="73">
        <f t="shared" si="4"/>
        <v>38.32</v>
      </c>
      <c r="M17" s="73">
        <f t="shared" si="5"/>
        <v>3793.43</v>
      </c>
      <c r="N17" s="73">
        <f t="shared" si="6"/>
        <v>75.87</v>
      </c>
      <c r="O17" s="73">
        <f t="shared" si="7"/>
        <v>3717.56</v>
      </c>
      <c r="P17" s="73">
        <f t="shared" si="8"/>
        <v>92.94</v>
      </c>
      <c r="Q17" s="73">
        <f t="shared" si="9"/>
        <v>207.13</v>
      </c>
      <c r="R17" s="73">
        <f t="shared" si="10"/>
        <v>3624.62</v>
      </c>
      <c r="S17" s="122">
        <v>0.18</v>
      </c>
      <c r="T17" s="73">
        <f t="shared" si="11"/>
        <v>652.43</v>
      </c>
      <c r="U17" s="73">
        <f t="shared" si="12"/>
        <v>4277.05</v>
      </c>
      <c r="V17" s="73">
        <f t="shared" si="0"/>
        <v>354652.986</v>
      </c>
      <c r="W17" s="73">
        <f t="shared" si="1"/>
        <v>8146.89</v>
      </c>
    </row>
    <row r="18" ht="15.25" spans="1:23">
      <c r="A18" s="73">
        <v>13</v>
      </c>
      <c r="B18" s="73" t="s">
        <v>81</v>
      </c>
      <c r="C18" s="73" t="s">
        <v>58</v>
      </c>
      <c r="D18" s="73" t="s">
        <v>58</v>
      </c>
      <c r="E18" s="73">
        <v>70</v>
      </c>
      <c r="F18" s="73">
        <v>102.25</v>
      </c>
      <c r="G18" s="73">
        <f t="shared" si="2"/>
        <v>7157.5</v>
      </c>
      <c r="H18" s="122">
        <v>0.01</v>
      </c>
      <c r="I18" s="122">
        <v>0.02</v>
      </c>
      <c r="J18" s="139">
        <v>0.025</v>
      </c>
      <c r="K18" s="73">
        <f t="shared" si="3"/>
        <v>7157.5</v>
      </c>
      <c r="L18" s="73">
        <f t="shared" si="4"/>
        <v>71.58</v>
      </c>
      <c r="M18" s="73">
        <f t="shared" si="5"/>
        <v>7085.92</v>
      </c>
      <c r="N18" s="73">
        <f t="shared" si="6"/>
        <v>141.72</v>
      </c>
      <c r="O18" s="73">
        <f t="shared" si="7"/>
        <v>6944.2</v>
      </c>
      <c r="P18" s="73">
        <f t="shared" si="8"/>
        <v>173.61</v>
      </c>
      <c r="Q18" s="73">
        <f t="shared" si="9"/>
        <v>386.91</v>
      </c>
      <c r="R18" s="73">
        <f t="shared" si="10"/>
        <v>6770.59</v>
      </c>
      <c r="S18" s="122">
        <v>0.18</v>
      </c>
      <c r="T18" s="73">
        <f t="shared" si="11"/>
        <v>1218.71</v>
      </c>
      <c r="U18" s="73">
        <f t="shared" si="12"/>
        <v>7989.3</v>
      </c>
      <c r="V18" s="73">
        <f t="shared" si="0"/>
        <v>662472.756</v>
      </c>
      <c r="W18" s="73">
        <f t="shared" si="1"/>
        <v>8478.57</v>
      </c>
    </row>
    <row r="19" ht="15.25" spans="1:23">
      <c r="A19" s="73">
        <v>14</v>
      </c>
      <c r="B19" s="73" t="s">
        <v>83</v>
      </c>
      <c r="C19" s="73" t="s">
        <v>58</v>
      </c>
      <c r="D19" s="73" t="s">
        <v>58</v>
      </c>
      <c r="E19" s="73">
        <v>100</v>
      </c>
      <c r="F19" s="73">
        <v>103.5</v>
      </c>
      <c r="G19" s="73">
        <f t="shared" si="2"/>
        <v>10350</v>
      </c>
      <c r="H19" s="122">
        <v>0.01</v>
      </c>
      <c r="I19" s="122">
        <v>0.02</v>
      </c>
      <c r="J19" s="139">
        <v>0.025</v>
      </c>
      <c r="K19" s="73">
        <f t="shared" si="3"/>
        <v>10350</v>
      </c>
      <c r="L19" s="73">
        <f t="shared" si="4"/>
        <v>103.5</v>
      </c>
      <c r="M19" s="73">
        <f t="shared" si="5"/>
        <v>10246.5</v>
      </c>
      <c r="N19" s="73">
        <f t="shared" si="6"/>
        <v>204.93</v>
      </c>
      <c r="O19" s="73">
        <f t="shared" si="7"/>
        <v>10041.57</v>
      </c>
      <c r="P19" s="73">
        <f t="shared" si="8"/>
        <v>251.04</v>
      </c>
      <c r="Q19" s="73">
        <f t="shared" si="9"/>
        <v>559.47</v>
      </c>
      <c r="R19" s="73">
        <f t="shared" si="10"/>
        <v>9790.53</v>
      </c>
      <c r="S19" s="122">
        <v>0.18</v>
      </c>
      <c r="T19" s="73">
        <f t="shared" si="11"/>
        <v>1762.3</v>
      </c>
      <c r="U19" s="73">
        <f t="shared" si="12"/>
        <v>11552.83</v>
      </c>
      <c r="V19" s="73">
        <f t="shared" si="0"/>
        <v>957960.6636</v>
      </c>
      <c r="W19" s="73">
        <f t="shared" si="1"/>
        <v>8582.22</v>
      </c>
    </row>
    <row r="20" ht="15.25" spans="1:23">
      <c r="A20" s="73">
        <v>15</v>
      </c>
      <c r="B20" s="73" t="s">
        <v>85</v>
      </c>
      <c r="C20" s="73" t="s">
        <v>58</v>
      </c>
      <c r="D20" s="73" t="s">
        <v>58</v>
      </c>
      <c r="E20" s="73">
        <v>85</v>
      </c>
      <c r="F20" s="73">
        <v>65.48</v>
      </c>
      <c r="G20" s="73">
        <f t="shared" si="2"/>
        <v>5565.8</v>
      </c>
      <c r="H20" s="122">
        <v>0.01</v>
      </c>
      <c r="I20" s="122">
        <v>0.02</v>
      </c>
      <c r="J20" s="139">
        <v>0.025</v>
      </c>
      <c r="K20" s="73">
        <f t="shared" si="3"/>
        <v>5565.8</v>
      </c>
      <c r="L20" s="73">
        <f t="shared" si="4"/>
        <v>55.66</v>
      </c>
      <c r="M20" s="73">
        <f t="shared" si="5"/>
        <v>5510.14</v>
      </c>
      <c r="N20" s="73">
        <f t="shared" si="6"/>
        <v>110.2</v>
      </c>
      <c r="O20" s="73">
        <f t="shared" si="7"/>
        <v>5399.94</v>
      </c>
      <c r="P20" s="73">
        <f t="shared" si="8"/>
        <v>135</v>
      </c>
      <c r="Q20" s="73">
        <f t="shared" si="9"/>
        <v>300.86</v>
      </c>
      <c r="R20" s="73">
        <f t="shared" si="10"/>
        <v>5264.94</v>
      </c>
      <c r="S20" s="122">
        <v>0.18</v>
      </c>
      <c r="T20" s="73">
        <f t="shared" si="11"/>
        <v>947.69</v>
      </c>
      <c r="U20" s="73">
        <f t="shared" si="12"/>
        <v>6212.63</v>
      </c>
      <c r="V20" s="73">
        <f t="shared" si="0"/>
        <v>515151.2796</v>
      </c>
      <c r="W20" s="73">
        <f t="shared" si="1"/>
        <v>5429.6016</v>
      </c>
    </row>
    <row r="21" ht="15.25" spans="1:23">
      <c r="A21" s="71"/>
      <c r="B21" s="130" t="s">
        <v>87</v>
      </c>
      <c r="C21" s="130"/>
      <c r="D21" s="130"/>
      <c r="E21" s="130"/>
      <c r="F21" s="130"/>
      <c r="G21" s="76">
        <f>SUM(G6:G20)</f>
        <v>71856.76</v>
      </c>
      <c r="H21" s="73"/>
      <c r="I21" s="73"/>
      <c r="J21" s="73"/>
      <c r="K21" s="73"/>
      <c r="L21" s="73"/>
      <c r="M21" s="73"/>
      <c r="N21" s="73"/>
      <c r="O21" s="73"/>
      <c r="P21" s="73"/>
      <c r="Q21" s="76">
        <f>SUM(Q6:Q20)</f>
        <v>3884.27</v>
      </c>
      <c r="R21" s="76">
        <f>SUM(R6:R20)</f>
        <v>67972.49</v>
      </c>
      <c r="S21" s="76"/>
      <c r="T21" s="76">
        <f>SUM(T6:T20)</f>
        <v>12235.06</v>
      </c>
      <c r="U21" s="85">
        <f t="shared" ref="U21:V21" si="13">SUM(U6:U20)</f>
        <v>80207.55</v>
      </c>
      <c r="V21" s="85">
        <f t="shared" si="13"/>
        <v>6650810.046</v>
      </c>
      <c r="W21" s="85"/>
    </row>
    <row r="22" ht="15.25" spans="1:23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</row>
    <row r="23" ht="15.25" spans="1:23">
      <c r="A23" s="71"/>
      <c r="B23" s="71"/>
      <c r="C23" s="71"/>
      <c r="D23" s="71"/>
      <c r="E23" s="71"/>
      <c r="F23" s="131" t="s">
        <v>206</v>
      </c>
      <c r="G23" s="131"/>
      <c r="H23" s="131"/>
      <c r="I23" s="131"/>
      <c r="J23" s="71"/>
      <c r="K23" s="131" t="s">
        <v>207</v>
      </c>
      <c r="L23" s="131"/>
      <c r="M23" s="131"/>
      <c r="N23" s="131"/>
      <c r="O23" s="71"/>
      <c r="P23" s="71"/>
      <c r="Q23" s="71"/>
      <c r="R23" s="71"/>
      <c r="S23" s="71"/>
      <c r="T23" s="71"/>
      <c r="U23" s="71"/>
      <c r="V23" s="71"/>
      <c r="W23" s="71"/>
    </row>
    <row r="24" ht="15.25" spans="1:23">
      <c r="A24" s="71"/>
      <c r="B24" s="71"/>
      <c r="C24" s="71"/>
      <c r="D24" s="71"/>
      <c r="E24" s="71"/>
      <c r="F24" s="104" t="s">
        <v>194</v>
      </c>
      <c r="G24" s="105"/>
      <c r="H24" s="132">
        <f>G21</f>
        <v>71856.76</v>
      </c>
      <c r="I24" s="132"/>
      <c r="J24" s="109"/>
      <c r="K24" s="104" t="s">
        <v>194</v>
      </c>
      <c r="L24" s="105"/>
      <c r="M24" s="132">
        <f>H24*$T$4</f>
        <v>5958362.5392</v>
      </c>
      <c r="N24" s="132"/>
      <c r="O24" s="71"/>
      <c r="P24" s="71"/>
      <c r="Q24" s="71"/>
      <c r="R24" s="71"/>
      <c r="S24" s="71"/>
      <c r="T24" s="71"/>
      <c r="U24" s="71"/>
      <c r="V24" s="71"/>
      <c r="W24" s="71"/>
    </row>
    <row r="25" ht="15.25" spans="1:23">
      <c r="A25" s="71"/>
      <c r="B25" s="71"/>
      <c r="C25" s="71"/>
      <c r="D25" s="71"/>
      <c r="E25" s="71"/>
      <c r="F25" s="104" t="s">
        <v>196</v>
      </c>
      <c r="G25" s="105"/>
      <c r="H25" s="132">
        <f>Q21</f>
        <v>3884.27</v>
      </c>
      <c r="I25" s="132"/>
      <c r="J25" s="71"/>
      <c r="K25" s="104" t="s">
        <v>196</v>
      </c>
      <c r="L25" s="105"/>
      <c r="M25" s="132">
        <f t="shared" ref="M25:M28" si="14">H25*$T$4</f>
        <v>322083.6684</v>
      </c>
      <c r="N25" s="132"/>
      <c r="O25" s="71"/>
      <c r="P25" s="71"/>
      <c r="Q25" s="71"/>
      <c r="R25" s="71"/>
      <c r="S25" s="71"/>
      <c r="T25" s="71"/>
      <c r="U25" s="71"/>
      <c r="V25" s="79"/>
      <c r="W25" s="71"/>
    </row>
    <row r="26" ht="15.25" spans="1:23">
      <c r="A26" s="71"/>
      <c r="B26" s="71"/>
      <c r="C26" s="71"/>
      <c r="D26" s="71"/>
      <c r="E26" s="71"/>
      <c r="F26" s="104" t="s">
        <v>197</v>
      </c>
      <c r="G26" s="105"/>
      <c r="H26" s="132">
        <f>R21</f>
        <v>67972.49</v>
      </c>
      <c r="I26" s="132"/>
      <c r="J26" s="71"/>
      <c r="K26" s="104" t="s">
        <v>197</v>
      </c>
      <c r="L26" s="105"/>
      <c r="M26" s="132">
        <f t="shared" si="14"/>
        <v>5636278.8708</v>
      </c>
      <c r="N26" s="132"/>
      <c r="O26" s="71"/>
      <c r="P26" s="71"/>
      <c r="Q26" s="71"/>
      <c r="R26" s="71"/>
      <c r="S26" s="71"/>
      <c r="T26" s="71"/>
      <c r="U26" s="71"/>
      <c r="V26" s="79"/>
      <c r="W26" s="71"/>
    </row>
    <row r="27" ht="15.25" spans="1:23">
      <c r="A27" s="71"/>
      <c r="B27" s="71"/>
      <c r="C27" s="71"/>
      <c r="D27" s="71"/>
      <c r="E27" s="71"/>
      <c r="F27" s="104" t="s">
        <v>198</v>
      </c>
      <c r="G27" s="105"/>
      <c r="H27" s="132">
        <f>T21</f>
        <v>12235.06</v>
      </c>
      <c r="I27" s="132"/>
      <c r="J27" s="71"/>
      <c r="K27" s="104" t="s">
        <v>198</v>
      </c>
      <c r="L27" s="105"/>
      <c r="M27" s="132">
        <f t="shared" si="14"/>
        <v>1014531.1752</v>
      </c>
      <c r="N27" s="132"/>
      <c r="O27" s="71"/>
      <c r="P27" s="71"/>
      <c r="Q27" s="71"/>
      <c r="R27" s="71"/>
      <c r="S27" s="71"/>
      <c r="T27" s="71"/>
      <c r="U27" s="71"/>
      <c r="V27" s="79"/>
      <c r="W27" s="71"/>
    </row>
    <row r="28" ht="15.25" spans="1:23">
      <c r="A28" s="71"/>
      <c r="B28" s="71"/>
      <c r="C28" s="71"/>
      <c r="D28" s="71"/>
      <c r="E28" s="71"/>
      <c r="F28" s="104" t="s">
        <v>199</v>
      </c>
      <c r="G28" s="105"/>
      <c r="H28" s="133">
        <f>H26+H27</f>
        <v>80207.55</v>
      </c>
      <c r="I28" s="133"/>
      <c r="J28" s="71"/>
      <c r="K28" s="104" t="s">
        <v>199</v>
      </c>
      <c r="L28" s="105"/>
      <c r="M28" s="133">
        <f t="shared" si="14"/>
        <v>6650810.046</v>
      </c>
      <c r="N28" s="133"/>
      <c r="O28" s="71"/>
      <c r="P28" s="71"/>
      <c r="Q28" s="71"/>
      <c r="R28" s="71"/>
      <c r="S28" s="71"/>
      <c r="T28" s="71"/>
      <c r="U28" s="71"/>
      <c r="V28" s="71"/>
      <c r="W28" s="71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topLeftCell="A7" workbookViewId="0">
      <selection activeCell="G28" sqref="G28"/>
    </sheetView>
  </sheetViews>
  <sheetFormatPr defaultColWidth="9" defaultRowHeight="14.5"/>
  <sheetData>
    <row r="1" ht="18.25" spans="1:23">
      <c r="A1" s="101" t="s">
        <v>208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34" t="s">
        <v>201</v>
      </c>
      <c r="R1" s="134" t="s">
        <v>202</v>
      </c>
      <c r="S1" s="135"/>
      <c r="T1" s="134">
        <v>82.92</v>
      </c>
      <c r="U1" s="136"/>
      <c r="V1" s="137"/>
      <c r="W1" s="71"/>
    </row>
    <row r="2" ht="42.75" spans="1:23">
      <c r="A2" s="102" t="s">
        <v>155</v>
      </c>
      <c r="B2" s="102" t="s">
        <v>49</v>
      </c>
      <c r="C2" s="102" t="s">
        <v>51</v>
      </c>
      <c r="D2" s="102" t="s">
        <v>52</v>
      </c>
      <c r="E2" s="102" t="s">
        <v>53</v>
      </c>
      <c r="F2" s="102" t="s">
        <v>54</v>
      </c>
      <c r="G2" s="102" t="s">
        <v>55</v>
      </c>
      <c r="H2" s="106" t="s">
        <v>97</v>
      </c>
      <c r="I2" s="106" t="s">
        <v>99</v>
      </c>
      <c r="J2" s="106" t="s">
        <v>98</v>
      </c>
      <c r="K2" s="107" t="s">
        <v>100</v>
      </c>
      <c r="L2" s="107" t="s">
        <v>101</v>
      </c>
      <c r="M2" s="107" t="s">
        <v>104</v>
      </c>
      <c r="N2" s="107" t="s">
        <v>105</v>
      </c>
      <c r="O2" s="107" t="s">
        <v>157</v>
      </c>
      <c r="P2" s="107" t="s">
        <v>103</v>
      </c>
      <c r="Q2" s="106" t="s">
        <v>203</v>
      </c>
      <c r="R2" s="102" t="s">
        <v>204</v>
      </c>
      <c r="S2" s="115" t="s">
        <v>159</v>
      </c>
      <c r="T2" s="115" t="s">
        <v>113</v>
      </c>
      <c r="U2" s="138" t="s">
        <v>209</v>
      </c>
      <c r="V2" s="138" t="s">
        <v>205</v>
      </c>
      <c r="W2" s="118" t="s">
        <v>160</v>
      </c>
    </row>
    <row r="3" ht="15.25" spans="1:23">
      <c r="A3" s="73">
        <v>1</v>
      </c>
      <c r="B3" s="73" t="s">
        <v>56</v>
      </c>
      <c r="C3" s="73" t="s">
        <v>58</v>
      </c>
      <c r="D3" s="73" t="s">
        <v>163</v>
      </c>
      <c r="E3" s="73">
        <v>25</v>
      </c>
      <c r="F3" s="73">
        <v>257.63</v>
      </c>
      <c r="G3" s="73">
        <f>E3*F3</f>
        <v>6440.75</v>
      </c>
      <c r="H3" s="122">
        <v>0.01</v>
      </c>
      <c r="I3" s="122">
        <v>0.02</v>
      </c>
      <c r="J3" s="84">
        <v>0.025</v>
      </c>
      <c r="K3" s="73">
        <f>G3</f>
        <v>6440.75</v>
      </c>
      <c r="L3" s="73">
        <f>ROUND(K3*H3,2)</f>
        <v>64.41</v>
      </c>
      <c r="M3" s="73">
        <f>G3-L3</f>
        <v>6376.34</v>
      </c>
      <c r="N3" s="73">
        <f>ROUND(M3*I3,2)</f>
        <v>127.53</v>
      </c>
      <c r="O3" s="73">
        <f>ROUND(M3-N3,2)</f>
        <v>6248.81</v>
      </c>
      <c r="P3" s="73">
        <f>ROUND(O3*J3,2)</f>
        <v>156.22</v>
      </c>
      <c r="Q3" s="73">
        <f>ROUND((L3+N3+P3),2)</f>
        <v>348.16</v>
      </c>
      <c r="R3" s="73">
        <f>ROUND((G3-Q3),2)</f>
        <v>6092.59</v>
      </c>
      <c r="S3" s="122">
        <v>0.18</v>
      </c>
      <c r="T3" s="73">
        <f>ROUND((R3*18%),2)</f>
        <v>1096.67</v>
      </c>
      <c r="U3" s="73">
        <f>R3+T3</f>
        <v>7189.26</v>
      </c>
      <c r="V3" s="73">
        <f>U3*$T$1</f>
        <v>596133.4392</v>
      </c>
      <c r="W3" s="73">
        <f t="shared" ref="W3:W8" si="0">ROUND(F3*$S$21*$T$1,2)</f>
        <v>42725.36</v>
      </c>
    </row>
    <row r="4" ht="15.25" spans="1:23">
      <c r="A4" s="73">
        <v>2</v>
      </c>
      <c r="B4" s="73" t="s">
        <v>59</v>
      </c>
      <c r="C4" s="73" t="s">
        <v>58</v>
      </c>
      <c r="D4" s="73" t="s">
        <v>163</v>
      </c>
      <c r="E4" s="73">
        <v>35</v>
      </c>
      <c r="F4" s="73">
        <v>125.45</v>
      </c>
      <c r="G4" s="73">
        <f>E4*F4</f>
        <v>4390.75</v>
      </c>
      <c r="H4" s="122">
        <v>0.01</v>
      </c>
      <c r="I4" s="122">
        <v>0.02</v>
      </c>
      <c r="J4" s="84">
        <v>0.025</v>
      </c>
      <c r="K4" s="73">
        <f>G4</f>
        <v>4390.75</v>
      </c>
      <c r="L4" s="73">
        <f>ROUND(K4*H4,2)</f>
        <v>43.91</v>
      </c>
      <c r="M4" s="73">
        <f>G4-L4</f>
        <v>4346.84</v>
      </c>
      <c r="N4" s="73">
        <f>ROUND(M4*I4,2)</f>
        <v>86.94</v>
      </c>
      <c r="O4" s="73">
        <f>ROUND(M4-N4,2)</f>
        <v>4259.9</v>
      </c>
      <c r="P4" s="73">
        <f>ROUND(O4*J4,2)</f>
        <v>106.5</v>
      </c>
      <c r="Q4" s="73">
        <f>ROUND((L4+N4+P4),2)</f>
        <v>237.35</v>
      </c>
      <c r="R4" s="73">
        <f>ROUND((G4-Q4),2)</f>
        <v>4153.4</v>
      </c>
      <c r="S4" s="122">
        <v>0.18</v>
      </c>
      <c r="T4" s="73">
        <f>ROUND((R4*18%),2)</f>
        <v>747.61</v>
      </c>
      <c r="U4" s="73">
        <f>R4+T4</f>
        <v>4901.01</v>
      </c>
      <c r="V4" s="73">
        <f t="shared" ref="V4:V17" si="1">U4*$T$1</f>
        <v>406391.7492</v>
      </c>
      <c r="W4" s="73">
        <f t="shared" si="0"/>
        <v>20804.63</v>
      </c>
    </row>
    <row r="5" ht="15.25" spans="1:23">
      <c r="A5" s="73">
        <v>3</v>
      </c>
      <c r="B5" s="73" t="s">
        <v>61</v>
      </c>
      <c r="C5" s="73" t="s">
        <v>58</v>
      </c>
      <c r="D5" s="73" t="s">
        <v>163</v>
      </c>
      <c r="E5" s="73">
        <v>45</v>
      </c>
      <c r="F5" s="73">
        <v>125.36</v>
      </c>
      <c r="G5" s="73">
        <f>E5*F5</f>
        <v>5641.2</v>
      </c>
      <c r="H5" s="122">
        <v>0.01</v>
      </c>
      <c r="I5" s="122">
        <v>0.02</v>
      </c>
      <c r="J5" s="84">
        <v>0.025</v>
      </c>
      <c r="K5" s="73">
        <f>G5</f>
        <v>5641.2</v>
      </c>
      <c r="L5" s="73">
        <f>ROUND(K5*H5,2)</f>
        <v>56.41</v>
      </c>
      <c r="M5" s="73">
        <f>G5-L5</f>
        <v>5584.79</v>
      </c>
      <c r="N5" s="73">
        <f>ROUND(M5*I5,2)</f>
        <v>111.7</v>
      </c>
      <c r="O5" s="73">
        <f>ROUND(M5-N5,2)</f>
        <v>5473.09</v>
      </c>
      <c r="P5" s="73">
        <f>ROUND(O5*J5,2)</f>
        <v>136.83</v>
      </c>
      <c r="Q5" s="73">
        <f>ROUND((L5+N5+P5),2)</f>
        <v>304.94</v>
      </c>
      <c r="R5" s="73">
        <f>ROUND((G5-Q5),2)</f>
        <v>5336.26</v>
      </c>
      <c r="S5" s="122">
        <v>0.18</v>
      </c>
      <c r="T5" s="73">
        <f>ROUND((R5*18%),2)</f>
        <v>960.53</v>
      </c>
      <c r="U5" s="73">
        <f>R5+T5</f>
        <v>6296.79</v>
      </c>
      <c r="V5" s="73">
        <f t="shared" si="1"/>
        <v>522129.8268</v>
      </c>
      <c r="W5" s="73">
        <f t="shared" si="0"/>
        <v>20789.7</v>
      </c>
    </row>
    <row r="6" ht="15.25" spans="1:23">
      <c r="A6" s="73">
        <v>4</v>
      </c>
      <c r="B6" s="73" t="s">
        <v>63</v>
      </c>
      <c r="C6" s="73" t="s">
        <v>58</v>
      </c>
      <c r="D6" s="73" t="s">
        <v>163</v>
      </c>
      <c r="E6" s="73">
        <v>55</v>
      </c>
      <c r="F6" s="73">
        <v>45.25</v>
      </c>
      <c r="G6" s="73">
        <f t="shared" ref="G6:G17" si="2">E6*F6</f>
        <v>2488.75</v>
      </c>
      <c r="H6" s="122">
        <v>0.01</v>
      </c>
      <c r="I6" s="122">
        <v>0.02</v>
      </c>
      <c r="J6" s="84">
        <v>0.025</v>
      </c>
      <c r="K6" s="73">
        <f t="shared" ref="K6:K17" si="3">G6</f>
        <v>2488.75</v>
      </c>
      <c r="L6" s="73">
        <f t="shared" ref="L6:L17" si="4">ROUND(K6*H6,2)</f>
        <v>24.89</v>
      </c>
      <c r="M6" s="73">
        <f t="shared" ref="M6:M17" si="5">G6-L6</f>
        <v>2463.86</v>
      </c>
      <c r="N6" s="73">
        <f t="shared" ref="N6:N17" si="6">ROUND(M6*I6,2)</f>
        <v>49.28</v>
      </c>
      <c r="O6" s="73">
        <f t="shared" ref="O6:O17" si="7">ROUND(M6-N6,2)</f>
        <v>2414.58</v>
      </c>
      <c r="P6" s="73">
        <f t="shared" ref="P6:P17" si="8">ROUND(O6*J6,2)</f>
        <v>60.36</v>
      </c>
      <c r="Q6" s="73">
        <f t="shared" ref="Q6:Q17" si="9">ROUND((L6+N6+P6),2)</f>
        <v>134.53</v>
      </c>
      <c r="R6" s="73">
        <f t="shared" ref="R6:R17" si="10">ROUND((G6-Q6),2)</f>
        <v>2354.22</v>
      </c>
      <c r="S6" s="122">
        <v>0.18</v>
      </c>
      <c r="T6" s="73">
        <f t="shared" ref="T6:T17" si="11">ROUND((R6*18%),2)</f>
        <v>423.76</v>
      </c>
      <c r="U6" s="73">
        <f t="shared" ref="U6:U17" si="12">R6+T6</f>
        <v>2777.98</v>
      </c>
      <c r="V6" s="73">
        <f t="shared" si="1"/>
        <v>230350.1016</v>
      </c>
      <c r="W6" s="73">
        <f t="shared" si="0"/>
        <v>7504.26</v>
      </c>
    </row>
    <row r="7" ht="15.25" spans="1:23">
      <c r="A7" s="73">
        <v>5</v>
      </c>
      <c r="B7" s="73" t="s">
        <v>65</v>
      </c>
      <c r="C7" s="73" t="s">
        <v>58</v>
      </c>
      <c r="D7" s="73" t="s">
        <v>163</v>
      </c>
      <c r="E7" s="73">
        <v>60</v>
      </c>
      <c r="F7" s="73">
        <v>45.5</v>
      </c>
      <c r="G7" s="73">
        <f t="shared" si="2"/>
        <v>2730</v>
      </c>
      <c r="H7" s="122">
        <v>0.01</v>
      </c>
      <c r="I7" s="122">
        <v>0.02</v>
      </c>
      <c r="J7" s="84">
        <v>0.025</v>
      </c>
      <c r="K7" s="73">
        <f t="shared" si="3"/>
        <v>2730</v>
      </c>
      <c r="L7" s="73">
        <f t="shared" si="4"/>
        <v>27.3</v>
      </c>
      <c r="M7" s="73">
        <f t="shared" si="5"/>
        <v>2702.7</v>
      </c>
      <c r="N7" s="73">
        <f t="shared" si="6"/>
        <v>54.05</v>
      </c>
      <c r="O7" s="73">
        <f t="shared" si="7"/>
        <v>2648.65</v>
      </c>
      <c r="P7" s="73">
        <f t="shared" si="8"/>
        <v>66.22</v>
      </c>
      <c r="Q7" s="73">
        <f t="shared" si="9"/>
        <v>147.57</v>
      </c>
      <c r="R7" s="73">
        <f t="shared" si="10"/>
        <v>2582.43</v>
      </c>
      <c r="S7" s="122">
        <v>0.18</v>
      </c>
      <c r="T7" s="73">
        <f t="shared" si="11"/>
        <v>464.84</v>
      </c>
      <c r="U7" s="73">
        <f t="shared" si="12"/>
        <v>3047.27</v>
      </c>
      <c r="V7" s="73">
        <f t="shared" si="1"/>
        <v>252679.6284</v>
      </c>
      <c r="W7" s="73">
        <f t="shared" si="0"/>
        <v>7545.72</v>
      </c>
    </row>
    <row r="8" ht="15.25" spans="1:23">
      <c r="A8" s="73">
        <v>6</v>
      </c>
      <c r="B8" s="73" t="s">
        <v>67</v>
      </c>
      <c r="C8" s="73" t="s">
        <v>58</v>
      </c>
      <c r="D8" s="73" t="s">
        <v>163</v>
      </c>
      <c r="E8" s="73">
        <v>75</v>
      </c>
      <c r="F8" s="73">
        <v>125.25</v>
      </c>
      <c r="G8" s="73">
        <f t="shared" si="2"/>
        <v>9393.75</v>
      </c>
      <c r="H8" s="122">
        <v>0.01</v>
      </c>
      <c r="I8" s="122">
        <v>0.02</v>
      </c>
      <c r="J8" s="84">
        <v>0.025</v>
      </c>
      <c r="K8" s="73">
        <f t="shared" si="3"/>
        <v>9393.75</v>
      </c>
      <c r="L8" s="73">
        <f t="shared" si="4"/>
        <v>93.94</v>
      </c>
      <c r="M8" s="73">
        <f t="shared" si="5"/>
        <v>9299.81</v>
      </c>
      <c r="N8" s="73">
        <f t="shared" si="6"/>
        <v>186</v>
      </c>
      <c r="O8" s="73">
        <f t="shared" si="7"/>
        <v>9113.81</v>
      </c>
      <c r="P8" s="73">
        <f t="shared" si="8"/>
        <v>227.85</v>
      </c>
      <c r="Q8" s="73">
        <f t="shared" si="9"/>
        <v>507.79</v>
      </c>
      <c r="R8" s="73">
        <f t="shared" si="10"/>
        <v>8885.96</v>
      </c>
      <c r="S8" s="122">
        <v>0.18</v>
      </c>
      <c r="T8" s="73">
        <f t="shared" si="11"/>
        <v>1599.47</v>
      </c>
      <c r="U8" s="73">
        <f t="shared" si="12"/>
        <v>10485.43</v>
      </c>
      <c r="V8" s="73">
        <f t="shared" si="1"/>
        <v>869451.8556</v>
      </c>
      <c r="W8" s="73">
        <f t="shared" si="0"/>
        <v>20771.46</v>
      </c>
    </row>
    <row r="9" ht="15.25" spans="1:23">
      <c r="A9" s="73">
        <v>7</v>
      </c>
      <c r="B9" s="73" t="s">
        <v>69</v>
      </c>
      <c r="C9" s="73" t="s">
        <v>58</v>
      </c>
      <c r="D9" s="73" t="s">
        <v>176</v>
      </c>
      <c r="E9" s="73">
        <v>28</v>
      </c>
      <c r="F9" s="73">
        <v>150.5</v>
      </c>
      <c r="G9" s="73">
        <f t="shared" si="2"/>
        <v>4214</v>
      </c>
      <c r="H9" s="122">
        <v>0.01</v>
      </c>
      <c r="I9" s="122">
        <v>0.02</v>
      </c>
      <c r="J9" s="84">
        <v>0.025</v>
      </c>
      <c r="K9" s="73">
        <f t="shared" si="3"/>
        <v>4214</v>
      </c>
      <c r="L9" s="73">
        <f t="shared" si="4"/>
        <v>42.14</v>
      </c>
      <c r="M9" s="73">
        <f t="shared" si="5"/>
        <v>4171.86</v>
      </c>
      <c r="N9" s="73">
        <f t="shared" si="6"/>
        <v>83.44</v>
      </c>
      <c r="O9" s="73">
        <f t="shared" si="7"/>
        <v>4088.42</v>
      </c>
      <c r="P9" s="73">
        <f t="shared" si="8"/>
        <v>102.21</v>
      </c>
      <c r="Q9" s="73">
        <f t="shared" si="9"/>
        <v>227.79</v>
      </c>
      <c r="R9" s="73">
        <f t="shared" si="10"/>
        <v>3986.21</v>
      </c>
      <c r="S9" s="122">
        <v>0.18</v>
      </c>
      <c r="T9" s="73">
        <f t="shared" si="11"/>
        <v>717.52</v>
      </c>
      <c r="U9" s="73">
        <f t="shared" si="12"/>
        <v>4703.73</v>
      </c>
      <c r="V9" s="73">
        <f t="shared" si="1"/>
        <v>390033.2916</v>
      </c>
      <c r="W9" s="73">
        <f>ROUND(F9*$S$22*$T$1,2)</f>
        <v>31198.65</v>
      </c>
    </row>
    <row r="10" ht="15.25" spans="1:23">
      <c r="A10" s="73">
        <v>8</v>
      </c>
      <c r="B10" s="73" t="s">
        <v>71</v>
      </c>
      <c r="C10" s="73" t="s">
        <v>58</v>
      </c>
      <c r="D10" s="73" t="s">
        <v>176</v>
      </c>
      <c r="E10" s="73">
        <v>30</v>
      </c>
      <c r="F10" s="73">
        <v>65.32</v>
      </c>
      <c r="G10" s="73">
        <f t="shared" si="2"/>
        <v>1959.6</v>
      </c>
      <c r="H10" s="122">
        <v>0.01</v>
      </c>
      <c r="I10" s="122">
        <v>0.02</v>
      </c>
      <c r="J10" s="84">
        <v>0.025</v>
      </c>
      <c r="K10" s="73">
        <f t="shared" si="3"/>
        <v>1959.6</v>
      </c>
      <c r="L10" s="73">
        <f t="shared" si="4"/>
        <v>19.6</v>
      </c>
      <c r="M10" s="73">
        <f t="shared" si="5"/>
        <v>1940</v>
      </c>
      <c r="N10" s="73">
        <f t="shared" si="6"/>
        <v>38.8</v>
      </c>
      <c r="O10" s="73">
        <f t="shared" si="7"/>
        <v>1901.2</v>
      </c>
      <c r="P10" s="73">
        <f t="shared" si="8"/>
        <v>47.53</v>
      </c>
      <c r="Q10" s="73">
        <f t="shared" si="9"/>
        <v>105.93</v>
      </c>
      <c r="R10" s="73">
        <f t="shared" si="10"/>
        <v>1853.67</v>
      </c>
      <c r="S10" s="122">
        <v>0.18</v>
      </c>
      <c r="T10" s="73">
        <f t="shared" si="11"/>
        <v>333.66</v>
      </c>
      <c r="U10" s="73">
        <f t="shared" si="12"/>
        <v>2187.33</v>
      </c>
      <c r="V10" s="73">
        <f t="shared" si="1"/>
        <v>181373.4036</v>
      </c>
      <c r="W10" s="73">
        <f>ROUND(F10*$S$22*$T$1,2)</f>
        <v>13540.84</v>
      </c>
    </row>
    <row r="11" ht="15.25" spans="1:23">
      <c r="A11" s="73">
        <v>9</v>
      </c>
      <c r="B11" s="73" t="s">
        <v>73</v>
      </c>
      <c r="C11" s="73" t="s">
        <v>58</v>
      </c>
      <c r="D11" s="73" t="s">
        <v>176</v>
      </c>
      <c r="E11" s="73">
        <v>25</v>
      </c>
      <c r="F11" s="73">
        <v>74.89</v>
      </c>
      <c r="G11" s="73">
        <f t="shared" si="2"/>
        <v>1872.25</v>
      </c>
      <c r="H11" s="122">
        <v>0.01</v>
      </c>
      <c r="I11" s="122">
        <v>0.02</v>
      </c>
      <c r="J11" s="84">
        <v>0.025</v>
      </c>
      <c r="K11" s="73">
        <f t="shared" si="3"/>
        <v>1872.25</v>
      </c>
      <c r="L11" s="73">
        <f t="shared" si="4"/>
        <v>18.72</v>
      </c>
      <c r="M11" s="73">
        <f t="shared" si="5"/>
        <v>1853.53</v>
      </c>
      <c r="N11" s="73">
        <f t="shared" si="6"/>
        <v>37.07</v>
      </c>
      <c r="O11" s="73">
        <f t="shared" si="7"/>
        <v>1816.46</v>
      </c>
      <c r="P11" s="73">
        <f t="shared" si="8"/>
        <v>45.41</v>
      </c>
      <c r="Q11" s="73">
        <f t="shared" si="9"/>
        <v>101.2</v>
      </c>
      <c r="R11" s="73">
        <f t="shared" si="10"/>
        <v>1771.05</v>
      </c>
      <c r="S11" s="122">
        <v>0.18</v>
      </c>
      <c r="T11" s="73">
        <f t="shared" si="11"/>
        <v>318.79</v>
      </c>
      <c r="U11" s="73">
        <f t="shared" si="12"/>
        <v>2089.84</v>
      </c>
      <c r="V11" s="73">
        <f t="shared" si="1"/>
        <v>173289.5328</v>
      </c>
      <c r="W11" s="73">
        <f>ROUND(F11*$S$22*$T$1,2)</f>
        <v>15524.7</v>
      </c>
    </row>
    <row r="12" ht="15.25" spans="1:23">
      <c r="A12" s="73">
        <v>10</v>
      </c>
      <c r="B12" s="73" t="s">
        <v>75</v>
      </c>
      <c r="C12" s="73" t="s">
        <v>58</v>
      </c>
      <c r="D12" s="73" t="s">
        <v>176</v>
      </c>
      <c r="E12" s="73">
        <v>28</v>
      </c>
      <c r="F12" s="73">
        <v>89.56</v>
      </c>
      <c r="G12" s="73">
        <f t="shared" si="2"/>
        <v>2507.68</v>
      </c>
      <c r="H12" s="122">
        <v>0.01</v>
      </c>
      <c r="I12" s="122">
        <v>0.02</v>
      </c>
      <c r="J12" s="84">
        <v>0.025</v>
      </c>
      <c r="K12" s="73">
        <f t="shared" si="3"/>
        <v>2507.68</v>
      </c>
      <c r="L12" s="73">
        <f t="shared" si="4"/>
        <v>25.08</v>
      </c>
      <c r="M12" s="73">
        <f t="shared" si="5"/>
        <v>2482.6</v>
      </c>
      <c r="N12" s="73">
        <f t="shared" si="6"/>
        <v>49.65</v>
      </c>
      <c r="O12" s="73">
        <f t="shared" si="7"/>
        <v>2432.95</v>
      </c>
      <c r="P12" s="73">
        <f t="shared" si="8"/>
        <v>60.82</v>
      </c>
      <c r="Q12" s="73">
        <f t="shared" si="9"/>
        <v>135.55</v>
      </c>
      <c r="R12" s="73">
        <f t="shared" si="10"/>
        <v>2372.13</v>
      </c>
      <c r="S12" s="122">
        <v>0.18</v>
      </c>
      <c r="T12" s="73">
        <f t="shared" si="11"/>
        <v>426.98</v>
      </c>
      <c r="U12" s="73">
        <f t="shared" si="12"/>
        <v>2799.11</v>
      </c>
      <c r="V12" s="73">
        <f t="shared" si="1"/>
        <v>232102.2012</v>
      </c>
      <c r="W12" s="73">
        <f>ROUND(F12*$S$22*$T$1,2)</f>
        <v>18565.79</v>
      </c>
    </row>
    <row r="13" ht="15.25" spans="1:23">
      <c r="A13" s="73">
        <v>11</v>
      </c>
      <c r="B13" s="73" t="s">
        <v>77</v>
      </c>
      <c r="C13" s="73" t="s">
        <v>163</v>
      </c>
      <c r="D13" s="73" t="s">
        <v>185</v>
      </c>
      <c r="E13" s="73">
        <v>37</v>
      </c>
      <c r="F13" s="73">
        <v>89.54</v>
      </c>
      <c r="G13" s="73">
        <f t="shared" si="2"/>
        <v>3312.98</v>
      </c>
      <c r="H13" s="122">
        <v>0.01</v>
      </c>
      <c r="I13" s="122">
        <v>0.02</v>
      </c>
      <c r="J13" s="84">
        <v>0.025</v>
      </c>
      <c r="K13" s="73">
        <f t="shared" si="3"/>
        <v>3312.98</v>
      </c>
      <c r="L13" s="73">
        <f t="shared" si="4"/>
        <v>33.13</v>
      </c>
      <c r="M13" s="73">
        <f t="shared" si="5"/>
        <v>3279.85</v>
      </c>
      <c r="N13" s="73">
        <f t="shared" si="6"/>
        <v>65.6</v>
      </c>
      <c r="O13" s="73">
        <f t="shared" si="7"/>
        <v>3214.25</v>
      </c>
      <c r="P13" s="73">
        <f t="shared" si="8"/>
        <v>80.36</v>
      </c>
      <c r="Q13" s="73">
        <f t="shared" si="9"/>
        <v>179.09</v>
      </c>
      <c r="R13" s="73">
        <f t="shared" si="10"/>
        <v>3133.89</v>
      </c>
      <c r="S13" s="122">
        <v>0.18</v>
      </c>
      <c r="T13" s="73">
        <f t="shared" si="11"/>
        <v>564.1</v>
      </c>
      <c r="U13" s="73">
        <f t="shared" si="12"/>
        <v>3697.99</v>
      </c>
      <c r="V13" s="73">
        <f t="shared" si="1"/>
        <v>306637.3308</v>
      </c>
      <c r="W13" s="73">
        <f>ROUND(F13*$S$23*$T$1,2)</f>
        <v>7.42</v>
      </c>
    </row>
    <row r="14" ht="15.25" spans="1:23">
      <c r="A14" s="73">
        <v>12</v>
      </c>
      <c r="B14" s="73" t="s">
        <v>79</v>
      </c>
      <c r="C14" s="73" t="s">
        <v>163</v>
      </c>
      <c r="D14" s="73" t="s">
        <v>185</v>
      </c>
      <c r="E14" s="73">
        <v>39</v>
      </c>
      <c r="F14" s="73">
        <v>35.2</v>
      </c>
      <c r="G14" s="73">
        <f t="shared" si="2"/>
        <v>1372.8</v>
      </c>
      <c r="H14" s="122">
        <v>0.01</v>
      </c>
      <c r="I14" s="122">
        <v>0.02</v>
      </c>
      <c r="J14" s="84">
        <v>0.025</v>
      </c>
      <c r="K14" s="73">
        <f t="shared" si="3"/>
        <v>1372.8</v>
      </c>
      <c r="L14" s="73">
        <f t="shared" si="4"/>
        <v>13.73</v>
      </c>
      <c r="M14" s="73">
        <f t="shared" si="5"/>
        <v>1359.07</v>
      </c>
      <c r="N14" s="73">
        <f t="shared" si="6"/>
        <v>27.18</v>
      </c>
      <c r="O14" s="73">
        <f t="shared" si="7"/>
        <v>1331.89</v>
      </c>
      <c r="P14" s="73">
        <f t="shared" si="8"/>
        <v>33.3</v>
      </c>
      <c r="Q14" s="73">
        <f t="shared" si="9"/>
        <v>74.21</v>
      </c>
      <c r="R14" s="73">
        <f t="shared" si="10"/>
        <v>1298.59</v>
      </c>
      <c r="S14" s="122">
        <v>0.18</v>
      </c>
      <c r="T14" s="73">
        <f t="shared" si="11"/>
        <v>233.75</v>
      </c>
      <c r="U14" s="73">
        <f t="shared" si="12"/>
        <v>1532.34</v>
      </c>
      <c r="V14" s="73">
        <f t="shared" si="1"/>
        <v>127061.6328</v>
      </c>
      <c r="W14" s="73">
        <f>ROUND(F14*$S$23*$T$1,2)</f>
        <v>2.92</v>
      </c>
    </row>
    <row r="15" ht="15.25" spans="1:23">
      <c r="A15" s="73">
        <v>13</v>
      </c>
      <c r="B15" s="73" t="s">
        <v>81</v>
      </c>
      <c r="C15" s="73" t="s">
        <v>163</v>
      </c>
      <c r="D15" s="73" t="s">
        <v>185</v>
      </c>
      <c r="E15" s="73">
        <v>70</v>
      </c>
      <c r="F15" s="73">
        <v>102.25</v>
      </c>
      <c r="G15" s="73">
        <f t="shared" si="2"/>
        <v>7157.5</v>
      </c>
      <c r="H15" s="122">
        <v>0.01</v>
      </c>
      <c r="I15" s="122">
        <v>0.02</v>
      </c>
      <c r="J15" s="84">
        <v>0.025</v>
      </c>
      <c r="K15" s="73">
        <f t="shared" si="3"/>
        <v>7157.5</v>
      </c>
      <c r="L15" s="73">
        <f t="shared" si="4"/>
        <v>71.58</v>
      </c>
      <c r="M15" s="73">
        <f t="shared" si="5"/>
        <v>7085.92</v>
      </c>
      <c r="N15" s="73">
        <f t="shared" si="6"/>
        <v>141.72</v>
      </c>
      <c r="O15" s="73">
        <f t="shared" si="7"/>
        <v>6944.2</v>
      </c>
      <c r="P15" s="73">
        <f t="shared" si="8"/>
        <v>173.61</v>
      </c>
      <c r="Q15" s="73">
        <f t="shared" si="9"/>
        <v>386.91</v>
      </c>
      <c r="R15" s="73">
        <f t="shared" si="10"/>
        <v>6770.59</v>
      </c>
      <c r="S15" s="122">
        <v>0.18</v>
      </c>
      <c r="T15" s="73">
        <f t="shared" si="11"/>
        <v>1218.71</v>
      </c>
      <c r="U15" s="73">
        <f t="shared" si="12"/>
        <v>7989.3</v>
      </c>
      <c r="V15" s="73">
        <f t="shared" si="1"/>
        <v>662472.756</v>
      </c>
      <c r="W15" s="73">
        <f>ROUND(F15*$S$23*$T$1,2)</f>
        <v>8.48</v>
      </c>
    </row>
    <row r="16" ht="15.25" spans="1:23">
      <c r="A16" s="73">
        <v>14</v>
      </c>
      <c r="B16" s="73" t="s">
        <v>83</v>
      </c>
      <c r="C16" s="73" t="s">
        <v>163</v>
      </c>
      <c r="D16" s="73" t="s">
        <v>185</v>
      </c>
      <c r="E16" s="73">
        <v>100</v>
      </c>
      <c r="F16" s="73">
        <v>125.23</v>
      </c>
      <c r="G16" s="73">
        <f t="shared" si="2"/>
        <v>12523</v>
      </c>
      <c r="H16" s="122">
        <v>0.01</v>
      </c>
      <c r="I16" s="122">
        <v>0.02</v>
      </c>
      <c r="J16" s="84">
        <v>0.025</v>
      </c>
      <c r="K16" s="73">
        <f t="shared" si="3"/>
        <v>12523</v>
      </c>
      <c r="L16" s="73">
        <f t="shared" si="4"/>
        <v>125.23</v>
      </c>
      <c r="M16" s="73">
        <f t="shared" si="5"/>
        <v>12397.77</v>
      </c>
      <c r="N16" s="73">
        <f t="shared" si="6"/>
        <v>247.96</v>
      </c>
      <c r="O16" s="73">
        <f t="shared" si="7"/>
        <v>12149.81</v>
      </c>
      <c r="P16" s="73">
        <f t="shared" si="8"/>
        <v>303.75</v>
      </c>
      <c r="Q16" s="73">
        <f t="shared" si="9"/>
        <v>676.94</v>
      </c>
      <c r="R16" s="73">
        <f t="shared" si="10"/>
        <v>11846.06</v>
      </c>
      <c r="S16" s="122">
        <v>0.18</v>
      </c>
      <c r="T16" s="73">
        <f t="shared" si="11"/>
        <v>2132.29</v>
      </c>
      <c r="U16" s="73">
        <f t="shared" si="12"/>
        <v>13978.35</v>
      </c>
      <c r="V16" s="73">
        <f t="shared" si="1"/>
        <v>1159084.782</v>
      </c>
      <c r="W16" s="73">
        <f>ROUND(F16*$S$23*$T$1,2)</f>
        <v>10.38</v>
      </c>
    </row>
    <row r="17" ht="15.25" spans="1:23">
      <c r="A17" s="73">
        <v>15</v>
      </c>
      <c r="B17" s="73" t="s">
        <v>85</v>
      </c>
      <c r="C17" s="73" t="s">
        <v>163</v>
      </c>
      <c r="D17" s="73" t="s">
        <v>185</v>
      </c>
      <c r="E17" s="73">
        <v>85</v>
      </c>
      <c r="F17" s="73">
        <v>65.48</v>
      </c>
      <c r="G17" s="73">
        <f t="shared" si="2"/>
        <v>5565.8</v>
      </c>
      <c r="H17" s="122">
        <v>0.01</v>
      </c>
      <c r="I17" s="122">
        <v>0.02</v>
      </c>
      <c r="J17" s="84">
        <v>0.025</v>
      </c>
      <c r="K17" s="73">
        <f t="shared" si="3"/>
        <v>5565.8</v>
      </c>
      <c r="L17" s="73">
        <f t="shared" si="4"/>
        <v>55.66</v>
      </c>
      <c r="M17" s="73">
        <f t="shared" si="5"/>
        <v>5510.14</v>
      </c>
      <c r="N17" s="73">
        <f t="shared" si="6"/>
        <v>110.2</v>
      </c>
      <c r="O17" s="73">
        <f t="shared" si="7"/>
        <v>5399.94</v>
      </c>
      <c r="P17" s="73">
        <f t="shared" si="8"/>
        <v>135</v>
      </c>
      <c r="Q17" s="73">
        <f t="shared" si="9"/>
        <v>300.86</v>
      </c>
      <c r="R17" s="73">
        <f t="shared" si="10"/>
        <v>5264.94</v>
      </c>
      <c r="S17" s="122">
        <v>0.18</v>
      </c>
      <c r="T17" s="73">
        <f t="shared" si="11"/>
        <v>947.69</v>
      </c>
      <c r="U17" s="73">
        <f t="shared" si="12"/>
        <v>6212.63</v>
      </c>
      <c r="V17" s="73">
        <f t="shared" si="1"/>
        <v>515151.2796</v>
      </c>
      <c r="W17" s="73">
        <f>ROUND(F17*$S$23*$T$1,2)</f>
        <v>5.43</v>
      </c>
    </row>
    <row r="18" ht="15.25" spans="1:23">
      <c r="A18" s="71"/>
      <c r="B18" s="130" t="s">
        <v>87</v>
      </c>
      <c r="C18" s="130"/>
      <c r="D18" s="130"/>
      <c r="E18" s="130"/>
      <c r="F18" s="130"/>
      <c r="G18" s="76">
        <f>SUM(G3:G17)</f>
        <v>71570.81</v>
      </c>
      <c r="H18" s="73"/>
      <c r="I18" s="73"/>
      <c r="J18" s="73"/>
      <c r="K18" s="73"/>
      <c r="L18" s="73"/>
      <c r="M18" s="73"/>
      <c r="N18" s="73"/>
      <c r="O18" s="73"/>
      <c r="P18" s="73"/>
      <c r="Q18" s="76">
        <f>SUM(Q3:Q17)</f>
        <v>3868.82</v>
      </c>
      <c r="R18" s="76">
        <f>SUM(R3:R17)</f>
        <v>67701.99</v>
      </c>
      <c r="S18" s="76"/>
      <c r="T18" s="76">
        <f>SUM(T3:T17)</f>
        <v>12186.37</v>
      </c>
      <c r="U18" s="85">
        <f t="shared" ref="U18:W18" si="13">SUM(U3:U17)</f>
        <v>79888.36</v>
      </c>
      <c r="V18" s="85">
        <f t="shared" si="13"/>
        <v>6624342.8112</v>
      </c>
      <c r="W18" s="85">
        <f t="shared" si="13"/>
        <v>199005.74</v>
      </c>
    </row>
    <row r="19" ht="15.25" spans="1:23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</row>
    <row r="20" ht="15.25" spans="1:23">
      <c r="A20" s="71"/>
      <c r="B20" s="71"/>
      <c r="C20" s="71"/>
      <c r="D20" s="71"/>
      <c r="E20" s="71"/>
      <c r="F20" s="131" t="s">
        <v>206</v>
      </c>
      <c r="G20" s="131"/>
      <c r="H20" s="131"/>
      <c r="I20" s="131"/>
      <c r="J20" s="71"/>
      <c r="K20" s="131" t="s">
        <v>207</v>
      </c>
      <c r="L20" s="131"/>
      <c r="M20" s="131"/>
      <c r="N20" s="131"/>
      <c r="O20" s="71"/>
      <c r="P20" s="71"/>
      <c r="Q20" s="110" t="s">
        <v>195</v>
      </c>
      <c r="R20" s="111"/>
      <c r="S20" s="111"/>
      <c r="T20" s="112"/>
      <c r="U20" s="71"/>
      <c r="V20" s="71"/>
      <c r="W20" s="71"/>
    </row>
    <row r="21" ht="15.25" spans="1:23">
      <c r="A21" s="71"/>
      <c r="B21" s="71"/>
      <c r="C21" s="71"/>
      <c r="D21" s="71"/>
      <c r="E21" s="71"/>
      <c r="F21" s="104" t="s">
        <v>194</v>
      </c>
      <c r="G21" s="105"/>
      <c r="H21" s="132">
        <f>G18</f>
        <v>71570.81</v>
      </c>
      <c r="I21" s="132"/>
      <c r="J21" s="109"/>
      <c r="K21" s="104" t="s">
        <v>194</v>
      </c>
      <c r="L21" s="105"/>
      <c r="M21" s="132">
        <f>H21*$T$1</f>
        <v>5934651.5652</v>
      </c>
      <c r="N21" s="132"/>
      <c r="O21" s="71"/>
      <c r="P21" s="71"/>
      <c r="Q21" s="113">
        <v>1</v>
      </c>
      <c r="R21" s="113" t="s">
        <v>58</v>
      </c>
      <c r="S21" s="113">
        <v>2</v>
      </c>
      <c r="T21" s="113" t="s">
        <v>163</v>
      </c>
      <c r="U21" s="71"/>
      <c r="V21" s="79"/>
      <c r="W21" s="71"/>
    </row>
    <row r="22" ht="15.25" spans="1:23">
      <c r="A22" s="71"/>
      <c r="B22" s="71"/>
      <c r="C22" s="71"/>
      <c r="D22" s="71"/>
      <c r="E22" s="71"/>
      <c r="F22" s="104" t="s">
        <v>196</v>
      </c>
      <c r="G22" s="105"/>
      <c r="H22" s="132">
        <f>Q18</f>
        <v>3868.82</v>
      </c>
      <c r="I22" s="132"/>
      <c r="J22" s="71"/>
      <c r="K22" s="104" t="s">
        <v>196</v>
      </c>
      <c r="L22" s="105"/>
      <c r="M22" s="132">
        <f t="shared" ref="M22:M25" si="14">H22*$T$1</f>
        <v>320802.5544</v>
      </c>
      <c r="N22" s="132"/>
      <c r="O22" s="71"/>
      <c r="P22" s="71"/>
      <c r="Q22" s="73">
        <v>1</v>
      </c>
      <c r="R22" s="73" t="s">
        <v>58</v>
      </c>
      <c r="S22" s="73">
        <v>2.5</v>
      </c>
      <c r="T22" s="73" t="s">
        <v>176</v>
      </c>
      <c r="U22" s="71"/>
      <c r="V22" s="79"/>
      <c r="W22" s="71"/>
    </row>
    <row r="23" ht="15.25" spans="1:23">
      <c r="A23" s="71"/>
      <c r="B23" s="71"/>
      <c r="C23" s="71"/>
      <c r="D23" s="71"/>
      <c r="E23" s="71"/>
      <c r="F23" s="104" t="s">
        <v>197</v>
      </c>
      <c r="G23" s="105"/>
      <c r="H23" s="132">
        <f>R18</f>
        <v>67701.99</v>
      </c>
      <c r="I23" s="132"/>
      <c r="J23" s="71"/>
      <c r="K23" s="104" t="s">
        <v>197</v>
      </c>
      <c r="L23" s="105"/>
      <c r="M23" s="132">
        <f t="shared" si="14"/>
        <v>5613849.0108</v>
      </c>
      <c r="N23" s="132"/>
      <c r="O23" s="71"/>
      <c r="P23" s="71"/>
      <c r="Q23" s="73">
        <v>1</v>
      </c>
      <c r="R23" s="73" t="s">
        <v>163</v>
      </c>
      <c r="S23" s="73">
        <v>0.001</v>
      </c>
      <c r="T23" s="73" t="s">
        <v>185</v>
      </c>
      <c r="U23" s="71"/>
      <c r="V23" s="79"/>
      <c r="W23" s="71"/>
    </row>
    <row r="24" ht="15.25" spans="1:23">
      <c r="A24" s="71"/>
      <c r="B24" s="71"/>
      <c r="C24" s="71"/>
      <c r="D24" s="71"/>
      <c r="E24" s="71"/>
      <c r="F24" s="104" t="s">
        <v>198</v>
      </c>
      <c r="G24" s="105"/>
      <c r="H24" s="132">
        <f>T18</f>
        <v>12186.37</v>
      </c>
      <c r="I24" s="132"/>
      <c r="J24" s="71"/>
      <c r="K24" s="104" t="s">
        <v>198</v>
      </c>
      <c r="L24" s="105"/>
      <c r="M24" s="132">
        <f t="shared" si="14"/>
        <v>1010493.8004</v>
      </c>
      <c r="N24" s="132"/>
      <c r="O24" s="71"/>
      <c r="P24" s="71"/>
      <c r="Q24" s="71"/>
      <c r="R24" s="71"/>
      <c r="S24" s="71"/>
      <c r="T24" s="71"/>
      <c r="U24" s="71"/>
      <c r="V24" s="79"/>
      <c r="W24" s="71"/>
    </row>
    <row r="25" ht="15.25" spans="1:23">
      <c r="A25" s="71"/>
      <c r="B25" s="71"/>
      <c r="C25" s="71"/>
      <c r="D25" s="71"/>
      <c r="E25" s="71"/>
      <c r="F25" s="104" t="s">
        <v>199</v>
      </c>
      <c r="G25" s="105"/>
      <c r="H25" s="133">
        <f>H23+H24</f>
        <v>79888.36</v>
      </c>
      <c r="I25" s="133"/>
      <c r="J25" s="71"/>
      <c r="K25" s="104" t="s">
        <v>199</v>
      </c>
      <c r="L25" s="105"/>
      <c r="M25" s="133">
        <f t="shared" si="14"/>
        <v>6624342.8112</v>
      </c>
      <c r="N25" s="133"/>
      <c r="O25" s="71"/>
      <c r="P25" s="71"/>
      <c r="Q25" s="71"/>
      <c r="R25" s="71"/>
      <c r="S25" s="71"/>
      <c r="T25" s="71"/>
      <c r="U25" s="71"/>
      <c r="V25" s="79"/>
      <c r="W25" s="71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B23" sqref="B23"/>
    </sheetView>
  </sheetViews>
  <sheetFormatPr defaultColWidth="9" defaultRowHeight="14.5"/>
  <cols>
    <col min="2" max="2" width="26.8545454545455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221</v>
      </c>
      <c r="C23" s="73" t="s">
        <v>57</v>
      </c>
      <c r="D23" s="73" t="s">
        <v>58</v>
      </c>
      <c r="E23" s="73" t="s">
        <v>58</v>
      </c>
      <c r="F23" s="74">
        <v>2</v>
      </c>
      <c r="G23" s="74">
        <v>250.25</v>
      </c>
      <c r="H23" s="74">
        <f>F23*G23</f>
        <v>500.5</v>
      </c>
      <c r="I23" s="74">
        <v>2.21</v>
      </c>
      <c r="J23" s="74">
        <v>1.79</v>
      </c>
      <c r="K23" s="74">
        <v>2.5</v>
      </c>
      <c r="L23" s="74">
        <f>H23</f>
        <v>500.5</v>
      </c>
      <c r="M23" s="74">
        <f>ROUND(L23*I23%,2)</f>
        <v>11.06</v>
      </c>
      <c r="N23" s="74">
        <f>H23-M23</f>
        <v>489.44</v>
      </c>
      <c r="O23" s="74">
        <f>ROUND(N23*J23%,2)</f>
        <v>8.76</v>
      </c>
      <c r="P23" s="74">
        <f>ROUND(N23-O23,2)</f>
        <v>480.68</v>
      </c>
      <c r="Q23" s="74">
        <f>ROUND(P23*K23%,2)</f>
        <v>12.02</v>
      </c>
      <c r="R23" s="74">
        <f>M23+O23+Q23</f>
        <v>31.84</v>
      </c>
      <c r="S23" s="74">
        <f>(H23-R23)</f>
        <v>468.66</v>
      </c>
      <c r="T23" s="74" t="s">
        <v>146</v>
      </c>
      <c r="U23" s="74">
        <v>0.18</v>
      </c>
      <c r="V23" s="74">
        <f>IF(OR($C$21=1,$C$21=4),ROUND(((S23*U23)/2),2),0)</f>
        <v>42.18</v>
      </c>
      <c r="W23" s="74">
        <f>IF($C$21=1,ROUND(((S23*U23)/2),2),0)</f>
        <v>42.18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IF($C21=3,0,S23*Z23)</f>
        <v>0</v>
      </c>
      <c r="AB23" s="74">
        <f>V23+W23+X23+Y23+AA23</f>
        <v>84.36</v>
      </c>
      <c r="AC23" s="74">
        <f>IF($V21=1,S23+AB23,S23)</f>
        <v>553.02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468.66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234.33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234.33</v>
      </c>
      <c r="AS23" s="88" t="s">
        <v>222</v>
      </c>
      <c r="AT23" s="88" t="s">
        <v>58</v>
      </c>
      <c r="AU23" t="s">
        <v>223</v>
      </c>
      <c r="AV23" t="s">
        <v>224</v>
      </c>
      <c r="AW23" s="88">
        <f>AM23</f>
        <v>2</v>
      </c>
      <c r="AX23" s="88">
        <f>AR23</f>
        <v>234.33</v>
      </c>
      <c r="AY23" s="88">
        <f>AU23+AW23</f>
        <v>4</v>
      </c>
      <c r="AZ23" s="88">
        <f>ROUND(((AU23*AV23)+(AW23*AX23))/(AU23+AW23),5)</f>
        <v>234.33</v>
      </c>
      <c r="BA23" s="90"/>
      <c r="BB23" s="90" t="s">
        <v>149</v>
      </c>
      <c r="BC23" s="91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</v>
      </c>
      <c r="BM23" t="s">
        <v>225</v>
      </c>
      <c r="BN23" t="s">
        <v>226</v>
      </c>
      <c r="BO23" s="88">
        <f>ROUND((((AW23*AZ23)+(BN23*BM23))/(AW23+BN23)),5)</f>
        <v>3577.438</v>
      </c>
      <c r="BP23" s="92">
        <f>BN23+AW23</f>
        <v>12</v>
      </c>
      <c r="BQ23" s="93">
        <v>88363222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500.5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31.84</v>
      </c>
      <c r="S24" s="82">
        <f>SUM(S23:S23)</f>
        <v>468.66</v>
      </c>
      <c r="T24" s="76"/>
      <c r="U24" s="76"/>
      <c r="V24" s="83">
        <f t="shared" ref="V24:AE24" si="5">SUM(V23:V23)</f>
        <v>42.18</v>
      </c>
      <c r="W24" s="83">
        <f t="shared" si="5"/>
        <v>42.18</v>
      </c>
      <c r="X24" s="83">
        <f t="shared" si="5"/>
        <v>0</v>
      </c>
      <c r="Y24" s="83"/>
      <c r="Z24" s="83"/>
      <c r="AA24" s="83"/>
      <c r="AB24" s="76">
        <f t="shared" si="5"/>
        <v>84.36</v>
      </c>
      <c r="AC24" s="85">
        <f t="shared" si="5"/>
        <v>553.02</v>
      </c>
      <c r="AD24" s="86">
        <f t="shared" si="5"/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468.66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D22" sqref="D22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50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28</v>
      </c>
      <c r="C23" s="73" t="s">
        <v>57</v>
      </c>
      <c r="D23" s="73" t="s">
        <v>58</v>
      </c>
      <c r="E23" s="73" t="s">
        <v>58</v>
      </c>
      <c r="F23" s="74">
        <v>2</v>
      </c>
      <c r="G23" s="74">
        <v>250.25</v>
      </c>
      <c r="H23" s="74">
        <f>F23*G23</f>
        <v>500.5</v>
      </c>
      <c r="I23" s="74">
        <v>2.21</v>
      </c>
      <c r="J23" s="74">
        <v>1.79</v>
      </c>
      <c r="K23" s="74">
        <v>2.5</v>
      </c>
      <c r="L23" s="74">
        <f>H23</f>
        <v>500.5</v>
      </c>
      <c r="M23" s="74">
        <f>ROUND(L23*I23%,2)</f>
        <v>11.06</v>
      </c>
      <c r="N23" s="74">
        <f>H23-M23</f>
        <v>489.44</v>
      </c>
      <c r="O23" s="74">
        <f>ROUND(N23*J23%,2)</f>
        <v>8.76</v>
      </c>
      <c r="P23" s="74">
        <f>ROUND(N23-O23,2)</f>
        <v>480.68</v>
      </c>
      <c r="Q23" s="74">
        <f>ROUND(P23*K23%,2)</f>
        <v>12.02</v>
      </c>
      <c r="R23" s="74">
        <f>M23+O23+Q23</f>
        <v>31.84</v>
      </c>
      <c r="S23" s="74">
        <f>(H23-R23)</f>
        <v>468.66</v>
      </c>
      <c r="T23" s="74" t="s">
        <v>146</v>
      </c>
      <c r="U23" s="74">
        <v>0.18</v>
      </c>
      <c r="V23" s="74">
        <f>IF(OR($C$21=1,$C$21=4),ROUND(((S23*U23)/2),2),0)</f>
        <v>42.18</v>
      </c>
      <c r="W23" s="74">
        <f>IF($C$21=1,ROUND(((S23*U23)/2),2),0)</f>
        <v>42.18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IF($C21=3,0,S23*Z23)</f>
        <v>0</v>
      </c>
      <c r="AB23" s="74">
        <f>V23+W23+X23+Y23+AA23</f>
        <v>84.36</v>
      </c>
      <c r="AC23" s="74">
        <f>IF($V21=1,S23+AB23,S23)</f>
        <v>553.02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23433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11716.5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11716.5</v>
      </c>
      <c r="AS23" s="88" t="s">
        <v>222</v>
      </c>
      <c r="AT23" s="88" t="s">
        <v>58</v>
      </c>
      <c r="AU23" t="s">
        <v>223</v>
      </c>
      <c r="AV23" t="s">
        <v>224</v>
      </c>
      <c r="AW23" s="88">
        <f>AM23</f>
        <v>2</v>
      </c>
      <c r="AX23" s="88">
        <f>AR23</f>
        <v>11716.5</v>
      </c>
      <c r="AY23" s="88">
        <f>AU23+AW23</f>
        <v>4</v>
      </c>
      <c r="AZ23" s="88">
        <f>ROUND(((AU23*AV23)+(AW23*AX23))/(AU23+AW23),5)</f>
        <v>5975.415</v>
      </c>
      <c r="BA23" s="90"/>
      <c r="BB23" s="90" t="s">
        <v>149</v>
      </c>
      <c r="BC23" s="91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</v>
      </c>
      <c r="BM23" t="s">
        <v>225</v>
      </c>
      <c r="BN23" t="s">
        <v>226</v>
      </c>
      <c r="BO23" s="88">
        <f>ROUND((((AW23*AZ23)+(BN23*BM23))/(AW23+BN23)),5)</f>
        <v>4534.2855</v>
      </c>
      <c r="BP23" s="92">
        <f>BN23+AW23</f>
        <v>12</v>
      </c>
      <c r="BQ23" s="93">
        <v>123562</v>
      </c>
      <c r="BR23" s="92"/>
    </row>
    <row r="24" ht="15.25" spans="1:70">
      <c r="A24" s="73">
        <v>2</v>
      </c>
      <c r="B24" s="73" t="s">
        <v>37</v>
      </c>
      <c r="C24" s="73" t="s">
        <v>57</v>
      </c>
      <c r="D24" s="73" t="s">
        <v>58</v>
      </c>
      <c r="E24" s="73" t="s">
        <v>58</v>
      </c>
      <c r="F24" s="74">
        <v>2</v>
      </c>
      <c r="G24" s="74">
        <v>250.25</v>
      </c>
      <c r="H24" s="74">
        <f>F24*G24</f>
        <v>500.5</v>
      </c>
      <c r="I24" s="74">
        <v>2.21</v>
      </c>
      <c r="J24" s="74">
        <v>1.79</v>
      </c>
      <c r="K24" s="74">
        <v>2.5</v>
      </c>
      <c r="L24" s="74">
        <f>H24</f>
        <v>500.5</v>
      </c>
      <c r="M24" s="74">
        <f>ROUND(L24*I24%,2)</f>
        <v>11.06</v>
      </c>
      <c r="N24" s="74">
        <f>H24-M24</f>
        <v>489.44</v>
      </c>
      <c r="O24" s="74">
        <f>ROUND(N24*J24%,2)</f>
        <v>8.76</v>
      </c>
      <c r="P24" s="74">
        <f>ROUND(N24-O24,2)</f>
        <v>480.68</v>
      </c>
      <c r="Q24" s="74">
        <f>ROUND(P24*K24%,2)</f>
        <v>12.02</v>
      </c>
      <c r="R24" s="74">
        <f>M24+O24+Q24</f>
        <v>31.84</v>
      </c>
      <c r="S24" s="74">
        <f>(H24-R24)</f>
        <v>468.66</v>
      </c>
      <c r="T24" s="74" t="s">
        <v>146</v>
      </c>
      <c r="U24" s="74">
        <v>0.18</v>
      </c>
      <c r="V24" s="74">
        <f>IF(OR($C$21=1,$C$21=4),ROUND(((S24*U24)/2),2),0)</f>
        <v>42.18</v>
      </c>
      <c r="W24" s="74">
        <f>IF($C$21=1,ROUND(((S24*U24)/2),2),0)</f>
        <v>42.18</v>
      </c>
      <c r="X24" s="74">
        <f>IF($C$21=2,ROUND(((S24*U24)),2),0)</f>
        <v>0</v>
      </c>
      <c r="Y24" s="74">
        <f>IF($C$21=4,ROUND(((S24*U24)/2),2),0)</f>
        <v>0</v>
      </c>
      <c r="Z24" s="84">
        <v>0</v>
      </c>
      <c r="AA24" s="74">
        <f>IF($C22=3,0,S24*Z24)</f>
        <v>0</v>
      </c>
      <c r="AB24" s="74">
        <f>V24+W24+X24+Y24+AA24</f>
        <v>84.36</v>
      </c>
      <c r="AC24" s="74">
        <f>IF($V22=1,S24+AB24,S24)</f>
        <v>468.66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23433</v>
      </c>
      <c r="AJ24" s="74">
        <f t="shared" ref="AJ24" si="5">IF($C$21=3,0,AG24+AH24)</f>
        <v>0</v>
      </c>
      <c r="AK24" s="74">
        <f t="shared" ref="AK24" si="6">IF($C$21=3,AE24+AG24+AH24,0)</f>
        <v>0</v>
      </c>
      <c r="AL24" s="74">
        <v>1</v>
      </c>
      <c r="AM24" s="74">
        <f t="shared" ref="AM24" si="7">F24/AL24</f>
        <v>2</v>
      </c>
      <c r="AN24" s="74">
        <f>AI24/AM24</f>
        <v>11716.5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11716.5</v>
      </c>
      <c r="AS24" s="88" t="s">
        <v>222</v>
      </c>
      <c r="AT24" s="88" t="s">
        <v>58</v>
      </c>
      <c r="AU24" t="s">
        <v>223</v>
      </c>
      <c r="AV24" t="s">
        <v>224</v>
      </c>
      <c r="AW24" s="88">
        <f>AM24</f>
        <v>2</v>
      </c>
      <c r="AX24" s="88">
        <f>AR24</f>
        <v>11716.5</v>
      </c>
      <c r="AY24" s="88">
        <f>AU24+AW24</f>
        <v>4</v>
      </c>
      <c r="AZ24" s="88">
        <f>ROUND(((AU24*AV24)+(AW24*AX24))/(AU24+AW24),5)</f>
        <v>5975.415</v>
      </c>
      <c r="BA24" s="90"/>
      <c r="BB24" s="90" t="s">
        <v>149</v>
      </c>
      <c r="BC24" s="91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31</v>
      </c>
      <c r="BM24" t="s">
        <v>225</v>
      </c>
      <c r="BN24" t="s">
        <v>226</v>
      </c>
      <c r="BO24" s="88">
        <f>ROUND((((AW24*AZ24)+(BN24*BM24))/(AW24+BN24)),5)</f>
        <v>4534.2855</v>
      </c>
      <c r="BP24" s="92">
        <f>BN24+AW24</f>
        <v>12</v>
      </c>
      <c r="BQ24" s="93">
        <v>123562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SUM(H23:H23)</f>
        <v>500.5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SUM(R23:R23)</f>
        <v>31.84</v>
      </c>
      <c r="S25" s="82">
        <f>SUM(S23:S23)</f>
        <v>468.66</v>
      </c>
      <c r="T25" s="76"/>
      <c r="U25" s="76"/>
      <c r="V25" s="83">
        <f t="shared" ref="V25:AE25" si="8">SUM(V23:V23)</f>
        <v>42.18</v>
      </c>
      <c r="W25" s="83">
        <f t="shared" si="8"/>
        <v>42.18</v>
      </c>
      <c r="X25" s="83">
        <f t="shared" si="8"/>
        <v>0</v>
      </c>
      <c r="Y25" s="83"/>
      <c r="Z25" s="83"/>
      <c r="AA25" s="83"/>
      <c r="AB25" s="76">
        <f t="shared" si="8"/>
        <v>84.36</v>
      </c>
      <c r="AC25" s="85">
        <f t="shared" si="8"/>
        <v>553.02</v>
      </c>
      <c r="AD25" s="86">
        <f t="shared" si="8"/>
        <v>120</v>
      </c>
      <c r="AE25" s="86">
        <f t="shared" si="8"/>
        <v>0</v>
      </c>
      <c r="AF25" s="85"/>
      <c r="AG25" s="86">
        <f>SUM(AG23:AG23)</f>
        <v>0</v>
      </c>
      <c r="AH25" s="86">
        <f>SUM(AH23:AH23)</f>
        <v>0</v>
      </c>
      <c r="AI25" s="86">
        <f>SUM(AI23:AI23)</f>
        <v>23433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E10" workbookViewId="0">
      <selection activeCell="K23" sqref="K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50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227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228</v>
      </c>
      <c r="H23" s="74">
        <f>F23*G23</f>
        <v>800</v>
      </c>
      <c r="I23" t="s">
        <v>223</v>
      </c>
      <c r="J23" s="74">
        <v>1.79</v>
      </c>
      <c r="K23" s="74">
        <v>2</v>
      </c>
      <c r="L23" s="74">
        <f>H23</f>
        <v>800</v>
      </c>
      <c r="M23" s="74">
        <f>ROUND(L23*I23%,2)</f>
        <v>16</v>
      </c>
      <c r="N23" s="74">
        <f>H23-M23</f>
        <v>784</v>
      </c>
      <c r="O23" s="74">
        <f>ROUND(N23*J23%,2)</f>
        <v>14.03</v>
      </c>
      <c r="P23" s="74">
        <f>ROUND(N23-O23,2)</f>
        <v>769.97</v>
      </c>
      <c r="Q23" s="74">
        <f>ROUND(P23*K23%,2)</f>
        <v>15.4</v>
      </c>
      <c r="R23" s="74">
        <f>M23+O23+Q23</f>
        <v>45.43</v>
      </c>
      <c r="S23" s="74">
        <f>(H23-R23)</f>
        <v>754.57</v>
      </c>
      <c r="T23" s="74" t="s">
        <v>146</v>
      </c>
      <c r="U23" s="74">
        <v>0.18</v>
      </c>
      <c r="V23" s="74">
        <f>IF(OR($C$21=1,$C$21=4),ROUND(((S23*U23)/2),2),0)</f>
        <v>67.91</v>
      </c>
      <c r="W23" s="74">
        <f>IF($C$21=1,ROUND(((S23*U23)/2),2),0)</f>
        <v>67.91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IF($C21=3,0,S23*Z23)</f>
        <v>0</v>
      </c>
      <c r="AB23" s="74">
        <f>V23+W23+X23+Y23+AA23</f>
        <v>135.82</v>
      </c>
      <c r="AC23" s="74">
        <f>IF($V21=1,S23+AB23,S23)</f>
        <v>890.39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37728.5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18864.25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18864.25</v>
      </c>
      <c r="AS23" s="88" t="s">
        <v>229</v>
      </c>
      <c r="AT23" s="88" t="s">
        <v>58</v>
      </c>
      <c r="AU23" t="s">
        <v>223</v>
      </c>
      <c r="AV23" t="s">
        <v>224</v>
      </c>
      <c r="AW23" s="88">
        <f>AM23</f>
        <v>2</v>
      </c>
      <c r="AX23" s="88">
        <f>AR23</f>
        <v>18864.25</v>
      </c>
      <c r="AY23" s="88">
        <f>AU23+AW23</f>
        <v>4</v>
      </c>
      <c r="AZ23" s="88">
        <f>ROUND(((AU23*AV23)+(AW23*AX23))/(AU23+AW23),5)</f>
        <v>9549.29</v>
      </c>
      <c r="BA23" s="90"/>
      <c r="BB23" s="90" t="s">
        <v>149</v>
      </c>
      <c r="BC23" s="91" t="s">
        <v>29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230</v>
      </c>
      <c r="BM23" t="s">
        <v>225</v>
      </c>
      <c r="BN23" t="s">
        <v>226</v>
      </c>
      <c r="BO23" s="88">
        <f>ROUND((((AW23*AZ23)+(BN23*BM23))/(AW23+BN23)),5)</f>
        <v>5129.93133</v>
      </c>
      <c r="BP23" s="92">
        <f>BN23+AW23</f>
        <v>12</v>
      </c>
      <c r="BQ23" s="93">
        <v>88363222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800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45.43</v>
      </c>
      <c r="S24" s="82">
        <f>SUM(S23:S23)</f>
        <v>754.57</v>
      </c>
      <c r="T24" s="76"/>
      <c r="U24" s="76"/>
      <c r="V24" s="83">
        <f t="shared" ref="V24:AE24" si="5">SUM(V23:V23)</f>
        <v>67.91</v>
      </c>
      <c r="W24" s="83">
        <f t="shared" si="5"/>
        <v>67.91</v>
      </c>
      <c r="X24" s="83">
        <f t="shared" si="5"/>
        <v>0</v>
      </c>
      <c r="Y24" s="83"/>
      <c r="Z24" s="83"/>
      <c r="AA24" s="83"/>
      <c r="AB24" s="76">
        <f t="shared" si="5"/>
        <v>135.82</v>
      </c>
      <c r="AC24" s="85">
        <f t="shared" si="5"/>
        <v>890.39</v>
      </c>
      <c r="AD24" s="86">
        <f t="shared" si="5"/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37728.5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D13" workbookViewId="0">
      <selection activeCell="K23" sqref="K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231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232</v>
      </c>
      <c r="H23" s="74">
        <f>F23*G23</f>
        <v>500</v>
      </c>
      <c r="I23" t="s">
        <v>223</v>
      </c>
      <c r="J23" s="74">
        <v>2</v>
      </c>
      <c r="K23" s="74">
        <v>2</v>
      </c>
      <c r="L23" s="74">
        <f>H23</f>
        <v>500</v>
      </c>
      <c r="M23" s="74">
        <f>ROUND(L23*I23%,2)</f>
        <v>10</v>
      </c>
      <c r="N23" s="74">
        <f>H23-M23</f>
        <v>490</v>
      </c>
      <c r="O23" s="74">
        <f>ROUND(N23*J23%,2)</f>
        <v>9.8</v>
      </c>
      <c r="P23" s="74">
        <f>ROUND(N23-O23,2)</f>
        <v>480.2</v>
      </c>
      <c r="Q23" s="74">
        <f>ROUND(P23*K23%,2)</f>
        <v>9.6</v>
      </c>
      <c r="R23" s="74">
        <f>M23+O23+Q23</f>
        <v>29.4</v>
      </c>
      <c r="S23" s="74">
        <f>(H23-R23)</f>
        <v>470.6</v>
      </c>
      <c r="T23" s="74" t="s">
        <v>146</v>
      </c>
      <c r="U23" s="74">
        <v>0.18</v>
      </c>
      <c r="V23" s="74">
        <f>IF(OR($C$21=1,$C$21=4),ROUND(((S23*U23)/2),2),0)</f>
        <v>42.35</v>
      </c>
      <c r="W23" s="74">
        <f>IF($C$21=1,ROUND(((S23*U23)/2),2),0)</f>
        <v>42.35</v>
      </c>
      <c r="X23" s="74">
        <f>IF($C$21=2,ROUND(((S23*U23)),2),0)</f>
        <v>0</v>
      </c>
      <c r="Y23" s="74">
        <f>IF($C$21=4,ROUND(((S23*U23)/2),2),0)</f>
        <v>0</v>
      </c>
      <c r="Z23" s="74">
        <v>0</v>
      </c>
      <c r="AA23" s="74">
        <f>IF($C21=3,0,ROUND(S23*Z23,2))</f>
        <v>0</v>
      </c>
      <c r="AB23" s="74">
        <f>V23+W23+X23+Y23+AA23</f>
        <v>84.7</v>
      </c>
      <c r="AC23" s="74">
        <f>IF($V21=1,S23+AB23,S23)</f>
        <v>555.3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470.6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235.3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235.3</v>
      </c>
      <c r="AS23" s="88" t="s">
        <v>229</v>
      </c>
      <c r="AT23" s="88" t="s">
        <v>58</v>
      </c>
      <c r="AW23" s="88">
        <f>AM23</f>
        <v>2</v>
      </c>
      <c r="AX23" s="88">
        <f>AR23</f>
        <v>235.3</v>
      </c>
      <c r="AY23" s="88">
        <f>AU23+AW23</f>
        <v>2</v>
      </c>
      <c r="AZ23" s="88">
        <f>ROUND(((AU23*AV23)+(AW23*AX23))/(AU23+AW23),5)</f>
        <v>235.3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230</v>
      </c>
      <c r="BO23" s="88">
        <f>ROUND((((AW23*AZ23)+(BN23*BM23))/(AW23+BN23)),5)</f>
        <v>235.3</v>
      </c>
      <c r="BP23" s="92">
        <f>BN23+AW23</f>
        <v>2</v>
      </c>
      <c r="BQ23" s="93">
        <v>88363222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500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29.4</v>
      </c>
      <c r="S24" s="82">
        <f>SUM(S23:S23)</f>
        <v>470.6</v>
      </c>
      <c r="T24" s="76"/>
      <c r="U24" s="76"/>
      <c r="V24" s="83">
        <f>SUM(V23:V23)</f>
        <v>42.35</v>
      </c>
      <c r="W24" s="83">
        <f>SUM(W23:W23)</f>
        <v>42.35</v>
      </c>
      <c r="X24" s="83">
        <f>SUM(X23:X23)</f>
        <v>0</v>
      </c>
      <c r="Y24" s="83">
        <f>SUM(Y23:Y23)</f>
        <v>0</v>
      </c>
      <c r="Z24" s="83"/>
      <c r="AA24" s="83">
        <f>SUM(AA23:AA23)</f>
        <v>0</v>
      </c>
      <c r="AB24" s="76">
        <f>SUM(AB23:AB23)</f>
        <v>84.7</v>
      </c>
      <c r="AC24" s="85">
        <f>SUM(AC23:AC23)</f>
        <v>555.3</v>
      </c>
      <c r="AD24" s="86">
        <f t="shared" ref="AD24:AE24" si="5">SUM(AD23:AD23)</f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470.6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BK13" workbookViewId="0">
      <selection activeCell="BQ23" sqref="BQ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57" t="s">
        <v>87</v>
      </c>
      <c r="C19" s="58"/>
      <c r="D19" s="58"/>
      <c r="E19" s="58"/>
      <c r="F19" s="58"/>
      <c r="G19" s="59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233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234</v>
      </c>
      <c r="H23" s="74">
        <f>F23*G23</f>
        <v>400</v>
      </c>
      <c r="I23" t="s">
        <v>223</v>
      </c>
      <c r="J23" s="74">
        <v>2</v>
      </c>
      <c r="K23" s="74">
        <v>2</v>
      </c>
      <c r="L23" s="74">
        <f>H23</f>
        <v>400</v>
      </c>
      <c r="M23" s="74">
        <f>ROUND(L23*I23%,2)</f>
        <v>8</v>
      </c>
      <c r="N23" s="74">
        <f>H23-M23</f>
        <v>392</v>
      </c>
      <c r="O23" s="74">
        <f>ROUND(N23*J23%,2)</f>
        <v>7.84</v>
      </c>
      <c r="P23" s="74">
        <f>ROUND(N23-O23,2)</f>
        <v>384.16</v>
      </c>
      <c r="Q23" s="74">
        <f>ROUND(P23*K23%,2)</f>
        <v>7.68</v>
      </c>
      <c r="R23" s="74">
        <f>M23+O23+Q23</f>
        <v>23.52</v>
      </c>
      <c r="S23" s="74">
        <f>(H23-R23)</f>
        <v>376.48</v>
      </c>
      <c r="T23" s="74" t="s">
        <v>146</v>
      </c>
      <c r="U23" s="74">
        <v>0.18</v>
      </c>
      <c r="V23" s="74">
        <f>IF(OR($C$21=1,$C$21=4),ROUND(((S23*U23)/2),2),0)</f>
        <v>33.88</v>
      </c>
      <c r="W23" s="74">
        <f>IF($C$21=1,ROUND(((S23*U23)/2),2),0)</f>
        <v>33.88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IF($C21=3,0,S23*Z23)</f>
        <v>0</v>
      </c>
      <c r="AB23" s="74">
        <f>V23+W23+X23+Y23+AA23</f>
        <v>67.76</v>
      </c>
      <c r="AC23" s="74">
        <f>IF($V21=1,S23+AB23,S23)</f>
        <v>444.24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376.48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188.24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188.24</v>
      </c>
      <c r="AS23" s="88" t="s">
        <v>222</v>
      </c>
      <c r="AT23" s="88" t="s">
        <v>58</v>
      </c>
      <c r="AU23" t="s">
        <v>235</v>
      </c>
      <c r="AV23" t="s">
        <v>236</v>
      </c>
      <c r="AW23" s="88">
        <f>AM23</f>
        <v>2</v>
      </c>
      <c r="AX23" s="88">
        <f>AR23</f>
        <v>188.24</v>
      </c>
      <c r="AY23" s="88">
        <f>AU23+AW23</f>
        <v>14092</v>
      </c>
      <c r="AZ23" s="88">
        <f>ROUND(((AU23*AV23)+(AW23*AX23))/(AU23+AW23),5)</f>
        <v>121.1908</v>
      </c>
      <c r="BA23" s="90"/>
      <c r="BB23" s="90" t="s">
        <v>149</v>
      </c>
      <c r="BC23" s="91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230</v>
      </c>
      <c r="BM23" t="s">
        <v>237</v>
      </c>
      <c r="BN23" t="s">
        <v>238</v>
      </c>
      <c r="BO23" s="88">
        <f>ROUND((((AW23*AZ23)+(BN23*BM23))/(AW23+BN23)),5)</f>
        <v>146.93407</v>
      </c>
      <c r="BP23" s="92">
        <f>BN23+AW23</f>
        <v>689</v>
      </c>
      <c r="BQ23" s="93">
        <v>88363221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400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23.52</v>
      </c>
      <c r="S24" s="82">
        <f>SUM(S23:S23)</f>
        <v>376.48</v>
      </c>
      <c r="T24" s="76"/>
      <c r="U24" s="76"/>
      <c r="V24" s="83">
        <f t="shared" ref="V24:AE24" si="5">SUM(V23:V23)</f>
        <v>33.88</v>
      </c>
      <c r="W24" s="83">
        <f t="shared" si="5"/>
        <v>33.88</v>
      </c>
      <c r="X24" s="83">
        <f t="shared" si="5"/>
        <v>0</v>
      </c>
      <c r="Y24" s="83"/>
      <c r="Z24" s="83"/>
      <c r="AA24" s="83"/>
      <c r="AB24" s="76">
        <f t="shared" si="5"/>
        <v>67.76</v>
      </c>
      <c r="AC24" s="85">
        <f t="shared" si="5"/>
        <v>444.24</v>
      </c>
      <c r="AD24" s="86">
        <f t="shared" si="5"/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376.48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Q13" workbookViewId="0">
      <selection activeCell="AR23" sqref="AR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57" t="s">
        <v>87</v>
      </c>
      <c r="C19" s="58"/>
      <c r="D19" s="58"/>
      <c r="E19" s="58"/>
      <c r="F19" s="58"/>
      <c r="G19" s="59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239</v>
      </c>
      <c r="C23" s="73" t="s">
        <v>57</v>
      </c>
      <c r="D23" s="73" t="s">
        <v>58</v>
      </c>
      <c r="E23" s="73" t="s">
        <v>58</v>
      </c>
      <c r="F23" s="74">
        <v>2</v>
      </c>
      <c r="G23" s="74">
        <v>250.25</v>
      </c>
      <c r="H23" s="74">
        <f>F23*G23</f>
        <v>500.5</v>
      </c>
      <c r="I23" s="74">
        <v>2.21</v>
      </c>
      <c r="J23" s="74">
        <v>1.79</v>
      </c>
      <c r="K23" s="74">
        <v>2</v>
      </c>
      <c r="L23" s="74">
        <f>H23</f>
        <v>500.5</v>
      </c>
      <c r="M23" s="74">
        <f>ROUND(L23*I23%,2)</f>
        <v>11.06</v>
      </c>
      <c r="N23" s="74">
        <f>H23-M23</f>
        <v>489.44</v>
      </c>
      <c r="O23" s="74">
        <f>ROUND(N23*J23%,2)</f>
        <v>8.76</v>
      </c>
      <c r="P23" s="74">
        <f>ROUND(N23-O23,2)</f>
        <v>480.68</v>
      </c>
      <c r="Q23" s="74">
        <f>ROUND(P23*K23%,2)</f>
        <v>9.61</v>
      </c>
      <c r="R23" s="74">
        <f>M23+O23+Q23</f>
        <v>29.43</v>
      </c>
      <c r="S23" s="74">
        <f>(H23-R23)</f>
        <v>471.07</v>
      </c>
      <c r="T23" s="74" t="s">
        <v>146</v>
      </c>
      <c r="U23" s="74">
        <v>0.18</v>
      </c>
      <c r="V23" s="74">
        <f>IF(OR($C$21=1,$C$21=4),ROUND(((S23*U23)/2),2),0)</f>
        <v>42.4</v>
      </c>
      <c r="W23" s="74">
        <f>IF($C$21=1,ROUND(((S23*U23)/2),2),0)</f>
        <v>42.4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IF($C21=3,0,S23*Z23)</f>
        <v>0</v>
      </c>
      <c r="AB23" s="74">
        <f>V23+W23+X23+Y23+AA23</f>
        <v>84.8</v>
      </c>
      <c r="AC23" s="74">
        <f>IF($V21=1,S23+AB23,S23)</f>
        <v>555.87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471.07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235.535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235.535</v>
      </c>
      <c r="AS23" s="88" t="s">
        <v>229</v>
      </c>
      <c r="AT23" s="88" t="s">
        <v>58</v>
      </c>
      <c r="AU23" t="s">
        <v>240</v>
      </c>
      <c r="AV23" t="s">
        <v>241</v>
      </c>
      <c r="AW23" s="88">
        <f>AM23</f>
        <v>2</v>
      </c>
      <c r="AX23" s="88">
        <f>AR23</f>
        <v>235.535</v>
      </c>
      <c r="AY23" s="88">
        <f>AU23+AW23</f>
        <v>2</v>
      </c>
      <c r="AZ23" s="88">
        <f>ROUND(((AU23*AV23)+(AW23*AX23))/(AU23+AW23),5)</f>
        <v>235.535</v>
      </c>
      <c r="BA23" s="90"/>
      <c r="BB23" s="90" t="s">
        <v>149</v>
      </c>
      <c r="BC23" s="91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230</v>
      </c>
      <c r="BM23" t="s">
        <v>242</v>
      </c>
      <c r="BN23" t="s">
        <v>243</v>
      </c>
      <c r="BO23" s="88">
        <f>ROUND((((AW23*AZ23)+(BN23*BM23))/(AW23+BN23)),5)</f>
        <v>278.73038</v>
      </c>
      <c r="BP23" s="92">
        <f>BN23+AW23</f>
        <v>26</v>
      </c>
      <c r="BQ23" s="93">
        <v>88363222</v>
      </c>
      <c r="BR23" s="92"/>
    </row>
    <row r="24" ht="15.25" spans="1:70">
      <c r="A24" s="73">
        <v>2</v>
      </c>
      <c r="B24" s="73" t="s">
        <v>244</v>
      </c>
      <c r="C24" s="73" t="s">
        <v>57</v>
      </c>
      <c r="D24" s="73" t="s">
        <v>58</v>
      </c>
      <c r="E24" s="73" t="s">
        <v>58</v>
      </c>
      <c r="F24" s="74">
        <v>2</v>
      </c>
      <c r="G24" s="74">
        <v>250.25</v>
      </c>
      <c r="H24" s="74">
        <f>F24*G24</f>
        <v>500.5</v>
      </c>
      <c r="I24" s="74">
        <v>2.21</v>
      </c>
      <c r="J24" s="74">
        <v>1.79</v>
      </c>
      <c r="K24" s="74">
        <v>2</v>
      </c>
      <c r="L24" s="74">
        <f>H24</f>
        <v>500.5</v>
      </c>
      <c r="M24" s="74">
        <f>ROUND(L24*I24%,2)</f>
        <v>11.06</v>
      </c>
      <c r="N24" s="74">
        <f>H24-M24</f>
        <v>489.44</v>
      </c>
      <c r="O24" s="74">
        <f>ROUND(N24*J24%,2)</f>
        <v>8.76</v>
      </c>
      <c r="P24" s="74">
        <f>ROUND(N24-O24,2)</f>
        <v>480.68</v>
      </c>
      <c r="Q24" s="74">
        <f>ROUND(P24*K24%,2)</f>
        <v>9.61</v>
      </c>
      <c r="R24" s="74">
        <f>M24+O24+Q24</f>
        <v>29.43</v>
      </c>
      <c r="S24" s="74">
        <f>(H24-R24)</f>
        <v>471.07</v>
      </c>
      <c r="T24" s="74" t="s">
        <v>146</v>
      </c>
      <c r="U24" s="74">
        <v>0.18</v>
      </c>
      <c r="V24" s="74">
        <f>IF(OR($C$21=1,$C$21=4),ROUND(((S24*U24)/2),2),0)</f>
        <v>42.4</v>
      </c>
      <c r="W24" s="74">
        <f>IF($C$21=1,ROUND(((S24*U24)/2),2),0)</f>
        <v>42.4</v>
      </c>
      <c r="X24" s="74">
        <f>IF($C$21=2,ROUND(((S24*U24)),2),0)</f>
        <v>0</v>
      </c>
      <c r="Y24" s="74">
        <f>IF($C$21=4,ROUND(((S24*U24)/2),2),0)</f>
        <v>0</v>
      </c>
      <c r="Z24" s="84">
        <v>0</v>
      </c>
      <c r="AA24" s="74">
        <f>IF($C22=3,0,S24*Z24)</f>
        <v>0</v>
      </c>
      <c r="AB24" s="74">
        <f>V24+W24+X24+Y24+AA24</f>
        <v>84.8</v>
      </c>
      <c r="AC24" s="74">
        <f>IF($V22=1,S24+AB24,S24)</f>
        <v>471.07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471.07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235.535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235.535</v>
      </c>
      <c r="AS24" s="88" t="s">
        <v>229</v>
      </c>
      <c r="AT24" s="88" t="s">
        <v>58</v>
      </c>
      <c r="AU24" t="s">
        <v>240</v>
      </c>
      <c r="AV24" t="s">
        <v>245</v>
      </c>
      <c r="AW24" s="88">
        <f>AM24</f>
        <v>2</v>
      </c>
      <c r="AX24" s="88">
        <f>AR24</f>
        <v>235.535</v>
      </c>
      <c r="AY24" s="88">
        <f>AU24+AW24</f>
        <v>2</v>
      </c>
      <c r="AZ24" s="88">
        <f>ROUND(((AU24*AV24)+(AW24*AX24))/(AU24+AW24),5)</f>
        <v>235.535</v>
      </c>
      <c r="BA24" s="90"/>
      <c r="BB24" s="90" t="s">
        <v>149</v>
      </c>
      <c r="BC24" s="91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230</v>
      </c>
      <c r="BM24" t="s">
        <v>240</v>
      </c>
      <c r="BN24" t="s">
        <v>240</v>
      </c>
      <c r="BO24" s="88">
        <f>ROUND((((AW24*AZ24)+(BN24*BM24))/(AW24+BN24)),5)</f>
        <v>235.535</v>
      </c>
      <c r="BP24" s="92">
        <f>BN24+AW24</f>
        <v>2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SUM(H23:H23)</f>
        <v>500.5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SUM(R23:R23)</f>
        <v>29.43</v>
      </c>
      <c r="S25" s="82">
        <f>SUM(S23:S23)</f>
        <v>471.07</v>
      </c>
      <c r="T25" s="76"/>
      <c r="U25" s="76"/>
      <c r="V25" s="83">
        <f t="shared" ref="V25:AE25" si="5">SUM(V23:V23)</f>
        <v>42.4</v>
      </c>
      <c r="W25" s="83">
        <f t="shared" si="5"/>
        <v>42.4</v>
      </c>
      <c r="X25" s="83">
        <f t="shared" si="5"/>
        <v>0</v>
      </c>
      <c r="Y25" s="83"/>
      <c r="Z25" s="83"/>
      <c r="AA25" s="83"/>
      <c r="AB25" s="76">
        <f t="shared" si="5"/>
        <v>84.8</v>
      </c>
      <c r="AC25" s="85">
        <f t="shared" si="5"/>
        <v>555.87</v>
      </c>
      <c r="AD25" s="86">
        <f t="shared" si="5"/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SUM(AI23:AI23)</f>
        <v>471.07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9" workbookViewId="0">
      <selection activeCell="B23" sqref="B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246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234</v>
      </c>
      <c r="H23" s="74">
        <f>F23*G23</f>
        <v>400</v>
      </c>
      <c r="I23" t="s">
        <v>223</v>
      </c>
      <c r="J23" s="74">
        <v>1.79</v>
      </c>
      <c r="K23" s="74">
        <v>2.5</v>
      </c>
      <c r="L23" s="74">
        <f>H23</f>
        <v>400</v>
      </c>
      <c r="M23" s="74">
        <f>ROUND(L23*I23%,2)</f>
        <v>8</v>
      </c>
      <c r="N23" s="74">
        <f>H23-M23</f>
        <v>392</v>
      </c>
      <c r="O23" s="74">
        <f>ROUND(N23*J23%,2)</f>
        <v>7.02</v>
      </c>
      <c r="P23" s="74">
        <f>ROUND(N23-O23,2)</f>
        <v>384.98</v>
      </c>
      <c r="Q23" s="74">
        <f>ROUND(P23*K23%,2)</f>
        <v>9.62</v>
      </c>
      <c r="R23" s="74">
        <f>M23+O23+Q23</f>
        <v>24.64</v>
      </c>
      <c r="S23" s="74">
        <f>(H23-R23)</f>
        <v>375.36</v>
      </c>
      <c r="T23" s="74" t="s">
        <v>146</v>
      </c>
      <c r="U23" s="74">
        <v>0.18</v>
      </c>
      <c r="V23" s="74">
        <f>IF(OR($C$21=1,$C$21=4),ROUND(((S23*U23)/2),2),0)</f>
        <v>33.78</v>
      </c>
      <c r="W23" s="74">
        <f>IF($C$21=1,ROUND(((S23*U23)/2),2),0)</f>
        <v>33.78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IF($C21=3,0,S23*Z23)</f>
        <v>0</v>
      </c>
      <c r="AB23" s="74">
        <f>V23+W23+X23+Y23+AA23</f>
        <v>67.56</v>
      </c>
      <c r="AC23" s="74">
        <f>IF($V21=1,S23+AB23,S23)</f>
        <v>442.92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>S23*$M$21</f>
        <v>375.36</v>
      </c>
      <c r="AJ23" s="74">
        <f t="shared" ref="AJ23:AJ24" si="1">IF($C$21=3,0,AG23+AH23)</f>
        <v>0</v>
      </c>
      <c r="AK23" s="74">
        <f t="shared" ref="AK23:AK24" si="2">IF($C$21=3,AE23+AG23+AH23,0)</f>
        <v>0</v>
      </c>
      <c r="AL23" s="74">
        <v>1</v>
      </c>
      <c r="AM23" s="74">
        <f t="shared" ref="AM23:AM24" si="3">F23/AL23</f>
        <v>2</v>
      </c>
      <c r="AN23" s="74">
        <f>AI23/AM23</f>
        <v>187.68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187.68</v>
      </c>
      <c r="AS23" s="88" t="s">
        <v>229</v>
      </c>
      <c r="AT23" s="88" t="s">
        <v>58</v>
      </c>
      <c r="AU23" t="s">
        <v>240</v>
      </c>
      <c r="AV23" t="s">
        <v>247</v>
      </c>
      <c r="AW23" s="88">
        <f>AM23</f>
        <v>2</v>
      </c>
      <c r="AX23" s="88">
        <f>AR23</f>
        <v>187.68</v>
      </c>
      <c r="AY23" s="88">
        <f>AU23+AW23</f>
        <v>2</v>
      </c>
      <c r="AZ23" s="88">
        <f>ROUND(((AU23*AV23)+(AW23*AX23))/(AU23+AW23),5)</f>
        <v>187.68</v>
      </c>
      <c r="BA23" s="90"/>
      <c r="BB23" s="90" t="s">
        <v>149</v>
      </c>
      <c r="BC23" s="97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230</v>
      </c>
      <c r="BM23" t="s">
        <v>248</v>
      </c>
      <c r="BN23" t="s">
        <v>249</v>
      </c>
      <c r="BO23" s="88">
        <f>ROUND((((AW23*AZ23)+(BN23*BM23))/(AW23+BN23)),5)</f>
        <v>187.06066</v>
      </c>
      <c r="BP23" s="92">
        <f>BN23+AW23</f>
        <v>62</v>
      </c>
      <c r="BQ23" s="93">
        <v>88363222</v>
      </c>
      <c r="BR23" s="92"/>
    </row>
    <row r="24" ht="15.25" spans="1:70">
      <c r="A24" s="73">
        <v>2</v>
      </c>
      <c r="B24" s="73" t="s">
        <v>250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228</v>
      </c>
      <c r="H24" s="74">
        <f>F24*G24</f>
        <v>800</v>
      </c>
      <c r="I24" t="s">
        <v>223</v>
      </c>
      <c r="J24" s="74">
        <v>1.79</v>
      </c>
      <c r="K24" s="74">
        <v>2.5</v>
      </c>
      <c r="L24" s="74">
        <f>H24</f>
        <v>800</v>
      </c>
      <c r="M24" s="74">
        <f>ROUND(L24*I24%,2)</f>
        <v>16</v>
      </c>
      <c r="N24" s="74">
        <f>H24-M24</f>
        <v>784</v>
      </c>
      <c r="O24" s="74">
        <f>ROUND(N24*J24%,2)</f>
        <v>14.03</v>
      </c>
      <c r="P24" s="74">
        <f>ROUND(N24-O24,2)</f>
        <v>769.97</v>
      </c>
      <c r="Q24" s="74">
        <f>ROUND(P24*K24%,2)</f>
        <v>19.25</v>
      </c>
      <c r="R24" s="74">
        <f>M24+O24+Q24</f>
        <v>49.28</v>
      </c>
      <c r="S24" s="74">
        <f>(H24-R24)</f>
        <v>750.72</v>
      </c>
      <c r="T24" s="74" t="s">
        <v>146</v>
      </c>
      <c r="U24" s="74">
        <v>0.18</v>
      </c>
      <c r="V24" s="74">
        <f>IF(OR($C$21=1,$C$21=4),ROUND(((S24*U24)/2),2),0)</f>
        <v>67.56</v>
      </c>
      <c r="W24" s="74">
        <f>IF($C$21=1,ROUND(((S24*U24)/2),2),0)</f>
        <v>67.56</v>
      </c>
      <c r="X24" s="74">
        <f>IF($C$21=2,ROUND(((S24*U24)),2),0)</f>
        <v>0</v>
      </c>
      <c r="Y24" s="74">
        <f>IF($C$21=4,ROUND(((S24*U24)/2),2),0)</f>
        <v>0</v>
      </c>
      <c r="Z24" s="84">
        <v>0</v>
      </c>
      <c r="AA24" s="74">
        <f>IF($C22=3,0,S24*Z24)</f>
        <v>0</v>
      </c>
      <c r="AB24" s="74">
        <f>V24+W24+X24+Y24+AA24</f>
        <v>135.12</v>
      </c>
      <c r="AC24" s="74">
        <f>IF($V22=1,S24+AB24,S24)</f>
        <v>750.72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ref="AI24" si="4">S24*$M$21</f>
        <v>750.72</v>
      </c>
      <c r="AJ24" s="74">
        <f t="shared" si="1"/>
        <v>0</v>
      </c>
      <c r="AK24" s="74">
        <f t="shared" si="2"/>
        <v>0</v>
      </c>
      <c r="AL24" s="74">
        <v>1</v>
      </c>
      <c r="AM24" s="74">
        <f t="shared" si="3"/>
        <v>2</v>
      </c>
      <c r="AN24" s="74">
        <f>AI24/AM24</f>
        <v>375.36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375.36</v>
      </c>
      <c r="AS24" s="88" t="s">
        <v>229</v>
      </c>
      <c r="AT24" s="88" t="s">
        <v>58</v>
      </c>
      <c r="AU24" t="s">
        <v>240</v>
      </c>
      <c r="AV24" t="s">
        <v>251</v>
      </c>
      <c r="AW24" s="88">
        <f>AM24</f>
        <v>2</v>
      </c>
      <c r="AX24" s="88">
        <f>AR24</f>
        <v>375.36</v>
      </c>
      <c r="AY24" s="88">
        <f>AU24+AW24</f>
        <v>2</v>
      </c>
      <c r="AZ24" s="88">
        <f>ROUND(((AU24*AV24)+(AW24*AX24))/(AU24+AW24),5)</f>
        <v>375.36</v>
      </c>
      <c r="BA24" s="90"/>
      <c r="BB24" s="90" t="s">
        <v>149</v>
      </c>
      <c r="BC24" s="91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230</v>
      </c>
      <c r="BM24" t="s">
        <v>251</v>
      </c>
      <c r="BN24" t="s">
        <v>226</v>
      </c>
      <c r="BO24" s="88">
        <f>ROUND((((AW24*AZ24)+(BN24*BM24))/(AW24+BN24)),5)</f>
        <v>375.36</v>
      </c>
      <c r="BP24" s="92">
        <f>BN24+AW24</f>
        <v>12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SUM(H23:H23)</f>
        <v>400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SUM(R23:R23)</f>
        <v>24.64</v>
      </c>
      <c r="S25" s="82">
        <f>SUM(S23:S23)</f>
        <v>375.36</v>
      </c>
      <c r="T25" s="76"/>
      <c r="U25" s="76"/>
      <c r="V25" s="83">
        <f t="shared" ref="V25:AE25" si="5">SUM(V23:V23)</f>
        <v>33.78</v>
      </c>
      <c r="W25" s="83">
        <f t="shared" si="5"/>
        <v>33.78</v>
      </c>
      <c r="X25" s="83">
        <f t="shared" si="5"/>
        <v>0</v>
      </c>
      <c r="Y25" s="83"/>
      <c r="Z25" s="83"/>
      <c r="AA25" s="83"/>
      <c r="AB25" s="76">
        <f t="shared" si="5"/>
        <v>67.56</v>
      </c>
      <c r="AC25" s="85">
        <f t="shared" si="5"/>
        <v>442.92</v>
      </c>
      <c r="AD25" s="86">
        <f t="shared" si="5"/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SUM(AI23:AI23)</f>
        <v>375.36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4" workbookViewId="0">
      <selection activeCell="B23" sqref="B23"/>
    </sheetView>
  </sheetViews>
  <sheetFormatPr defaultColWidth="9" defaultRowHeight="14.5"/>
  <cols>
    <col min="2" max="2" width="31.5727272727273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252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253</v>
      </c>
      <c r="H23" s="74">
        <f>F23*G23</f>
        <v>910</v>
      </c>
      <c r="I23" t="s">
        <v>223</v>
      </c>
      <c r="J23" s="74">
        <v>1.79</v>
      </c>
      <c r="K23" s="74">
        <v>2.5</v>
      </c>
      <c r="L23" s="74">
        <f>H23</f>
        <v>910</v>
      </c>
      <c r="M23" s="74">
        <f>ROUND(L23*I23%,2)</f>
        <v>18.2</v>
      </c>
      <c r="N23" s="74">
        <f>H23-M23</f>
        <v>891.8</v>
      </c>
      <c r="O23" s="74">
        <f>ROUND(N23*J23%,2)</f>
        <v>15.96</v>
      </c>
      <c r="P23" s="74">
        <f>ROUND(N23-O23,2)</f>
        <v>875.84</v>
      </c>
      <c r="Q23" s="74">
        <f>ROUND(P23*K23%,2)</f>
        <v>21.9</v>
      </c>
      <c r="R23" s="74">
        <f>M23+O23+Q23</f>
        <v>56.06</v>
      </c>
      <c r="S23" s="74">
        <f>(H23-R23)</f>
        <v>853.94</v>
      </c>
      <c r="T23" s="74" t="s">
        <v>146</v>
      </c>
      <c r="U23" s="74">
        <v>0.18</v>
      </c>
      <c r="V23" s="74">
        <f>IF(OR($C$21=1,$C$21=4),ROUND(((S23*U23)/2),2),0)</f>
        <v>76.85</v>
      </c>
      <c r="W23" s="74">
        <f>IF($C$21=1,ROUND(((S23*U23)/2),2),0)</f>
        <v>76.85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IF($C21=3,0,S23*Z23)</f>
        <v>0</v>
      </c>
      <c r="AB23" s="74">
        <f>V23+W23+X23+Y23+AA23</f>
        <v>153.7</v>
      </c>
      <c r="AC23" s="74">
        <f>IF($V21=1,S23+AB23,S23)</f>
        <v>1007.64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853.94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426.97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426.97</v>
      </c>
      <c r="AS23" s="88" t="s">
        <v>229</v>
      </c>
      <c r="AT23" s="88" t="s">
        <v>58</v>
      </c>
      <c r="AU23" t="s">
        <v>223</v>
      </c>
      <c r="AV23" t="s">
        <v>254</v>
      </c>
      <c r="AW23" s="88">
        <f>AM23</f>
        <v>2</v>
      </c>
      <c r="AX23" s="88">
        <f>AR23</f>
        <v>426.97</v>
      </c>
      <c r="AY23" s="88">
        <f>AU23+AW23</f>
        <v>4</v>
      </c>
      <c r="AZ23" s="88">
        <f>ROUND(((AU23*AV23)+(AW23*AX23))/(AU23+AW23),5)</f>
        <v>426.97</v>
      </c>
      <c r="BA23" s="90"/>
      <c r="BB23" s="90" t="s">
        <v>149</v>
      </c>
      <c r="BC23" s="97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99" t="s">
        <v>230</v>
      </c>
      <c r="BM23" t="s">
        <v>254</v>
      </c>
      <c r="BN23" t="s">
        <v>223</v>
      </c>
      <c r="BO23" s="88">
        <f>ROUND((((AW23*AZ23)+(BN23*BM23))/(AW23+BN23)),5)</f>
        <v>426.97</v>
      </c>
      <c r="BP23" s="92">
        <f>BN23+AW23</f>
        <v>4</v>
      </c>
      <c r="BQ23" s="93">
        <v>88363222</v>
      </c>
      <c r="BR23" s="92"/>
    </row>
    <row r="24" ht="15.25" spans="1:70">
      <c r="A24" s="73">
        <v>2</v>
      </c>
      <c r="B24" s="73" t="s">
        <v>255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256</v>
      </c>
      <c r="H24" s="74">
        <f>F24*G24</f>
        <v>1000</v>
      </c>
      <c r="I24" t="s">
        <v>223</v>
      </c>
      <c r="J24" s="74">
        <v>1.79</v>
      </c>
      <c r="K24" s="74">
        <v>2.5</v>
      </c>
      <c r="L24" s="74">
        <f>H24</f>
        <v>1000</v>
      </c>
      <c r="M24" s="74">
        <f>ROUND(L24*I24%,2)</f>
        <v>20</v>
      </c>
      <c r="N24" s="74">
        <f>H24-M24</f>
        <v>980</v>
      </c>
      <c r="O24" s="74">
        <f>ROUND(N24*J24%,2)</f>
        <v>17.54</v>
      </c>
      <c r="P24" s="74">
        <f>ROUND(N24-O24,2)</f>
        <v>962.46</v>
      </c>
      <c r="Q24" s="74">
        <f>ROUND(P24*K24%,2)</f>
        <v>24.06</v>
      </c>
      <c r="R24" s="74">
        <f>M24+O24+Q24</f>
        <v>61.6</v>
      </c>
      <c r="S24" s="74">
        <f>(H24-R24)</f>
        <v>938.4</v>
      </c>
      <c r="T24" s="74" t="s">
        <v>146</v>
      </c>
      <c r="U24" s="74">
        <v>0.18</v>
      </c>
      <c r="V24" s="74">
        <f>IF(OR($C$21=1,$C$21=4),ROUND(((S24*U24)/2),2),0)</f>
        <v>84.46</v>
      </c>
      <c r="W24" s="74">
        <f>IF($C$21=1,ROUND(((S24*U24)/2),2),0)</f>
        <v>84.46</v>
      </c>
      <c r="X24" s="74">
        <f>IF($C$21=2,ROUND(((S24*U24)),2),0)</f>
        <v>0</v>
      </c>
      <c r="Y24" s="74">
        <f>IF($C$21=4,ROUND(((S24*U24)/2),2),0)</f>
        <v>0</v>
      </c>
      <c r="Z24" s="84">
        <v>0</v>
      </c>
      <c r="AA24" s="74">
        <f>IF($C22=3,0,S24*Z24)</f>
        <v>0</v>
      </c>
      <c r="AB24" s="74">
        <f>V24+W24+X24+Y24+AA24</f>
        <v>168.92</v>
      </c>
      <c r="AC24" s="74">
        <f>IF($V22=1,S24+AB24,S24)</f>
        <v>938.4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938.4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469.2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469.2</v>
      </c>
      <c r="AS24" s="88" t="s">
        <v>229</v>
      </c>
      <c r="AT24" s="88" t="s">
        <v>58</v>
      </c>
      <c r="AU24" t="s">
        <v>257</v>
      </c>
      <c r="AV24" t="s">
        <v>258</v>
      </c>
      <c r="AW24" s="88">
        <f>AM24</f>
        <v>2</v>
      </c>
      <c r="AX24" s="88">
        <f>AR24</f>
        <v>469.2</v>
      </c>
      <c r="AY24" s="88">
        <f>AU24+AW24</f>
        <v>8</v>
      </c>
      <c r="AZ24" s="88">
        <f>ROUND(((AU24*AV24)+(AW24*AX24))/(AU24+AW24),5)</f>
        <v>469.2</v>
      </c>
      <c r="BA24" s="90"/>
      <c r="BB24" s="90" t="s">
        <v>149</v>
      </c>
      <c r="BC24" s="97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99" t="s">
        <v>230</v>
      </c>
      <c r="BM24" t="s">
        <v>258</v>
      </c>
      <c r="BN24" t="s">
        <v>223</v>
      </c>
      <c r="BO24" s="88">
        <f>ROUND((((AW24*AZ24)+(BN24*BM24))/(AW24+BN24)),5)</f>
        <v>469.2</v>
      </c>
      <c r="BP24" s="92">
        <f>BN24+AW24</f>
        <v>4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1910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117.66</v>
      </c>
      <c r="S25" s="82">
        <f>SUM(S23:S24)</f>
        <v>1792.34</v>
      </c>
      <c r="T25" s="76"/>
      <c r="U25" s="76"/>
      <c r="V25" s="83">
        <f>SUM(V23:V24)</f>
        <v>161.31</v>
      </c>
      <c r="W25" s="83">
        <f>SUM(W23:W24)</f>
        <v>161.31</v>
      </c>
      <c r="X25" s="83">
        <f>SUM(X23:X24)</f>
        <v>0</v>
      </c>
      <c r="Y25" s="83">
        <f>SUM(Y23:Y24)</f>
        <v>0</v>
      </c>
      <c r="Z25" s="83"/>
      <c r="AA25" s="83">
        <f>SUM(AA23:AA24)</f>
        <v>0</v>
      </c>
      <c r="AB25" s="76">
        <f>SUM(AB23:AB24)</f>
        <v>322.62</v>
      </c>
      <c r="AC25" s="85">
        <f>SUM(AC23:AC24)</f>
        <v>1946.04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1792.34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6" workbookViewId="0">
      <selection activeCell="B24" sqref="B24"/>
    </sheetView>
  </sheetViews>
  <sheetFormatPr defaultColWidth="9" defaultRowHeight="14.5"/>
  <cols>
    <col min="2" max="2" width="34.5727272727273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259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260</v>
      </c>
      <c r="H23" s="74">
        <f>F23*G23</f>
        <v>1756</v>
      </c>
      <c r="I23" t="s">
        <v>261</v>
      </c>
      <c r="J23" s="74">
        <v>1.79</v>
      </c>
      <c r="K23" s="74">
        <v>2.5</v>
      </c>
      <c r="L23" s="74">
        <f>H23</f>
        <v>1756</v>
      </c>
      <c r="M23" s="74">
        <f>ROUND(L23*I23%,2)</f>
        <v>41.09</v>
      </c>
      <c r="N23" s="74">
        <f>H23-M23</f>
        <v>1714.91</v>
      </c>
      <c r="O23" s="74">
        <f>ROUND(N23*J23%,2)</f>
        <v>30.7</v>
      </c>
      <c r="P23" s="74">
        <f>ROUND(N23-O23,2)</f>
        <v>1684.21</v>
      </c>
      <c r="Q23" s="74">
        <f>ROUND(P23*K23%,2)</f>
        <v>42.11</v>
      </c>
      <c r="R23" s="74">
        <f>M23+O23+Q23</f>
        <v>113.9</v>
      </c>
      <c r="S23" s="74">
        <f>(H23-R23)</f>
        <v>1642.1</v>
      </c>
      <c r="T23" s="74" t="s">
        <v>146</v>
      </c>
      <c r="U23" s="74">
        <v>0.18</v>
      </c>
      <c r="V23" s="74">
        <f>IF(OR($C$21=1,$C$21=4),ROUND(((S23*U23)/2),2),0)</f>
        <v>147.79</v>
      </c>
      <c r="W23" s="74">
        <f>IF($C$21=1,ROUND(((S23*U23)/2),2),0)</f>
        <v>147.79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IF($C21=3,0,S23*Z23)</f>
        <v>0</v>
      </c>
      <c r="AB23" s="74">
        <f>V23+W23+X23+Y23+AA23</f>
        <v>295.58</v>
      </c>
      <c r="AC23" s="74">
        <f>IF($V21=1,S23+AB23,S23)</f>
        <v>1937.68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1642.1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821.05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821.05</v>
      </c>
      <c r="AS23" s="88" t="s">
        <v>229</v>
      </c>
      <c r="AT23" s="88" t="s">
        <v>58</v>
      </c>
      <c r="AU23" t="s">
        <v>240</v>
      </c>
      <c r="AV23" t="s">
        <v>262</v>
      </c>
      <c r="AW23" s="88">
        <f>AM23</f>
        <v>2</v>
      </c>
      <c r="AX23" s="88">
        <f>AR23</f>
        <v>821.05</v>
      </c>
      <c r="AY23" s="88">
        <f>AU23+AW23</f>
        <v>2</v>
      </c>
      <c r="AZ23" s="88">
        <f>ROUND(((AU23*AV23)+(AW23*AX23))/(AU23+AW23),5)</f>
        <v>821.05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99" t="s">
        <v>230</v>
      </c>
      <c r="BM23" t="s">
        <v>262</v>
      </c>
      <c r="BN23" t="s">
        <v>226</v>
      </c>
      <c r="BO23" s="88">
        <f>ROUND((((AW23*AZ23)+(BN23*BM23))/(AW23+BN23)),5)</f>
        <v>821.05</v>
      </c>
      <c r="BP23" s="92">
        <f>BN23+AW23</f>
        <v>12</v>
      </c>
      <c r="BQ23" s="93">
        <v>88363222</v>
      </c>
      <c r="BR23" s="92"/>
    </row>
    <row r="24" ht="15.25" spans="1:70">
      <c r="A24" s="73">
        <v>2</v>
      </c>
      <c r="B24" s="73" t="s">
        <v>263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264</v>
      </c>
      <c r="H24" s="74">
        <f>F24*G24</f>
        <v>486</v>
      </c>
      <c r="I24" t="s">
        <v>265</v>
      </c>
      <c r="J24" s="74">
        <v>1.79</v>
      </c>
      <c r="K24" s="74">
        <v>2.5</v>
      </c>
      <c r="L24" s="74">
        <f>H24</f>
        <v>486</v>
      </c>
      <c r="M24" s="74">
        <f>ROUND(L24*I24%,2)</f>
        <v>16.52</v>
      </c>
      <c r="N24" s="74">
        <f>H24-M24</f>
        <v>469.48</v>
      </c>
      <c r="O24" s="74">
        <f>ROUND(N24*J24%,2)</f>
        <v>8.4</v>
      </c>
      <c r="P24" s="74">
        <f>ROUND(N24-O24,2)</f>
        <v>461.08</v>
      </c>
      <c r="Q24" s="74">
        <f>ROUND(P24*K24%,2)</f>
        <v>11.53</v>
      </c>
      <c r="R24" s="74">
        <f>M24+O24+Q24</f>
        <v>36.45</v>
      </c>
      <c r="S24" s="74">
        <f>(H24-R24)</f>
        <v>449.55</v>
      </c>
      <c r="T24" s="74" t="s">
        <v>146</v>
      </c>
      <c r="U24" s="74">
        <v>0.18</v>
      </c>
      <c r="V24" s="74">
        <f>IF(OR($C$21=1,$C$21=4),ROUND(((S24*U24)/2),2),0)</f>
        <v>40.46</v>
      </c>
      <c r="W24" s="74">
        <f>IF($C$21=1,ROUND(((S24*U24)/2),2),0)</f>
        <v>40.46</v>
      </c>
      <c r="X24" s="74">
        <f>IF($C$21=2,ROUND(((S24*U24)),2),0)</f>
        <v>0</v>
      </c>
      <c r="Y24" s="74">
        <f>IF($C$21=4,ROUND(((S24*U24)/2),2),0)</f>
        <v>0</v>
      </c>
      <c r="Z24" s="84">
        <v>0</v>
      </c>
      <c r="AA24" s="74">
        <f>IF($C22=3,0,S24*Z24)</f>
        <v>0</v>
      </c>
      <c r="AB24" s="74">
        <f>V24+W24+X24+Y24+AA24</f>
        <v>80.92</v>
      </c>
      <c r="AC24" s="74">
        <f>IF($V22=1,S24+AB24,S24)</f>
        <v>449.55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449.55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224.775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224.775</v>
      </c>
      <c r="AS24" s="88" t="s">
        <v>229</v>
      </c>
      <c r="AT24" s="88" t="s">
        <v>58</v>
      </c>
      <c r="AU24" t="s">
        <v>266</v>
      </c>
      <c r="AV24" t="s">
        <v>267</v>
      </c>
      <c r="AW24" s="88">
        <f>AM24</f>
        <v>2</v>
      </c>
      <c r="AX24" s="88">
        <f>AR24</f>
        <v>224.775</v>
      </c>
      <c r="AY24" s="88">
        <f>AU24+AW24</f>
        <v>5</v>
      </c>
      <c r="AZ24" s="88">
        <f>ROUND(((AU24*AV24)+(AW24*AX24))/(AU24+AW24),5)</f>
        <v>224.80718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99" t="s">
        <v>230</v>
      </c>
      <c r="BM24" t="s">
        <v>268</v>
      </c>
      <c r="BN24" t="s">
        <v>269</v>
      </c>
      <c r="BO24" s="88">
        <f>ROUND((((AW24*AZ24)+(BN24*BM24))/(AW24+BN24)),5)</f>
        <v>224.92775</v>
      </c>
      <c r="BP24" s="92">
        <f>BN24+AW24</f>
        <v>14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2242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150.35</v>
      </c>
      <c r="S25" s="82">
        <f>SUM(S23:S24)</f>
        <v>2091.65</v>
      </c>
      <c r="T25" s="76"/>
      <c r="U25" s="76"/>
      <c r="V25" s="83">
        <f>SUM(V23:V24)</f>
        <v>188.25</v>
      </c>
      <c r="W25" s="83">
        <f>SUM(W23:W24)</f>
        <v>188.25</v>
      </c>
      <c r="X25" s="83">
        <f>SUM(X23:X24)</f>
        <v>0</v>
      </c>
      <c r="Y25" s="83">
        <f>SUM(Y23:Y24)</f>
        <v>0</v>
      </c>
      <c r="Z25" s="83"/>
      <c r="AA25" s="83">
        <f>SUM(AA23:AA24)</f>
        <v>0</v>
      </c>
      <c r="AB25" s="76">
        <f>SUM(AB23:AB24)</f>
        <v>376.5</v>
      </c>
      <c r="AC25" s="85">
        <f>SUM(AC23:AC24)</f>
        <v>2387.23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2091.65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6" workbookViewId="0">
      <selection activeCell="B23" sqref="B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270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271</v>
      </c>
      <c r="H23" s="74">
        <f>F23*G23</f>
        <v>2460</v>
      </c>
      <c r="I23" t="s">
        <v>272</v>
      </c>
      <c r="J23" s="74">
        <v>1.79</v>
      </c>
      <c r="K23" s="74">
        <v>2.5</v>
      </c>
      <c r="L23" s="74">
        <f>H23</f>
        <v>2460</v>
      </c>
      <c r="M23" s="74">
        <f>ROUND(L23*I23%,2)</f>
        <v>24.6</v>
      </c>
      <c r="N23" s="74">
        <f>H23-M23</f>
        <v>2435.4</v>
      </c>
      <c r="O23" s="74">
        <f>ROUND(N23*J23%,2)</f>
        <v>43.59</v>
      </c>
      <c r="P23" s="74">
        <f>ROUND(N23-O23,2)</f>
        <v>2391.81</v>
      </c>
      <c r="Q23" s="74">
        <f>ROUND(P23*K23%,2)</f>
        <v>59.8</v>
      </c>
      <c r="R23" s="74">
        <f>M23+O23+Q23</f>
        <v>127.99</v>
      </c>
      <c r="S23" s="74">
        <f>(H23-R23)</f>
        <v>2332.01</v>
      </c>
      <c r="T23" s="74" t="s">
        <v>146</v>
      </c>
      <c r="U23" s="74">
        <v>0.18</v>
      </c>
      <c r="V23" s="74">
        <f>IF(OR($C$21=1,$C$21=4),ROUND(((S23*U23)/2),2),0)</f>
        <v>209.88</v>
      </c>
      <c r="W23" s="74">
        <f>IF($C$21=1,ROUND(((S23*U23)/2),2),0)</f>
        <v>209.88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IF($C21=3,0,S23*Z23)</f>
        <v>0</v>
      </c>
      <c r="AB23" s="74">
        <f>V23+W23+X23+Y23+AA23</f>
        <v>419.76</v>
      </c>
      <c r="AC23" s="74">
        <f>IF($V21=1,S23+AB23,S23)</f>
        <v>2751.77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2332.01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1166.005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1166.005</v>
      </c>
      <c r="AS23" s="88" t="s">
        <v>222</v>
      </c>
      <c r="AT23" s="88" t="s">
        <v>58</v>
      </c>
      <c r="AU23" t="s">
        <v>273</v>
      </c>
      <c r="AV23" t="s">
        <v>274</v>
      </c>
      <c r="AW23" s="88">
        <f>AM23</f>
        <v>2</v>
      </c>
      <c r="AX23" s="88">
        <f>AR23</f>
        <v>1166.005</v>
      </c>
      <c r="AY23" s="88">
        <f>AU23+AW23</f>
        <v>432</v>
      </c>
      <c r="AZ23" s="88">
        <f>ROUND(((AU23*AV23)+(AW23*AX23))/(AU23+AW23),5)</f>
        <v>1186.77845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99" t="s">
        <v>31</v>
      </c>
      <c r="BM23" t="s">
        <v>275</v>
      </c>
      <c r="BN23" t="s">
        <v>276</v>
      </c>
      <c r="BO23" s="88">
        <f>ROUND((((AW23*AZ23)+(BN23*BM23))/(AW23+BN23)),5)</f>
        <v>1162.77596</v>
      </c>
      <c r="BP23" s="92">
        <f>BN23+AW23</f>
        <v>238</v>
      </c>
      <c r="BQ23" s="93">
        <v>123562</v>
      </c>
      <c r="BR23" s="92"/>
    </row>
    <row r="24" ht="15.25" spans="1:70">
      <c r="A24" s="73">
        <v>2</v>
      </c>
      <c r="B24" s="73" t="s">
        <v>277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278</v>
      </c>
      <c r="H24" s="74">
        <f>F24*G24</f>
        <v>506</v>
      </c>
      <c r="I24" t="s">
        <v>272</v>
      </c>
      <c r="J24" s="74">
        <v>1.79</v>
      </c>
      <c r="K24" s="74">
        <v>2.5</v>
      </c>
      <c r="L24" s="74">
        <f>H24</f>
        <v>506</v>
      </c>
      <c r="M24" s="74">
        <f>ROUND(L24*I24%,2)</f>
        <v>5.06</v>
      </c>
      <c r="N24" s="74">
        <f>H24-M24</f>
        <v>500.94</v>
      </c>
      <c r="O24" s="74">
        <f>ROUND(N24*J24%,2)</f>
        <v>8.97</v>
      </c>
      <c r="P24" s="74">
        <f>ROUND(N24-O24,2)</f>
        <v>491.97</v>
      </c>
      <c r="Q24" s="74">
        <f>ROUND(P24*K24%,2)</f>
        <v>12.3</v>
      </c>
      <c r="R24" s="74">
        <f>M24+O24+Q24</f>
        <v>26.33</v>
      </c>
      <c r="S24" s="74">
        <f>(H24-R24)</f>
        <v>479.67</v>
      </c>
      <c r="T24" s="74" t="s">
        <v>146</v>
      </c>
      <c r="U24" s="74">
        <v>0.05</v>
      </c>
      <c r="V24" s="74">
        <f>IF(OR($C$21=1,$C$21=4),ROUND(((S24*U24)/2),2),0)</f>
        <v>11.99</v>
      </c>
      <c r="W24" s="74">
        <f>IF($C$21=1,ROUND(((S24*U24)/2),2),0)</f>
        <v>11.99</v>
      </c>
      <c r="X24" s="74">
        <f>IF($C$21=2,ROUND(((S24*U24)),2),0)</f>
        <v>0</v>
      </c>
      <c r="Y24" s="74">
        <f>IF($C$21=4,ROUND(((S24*U24)/2),2),0)</f>
        <v>0</v>
      </c>
      <c r="Z24" s="84">
        <v>0</v>
      </c>
      <c r="AA24" s="74">
        <f>IF($C22=3,0,S24*Z24)</f>
        <v>0</v>
      </c>
      <c r="AB24" s="74">
        <f>V24+W24+X24+Y24+AA24</f>
        <v>23.98</v>
      </c>
      <c r="AC24" s="74">
        <f>IF($V22=1,S24+AB24,S24)</f>
        <v>479.67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479.67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239.835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239.835</v>
      </c>
      <c r="AS24" s="88" t="s">
        <v>222</v>
      </c>
      <c r="AT24" s="88" t="s">
        <v>58</v>
      </c>
      <c r="AU24" t="s">
        <v>279</v>
      </c>
      <c r="AV24" t="s">
        <v>280</v>
      </c>
      <c r="AW24" s="88">
        <f>AM24</f>
        <v>2</v>
      </c>
      <c r="AX24" s="88">
        <f>AR24</f>
        <v>239.835</v>
      </c>
      <c r="AY24" s="88">
        <f>AU24+AW24</f>
        <v>342</v>
      </c>
      <c r="AZ24" s="88">
        <f>ROUND(((AU24*AV24)+(AW24*AX24))/(AU24+AW24),5)</f>
        <v>248.07693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99" t="s">
        <v>31</v>
      </c>
      <c r="BM24" t="s">
        <v>281</v>
      </c>
      <c r="BN24" t="s">
        <v>282</v>
      </c>
      <c r="BO24" s="88">
        <f>ROUND((((AW24*AZ24)+(BN24*BM24))/(AW24+BN24)),5)</f>
        <v>247.59741</v>
      </c>
      <c r="BP24" s="92">
        <f>BN24+AW24</f>
        <v>359</v>
      </c>
      <c r="BQ24" s="93">
        <v>123562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2966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154.32</v>
      </c>
      <c r="S25" s="82">
        <f>SUM(S23:S24)</f>
        <v>2811.68</v>
      </c>
      <c r="T25" s="76"/>
      <c r="U25" s="76"/>
      <c r="V25" s="83">
        <f>SUM(V23:V24)</f>
        <v>221.87</v>
      </c>
      <c r="W25" s="83">
        <f>SUM(W23:W24)</f>
        <v>221.87</v>
      </c>
      <c r="X25" s="83">
        <f>SUM(X23:X24)</f>
        <v>0</v>
      </c>
      <c r="Y25" s="83">
        <f>SUM(Y23:Y24)</f>
        <v>0</v>
      </c>
      <c r="Z25" s="83"/>
      <c r="AA25" s="83">
        <f>SUM(AA23:AA24)</f>
        <v>0</v>
      </c>
      <c r="AB25" s="76">
        <f>SUM(AB23:AB24)</f>
        <v>443.74</v>
      </c>
      <c r="AC25" s="85">
        <f>SUM(AC23:AC24)</f>
        <v>3231.44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2811.68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33"/>
  <sheetViews>
    <sheetView topLeftCell="AZ7" workbookViewId="0">
      <selection activeCell="BI23" sqref="BI23:BI24"/>
    </sheetView>
  </sheetViews>
  <sheetFormatPr defaultColWidth="9" defaultRowHeight="14.5"/>
  <cols>
    <col min="2" max="2" width="19.7090909090909" customWidth="1"/>
    <col min="3" max="3" width="19.2818181818182" customWidth="1"/>
    <col min="4" max="4" width="62.7090909090909" customWidth="1"/>
    <col min="5" max="5" width="10.4272727272727" customWidth="1"/>
    <col min="6" max="6" width="8.28181818181818" customWidth="1"/>
    <col min="8" max="8" width="11.8545454545455" customWidth="1"/>
    <col min="10" max="10" width="6.13636363636364" customWidth="1"/>
    <col min="11" max="11" width="6.28181818181818" customWidth="1"/>
    <col min="12" max="12" width="13.8545454545455" customWidth="1"/>
    <col min="42" max="42" width="9.42727272727273" customWidth="1"/>
    <col min="43" max="43" width="11.8545454545455" customWidth="1"/>
    <col min="44" max="44" width="15.2818181818182" customWidth="1"/>
    <col min="45" max="45" width="20.2818181818182" customWidth="1"/>
    <col min="46" max="46" width="11.4272727272727" customWidth="1"/>
    <col min="47" max="47" width="16.2818181818182" customWidth="1"/>
    <col min="48" max="48" width="13.8545454545455" customWidth="1"/>
    <col min="49" max="49" width="18.8545454545455" customWidth="1"/>
    <col min="54" max="54" width="12.4272727272727" customWidth="1"/>
    <col min="55" max="55" width="12.5727272727273" customWidth="1"/>
    <col min="62" max="62" width="41.1363636363636" customWidth="1"/>
    <col min="63" max="63" width="37" customWidth="1"/>
    <col min="64" max="64" width="18.8545454545455" customWidth="1"/>
    <col min="65" max="65" width="34.4272727272727" customWidth="1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1"/>
      <c r="AP1" s="71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1"/>
      <c r="AP2" s="71"/>
    </row>
    <row r="3" ht="15.25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71"/>
    </row>
    <row r="4" spans="1:42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1"/>
    </row>
    <row r="5" spans="1:42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1"/>
    </row>
    <row r="6" spans="1:42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1"/>
    </row>
    <row r="7" spans="1:42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1"/>
    </row>
    <row r="8" spans="1:42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1"/>
    </row>
    <row r="9" spans="1:42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1"/>
    </row>
    <row r="10" spans="1:42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1"/>
    </row>
    <row r="11" spans="1:42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1"/>
    </row>
    <row r="12" spans="1:42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1"/>
    </row>
    <row r="13" spans="1:42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1"/>
    </row>
    <row r="14" spans="1:42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1"/>
    </row>
    <row r="15" spans="1:42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1"/>
    </row>
    <row r="16" spans="1:42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1"/>
    </row>
    <row r="17" spans="1:42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>
        <v>5858.27</v>
      </c>
      <c r="T17" s="78"/>
      <c r="U17" s="77"/>
      <c r="V17" s="77"/>
      <c r="W17" s="77"/>
      <c r="X17" s="77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1"/>
    </row>
    <row r="18" ht="15.25" spans="1:42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1"/>
    </row>
    <row r="19" ht="15.25" spans="1:42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1"/>
    </row>
    <row r="20" spans="1:42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1"/>
    </row>
    <row r="21" ht="15.25" spans="1:42">
      <c r="A21" s="21" t="s">
        <v>89</v>
      </c>
      <c r="B21" s="21"/>
      <c r="C21" s="22">
        <v>1</v>
      </c>
      <c r="D21" s="23" t="s">
        <v>90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1"/>
    </row>
    <row r="22" ht="57.5" spans="1:65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113</v>
      </c>
      <c r="Z22" s="43" t="s">
        <v>114</v>
      </c>
      <c r="AA22" s="43" t="s">
        <v>115</v>
      </c>
      <c r="AB22" s="44" t="s">
        <v>116</v>
      </c>
      <c r="AC22" s="44" t="s">
        <v>117</v>
      </c>
      <c r="AD22" s="44" t="s">
        <v>118</v>
      </c>
      <c r="AE22" s="43" t="s">
        <v>119</v>
      </c>
      <c r="AF22" s="43" t="s">
        <v>120</v>
      </c>
      <c r="AG22" s="44" t="s">
        <v>121</v>
      </c>
      <c r="AH22" s="44" t="s">
        <v>122</v>
      </c>
      <c r="AI22" s="43" t="s">
        <v>123</v>
      </c>
      <c r="AJ22" s="43" t="s">
        <v>124</v>
      </c>
      <c r="AK22" s="44" t="s">
        <v>125</v>
      </c>
      <c r="AL22" s="44" t="s">
        <v>126</v>
      </c>
      <c r="AM22" s="44" t="s">
        <v>127</v>
      </c>
      <c r="AN22" s="43" t="s">
        <v>128</v>
      </c>
      <c r="AO22" s="48" t="s">
        <v>129</v>
      </c>
      <c r="AP22" s="3" t="s">
        <v>215</v>
      </c>
      <c r="AQ22" s="3" t="s">
        <v>128</v>
      </c>
      <c r="AR22" s="87" t="s">
        <v>131</v>
      </c>
      <c r="AS22" s="87" t="s">
        <v>132</v>
      </c>
      <c r="AT22" s="87" t="s">
        <v>133</v>
      </c>
      <c r="AU22" s="87" t="s">
        <v>134</v>
      </c>
      <c r="AV22" s="87" t="s">
        <v>135</v>
      </c>
      <c r="AW22" s="87" t="s">
        <v>136</v>
      </c>
      <c r="AX22" s="87" t="s">
        <v>137</v>
      </c>
      <c r="AY22" s="87" t="s">
        <v>138</v>
      </c>
      <c r="AZ22" s="89" t="s">
        <v>139</v>
      </c>
      <c r="BA22" s="89" t="s">
        <v>8</v>
      </c>
      <c r="BB22" s="89" t="s">
        <v>9</v>
      </c>
      <c r="BC22" s="87" t="s">
        <v>216</v>
      </c>
      <c r="BD22" s="87" t="s">
        <v>140</v>
      </c>
      <c r="BE22" s="87" t="s">
        <v>141</v>
      </c>
      <c r="BF22" s="87" t="s">
        <v>142</v>
      </c>
      <c r="BG22" s="87" t="s">
        <v>143</v>
      </c>
      <c r="BH22" s="87" t="s">
        <v>144</v>
      </c>
      <c r="BI22" s="87" t="s">
        <v>217</v>
      </c>
      <c r="BJ22" s="49" t="s">
        <v>218</v>
      </c>
      <c r="BK22" s="87" t="s">
        <v>219</v>
      </c>
      <c r="BL22" s="87" t="s">
        <v>136</v>
      </c>
      <c r="BM22" s="95" t="s">
        <v>220</v>
      </c>
    </row>
    <row r="23" ht="15.25" spans="1:66">
      <c r="A23" s="73">
        <v>1</v>
      </c>
      <c r="B23" s="73" t="s">
        <v>283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284</v>
      </c>
      <c r="H23" s="74">
        <f>F23*G23</f>
        <v>1048</v>
      </c>
      <c r="I23" t="s">
        <v>223</v>
      </c>
      <c r="J23" s="74">
        <v>1.79</v>
      </c>
      <c r="K23" s="74">
        <v>2.5</v>
      </c>
      <c r="L23" s="74">
        <f>H23</f>
        <v>1048</v>
      </c>
      <c r="M23" s="74">
        <f>ROUND(L23*I23%,2)</f>
        <v>20.96</v>
      </c>
      <c r="N23" s="74">
        <f>H23-M23</f>
        <v>1027.04</v>
      </c>
      <c r="O23" s="74">
        <f>ROUND(N23*J23%,2)</f>
        <v>18.38</v>
      </c>
      <c r="P23" s="74">
        <f>ROUND(N23-O23,2)</f>
        <v>1008.66</v>
      </c>
      <c r="Q23" s="74">
        <f>ROUND(P23*K23%,2)</f>
        <v>25.22</v>
      </c>
      <c r="R23" s="74">
        <f>M23+O23+Q23</f>
        <v>64.56</v>
      </c>
      <c r="S23" s="74">
        <f>(H23-R23)</f>
        <v>983.44</v>
      </c>
      <c r="T23" s="74" t="s">
        <v>146</v>
      </c>
      <c r="U23" s="74">
        <v>0.18</v>
      </c>
      <c r="V23" s="74">
        <f>IF($C$21=1,ROUND(((S23*U23)/2),2),0)</f>
        <v>88.51</v>
      </c>
      <c r="W23" s="74">
        <f>IF($C$21=1,ROUND(((S23*U23)/2),2),0)</f>
        <v>88.51</v>
      </c>
      <c r="X23" s="74">
        <f>IF($C$21=2,ROUND(((S23*U23)),2),0)</f>
        <v>0</v>
      </c>
      <c r="Y23" s="74">
        <f>V23+W23+X23</f>
        <v>177.02</v>
      </c>
      <c r="Z23" s="74">
        <f t="shared" ref="Z23:Z24" si="1">S23+Y23</f>
        <v>1160.46</v>
      </c>
      <c r="AA23" s="74">
        <v>120</v>
      </c>
      <c r="AB23" s="74">
        <f>IF($P$21=1,(S23/$S$25)*$E$36,AA23/$AA$25*$E$36)</f>
        <v>0</v>
      </c>
      <c r="AC23" s="74"/>
      <c r="AD23" s="74">
        <f>IF($P$21=1,(S23/$S$25)*$E$38,AA23/$AA$25*$E$38)</f>
        <v>0</v>
      </c>
      <c r="AE23" s="74">
        <f>IF($P$21=1,(S23/$S$25)*$E$38,AA23/$AA$25*$E$38)</f>
        <v>0</v>
      </c>
      <c r="AF23" s="74">
        <f t="shared" ref="AF23:AF24" si="2">S23*$M$21</f>
        <v>983.44</v>
      </c>
      <c r="AG23" s="74">
        <f t="shared" ref="AG23:AG24" si="3">IF($C$21=3,0,AD23+AE23)</f>
        <v>0</v>
      </c>
      <c r="AH23" s="74">
        <f t="shared" ref="AH23:AH24" si="4">IF($C$21=3,AB23+AD23+AE23,0)</f>
        <v>0</v>
      </c>
      <c r="AI23" s="74">
        <v>1</v>
      </c>
      <c r="AJ23" s="74">
        <f t="shared" ref="AJ23:AJ24" si="5">F23/AI23</f>
        <v>2</v>
      </c>
      <c r="AK23" s="74">
        <f>AF23/AJ23</f>
        <v>491.72</v>
      </c>
      <c r="AL23" s="74">
        <f>AG23/AJ23</f>
        <v>0</v>
      </c>
      <c r="AM23" s="74">
        <f>AH23/AJ23</f>
        <v>0</v>
      </c>
      <c r="AN23" s="74" t="s">
        <v>58</v>
      </c>
      <c r="AO23" s="74">
        <f>AK23+AL23+AM23</f>
        <v>491.72</v>
      </c>
      <c r="AP23" s="88" t="s">
        <v>222</v>
      </c>
      <c r="AQ23" s="88" t="s">
        <v>58</v>
      </c>
      <c r="AR23" t="s">
        <v>285</v>
      </c>
      <c r="AS23" t="s">
        <v>286</v>
      </c>
      <c r="AT23" s="88">
        <f>AJ23</f>
        <v>2</v>
      </c>
      <c r="AU23" s="88">
        <f>AO23</f>
        <v>491.72</v>
      </c>
      <c r="AV23" s="88">
        <f>AR23+AT23</f>
        <v>16389</v>
      </c>
      <c r="AW23" s="88">
        <f>ROUND(((AR23*AS23)+(AT23*AU23))/(AR23+AT23),5)</f>
        <v>509.24844</v>
      </c>
      <c r="AX23" s="90"/>
      <c r="AY23" s="90" t="s">
        <v>149</v>
      </c>
      <c r="AZ23" s="100" t="s">
        <v>45</v>
      </c>
      <c r="BA23" s="91" t="s">
        <v>30</v>
      </c>
      <c r="BB23" s="91" t="s">
        <v>39</v>
      </c>
      <c r="BC23" s="90"/>
      <c r="BD23" s="90"/>
      <c r="BE23" s="90"/>
      <c r="BF23" s="88"/>
      <c r="BG23" s="88"/>
      <c r="BH23" s="88"/>
      <c r="BI23" s="88" t="s">
        <v>31</v>
      </c>
      <c r="BJ23" t="s">
        <v>287</v>
      </c>
      <c r="BK23" t="s">
        <v>288</v>
      </c>
      <c r="BL23" s="88">
        <f>ROUND((((AT23*AW23)+(BK23*BJ23))/(AT23+BK23)),5)</f>
        <v>513.21429</v>
      </c>
      <c r="BM23" s="92">
        <f>BK23+AT23</f>
        <v>204</v>
      </c>
      <c r="BN23" s="92"/>
    </row>
    <row r="24" ht="15.25" spans="1:66">
      <c r="A24" s="73">
        <v>3</v>
      </c>
      <c r="B24" s="73" t="s">
        <v>289</v>
      </c>
      <c r="C24" s="73" t="s">
        <v>62</v>
      </c>
      <c r="D24" s="73" t="s">
        <v>58</v>
      </c>
      <c r="E24" s="73" t="s">
        <v>58</v>
      </c>
      <c r="F24" s="74">
        <v>3</v>
      </c>
      <c r="G24" t="s">
        <v>290</v>
      </c>
      <c r="H24" s="74">
        <f>F24*G24</f>
        <v>696</v>
      </c>
      <c r="I24" t="s">
        <v>291</v>
      </c>
      <c r="J24" s="74">
        <v>0.25</v>
      </c>
      <c r="K24" s="74">
        <v>2.5</v>
      </c>
      <c r="L24" s="74">
        <f>H24</f>
        <v>696</v>
      </c>
      <c r="M24" s="74">
        <f>ROUND(L24*I24%,2)</f>
        <v>16.15</v>
      </c>
      <c r="N24" s="74">
        <f t="shared" ref="N24" si="6">H24-M24</f>
        <v>679.85</v>
      </c>
      <c r="O24" s="74">
        <f t="shared" ref="O24" si="7">ROUND(N24*J24%,2)</f>
        <v>1.7</v>
      </c>
      <c r="P24" s="74">
        <f t="shared" ref="P24" si="8">ROUND(N24-O24,2)</f>
        <v>678.15</v>
      </c>
      <c r="Q24" s="74">
        <f t="shared" ref="Q24" si="9">ROUND(P24*K24%,2)</f>
        <v>16.95</v>
      </c>
      <c r="R24" s="74">
        <f t="shared" ref="R24" si="10">M24+O24+Q24</f>
        <v>34.8</v>
      </c>
      <c r="S24" s="74">
        <f t="shared" ref="S24" si="11">(H24-R24)</f>
        <v>661.2</v>
      </c>
      <c r="T24" s="74" t="s">
        <v>146</v>
      </c>
      <c r="U24" s="74">
        <v>0.18</v>
      </c>
      <c r="V24" s="74">
        <f t="shared" ref="V24" si="12">IF($C$21=1,ROUND(((S24*U24)/2),2),0)</f>
        <v>59.51</v>
      </c>
      <c r="W24" s="74">
        <f t="shared" ref="W24" si="13">IF($C$21=1,ROUND(((S24*U24)/2),2),0)</f>
        <v>59.51</v>
      </c>
      <c r="X24" s="74">
        <f t="shared" ref="X24" si="14">IF($C$21=2,ROUND(((S24*U24)),2),0)</f>
        <v>0</v>
      </c>
      <c r="Y24" s="74">
        <f t="shared" ref="Y24" si="15">V24+W24+X24</f>
        <v>119.02</v>
      </c>
      <c r="Z24" s="74">
        <f t="shared" si="1"/>
        <v>780.22</v>
      </c>
      <c r="AA24" s="74">
        <v>150</v>
      </c>
      <c r="AB24" s="74">
        <f>IF($P$21=1,(S24/$S$25)*$E$36,AA24/$AA$25*$E$36)</f>
        <v>0</v>
      </c>
      <c r="AC24" s="74"/>
      <c r="AD24" s="74">
        <f>IF($P$21=1,(S24/$S$25)*$E$38,AA24/$AA$25*$E$38)</f>
        <v>0</v>
      </c>
      <c r="AE24" s="74">
        <f>IF($P$21=1,(S24/$S$25)*$E$38,AA24/$AA$25*$E$38)</f>
        <v>0</v>
      </c>
      <c r="AF24" s="74">
        <f t="shared" si="2"/>
        <v>661.2</v>
      </c>
      <c r="AG24" s="74">
        <f t="shared" si="3"/>
        <v>0</v>
      </c>
      <c r="AH24" s="74">
        <f t="shared" si="4"/>
        <v>0</v>
      </c>
      <c r="AI24" s="74">
        <v>1</v>
      </c>
      <c r="AJ24" s="74">
        <f t="shared" si="5"/>
        <v>3</v>
      </c>
      <c r="AK24" s="74">
        <f t="shared" ref="AK24" si="16">AF24/AJ24</f>
        <v>220.4</v>
      </c>
      <c r="AL24" s="74">
        <f t="shared" ref="AL24" si="17">AG24/AJ24</f>
        <v>0</v>
      </c>
      <c r="AM24" s="74">
        <f t="shared" ref="AM24" si="18">AH24/AJ24</f>
        <v>0</v>
      </c>
      <c r="AN24" s="74" t="s">
        <v>58</v>
      </c>
      <c r="AO24" s="74">
        <f t="shared" ref="AO24" si="19">AK24+AL24+AM24</f>
        <v>220.4</v>
      </c>
      <c r="AP24" s="88" t="s">
        <v>222</v>
      </c>
      <c r="AQ24" s="88" t="s">
        <v>58</v>
      </c>
      <c r="AR24" t="s">
        <v>292</v>
      </c>
      <c r="AS24" t="s">
        <v>293</v>
      </c>
      <c r="AT24" s="88">
        <f t="shared" ref="AT24" si="20">AJ24</f>
        <v>3</v>
      </c>
      <c r="AU24" s="88">
        <f>AO24</f>
        <v>220.4</v>
      </c>
      <c r="AV24" s="88">
        <f t="shared" ref="AV24" si="21">AR24+AT24</f>
        <v>12249</v>
      </c>
      <c r="AW24" s="88">
        <f t="shared" ref="AW24" si="22">ROUND(((AR24*AS24)+(AT24*AU24))/(AR24+AT24),5)</f>
        <v>225.95933</v>
      </c>
      <c r="AX24" s="90"/>
      <c r="AY24" s="90"/>
      <c r="AZ24" s="97" t="s">
        <v>29</v>
      </c>
      <c r="BA24" s="97" t="s">
        <v>294</v>
      </c>
      <c r="BB24" s="97"/>
      <c r="BC24" s="90"/>
      <c r="BD24" s="90"/>
      <c r="BE24" s="90"/>
      <c r="BF24" s="88"/>
      <c r="BG24" s="88"/>
      <c r="BH24" s="88"/>
      <c r="BI24" s="88" t="s">
        <v>31</v>
      </c>
      <c r="BJ24" t="s">
        <v>295</v>
      </c>
      <c r="BK24" t="s">
        <v>296</v>
      </c>
      <c r="BL24" s="88">
        <f t="shared" ref="BL24" si="23">ROUND((((AT24*AW24)+(BK24*BJ24))/(AT24+BK24)),5)</f>
        <v>226.54367</v>
      </c>
      <c r="BM24" s="92">
        <f t="shared" ref="BM24" si="24">BK24+AT24</f>
        <v>3572</v>
      </c>
      <c r="BN24" s="92"/>
    </row>
    <row r="25" ht="15.25" spans="1:42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1744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99.36</v>
      </c>
      <c r="S25" s="82">
        <f>SUM(S23:S24)</f>
        <v>1644.64</v>
      </c>
      <c r="T25" s="76"/>
      <c r="U25" s="76"/>
      <c r="V25" s="83">
        <f t="shared" ref="V25:AB25" si="25">SUM(V23:V24)</f>
        <v>148.02</v>
      </c>
      <c r="W25" s="83">
        <f t="shared" si="25"/>
        <v>148.02</v>
      </c>
      <c r="X25" s="83">
        <f t="shared" si="25"/>
        <v>0</v>
      </c>
      <c r="Y25" s="76">
        <f t="shared" si="25"/>
        <v>296.04</v>
      </c>
      <c r="Z25" s="85">
        <f t="shared" si="25"/>
        <v>1940.68</v>
      </c>
      <c r="AA25" s="86">
        <f t="shared" si="25"/>
        <v>270</v>
      </c>
      <c r="AB25" s="86">
        <f t="shared" si="25"/>
        <v>0</v>
      </c>
      <c r="AC25" s="85"/>
      <c r="AD25" s="86">
        <f>SUM(AD23:AD24)</f>
        <v>0</v>
      </c>
      <c r="AE25" s="86">
        <f>SUM(AE23:AE24)</f>
        <v>0</v>
      </c>
      <c r="AF25" s="86">
        <f>SUM(AF23:AF24)</f>
        <v>1644.64</v>
      </c>
      <c r="AG25" s="86">
        <f>SUM(AG23:AG24)</f>
        <v>0</v>
      </c>
      <c r="AH25" s="86">
        <f>SUM(AH23:AH24)</f>
        <v>0</v>
      </c>
      <c r="AI25" s="85"/>
      <c r="AJ25" s="85"/>
      <c r="AK25" s="85"/>
      <c r="AL25" s="85"/>
      <c r="AM25" s="85"/>
      <c r="AN25" s="85"/>
      <c r="AO25" s="85"/>
      <c r="AP25" s="71"/>
    </row>
    <row r="27" spans="45:46">
      <c r="AS27" t="s">
        <v>297</v>
      </c>
      <c r="AT27" t="s">
        <v>298</v>
      </c>
    </row>
    <row r="28" spans="45:47">
      <c r="AS28">
        <v>1473.685</v>
      </c>
      <c r="AT28">
        <v>1281.64708</v>
      </c>
      <c r="AU28" s="88">
        <f t="shared" ref="AU28" si="26">AK28</f>
        <v>0</v>
      </c>
    </row>
    <row r="31" spans="48:48">
      <c r="AV31" t="s">
        <v>299</v>
      </c>
    </row>
    <row r="32" spans="48:48">
      <c r="AV32">
        <v>513.38841</v>
      </c>
    </row>
    <row r="33" spans="48:48">
      <c r="AV33">
        <f>AV31-AV32</f>
        <v>0.00324999999997999</v>
      </c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A1" sqref="$A1:$XFD1048576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300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232</v>
      </c>
      <c r="H23" s="74">
        <f>F23*G23</f>
        <v>500</v>
      </c>
      <c r="I23" t="s">
        <v>223</v>
      </c>
      <c r="J23" s="74">
        <v>1.79</v>
      </c>
      <c r="K23" s="74">
        <v>2.5</v>
      </c>
      <c r="L23" s="74">
        <f>H23</f>
        <v>500</v>
      </c>
      <c r="M23" s="74">
        <f>ROUND(L23*I23%,2)</f>
        <v>10</v>
      </c>
      <c r="N23" s="74">
        <f>H23-M23</f>
        <v>490</v>
      </c>
      <c r="O23" s="74">
        <f>ROUND(N23*J23%,2)</f>
        <v>8.77</v>
      </c>
      <c r="P23" s="74">
        <f>ROUND(N23-O23,2)</f>
        <v>481.23</v>
      </c>
      <c r="Q23" s="74">
        <f>ROUND(P23*K23%,2)</f>
        <v>12.03</v>
      </c>
      <c r="R23" s="74">
        <f>M23+O23+Q23</f>
        <v>30.8</v>
      </c>
      <c r="S23" s="74">
        <f>(H23-R23)</f>
        <v>469.2</v>
      </c>
      <c r="T23" s="74" t="s">
        <v>146</v>
      </c>
      <c r="U23" s="74">
        <v>0.18</v>
      </c>
      <c r="V23" s="74">
        <f>IF(OR($C$21=1,$C$21=4),ROUND(((S23*U23)/2),2),0)</f>
        <v>42.23</v>
      </c>
      <c r="W23" s="74">
        <f>IF($C$21=1,ROUND(((S23*U23)/2),2),0)</f>
        <v>42.23</v>
      </c>
      <c r="X23" s="74">
        <f>IF($C$21=2,ROUND(((S23*U23)),2),0)</f>
        <v>0</v>
      </c>
      <c r="Y23" s="74">
        <f>IF($C$21=4,ROUND(((S23*U23)/2),2),0)</f>
        <v>0</v>
      </c>
      <c r="Z23" s="74">
        <v>0</v>
      </c>
      <c r="AA23" s="74">
        <f>IF($C21=3,0,ROUND(S23*Z23,2))</f>
        <v>0</v>
      </c>
      <c r="AB23" s="74">
        <f>V23+W23+X23+Y23+AA23</f>
        <v>84.46</v>
      </c>
      <c r="AC23" s="74">
        <f>IF($V21=1,S23+AB23,S23)</f>
        <v>553.66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469.2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234.6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234.6</v>
      </c>
      <c r="AS23" s="88" t="s">
        <v>229</v>
      </c>
      <c r="AT23" s="88" t="s">
        <v>58</v>
      </c>
      <c r="AU23" t="s">
        <v>223</v>
      </c>
      <c r="AV23" t="s">
        <v>301</v>
      </c>
      <c r="AW23" s="88">
        <f>AM23</f>
        <v>2</v>
      </c>
      <c r="AX23" s="88">
        <f>AR23</f>
        <v>234.6</v>
      </c>
      <c r="AY23" s="88">
        <f>AU23+AW23</f>
        <v>4</v>
      </c>
      <c r="AZ23" s="88">
        <f>ROUND(((AU23*AV23)+(AW23*AX23))/(AU23+AW23),5)</f>
        <v>234.6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230</v>
      </c>
      <c r="BM23" t="s">
        <v>301</v>
      </c>
      <c r="BN23" t="s">
        <v>223</v>
      </c>
      <c r="BO23" s="88">
        <f>ROUND((((AW23*AZ23)+(BN23*BM23))/(AW23+BN23)),5)</f>
        <v>234.6</v>
      </c>
      <c r="BP23" s="92">
        <f>BN23+AW23</f>
        <v>4</v>
      </c>
      <c r="BQ23" s="93">
        <v>88363222</v>
      </c>
      <c r="BR23" s="92"/>
    </row>
    <row r="24" ht="15.25" spans="1:70">
      <c r="A24" s="73">
        <v>2</v>
      </c>
      <c r="B24" s="73" t="s">
        <v>302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303</v>
      </c>
      <c r="H24" s="74">
        <f>F24*G24</f>
        <v>468</v>
      </c>
      <c r="I24" t="s">
        <v>304</v>
      </c>
      <c r="J24" s="74">
        <v>1.79</v>
      </c>
      <c r="K24" s="74">
        <v>2.5</v>
      </c>
      <c r="L24" s="74">
        <f>H24</f>
        <v>468</v>
      </c>
      <c r="M24" s="74">
        <f>ROUND(L24*I24%,2)</f>
        <v>18.72</v>
      </c>
      <c r="N24" s="74">
        <f>H24-M24</f>
        <v>449.28</v>
      </c>
      <c r="O24" s="74">
        <f>ROUND(N24*J24%,2)</f>
        <v>8.04</v>
      </c>
      <c r="P24" s="74">
        <f>ROUND(N24-O24,2)</f>
        <v>441.24</v>
      </c>
      <c r="Q24" s="74">
        <f>ROUND(P24*K24%,2)</f>
        <v>11.03</v>
      </c>
      <c r="R24" s="74">
        <f>M24+O24+Q24</f>
        <v>37.79</v>
      </c>
      <c r="S24" s="74">
        <f>(H24-R24)</f>
        <v>430.21</v>
      </c>
      <c r="T24" s="74" t="s">
        <v>146</v>
      </c>
      <c r="U24" s="74">
        <v>0.18</v>
      </c>
      <c r="V24" s="74">
        <f>IF(OR($C$21=1,$C$21=4),ROUND(((S24*U24)/2),2),0)</f>
        <v>38.72</v>
      </c>
      <c r="W24" s="74">
        <f>IF($C$21=1,ROUND(((S24*U24)/2),2),0)</f>
        <v>38.72</v>
      </c>
      <c r="X24" s="74">
        <f>IF($C$21=2,ROUND(((S24*U24)),2),0)</f>
        <v>0</v>
      </c>
      <c r="Y24" s="74">
        <f>IF($C$21=4,ROUND(((S24*U24)/2),2),0)</f>
        <v>0</v>
      </c>
      <c r="Z24" s="74">
        <v>0</v>
      </c>
      <c r="AA24" s="74">
        <f>IF($C22=3,0,ROUND(S24*Z24,2))</f>
        <v>0</v>
      </c>
      <c r="AB24" s="74">
        <f>V24+W24+X24+Y24+AA24</f>
        <v>77.44</v>
      </c>
      <c r="AC24" s="74">
        <f>IF($V22=1,S24+AB24,S24)</f>
        <v>430.21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430.21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215.105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215.105</v>
      </c>
      <c r="AS24" s="88" t="s">
        <v>229</v>
      </c>
      <c r="AT24" s="88" t="s">
        <v>58</v>
      </c>
      <c r="AU24" t="s">
        <v>223</v>
      </c>
      <c r="AV24" t="s">
        <v>305</v>
      </c>
      <c r="AW24" s="88">
        <f>AM24</f>
        <v>2</v>
      </c>
      <c r="AX24" s="88">
        <f>AR24</f>
        <v>215.105</v>
      </c>
      <c r="AY24" s="88">
        <f>AU24+AW24</f>
        <v>4</v>
      </c>
      <c r="AZ24" s="88">
        <f>ROUND(((AU24*AV24)+(AW24*AX24))/(AU24+AW24),5)</f>
        <v>215.1106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230</v>
      </c>
      <c r="BM24" t="s">
        <v>306</v>
      </c>
      <c r="BN24" t="s">
        <v>223</v>
      </c>
      <c r="BO24" s="88">
        <f>ROUND((((AW24*AZ24)+(BN24*BM24))/(AW24+BN24)),5)</f>
        <v>215.1078</v>
      </c>
      <c r="BP24" s="92">
        <f>BN24+AW24</f>
        <v>4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968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68.59</v>
      </c>
      <c r="S25" s="82">
        <f>SUM(S23:S24)</f>
        <v>899.41</v>
      </c>
      <c r="T25" s="76"/>
      <c r="U25" s="76"/>
      <c r="V25" s="83">
        <f>SUM(V23:V24)</f>
        <v>80.95</v>
      </c>
      <c r="W25" s="83">
        <f>SUM(W23:W24)</f>
        <v>80.95</v>
      </c>
      <c r="X25" s="83">
        <f>SUM(X23:X24)</f>
        <v>0</v>
      </c>
      <c r="Y25" s="83">
        <f>SUM(Y23:Y24)</f>
        <v>0</v>
      </c>
      <c r="Z25" s="83"/>
      <c r="AA25" s="83">
        <f>SUM(AA23:AA24)</f>
        <v>0</v>
      </c>
      <c r="AB25" s="76">
        <f>SUM(AB23:AB24)</f>
        <v>161.9</v>
      </c>
      <c r="AC25" s="85">
        <f>SUM(AC23:AC24)</f>
        <v>983.87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899.41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D13" workbookViewId="0">
      <selection activeCell="M21" sqref="M21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27.75" customHeight="1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ht="27.75" customHeight="1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ht="27.75" customHeight="1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ht="27.75" customHeight="1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ht="27.75" customHeight="1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ht="27.75" customHeight="1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ht="27.75" customHeight="1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ht="27.75" customHeight="1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ht="27.75" customHeight="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ht="27.75" customHeight="1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ht="27.75" customHeight="1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ht="27.75" customHeight="1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ht="27.75" customHeight="1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ht="27.75" customHeight="1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75.69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307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232</v>
      </c>
      <c r="H23" s="74">
        <f>F23*G23</f>
        <v>500</v>
      </c>
      <c r="I23" t="s">
        <v>223</v>
      </c>
      <c r="J23" s="74">
        <v>1.79</v>
      </c>
      <c r="K23" s="74">
        <v>2.5</v>
      </c>
      <c r="L23" s="74">
        <f>H23</f>
        <v>500</v>
      </c>
      <c r="M23" s="74">
        <f>ROUND(L23*I23%,2)</f>
        <v>10</v>
      </c>
      <c r="N23" s="74">
        <f>H23-M23</f>
        <v>490</v>
      </c>
      <c r="O23" s="74">
        <f>ROUND(N23*J23%,2)</f>
        <v>8.77</v>
      </c>
      <c r="P23" s="74">
        <f>ROUND(N23-O23,2)</f>
        <v>481.23</v>
      </c>
      <c r="Q23" s="74">
        <f>ROUND(P23*K23%,2)</f>
        <v>12.03</v>
      </c>
      <c r="R23" s="74">
        <f>M23+O23+Q23</f>
        <v>30.8</v>
      </c>
      <c r="S23" s="74">
        <f>(H23-R23)</f>
        <v>469.2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0</v>
      </c>
      <c r="Y23" s="74">
        <f>IF($C$21=4,ROUND(((S23*U23)/2),2),0)</f>
        <v>0</v>
      </c>
      <c r="Z23" s="84">
        <v>0.01</v>
      </c>
      <c r="AA23" s="74">
        <f>IF($C21=3,0,ROUND(S23*Z23,2))</f>
        <v>0</v>
      </c>
      <c r="AB23" s="74">
        <f>V23+W23+X23+Y23+AA23</f>
        <v>0</v>
      </c>
      <c r="AC23" s="74">
        <f>IF($V21=1,S23+AB23,S23)</f>
        <v>469.2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35513.748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17756.874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17756.874</v>
      </c>
      <c r="AS23" s="88" t="s">
        <v>222</v>
      </c>
      <c r="AT23" s="88" t="s">
        <v>58</v>
      </c>
      <c r="AU23" t="s">
        <v>223</v>
      </c>
      <c r="AV23" t="s">
        <v>308</v>
      </c>
      <c r="AW23" s="88">
        <f>AM23</f>
        <v>2</v>
      </c>
      <c r="AX23" s="88">
        <f>AR23</f>
        <v>17756.874</v>
      </c>
      <c r="AY23" s="88">
        <f>AU23+AW23</f>
        <v>4</v>
      </c>
      <c r="AZ23" s="88">
        <f>ROUND(((AU23*AV23)+(AW23*AX23))/(AU23+AW23),5)</f>
        <v>9003.0645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</v>
      </c>
      <c r="BM23" t="s">
        <v>309</v>
      </c>
      <c r="BN23" t="s">
        <v>310</v>
      </c>
      <c r="BO23" s="88">
        <f>ROUND((((AW23*AZ23)+(BN23*BM23))/(AW23+BN23)),5)</f>
        <v>3121.14775</v>
      </c>
      <c r="BP23" s="92">
        <f>BN23+AW23</f>
        <v>20</v>
      </c>
      <c r="BQ23" s="93">
        <v>123562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500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30.8</v>
      </c>
      <c r="S24" s="82">
        <f>SUM(S23:S23)</f>
        <v>469.2</v>
      </c>
      <c r="T24" s="76"/>
      <c r="U24" s="76"/>
      <c r="V24" s="83">
        <f>SUM(V23:V23)</f>
        <v>0</v>
      </c>
      <c r="W24" s="83">
        <f>SUM(W23:W23)</f>
        <v>0</v>
      </c>
      <c r="X24" s="83">
        <f>SUM(X23:X23)</f>
        <v>0</v>
      </c>
      <c r="Y24" s="83">
        <f>SUM(Y23:Y23)</f>
        <v>0</v>
      </c>
      <c r="Z24" s="83"/>
      <c r="AA24" s="83">
        <f>SUM(AA23:AA23)</f>
        <v>0</v>
      </c>
      <c r="AB24" s="76">
        <f>SUM(AB23:AB23)</f>
        <v>0</v>
      </c>
      <c r="AC24" s="85">
        <f>SUM(AC23:AC23)</f>
        <v>469.2</v>
      </c>
      <c r="AD24" s="86">
        <f t="shared" ref="AD24:AE24" si="5">SUM(AD23:AD23)</f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35513.748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9" workbookViewId="0">
      <selection activeCell="C32" sqref="C32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252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311</v>
      </c>
      <c r="H23" s="74">
        <f>F23*G23</f>
        <v>200</v>
      </c>
      <c r="I23" t="s">
        <v>223</v>
      </c>
      <c r="J23" s="74">
        <v>1.79</v>
      </c>
      <c r="K23" s="74">
        <v>2.5</v>
      </c>
      <c r="L23" s="74">
        <f>H23</f>
        <v>200</v>
      </c>
      <c r="M23" s="74">
        <f>ROUND(L23*I23%,2)</f>
        <v>4</v>
      </c>
      <c r="N23" s="74">
        <f>H23-M23</f>
        <v>196</v>
      </c>
      <c r="O23" s="74">
        <f>ROUND(N23*J23%,2)</f>
        <v>3.51</v>
      </c>
      <c r="P23" s="74">
        <f>ROUND(N23-O23,2)</f>
        <v>192.49</v>
      </c>
      <c r="Q23" s="74">
        <f>ROUND(P23*K23%,2)</f>
        <v>4.81</v>
      </c>
      <c r="R23" s="74">
        <f>M23+O23+Q23</f>
        <v>12.32</v>
      </c>
      <c r="S23" s="74">
        <f>(H23-R23)</f>
        <v>187.68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33.78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33.78</v>
      </c>
      <c r="AC23" s="74">
        <f>IF($V21=1,S23+AB23,S23)</f>
        <v>221.46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187.68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93.84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93.84</v>
      </c>
      <c r="AS23" s="88" t="s">
        <v>312</v>
      </c>
      <c r="AT23" s="88" t="s">
        <v>58</v>
      </c>
      <c r="AU23" t="s">
        <v>223</v>
      </c>
      <c r="AV23" t="s">
        <v>313</v>
      </c>
      <c r="AW23" s="88">
        <f>AM23</f>
        <v>2</v>
      </c>
      <c r="AX23" s="88">
        <f>AR23</f>
        <v>93.84</v>
      </c>
      <c r="AY23" s="88">
        <f>AU23+AW23</f>
        <v>4</v>
      </c>
      <c r="AZ23" s="88">
        <f>ROUND(((AU23*AV23)+(AW23*AX23))/(AU23+AW23),5)</f>
        <v>93.84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314</v>
      </c>
      <c r="BM23" t="s">
        <v>313</v>
      </c>
      <c r="BN23" t="s">
        <v>304</v>
      </c>
      <c r="BO23" s="88">
        <f>ROUND((((AW23*AZ23)+(BN23*BM23))/(AW23+BN23)),5)</f>
        <v>93.84</v>
      </c>
      <c r="BP23" s="92">
        <f>BN23+AW23</f>
        <v>6</v>
      </c>
      <c r="BQ23" s="93">
        <v>88363222</v>
      </c>
      <c r="BR23" s="92"/>
    </row>
    <row r="24" ht="15.25" spans="1:70">
      <c r="A24" s="73">
        <v>2</v>
      </c>
      <c r="B24" s="73" t="s">
        <v>255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234</v>
      </c>
      <c r="H24" s="74">
        <f>F24*G24</f>
        <v>400</v>
      </c>
      <c r="I24" t="s">
        <v>223</v>
      </c>
      <c r="J24" s="74">
        <v>1.79</v>
      </c>
      <c r="K24" s="74">
        <v>2.5</v>
      </c>
      <c r="L24" s="74">
        <f>H24</f>
        <v>400</v>
      </c>
      <c r="M24" s="74">
        <f>ROUND(L24*I24%,2)</f>
        <v>8</v>
      </c>
      <c r="N24" s="74">
        <f>H24-M24</f>
        <v>392</v>
      </c>
      <c r="O24" s="74">
        <f>ROUND(N24*J24%,2)</f>
        <v>7.02</v>
      </c>
      <c r="P24" s="74">
        <f>ROUND(N24-O24,2)</f>
        <v>384.98</v>
      </c>
      <c r="Q24" s="74">
        <f>ROUND(P24*K24%,2)</f>
        <v>9.62</v>
      </c>
      <c r="R24" s="74">
        <f>M24+O24+Q24</f>
        <v>24.64</v>
      </c>
      <c r="S24" s="74">
        <f>(H24-R24)</f>
        <v>375.36</v>
      </c>
      <c r="T24" s="74" t="s">
        <v>146</v>
      </c>
      <c r="U24" s="74">
        <v>0.18</v>
      </c>
      <c r="V24" s="74">
        <f>IF(OR($C$21=1,$C$21=4),ROUND(((S24*U24)/2),2),0)</f>
        <v>0</v>
      </c>
      <c r="W24" s="74">
        <f>IF($C$21=1,ROUND(((S24*U24)/2),2),0)</f>
        <v>0</v>
      </c>
      <c r="X24" s="74">
        <f>IF($C$21=2,ROUND(((S24*U24)),2),0)</f>
        <v>67.56</v>
      </c>
      <c r="Y24" s="74">
        <f>IF($C$21=4,ROUND(((S24*U24)/2),2),0)</f>
        <v>0</v>
      </c>
      <c r="Z24" s="84">
        <v>0</v>
      </c>
      <c r="AA24" s="74">
        <f>IF($C22=3,0,ROUND(S24*Z24,2))</f>
        <v>0</v>
      </c>
      <c r="AB24" s="74">
        <f>V24+W24+X24+Y24+AA24</f>
        <v>67.56</v>
      </c>
      <c r="AC24" s="74">
        <f>IF($V22=1,S24+AB24,S24)</f>
        <v>375.36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375.36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187.68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187.68</v>
      </c>
      <c r="AS24" s="88" t="s">
        <v>312</v>
      </c>
      <c r="AT24" s="88" t="s">
        <v>58</v>
      </c>
      <c r="AU24" t="s">
        <v>304</v>
      </c>
      <c r="AV24" t="s">
        <v>315</v>
      </c>
      <c r="AW24" s="88">
        <f>AM24</f>
        <v>2</v>
      </c>
      <c r="AX24" s="88">
        <f>AR24</f>
        <v>187.68</v>
      </c>
      <c r="AY24" s="88">
        <f>AU24+AW24</f>
        <v>6</v>
      </c>
      <c r="AZ24" s="88">
        <f>ROUND(((AU24*AV24)+(AW24*AX24))/(AU24+AW24),5)</f>
        <v>187.68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314</v>
      </c>
      <c r="BM24" t="s">
        <v>315</v>
      </c>
      <c r="BN24" t="s">
        <v>223</v>
      </c>
      <c r="BO24" s="88">
        <f>ROUND((((AW24*AZ24)+(BN24*BM24))/(AW24+BN24)),5)</f>
        <v>187.68</v>
      </c>
      <c r="BP24" s="92">
        <f>BN24+AW24</f>
        <v>4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600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36.96</v>
      </c>
      <c r="S25" s="82">
        <f>SUM(S23:S24)</f>
        <v>563.04</v>
      </c>
      <c r="T25" s="76"/>
      <c r="U25" s="76"/>
      <c r="V25" s="83">
        <f>SUM(V23:V24)</f>
        <v>0</v>
      </c>
      <c r="W25" s="83">
        <f>SUM(W23:W24)</f>
        <v>0</v>
      </c>
      <c r="X25" s="83">
        <f>SUM(X23:X24)</f>
        <v>101.34</v>
      </c>
      <c r="Y25" s="83">
        <f>SUM(Y23:Y24)</f>
        <v>0</v>
      </c>
      <c r="Z25" s="83"/>
      <c r="AA25" s="83">
        <f>SUM(AA23:AA24)</f>
        <v>0</v>
      </c>
      <c r="AB25" s="76">
        <f>SUM(AB23:AB24)</f>
        <v>101.34</v>
      </c>
      <c r="AC25" s="85">
        <f>SUM(AC23:AC24)</f>
        <v>596.82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563.04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J16" workbookViewId="0">
      <selection activeCell="AR24" sqref="AR24"/>
    </sheetView>
  </sheetViews>
  <sheetFormatPr defaultColWidth="9" defaultRowHeight="14.5"/>
  <cols>
    <col min="2" max="2" width="31.5727272727273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300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271</v>
      </c>
      <c r="H23" s="74">
        <f>F23*G23</f>
        <v>2460</v>
      </c>
      <c r="I23" t="s">
        <v>316</v>
      </c>
      <c r="J23" s="74">
        <v>1.79</v>
      </c>
      <c r="K23" s="74">
        <v>2.5</v>
      </c>
      <c r="L23" s="74">
        <f>H23</f>
        <v>2460</v>
      </c>
      <c r="M23" s="74">
        <f>ROUND(L23*I23%,2)</f>
        <v>51.66</v>
      </c>
      <c r="N23" s="74">
        <f>H23-M23</f>
        <v>2408.34</v>
      </c>
      <c r="O23" s="74">
        <f>ROUND(N23*J23%,2)</f>
        <v>43.11</v>
      </c>
      <c r="P23" s="74">
        <f>ROUND(N23-O23,2)</f>
        <v>2365.23</v>
      </c>
      <c r="Q23" s="74">
        <f>ROUND(P23*K23%,2)</f>
        <v>59.13</v>
      </c>
      <c r="R23" s="74">
        <f>M23+O23+Q23</f>
        <v>153.9</v>
      </c>
      <c r="S23" s="74">
        <f>(H23-R23)</f>
        <v>2306.1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415.1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415.1</v>
      </c>
      <c r="AC23" s="74">
        <f>IF($V21=1,S23+AB23,S23)</f>
        <v>2721.2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2306.1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1153.05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1153.05</v>
      </c>
      <c r="AS23" s="88" t="s">
        <v>312</v>
      </c>
      <c r="AT23" s="88" t="s">
        <v>58</v>
      </c>
      <c r="AW23" s="88">
        <f>AM23</f>
        <v>2</v>
      </c>
      <c r="AX23" s="88">
        <f>AR23</f>
        <v>1153.05</v>
      </c>
      <c r="AY23" s="88">
        <f>AU23+AW23</f>
        <v>2</v>
      </c>
      <c r="AZ23" s="88">
        <f>ROUND(((AU23*AV23)+(AW23*AX23))/(AU23+AW23),5)</f>
        <v>1153.05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314</v>
      </c>
      <c r="BM23" t="s">
        <v>240</v>
      </c>
      <c r="BN23" t="s">
        <v>240</v>
      </c>
      <c r="BO23" s="88">
        <f>ROUND((((AW23*AZ23)+(BN23*BM23))/(AW23+BN23)),5)</f>
        <v>1153.05</v>
      </c>
      <c r="BP23" s="92">
        <f>BN23+AW23</f>
        <v>2</v>
      </c>
      <c r="BQ23" s="93">
        <v>88363222</v>
      </c>
      <c r="BR23" s="92"/>
    </row>
    <row r="24" ht="15.25" spans="1:70">
      <c r="A24" s="73">
        <v>2</v>
      </c>
      <c r="B24" s="73" t="s">
        <v>302</v>
      </c>
      <c r="C24" s="73" t="s">
        <v>57</v>
      </c>
      <c r="D24" s="73" t="s">
        <v>58</v>
      </c>
      <c r="E24" s="73" t="s">
        <v>58</v>
      </c>
      <c r="F24" s="74">
        <v>2</v>
      </c>
      <c r="G24">
        <v>1243</v>
      </c>
      <c r="H24" s="74">
        <f>F24*G24</f>
        <v>2486</v>
      </c>
      <c r="I24">
        <v>2</v>
      </c>
      <c r="J24" s="74">
        <v>1.79</v>
      </c>
      <c r="K24" s="74">
        <v>2.5</v>
      </c>
      <c r="L24" s="74">
        <f>H24</f>
        <v>2486</v>
      </c>
      <c r="M24" s="74">
        <f>ROUND(L24*I24%,2)</f>
        <v>49.72</v>
      </c>
      <c r="N24" s="74">
        <f>H24-M24</f>
        <v>2436.28</v>
      </c>
      <c r="O24" s="74">
        <f>ROUND(N24*J24%,2)</f>
        <v>43.61</v>
      </c>
      <c r="P24" s="74">
        <f>ROUND(N24-O24,2)</f>
        <v>2392.67</v>
      </c>
      <c r="Q24" s="74">
        <f>ROUND(P24*K24%,2)</f>
        <v>59.82</v>
      </c>
      <c r="R24" s="74">
        <f>M24+O24+Q24</f>
        <v>153.15</v>
      </c>
      <c r="S24" s="74">
        <f>(H24-R24)</f>
        <v>2332.85</v>
      </c>
      <c r="T24" s="74" t="s">
        <v>146</v>
      </c>
      <c r="U24" s="74">
        <v>0.18</v>
      </c>
      <c r="V24" s="74">
        <f>IF(OR($C$21=1,$C$21=4),ROUND(((S24*U24)/2),2),0)</f>
        <v>0</v>
      </c>
      <c r="W24" s="74">
        <f>IF($C$21=1,ROUND(((S24*U24)/2),2),0)</f>
        <v>0</v>
      </c>
      <c r="X24" s="74">
        <f>IF($C$21=2,ROUND(((S24*U24)),2),0)</f>
        <v>419.91</v>
      </c>
      <c r="Y24" s="74">
        <f>IF($C$21=4,ROUND(((S24*U24)/2),2),0)</f>
        <v>0</v>
      </c>
      <c r="Z24" s="84">
        <v>0</v>
      </c>
      <c r="AA24" s="74">
        <f>IF($C22=3,0,ROUND(S24*Z24,2))</f>
        <v>0</v>
      </c>
      <c r="AB24" s="74">
        <f>V24+W24+X24+Y24+AA24</f>
        <v>419.91</v>
      </c>
      <c r="AC24" s="74">
        <f>IF($V22=1,S24+AB24,S24)</f>
        <v>2332.85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2332.85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1166.425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1166.425</v>
      </c>
      <c r="AS24" s="88" t="s">
        <v>312</v>
      </c>
      <c r="AT24" s="88" t="s">
        <v>58</v>
      </c>
      <c r="AW24" s="88">
        <f>AM24</f>
        <v>2</v>
      </c>
      <c r="AX24" s="88">
        <f>AR24</f>
        <v>1166.425</v>
      </c>
      <c r="AY24" s="88">
        <f>AU24+AW24</f>
        <v>2</v>
      </c>
      <c r="AZ24" s="88">
        <f>ROUND(((AU24*AV24)+(AW24*AX24))/(AU24+AW24),5)</f>
        <v>1166.425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314</v>
      </c>
      <c r="BM24" t="s">
        <v>240</v>
      </c>
      <c r="BN24" t="s">
        <v>240</v>
      </c>
      <c r="BO24" s="88">
        <f>ROUND((((AW24*AZ24)+(BN24*BM24))/(AW24+BN24)),5)</f>
        <v>1166.425</v>
      </c>
      <c r="BP24" s="92">
        <f>BN24+AW24</f>
        <v>2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4946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307.05</v>
      </c>
      <c r="S25" s="82">
        <f>SUM(S23:S24)</f>
        <v>4638.95</v>
      </c>
      <c r="T25" s="76"/>
      <c r="U25" s="76"/>
      <c r="V25" s="83">
        <f>SUM(V23:V24)</f>
        <v>0</v>
      </c>
      <c r="W25" s="83">
        <f>SUM(W23:W24)</f>
        <v>0</v>
      </c>
      <c r="X25" s="83">
        <f>SUM(X23:X24)</f>
        <v>835.01</v>
      </c>
      <c r="Y25" s="83">
        <f>SUM(Y23:Y24)</f>
        <v>0</v>
      </c>
      <c r="Z25" s="83"/>
      <c r="AA25" s="83">
        <f>SUM(AA23:AA24)</f>
        <v>0</v>
      </c>
      <c r="AB25" s="76">
        <f>SUM(AB23:AB24)</f>
        <v>835.01</v>
      </c>
      <c r="AC25" s="85">
        <f>SUM(AC23:AC24)</f>
        <v>5054.05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4638.95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B23" sqref="B23"/>
    </sheetView>
  </sheetViews>
  <sheetFormatPr defaultColWidth="9" defaultRowHeight="14.5"/>
  <cols>
    <col min="2" max="2" width="40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233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234</v>
      </c>
      <c r="H23" s="74">
        <f>F23*G23</f>
        <v>400</v>
      </c>
      <c r="I23" t="s">
        <v>223</v>
      </c>
      <c r="J23" s="74">
        <v>1.79</v>
      </c>
      <c r="K23" s="74">
        <v>2.5</v>
      </c>
      <c r="L23" s="74">
        <f>H23</f>
        <v>400</v>
      </c>
      <c r="M23" s="74">
        <f>ROUND(L23*I23%,2)</f>
        <v>8</v>
      </c>
      <c r="N23" s="74">
        <f>H23-M23</f>
        <v>392</v>
      </c>
      <c r="O23" s="74">
        <f>ROUND(N23*J23%,2)</f>
        <v>7.02</v>
      </c>
      <c r="P23" s="74">
        <f>ROUND(N23-O23,2)</f>
        <v>384.98</v>
      </c>
      <c r="Q23" s="74">
        <f>ROUND(P23*K23%,2)</f>
        <v>9.62</v>
      </c>
      <c r="R23" s="74">
        <f>M23+O23+Q23</f>
        <v>24.64</v>
      </c>
      <c r="S23" s="74">
        <f>(H23-R23)</f>
        <v>375.36</v>
      </c>
      <c r="T23" s="74" t="s">
        <v>146</v>
      </c>
      <c r="U23" s="74">
        <v>0.18</v>
      </c>
      <c r="V23" s="74">
        <f>IF(OR($C$21=1,$C$21=4),ROUND(((S23*U23)/2),2),0)</f>
        <v>33.78</v>
      </c>
      <c r="W23" s="74">
        <f>IF($C$21=1,ROUND(((S23*U23)/2),2),0)</f>
        <v>33.78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67.56</v>
      </c>
      <c r="AC23" s="74">
        <f>IF($V21=1,S23+AB23,S23)</f>
        <v>442.92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375.36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187.68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187.68</v>
      </c>
      <c r="AS23" s="88" t="s">
        <v>222</v>
      </c>
      <c r="AT23" s="88" t="s">
        <v>58</v>
      </c>
      <c r="AU23" t="s">
        <v>223</v>
      </c>
      <c r="AV23" t="s">
        <v>317</v>
      </c>
      <c r="AW23" s="88">
        <f>AM23</f>
        <v>2</v>
      </c>
      <c r="AX23" s="88">
        <f>AR23</f>
        <v>187.68</v>
      </c>
      <c r="AY23" s="88">
        <f>AU23+AW23</f>
        <v>4</v>
      </c>
      <c r="AZ23" s="88">
        <f>ROUND(((AU23*AV23)+(AW23*AX23))/(AU23+AW23),5)</f>
        <v>259.33313</v>
      </c>
      <c r="BA23" s="90"/>
      <c r="BB23" s="90" t="s">
        <v>149</v>
      </c>
      <c r="BC23" s="100" t="s">
        <v>29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</v>
      </c>
      <c r="BM23" t="s">
        <v>318</v>
      </c>
      <c r="BN23" t="s">
        <v>243</v>
      </c>
      <c r="BO23" s="88">
        <f>ROUND((((AW23*AZ23)+(BN23*BM23))/(AW23+BN23)),5)</f>
        <v>268.43745</v>
      </c>
      <c r="BP23" s="92">
        <f>BN23+AW23</f>
        <v>26</v>
      </c>
      <c r="BQ23" s="93">
        <v>88363221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400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24.64</v>
      </c>
      <c r="S24" s="82">
        <f>SUM(S23:S23)</f>
        <v>375.36</v>
      </c>
      <c r="T24" s="76"/>
      <c r="U24" s="76"/>
      <c r="V24" s="83">
        <f>SUM(V23:V23)</f>
        <v>33.78</v>
      </c>
      <c r="W24" s="83">
        <f>SUM(W23:W23)</f>
        <v>33.78</v>
      </c>
      <c r="X24" s="83">
        <f>SUM(X23:X23)</f>
        <v>0</v>
      </c>
      <c r="Y24" s="83">
        <f>SUM(Y23:Y23)</f>
        <v>0</v>
      </c>
      <c r="Z24" s="83"/>
      <c r="AA24" s="83">
        <f>SUM(AA23:AA23)</f>
        <v>0</v>
      </c>
      <c r="AB24" s="76">
        <f>SUM(AB23:AB23)</f>
        <v>67.56</v>
      </c>
      <c r="AC24" s="85">
        <f>SUM(AC23:AC23)</f>
        <v>442.92</v>
      </c>
      <c r="AD24" s="86">
        <f t="shared" ref="AD24:AE24" si="5">SUM(AD23:AD23)</f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375.36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BG13" workbookViewId="0">
      <selection activeCell="BQ23" sqref="BQ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221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253</v>
      </c>
      <c r="H23" s="74">
        <f>F23*G23</f>
        <v>910</v>
      </c>
      <c r="I23">
        <v>2</v>
      </c>
      <c r="J23" s="74">
        <v>2</v>
      </c>
      <c r="K23" s="74">
        <v>3</v>
      </c>
      <c r="L23" s="74">
        <f>H23</f>
        <v>910</v>
      </c>
      <c r="M23" s="74">
        <f>ROUND(L23*I23%,2)</f>
        <v>18.2</v>
      </c>
      <c r="N23" s="74">
        <f>H23-M23</f>
        <v>891.8</v>
      </c>
      <c r="O23" s="74">
        <f>ROUND(N23*J23%,2)</f>
        <v>17.84</v>
      </c>
      <c r="P23" s="74">
        <f>ROUND(N23-O23,2)</f>
        <v>873.96</v>
      </c>
      <c r="Q23" s="74">
        <f>ROUND(P23*K23%,2)</f>
        <v>26.22</v>
      </c>
      <c r="R23" s="74">
        <f>M23+O23+Q23</f>
        <v>62.26</v>
      </c>
      <c r="S23" s="74">
        <f>(H23-R23)</f>
        <v>847.74</v>
      </c>
      <c r="T23" s="74" t="s">
        <v>146</v>
      </c>
      <c r="U23" s="74">
        <v>0.18</v>
      </c>
      <c r="V23" s="74">
        <f>IF(OR($C$21=1,$C$21=4),ROUND(((S23*U23)/2),2),0)</f>
        <v>76.3</v>
      </c>
      <c r="W23" s="74">
        <f>IF($C$21=1,ROUND(((S23*U23)/2),2),0)</f>
        <v>76.3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152.6</v>
      </c>
      <c r="AC23" s="74">
        <f>IF($V21=1,S23+AB23,S23)</f>
        <v>1000.34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847.74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423.87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423.87</v>
      </c>
      <c r="AS23" s="88" t="s">
        <v>222</v>
      </c>
      <c r="AT23" s="88" t="s">
        <v>58</v>
      </c>
      <c r="AU23" t="s">
        <v>223</v>
      </c>
      <c r="AV23" t="s">
        <v>317</v>
      </c>
      <c r="AW23" s="88">
        <f>AM23</f>
        <v>2</v>
      </c>
      <c r="AX23" s="88">
        <f>AR23</f>
        <v>423.87</v>
      </c>
      <c r="AY23" s="88">
        <f>AU23+AW23</f>
        <v>4</v>
      </c>
      <c r="AZ23" s="88">
        <f>ROUND(((AU23*AV23)+(AW23*AX23))/(AU23+AW23),5)</f>
        <v>377.42813</v>
      </c>
      <c r="BA23" s="90"/>
      <c r="BB23" s="90" t="s">
        <v>149</v>
      </c>
      <c r="BC23" s="100" t="s">
        <v>29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</v>
      </c>
      <c r="BM23" t="s">
        <v>318</v>
      </c>
      <c r="BN23" t="s">
        <v>243</v>
      </c>
      <c r="BO23" s="88">
        <f>ROUND((((AW23*AZ23)+(BN23*BM23))/(AW23+BN23)),5)</f>
        <v>277.52168</v>
      </c>
      <c r="BP23" s="92">
        <f>BN23+AW23</f>
        <v>26</v>
      </c>
      <c r="BQ23" s="93">
        <v>88363222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910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62.26</v>
      </c>
      <c r="S24" s="82">
        <f>SUM(S23:S23)</f>
        <v>847.74</v>
      </c>
      <c r="T24" s="76"/>
      <c r="U24" s="76"/>
      <c r="V24" s="83">
        <f>SUM(V23:V23)</f>
        <v>76.3</v>
      </c>
      <c r="W24" s="83">
        <f>SUM(W23:W23)</f>
        <v>76.3</v>
      </c>
      <c r="X24" s="83">
        <f>SUM(X23:X23)</f>
        <v>0</v>
      </c>
      <c r="Y24" s="83">
        <f>SUM(Y23:Y23)</f>
        <v>0</v>
      </c>
      <c r="Z24" s="83"/>
      <c r="AA24" s="83">
        <f>SUM(AA23:AA23)</f>
        <v>0</v>
      </c>
      <c r="AB24" s="76">
        <f>SUM(AB23:AB23)</f>
        <v>152.6</v>
      </c>
      <c r="AC24" s="85">
        <f>SUM(AC23:AC23)</f>
        <v>1000.34</v>
      </c>
      <c r="AD24" s="86">
        <f t="shared" ref="AD24:AE24" si="5">SUM(AD23:AD23)</f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847.74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C31" sqref="C31"/>
    </sheetView>
  </sheetViews>
  <sheetFormatPr defaultColWidth="9" defaultRowHeight="14.5"/>
  <cols>
    <col min="2" max="2" width="34.5727272727273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259</v>
      </c>
      <c r="C23" s="73" t="s">
        <v>259</v>
      </c>
      <c r="D23" s="73" t="s">
        <v>58</v>
      </c>
      <c r="E23" s="73" t="s">
        <v>58</v>
      </c>
      <c r="F23" s="74">
        <v>2</v>
      </c>
      <c r="G23" t="s">
        <v>234</v>
      </c>
      <c r="H23" s="74">
        <f>F23*G23</f>
        <v>400</v>
      </c>
      <c r="I23" t="s">
        <v>223</v>
      </c>
      <c r="J23" s="74">
        <v>1.79</v>
      </c>
      <c r="K23" s="74">
        <v>2.5</v>
      </c>
      <c r="L23" s="74">
        <f>H23</f>
        <v>400</v>
      </c>
      <c r="M23" s="74">
        <f>ROUND(L23*I23%,2)</f>
        <v>8</v>
      </c>
      <c r="N23" s="74">
        <f>H23-M23</f>
        <v>392</v>
      </c>
      <c r="O23" s="74">
        <f>ROUND(N23*J23%,2)</f>
        <v>7.02</v>
      </c>
      <c r="P23" s="74">
        <f>ROUND(N23-O23,2)</f>
        <v>384.98</v>
      </c>
      <c r="Q23" s="74">
        <f>ROUND(P23*K23%,2)</f>
        <v>9.62</v>
      </c>
      <c r="R23" s="74">
        <f>M23+O23+Q23</f>
        <v>24.64</v>
      </c>
      <c r="S23" s="74">
        <f>(H23-R23)</f>
        <v>375.36</v>
      </c>
      <c r="T23" s="74" t="s">
        <v>146</v>
      </c>
      <c r="U23" s="74">
        <v>0.18</v>
      </c>
      <c r="V23" s="74">
        <f>IF(OR($C$21=1,$C$21=4),ROUND(((S23*U23)/2),2),0)</f>
        <v>33.78</v>
      </c>
      <c r="W23" s="74">
        <f>IF($C$21=1,ROUND(((S23*U23)/2),2),0)</f>
        <v>33.78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67.56</v>
      </c>
      <c r="AC23" s="74">
        <f>IF($V21=1,S23+AB23,S23)</f>
        <v>442.92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375.36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187.68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187.68</v>
      </c>
      <c r="AS23" s="88" t="s">
        <v>229</v>
      </c>
      <c r="AT23" s="88" t="s">
        <v>58</v>
      </c>
      <c r="AU23" t="s">
        <v>240</v>
      </c>
      <c r="AV23" t="s">
        <v>315</v>
      </c>
      <c r="AW23" s="88">
        <f>AM23</f>
        <v>2</v>
      </c>
      <c r="AX23" s="88">
        <f>AR23</f>
        <v>187.68</v>
      </c>
      <c r="AY23" s="88">
        <f>AU23+AW23</f>
        <v>2</v>
      </c>
      <c r="AZ23" s="88">
        <f>ROUND(((AU23*AV23)+(AW23*AX23))/(AU23+AW23),5)</f>
        <v>187.68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230</v>
      </c>
      <c r="BM23" t="s">
        <v>319</v>
      </c>
      <c r="BN23" t="s">
        <v>320</v>
      </c>
      <c r="BO23" s="88">
        <f>ROUND((((AW23*AZ23)+(BN23*BM23))/(AW23+BN23)),5)</f>
        <v>186.91706</v>
      </c>
      <c r="BP23" s="92">
        <f>BN23+AW23</f>
        <v>82</v>
      </c>
      <c r="BQ23" s="93">
        <v>88363222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400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24.64</v>
      </c>
      <c r="S24" s="82">
        <f>SUM(S23:S23)</f>
        <v>375.36</v>
      </c>
      <c r="T24" s="76"/>
      <c r="U24" s="76"/>
      <c r="V24" s="83">
        <f>SUM(V23:V23)</f>
        <v>33.78</v>
      </c>
      <c r="W24" s="83">
        <f>SUM(W23:W23)</f>
        <v>33.78</v>
      </c>
      <c r="X24" s="83">
        <f>SUM(X23:X23)</f>
        <v>0</v>
      </c>
      <c r="Y24" s="83">
        <f>SUM(Y23:Y23)</f>
        <v>0</v>
      </c>
      <c r="Z24" s="83"/>
      <c r="AA24" s="83">
        <f>SUM(AA23:AA23)</f>
        <v>0</v>
      </c>
      <c r="AB24" s="76">
        <f>SUM(AB23:AB23)</f>
        <v>67.56</v>
      </c>
      <c r="AC24" s="85">
        <f>SUM(AC23:AC23)</f>
        <v>442.92</v>
      </c>
      <c r="AD24" s="86">
        <f t="shared" ref="AD24:AE24" si="5">SUM(AD23:AD23)</f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375.36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A23" sqref="A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246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234</v>
      </c>
      <c r="H23" s="74">
        <f>F23*G23</f>
        <v>400</v>
      </c>
      <c r="I23" t="s">
        <v>223</v>
      </c>
      <c r="J23" s="74">
        <v>2</v>
      </c>
      <c r="K23" s="74">
        <v>2</v>
      </c>
      <c r="L23" s="74">
        <f>H23</f>
        <v>400</v>
      </c>
      <c r="M23" s="74">
        <f>ROUND(L23*I23%,2)</f>
        <v>8</v>
      </c>
      <c r="N23" s="74">
        <f>H23-M23</f>
        <v>392</v>
      </c>
      <c r="O23" s="74">
        <f>ROUND(N23*J23%,2)</f>
        <v>7.84</v>
      </c>
      <c r="P23" s="74">
        <f>ROUND(N23-O23,2)</f>
        <v>384.16</v>
      </c>
      <c r="Q23" s="74">
        <f>ROUND(P23*K23%,2)</f>
        <v>7.68</v>
      </c>
      <c r="R23" s="74">
        <f>M23+O23+Q23</f>
        <v>23.52</v>
      </c>
      <c r="S23" s="74">
        <f>(H23-R23)</f>
        <v>376.48</v>
      </c>
      <c r="T23" s="74" t="s">
        <v>146</v>
      </c>
      <c r="U23" s="74">
        <v>0.18</v>
      </c>
      <c r="V23" s="74">
        <f>IF(OR($C$21=1,$C$21=4),ROUND(((S23*U23)/2),2),0)</f>
        <v>33.88</v>
      </c>
      <c r="W23" s="74">
        <f>IF($C$21=1,ROUND(((S23*U23)/2),2),0)</f>
        <v>33.88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67.76</v>
      </c>
      <c r="AC23" s="74">
        <f>IF($V21=1,S23+AB23,S23)</f>
        <v>444.24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376.48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188.24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188.24</v>
      </c>
      <c r="AS23" s="88" t="s">
        <v>229</v>
      </c>
      <c r="AT23" s="88" t="s">
        <v>58</v>
      </c>
      <c r="AU23" t="s">
        <v>240</v>
      </c>
      <c r="AV23" t="s">
        <v>247</v>
      </c>
      <c r="AW23" s="88">
        <f>AM23</f>
        <v>2</v>
      </c>
      <c r="AX23" s="88">
        <f>AR23</f>
        <v>188.24</v>
      </c>
      <c r="AY23" s="88">
        <f>AU23+AW23</f>
        <v>2</v>
      </c>
      <c r="AZ23" s="88">
        <f>ROUND(((AU23*AV23)+(AW23*AX23))/(AU23+AW23),5)</f>
        <v>188.24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230</v>
      </c>
      <c r="BM23" t="s">
        <v>247</v>
      </c>
      <c r="BN23" t="s">
        <v>304</v>
      </c>
      <c r="BO23" s="88">
        <f>ROUND((((AW23*AZ23)+(BN23*BM23))/(AW23+BN23)),5)</f>
        <v>186.96</v>
      </c>
      <c r="BP23" s="92">
        <f>BN23+AW23</f>
        <v>6</v>
      </c>
      <c r="BQ23" s="93">
        <v>88363222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400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23.52</v>
      </c>
      <c r="S24" s="82">
        <f>SUM(S23:S23)</f>
        <v>376.48</v>
      </c>
      <c r="T24" s="76"/>
      <c r="U24" s="76"/>
      <c r="V24" s="83">
        <f>SUM(V23:V23)</f>
        <v>33.88</v>
      </c>
      <c r="W24" s="83">
        <f>SUM(W23:W23)</f>
        <v>33.88</v>
      </c>
      <c r="X24" s="83">
        <f>SUM(X23:X23)</f>
        <v>0</v>
      </c>
      <c r="Y24" s="83">
        <f>SUM(Y23:Y23)</f>
        <v>0</v>
      </c>
      <c r="Z24" s="83"/>
      <c r="AA24" s="83">
        <f>SUM(AA23:AA23)</f>
        <v>0</v>
      </c>
      <c r="AB24" s="76">
        <f>SUM(AB23:AB23)</f>
        <v>67.76</v>
      </c>
      <c r="AC24" s="85">
        <f>SUM(AC23:AC23)</f>
        <v>444.24</v>
      </c>
      <c r="AD24" s="86">
        <f t="shared" ref="AD24:AE24" si="5">SUM(AD23:AD23)</f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376.48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BK16" workbookViewId="0">
      <selection activeCell="BQ23" sqref="BQ23"/>
    </sheetView>
  </sheetViews>
  <sheetFormatPr defaultColWidth="9" defaultRowHeight="14.5"/>
  <cols>
    <col min="2" max="2" width="34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321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234</v>
      </c>
      <c r="H23" s="74">
        <f>F23*G23</f>
        <v>400</v>
      </c>
      <c r="I23" t="s">
        <v>223</v>
      </c>
      <c r="J23" s="74">
        <v>2</v>
      </c>
      <c r="K23" s="74">
        <v>2</v>
      </c>
      <c r="L23" s="74">
        <f>H23</f>
        <v>400</v>
      </c>
      <c r="M23" s="74">
        <f>ROUND(L23*I23%,2)</f>
        <v>8</v>
      </c>
      <c r="N23" s="74">
        <f>H23-M23</f>
        <v>392</v>
      </c>
      <c r="O23" s="74">
        <f>ROUND(N23*J23%,2)</f>
        <v>7.84</v>
      </c>
      <c r="P23" s="74">
        <f>ROUND(N23-O23,2)</f>
        <v>384.16</v>
      </c>
      <c r="Q23" s="74">
        <f>ROUND(P23*K23%,2)</f>
        <v>7.68</v>
      </c>
      <c r="R23" s="74">
        <f>M23+O23+Q23</f>
        <v>23.52</v>
      </c>
      <c r="S23" s="74">
        <f>(H23-R23)</f>
        <v>376.48</v>
      </c>
      <c r="T23" s="74" t="s">
        <v>146</v>
      </c>
      <c r="U23" s="74">
        <v>0.18</v>
      </c>
      <c r="V23" s="74">
        <f>IF(OR($C$21=1,$C$21=4),ROUND(((S23*U23)/2),2),0)</f>
        <v>33.88</v>
      </c>
      <c r="W23" s="74">
        <f>IF($C$21=1,ROUND(((S23*U23)/2),2),0)</f>
        <v>33.88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67.76</v>
      </c>
      <c r="AC23" s="74">
        <f>IF($V21=1,S23+AB23,S23)</f>
        <v>444.24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376.48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188.24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188.24</v>
      </c>
      <c r="AS23" s="88" t="s">
        <v>222</v>
      </c>
      <c r="AT23" s="88" t="s">
        <v>58</v>
      </c>
      <c r="AU23" t="s">
        <v>322</v>
      </c>
      <c r="AV23" t="s">
        <v>323</v>
      </c>
      <c r="AW23" s="88">
        <f>AM23</f>
        <v>2</v>
      </c>
      <c r="AX23" s="88">
        <f>AR23</f>
        <v>188.24</v>
      </c>
      <c r="AY23" s="88">
        <f>AU23+AW23</f>
        <v>18</v>
      </c>
      <c r="AZ23" s="88">
        <f>ROUND(((AU23*AV23)+(AW23*AX23))/(AU23+AW23),5)</f>
        <v>186.08428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230</v>
      </c>
      <c r="BM23" t="s">
        <v>324</v>
      </c>
      <c r="BN23" t="s">
        <v>310</v>
      </c>
      <c r="BO23" s="88">
        <f>ROUND((((AW23*AZ23)+(BN23*BM23))/(AW23+BN23)),5)</f>
        <v>184.80458</v>
      </c>
      <c r="BP23" s="92">
        <f>BN23+AW23</f>
        <v>20</v>
      </c>
      <c r="BQ23" s="93">
        <v>88363221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400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23.52</v>
      </c>
      <c r="S24" s="82">
        <f>SUM(S23:S23)</f>
        <v>376.48</v>
      </c>
      <c r="T24" s="76"/>
      <c r="U24" s="76"/>
      <c r="V24" s="83">
        <f>SUM(V23:V23)</f>
        <v>33.88</v>
      </c>
      <c r="W24" s="83">
        <f>SUM(W23:W23)</f>
        <v>33.88</v>
      </c>
      <c r="X24" s="83">
        <f>SUM(X23:X23)</f>
        <v>0</v>
      </c>
      <c r="Y24" s="83">
        <f>SUM(Y23:Y23)</f>
        <v>0</v>
      </c>
      <c r="Z24" s="83"/>
      <c r="AA24" s="83">
        <f>SUM(AA23:AA23)</f>
        <v>0</v>
      </c>
      <c r="AB24" s="76">
        <f>SUM(AB23:AB23)</f>
        <v>67.76</v>
      </c>
      <c r="AC24" s="85">
        <f>SUM(AC23:AC23)</f>
        <v>444.24</v>
      </c>
      <c r="AD24" s="86">
        <f t="shared" ref="AD24:AE24" si="5">SUM(AD23:AD23)</f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376.48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A34" sqref="A34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325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232</v>
      </c>
      <c r="H23" s="74">
        <f>F23*G23</f>
        <v>500</v>
      </c>
      <c r="I23" t="s">
        <v>223</v>
      </c>
      <c r="J23" s="74">
        <v>1.79</v>
      </c>
      <c r="K23" s="74">
        <v>2.5</v>
      </c>
      <c r="L23" s="74">
        <f>H23</f>
        <v>500</v>
      </c>
      <c r="M23" s="74">
        <f>ROUND(L23*I23%,2)</f>
        <v>10</v>
      </c>
      <c r="N23" s="74">
        <f>H23-M23</f>
        <v>490</v>
      </c>
      <c r="O23" s="74">
        <f>ROUND(N23*J23%,2)</f>
        <v>8.77</v>
      </c>
      <c r="P23" s="74">
        <f>ROUND(N23-O23,2)</f>
        <v>481.23</v>
      </c>
      <c r="Q23" s="74">
        <f>ROUND(P23*K23%,2)</f>
        <v>12.03</v>
      </c>
      <c r="R23" s="74">
        <f>M23+O23+Q23</f>
        <v>30.8</v>
      </c>
      <c r="S23" s="74">
        <f>(H23-R23)</f>
        <v>469.2</v>
      </c>
      <c r="T23" s="74" t="s">
        <v>146</v>
      </c>
      <c r="U23" s="74">
        <v>0.18</v>
      </c>
      <c r="V23" s="74">
        <f>IF(OR($C$21=1,$C$21=4),ROUND(((S23*U23)/2),2),0)</f>
        <v>42.23</v>
      </c>
      <c r="W23" s="74">
        <f>IF($C$21=1,ROUND(((S23*U23)/2),2),0)</f>
        <v>42.23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84.46</v>
      </c>
      <c r="AC23" s="74">
        <f>IF($V21=1,S23+AB23,S23)</f>
        <v>553.66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469.2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234.6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234.6</v>
      </c>
      <c r="AS23" s="88" t="s">
        <v>222</v>
      </c>
      <c r="AT23" s="88" t="s">
        <v>58</v>
      </c>
      <c r="AU23" t="s">
        <v>223</v>
      </c>
      <c r="AV23" t="s">
        <v>317</v>
      </c>
      <c r="AW23" s="88">
        <f>AM23</f>
        <v>2</v>
      </c>
      <c r="AX23" s="88">
        <f>AR23</f>
        <v>234.6</v>
      </c>
      <c r="AY23" s="88">
        <f>AU23+AW23</f>
        <v>4</v>
      </c>
      <c r="AZ23" s="88">
        <f>ROUND(((AU23*AV23)+(AW23*AX23))/(AU23+AW23),5)</f>
        <v>282.79313</v>
      </c>
      <c r="BA23" s="90"/>
      <c r="BB23" s="90" t="s">
        <v>149</v>
      </c>
      <c r="BC23" s="100" t="s">
        <v>29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</v>
      </c>
      <c r="BM23" t="s">
        <v>318</v>
      </c>
      <c r="BN23" t="s">
        <v>243</v>
      </c>
      <c r="BO23" s="88">
        <f>ROUND((((AW23*AZ23)+(BN23*BM23))/(AW23+BN23)),5)</f>
        <v>270.24206</v>
      </c>
      <c r="BP23" s="92">
        <f>BN23+AW23</f>
        <v>26</v>
      </c>
      <c r="BQ23" s="93">
        <v>123562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500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30.8</v>
      </c>
      <c r="S24" s="82">
        <f>SUM(S23:S23)</f>
        <v>469.2</v>
      </c>
      <c r="T24" s="76"/>
      <c r="U24" s="76"/>
      <c r="V24" s="83">
        <f>SUM(V23:V23)</f>
        <v>42.23</v>
      </c>
      <c r="W24" s="83">
        <f>SUM(W23:W23)</f>
        <v>42.23</v>
      </c>
      <c r="X24" s="83">
        <f>SUM(X23:X23)</f>
        <v>0</v>
      </c>
      <c r="Y24" s="83">
        <f>SUM(Y23:Y23)</f>
        <v>0</v>
      </c>
      <c r="Z24" s="83"/>
      <c r="AA24" s="83">
        <f>SUM(AA23:AA23)</f>
        <v>0</v>
      </c>
      <c r="AB24" s="76">
        <f>SUM(AB23:AB23)</f>
        <v>84.46</v>
      </c>
      <c r="AC24" s="85">
        <f>SUM(AC23:AC23)</f>
        <v>553.66</v>
      </c>
      <c r="AD24" s="86">
        <f t="shared" ref="AD24:AE24" si="5">SUM(AD23:AD23)</f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469.2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E16" workbookViewId="0">
      <selection activeCell="L30" sqref="L30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326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228</v>
      </c>
      <c r="H23" s="74">
        <f>F23*G23</f>
        <v>800</v>
      </c>
      <c r="I23" t="s">
        <v>266</v>
      </c>
      <c r="J23" s="74">
        <v>1.79</v>
      </c>
      <c r="K23" s="74">
        <v>2.5</v>
      </c>
      <c r="L23" s="74">
        <f>H23</f>
        <v>800</v>
      </c>
      <c r="M23" s="74">
        <f>ROUND(L23*I23%,2)</f>
        <v>24</v>
      </c>
      <c r="N23" s="74">
        <f>H23-M23</f>
        <v>776</v>
      </c>
      <c r="O23" s="74">
        <f>ROUND(N23*J23%,2)</f>
        <v>13.89</v>
      </c>
      <c r="P23" s="74">
        <f>ROUND(N23-O23,2)</f>
        <v>762.11</v>
      </c>
      <c r="Q23" s="74">
        <f>ROUND(P23*K23%,2)</f>
        <v>19.05</v>
      </c>
      <c r="R23" s="74">
        <f>M23+O23+Q23</f>
        <v>56.94</v>
      </c>
      <c r="S23" s="74">
        <f>(H23-R23)</f>
        <v>743.06</v>
      </c>
      <c r="T23" s="74" t="s">
        <v>146</v>
      </c>
      <c r="U23" s="74">
        <v>0.18</v>
      </c>
      <c r="V23" s="74">
        <f>IF(OR($C$21=1,$C$21=4),ROUND(((S23*U23)/2),2),0)</f>
        <v>66.88</v>
      </c>
      <c r="W23" s="74">
        <f>IF($C$21=1,ROUND(((S23*U23)/2),2),0)</f>
        <v>66.88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133.76</v>
      </c>
      <c r="AC23" s="74">
        <f>IF($V21=1,S23+AB23,S23)</f>
        <v>876.82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743.06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371.53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371.53</v>
      </c>
      <c r="AS23" s="88" t="s">
        <v>229</v>
      </c>
      <c r="AT23" s="88" t="s">
        <v>58</v>
      </c>
      <c r="AU23" t="s">
        <v>269</v>
      </c>
      <c r="AV23" t="s">
        <v>327</v>
      </c>
      <c r="AW23" s="88">
        <f>AM23</f>
        <v>2</v>
      </c>
      <c r="AX23" s="88">
        <f>AR23</f>
        <v>371.53</v>
      </c>
      <c r="AY23" s="88">
        <f>AU23+AW23</f>
        <v>14</v>
      </c>
      <c r="AZ23" s="88">
        <f>ROUND(((AU23*AV23)+(AW23*AX23))/(AU23+AW23),5)</f>
        <v>361.87055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230</v>
      </c>
      <c r="BM23" t="s">
        <v>328</v>
      </c>
      <c r="BN23" t="s">
        <v>310</v>
      </c>
      <c r="BO23" s="88">
        <f>ROUND((((AW23*AZ23)+(BN23*BM23))/(AW23+BN23)),5)</f>
        <v>341.64568</v>
      </c>
      <c r="BP23" s="92">
        <f>BN23+AW23</f>
        <v>20</v>
      </c>
      <c r="BQ23" s="93">
        <v>88363222</v>
      </c>
      <c r="BR23" s="92"/>
    </row>
    <row r="24" ht="15.25" spans="1:70">
      <c r="A24" s="73">
        <v>2</v>
      </c>
      <c r="B24" s="73" t="s">
        <v>329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228</v>
      </c>
      <c r="H24" s="74">
        <f>F24*G24</f>
        <v>800</v>
      </c>
      <c r="I24" t="s">
        <v>304</v>
      </c>
      <c r="J24" s="74">
        <v>1.79</v>
      </c>
      <c r="K24" s="74">
        <v>2.5</v>
      </c>
      <c r="L24" s="74">
        <f>H24</f>
        <v>800</v>
      </c>
      <c r="M24" s="74">
        <f>ROUND(L24*I24%,2)</f>
        <v>32</v>
      </c>
      <c r="N24" s="74">
        <f>H24-M24</f>
        <v>768</v>
      </c>
      <c r="O24" s="74">
        <f>ROUND(N24*J24%,2)</f>
        <v>13.75</v>
      </c>
      <c r="P24" s="74">
        <f>ROUND(N24-O24,2)</f>
        <v>754.25</v>
      </c>
      <c r="Q24" s="74">
        <f>ROUND(P24*K24%,2)</f>
        <v>18.86</v>
      </c>
      <c r="R24" s="74">
        <f>M24+O24+Q24</f>
        <v>64.61</v>
      </c>
      <c r="S24" s="74">
        <f>(H24-R24)</f>
        <v>735.39</v>
      </c>
      <c r="T24" s="74" t="s">
        <v>146</v>
      </c>
      <c r="U24" s="74">
        <v>0.18</v>
      </c>
      <c r="V24" s="74">
        <f>IF(OR($C$21=1,$C$21=4),ROUND(((S24*U24)/2),2),0)</f>
        <v>66.19</v>
      </c>
      <c r="W24" s="74">
        <f>IF($C$21=1,ROUND(((S24*U24)/2),2),0)</f>
        <v>66.19</v>
      </c>
      <c r="X24" s="74">
        <f>IF($C$21=2,ROUND(((S24*U24)),2),0)</f>
        <v>0</v>
      </c>
      <c r="Y24" s="74">
        <f>IF($C$21=4,ROUND(((S24*U24)/2),2),0)</f>
        <v>0</v>
      </c>
      <c r="Z24" s="84">
        <v>0</v>
      </c>
      <c r="AA24" s="74">
        <f>IF($C22=3,0,ROUND(S24*Z24,2))</f>
        <v>0</v>
      </c>
      <c r="AB24" s="74">
        <f>V24+W24+X24+Y24+AA24</f>
        <v>132.38</v>
      </c>
      <c r="AC24" s="74">
        <f>IF($V22=1,S24+AB24,S24)</f>
        <v>735.39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735.39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367.695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367.695</v>
      </c>
      <c r="AS24" s="88" t="s">
        <v>229</v>
      </c>
      <c r="AT24" s="88" t="s">
        <v>58</v>
      </c>
      <c r="AU24" t="s">
        <v>304</v>
      </c>
      <c r="AV24" t="s">
        <v>330</v>
      </c>
      <c r="AW24" s="88">
        <f>AM24</f>
        <v>2</v>
      </c>
      <c r="AX24" s="88">
        <f>AR24</f>
        <v>367.695</v>
      </c>
      <c r="AY24" s="88">
        <f>AU24+AW24</f>
        <v>6</v>
      </c>
      <c r="AZ24" s="88">
        <f>ROUND(((AU24*AV24)+(AW24*AX24))/(AU24+AW24),5)</f>
        <v>367.695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230</v>
      </c>
      <c r="BM24" t="s">
        <v>330</v>
      </c>
      <c r="BN24" t="s">
        <v>310</v>
      </c>
      <c r="BO24" s="88">
        <f>ROUND((((AW24*AZ24)+(BN24*BM24))/(AW24+BN24)),5)</f>
        <v>367.695</v>
      </c>
      <c r="BP24" s="92">
        <f>BN24+AW24</f>
        <v>20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1600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121.55</v>
      </c>
      <c r="S25" s="82">
        <f>SUM(S23:S24)</f>
        <v>1478.45</v>
      </c>
      <c r="T25" s="76"/>
      <c r="U25" s="76"/>
      <c r="V25" s="83">
        <f>SUM(V23:V24)</f>
        <v>133.07</v>
      </c>
      <c r="W25" s="83">
        <f>SUM(W23:W24)</f>
        <v>133.07</v>
      </c>
      <c r="X25" s="83">
        <f>SUM(X23:X24)</f>
        <v>0</v>
      </c>
      <c r="Y25" s="83">
        <f>SUM(Y23:Y24)</f>
        <v>0</v>
      </c>
      <c r="Z25" s="83"/>
      <c r="AA25" s="83">
        <f>SUM(AA23:AA24)</f>
        <v>0</v>
      </c>
      <c r="AB25" s="76">
        <f>SUM(AB23:AB24)</f>
        <v>266.14</v>
      </c>
      <c r="AC25" s="85">
        <f>SUM(AC23:AC24)</f>
        <v>1612.21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1478.45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3" workbookViewId="0">
      <selection activeCell="B23" sqref="B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331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271</v>
      </c>
      <c r="H23" s="74">
        <f>F23*G23</f>
        <v>2460</v>
      </c>
      <c r="I23" t="s">
        <v>272</v>
      </c>
      <c r="J23" s="74">
        <v>1.79</v>
      </c>
      <c r="K23" s="74">
        <v>2.5</v>
      </c>
      <c r="L23" s="74">
        <f>H23</f>
        <v>2460</v>
      </c>
      <c r="M23" s="74">
        <f>ROUND(L23*I23%,2)</f>
        <v>24.6</v>
      </c>
      <c r="N23" s="74">
        <f>H23-M23</f>
        <v>2435.4</v>
      </c>
      <c r="O23" s="74">
        <f>ROUND(N23*J23%,2)</f>
        <v>43.59</v>
      </c>
      <c r="P23" s="74">
        <f>ROUND(N23-O23,2)</f>
        <v>2391.81</v>
      </c>
      <c r="Q23" s="74">
        <f>ROUND(P23*K23%,2)</f>
        <v>59.8</v>
      </c>
      <c r="R23" s="74">
        <f>M23+O23+Q23</f>
        <v>127.99</v>
      </c>
      <c r="S23" s="74">
        <f>(H23-R23)</f>
        <v>2332.01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419.76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419.76</v>
      </c>
      <c r="AC23" s="74">
        <f>IF($V21=1,S23+AB23,S23)</f>
        <v>2751.77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2332.01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1166.005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1166.005</v>
      </c>
      <c r="AS23" s="88" t="s">
        <v>332</v>
      </c>
      <c r="AT23" s="88" t="s">
        <v>58</v>
      </c>
      <c r="AU23" t="s">
        <v>240</v>
      </c>
      <c r="AV23" t="s">
        <v>333</v>
      </c>
      <c r="AW23" s="88">
        <f>AM23</f>
        <v>2</v>
      </c>
      <c r="AX23" s="88">
        <f>AR23</f>
        <v>1166.005</v>
      </c>
      <c r="AY23" s="88">
        <f>AU23+AW23</f>
        <v>2</v>
      </c>
      <c r="AZ23" s="88">
        <f>ROUND(((AU23*AV23)+(AW23*AX23))/(AU23+AW23),5)</f>
        <v>1166.005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334</v>
      </c>
      <c r="BM23" t="s">
        <v>335</v>
      </c>
      <c r="BN23" t="s">
        <v>226</v>
      </c>
      <c r="BO23" s="88">
        <f>ROUND((((AW23*AZ23)+(BN23*BM23))/(AW23+BN23)),5)</f>
        <v>855.44667</v>
      </c>
      <c r="BP23" s="92">
        <f>BN23+AW23</f>
        <v>12</v>
      </c>
      <c r="BQ23" s="93">
        <v>123562</v>
      </c>
      <c r="BR23" s="92"/>
    </row>
    <row r="24" ht="15.25" spans="1:70">
      <c r="A24" s="73">
        <v>2</v>
      </c>
      <c r="B24" s="73" t="s">
        <v>336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278</v>
      </c>
      <c r="H24" s="74">
        <f>F24*G24</f>
        <v>506</v>
      </c>
      <c r="I24" t="s">
        <v>272</v>
      </c>
      <c r="J24" s="74">
        <v>1.79</v>
      </c>
      <c r="K24" s="74">
        <v>2.5</v>
      </c>
      <c r="L24" s="74">
        <f>H24</f>
        <v>506</v>
      </c>
      <c r="M24" s="74">
        <f>ROUND(L24*I24%,2)</f>
        <v>5.06</v>
      </c>
      <c r="N24" s="74">
        <f>H24-M24</f>
        <v>500.94</v>
      </c>
      <c r="O24" s="74">
        <f>ROUND(N24*J24%,2)</f>
        <v>8.97</v>
      </c>
      <c r="P24" s="74">
        <f>ROUND(N24-O24,2)</f>
        <v>491.97</v>
      </c>
      <c r="Q24" s="74">
        <f>ROUND(P24*K24%,2)</f>
        <v>12.3</v>
      </c>
      <c r="R24" s="74">
        <f>M24+O24+Q24</f>
        <v>26.33</v>
      </c>
      <c r="S24" s="74">
        <f>(H24-R24)</f>
        <v>479.67</v>
      </c>
      <c r="T24" s="74" t="s">
        <v>146</v>
      </c>
      <c r="U24" s="74">
        <v>0.18</v>
      </c>
      <c r="V24" s="74">
        <f>IF(OR($C$21=1,$C$21=4),ROUND(((S24*U24)/2),2),0)</f>
        <v>0</v>
      </c>
      <c r="W24" s="74">
        <f>IF($C$21=1,ROUND(((S24*U24)/2),2),0)</f>
        <v>0</v>
      </c>
      <c r="X24" s="74">
        <f>IF($C$21=2,ROUND(((S24*U24)),2),0)</f>
        <v>86.34</v>
      </c>
      <c r="Y24" s="74">
        <f>IF($C$21=4,ROUND(((S24*U24)/2),2),0)</f>
        <v>0</v>
      </c>
      <c r="Z24" s="84">
        <v>0</v>
      </c>
      <c r="AA24" s="74">
        <f>IF($C22=3,0,ROUND(S24*Z24,2))</f>
        <v>0</v>
      </c>
      <c r="AB24" s="74">
        <f>V24+W24+X24+Y24+AA24</f>
        <v>86.34</v>
      </c>
      <c r="AC24" s="74">
        <f>IF($V22=1,S24+AB24,S24)</f>
        <v>479.67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479.67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239.835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239.835</v>
      </c>
      <c r="AS24" s="88" t="s">
        <v>332</v>
      </c>
      <c r="AT24" s="88" t="s">
        <v>58</v>
      </c>
      <c r="AU24" t="s">
        <v>240</v>
      </c>
      <c r="AV24" t="s">
        <v>337</v>
      </c>
      <c r="AW24" s="88">
        <f>AM24</f>
        <v>2</v>
      </c>
      <c r="AX24" s="88">
        <f>AR24</f>
        <v>239.835</v>
      </c>
      <c r="AY24" s="88">
        <f>AU24+AW24</f>
        <v>2</v>
      </c>
      <c r="AZ24" s="88">
        <f>ROUND(((AU24*AV24)+(AW24*AX24))/(AU24+AW24),5)</f>
        <v>239.835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334</v>
      </c>
      <c r="BM24" t="s">
        <v>338</v>
      </c>
      <c r="BN24" t="s">
        <v>269</v>
      </c>
      <c r="BO24" s="88">
        <f>ROUND((((AW24*AZ24)+(BN24*BM24))/(AW24+BN24)),5)</f>
        <v>189.89286</v>
      </c>
      <c r="BP24" s="92">
        <f>BN24+AW24</f>
        <v>14</v>
      </c>
      <c r="BQ24" s="93">
        <v>123562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2966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154.32</v>
      </c>
      <c r="S25" s="82">
        <f>SUM(S23:S24)</f>
        <v>2811.68</v>
      </c>
      <c r="T25" s="76"/>
      <c r="U25" s="76"/>
      <c r="V25" s="83">
        <f>SUM(V23:V24)</f>
        <v>0</v>
      </c>
      <c r="W25" s="83">
        <f>SUM(W23:W24)</f>
        <v>0</v>
      </c>
      <c r="X25" s="83">
        <f>SUM(X23:X24)</f>
        <v>506.1</v>
      </c>
      <c r="Y25" s="83">
        <f>SUM(Y23:Y24)</f>
        <v>0</v>
      </c>
      <c r="Z25" s="83"/>
      <c r="AA25" s="83">
        <f>SUM(AA23:AA24)</f>
        <v>0</v>
      </c>
      <c r="AB25" s="76">
        <f>SUM(AB23:AB24)</f>
        <v>506.1</v>
      </c>
      <c r="AC25" s="85">
        <f>SUM(AC23:AC24)</f>
        <v>3231.44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2811.68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zoomScale="115" zoomScaleNormal="115" topLeftCell="A13" workbookViewId="0">
      <selection activeCell="AQ24" sqref="AQ24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  <col min="69" max="69" width="10.1363636363636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259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271</v>
      </c>
      <c r="H23" s="74">
        <f>F23*G23</f>
        <v>2460</v>
      </c>
      <c r="I23" t="s">
        <v>272</v>
      </c>
      <c r="J23" s="74">
        <v>1.79</v>
      </c>
      <c r="K23" s="74">
        <v>2.5</v>
      </c>
      <c r="L23" s="74">
        <f>H23</f>
        <v>2460</v>
      </c>
      <c r="M23" s="74">
        <f>ROUND(L23*I23%,2)</f>
        <v>24.6</v>
      </c>
      <c r="N23" s="74">
        <f>H23-M23</f>
        <v>2435.4</v>
      </c>
      <c r="O23" s="74">
        <f>ROUND(N23*J23%,2)</f>
        <v>43.59</v>
      </c>
      <c r="P23" s="74">
        <f>ROUND(N23-O23,2)</f>
        <v>2391.81</v>
      </c>
      <c r="Q23" s="74">
        <f>ROUND(P23*K23%,2)</f>
        <v>59.8</v>
      </c>
      <c r="R23" s="74">
        <f>M23+O23+Q23</f>
        <v>127.99</v>
      </c>
      <c r="S23" s="74">
        <f>(H23-R23)</f>
        <v>2332.01</v>
      </c>
      <c r="T23" s="74" t="s">
        <v>146</v>
      </c>
      <c r="U23" s="74">
        <v>0.18</v>
      </c>
      <c r="V23" s="74">
        <f>IF(OR($C$21=1,$C$21=4),ROUND(((S23*U23)/2),2),0)</f>
        <v>209.88</v>
      </c>
      <c r="W23" s="74">
        <f>IF($C$21=1,ROUND(((S23*U23)/2),2),0)</f>
        <v>209.88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419.76</v>
      </c>
      <c r="AC23" s="74">
        <f>IF($V21=1,S23+AB23,S23)</f>
        <v>2751.77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2332.01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1166.005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1166.005</v>
      </c>
      <c r="AS23" s="88" t="s">
        <v>229</v>
      </c>
      <c r="AT23" s="88" t="s">
        <v>58</v>
      </c>
      <c r="AU23" t="s">
        <v>240</v>
      </c>
      <c r="AV23" t="s">
        <v>339</v>
      </c>
      <c r="AW23" s="88">
        <f>AM23</f>
        <v>2</v>
      </c>
      <c r="AX23" s="88">
        <f>AR23</f>
        <v>1166.005</v>
      </c>
      <c r="AY23" s="88">
        <f>AU23+AW23</f>
        <v>2</v>
      </c>
      <c r="AZ23" s="88">
        <f>ROUND(((AU23*AV23)+(AW23*AX23))/(AU23+AW23),5)</f>
        <v>1166.005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230</v>
      </c>
      <c r="BM23" t="s">
        <v>339</v>
      </c>
      <c r="BN23" t="s">
        <v>340</v>
      </c>
      <c r="BO23" s="88">
        <f>ROUND((((AW23*AZ23)+(BN23*BM23))/(AW23+BN23)),5)</f>
        <v>567.679</v>
      </c>
      <c r="BP23" s="92">
        <f>BN23+AW23</f>
        <v>10</v>
      </c>
      <c r="BQ23" s="93">
        <v>88363222</v>
      </c>
      <c r="BR23" s="92"/>
    </row>
    <row r="24" ht="15.25" spans="1:70">
      <c r="A24" s="73">
        <v>2</v>
      </c>
      <c r="B24" s="73" t="s">
        <v>263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278</v>
      </c>
      <c r="H24" s="74">
        <f>F24*G24</f>
        <v>506</v>
      </c>
      <c r="I24" t="s">
        <v>272</v>
      </c>
      <c r="J24" s="74">
        <v>1.79</v>
      </c>
      <c r="K24" s="74">
        <v>2.5</v>
      </c>
      <c r="L24" s="74">
        <f>H24</f>
        <v>506</v>
      </c>
      <c r="M24" s="74">
        <f>ROUND(L24*I24%,2)</f>
        <v>5.06</v>
      </c>
      <c r="N24" s="74">
        <f>H24-M24</f>
        <v>500.94</v>
      </c>
      <c r="O24" s="74">
        <f>ROUND(N24*J24%,2)</f>
        <v>8.97</v>
      </c>
      <c r="P24" s="74">
        <f>ROUND(N24-O24,2)</f>
        <v>491.97</v>
      </c>
      <c r="Q24" s="74">
        <f>ROUND(P24*K24%,2)</f>
        <v>12.3</v>
      </c>
      <c r="R24" s="74">
        <f>M24+O24+Q24</f>
        <v>26.33</v>
      </c>
      <c r="S24" s="74">
        <f>(H24-R24)</f>
        <v>479.67</v>
      </c>
      <c r="T24" s="74" t="s">
        <v>146</v>
      </c>
      <c r="U24" s="74">
        <v>0.18</v>
      </c>
      <c r="V24" s="74">
        <f>IF(OR($C$21=1,$C$21=4),ROUND(((S24*U24)/2),2),0)</f>
        <v>43.17</v>
      </c>
      <c r="W24" s="74">
        <f>IF($C$21=1,ROUND(((S24*U24)/2),2),0)</f>
        <v>43.17</v>
      </c>
      <c r="X24" s="74">
        <f>IF($C$21=2,ROUND(((S24*U24)),2),0)</f>
        <v>0</v>
      </c>
      <c r="Y24" s="74">
        <f>IF($C$21=4,ROUND(((S24*U24)/2),2),0)</f>
        <v>0</v>
      </c>
      <c r="Z24" s="84">
        <v>0</v>
      </c>
      <c r="AA24" s="74">
        <f>IF($C22=3,0,ROUND(S24*Z24,2))</f>
        <v>0</v>
      </c>
      <c r="AB24" s="74">
        <f>V24+W24+X24+Y24+AA24</f>
        <v>86.34</v>
      </c>
      <c r="AC24" s="74">
        <f>IF($V22=1,S24+AB24,S24)</f>
        <v>479.67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479.67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239.835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239.835</v>
      </c>
      <c r="AS24" s="88" t="s">
        <v>229</v>
      </c>
      <c r="AT24" s="88" t="s">
        <v>58</v>
      </c>
      <c r="AU24" t="s">
        <v>240</v>
      </c>
      <c r="AV24" t="s">
        <v>341</v>
      </c>
      <c r="AW24" s="88">
        <f>AM24</f>
        <v>2</v>
      </c>
      <c r="AX24" s="88">
        <f>AR24</f>
        <v>239.835</v>
      </c>
      <c r="AY24" s="88">
        <f>AU24+AW24</f>
        <v>2</v>
      </c>
      <c r="AZ24" s="88">
        <f>ROUND(((AU24*AV24)+(AW24*AX24))/(AU24+AW24),5)</f>
        <v>239.835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230</v>
      </c>
      <c r="BM24" t="s">
        <v>341</v>
      </c>
      <c r="BN24" t="s">
        <v>226</v>
      </c>
      <c r="BO24" s="88">
        <f>ROUND((((AW24*AZ24)+(BN24*BM24))/(AW24+BN24)),5)</f>
        <v>305.2575</v>
      </c>
      <c r="BP24" s="92">
        <f>BN24+AW24</f>
        <v>12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2966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154.32</v>
      </c>
      <c r="S25" s="82">
        <f>SUM(S23:S24)</f>
        <v>2811.68</v>
      </c>
      <c r="T25" s="76"/>
      <c r="U25" s="76"/>
      <c r="V25" s="83">
        <f>SUM(V23:V24)</f>
        <v>253.05</v>
      </c>
      <c r="W25" s="83">
        <f>SUM(W23:W24)</f>
        <v>253.05</v>
      </c>
      <c r="X25" s="83">
        <f>SUM(X23:X24)</f>
        <v>0</v>
      </c>
      <c r="Y25" s="83">
        <f>SUM(Y23:Y24)</f>
        <v>0</v>
      </c>
      <c r="Z25" s="83"/>
      <c r="AA25" s="83">
        <f>SUM(AA23:AA24)</f>
        <v>0</v>
      </c>
      <c r="AB25" s="76">
        <f>SUM(AB23:AB24)</f>
        <v>506.1</v>
      </c>
      <c r="AC25" s="85">
        <f>SUM(AC23:AC24)</f>
        <v>3231.44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2811.68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3" workbookViewId="0">
      <selection activeCell="B23" sqref="B23:B24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342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343</v>
      </c>
      <c r="H23" s="74">
        <f>F23*G23</f>
        <v>488</v>
      </c>
      <c r="I23" t="s">
        <v>223</v>
      </c>
      <c r="J23" s="74">
        <v>1.79</v>
      </c>
      <c r="K23" s="74">
        <v>2.5</v>
      </c>
      <c r="L23" s="74">
        <f>H23</f>
        <v>488</v>
      </c>
      <c r="M23" s="74">
        <f>ROUND(L23*I23%,2)</f>
        <v>9.76</v>
      </c>
      <c r="N23" s="74">
        <f>H23-M23</f>
        <v>478.24</v>
      </c>
      <c r="O23" s="74">
        <f>ROUND(N23*J23%,2)</f>
        <v>8.56</v>
      </c>
      <c r="P23" s="74">
        <f>ROUND(N23-O23,2)</f>
        <v>469.68</v>
      </c>
      <c r="Q23" s="74">
        <f>ROUND(P23*K23%,2)</f>
        <v>11.74</v>
      </c>
      <c r="R23" s="74">
        <f>M23+O23+Q23</f>
        <v>30.06</v>
      </c>
      <c r="S23" s="74">
        <f>(H23-R23)</f>
        <v>457.94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82.43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82.43</v>
      </c>
      <c r="AC23" s="74">
        <f>IF($V21=1,S23+AB23,S23)</f>
        <v>540.37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457.94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228.97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228.97</v>
      </c>
      <c r="AS23" s="88" t="s">
        <v>332</v>
      </c>
      <c r="AT23" s="88" t="s">
        <v>58</v>
      </c>
      <c r="AU23" t="s">
        <v>240</v>
      </c>
      <c r="AV23" t="s">
        <v>344</v>
      </c>
      <c r="AW23" s="88">
        <f>AM23</f>
        <v>2</v>
      </c>
      <c r="AX23" s="88">
        <f>AR23</f>
        <v>228.97</v>
      </c>
      <c r="AY23" s="88">
        <f>AU23+AW23</f>
        <v>2</v>
      </c>
      <c r="AZ23" s="88">
        <f>ROUND(((AU23*AV23)+(AW23*AX23))/(AU23+AW23),5)</f>
        <v>228.97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334</v>
      </c>
      <c r="BM23" t="s">
        <v>344</v>
      </c>
      <c r="BN23" t="s">
        <v>226</v>
      </c>
      <c r="BO23" s="88">
        <f>ROUND((((AW23*AZ23)+(BN23*BM23))/(AW23+BN23)),5)</f>
        <v>228.97</v>
      </c>
      <c r="BP23" s="92">
        <f>BN23+AW23</f>
        <v>12</v>
      </c>
      <c r="BQ23" s="93">
        <v>123562</v>
      </c>
      <c r="BR23" s="92"/>
    </row>
    <row r="24" ht="15.25" spans="1:70">
      <c r="A24" s="73">
        <v>2</v>
      </c>
      <c r="B24" s="73" t="s">
        <v>345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346</v>
      </c>
      <c r="H24" s="74">
        <f>F24*G24</f>
        <v>688</v>
      </c>
      <c r="I24" t="s">
        <v>266</v>
      </c>
      <c r="J24" s="74">
        <v>1.79</v>
      </c>
      <c r="K24" s="74">
        <v>2.5</v>
      </c>
      <c r="L24" s="74">
        <f>H24</f>
        <v>688</v>
      </c>
      <c r="M24" s="74">
        <f>ROUND(L24*I24%,2)</f>
        <v>20.64</v>
      </c>
      <c r="N24" s="74">
        <f>H24-M24</f>
        <v>667.36</v>
      </c>
      <c r="O24" s="74">
        <f>ROUND(N24*J24%,2)</f>
        <v>11.95</v>
      </c>
      <c r="P24" s="74">
        <f>ROUND(N24-O24,2)</f>
        <v>655.41</v>
      </c>
      <c r="Q24" s="74">
        <f>ROUND(P24*K24%,2)</f>
        <v>16.39</v>
      </c>
      <c r="R24" s="74">
        <f>M24+O24+Q24</f>
        <v>48.98</v>
      </c>
      <c r="S24" s="74">
        <f>(H24-R24)</f>
        <v>639.02</v>
      </c>
      <c r="T24" s="74" t="s">
        <v>146</v>
      </c>
      <c r="U24" s="74">
        <v>0.18</v>
      </c>
      <c r="V24" s="74">
        <f>IF(OR($C$21=1,$C$21=4),ROUND(((S24*U24)/2),2),0)</f>
        <v>0</v>
      </c>
      <c r="W24" s="74">
        <f>IF($C$21=1,ROUND(((S24*U24)/2),2),0)</f>
        <v>0</v>
      </c>
      <c r="X24" s="74">
        <f>IF($C$21=2,ROUND(((S24*U24)),2),0)</f>
        <v>115.02</v>
      </c>
      <c r="Y24" s="74">
        <f>IF($C$21=4,ROUND(((S24*U24)/2),2),0)</f>
        <v>0</v>
      </c>
      <c r="Z24" s="84">
        <v>0</v>
      </c>
      <c r="AA24" s="74">
        <f>IF($C22=3,0,ROUND(S24*Z24,2))</f>
        <v>0</v>
      </c>
      <c r="AB24" s="74">
        <f>V24+W24+X24+Y24+AA24</f>
        <v>115.02</v>
      </c>
      <c r="AC24" s="74">
        <f>IF($V22=1,S24+AB24,S24)</f>
        <v>639.02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639.02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319.51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319.51</v>
      </c>
      <c r="AS24" s="88" t="s">
        <v>332</v>
      </c>
      <c r="AT24" s="88" t="s">
        <v>58</v>
      </c>
      <c r="AU24" t="s">
        <v>240</v>
      </c>
      <c r="AV24" t="s">
        <v>347</v>
      </c>
      <c r="AW24" s="88">
        <f>AM24</f>
        <v>2</v>
      </c>
      <c r="AX24" s="88">
        <f>AR24</f>
        <v>319.51</v>
      </c>
      <c r="AY24" s="88">
        <f>AU24+AW24</f>
        <v>2</v>
      </c>
      <c r="AZ24" s="88">
        <f>ROUND(((AU24*AV24)+(AW24*AX24))/(AU24+AW24),5)</f>
        <v>319.51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334</v>
      </c>
      <c r="BM24" t="s">
        <v>348</v>
      </c>
      <c r="BN24" t="s">
        <v>269</v>
      </c>
      <c r="BO24" s="88">
        <f>ROUND((((AW24*AZ24)+(BN24*BM24))/(AW24+BN24)),5)</f>
        <v>319.76857</v>
      </c>
      <c r="BP24" s="92">
        <f>BN24+AW24</f>
        <v>14</v>
      </c>
      <c r="BQ24" s="93">
        <v>123562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1176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79.04</v>
      </c>
      <c r="S25" s="82">
        <f>SUM(S23:S24)</f>
        <v>1096.96</v>
      </c>
      <c r="T25" s="76"/>
      <c r="U25" s="76"/>
      <c r="V25" s="83">
        <f>SUM(V23:V24)</f>
        <v>0</v>
      </c>
      <c r="W25" s="83">
        <f>SUM(W23:W24)</f>
        <v>0</v>
      </c>
      <c r="X25" s="83">
        <f>SUM(X23:X24)</f>
        <v>197.45</v>
      </c>
      <c r="Y25" s="83">
        <f>SUM(Y23:Y24)</f>
        <v>0</v>
      </c>
      <c r="Z25" s="83"/>
      <c r="AA25" s="83">
        <f>SUM(AA23:AA24)</f>
        <v>0</v>
      </c>
      <c r="AB25" s="76">
        <f>SUM(AB23:AB24)</f>
        <v>197.45</v>
      </c>
      <c r="AC25" s="85">
        <f>SUM(AC23:AC24)</f>
        <v>1179.39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1096.96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W16" workbookViewId="0">
      <selection activeCell="BC23" sqref="BC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349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271</v>
      </c>
      <c r="H23" s="74">
        <f>F23*G23</f>
        <v>2460</v>
      </c>
      <c r="I23" t="s">
        <v>272</v>
      </c>
      <c r="J23" s="74">
        <v>1.79</v>
      </c>
      <c r="K23" s="74">
        <v>2.5</v>
      </c>
      <c r="L23" s="74">
        <f>H23</f>
        <v>2460</v>
      </c>
      <c r="M23" s="74">
        <f>ROUND(L23*I23%,2)</f>
        <v>24.6</v>
      </c>
      <c r="N23" s="74">
        <f>H23-M23</f>
        <v>2435.4</v>
      </c>
      <c r="O23" s="74">
        <f>ROUND(N23*J23%,2)</f>
        <v>43.59</v>
      </c>
      <c r="P23" s="74">
        <f>ROUND(N23-O23,2)</f>
        <v>2391.81</v>
      </c>
      <c r="Q23" s="74">
        <f>ROUND(P23*K23%,2)</f>
        <v>59.8</v>
      </c>
      <c r="R23" s="74">
        <f>M23+O23+Q23</f>
        <v>127.99</v>
      </c>
      <c r="S23" s="74">
        <f>(H23-R23)</f>
        <v>2332.01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419.76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419.76</v>
      </c>
      <c r="AC23" s="74">
        <f>IF($V21=1,S23+AB23,S23)</f>
        <v>2751.77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2332.01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1166.005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1166.005</v>
      </c>
      <c r="AS23" s="88" t="s">
        <v>350</v>
      </c>
      <c r="AT23" s="88" t="s">
        <v>58</v>
      </c>
      <c r="AW23" s="88">
        <f>AM23</f>
        <v>2</v>
      </c>
      <c r="AX23" s="88">
        <f>AR23</f>
        <v>1166.005</v>
      </c>
      <c r="AY23" s="88">
        <f>AU23+AW23</f>
        <v>2</v>
      </c>
      <c r="AZ23" s="88">
        <f>ROUND(((AU23*AV23)+(AW23*AX23))/(AU23+AW23),5)</f>
        <v>1166.005</v>
      </c>
      <c r="BA23" s="90"/>
      <c r="BB23" s="90" t="s">
        <v>149</v>
      </c>
      <c r="BC23" s="100" t="s">
        <v>29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351</v>
      </c>
      <c r="BM23" t="s">
        <v>240</v>
      </c>
      <c r="BN23" t="s">
        <v>240</v>
      </c>
      <c r="BO23" s="88">
        <f>ROUND((((AW23*AZ23)+(BN23*BM23))/(AW23+BN23)),5)</f>
        <v>1166.005</v>
      </c>
      <c r="BP23" s="92">
        <f>BN23+AW23</f>
        <v>2</v>
      </c>
      <c r="BQ23" s="93">
        <v>123562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2460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127.99</v>
      </c>
      <c r="S24" s="82">
        <f>SUM(S23:S23)</f>
        <v>2332.01</v>
      </c>
      <c r="T24" s="76"/>
      <c r="U24" s="76"/>
      <c r="V24" s="83">
        <f>SUM(V23:V23)</f>
        <v>0</v>
      </c>
      <c r="W24" s="83">
        <f>SUM(W23:W23)</f>
        <v>0</v>
      </c>
      <c r="X24" s="83">
        <f>SUM(X23:X23)</f>
        <v>419.76</v>
      </c>
      <c r="Y24" s="83">
        <f>SUM(Y23:Y23)</f>
        <v>0</v>
      </c>
      <c r="Z24" s="83"/>
      <c r="AA24" s="83">
        <f>SUM(AA23:AA23)</f>
        <v>0</v>
      </c>
      <c r="AB24" s="76">
        <f>SUM(AB23:AB23)</f>
        <v>419.76</v>
      </c>
      <c r="AC24" s="85">
        <f>SUM(AC23:AC23)</f>
        <v>2751.77</v>
      </c>
      <c r="AD24" s="86">
        <f t="shared" ref="AD24:AE24" si="5">SUM(AD23:AD23)</f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2332.01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A1" sqref="$A1:$XFD1048576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352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271</v>
      </c>
      <c r="H23" s="74">
        <f>F23*G23</f>
        <v>2460</v>
      </c>
      <c r="I23" t="s">
        <v>272</v>
      </c>
      <c r="J23" s="74">
        <v>1.79</v>
      </c>
      <c r="K23" s="74">
        <v>2.5</v>
      </c>
      <c r="L23" s="74">
        <f>H23</f>
        <v>2460</v>
      </c>
      <c r="M23" s="74">
        <f>ROUND(L23*I23%,2)</f>
        <v>24.6</v>
      </c>
      <c r="N23" s="74">
        <f>H23-M23</f>
        <v>2435.4</v>
      </c>
      <c r="O23" s="74">
        <f>ROUND(N23*J23%,2)</f>
        <v>43.59</v>
      </c>
      <c r="P23" s="74">
        <f>ROUND(N23-O23,2)</f>
        <v>2391.81</v>
      </c>
      <c r="Q23" s="74">
        <f>ROUND(P23*K23%,2)</f>
        <v>59.8</v>
      </c>
      <c r="R23" s="74">
        <f>M23+O23+Q23</f>
        <v>127.99</v>
      </c>
      <c r="S23" s="74">
        <f>(H23-R23)</f>
        <v>2332.01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419.76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419.76</v>
      </c>
      <c r="AC23" s="74">
        <f>IF($V21=1,S23+AB23,S23)</f>
        <v>2751.77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2332.01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1166.005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1166.005</v>
      </c>
      <c r="AS23" s="88" t="s">
        <v>332</v>
      </c>
      <c r="AT23" s="88" t="s">
        <v>58</v>
      </c>
      <c r="AU23" t="s">
        <v>240</v>
      </c>
      <c r="AV23" t="s">
        <v>333</v>
      </c>
      <c r="AW23" s="88">
        <f>AM23</f>
        <v>2</v>
      </c>
      <c r="AX23" s="88">
        <f>AR23</f>
        <v>1166.005</v>
      </c>
      <c r="AY23" s="88">
        <f>AU23+AW23</f>
        <v>2</v>
      </c>
      <c r="AZ23" s="88">
        <f>ROUND(((AU23*AV23)+(AW23*AX23))/(AU23+AW23),5)</f>
        <v>1166.005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334</v>
      </c>
      <c r="BM23" t="s">
        <v>353</v>
      </c>
      <c r="BN23" t="s">
        <v>257</v>
      </c>
      <c r="BO23" s="88">
        <f>ROUND((((AW23*AZ23)+(BN23*BM23))/(AW23+BN23)),5)</f>
        <v>700.1675</v>
      </c>
      <c r="BP23" s="92">
        <f>BN23+AW23</f>
        <v>8</v>
      </c>
      <c r="BQ23" s="93">
        <v>123562</v>
      </c>
      <c r="BR23" s="92"/>
    </row>
    <row r="24" ht="15.25" spans="1:70">
      <c r="A24" s="73">
        <v>2</v>
      </c>
      <c r="B24" s="73" t="s">
        <v>354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278</v>
      </c>
      <c r="H24" s="74">
        <f>F24*G24</f>
        <v>506</v>
      </c>
      <c r="I24" t="s">
        <v>272</v>
      </c>
      <c r="J24" s="74">
        <v>1.79</v>
      </c>
      <c r="K24" s="74">
        <v>2.5</v>
      </c>
      <c r="L24" s="74">
        <f>H24</f>
        <v>506</v>
      </c>
      <c r="M24" s="74">
        <f>ROUND(L24*I24%,2)</f>
        <v>5.06</v>
      </c>
      <c r="N24" s="74">
        <f>H24-M24</f>
        <v>500.94</v>
      </c>
      <c r="O24" s="74">
        <f>ROUND(N24*J24%,2)</f>
        <v>8.97</v>
      </c>
      <c r="P24" s="74">
        <f>ROUND(N24-O24,2)</f>
        <v>491.97</v>
      </c>
      <c r="Q24" s="74">
        <f>ROUND(P24*K24%,2)</f>
        <v>12.3</v>
      </c>
      <c r="R24" s="74">
        <f>M24+O24+Q24</f>
        <v>26.33</v>
      </c>
      <c r="S24" s="74">
        <f>(H24-R24)</f>
        <v>479.67</v>
      </c>
      <c r="T24" s="74" t="s">
        <v>146</v>
      </c>
      <c r="U24" s="74">
        <v>0.18</v>
      </c>
      <c r="V24" s="74">
        <f>IF(OR($C$21=1,$C$21=4),ROUND(((S24*U24)/2),2),0)</f>
        <v>0</v>
      </c>
      <c r="W24" s="74">
        <f>IF($C$21=1,ROUND(((S24*U24)/2),2),0)</f>
        <v>0</v>
      </c>
      <c r="X24" s="74">
        <f>IF($C$21=2,ROUND(((S24*U24)),2),0)</f>
        <v>86.34</v>
      </c>
      <c r="Y24" s="74">
        <f>IF($C$21=4,ROUND(((S24*U24)/2),2),0)</f>
        <v>0</v>
      </c>
      <c r="Z24" s="84">
        <v>0</v>
      </c>
      <c r="AA24" s="74">
        <f>IF($C22=3,0,ROUND(S24*Z24,2))</f>
        <v>0</v>
      </c>
      <c r="AB24" s="74">
        <f>V24+W24+X24+Y24+AA24</f>
        <v>86.34</v>
      </c>
      <c r="AC24" s="74">
        <f>IF($V22=1,S24+AB24,S24)</f>
        <v>479.67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479.67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239.835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239.835</v>
      </c>
      <c r="AS24" s="88" t="s">
        <v>332</v>
      </c>
      <c r="AT24" s="88" t="s">
        <v>58</v>
      </c>
      <c r="AU24" t="s">
        <v>240</v>
      </c>
      <c r="AV24" t="s">
        <v>337</v>
      </c>
      <c r="AW24" s="88">
        <f>AM24</f>
        <v>2</v>
      </c>
      <c r="AX24" s="88">
        <f>AR24</f>
        <v>239.835</v>
      </c>
      <c r="AY24" s="88">
        <f>AU24+AW24</f>
        <v>2</v>
      </c>
      <c r="AZ24" s="88">
        <f>ROUND(((AU24*AV24)+(AW24*AX24))/(AU24+AW24),5)</f>
        <v>239.835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334</v>
      </c>
      <c r="BM24" t="s">
        <v>355</v>
      </c>
      <c r="BN24" t="s">
        <v>340</v>
      </c>
      <c r="BO24" s="88">
        <f>ROUND((((AW24*AZ24)+(BN24*BM24))/(AW24+BN24)),5)</f>
        <v>169.916</v>
      </c>
      <c r="BP24" s="92">
        <f>BN24+AW24</f>
        <v>10</v>
      </c>
      <c r="BQ24" s="93">
        <v>123562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2966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154.32</v>
      </c>
      <c r="S25" s="82">
        <f>SUM(S23:S24)</f>
        <v>2811.68</v>
      </c>
      <c r="T25" s="76"/>
      <c r="U25" s="76"/>
      <c r="V25" s="83">
        <f>SUM(V23:V24)</f>
        <v>0</v>
      </c>
      <c r="W25" s="83">
        <f>SUM(W23:W24)</f>
        <v>0</v>
      </c>
      <c r="X25" s="83">
        <f>SUM(X23:X24)</f>
        <v>506.1</v>
      </c>
      <c r="Y25" s="83">
        <f>SUM(Y23:Y24)</f>
        <v>0</v>
      </c>
      <c r="Z25" s="83"/>
      <c r="AA25" s="83">
        <f>SUM(AA23:AA24)</f>
        <v>0</v>
      </c>
      <c r="AB25" s="76">
        <f>SUM(AB23:AB24)</f>
        <v>506.1</v>
      </c>
      <c r="AC25" s="85">
        <f>SUM(AC23:AC24)</f>
        <v>3231.44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2811.68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3" workbookViewId="0">
      <selection activeCell="D23" sqref="D23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356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343</v>
      </c>
      <c r="H23" s="74">
        <f>F23*G23</f>
        <v>488</v>
      </c>
      <c r="I23" t="s">
        <v>357</v>
      </c>
      <c r="J23" s="74">
        <v>1.79</v>
      </c>
      <c r="K23" s="74">
        <v>2.5</v>
      </c>
      <c r="L23" s="74">
        <f>H23</f>
        <v>488</v>
      </c>
      <c r="M23" s="74">
        <f>ROUND(L23*I23%,2)</f>
        <v>11.22</v>
      </c>
      <c r="N23" s="74">
        <f>H23-M23</f>
        <v>476.78</v>
      </c>
      <c r="O23" s="74">
        <f>ROUND(N23*J23%,2)</f>
        <v>8.53</v>
      </c>
      <c r="P23" s="74">
        <f>ROUND(N23-O23,2)</f>
        <v>468.25</v>
      </c>
      <c r="Q23" s="74">
        <f>ROUND(P23*K23%,2)</f>
        <v>11.71</v>
      </c>
      <c r="R23" s="74">
        <f>M23+O23+Q23</f>
        <v>31.46</v>
      </c>
      <c r="S23" s="74">
        <f>(H23-R23)</f>
        <v>456.54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82.18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82.18</v>
      </c>
      <c r="AC23" s="74">
        <f>IF($V21=1,S23+AB23,S23)</f>
        <v>538.72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456.54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228.27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228.27</v>
      </c>
      <c r="AS23" s="88" t="s">
        <v>332</v>
      </c>
      <c r="AT23" s="88" t="s">
        <v>58</v>
      </c>
      <c r="AU23" t="s">
        <v>240</v>
      </c>
      <c r="AV23" t="s">
        <v>333</v>
      </c>
      <c r="AW23" s="88">
        <f>AM23</f>
        <v>2</v>
      </c>
      <c r="AX23" s="88">
        <f>AR23</f>
        <v>228.27</v>
      </c>
      <c r="AY23" s="88">
        <f>AU23+AW23</f>
        <v>2</v>
      </c>
      <c r="AZ23" s="88">
        <f>ROUND(((AU23*AV23)+(AW23*AX23))/(AU23+AW23),5)</f>
        <v>228.27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334</v>
      </c>
      <c r="BM23" t="s">
        <v>353</v>
      </c>
      <c r="BN23" t="s">
        <v>257</v>
      </c>
      <c r="BO23" s="88">
        <f>ROUND((((AW23*AZ23)+(BN23*BM23))/(AW23+BN23)),5)</f>
        <v>465.73375</v>
      </c>
      <c r="BP23" s="92">
        <f>BN23+AW23</f>
        <v>8</v>
      </c>
      <c r="BQ23" s="93">
        <v>123562</v>
      </c>
      <c r="BR23" s="92"/>
    </row>
    <row r="24" ht="15.25" spans="1:70">
      <c r="A24" s="73">
        <v>2</v>
      </c>
      <c r="B24" s="73" t="s">
        <v>358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303</v>
      </c>
      <c r="H24" s="74">
        <f>F24*G24</f>
        <v>468</v>
      </c>
      <c r="I24" t="s">
        <v>359</v>
      </c>
      <c r="J24" s="74">
        <v>1.79</v>
      </c>
      <c r="K24" s="74">
        <v>2.5</v>
      </c>
      <c r="L24" s="74">
        <f>H24</f>
        <v>468</v>
      </c>
      <c r="M24" s="74">
        <f>ROUND(L24*I24%,2)</f>
        <v>11.7</v>
      </c>
      <c r="N24" s="74">
        <f>H24-M24</f>
        <v>456.3</v>
      </c>
      <c r="O24" s="74">
        <f>ROUND(N24*J24%,2)</f>
        <v>8.17</v>
      </c>
      <c r="P24" s="74">
        <f>ROUND(N24-O24,2)</f>
        <v>448.13</v>
      </c>
      <c r="Q24" s="74">
        <f>ROUND(P24*K24%,2)</f>
        <v>11.2</v>
      </c>
      <c r="R24" s="74">
        <f>M24+O24+Q24</f>
        <v>31.07</v>
      </c>
      <c r="S24" s="74">
        <f>(H24-R24)</f>
        <v>436.93</v>
      </c>
      <c r="T24" s="74" t="s">
        <v>146</v>
      </c>
      <c r="U24" s="74">
        <v>0.18</v>
      </c>
      <c r="V24" s="74">
        <f>IF(OR($C$21=1,$C$21=4),ROUND(((S24*U24)/2),2),0)</f>
        <v>0</v>
      </c>
      <c r="W24" s="74">
        <f>IF($C$21=1,ROUND(((S24*U24)/2),2),0)</f>
        <v>0</v>
      </c>
      <c r="X24" s="74">
        <f>IF($C$21=2,ROUND(((S24*U24)),2),0)</f>
        <v>78.65</v>
      </c>
      <c r="Y24" s="74">
        <f>IF($C$21=4,ROUND(((S24*U24)/2),2),0)</f>
        <v>0</v>
      </c>
      <c r="Z24" s="84">
        <v>0</v>
      </c>
      <c r="AA24" s="74">
        <f>IF($C22=3,0,ROUND(S24*Z24,2))</f>
        <v>0</v>
      </c>
      <c r="AB24" s="74">
        <f>V24+W24+X24+Y24+AA24</f>
        <v>78.65</v>
      </c>
      <c r="AC24" s="74">
        <f>IF($V22=1,S24+AB24,S24)</f>
        <v>436.93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436.93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218.465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218.465</v>
      </c>
      <c r="AS24" s="88" t="s">
        <v>332</v>
      </c>
      <c r="AT24" s="88" t="s">
        <v>58</v>
      </c>
      <c r="AU24" t="s">
        <v>240</v>
      </c>
      <c r="AV24" t="s">
        <v>337</v>
      </c>
      <c r="AW24" s="88">
        <f>AM24</f>
        <v>2</v>
      </c>
      <c r="AX24" s="88">
        <f>AR24</f>
        <v>218.465</v>
      </c>
      <c r="AY24" s="88">
        <f>AU24+AW24</f>
        <v>2</v>
      </c>
      <c r="AZ24" s="88">
        <f>ROUND(((AU24*AV24)+(AW24*AX24))/(AU24+AW24),5)</f>
        <v>218.465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334</v>
      </c>
      <c r="BM24" t="s">
        <v>355</v>
      </c>
      <c r="BN24" t="s">
        <v>340</v>
      </c>
      <c r="BO24" s="88">
        <f>ROUND((((AW24*AZ24)+(BN24*BM24))/(AW24+BN24)),5)</f>
        <v>165.642</v>
      </c>
      <c r="BP24" s="92">
        <f>BN24+AW24</f>
        <v>10</v>
      </c>
      <c r="BQ24" s="93">
        <v>123562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956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62.53</v>
      </c>
      <c r="S25" s="82">
        <f>SUM(S23:S24)</f>
        <v>893.47</v>
      </c>
      <c r="T25" s="76"/>
      <c r="U25" s="76"/>
      <c r="V25" s="83">
        <f>SUM(V23:V24)</f>
        <v>0</v>
      </c>
      <c r="W25" s="83">
        <f>SUM(W23:W24)</f>
        <v>0</v>
      </c>
      <c r="X25" s="83">
        <f>SUM(X23:X24)</f>
        <v>160.83</v>
      </c>
      <c r="Y25" s="83">
        <f>SUM(Y23:Y24)</f>
        <v>0</v>
      </c>
      <c r="Z25" s="83"/>
      <c r="AA25" s="83">
        <f>SUM(AA23:AA24)</f>
        <v>0</v>
      </c>
      <c r="AB25" s="76">
        <f>SUM(AB23:AB24)</f>
        <v>160.83</v>
      </c>
      <c r="AC25" s="85">
        <f>SUM(AC23:AC24)</f>
        <v>975.65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893.47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B23" sqref="B23"/>
    </sheetView>
  </sheetViews>
  <sheetFormatPr defaultColWidth="9" defaultRowHeight="14.5"/>
  <cols>
    <col min="2" max="2" width="34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321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234</v>
      </c>
      <c r="H23" s="74">
        <f>F23*G23</f>
        <v>400</v>
      </c>
      <c r="I23" t="s">
        <v>223</v>
      </c>
      <c r="J23" s="74">
        <v>1.79</v>
      </c>
      <c r="K23" s="74">
        <v>2.5</v>
      </c>
      <c r="L23" s="74">
        <f>H23</f>
        <v>400</v>
      </c>
      <c r="M23" s="74">
        <f>ROUND(L23*I23%,2)</f>
        <v>8</v>
      </c>
      <c r="N23" s="74">
        <f>H23-M23</f>
        <v>392</v>
      </c>
      <c r="O23" s="74">
        <f>ROUND(N23*J23%,2)</f>
        <v>7.02</v>
      </c>
      <c r="P23" s="74">
        <f>ROUND(N23-O23,2)</f>
        <v>384.98</v>
      </c>
      <c r="Q23" s="74">
        <f>ROUND(P23*K23%,2)</f>
        <v>9.62</v>
      </c>
      <c r="R23" s="74">
        <f>M23+O23+Q23</f>
        <v>24.64</v>
      </c>
      <c r="S23" s="74">
        <f>(H23-R23)</f>
        <v>375.36</v>
      </c>
      <c r="T23" s="74" t="s">
        <v>146</v>
      </c>
      <c r="U23" s="74">
        <v>0.18</v>
      </c>
      <c r="V23" s="74">
        <f>IF(OR($C$21=1,$C$21=4),ROUND(((S23*U23)/2),2),0)</f>
        <v>33.78</v>
      </c>
      <c r="W23" s="74">
        <f>IF($C$21=1,ROUND(((S23*U23)/2),2),0)</f>
        <v>33.78</v>
      </c>
      <c r="X23" s="74">
        <f>IF($C$21=2,ROUND(((S23*U23)),2),0)</f>
        <v>0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67.56</v>
      </c>
      <c r="AC23" s="74">
        <f>IF($V21=1,S23+AB23,S23)</f>
        <v>442.92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375.36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187.68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187.68</v>
      </c>
      <c r="AS23" s="88" t="s">
        <v>229</v>
      </c>
      <c r="AT23" s="88" t="s">
        <v>58</v>
      </c>
      <c r="AU23" t="s">
        <v>223</v>
      </c>
      <c r="AV23" t="s">
        <v>317</v>
      </c>
      <c r="AW23" s="88">
        <f>AM23</f>
        <v>2</v>
      </c>
      <c r="AX23" s="88">
        <f>AR23</f>
        <v>187.68</v>
      </c>
      <c r="AY23" s="88">
        <f>AU23+AW23</f>
        <v>4</v>
      </c>
      <c r="AZ23" s="88">
        <f>ROUND(((AU23*AV23)+(AW23*AX23))/(AU23+AW23),5)</f>
        <v>259.33313</v>
      </c>
      <c r="BA23" s="90"/>
      <c r="BB23" s="90" t="s">
        <v>149</v>
      </c>
      <c r="BC23" s="100" t="s">
        <v>29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230</v>
      </c>
      <c r="BM23" t="s">
        <v>318</v>
      </c>
      <c r="BN23" t="s">
        <v>243</v>
      </c>
      <c r="BO23" s="88">
        <f>ROUND((((AW23*AZ23)+(BN23*BM23))/(AW23+BN23)),5)</f>
        <v>268.43745</v>
      </c>
      <c r="BP23" s="92">
        <f>BN23+AW23</f>
        <v>26</v>
      </c>
      <c r="BQ23" s="93">
        <v>88363221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400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24.64</v>
      </c>
      <c r="S24" s="82">
        <f>SUM(S23:S23)</f>
        <v>375.36</v>
      </c>
      <c r="T24" s="76"/>
      <c r="U24" s="76"/>
      <c r="V24" s="83">
        <f>SUM(V23:V23)</f>
        <v>33.78</v>
      </c>
      <c r="W24" s="83">
        <f>SUM(W23:W23)</f>
        <v>33.78</v>
      </c>
      <c r="X24" s="83">
        <f>SUM(X23:X23)</f>
        <v>0</v>
      </c>
      <c r="Y24" s="83">
        <f>SUM(Y23:Y23)</f>
        <v>0</v>
      </c>
      <c r="Z24" s="83"/>
      <c r="AA24" s="83">
        <f>SUM(AA23:AA23)</f>
        <v>0</v>
      </c>
      <c r="AB24" s="76">
        <f>SUM(AB23:AB23)</f>
        <v>67.56</v>
      </c>
      <c r="AC24" s="85">
        <f>SUM(AC23:AC23)</f>
        <v>442.92</v>
      </c>
      <c r="AD24" s="86">
        <f t="shared" ref="AD24:AE24" si="5">SUM(AD23:AD23)</f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375.36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D24" sqref="D24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326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256</v>
      </c>
      <c r="H23" s="74">
        <f>F23*G23</f>
        <v>1000</v>
      </c>
      <c r="I23" t="s">
        <v>360</v>
      </c>
      <c r="J23" s="74">
        <v>1.79</v>
      </c>
      <c r="K23" s="74">
        <v>2.5</v>
      </c>
      <c r="L23" s="74">
        <f>H23</f>
        <v>1000</v>
      </c>
      <c r="M23" s="74">
        <f>ROUND(L23*I23%,2)</f>
        <v>50</v>
      </c>
      <c r="N23" s="74">
        <f>H23-M23</f>
        <v>950</v>
      </c>
      <c r="O23" s="74">
        <f>ROUND(N23*J23%,2)</f>
        <v>17.01</v>
      </c>
      <c r="P23" s="74">
        <f>ROUND(N23-O23,2)</f>
        <v>932.99</v>
      </c>
      <c r="Q23" s="74">
        <f>ROUND(P23*K23%,2)</f>
        <v>23.32</v>
      </c>
      <c r="R23" s="74">
        <f>M23+O23+Q23</f>
        <v>90.33</v>
      </c>
      <c r="S23" s="74">
        <f>(H23-R23)</f>
        <v>909.67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163.74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163.74</v>
      </c>
      <c r="AC23" s="74">
        <f>IF($V21=1,S23+AB23,S23)</f>
        <v>1073.41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909.67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454.835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454.835</v>
      </c>
      <c r="AS23" s="88" t="s">
        <v>312</v>
      </c>
      <c r="AT23" s="88" t="s">
        <v>58</v>
      </c>
      <c r="AU23" t="s">
        <v>240</v>
      </c>
      <c r="AV23" t="s">
        <v>311</v>
      </c>
      <c r="AW23" s="88">
        <f>AM23</f>
        <v>2</v>
      </c>
      <c r="AX23" s="88">
        <f>AR23</f>
        <v>454.835</v>
      </c>
      <c r="AY23" s="88">
        <f>AU23+AW23</f>
        <v>2</v>
      </c>
      <c r="AZ23" s="88">
        <f>ROUND(((AU23*AV23)+(AW23*AX23))/(AU23+AW23),5)</f>
        <v>454.835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314</v>
      </c>
      <c r="BM23" t="s">
        <v>361</v>
      </c>
      <c r="BN23" t="s">
        <v>362</v>
      </c>
      <c r="BO23" s="88">
        <f>ROUND((((AW23*AZ23)+(BN23*BM23))/(AW23+BN23)),5)</f>
        <v>171.15706</v>
      </c>
      <c r="BP23" s="92">
        <f>BN23+AW23</f>
        <v>17</v>
      </c>
      <c r="BQ23" s="93">
        <v>88363222</v>
      </c>
      <c r="BR23" s="92"/>
    </row>
    <row r="24" ht="15.25" spans="1:70">
      <c r="A24" s="73">
        <v>2</v>
      </c>
      <c r="B24" s="73" t="s">
        <v>329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363</v>
      </c>
      <c r="H24" s="74">
        <f>F24*G24</f>
        <v>1200</v>
      </c>
      <c r="I24" t="s">
        <v>223</v>
      </c>
      <c r="J24" s="74">
        <v>1.79</v>
      </c>
      <c r="K24" s="74">
        <v>2.5</v>
      </c>
      <c r="L24" s="74">
        <f>H24</f>
        <v>1200</v>
      </c>
      <c r="M24" s="74">
        <f>ROUND(L24*I24%,2)</f>
        <v>24</v>
      </c>
      <c r="N24" s="74">
        <f>H24-M24</f>
        <v>1176</v>
      </c>
      <c r="O24" s="74">
        <f>ROUND(N24*J24%,2)</f>
        <v>21.05</v>
      </c>
      <c r="P24" s="74">
        <f>ROUND(N24-O24,2)</f>
        <v>1154.95</v>
      </c>
      <c r="Q24" s="74">
        <f>ROUND(P24*K24%,2)</f>
        <v>28.87</v>
      </c>
      <c r="R24" s="74">
        <f>M24+O24+Q24</f>
        <v>73.92</v>
      </c>
      <c r="S24" s="74">
        <f>(H24-R24)</f>
        <v>1126.08</v>
      </c>
      <c r="T24" s="74" t="s">
        <v>146</v>
      </c>
      <c r="U24" s="74">
        <v>0.18</v>
      </c>
      <c r="V24" s="74">
        <f>IF(OR($C$21=1,$C$21=4),ROUND(((S24*U24)/2),2),0)</f>
        <v>0</v>
      </c>
      <c r="W24" s="74">
        <f>IF($C$21=1,ROUND(((S24*U24)/2),2),0)</f>
        <v>0</v>
      </c>
      <c r="X24" s="74">
        <f>IF($C$21=2,ROUND(((S24*U24)),2),0)</f>
        <v>202.69</v>
      </c>
      <c r="Y24" s="74">
        <f>IF($C$21=4,ROUND(((S24*U24)/2),2),0)</f>
        <v>0</v>
      </c>
      <c r="Z24" s="84">
        <v>0</v>
      </c>
      <c r="AA24" s="74">
        <f>IF($C22=3,0,ROUND(S24*Z24,2))</f>
        <v>0</v>
      </c>
      <c r="AB24" s="74">
        <f>V24+W24+X24+Y24+AA24</f>
        <v>202.69</v>
      </c>
      <c r="AC24" s="74">
        <f>IF($V22=1,S24+AB24,S24)</f>
        <v>1126.08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1126.08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563.04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563.04</v>
      </c>
      <c r="AS24" s="88" t="s">
        <v>312</v>
      </c>
      <c r="AT24" s="88" t="s">
        <v>58</v>
      </c>
      <c r="AW24" s="88">
        <f>AM24</f>
        <v>2</v>
      </c>
      <c r="AX24" s="88">
        <f>AR24</f>
        <v>563.04</v>
      </c>
      <c r="AY24" s="88">
        <f>AU24+AW24</f>
        <v>2</v>
      </c>
      <c r="AZ24" s="88">
        <f>ROUND(((AU24*AV24)+(AW24*AX24))/(AU24+AW24),5)</f>
        <v>563.04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314</v>
      </c>
      <c r="BM24" t="s">
        <v>240</v>
      </c>
      <c r="BN24" t="s">
        <v>240</v>
      </c>
      <c r="BO24" s="88">
        <f>ROUND((((AW24*AZ24)+(BN24*BM24))/(AW24+BN24)),5)</f>
        <v>563.04</v>
      </c>
      <c r="BP24" s="92">
        <f>BN24+AW24</f>
        <v>2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2200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164.25</v>
      </c>
      <c r="S25" s="82">
        <f>SUM(S23:S24)</f>
        <v>2035.75</v>
      </c>
      <c r="T25" s="76"/>
      <c r="U25" s="76"/>
      <c r="V25" s="83">
        <f>SUM(V23:V24)</f>
        <v>0</v>
      </c>
      <c r="W25" s="83">
        <f>SUM(W23:W24)</f>
        <v>0</v>
      </c>
      <c r="X25" s="83">
        <f>SUM(X23:X24)</f>
        <v>366.43</v>
      </c>
      <c r="Y25" s="83">
        <f>SUM(Y23:Y24)</f>
        <v>0</v>
      </c>
      <c r="Z25" s="83"/>
      <c r="AA25" s="83">
        <f>SUM(AA23:AA24)</f>
        <v>0</v>
      </c>
      <c r="AB25" s="76">
        <f>SUM(AB23:AB24)</f>
        <v>366.43</v>
      </c>
      <c r="AC25" s="85">
        <f>SUM(AC23:AC24)</f>
        <v>2199.49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2035.75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workbookViewId="0">
      <selection activeCell="A1" sqref="$A1:$XFD1048576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364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365</v>
      </c>
      <c r="H23" s="74">
        <f>F23*G23</f>
        <v>911.34</v>
      </c>
      <c r="I23" t="s">
        <v>272</v>
      </c>
      <c r="J23" s="74">
        <v>1.79</v>
      </c>
      <c r="K23" s="74">
        <v>2.5</v>
      </c>
      <c r="L23" s="74">
        <f>H23</f>
        <v>911.34</v>
      </c>
      <c r="M23" s="74">
        <f>ROUND(L23*I23%,2)</f>
        <v>9.11</v>
      </c>
      <c r="N23" s="74">
        <f>H23-M23</f>
        <v>902.23</v>
      </c>
      <c r="O23" s="74">
        <f>ROUND(N23*J23%,2)</f>
        <v>16.15</v>
      </c>
      <c r="P23" s="74">
        <f>ROUND(N23-O23,2)</f>
        <v>886.08</v>
      </c>
      <c r="Q23" s="74">
        <f>ROUND(P23*K23%,2)</f>
        <v>22.15</v>
      </c>
      <c r="R23" s="74">
        <f>M23+O23+Q23</f>
        <v>47.41</v>
      </c>
      <c r="S23" s="74">
        <f>(H23-R23)</f>
        <v>863.93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155.51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155.51</v>
      </c>
      <c r="AC23" s="74">
        <f>IF($V21=1,S23+AB23,S23)</f>
        <v>1019.44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863.93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431.965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431.965</v>
      </c>
      <c r="AS23" s="88" t="s">
        <v>312</v>
      </c>
      <c r="AT23" s="88" t="s">
        <v>58</v>
      </c>
      <c r="AU23" t="s">
        <v>240</v>
      </c>
      <c r="AV23" t="s">
        <v>366</v>
      </c>
      <c r="AW23" s="88">
        <f>AM23</f>
        <v>2</v>
      </c>
      <c r="AX23" s="88">
        <f>AR23</f>
        <v>431.965</v>
      </c>
      <c r="AY23" s="88">
        <f>AU23+AW23</f>
        <v>2</v>
      </c>
      <c r="AZ23" s="88">
        <f>ROUND(((AU23*AV23)+(AW23*AX23))/(AU23+AW23),5)</f>
        <v>431.965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367</v>
      </c>
      <c r="BM23" t="s">
        <v>366</v>
      </c>
      <c r="BN23" t="s">
        <v>257</v>
      </c>
      <c r="BO23" s="88">
        <f>ROUND((((AW23*AZ23)+(BN23*BM23))/(AW23+BN23)),5)</f>
        <v>431.965</v>
      </c>
      <c r="BP23" s="92">
        <f>BN23+AW23</f>
        <v>8</v>
      </c>
      <c r="BQ23" s="93">
        <v>88363222</v>
      </c>
      <c r="BR23" s="92"/>
    </row>
    <row r="24" ht="15.25" spans="1:70">
      <c r="A24" s="73">
        <v>2</v>
      </c>
      <c r="B24" s="73" t="s">
        <v>368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369</v>
      </c>
      <c r="H24" s="74">
        <f>F24*G24</f>
        <v>690</v>
      </c>
      <c r="I24" t="s">
        <v>223</v>
      </c>
      <c r="J24" s="74">
        <v>1.79</v>
      </c>
      <c r="K24" s="74">
        <v>2.5</v>
      </c>
      <c r="L24" s="74">
        <f>H24</f>
        <v>690</v>
      </c>
      <c r="M24" s="74">
        <f>ROUND(L24*I24%,2)</f>
        <v>13.8</v>
      </c>
      <c r="N24" s="74">
        <f>H24-M24</f>
        <v>676.2</v>
      </c>
      <c r="O24" s="74">
        <f>ROUND(N24*J24%,2)</f>
        <v>12.1</v>
      </c>
      <c r="P24" s="74">
        <f>ROUND(N24-O24,2)</f>
        <v>664.1</v>
      </c>
      <c r="Q24" s="74">
        <f>ROUND(P24*K24%,2)</f>
        <v>16.6</v>
      </c>
      <c r="R24" s="74">
        <f>M24+O24+Q24</f>
        <v>42.5</v>
      </c>
      <c r="S24" s="74">
        <f>(H24-R24)</f>
        <v>647.5</v>
      </c>
      <c r="T24" s="74" t="s">
        <v>146</v>
      </c>
      <c r="U24" s="74">
        <v>0.18</v>
      </c>
      <c r="V24" s="74">
        <f>IF(OR($C$21=1,$C$21=4),ROUND(((S24*U24)/2),2),0)</f>
        <v>0</v>
      </c>
      <c r="W24" s="74">
        <f>IF($C$21=1,ROUND(((S24*U24)/2),2),0)</f>
        <v>0</v>
      </c>
      <c r="X24" s="74">
        <f>IF($C$21=2,ROUND(((S24*U24)),2),0)</f>
        <v>116.55</v>
      </c>
      <c r="Y24" s="74">
        <f>IF($C$21=4,ROUND(((S24*U24)/2),2),0)</f>
        <v>0</v>
      </c>
      <c r="Z24" s="84">
        <v>0</v>
      </c>
      <c r="AA24" s="74">
        <f>IF($C22=3,0,ROUND(S24*Z24,2))</f>
        <v>0</v>
      </c>
      <c r="AB24" s="74">
        <f>V24+W24+X24+Y24+AA24</f>
        <v>116.55</v>
      </c>
      <c r="AC24" s="74">
        <f>IF($V22=1,S24+AB24,S24)</f>
        <v>647.5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647.5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323.75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323.75</v>
      </c>
      <c r="AS24" s="88" t="s">
        <v>312</v>
      </c>
      <c r="AT24" s="88" t="s">
        <v>58</v>
      </c>
      <c r="AU24" t="s">
        <v>240</v>
      </c>
      <c r="AV24" t="s">
        <v>370</v>
      </c>
      <c r="AW24" s="88">
        <f>AM24</f>
        <v>2</v>
      </c>
      <c r="AX24" s="88">
        <f>AR24</f>
        <v>323.75</v>
      </c>
      <c r="AY24" s="88">
        <f>AU24+AW24</f>
        <v>2</v>
      </c>
      <c r="AZ24" s="88">
        <f>ROUND(((AU24*AV24)+(AW24*AX24))/(AU24+AW24),5)</f>
        <v>323.75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367</v>
      </c>
      <c r="BM24" t="s">
        <v>370</v>
      </c>
      <c r="BN24" t="s">
        <v>257</v>
      </c>
      <c r="BO24" s="88">
        <f>ROUND((((AW24*AZ24)+(BN24*BM24))/(AW24+BN24)),5)</f>
        <v>323.75</v>
      </c>
      <c r="BP24" s="92">
        <f>BN24+AW24</f>
        <v>8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1601.34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89.91</v>
      </c>
      <c r="S25" s="82">
        <f>SUM(S23:S24)</f>
        <v>1511.43</v>
      </c>
      <c r="T25" s="76"/>
      <c r="U25" s="76"/>
      <c r="V25" s="83">
        <f>SUM(V23:V24)</f>
        <v>0</v>
      </c>
      <c r="W25" s="83">
        <f>SUM(W23:W24)</f>
        <v>0</v>
      </c>
      <c r="X25" s="83">
        <f>SUM(X23:X24)</f>
        <v>272.06</v>
      </c>
      <c r="Y25" s="83">
        <f>SUM(Y23:Y24)</f>
        <v>0</v>
      </c>
      <c r="Z25" s="83"/>
      <c r="AA25" s="83">
        <f>SUM(AA23:AA24)</f>
        <v>0</v>
      </c>
      <c r="AB25" s="76">
        <f>SUM(AB23:AB24)</f>
        <v>272.06</v>
      </c>
      <c r="AC25" s="85">
        <f>SUM(AC23:AC24)</f>
        <v>1666.94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1511.43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3" workbookViewId="0">
      <selection activeCell="D26" sqref="D26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371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228</v>
      </c>
      <c r="H23" s="74">
        <f>F23*G23</f>
        <v>800</v>
      </c>
      <c r="I23" t="s">
        <v>223</v>
      </c>
      <c r="J23" s="74">
        <v>1.79</v>
      </c>
      <c r="K23" s="74">
        <v>2.5</v>
      </c>
      <c r="L23" s="74">
        <f>H23</f>
        <v>800</v>
      </c>
      <c r="M23" s="74">
        <f>ROUND(L23*I23%,2)</f>
        <v>16</v>
      </c>
      <c r="N23" s="74">
        <f>H23-M23</f>
        <v>784</v>
      </c>
      <c r="O23" s="74">
        <f>ROUND(N23*J23%,2)</f>
        <v>14.03</v>
      </c>
      <c r="P23" s="74">
        <f>ROUND(N23-O23,2)</f>
        <v>769.97</v>
      </c>
      <c r="Q23" s="74">
        <f>ROUND(P23*K23%,2)</f>
        <v>19.25</v>
      </c>
      <c r="R23" s="74">
        <f>M23+O23+Q23</f>
        <v>49.28</v>
      </c>
      <c r="S23" s="74">
        <f>(H23-R23)</f>
        <v>750.72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135.13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135.13</v>
      </c>
      <c r="AC23" s="74">
        <f>IF($V21=1,S23+AB23,S23)</f>
        <v>885.85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750.72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375.36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375.36</v>
      </c>
      <c r="AS23" s="88" t="s">
        <v>350</v>
      </c>
      <c r="AT23" s="88" t="s">
        <v>58</v>
      </c>
      <c r="AW23" s="88">
        <f>AM23</f>
        <v>2</v>
      </c>
      <c r="AX23" s="88">
        <f>AR23</f>
        <v>375.36</v>
      </c>
      <c r="AY23" s="88">
        <f>AU23+AW23</f>
        <v>2</v>
      </c>
      <c r="AZ23" s="88">
        <f>ROUND(((AU23*AV23)+(AW23*AX23))/(AU23+AW23),5)</f>
        <v>375.36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351</v>
      </c>
      <c r="BM23" t="s">
        <v>240</v>
      </c>
      <c r="BN23" t="s">
        <v>240</v>
      </c>
      <c r="BO23" s="88">
        <f>ROUND((((AW23*AZ23)+(BN23*BM23))/(AW23+BN23)),5)</f>
        <v>375.36</v>
      </c>
      <c r="BP23" s="92">
        <f>BN23+AW23</f>
        <v>2</v>
      </c>
      <c r="BQ23" s="93">
        <v>123562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800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49.28</v>
      </c>
      <c r="S24" s="82">
        <f>SUM(S23:S23)</f>
        <v>750.72</v>
      </c>
      <c r="T24" s="76"/>
      <c r="U24" s="76"/>
      <c r="V24" s="83">
        <f>SUM(V23:V23)</f>
        <v>0</v>
      </c>
      <c r="W24" s="83">
        <f>SUM(W23:W23)</f>
        <v>0</v>
      </c>
      <c r="X24" s="83">
        <f>SUM(X23:X23)</f>
        <v>135.13</v>
      </c>
      <c r="Y24" s="83">
        <f>SUM(Y23:Y23)</f>
        <v>0</v>
      </c>
      <c r="Z24" s="83"/>
      <c r="AA24" s="83">
        <f>SUM(AA23:AA23)</f>
        <v>0</v>
      </c>
      <c r="AB24" s="76">
        <f>SUM(AB23:AB23)</f>
        <v>135.13</v>
      </c>
      <c r="AC24" s="85">
        <f>SUM(AC23:AC23)</f>
        <v>885.85</v>
      </c>
      <c r="AD24" s="86">
        <f t="shared" ref="AD24:AE24" si="5">SUM(AD23:AD23)</f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750.72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3" workbookViewId="0">
      <selection activeCell="AR24" sqref="AR24"/>
    </sheetView>
  </sheetViews>
  <sheetFormatPr defaultColWidth="9" defaultRowHeight="14.5"/>
  <cols>
    <col min="2" max="2" width="36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372</v>
      </c>
      <c r="C23" s="73" t="s">
        <v>162</v>
      </c>
      <c r="D23" s="73" t="s">
        <v>58</v>
      </c>
      <c r="E23" s="73" t="s">
        <v>163</v>
      </c>
      <c r="F23" s="74">
        <v>9</v>
      </c>
      <c r="G23" s="74">
        <v>257.63</v>
      </c>
      <c r="H23" s="74">
        <f>F23*G23</f>
        <v>2318.67</v>
      </c>
      <c r="I23" s="74">
        <v>1</v>
      </c>
      <c r="J23" s="74">
        <v>2</v>
      </c>
      <c r="K23" s="74">
        <v>2.5</v>
      </c>
      <c r="L23" s="74">
        <f>H23</f>
        <v>2318.67</v>
      </c>
      <c r="M23" s="74">
        <f>ROUND(L23*I23%,2)</f>
        <v>23.19</v>
      </c>
      <c r="N23" s="74">
        <f>H23-M23</f>
        <v>2295.48</v>
      </c>
      <c r="O23" s="74">
        <f>ROUND(N23*J23%,2)</f>
        <v>45.91</v>
      </c>
      <c r="P23" s="74">
        <f>ROUND(N23-O23,2)</f>
        <v>2249.57</v>
      </c>
      <c r="Q23" s="74">
        <f>ROUND(P23*K23%,2)</f>
        <v>56.24</v>
      </c>
      <c r="R23" s="74">
        <f>ROUND((M23+O23+Q23),2)</f>
        <v>125.34</v>
      </c>
      <c r="S23" s="74">
        <f>ROUND((H23-R23),2)</f>
        <v>2193.33</v>
      </c>
      <c r="T23" s="94" t="s">
        <v>146</v>
      </c>
      <c r="U23" s="84">
        <v>0.18</v>
      </c>
      <c r="V23" s="74">
        <f>IF(OR($C$21=1,$C$21=4),ROUND(((S23*U23)/2),2),0)</f>
        <v>197.4</v>
      </c>
      <c r="W23" s="74">
        <f>IF($C$21=1,ROUND(((S23*U23)/2),2),0)</f>
        <v>197.4</v>
      </c>
      <c r="X23" s="74">
        <f>IF($C$21=2,ROUND(((S23*U23)),2),0)</f>
        <v>0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394.8</v>
      </c>
      <c r="AC23" s="73">
        <f>IF($V21=1,S23+AB23,S23)</f>
        <v>2588.13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2193.33</v>
      </c>
      <c r="AJ23" s="94">
        <f>IF($C$21=3,0,AG23+AH23)</f>
        <v>0</v>
      </c>
      <c r="AK23" s="94">
        <f t="shared" ref="AK23:AK24" si="2">IF($C$21=3,AE23+AG23+AH23,0)</f>
        <v>0</v>
      </c>
      <c r="AL23" s="121">
        <v>3</v>
      </c>
      <c r="AM23" s="94">
        <f>F23/AL23</f>
        <v>3</v>
      </c>
      <c r="AN23" s="94">
        <f>ROUND(AI23/AM23,5)</f>
        <v>731.11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731.11</v>
      </c>
      <c r="AS23" s="88" t="s">
        <v>229</v>
      </c>
      <c r="AT23" s="88" t="s">
        <v>58</v>
      </c>
      <c r="AU23" t="s">
        <v>240</v>
      </c>
      <c r="AV23" t="s">
        <v>373</v>
      </c>
      <c r="AW23" s="88">
        <f>AM23</f>
        <v>3</v>
      </c>
      <c r="AX23" s="88">
        <f>AR23</f>
        <v>731.11</v>
      </c>
      <c r="AY23" s="88">
        <f>AU23+AW23</f>
        <v>3</v>
      </c>
      <c r="AZ23" s="88">
        <f>ROUND(((AU23*AV23)+(AW23*AX23))/(AU23+AW23),5)</f>
        <v>731.11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62" t="s">
        <v>230</v>
      </c>
      <c r="BM23" t="s">
        <v>373</v>
      </c>
      <c r="BN23" t="s">
        <v>266</v>
      </c>
      <c r="BO23" s="88">
        <f>ROUND((((AW23*AZ23)+(BN23*BM23))/(AW23+BN23)),5)</f>
        <v>731.11</v>
      </c>
      <c r="BP23" s="92">
        <f>BN23+AW23</f>
        <v>6</v>
      </c>
      <c r="BQ23" s="93">
        <v>88363222</v>
      </c>
    </row>
    <row r="24" ht="15.25" spans="1:69">
      <c r="A24" s="73">
        <v>2</v>
      </c>
      <c r="B24" s="73" t="s">
        <v>374</v>
      </c>
      <c r="C24" s="73" t="s">
        <v>175</v>
      </c>
      <c r="D24" s="73" t="s">
        <v>58</v>
      </c>
      <c r="E24" s="73" t="s">
        <v>163</v>
      </c>
      <c r="F24" s="74">
        <v>9</v>
      </c>
      <c r="G24" s="74">
        <v>150.5</v>
      </c>
      <c r="H24" s="74">
        <f t="shared" ref="H24" si="3">F24*G24</f>
        <v>1354.5</v>
      </c>
      <c r="I24" s="74">
        <v>1</v>
      </c>
      <c r="J24" s="74">
        <v>2</v>
      </c>
      <c r="K24" s="74">
        <v>2.5</v>
      </c>
      <c r="L24" s="74">
        <f t="shared" ref="L24" si="4">H24</f>
        <v>1354.5</v>
      </c>
      <c r="M24" s="74">
        <f t="shared" ref="M24" si="5">ROUND(L24*I24%,2)</f>
        <v>13.55</v>
      </c>
      <c r="N24" s="74">
        <f t="shared" ref="N24" si="6">H24-M24</f>
        <v>1340.95</v>
      </c>
      <c r="O24" s="74">
        <f t="shared" ref="O24" si="7">ROUND(N24*J24%,2)</f>
        <v>26.82</v>
      </c>
      <c r="P24" s="74">
        <f t="shared" ref="P24" si="8">ROUND(N24-O24,2)</f>
        <v>1314.13</v>
      </c>
      <c r="Q24" s="74">
        <f t="shared" ref="Q24" si="9">ROUND(P24*K24%,2)</f>
        <v>32.85</v>
      </c>
      <c r="R24" s="74">
        <f t="shared" ref="R24" si="10">ROUND((M24+O24+Q24),2)</f>
        <v>73.22</v>
      </c>
      <c r="S24" s="74">
        <f t="shared" ref="S24" si="11">ROUND((H24-R24),2)</f>
        <v>1281.28</v>
      </c>
      <c r="T24" s="94" t="s">
        <v>375</v>
      </c>
      <c r="U24" s="84">
        <v>0.18</v>
      </c>
      <c r="V24" s="74">
        <f t="shared" ref="V24" si="12">IF(OR($C$21=1,$C$21=4),ROUND(((S24*U24)/2),2),0)</f>
        <v>115.32</v>
      </c>
      <c r="W24" s="74">
        <f t="shared" ref="W24" si="13">IF($C$21=1,ROUND(((S24*U24)/2),2),0)</f>
        <v>115.32</v>
      </c>
      <c r="X24" s="74">
        <f t="shared" ref="X24" si="14">IF($C$21=2,ROUND(((S24*U24)),2),0)</f>
        <v>0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230.64</v>
      </c>
      <c r="AC24" s="73">
        <f t="shared" ref="AC24" si="18">IF($V22=1,S24+AB24,S24)</f>
        <v>1281.28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1281.28</v>
      </c>
      <c r="AJ24" s="94">
        <f t="shared" ref="AJ24" si="19">IF($C$21=3,0,AG24+AH24)</f>
        <v>0</v>
      </c>
      <c r="AK24" s="94">
        <f t="shared" si="2"/>
        <v>0</v>
      </c>
      <c r="AL24" s="121">
        <v>3</v>
      </c>
      <c r="AM24" s="94">
        <f>F24/AL24</f>
        <v>3</v>
      </c>
      <c r="AN24" s="94">
        <f t="shared" ref="AN24" si="20">ROUND(AI24/AM24,5)</f>
        <v>427.09333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427.09333</v>
      </c>
      <c r="AS24" s="88" t="s">
        <v>229</v>
      </c>
      <c r="AT24" s="88" t="s">
        <v>58</v>
      </c>
      <c r="AU24" t="s">
        <v>240</v>
      </c>
      <c r="AV24" t="s">
        <v>376</v>
      </c>
      <c r="AW24" s="88">
        <f>AM24</f>
        <v>3</v>
      </c>
      <c r="AX24" s="88">
        <f>AR24</f>
        <v>427.09333</v>
      </c>
      <c r="AY24" s="88">
        <f>AU24+AW24</f>
        <v>3</v>
      </c>
      <c r="AZ24" s="88">
        <f>ROUND(((AU24*AV24)+(AW24*AX24))/(AU24+AW24),5)</f>
        <v>427.09333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62" t="s">
        <v>230</v>
      </c>
      <c r="BM24" t="s">
        <v>376</v>
      </c>
      <c r="BN24" t="s">
        <v>266</v>
      </c>
      <c r="BO24" s="88">
        <f>ROUND((((AW24*AZ24)+(BN24*BM24))/(AW24+BN24)),5)</f>
        <v>427.09333</v>
      </c>
      <c r="BP24" s="92">
        <f>BN24+AW24</f>
        <v>6</v>
      </c>
      <c r="BQ24" s="93">
        <v>88363222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3673.17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198.56</v>
      </c>
      <c r="S25" s="76">
        <f>SUM(S23:S24)</f>
        <v>3474.61</v>
      </c>
      <c r="T25" s="76"/>
      <c r="U25" s="76"/>
      <c r="V25" s="82">
        <f t="shared" ref="V25:AE25" si="24">SUM(V23:V24)</f>
        <v>312.72</v>
      </c>
      <c r="W25" s="82">
        <f t="shared" si="24"/>
        <v>312.72</v>
      </c>
      <c r="X25" s="82">
        <f t="shared" si="24"/>
        <v>0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625.44</v>
      </c>
      <c r="AC25" s="85">
        <f t="shared" si="24"/>
        <v>3869.41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3474.61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3673.17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198.56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3474.61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AB25</f>
        <v>625.44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4100.05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AP13" workbookViewId="0">
      <selection activeCell="AS28" sqref="AS28"/>
    </sheetView>
  </sheetViews>
  <sheetFormatPr defaultColWidth="9" defaultRowHeight="14.5"/>
  <cols>
    <col min="2" max="2" width="34.7090909090909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387</v>
      </c>
      <c r="C23" s="73" t="s">
        <v>162</v>
      </c>
      <c r="D23" s="73" t="s">
        <v>58</v>
      </c>
      <c r="E23" s="73" t="s">
        <v>163</v>
      </c>
      <c r="F23" s="74">
        <v>24</v>
      </c>
      <c r="G23" t="s">
        <v>363</v>
      </c>
      <c r="H23" s="74">
        <f>F23*G23</f>
        <v>14400</v>
      </c>
      <c r="I23" t="s">
        <v>304</v>
      </c>
      <c r="J23" s="74">
        <v>2</v>
      </c>
      <c r="K23" s="74">
        <v>2</v>
      </c>
      <c r="L23" s="74">
        <f>H23</f>
        <v>14400</v>
      </c>
      <c r="M23" s="74">
        <f>ROUND(L23*I23%,2)</f>
        <v>576</v>
      </c>
      <c r="N23" s="74">
        <f>H23-M23</f>
        <v>13824</v>
      </c>
      <c r="O23" s="74">
        <f>ROUND(N23*J23%,2)</f>
        <v>276.48</v>
      </c>
      <c r="P23" s="74">
        <f>ROUND(N23-O23,2)</f>
        <v>13547.52</v>
      </c>
      <c r="Q23" s="74">
        <f>ROUND(P23*K23%,2)</f>
        <v>270.95</v>
      </c>
      <c r="R23" s="74">
        <f>ROUND((M23+O23+Q23),2)</f>
        <v>1123.43</v>
      </c>
      <c r="S23" s="74">
        <f>ROUND((H23-R23),2)</f>
        <v>13276.57</v>
      </c>
      <c r="T23" s="94" t="s">
        <v>146</v>
      </c>
      <c r="U23" s="84">
        <v>0.18</v>
      </c>
      <c r="V23" s="74">
        <f>IF(OR($C$21=1,$C$21=4),ROUND(((S23*U23)/2),2),0)</f>
        <v>1194.89</v>
      </c>
      <c r="W23" s="74">
        <f>IF($C$21=1,ROUND(((S23*U23)/2),2),0)</f>
        <v>1194.89</v>
      </c>
      <c r="X23" s="74">
        <f>IF($C$21=2,ROUND(((S23*U23)),2),0)</f>
        <v>0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2389.78</v>
      </c>
      <c r="AC23" s="73">
        <f>IF($V21=1,S23+AB23,S23)</f>
        <v>15666.35</v>
      </c>
      <c r="AD23" s="94">
        <v>120</v>
      </c>
      <c r="AE23" s="94">
        <f>IF($P$21=1,(S23/$S$24)*$E$35,AD23/$AD$24*$E$35)</f>
        <v>0</v>
      </c>
      <c r="AF23" s="94"/>
      <c r="AG23" s="94">
        <f>IF($P$21=1,(S23/$S$24)*$E$37,AD23/$AD$24*$E$37)</f>
        <v>0</v>
      </c>
      <c r="AH23" s="94">
        <f>IF($P$21=1,(S23/$S$24)*$E$38,AD23/$AD$24*$E$38)</f>
        <v>0</v>
      </c>
      <c r="AI23" s="94">
        <f t="shared" ref="AI23" si="1">S23*$M$21</f>
        <v>13276.57</v>
      </c>
      <c r="AJ23" s="94">
        <f>IF($C$21=3,0,AG23+AH23)</f>
        <v>0</v>
      </c>
      <c r="AK23" s="94">
        <f t="shared" ref="AK23" si="2">IF($C$21=3,AE23+AG23+AH23,0)</f>
        <v>0</v>
      </c>
      <c r="AL23" s="121">
        <v>3</v>
      </c>
      <c r="AM23" s="94">
        <f>F23/AL23</f>
        <v>8</v>
      </c>
      <c r="AN23" s="94">
        <f>ROUND(AI23/AM23,5)</f>
        <v>1659.57125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1659.57125</v>
      </c>
      <c r="AS23" s="88" t="s">
        <v>229</v>
      </c>
      <c r="AT23" s="88" t="s">
        <v>58</v>
      </c>
      <c r="AU23" t="s">
        <v>240</v>
      </c>
      <c r="AV23" t="s">
        <v>388</v>
      </c>
      <c r="AW23" s="88">
        <f>AM23</f>
        <v>8</v>
      </c>
      <c r="AX23" s="88">
        <f>AR23</f>
        <v>1659.57125</v>
      </c>
      <c r="AY23" s="88">
        <f>AU23+AW23</f>
        <v>8</v>
      </c>
      <c r="AZ23" s="88">
        <f>ROUND(((AU23*AV23)+(AW23*AX23))/(AU23+AW23),1)</f>
        <v>1659.6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62" t="s">
        <v>230</v>
      </c>
      <c r="BM23" t="s">
        <v>240</v>
      </c>
      <c r="BN23" t="s">
        <v>240</v>
      </c>
      <c r="BO23" s="88">
        <f>ROUND((((AW23*AZ23)+(BN23*BM23))/(AW23+BN23)),5)</f>
        <v>1659.6</v>
      </c>
      <c r="BP23" s="92">
        <f>ROUND(BN23+AW23,3)</f>
        <v>8</v>
      </c>
      <c r="BQ23" s="93">
        <v>88363222</v>
      </c>
    </row>
    <row r="24" ht="15.25" spans="1:67">
      <c r="A24" s="71"/>
      <c r="C24" s="103" t="s">
        <v>87</v>
      </c>
      <c r="D24" s="31"/>
      <c r="E24" s="31"/>
      <c r="F24" s="31"/>
      <c r="G24" s="32"/>
      <c r="H24" s="76">
        <f>SUM(H23:H23)</f>
        <v>14400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1123.43</v>
      </c>
      <c r="S24" s="76">
        <f>SUM(S23:S23)</f>
        <v>13276.57</v>
      </c>
      <c r="T24" s="76"/>
      <c r="U24" s="76"/>
      <c r="V24" s="82">
        <f t="shared" ref="V24:AE24" si="3">SUM(V23:V23)</f>
        <v>1194.89</v>
      </c>
      <c r="W24" s="82">
        <f t="shared" si="3"/>
        <v>1194.89</v>
      </c>
      <c r="X24" s="82">
        <f t="shared" si="3"/>
        <v>0</v>
      </c>
      <c r="Y24" s="82">
        <f t="shared" si="3"/>
        <v>0</v>
      </c>
      <c r="Z24" s="123">
        <f t="shared" si="3"/>
        <v>0</v>
      </c>
      <c r="AA24" s="82">
        <f t="shared" si="3"/>
        <v>0</v>
      </c>
      <c r="AB24" s="76">
        <f t="shared" si="3"/>
        <v>2389.78</v>
      </c>
      <c r="AC24" s="85">
        <f t="shared" si="3"/>
        <v>15666.35</v>
      </c>
      <c r="AD24" s="86">
        <f t="shared" si="3"/>
        <v>120</v>
      </c>
      <c r="AE24" s="86">
        <f t="shared" si="3"/>
        <v>0</v>
      </c>
      <c r="AF24" s="85"/>
      <c r="AG24" s="86">
        <f>SUM(AG23:AG23)</f>
        <v>0</v>
      </c>
      <c r="AH24" s="86">
        <f>IF($P$21=1,(S24/$S$24)*$E$38,AD24/$AD$24*$E$38)</f>
        <v>0</v>
      </c>
      <c r="AI24" s="86">
        <f>SUM(AI23:AI23)</f>
        <v>13276.57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  <c r="AT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71"/>
      <c r="BJ24" s="71"/>
      <c r="BK24" s="71"/>
      <c r="BL24" s="71"/>
      <c r="BM24" s="71"/>
      <c r="BN24" s="71"/>
      <c r="BO24" s="71"/>
    </row>
    <row r="25" ht="15.25" spans="1:67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104" t="s">
        <v>194</v>
      </c>
      <c r="H26" s="105"/>
      <c r="I26" s="108">
        <f>H24</f>
        <v>14400</v>
      </c>
      <c r="J26" s="108"/>
      <c r="K26" s="109"/>
      <c r="L26" s="71"/>
      <c r="M26" s="110" t="s">
        <v>195</v>
      </c>
      <c r="N26" s="111"/>
      <c r="O26" s="111"/>
      <c r="P26" s="112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 t="s">
        <v>377</v>
      </c>
      <c r="BI26" s="158" t="s">
        <v>378</v>
      </c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196</v>
      </c>
      <c r="H27" s="105"/>
      <c r="I27" s="108">
        <f>R24</f>
        <v>1123.43</v>
      </c>
      <c r="J27" s="108"/>
      <c r="K27" s="71"/>
      <c r="L27" s="71"/>
      <c r="M27" s="113">
        <v>1</v>
      </c>
      <c r="N27" s="113" t="s">
        <v>58</v>
      </c>
      <c r="O27" s="113">
        <v>2</v>
      </c>
      <c r="P27" s="113" t="s">
        <v>163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379</v>
      </c>
      <c r="BI27" s="158" t="s">
        <v>380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197</v>
      </c>
      <c r="H28" s="105"/>
      <c r="I28" s="108">
        <f>S24</f>
        <v>13276.57</v>
      </c>
      <c r="J28" s="108"/>
      <c r="K28" s="71"/>
      <c r="L28" s="71"/>
      <c r="M28" s="73">
        <v>1</v>
      </c>
      <c r="N28" s="73" t="s">
        <v>58</v>
      </c>
      <c r="O28" s="73">
        <v>2.5</v>
      </c>
      <c r="P28" s="73" t="s">
        <v>176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71"/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198</v>
      </c>
      <c r="H29" s="105"/>
      <c r="I29" s="108">
        <f>AB24</f>
        <v>2389.78</v>
      </c>
      <c r="J29" s="108"/>
      <c r="K29" s="71"/>
      <c r="L29" s="71"/>
      <c r="M29" s="73">
        <v>1</v>
      </c>
      <c r="N29" s="73" t="s">
        <v>163</v>
      </c>
      <c r="O29" s="73">
        <v>0.001</v>
      </c>
      <c r="P29" s="73" t="s">
        <v>185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199</v>
      </c>
      <c r="H30" s="105"/>
      <c r="I30" s="114">
        <f>I28+I29</f>
        <v>15666.35</v>
      </c>
      <c r="J30" s="114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spans="1:67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 t="s">
        <v>381</v>
      </c>
      <c r="BN31" s="71" t="s">
        <v>382</v>
      </c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 t="s">
        <v>383</v>
      </c>
      <c r="BL32" s="71">
        <v>12.5</v>
      </c>
      <c r="BM32" s="71">
        <f>BL34*BL35</f>
        <v>18277.77</v>
      </c>
      <c r="BN32" s="71">
        <f>BL32*BL33</f>
        <v>6092.59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384</v>
      </c>
      <c r="BL33" s="71">
        <v>487.4072</v>
      </c>
      <c r="BM33" s="71">
        <f>BL32+BL34</f>
        <v>50</v>
      </c>
      <c r="BN33" s="71"/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385</v>
      </c>
      <c r="BL34" s="71">
        <v>37.5</v>
      </c>
      <c r="BM34" s="71"/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386</v>
      </c>
      <c r="BL35" s="71">
        <v>487.4072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/>
      <c r="BL36" s="71"/>
      <c r="BM36" s="71">
        <f>BM32+BN32</f>
        <v>24370.36</v>
      </c>
      <c r="BN36" s="71">
        <f>BM36/BM33</f>
        <v>487.4072</v>
      </c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/>
      <c r="BN37" s="71"/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8"/>
  <sheetViews>
    <sheetView topLeftCell="AE10" workbookViewId="0">
      <selection activeCell="AS23" sqref="AS23"/>
    </sheetView>
  </sheetViews>
  <sheetFormatPr defaultColWidth="9" defaultRowHeight="14.5"/>
  <cols>
    <col min="2" max="2" width="30.8545454545455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389</v>
      </c>
      <c r="C23" s="73" t="s">
        <v>162</v>
      </c>
      <c r="D23" s="73" t="s">
        <v>58</v>
      </c>
      <c r="E23" s="73" t="s">
        <v>163</v>
      </c>
      <c r="F23" s="74">
        <v>15</v>
      </c>
      <c r="G23" t="s">
        <v>256</v>
      </c>
      <c r="H23" s="74">
        <f>F23*G23</f>
        <v>7500</v>
      </c>
      <c r="I23" t="s">
        <v>223</v>
      </c>
      <c r="J23" s="74">
        <v>2</v>
      </c>
      <c r="K23" s="74">
        <v>2</v>
      </c>
      <c r="L23" s="74">
        <f>H23</f>
        <v>7500</v>
      </c>
      <c r="M23" s="74">
        <f>ROUND(L23*I23%,2)</f>
        <v>150</v>
      </c>
      <c r="N23" s="74">
        <f>H23-M23</f>
        <v>7350</v>
      </c>
      <c r="O23" s="74">
        <f>ROUND(N23*J23%,2)</f>
        <v>147</v>
      </c>
      <c r="P23" s="74">
        <f>ROUND(N23-O23,2)</f>
        <v>7203</v>
      </c>
      <c r="Q23" s="74">
        <f>ROUND(P23*K23%,2)</f>
        <v>144.06</v>
      </c>
      <c r="R23" s="74">
        <f>ROUND((M23+O23+Q23),2)</f>
        <v>441.06</v>
      </c>
      <c r="S23" s="74">
        <f>ROUND((H23-R23),2)</f>
        <v>7058.94</v>
      </c>
      <c r="T23" s="94" t="s">
        <v>146</v>
      </c>
      <c r="U23" s="84">
        <v>0.18</v>
      </c>
      <c r="V23" s="74">
        <f>IF(OR($C$21=1,$C$21=4),ROUND(((S23*U23)/2),2),0)</f>
        <v>635.3</v>
      </c>
      <c r="W23" s="74">
        <f>IF($C$21=1,ROUND(((S23*U23)/2),2),0)</f>
        <v>635.3</v>
      </c>
      <c r="X23" s="74">
        <f>IF($C$21=2,ROUND(((S23*U23)),2),0)</f>
        <v>0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1270.6</v>
      </c>
      <c r="AC23" s="73">
        <f>IF($V21=1,S23+AB23,S23)</f>
        <v>8329.54</v>
      </c>
      <c r="AD23" s="94">
        <v>120</v>
      </c>
      <c r="AE23" s="94">
        <f>IF($P$21=1,(S23/$S$24)*$E$35,AD23/$AD$24*$E$35)</f>
        <v>0</v>
      </c>
      <c r="AF23" s="94"/>
      <c r="AG23" s="94">
        <f>IF($P$21=1,(S23/$S$24)*$E$37,AD23/$AD$24*$E$37)</f>
        <v>0</v>
      </c>
      <c r="AH23" s="94">
        <f>IF($P$21=1,(S23/$S$24)*$E$38,AD23/$AD$24*$E$38)</f>
        <v>0</v>
      </c>
      <c r="AI23" s="94">
        <f t="shared" ref="AI23" si="1">S23*$M$21</f>
        <v>7058.94</v>
      </c>
      <c r="AJ23" s="94">
        <f>IF($C$21=3,0,AG23+AH23)</f>
        <v>0</v>
      </c>
      <c r="AK23" s="94">
        <f t="shared" ref="AK23" si="2">IF($C$21=3,AE23+AG23+AH23,0)</f>
        <v>0</v>
      </c>
      <c r="AL23" s="121">
        <v>3</v>
      </c>
      <c r="AM23" s="94">
        <f>F23/AL23</f>
        <v>5</v>
      </c>
      <c r="AN23" s="94">
        <f>ROUND(AI23/AM23,5)</f>
        <v>1411.788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1411.788</v>
      </c>
      <c r="AS23" s="88" t="s">
        <v>229</v>
      </c>
      <c r="AT23" s="88" t="s">
        <v>58</v>
      </c>
      <c r="AU23" t="s">
        <v>240</v>
      </c>
      <c r="AV23" t="s">
        <v>390</v>
      </c>
      <c r="AW23" s="88">
        <f>AM23</f>
        <v>5</v>
      </c>
      <c r="AX23" s="64">
        <f>AR23</f>
        <v>1411.788</v>
      </c>
      <c r="AY23" s="88">
        <f>AU23+AW23</f>
        <v>5</v>
      </c>
      <c r="AZ23" s="88">
        <f>ROUND(((AU23*AV23)+(AW23*AX23))/(AU23+AW23),1)</f>
        <v>1411.8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62" t="s">
        <v>230</v>
      </c>
      <c r="BM23" t="s">
        <v>391</v>
      </c>
      <c r="BN23" t="s">
        <v>392</v>
      </c>
      <c r="BO23" s="88">
        <f>ROUND((((AW23*AZ23)+(BN23*BM23))/(AW23+BN23)),5)</f>
        <v>1407.69396</v>
      </c>
      <c r="BP23" s="92">
        <f>ROUND(BN23+AW23,3)</f>
        <v>58</v>
      </c>
      <c r="BQ23" s="93">
        <v>88363222</v>
      </c>
    </row>
    <row r="24" ht="15.25" spans="1:67">
      <c r="A24" s="71"/>
      <c r="C24" s="103" t="s">
        <v>87</v>
      </c>
      <c r="D24" s="31"/>
      <c r="E24" s="31"/>
      <c r="F24" s="31"/>
      <c r="G24" s="32"/>
      <c r="H24" s="76">
        <f>SUM(H23:H23)</f>
        <v>7500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441.06</v>
      </c>
      <c r="S24" s="76">
        <f>SUM(S23:S23)</f>
        <v>7058.94</v>
      </c>
      <c r="T24" s="76"/>
      <c r="U24" s="76"/>
      <c r="V24" s="82">
        <f t="shared" ref="V24:AE24" si="3">SUM(V23:V23)</f>
        <v>635.3</v>
      </c>
      <c r="W24" s="82">
        <f t="shared" si="3"/>
        <v>635.3</v>
      </c>
      <c r="X24" s="82">
        <f t="shared" si="3"/>
        <v>0</v>
      </c>
      <c r="Y24" s="82">
        <f t="shared" si="3"/>
        <v>0</v>
      </c>
      <c r="Z24" s="123">
        <f t="shared" si="3"/>
        <v>0</v>
      </c>
      <c r="AA24" s="82">
        <f t="shared" si="3"/>
        <v>0</v>
      </c>
      <c r="AB24" s="76">
        <f t="shared" si="3"/>
        <v>1270.6</v>
      </c>
      <c r="AC24" s="85">
        <f t="shared" si="3"/>
        <v>8329.54</v>
      </c>
      <c r="AD24" s="86">
        <f t="shared" si="3"/>
        <v>120</v>
      </c>
      <c r="AE24" s="86">
        <f t="shared" si="3"/>
        <v>0</v>
      </c>
      <c r="AF24" s="85"/>
      <c r="AG24" s="86">
        <f>SUM(AG23:AG23)</f>
        <v>0</v>
      </c>
      <c r="AH24" s="86">
        <f>IF($P$21=1,(S24/$S$24)*$E$38,AD24/$AD$24*$E$38)</f>
        <v>0</v>
      </c>
      <c r="AI24" s="86">
        <f>SUM(AI23:AI23)</f>
        <v>7058.94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  <c r="AT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71"/>
      <c r="BJ24" s="71"/>
      <c r="BK24" s="71"/>
      <c r="BL24" s="71"/>
      <c r="BM24" s="71"/>
      <c r="BN24" s="71"/>
      <c r="BO24" s="71"/>
    </row>
    <row r="25" ht="15.25" spans="1:67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104" t="s">
        <v>194</v>
      </c>
      <c r="H26" s="105"/>
      <c r="I26" s="108">
        <f>H24</f>
        <v>7500</v>
      </c>
      <c r="J26" s="108"/>
      <c r="K26" s="109"/>
      <c r="L26" s="71"/>
      <c r="M26" s="110" t="s">
        <v>195</v>
      </c>
      <c r="N26" s="111"/>
      <c r="O26" s="111"/>
      <c r="P26" s="112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 t="s">
        <v>377</v>
      </c>
      <c r="BI26" s="158" t="s">
        <v>378</v>
      </c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196</v>
      </c>
      <c r="H27" s="105"/>
      <c r="I27" s="108">
        <f>R24</f>
        <v>441.06</v>
      </c>
      <c r="J27" s="108"/>
      <c r="K27" s="71"/>
      <c r="L27" s="71"/>
      <c r="M27" s="113">
        <v>1</v>
      </c>
      <c r="N27" s="113" t="s">
        <v>58</v>
      </c>
      <c r="O27" s="113">
        <v>2</v>
      </c>
      <c r="P27" s="113" t="s">
        <v>163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379</v>
      </c>
      <c r="BI27" s="158" t="s">
        <v>380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197</v>
      </c>
      <c r="H28" s="105"/>
      <c r="I28" s="108">
        <f>S24</f>
        <v>7058.94</v>
      </c>
      <c r="J28" s="108"/>
      <c r="K28" s="71"/>
      <c r="L28" s="71"/>
      <c r="M28" s="73">
        <v>1</v>
      </c>
      <c r="N28" s="73" t="s">
        <v>58</v>
      </c>
      <c r="O28" s="73">
        <v>2.5</v>
      </c>
      <c r="P28" s="73" t="s">
        <v>176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71"/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198</v>
      </c>
      <c r="H29" s="105"/>
      <c r="I29" s="108">
        <f>AB24</f>
        <v>1270.6</v>
      </c>
      <c r="J29" s="108"/>
      <c r="K29" s="71"/>
      <c r="L29" s="71"/>
      <c r="M29" s="73">
        <v>1</v>
      </c>
      <c r="N29" s="73" t="s">
        <v>163</v>
      </c>
      <c r="O29" s="73">
        <v>0.001</v>
      </c>
      <c r="P29" s="73" t="s">
        <v>185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199</v>
      </c>
      <c r="H30" s="105"/>
      <c r="I30" s="114">
        <f>I28+I29</f>
        <v>8329.54</v>
      </c>
      <c r="J30" s="114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spans="1:67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 t="s">
        <v>381</v>
      </c>
      <c r="BN31" s="71" t="s">
        <v>382</v>
      </c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 t="s">
        <v>383</v>
      </c>
      <c r="BL32" s="71">
        <v>12.5</v>
      </c>
      <c r="BM32" s="71">
        <f>BL34*BL35</f>
        <v>18277.77</v>
      </c>
      <c r="BN32" s="71">
        <f>BL32*BL33</f>
        <v>6092.59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384</v>
      </c>
      <c r="BL33" s="71">
        <v>487.4072</v>
      </c>
      <c r="BM33" s="71">
        <f>BL32+BL34</f>
        <v>50</v>
      </c>
      <c r="BN33" s="71"/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385</v>
      </c>
      <c r="BL34" s="71">
        <v>37.5</v>
      </c>
      <c r="BM34" s="71"/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386</v>
      </c>
      <c r="BL35" s="71">
        <v>487.4072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/>
      <c r="BL36" s="71"/>
      <c r="BM36" s="71">
        <f>BM32+BN32</f>
        <v>24370.36</v>
      </c>
      <c r="BN36" s="71">
        <f>BM36/BM33</f>
        <v>487.4072</v>
      </c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/>
      <c r="BN37" s="71"/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</sheetData>
  <mergeCells count="14">
    <mergeCell ref="A1:AC1"/>
    <mergeCell ref="B19:G19"/>
    <mergeCell ref="A21:B21"/>
    <mergeCell ref="G26:H26"/>
    <mergeCell ref="I26:J26"/>
    <mergeCell ref="M26:P26"/>
    <mergeCell ref="G27:H27"/>
    <mergeCell ref="I27:J27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F13" workbookViewId="0">
      <selection activeCell="BL23" sqref="BL23:BL24"/>
    </sheetView>
  </sheetViews>
  <sheetFormatPr defaultColWidth="9" defaultRowHeight="14.5"/>
  <cols>
    <col min="2" max="2" width="23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393</v>
      </c>
      <c r="C23" s="73" t="s">
        <v>162</v>
      </c>
      <c r="D23" s="73" t="s">
        <v>58</v>
      </c>
      <c r="E23" s="73" t="s">
        <v>163</v>
      </c>
      <c r="F23" s="74">
        <v>25</v>
      </c>
      <c r="G23" t="s">
        <v>394</v>
      </c>
      <c r="H23" s="74">
        <f>F23*G23</f>
        <v>5750</v>
      </c>
      <c r="I23" t="s">
        <v>223</v>
      </c>
      <c r="J23" s="74">
        <v>2</v>
      </c>
      <c r="K23" s="74">
        <v>2.5</v>
      </c>
      <c r="L23" s="74">
        <f>H23</f>
        <v>5750</v>
      </c>
      <c r="M23" s="74">
        <f>ROUND(L23*I23%,2)</f>
        <v>115</v>
      </c>
      <c r="N23" s="74">
        <f>H23-M23</f>
        <v>5635</v>
      </c>
      <c r="O23" s="74">
        <f>ROUND(N23*J23%,2)</f>
        <v>112.7</v>
      </c>
      <c r="P23" s="74">
        <f>ROUND(N23-O23,2)</f>
        <v>5522.3</v>
      </c>
      <c r="Q23" s="74">
        <f>ROUND(P23*K23%,2)</f>
        <v>138.06</v>
      </c>
      <c r="R23" s="74">
        <f>ROUND((M23+O23+Q23),2)</f>
        <v>365.76</v>
      </c>
      <c r="S23" s="74">
        <f>ROUND((H23-R23),2)</f>
        <v>5384.24</v>
      </c>
      <c r="T23" s="94" t="s">
        <v>146</v>
      </c>
      <c r="U23" s="84">
        <v>0.18</v>
      </c>
      <c r="V23" s="74">
        <f>IF(OR($C$21=1,$C$21=4),ROUND(((S23*U23)/2),2),0)</f>
        <v>484.58</v>
      </c>
      <c r="W23" s="74">
        <f>IF($C$21=1,ROUND(((S23*U23)/2),2),0)</f>
        <v>484.58</v>
      </c>
      <c r="X23" s="74">
        <f>IF($C$21=2,ROUND(((S23*U23)),2),0)</f>
        <v>0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969.16</v>
      </c>
      <c r="AC23" s="73">
        <f>IF($V21=1,S23+AB23,S23)</f>
        <v>6353.4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5384.24</v>
      </c>
      <c r="AJ23" s="94">
        <f>IF($C$21=3,0,AG23+AH23)</f>
        <v>0</v>
      </c>
      <c r="AK23" s="94">
        <f t="shared" ref="AK23:AK24" si="2">IF($C$21=3,AE23+AG23+AH23,0)</f>
        <v>0</v>
      </c>
      <c r="AL23" s="121">
        <v>2</v>
      </c>
      <c r="AM23" s="94">
        <f>F23/AL23</f>
        <v>12.5</v>
      </c>
      <c r="AN23" s="94">
        <f>ROUND(AI23/AM23,5)</f>
        <v>430.7392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430.7392</v>
      </c>
      <c r="AS23" s="88" t="s">
        <v>222</v>
      </c>
      <c r="AT23" s="88" t="s">
        <v>58</v>
      </c>
      <c r="AU23" t="s">
        <v>240</v>
      </c>
      <c r="AV23" t="s">
        <v>395</v>
      </c>
      <c r="AW23" s="88">
        <f>AM23</f>
        <v>12.5</v>
      </c>
      <c r="AX23" s="88">
        <f>AR23</f>
        <v>430.7392</v>
      </c>
      <c r="AY23" s="88">
        <f>AU23+AW23</f>
        <v>12.5</v>
      </c>
      <c r="AZ23" s="88">
        <f>ROUND(((AU23*AV23)+(AW23*AX23))/(AU23+AW23),5)</f>
        <v>430.7392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62" t="s">
        <v>31</v>
      </c>
      <c r="BO23" s="88">
        <f>ROUND((((AW23*AZ23)+(BN23*BM23))/(AW23+BN23)),5)</f>
        <v>430.7392</v>
      </c>
      <c r="BP23" s="92">
        <f>BN23+AW23</f>
        <v>12.5</v>
      </c>
      <c r="BQ23" s="93">
        <v>123562</v>
      </c>
    </row>
    <row r="24" ht="15.25" spans="1:69">
      <c r="A24" s="73">
        <v>2</v>
      </c>
      <c r="B24" s="73" t="s">
        <v>396</v>
      </c>
      <c r="C24" s="73" t="s">
        <v>175</v>
      </c>
      <c r="D24" s="73" t="s">
        <v>58</v>
      </c>
      <c r="E24" s="73" t="s">
        <v>163</v>
      </c>
      <c r="F24" s="74">
        <v>28</v>
      </c>
      <c r="G24" t="s">
        <v>276</v>
      </c>
      <c r="H24" s="74">
        <f t="shared" ref="H24" si="3">F24*G24</f>
        <v>6608</v>
      </c>
      <c r="I24" t="s">
        <v>397</v>
      </c>
      <c r="J24" s="74">
        <v>2</v>
      </c>
      <c r="K24" s="74">
        <v>2.5</v>
      </c>
      <c r="L24" s="74">
        <f t="shared" ref="L24" si="4">H24</f>
        <v>6608</v>
      </c>
      <c r="M24" s="74">
        <f t="shared" ref="M24" si="5">ROUND(L24*I24%,2)</f>
        <v>190.97</v>
      </c>
      <c r="N24" s="74">
        <f t="shared" ref="N24" si="6">H24-M24</f>
        <v>6417.03</v>
      </c>
      <c r="O24" s="74">
        <f t="shared" ref="O24" si="7">ROUND(N24*J24%,2)</f>
        <v>128.34</v>
      </c>
      <c r="P24" s="74">
        <f t="shared" ref="P24" si="8">ROUND(N24-O24,2)</f>
        <v>6288.69</v>
      </c>
      <c r="Q24" s="74">
        <f t="shared" ref="Q24" si="9">ROUND(P24*K24%,2)</f>
        <v>157.22</v>
      </c>
      <c r="R24" s="74">
        <f t="shared" ref="R24" si="10">ROUND((M24+O24+Q24),2)</f>
        <v>476.53</v>
      </c>
      <c r="S24" s="74">
        <f t="shared" ref="S24" si="11">ROUND((H24-R24),2)</f>
        <v>6131.47</v>
      </c>
      <c r="T24" s="94" t="s">
        <v>375</v>
      </c>
      <c r="U24" s="84">
        <v>0.18</v>
      </c>
      <c r="V24" s="74">
        <f t="shared" ref="V24" si="12">IF(OR($C$21=1,$C$21=4),ROUND(((S24*U24)/2),2),0)</f>
        <v>551.83</v>
      </c>
      <c r="W24" s="74">
        <f t="shared" ref="W24" si="13">IF($C$21=1,ROUND(((S24*U24)/2),2),0)</f>
        <v>551.83</v>
      </c>
      <c r="X24" s="74">
        <f t="shared" ref="X24" si="14">IF($C$21=2,ROUND(((S24*U24)),2),0)</f>
        <v>0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1103.66</v>
      </c>
      <c r="AC24" s="73">
        <f t="shared" ref="AC24" si="18">IF($V22=1,S24+AB24,S24)</f>
        <v>6131.47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6131.47</v>
      </c>
      <c r="AJ24" s="94">
        <f t="shared" ref="AJ24" si="19">IF($C$21=3,0,AG24+AH24)</f>
        <v>0</v>
      </c>
      <c r="AK24" s="94">
        <f t="shared" si="2"/>
        <v>0</v>
      </c>
      <c r="AL24" s="121">
        <v>2</v>
      </c>
      <c r="AM24" s="94">
        <f>F24/AL24</f>
        <v>14</v>
      </c>
      <c r="AN24" s="94">
        <f t="shared" ref="AN24" si="20">ROUND(AI24/AM24,5)</f>
        <v>437.96214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437.96214</v>
      </c>
      <c r="AS24" s="88" t="s">
        <v>222</v>
      </c>
      <c r="AT24" s="88" t="s">
        <v>58</v>
      </c>
      <c r="AU24" t="s">
        <v>240</v>
      </c>
      <c r="AV24" t="s">
        <v>398</v>
      </c>
      <c r="AW24" s="88">
        <f>AM24</f>
        <v>14</v>
      </c>
      <c r="AX24" s="88">
        <f>AR24</f>
        <v>437.96214</v>
      </c>
      <c r="AY24" s="88">
        <f>AU24+AW24</f>
        <v>14</v>
      </c>
      <c r="AZ24" s="88">
        <f>ROUND(((AU24*AV24)+(AW24*AX24))/(AU24+AW24),5)</f>
        <v>437.96214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62" t="s">
        <v>31</v>
      </c>
      <c r="BM24" t="s">
        <v>240</v>
      </c>
      <c r="BN24" t="s">
        <v>240</v>
      </c>
      <c r="BO24" s="88">
        <f>ROUND((((AW24*AZ24)+(BN24*BM24))/(AW24+BN24)),5)</f>
        <v>437.96214</v>
      </c>
      <c r="BP24" s="92">
        <f>BN24+AW24</f>
        <v>14</v>
      </c>
      <c r="BQ24" s="93">
        <v>123562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12358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842.29</v>
      </c>
      <c r="S25" s="76">
        <f>SUM(S23:S24)</f>
        <v>11515.71</v>
      </c>
      <c r="T25" s="76"/>
      <c r="U25" s="76"/>
      <c r="V25" s="82">
        <f t="shared" ref="V25:AE25" si="24">SUM(V23:V24)</f>
        <v>1036.41</v>
      </c>
      <c r="W25" s="82">
        <f t="shared" si="24"/>
        <v>1036.41</v>
      </c>
      <c r="X25" s="82">
        <f t="shared" si="24"/>
        <v>0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2072.82</v>
      </c>
      <c r="AC25" s="85">
        <f t="shared" si="24"/>
        <v>12484.87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11515.71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12358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842.29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11515.71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AB25</f>
        <v>2072.82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13588.53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3" workbookViewId="0">
      <selection activeCell="B24" sqref="B24"/>
    </sheetView>
  </sheetViews>
  <sheetFormatPr defaultColWidth="9" defaultRowHeight="14.5"/>
  <cols>
    <col min="2" max="2" width="23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399</v>
      </c>
      <c r="C23" s="73" t="s">
        <v>162</v>
      </c>
      <c r="D23" s="73" t="s">
        <v>58</v>
      </c>
      <c r="E23" s="73" t="s">
        <v>163</v>
      </c>
      <c r="F23" s="74">
        <v>18</v>
      </c>
      <c r="G23" t="s">
        <v>363</v>
      </c>
      <c r="H23" s="74">
        <f>F23*G23</f>
        <v>10800</v>
      </c>
      <c r="I23" t="s">
        <v>266</v>
      </c>
      <c r="J23" s="74">
        <v>2</v>
      </c>
      <c r="K23" s="74">
        <v>2.5</v>
      </c>
      <c r="L23" s="74">
        <f>H23</f>
        <v>10800</v>
      </c>
      <c r="M23" s="74">
        <f>ROUND(L23*I23%,2)</f>
        <v>324</v>
      </c>
      <c r="N23" s="74">
        <f>H23-M23</f>
        <v>10476</v>
      </c>
      <c r="O23" s="74">
        <f>ROUND(N23*J23%,2)</f>
        <v>209.52</v>
      </c>
      <c r="P23" s="74">
        <f>ROUND(N23-O23,2)</f>
        <v>10266.48</v>
      </c>
      <c r="Q23" s="74">
        <f>ROUND(P23*K23%,2)</f>
        <v>256.66</v>
      </c>
      <c r="R23" s="74">
        <f>ROUND((M23+O23+Q23),2)</f>
        <v>790.18</v>
      </c>
      <c r="S23" s="74">
        <f>ROUND((H23-R23),2)</f>
        <v>10009.82</v>
      </c>
      <c r="T23" s="94" t="s">
        <v>146</v>
      </c>
      <c r="U23" s="8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1801.77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1801.77</v>
      </c>
      <c r="AC23" s="73">
        <f>IF($V21=1,S23+AB23,S23)</f>
        <v>11811.59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10009.82</v>
      </c>
      <c r="AJ23" s="94">
        <f>IF($C$21=3,0,AG23+AH23)</f>
        <v>0</v>
      </c>
      <c r="AK23" s="94">
        <f t="shared" ref="AK23:AK24" si="2">IF($C$21=3,AE23+AG23+AH23,0)</f>
        <v>0</v>
      </c>
      <c r="AL23" s="121">
        <v>3</v>
      </c>
      <c r="AM23" s="94">
        <f>F23/AL23</f>
        <v>6</v>
      </c>
      <c r="AN23" s="94">
        <f>ROUND(AI23/AM23,5)</f>
        <v>1668.30333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1668.30333</v>
      </c>
      <c r="AS23" s="88" t="s">
        <v>312</v>
      </c>
      <c r="AT23" s="88" t="s">
        <v>58</v>
      </c>
      <c r="AW23" s="88">
        <f>AM23</f>
        <v>6</v>
      </c>
      <c r="AX23" s="88">
        <f>AR23</f>
        <v>1668.30333</v>
      </c>
      <c r="AY23" s="88">
        <f>AU23+AW23</f>
        <v>6</v>
      </c>
      <c r="AZ23" s="88">
        <f>ROUND(((AU23*AV23)+(AW23*AX23))/(AU23+AW23),5)</f>
        <v>1668.30333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62" t="s">
        <v>314</v>
      </c>
      <c r="BM23" t="s">
        <v>240</v>
      </c>
      <c r="BN23" t="s">
        <v>240</v>
      </c>
      <c r="BO23" s="88">
        <f>ROUND((((AW23*AZ23)+(BN23*BM23))/(AW23+BN23)),5)</f>
        <v>1668.30333</v>
      </c>
      <c r="BP23" s="92">
        <f>BN23+AW23</f>
        <v>6</v>
      </c>
      <c r="BQ23" s="93">
        <v>88363222</v>
      </c>
    </row>
    <row r="24" ht="15.25" spans="1:69">
      <c r="A24" s="73">
        <v>2</v>
      </c>
      <c r="B24" s="73" t="s">
        <v>400</v>
      </c>
      <c r="C24" s="73" t="s">
        <v>175</v>
      </c>
      <c r="D24" s="73" t="s">
        <v>58</v>
      </c>
      <c r="E24" s="73" t="s">
        <v>163</v>
      </c>
      <c r="F24" s="74">
        <v>21</v>
      </c>
      <c r="G24" t="s">
        <v>256</v>
      </c>
      <c r="H24" s="74">
        <f t="shared" ref="H24" si="3">F24*G24</f>
        <v>10500</v>
      </c>
      <c r="I24" t="s">
        <v>223</v>
      </c>
      <c r="J24" s="74">
        <v>2</v>
      </c>
      <c r="K24" s="74">
        <v>2.5</v>
      </c>
      <c r="L24" s="74">
        <f t="shared" ref="L24" si="4">H24</f>
        <v>10500</v>
      </c>
      <c r="M24" s="74">
        <f t="shared" ref="M24" si="5">ROUND(L24*I24%,2)</f>
        <v>210</v>
      </c>
      <c r="N24" s="74">
        <f t="shared" ref="N24" si="6">H24-M24</f>
        <v>10290</v>
      </c>
      <c r="O24" s="74">
        <f t="shared" ref="O24" si="7">ROUND(N24*J24%,2)</f>
        <v>205.8</v>
      </c>
      <c r="P24" s="74">
        <f t="shared" ref="P24" si="8">ROUND(N24-O24,2)</f>
        <v>10084.2</v>
      </c>
      <c r="Q24" s="74">
        <f t="shared" ref="Q24" si="9">ROUND(P24*K24%,2)</f>
        <v>252.11</v>
      </c>
      <c r="R24" s="74">
        <f t="shared" ref="R24" si="10">ROUND((M24+O24+Q24),2)</f>
        <v>667.91</v>
      </c>
      <c r="S24" s="74">
        <f t="shared" ref="S24" si="11">ROUND((H24-R24),2)</f>
        <v>9832.09</v>
      </c>
      <c r="T24" s="94" t="s">
        <v>375</v>
      </c>
      <c r="U24" s="84">
        <v>0.18</v>
      </c>
      <c r="V24" s="74">
        <f t="shared" ref="V24" si="12">IF(OR($C$21=1,$C$21=4),ROUND(((S24*U24)/2),2),0)</f>
        <v>0</v>
      </c>
      <c r="W24" s="74">
        <f t="shared" ref="W24" si="13">IF($C$21=1,ROUND(((S24*U24)/2),2),0)</f>
        <v>0</v>
      </c>
      <c r="X24" s="74">
        <f t="shared" ref="X24" si="14">IF($C$21=2,ROUND(((S24*U24)),2),0)</f>
        <v>1769.78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1769.78</v>
      </c>
      <c r="AC24" s="73">
        <f t="shared" ref="AC24" si="18">IF($V22=1,S24+AB24,S24)</f>
        <v>9832.09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9832.09</v>
      </c>
      <c r="AJ24" s="94">
        <f t="shared" ref="AJ24" si="19">IF($C$21=3,0,AG24+AH24)</f>
        <v>0</v>
      </c>
      <c r="AK24" s="94">
        <f t="shared" si="2"/>
        <v>0</v>
      </c>
      <c r="AL24" s="121">
        <v>3</v>
      </c>
      <c r="AM24" s="94">
        <f>F24/AL24</f>
        <v>7</v>
      </c>
      <c r="AN24" s="94">
        <f t="shared" ref="AN24" si="20">ROUND(AI24/AM24,5)</f>
        <v>1404.58429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1404.58429</v>
      </c>
      <c r="AS24" s="88" t="s">
        <v>312</v>
      </c>
      <c r="AT24" s="88" t="s">
        <v>58</v>
      </c>
      <c r="AW24" s="88">
        <f>AM24</f>
        <v>7</v>
      </c>
      <c r="AX24" s="88">
        <f>AR24</f>
        <v>1404.58429</v>
      </c>
      <c r="AY24" s="88">
        <f>AU24+AW24</f>
        <v>7</v>
      </c>
      <c r="AZ24" s="88">
        <f>ROUND(((AU24*AV24)+(AW24*AX24))/(AU24+AW24),5)</f>
        <v>1404.58429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62" t="s">
        <v>314</v>
      </c>
      <c r="BM24" t="s">
        <v>240</v>
      </c>
      <c r="BN24" t="s">
        <v>240</v>
      </c>
      <c r="BO24" s="88">
        <f>ROUND((((AW24*AZ24)+(BN24*BM24))/(AW24+BN24)),5)</f>
        <v>1404.58429</v>
      </c>
      <c r="BP24" s="92">
        <f>BN24+AW24</f>
        <v>7</v>
      </c>
      <c r="BQ24" s="93">
        <v>88363222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21300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1458.09</v>
      </c>
      <c r="S25" s="76">
        <f>SUM(S23:S24)</f>
        <v>19841.91</v>
      </c>
      <c r="T25" s="76"/>
      <c r="U25" s="76"/>
      <c r="V25" s="82">
        <f t="shared" ref="V25:AE25" si="24">SUM(V23:V24)</f>
        <v>0</v>
      </c>
      <c r="W25" s="82">
        <f t="shared" si="24"/>
        <v>0</v>
      </c>
      <c r="X25" s="82">
        <f t="shared" si="24"/>
        <v>3571.55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3571.55</v>
      </c>
      <c r="AC25" s="85">
        <f t="shared" si="24"/>
        <v>21643.68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19841.91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21300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1458.09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19841.91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AB25</f>
        <v>3571.55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23413.46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M24" sqref="BM24"/>
    </sheetView>
  </sheetViews>
  <sheetFormatPr defaultColWidth="9" defaultRowHeight="14.5"/>
  <cols>
    <col min="2" max="2" width="23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401</v>
      </c>
      <c r="C23" s="73" t="s">
        <v>162</v>
      </c>
      <c r="D23" s="73" t="s">
        <v>58</v>
      </c>
      <c r="E23" s="73" t="s">
        <v>163</v>
      </c>
      <c r="F23" s="74">
        <v>25</v>
      </c>
      <c r="G23" t="s">
        <v>346</v>
      </c>
      <c r="H23" s="74">
        <f>F23*G23</f>
        <v>8600</v>
      </c>
      <c r="I23" t="s">
        <v>261</v>
      </c>
      <c r="J23" s="74">
        <v>2</v>
      </c>
      <c r="K23" s="74">
        <v>2.5</v>
      </c>
      <c r="L23" s="74">
        <f>H23</f>
        <v>8600</v>
      </c>
      <c r="M23" s="74">
        <f>ROUND(L23*I23%,2)</f>
        <v>201.24</v>
      </c>
      <c r="N23" s="74">
        <f>H23-M23</f>
        <v>8398.76</v>
      </c>
      <c r="O23" s="74">
        <f>ROUND(N23*J23%,2)</f>
        <v>167.98</v>
      </c>
      <c r="P23" s="74">
        <f>ROUND(N23-O23,2)</f>
        <v>8230.78</v>
      </c>
      <c r="Q23" s="74">
        <f>ROUND(P23*K23%,2)</f>
        <v>205.77</v>
      </c>
      <c r="R23" s="74">
        <f>ROUND((M23+O23+Q23),2)</f>
        <v>574.99</v>
      </c>
      <c r="S23" s="74">
        <f>ROUND((H23-R23),2)</f>
        <v>8025.01</v>
      </c>
      <c r="T23" s="94" t="s">
        <v>146</v>
      </c>
      <c r="U23" s="84">
        <v>0.18</v>
      </c>
      <c r="V23" s="74">
        <f>IF(OR($C$21=1,$C$21=4),ROUND(((S23*U23)/2),2),0)</f>
        <v>722.25</v>
      </c>
      <c r="W23" s="74">
        <f>IF($C$21=1,ROUND(((S23*U23)/2),2),0)</f>
        <v>722.25</v>
      </c>
      <c r="X23" s="74">
        <f>IF($C$21=2,ROUND(((S23*U23)),2),0)</f>
        <v>0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1444.5</v>
      </c>
      <c r="AC23" s="73">
        <f>IF($V21=1,S23+AB23,S23)</f>
        <v>9469.51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8025.01</v>
      </c>
      <c r="AJ23" s="94">
        <f>IF($C$21=3,0,AG23+AH23)</f>
        <v>0</v>
      </c>
      <c r="AK23" s="94">
        <f t="shared" ref="AK23:AK24" si="2">IF($C$21=3,AE23+AG23+AH23,0)</f>
        <v>0</v>
      </c>
      <c r="AL23" s="121">
        <v>2</v>
      </c>
      <c r="AM23" s="94">
        <f>F23/AL23</f>
        <v>12.5</v>
      </c>
      <c r="AN23" s="94">
        <f>ROUND(AI23/AM23,5)</f>
        <v>642.0008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642.0008</v>
      </c>
      <c r="AS23" s="88" t="s">
        <v>222</v>
      </c>
      <c r="AT23" s="88" t="s">
        <v>58</v>
      </c>
      <c r="AU23" t="s">
        <v>240</v>
      </c>
      <c r="AV23" t="s">
        <v>402</v>
      </c>
      <c r="AW23" s="88">
        <f>AM23</f>
        <v>12.5</v>
      </c>
      <c r="AX23" s="88">
        <f>AR23</f>
        <v>642.0008</v>
      </c>
      <c r="AY23" s="88">
        <f>AU23+AW23</f>
        <v>12.5</v>
      </c>
      <c r="AZ23" s="88">
        <f>ROUND(((AU23*AV23)+(AW23*AX23))/(AU23+AW23),5)</f>
        <v>642.0008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62" t="s">
        <v>31</v>
      </c>
      <c r="BM23" t="s">
        <v>402</v>
      </c>
      <c r="BN23" t="s">
        <v>403</v>
      </c>
      <c r="BO23" s="88">
        <f>ROUND((((AW23*AZ23)+(BN23*BM23))/(AW23+BN23)),5)</f>
        <v>642.0008</v>
      </c>
      <c r="BP23" s="92">
        <f>BN23+AW23</f>
        <v>75</v>
      </c>
      <c r="BQ23" s="93">
        <v>123562</v>
      </c>
    </row>
    <row r="24" ht="15.25" spans="1:69">
      <c r="A24" s="73">
        <v>2</v>
      </c>
      <c r="B24" s="73" t="s">
        <v>404</v>
      </c>
      <c r="C24" s="73" t="s">
        <v>175</v>
      </c>
      <c r="D24" s="73" t="s">
        <v>58</v>
      </c>
      <c r="E24" s="73" t="s">
        <v>163</v>
      </c>
      <c r="F24" s="74">
        <v>28</v>
      </c>
      <c r="G24" t="s">
        <v>303</v>
      </c>
      <c r="H24" s="74">
        <f t="shared" ref="H24" si="3">F24*G24</f>
        <v>6552</v>
      </c>
      <c r="I24" t="s">
        <v>405</v>
      </c>
      <c r="J24" s="74">
        <v>2</v>
      </c>
      <c r="K24" s="74">
        <v>2.5</v>
      </c>
      <c r="L24" s="74">
        <f t="shared" ref="L24" si="4">H24</f>
        <v>6552</v>
      </c>
      <c r="M24" s="74">
        <f t="shared" ref="M24" si="5">ROUND(L24*I24%,2)</f>
        <v>81.24</v>
      </c>
      <c r="N24" s="74">
        <f t="shared" ref="N24" si="6">H24-M24</f>
        <v>6470.76</v>
      </c>
      <c r="O24" s="74">
        <f t="shared" ref="O24" si="7">ROUND(N24*J24%,2)</f>
        <v>129.42</v>
      </c>
      <c r="P24" s="74">
        <f t="shared" ref="P24" si="8">ROUND(N24-O24,2)</f>
        <v>6341.34</v>
      </c>
      <c r="Q24" s="74">
        <f t="shared" ref="Q24" si="9">ROUND(P24*K24%,2)</f>
        <v>158.53</v>
      </c>
      <c r="R24" s="74">
        <f t="shared" ref="R24" si="10">ROUND((M24+O24+Q24),2)</f>
        <v>369.19</v>
      </c>
      <c r="S24" s="74">
        <f t="shared" ref="S24" si="11">ROUND((H24-R24),2)</f>
        <v>6182.81</v>
      </c>
      <c r="T24" s="94" t="s">
        <v>375</v>
      </c>
      <c r="U24" s="84">
        <v>0.18</v>
      </c>
      <c r="V24" s="74">
        <f t="shared" ref="V24" si="12">IF(OR($C$21=1,$C$21=4),ROUND(((S24*U24)/2),2),0)</f>
        <v>556.45</v>
      </c>
      <c r="W24" s="74">
        <f t="shared" ref="W24" si="13">IF($C$21=1,ROUND(((S24*U24)/2),2),0)</f>
        <v>556.45</v>
      </c>
      <c r="X24" s="74">
        <f t="shared" ref="X24" si="14">IF($C$21=2,ROUND(((S24*U24)),2),0)</f>
        <v>0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1112.9</v>
      </c>
      <c r="AC24" s="73">
        <f t="shared" ref="AC24" si="18">IF($V22=1,S24+AB24,S24)</f>
        <v>6182.81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6182.81</v>
      </c>
      <c r="AJ24" s="94">
        <f t="shared" ref="AJ24" si="19">IF($C$21=3,0,AG24+AH24)</f>
        <v>0</v>
      </c>
      <c r="AK24" s="94">
        <f t="shared" si="2"/>
        <v>0</v>
      </c>
      <c r="AL24" s="121">
        <v>2</v>
      </c>
      <c r="AM24" s="94">
        <f>F24/AL24</f>
        <v>14</v>
      </c>
      <c r="AN24" s="94">
        <f t="shared" ref="AN24" si="20">ROUND(AI24/AM24,5)</f>
        <v>441.62929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441.62929</v>
      </c>
      <c r="AS24" s="88" t="s">
        <v>222</v>
      </c>
      <c r="AT24" s="88" t="s">
        <v>58</v>
      </c>
      <c r="AU24" t="s">
        <v>240</v>
      </c>
      <c r="AV24" t="s">
        <v>406</v>
      </c>
      <c r="AW24" s="88">
        <f>AM24</f>
        <v>14</v>
      </c>
      <c r="AX24" s="88">
        <f>AR24</f>
        <v>441.62929</v>
      </c>
      <c r="AY24" s="88">
        <f>AU24+AW24</f>
        <v>14</v>
      </c>
      <c r="AZ24" s="88">
        <f>ROUND(((AU24*AV24)+(AW24*AX24))/(AU24+AW24),5)</f>
        <v>441.62929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62" t="s">
        <v>31</v>
      </c>
      <c r="BM24" t="s">
        <v>406</v>
      </c>
      <c r="BN24" t="s">
        <v>407</v>
      </c>
      <c r="BO24" s="88">
        <f>ROUND((((AW24*AZ24)+(BN24*BM24))/(AW24+BN24)),5)</f>
        <v>441.62929</v>
      </c>
      <c r="BP24" s="92">
        <f>BN24+AW24</f>
        <v>84</v>
      </c>
      <c r="BQ24" s="93">
        <v>123562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15152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944.18</v>
      </c>
      <c r="S25" s="76">
        <f>SUM(S23:S24)</f>
        <v>14207.82</v>
      </c>
      <c r="T25" s="76"/>
      <c r="U25" s="76"/>
      <c r="V25" s="82">
        <f t="shared" ref="V25:AE25" si="24">SUM(V23:V24)</f>
        <v>1278.7</v>
      </c>
      <c r="W25" s="82">
        <f t="shared" si="24"/>
        <v>1278.7</v>
      </c>
      <c r="X25" s="82">
        <f t="shared" si="24"/>
        <v>0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2557.4</v>
      </c>
      <c r="AC25" s="85">
        <f t="shared" si="24"/>
        <v>15652.32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14207.82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15152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944.18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14207.82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AB25</f>
        <v>2557.4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16765.22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K7" workbookViewId="0">
      <selection activeCell="BP20" sqref="BP20"/>
    </sheetView>
  </sheetViews>
  <sheetFormatPr defaultColWidth="9" defaultRowHeight="14.5"/>
  <cols>
    <col min="2" max="2" width="36.1363636363636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4" max="64" width="10.1363636363636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408</v>
      </c>
      <c r="C23" s="73" t="s">
        <v>162</v>
      </c>
      <c r="D23" s="73" t="s">
        <v>58</v>
      </c>
      <c r="E23" s="73" t="s">
        <v>163</v>
      </c>
      <c r="F23" s="74">
        <v>15</v>
      </c>
      <c r="G23" t="s">
        <v>363</v>
      </c>
      <c r="H23" s="74">
        <f>F23*G23</f>
        <v>9000</v>
      </c>
      <c r="I23" t="s">
        <v>223</v>
      </c>
      <c r="J23" s="74">
        <v>2</v>
      </c>
      <c r="K23" s="74">
        <v>2.5</v>
      </c>
      <c r="L23" s="74">
        <f>H23</f>
        <v>9000</v>
      </c>
      <c r="M23" s="74">
        <f>ROUND(L23*I23%,2)</f>
        <v>180</v>
      </c>
      <c r="N23" s="74">
        <f>H23-M23</f>
        <v>8820</v>
      </c>
      <c r="O23" s="74">
        <f>ROUND(N23*J23%,2)</f>
        <v>176.4</v>
      </c>
      <c r="P23" s="74">
        <f>ROUND(N23-O23,2)</f>
        <v>8643.6</v>
      </c>
      <c r="Q23" s="74">
        <f>ROUND(P23*K23%,2)</f>
        <v>216.09</v>
      </c>
      <c r="R23" s="74">
        <f>ROUND((M23+O23+Q23),2)</f>
        <v>572.49</v>
      </c>
      <c r="S23" s="74">
        <f>ROUND((H23-R23),2)</f>
        <v>8427.51</v>
      </c>
      <c r="T23" s="94" t="s">
        <v>146</v>
      </c>
      <c r="U23" s="8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1516.95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1516.95</v>
      </c>
      <c r="AC23" s="73">
        <f>IF($V21=1,S23+AB23,S23)</f>
        <v>9944.46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8427.51</v>
      </c>
      <c r="AJ23" s="94">
        <f>IF($C$21=3,0,AG23+AH23)</f>
        <v>0</v>
      </c>
      <c r="AK23" s="94">
        <f t="shared" ref="AK23:AK24" si="2">IF($C$21=3,AE23+AG23+AH23,0)</f>
        <v>0</v>
      </c>
      <c r="AL23" s="121">
        <v>3</v>
      </c>
      <c r="AM23" s="94">
        <f>F23/AL23</f>
        <v>5</v>
      </c>
      <c r="AN23" s="94">
        <f>ROUND(AI23/AM23,5)</f>
        <v>1685.502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1685.502</v>
      </c>
      <c r="AS23" s="88" t="s">
        <v>312</v>
      </c>
      <c r="AT23" s="88" t="s">
        <v>58</v>
      </c>
      <c r="AW23" s="88">
        <f>AM23</f>
        <v>5</v>
      </c>
      <c r="AX23" s="88">
        <f>AR23</f>
        <v>1685.502</v>
      </c>
      <c r="AY23" s="88">
        <f>AU23+AW23</f>
        <v>5</v>
      </c>
      <c r="AZ23" s="88">
        <f>ROUND(((AU23*AV23)+(AW23*AX23))/(AU23+AW23),5)</f>
        <v>1685.502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62" t="s">
        <v>314</v>
      </c>
      <c r="BM23" t="s">
        <v>240</v>
      </c>
      <c r="BN23" t="s">
        <v>240</v>
      </c>
      <c r="BO23" s="88">
        <f>ROUND((((AW23*AZ23)+(BN23*BM23))/(AW23+BN23)),5)</f>
        <v>1685.502</v>
      </c>
      <c r="BP23" s="92">
        <f>BN23+AW23</f>
        <v>5</v>
      </c>
      <c r="BQ23" s="93">
        <v>88363222</v>
      </c>
    </row>
    <row r="24" ht="15.25" spans="1:69">
      <c r="A24" s="73">
        <v>2</v>
      </c>
      <c r="B24" s="73" t="s">
        <v>409</v>
      </c>
      <c r="C24" s="73" t="s">
        <v>175</v>
      </c>
      <c r="D24" s="73" t="s">
        <v>58</v>
      </c>
      <c r="E24" s="73" t="s">
        <v>163</v>
      </c>
      <c r="F24" s="74">
        <v>30</v>
      </c>
      <c r="G24" t="s">
        <v>256</v>
      </c>
      <c r="H24" s="74">
        <f t="shared" ref="H24" si="3">F24*G24</f>
        <v>15000</v>
      </c>
      <c r="I24" t="s">
        <v>223</v>
      </c>
      <c r="J24" s="74">
        <v>2</v>
      </c>
      <c r="K24" s="74">
        <v>2.5</v>
      </c>
      <c r="L24" s="74">
        <f t="shared" ref="L24" si="4">H24</f>
        <v>15000</v>
      </c>
      <c r="M24" s="74">
        <f t="shared" ref="M24" si="5">ROUND(L24*I24%,2)</f>
        <v>300</v>
      </c>
      <c r="N24" s="74">
        <f t="shared" ref="N24" si="6">H24-M24</f>
        <v>14700</v>
      </c>
      <c r="O24" s="74">
        <f t="shared" ref="O24" si="7">ROUND(N24*J24%,2)</f>
        <v>294</v>
      </c>
      <c r="P24" s="74">
        <f t="shared" ref="P24" si="8">ROUND(N24-O24,2)</f>
        <v>14406</v>
      </c>
      <c r="Q24" s="74">
        <f t="shared" ref="Q24" si="9">ROUND(P24*K24%,2)</f>
        <v>360.15</v>
      </c>
      <c r="R24" s="74">
        <f t="shared" ref="R24" si="10">ROUND((M24+O24+Q24),2)</f>
        <v>954.15</v>
      </c>
      <c r="S24" s="74">
        <f t="shared" ref="S24" si="11">ROUND((H24-R24),2)</f>
        <v>14045.85</v>
      </c>
      <c r="T24" s="94" t="s">
        <v>375</v>
      </c>
      <c r="U24" s="84">
        <v>0.18</v>
      </c>
      <c r="V24" s="74">
        <f t="shared" ref="V24" si="12">IF(OR($C$21=1,$C$21=4),ROUND(((S24*U24)/2),2),0)</f>
        <v>0</v>
      </c>
      <c r="W24" s="74">
        <f t="shared" ref="W24" si="13">IF($C$21=1,ROUND(((S24*U24)/2),2),0)</f>
        <v>0</v>
      </c>
      <c r="X24" s="74">
        <f t="shared" ref="X24" si="14">IF($C$21=2,ROUND(((S24*U24)),2),0)</f>
        <v>2528.25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2528.25</v>
      </c>
      <c r="AC24" s="73">
        <f t="shared" ref="AC24" si="18">IF($V22=1,S24+AB24,S24)</f>
        <v>14045.85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14045.85</v>
      </c>
      <c r="AJ24" s="94">
        <f t="shared" ref="AJ24" si="19">IF($C$21=3,0,AG24+AH24)</f>
        <v>0</v>
      </c>
      <c r="AK24" s="94">
        <f t="shared" si="2"/>
        <v>0</v>
      </c>
      <c r="AL24" s="121">
        <v>3</v>
      </c>
      <c r="AM24" s="94">
        <f>F24/AL24</f>
        <v>10</v>
      </c>
      <c r="AN24" s="94">
        <f t="shared" ref="AN24" si="20">ROUND(AI24/AM24,5)</f>
        <v>1404.585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1404.585</v>
      </c>
      <c r="AS24" s="88" t="s">
        <v>312</v>
      </c>
      <c r="AT24" s="88" t="s">
        <v>58</v>
      </c>
      <c r="AW24" s="88">
        <f>AM24</f>
        <v>10</v>
      </c>
      <c r="AX24" s="88">
        <f>AR24</f>
        <v>1404.585</v>
      </c>
      <c r="AY24" s="88">
        <f>AU24+AW24</f>
        <v>10</v>
      </c>
      <c r="AZ24" s="88">
        <f>ROUND(((AU24*AV24)+(AW24*AX24))/(AU24+AW24),5)</f>
        <v>1404.585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62" t="s">
        <v>314</v>
      </c>
      <c r="BM24" t="s">
        <v>240</v>
      </c>
      <c r="BN24" t="s">
        <v>240</v>
      </c>
      <c r="BO24" s="88">
        <f>ROUND((((AW24*AZ24)+(BN24*BM24))/(AW24+BN24)),5)</f>
        <v>1404.585</v>
      </c>
      <c r="BP24" s="92">
        <f>BN24+AW24</f>
        <v>10</v>
      </c>
      <c r="BQ24" s="93">
        <v>88363222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24000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1526.64</v>
      </c>
      <c r="S25" s="76">
        <f>SUM(S23:S24)</f>
        <v>22473.36</v>
      </c>
      <c r="T25" s="76"/>
      <c r="U25" s="76"/>
      <c r="V25" s="82">
        <f t="shared" ref="V25:AE25" si="24">SUM(V23:V24)</f>
        <v>0</v>
      </c>
      <c r="W25" s="82">
        <f t="shared" si="24"/>
        <v>0</v>
      </c>
      <c r="X25" s="82">
        <f t="shared" si="24"/>
        <v>4045.2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4045.2</v>
      </c>
      <c r="AC25" s="85">
        <f t="shared" si="24"/>
        <v>23990.31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22473.36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24000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1526.64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22473.36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AB25</f>
        <v>4045.2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26518.56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 t="s">
        <v>314</v>
      </c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23" sqref="B23:B24"/>
    </sheetView>
  </sheetViews>
  <sheetFormatPr defaultColWidth="9" defaultRowHeight="14.5"/>
  <cols>
    <col min="2" max="2" width="34.7090909090909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57" t="s">
        <v>87</v>
      </c>
      <c r="C19" s="58"/>
      <c r="D19" s="58"/>
      <c r="E19" s="58"/>
      <c r="F19" s="58"/>
      <c r="G19" s="59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125" t="s">
        <v>89</v>
      </c>
      <c r="B21" s="125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387</v>
      </c>
      <c r="C23" s="73" t="s">
        <v>162</v>
      </c>
      <c r="D23" s="73" t="s">
        <v>58</v>
      </c>
      <c r="E23" s="73" t="s">
        <v>163</v>
      </c>
      <c r="F23" s="74">
        <v>15</v>
      </c>
      <c r="G23" t="s">
        <v>410</v>
      </c>
      <c r="H23" s="74">
        <f>F23*G23</f>
        <v>3555</v>
      </c>
      <c r="I23" t="s">
        <v>411</v>
      </c>
      <c r="J23" s="74">
        <v>2</v>
      </c>
      <c r="K23" s="74">
        <v>2.5</v>
      </c>
      <c r="L23" s="74">
        <f>H23</f>
        <v>3555</v>
      </c>
      <c r="M23" s="74">
        <f>ROUND(L23*I23%,2)</f>
        <v>99.54</v>
      </c>
      <c r="N23" s="74">
        <f>H23-M23</f>
        <v>3455.46</v>
      </c>
      <c r="O23" s="74">
        <f>ROUND(N23*J23%,2)</f>
        <v>69.11</v>
      </c>
      <c r="P23" s="74">
        <f>ROUND(N23-O23,2)</f>
        <v>3386.35</v>
      </c>
      <c r="Q23" s="74">
        <f>ROUND(P23*K23%,2)</f>
        <v>84.66</v>
      </c>
      <c r="R23" s="74">
        <f>ROUND((M23+O23+Q23),2)</f>
        <v>253.31</v>
      </c>
      <c r="S23" s="74">
        <f>ROUND((H23-R23),2)</f>
        <v>3301.69</v>
      </c>
      <c r="T23" s="94" t="s">
        <v>146</v>
      </c>
      <c r="U23" s="84">
        <v>0.18</v>
      </c>
      <c r="V23" s="74">
        <f>IF(OR($C$21=1,$C$21=4),ROUND(((S23*U23)/2),2),0)</f>
        <v>297.15</v>
      </c>
      <c r="W23" s="74">
        <f>IF($C$21=1,ROUND(((S23*U23)/2),2),0)</f>
        <v>297.15</v>
      </c>
      <c r="X23" s="74">
        <f>IF($C$21=2,ROUND(((S23*U23)),2),0)</f>
        <v>0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594.3</v>
      </c>
      <c r="AC23" s="73">
        <f>IF($V21=1,S23+AB23,S23)</f>
        <v>3895.99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3301.69</v>
      </c>
      <c r="AJ23" s="94">
        <f>IF($C$21=3,0,AG23+AH23)</f>
        <v>0</v>
      </c>
      <c r="AK23" s="94">
        <f t="shared" ref="AK23:AK24" si="2">IF($C$21=3,AE23+AG23+AH23,0)</f>
        <v>0</v>
      </c>
      <c r="AL23" s="121">
        <v>3</v>
      </c>
      <c r="AM23" s="94">
        <f>F23/AL23</f>
        <v>5</v>
      </c>
      <c r="AN23" s="94">
        <f>ROUND(AI23/AM23,5)</f>
        <v>660.338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660.338</v>
      </c>
      <c r="AS23" s="88" t="s">
        <v>229</v>
      </c>
      <c r="AT23" s="88" t="s">
        <v>58</v>
      </c>
      <c r="AU23" t="s">
        <v>240</v>
      </c>
      <c r="AV23" t="s">
        <v>412</v>
      </c>
      <c r="AW23" s="88">
        <f>AM23</f>
        <v>5</v>
      </c>
      <c r="AX23" s="88">
        <f>AR23</f>
        <v>660.338</v>
      </c>
      <c r="AY23" s="88">
        <f>AU23+AW23</f>
        <v>5</v>
      </c>
      <c r="AZ23" s="88">
        <f>ROUND(((AU23*AV23)+(AW23*AX23))/(AU23+AW23),5)</f>
        <v>660.338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62" t="s">
        <v>230</v>
      </c>
      <c r="BM23" t="s">
        <v>412</v>
      </c>
      <c r="BN23" t="s">
        <v>413</v>
      </c>
      <c r="BO23" s="88">
        <f>ROUND((((AW23*AZ23)+(BN23*BM23))/(AW23+BN23)),5)</f>
        <v>452.12357</v>
      </c>
      <c r="BP23" s="92">
        <f>BN23+AW23</f>
        <v>92.5</v>
      </c>
      <c r="BQ23" s="93">
        <v>88363222</v>
      </c>
    </row>
    <row r="24" ht="15.25" spans="1:69">
      <c r="A24" s="73">
        <v>2</v>
      </c>
      <c r="B24" s="73" t="s">
        <v>414</v>
      </c>
      <c r="C24" s="73" t="s">
        <v>175</v>
      </c>
      <c r="D24" s="73" t="s">
        <v>58</v>
      </c>
      <c r="E24" s="73" t="s">
        <v>163</v>
      </c>
      <c r="F24" s="74">
        <v>24</v>
      </c>
      <c r="G24" t="s">
        <v>415</v>
      </c>
      <c r="H24" s="74">
        <f t="shared" ref="H24" si="3">F24*G24</f>
        <v>10944</v>
      </c>
      <c r="I24" t="s">
        <v>359</v>
      </c>
      <c r="J24" s="74">
        <v>2</v>
      </c>
      <c r="K24" s="74">
        <v>2.5</v>
      </c>
      <c r="L24" s="74">
        <f t="shared" ref="L24" si="4">H24</f>
        <v>10944</v>
      </c>
      <c r="M24" s="74">
        <f t="shared" ref="M24" si="5">ROUND(L24*I24%,2)</f>
        <v>273.6</v>
      </c>
      <c r="N24" s="74">
        <f t="shared" ref="N24" si="6">H24-M24</f>
        <v>10670.4</v>
      </c>
      <c r="O24" s="74">
        <f t="shared" ref="O24" si="7">ROUND(N24*J24%,2)</f>
        <v>213.41</v>
      </c>
      <c r="P24" s="74">
        <f t="shared" ref="P24" si="8">ROUND(N24-O24,2)</f>
        <v>10456.99</v>
      </c>
      <c r="Q24" s="74">
        <f t="shared" ref="Q24" si="9">ROUND(P24*K24%,2)</f>
        <v>261.42</v>
      </c>
      <c r="R24" s="74">
        <f t="shared" ref="R24" si="10">ROUND((M24+O24+Q24),2)</f>
        <v>748.43</v>
      </c>
      <c r="S24" s="74">
        <f t="shared" ref="S24" si="11">ROUND((H24-R24),2)</f>
        <v>10195.57</v>
      </c>
      <c r="T24" s="94" t="s">
        <v>375</v>
      </c>
      <c r="U24" s="84">
        <v>0.18</v>
      </c>
      <c r="V24" s="74">
        <f t="shared" ref="V24" si="12">IF(OR($C$21=1,$C$21=4),ROUND(((S24*U24)/2),2),0)</f>
        <v>917.6</v>
      </c>
      <c r="W24" s="74">
        <f t="shared" ref="W24" si="13">IF($C$21=1,ROUND(((S24*U24)/2),2),0)</f>
        <v>917.6</v>
      </c>
      <c r="X24" s="74">
        <f t="shared" ref="X24" si="14">IF($C$21=2,ROUND(((S24*U24)),2),0)</f>
        <v>0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1835.2</v>
      </c>
      <c r="AC24" s="73">
        <f t="shared" ref="AC24" si="18">IF($V22=1,S24+AB24,S24)</f>
        <v>10195.57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10195.57</v>
      </c>
      <c r="AJ24" s="94">
        <f t="shared" ref="AJ24" si="19">IF($C$21=3,0,AG24+AH24)</f>
        <v>0</v>
      </c>
      <c r="AK24" s="94">
        <f t="shared" si="2"/>
        <v>0</v>
      </c>
      <c r="AL24" s="121">
        <v>3</v>
      </c>
      <c r="AM24" s="94">
        <f>F24/AL24</f>
        <v>8</v>
      </c>
      <c r="AN24" s="94">
        <f t="shared" ref="AN24" si="20">ROUND(AI24/AM24,5)</f>
        <v>1274.44625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1274.44625</v>
      </c>
      <c r="AS24" s="88" t="s">
        <v>229</v>
      </c>
      <c r="AT24" s="88" t="s">
        <v>58</v>
      </c>
      <c r="AU24" t="s">
        <v>240</v>
      </c>
      <c r="AV24" t="s">
        <v>416</v>
      </c>
      <c r="AW24" s="88">
        <f>AM24</f>
        <v>8</v>
      </c>
      <c r="AX24" s="88">
        <f>AR24</f>
        <v>1274.44625</v>
      </c>
      <c r="AY24" s="88">
        <f>AU24+AW24</f>
        <v>8</v>
      </c>
      <c r="AZ24" s="88">
        <f>ROUND(((AU24*AV24)+(AW24*AX24))/(AU24+AW24),5)</f>
        <v>1274.44625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62" t="s">
        <v>230</v>
      </c>
      <c r="BM24" t="s">
        <v>417</v>
      </c>
      <c r="BN24" t="s">
        <v>418</v>
      </c>
      <c r="BO24" s="88">
        <f>ROUND((((AW24*AZ24)+(BN24*BM24))/(AW24+BN24)),5)</f>
        <v>966.8259</v>
      </c>
      <c r="BP24" s="92">
        <f>BN24+AW24</f>
        <v>96.667</v>
      </c>
      <c r="BQ24" s="93">
        <v>88363222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14499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1001.74</v>
      </c>
      <c r="S25" s="76">
        <f>SUM(S23:S24)</f>
        <v>13497.26</v>
      </c>
      <c r="T25" s="76"/>
      <c r="U25" s="76"/>
      <c r="V25" s="82">
        <f t="shared" ref="V25:AE25" si="24">SUM(V23:V24)</f>
        <v>1214.75</v>
      </c>
      <c r="W25" s="82">
        <f t="shared" si="24"/>
        <v>1214.75</v>
      </c>
      <c r="X25" s="82">
        <f t="shared" si="24"/>
        <v>0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2429.5</v>
      </c>
      <c r="AC25" s="85">
        <f t="shared" si="24"/>
        <v>14091.56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13497.26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26">
        <f>H25</f>
        <v>14499</v>
      </c>
      <c r="J27" s="127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26">
        <f>R25</f>
        <v>1001.74</v>
      </c>
      <c r="J28" s="127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26">
        <f>S25</f>
        <v>13497.26</v>
      </c>
      <c r="J29" s="127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26">
        <f>AB25</f>
        <v>2429.5</v>
      </c>
      <c r="J30" s="127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28">
        <f>I29+I30</f>
        <v>15926.76</v>
      </c>
      <c r="J31" s="129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9" workbookViewId="0">
      <selection activeCell="A1" sqref="$A1:$XFD1048576"/>
    </sheetView>
  </sheetViews>
  <sheetFormatPr defaultColWidth="9" defaultRowHeight="14.5"/>
  <cols>
    <col min="2" max="2" width="30.8545454545455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57" t="s">
        <v>87</v>
      </c>
      <c r="C19" s="58"/>
      <c r="D19" s="58"/>
      <c r="E19" s="58"/>
      <c r="F19" s="58"/>
      <c r="G19" s="59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125" t="s">
        <v>89</v>
      </c>
      <c r="B21" s="125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389</v>
      </c>
      <c r="C23" s="73" t="s">
        <v>162</v>
      </c>
      <c r="D23" s="73" t="s">
        <v>58</v>
      </c>
      <c r="E23" s="73" t="s">
        <v>163</v>
      </c>
      <c r="F23" s="74">
        <v>9</v>
      </c>
      <c r="G23" t="s">
        <v>256</v>
      </c>
      <c r="H23" s="74">
        <f>F23*G23</f>
        <v>4500</v>
      </c>
      <c r="I23" t="s">
        <v>223</v>
      </c>
      <c r="J23" s="74">
        <v>2</v>
      </c>
      <c r="K23" s="74">
        <v>2.5</v>
      </c>
      <c r="L23" s="74">
        <f>H23</f>
        <v>4500</v>
      </c>
      <c r="M23" s="74">
        <f>ROUND(L23*I23%,2)</f>
        <v>90</v>
      </c>
      <c r="N23" s="74">
        <f>H23-M23</f>
        <v>4410</v>
      </c>
      <c r="O23" s="74">
        <f>ROUND(N23*J23%,2)</f>
        <v>88.2</v>
      </c>
      <c r="P23" s="74">
        <f>ROUND(N23-O23,2)</f>
        <v>4321.8</v>
      </c>
      <c r="Q23" s="74">
        <f>ROUND(P23*K23%,2)</f>
        <v>108.05</v>
      </c>
      <c r="R23" s="74">
        <f>ROUND((M23+O23+Q23),2)</f>
        <v>286.25</v>
      </c>
      <c r="S23" s="74">
        <f>ROUND((H23-R23),2)</f>
        <v>4213.75</v>
      </c>
      <c r="T23" s="94" t="s">
        <v>146</v>
      </c>
      <c r="U23" s="84">
        <v>0.18</v>
      </c>
      <c r="V23" s="74">
        <f>IF(OR($C$21=1,$C$21=4),ROUND(((S23*U23)/2),2),0)</f>
        <v>379.24</v>
      </c>
      <c r="W23" s="74">
        <f>IF($C$21=1,ROUND(((S23*U23)/2),2),0)</f>
        <v>379.24</v>
      </c>
      <c r="X23" s="74">
        <f>IF($C$21=2,ROUND(((S23*U23)),2),0)</f>
        <v>0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758.48</v>
      </c>
      <c r="AC23" s="73">
        <f>IF($V21=1,S23+AB23,S23)</f>
        <v>4972.23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4213.75</v>
      </c>
      <c r="AJ23" s="94">
        <f>IF($C$21=3,0,AG23+AH23)</f>
        <v>0</v>
      </c>
      <c r="AK23" s="94">
        <f t="shared" ref="AK23:AK24" si="2">IF($C$21=3,AE23+AG23+AH23,0)</f>
        <v>0</v>
      </c>
      <c r="AL23" s="121">
        <v>3</v>
      </c>
      <c r="AM23" s="94">
        <f>F23/AL23</f>
        <v>3</v>
      </c>
      <c r="AN23" s="94">
        <f>ROUND(AI23/AM23,5)</f>
        <v>1404.58333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1404.58333</v>
      </c>
      <c r="AS23" s="88" t="s">
        <v>229</v>
      </c>
      <c r="AT23" s="88" t="s">
        <v>58</v>
      </c>
      <c r="AU23" t="s">
        <v>240</v>
      </c>
      <c r="AV23" t="s">
        <v>419</v>
      </c>
      <c r="AW23" s="88">
        <f>AM23</f>
        <v>3</v>
      </c>
      <c r="AX23" s="88">
        <f>AR23</f>
        <v>1404.58333</v>
      </c>
      <c r="AY23" s="88">
        <f>AU23+AW23</f>
        <v>3</v>
      </c>
      <c r="AZ23" s="88">
        <f>ROUND(((AU23*AV23)+(AW23*AX23))/(AU23+AW23),5)</f>
        <v>1404.58333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62" t="s">
        <v>230</v>
      </c>
      <c r="BM23" t="s">
        <v>420</v>
      </c>
      <c r="BN23" t="s">
        <v>421</v>
      </c>
      <c r="BO23" s="88">
        <f>ROUND((((AW23*AZ23)+(BN23*BM23))/(AW23+BN23)),5)</f>
        <v>1407.72101</v>
      </c>
      <c r="BP23" s="92">
        <f>BN23+AW23</f>
        <v>276</v>
      </c>
      <c r="BQ23" s="93">
        <v>88363222</v>
      </c>
    </row>
    <row r="24" ht="15.25" spans="1:69">
      <c r="A24" s="73">
        <v>2</v>
      </c>
      <c r="B24" s="73" t="s">
        <v>422</v>
      </c>
      <c r="C24" s="73" t="s">
        <v>175</v>
      </c>
      <c r="D24" s="73" t="s">
        <v>58</v>
      </c>
      <c r="E24" s="73" t="s">
        <v>163</v>
      </c>
      <c r="F24" s="74">
        <v>15</v>
      </c>
      <c r="G24" t="s">
        <v>423</v>
      </c>
      <c r="H24" s="74">
        <f t="shared" ref="H24" si="3">F24*G24</f>
        <v>4500</v>
      </c>
      <c r="I24" t="s">
        <v>266</v>
      </c>
      <c r="J24" s="74">
        <v>2</v>
      </c>
      <c r="K24" s="74">
        <v>2.5</v>
      </c>
      <c r="L24" s="74">
        <f t="shared" ref="L24" si="4">H24</f>
        <v>4500</v>
      </c>
      <c r="M24" s="74">
        <f t="shared" ref="M24" si="5">ROUND(L24*I24%,2)</f>
        <v>135</v>
      </c>
      <c r="N24" s="74">
        <f t="shared" ref="N24" si="6">H24-M24</f>
        <v>4365</v>
      </c>
      <c r="O24" s="74">
        <f t="shared" ref="O24" si="7">ROUND(N24*J24%,2)</f>
        <v>87.3</v>
      </c>
      <c r="P24" s="74">
        <f t="shared" ref="P24" si="8">ROUND(N24-O24,2)</f>
        <v>4277.7</v>
      </c>
      <c r="Q24" s="74">
        <f t="shared" ref="Q24" si="9">ROUND(P24*K24%,2)</f>
        <v>106.94</v>
      </c>
      <c r="R24" s="74">
        <f t="shared" ref="R24" si="10">ROUND((M24+O24+Q24),2)</f>
        <v>329.24</v>
      </c>
      <c r="S24" s="74">
        <f t="shared" ref="S24" si="11">ROUND((H24-R24),2)</f>
        <v>4170.76</v>
      </c>
      <c r="T24" s="94" t="s">
        <v>375</v>
      </c>
      <c r="U24" s="84">
        <v>0.18</v>
      </c>
      <c r="V24" s="74">
        <f t="shared" ref="V24" si="12">IF(OR($C$21=1,$C$21=4),ROUND(((S24*U24)/2),2),0)</f>
        <v>375.37</v>
      </c>
      <c r="W24" s="74">
        <f t="shared" ref="W24" si="13">IF($C$21=1,ROUND(((S24*U24)/2),2),0)</f>
        <v>375.37</v>
      </c>
      <c r="X24" s="74">
        <f t="shared" ref="X24" si="14">IF($C$21=2,ROUND(((S24*U24)),2),0)</f>
        <v>0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750.74</v>
      </c>
      <c r="AC24" s="73">
        <f t="shared" ref="AC24" si="18">IF($V22=1,S24+AB24,S24)</f>
        <v>4170.76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4170.76</v>
      </c>
      <c r="AJ24" s="94">
        <f t="shared" ref="AJ24" si="19">IF($C$21=3,0,AG24+AH24)</f>
        <v>0</v>
      </c>
      <c r="AK24" s="94">
        <f t="shared" si="2"/>
        <v>0</v>
      </c>
      <c r="AL24" s="121">
        <v>3</v>
      </c>
      <c r="AM24" s="94">
        <f>F24/AL24</f>
        <v>5</v>
      </c>
      <c r="AN24" s="94">
        <f t="shared" ref="AN24" si="20">ROUND(AI24/AM24,5)</f>
        <v>834.152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834.152</v>
      </c>
      <c r="AS24" s="88" t="s">
        <v>229</v>
      </c>
      <c r="AT24" s="88" t="s">
        <v>58</v>
      </c>
      <c r="AU24" t="s">
        <v>240</v>
      </c>
      <c r="AV24" t="s">
        <v>424</v>
      </c>
      <c r="AW24" s="88">
        <f>AM24</f>
        <v>5</v>
      </c>
      <c r="AX24" s="88">
        <f>AR24</f>
        <v>834.152</v>
      </c>
      <c r="AY24" s="88">
        <f>AU24+AW24</f>
        <v>5</v>
      </c>
      <c r="AZ24" s="88">
        <f>ROUND(((AU24*AV24)+(AW24*AX24))/(AU24+AW24),5)</f>
        <v>834.152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62" t="s">
        <v>230</v>
      </c>
      <c r="BM24" t="s">
        <v>424</v>
      </c>
      <c r="BN24" t="s">
        <v>425</v>
      </c>
      <c r="BO24" s="88">
        <f>ROUND((((AW24*AZ24)+(BN24*BM24))/(AW24+BN24)),5)</f>
        <v>834.152</v>
      </c>
      <c r="BP24" s="92">
        <f>BN24+AW24</f>
        <v>260</v>
      </c>
      <c r="BQ24" s="93">
        <v>88363222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9000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615.49</v>
      </c>
      <c r="S25" s="76">
        <f>SUM(S23:S24)</f>
        <v>8384.51</v>
      </c>
      <c r="T25" s="76"/>
      <c r="U25" s="76"/>
      <c r="V25" s="82">
        <f t="shared" ref="V25:AE25" si="24">SUM(V23:V24)</f>
        <v>754.61</v>
      </c>
      <c r="W25" s="82">
        <f t="shared" si="24"/>
        <v>754.61</v>
      </c>
      <c r="X25" s="82">
        <f t="shared" si="24"/>
        <v>0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1509.22</v>
      </c>
      <c r="AC25" s="85">
        <f t="shared" si="24"/>
        <v>9142.99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8384.51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26">
        <f>H25</f>
        <v>9000</v>
      </c>
      <c r="J27" s="127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26">
        <f>R25</f>
        <v>615.49</v>
      </c>
      <c r="J28" s="127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26">
        <f>S25</f>
        <v>8384.51</v>
      </c>
      <c r="J29" s="127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26">
        <f>AB25</f>
        <v>1509.22</v>
      </c>
      <c r="J30" s="127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28">
        <f>I29+I30</f>
        <v>9893.73</v>
      </c>
      <c r="J31" s="129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0" workbookViewId="0">
      <selection activeCell="D24" sqref="D24"/>
    </sheetView>
  </sheetViews>
  <sheetFormatPr defaultColWidth="9" defaultRowHeight="14.5"/>
  <cols>
    <col min="2" max="2" width="26.4272727272727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57" t="s">
        <v>87</v>
      </c>
      <c r="C19" s="58"/>
      <c r="D19" s="58"/>
      <c r="E19" s="58"/>
      <c r="F19" s="58"/>
      <c r="G19" s="59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125" t="s">
        <v>89</v>
      </c>
      <c r="B21" s="125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426</v>
      </c>
      <c r="C23" s="73" t="s">
        <v>162</v>
      </c>
      <c r="D23" s="73" t="s">
        <v>58</v>
      </c>
      <c r="E23" s="73" t="s">
        <v>163</v>
      </c>
      <c r="F23" s="74">
        <v>18</v>
      </c>
      <c r="G23" s="74">
        <v>257.63</v>
      </c>
      <c r="H23" s="74">
        <f>F23*G23</f>
        <v>4637.34</v>
      </c>
      <c r="I23" s="74">
        <v>1</v>
      </c>
      <c r="J23" s="74">
        <v>2</v>
      </c>
      <c r="K23" s="74">
        <v>2.5</v>
      </c>
      <c r="L23" s="74">
        <f>H23</f>
        <v>4637.34</v>
      </c>
      <c r="M23" s="74">
        <f>ROUND(L23*I23%,2)</f>
        <v>46.37</v>
      </c>
      <c r="N23" s="74">
        <f>H23-M23</f>
        <v>4590.97</v>
      </c>
      <c r="O23" s="74">
        <f>ROUND(N23*J23%,2)</f>
        <v>91.82</v>
      </c>
      <c r="P23" s="74">
        <f>ROUND(N23-O23,2)</f>
        <v>4499.15</v>
      </c>
      <c r="Q23" s="74">
        <f>ROUND(P23*K23%,2)</f>
        <v>112.48</v>
      </c>
      <c r="R23" s="74">
        <f>ROUND((M23+O23+Q23),2)</f>
        <v>250.67</v>
      </c>
      <c r="S23" s="74">
        <f>ROUND((H23-R23),2)</f>
        <v>4386.67</v>
      </c>
      <c r="T23" s="94" t="s">
        <v>146</v>
      </c>
      <c r="U23" s="84">
        <v>0.18</v>
      </c>
      <c r="V23" s="74">
        <f>IF(OR($C$21=1,$C$21=4),ROUND(((S23*U23)/2),2),0)</f>
        <v>394.8</v>
      </c>
      <c r="W23" s="74">
        <f>IF($C$21=1,ROUND(((S23*U23)/2),2),0)</f>
        <v>394.8</v>
      </c>
      <c r="X23" s="74">
        <f>IF($C$21=2,ROUND(((S23*U23)),2),0)</f>
        <v>0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789.6</v>
      </c>
      <c r="AC23" s="73">
        <f>IF($V21=1,S23+AB23,S23)</f>
        <v>5176.27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4386.67</v>
      </c>
      <c r="AJ23" s="94">
        <f>IF($C$21=3,0,AG23+AH23)</f>
        <v>0</v>
      </c>
      <c r="AK23" s="94">
        <f t="shared" ref="AK23:AK24" si="2">IF($C$21=3,AE23+AG23+AH23,0)</f>
        <v>0</v>
      </c>
      <c r="AL23" s="121">
        <v>3</v>
      </c>
      <c r="AM23" s="94">
        <f>F23/AL23</f>
        <v>6</v>
      </c>
      <c r="AN23" s="94">
        <f>ROUND(AI23/AM23,5)</f>
        <v>731.11167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731.11167</v>
      </c>
      <c r="AS23" s="88" t="s">
        <v>229</v>
      </c>
      <c r="AT23" s="88" t="s">
        <v>58</v>
      </c>
      <c r="AU23" t="s">
        <v>240</v>
      </c>
      <c r="AV23" t="s">
        <v>427</v>
      </c>
      <c r="AW23" s="88">
        <f>AM23</f>
        <v>6</v>
      </c>
      <c r="AX23" s="88">
        <f>AR23</f>
        <v>731.11167</v>
      </c>
      <c r="AY23" s="88">
        <f>AU23+AW23</f>
        <v>6</v>
      </c>
      <c r="AZ23" s="88">
        <f>ROUND(((AU23*AV23)+(AW23*AX23))/(AU23+AW23),5)</f>
        <v>731.11167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62" t="s">
        <v>230</v>
      </c>
      <c r="BM23" t="s">
        <v>427</v>
      </c>
      <c r="BN23" t="s">
        <v>428</v>
      </c>
      <c r="BO23" s="88">
        <f>ROUND((((AW23*AZ23)+(BN23*BM23))/(AW23+BN23)),5)</f>
        <v>505.45938</v>
      </c>
      <c r="BP23" s="92">
        <f>BN23+AW23</f>
        <v>81</v>
      </c>
      <c r="BQ23" s="93">
        <v>88363222</v>
      </c>
    </row>
    <row r="24" ht="15.25" spans="1:69">
      <c r="A24" s="73">
        <v>2</v>
      </c>
      <c r="B24" s="73" t="s">
        <v>429</v>
      </c>
      <c r="C24" s="73" t="s">
        <v>175</v>
      </c>
      <c r="D24" s="73" t="s">
        <v>58</v>
      </c>
      <c r="E24" s="73" t="s">
        <v>163</v>
      </c>
      <c r="F24" s="74">
        <v>12</v>
      </c>
      <c r="G24" s="74">
        <v>150.5</v>
      </c>
      <c r="H24" s="74">
        <f t="shared" ref="H24" si="3">F24*G24</f>
        <v>1806</v>
      </c>
      <c r="I24" s="74">
        <v>1</v>
      </c>
      <c r="J24" s="74">
        <v>2</v>
      </c>
      <c r="K24" s="74">
        <v>2.5</v>
      </c>
      <c r="L24" s="74">
        <f t="shared" ref="L24" si="4">H24</f>
        <v>1806</v>
      </c>
      <c r="M24" s="74">
        <f t="shared" ref="M24" si="5">ROUND(L24*I24%,2)</f>
        <v>18.06</v>
      </c>
      <c r="N24" s="74">
        <f t="shared" ref="N24" si="6">H24-M24</f>
        <v>1787.94</v>
      </c>
      <c r="O24" s="74">
        <f t="shared" ref="O24" si="7">ROUND(N24*J24%,2)</f>
        <v>35.76</v>
      </c>
      <c r="P24" s="74">
        <f t="shared" ref="P24" si="8">ROUND(N24-O24,2)</f>
        <v>1752.18</v>
      </c>
      <c r="Q24" s="74">
        <f t="shared" ref="Q24" si="9">ROUND(P24*K24%,2)</f>
        <v>43.8</v>
      </c>
      <c r="R24" s="74">
        <f t="shared" ref="R24" si="10">ROUND((M24+O24+Q24),2)</f>
        <v>97.62</v>
      </c>
      <c r="S24" s="74">
        <f t="shared" ref="S24" si="11">ROUND((H24-R24),2)</f>
        <v>1708.38</v>
      </c>
      <c r="T24" s="94" t="s">
        <v>375</v>
      </c>
      <c r="U24" s="84">
        <v>0.18</v>
      </c>
      <c r="V24" s="74">
        <f t="shared" ref="V24" si="12">IF(OR($C$21=1,$C$21=4),ROUND(((S24*U24)/2),2),0)</f>
        <v>153.75</v>
      </c>
      <c r="W24" s="74">
        <f t="shared" ref="W24" si="13">IF($C$21=1,ROUND(((S24*U24)/2),2),0)</f>
        <v>153.75</v>
      </c>
      <c r="X24" s="74">
        <f t="shared" ref="X24" si="14">IF($C$21=2,ROUND(((S24*U24)),2),0)</f>
        <v>0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307.5</v>
      </c>
      <c r="AC24" s="73">
        <f t="shared" ref="AC24" si="18">IF($V22=1,S24+AB24,S24)</f>
        <v>1708.38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1708.38</v>
      </c>
      <c r="AJ24" s="94">
        <f t="shared" ref="AJ24" si="19">IF($C$21=3,0,AG24+AH24)</f>
        <v>0</v>
      </c>
      <c r="AK24" s="94">
        <f t="shared" si="2"/>
        <v>0</v>
      </c>
      <c r="AL24" s="121">
        <v>3</v>
      </c>
      <c r="AM24" s="94">
        <f>F24/AL24</f>
        <v>4</v>
      </c>
      <c r="AN24" s="94">
        <f t="shared" ref="AN24" si="20">ROUND(AI24/AM24,5)</f>
        <v>427.095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427.095</v>
      </c>
      <c r="AS24" s="88" t="s">
        <v>229</v>
      </c>
      <c r="AT24" s="88" t="s">
        <v>58</v>
      </c>
      <c r="AU24" t="s">
        <v>240</v>
      </c>
      <c r="AV24" t="s">
        <v>430</v>
      </c>
      <c r="AW24" s="88">
        <f>AM24</f>
        <v>4</v>
      </c>
      <c r="AX24" s="88">
        <f>AR24</f>
        <v>427.095</v>
      </c>
      <c r="AY24" s="88">
        <f>AU24+AW24</f>
        <v>4</v>
      </c>
      <c r="AZ24" s="88">
        <f>ROUND(((AU24*AV24)+(AW24*AX24))/(AU24+AW24),5)</f>
        <v>427.095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62" t="s">
        <v>230</v>
      </c>
      <c r="BM24" t="s">
        <v>430</v>
      </c>
      <c r="BN24" t="s">
        <v>431</v>
      </c>
      <c r="BO24" s="88">
        <f>ROUND((((AW24*AZ24)+(BN24*BM24))/(AW24+BN24)),5)</f>
        <v>291.20046</v>
      </c>
      <c r="BP24" s="92">
        <f>BN24+AW24</f>
        <v>88</v>
      </c>
      <c r="BQ24" s="93">
        <v>88363222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6443.34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348.29</v>
      </c>
      <c r="S25" s="76">
        <f>SUM(S23:S24)</f>
        <v>6095.05</v>
      </c>
      <c r="T25" s="76"/>
      <c r="U25" s="76"/>
      <c r="V25" s="82">
        <f t="shared" ref="V25:AE25" si="24">SUM(V23:V24)</f>
        <v>548.55</v>
      </c>
      <c r="W25" s="82">
        <f t="shared" si="24"/>
        <v>548.55</v>
      </c>
      <c r="X25" s="82">
        <f t="shared" si="24"/>
        <v>0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1097.1</v>
      </c>
      <c r="AC25" s="85">
        <f t="shared" si="24"/>
        <v>6884.65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6095.05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26">
        <f>H25</f>
        <v>6443.34</v>
      </c>
      <c r="J27" s="127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26">
        <f>R25</f>
        <v>348.29</v>
      </c>
      <c r="J28" s="127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26">
        <f>S25</f>
        <v>6095.05</v>
      </c>
      <c r="J29" s="127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26">
        <f>AB25</f>
        <v>1097.1</v>
      </c>
      <c r="J30" s="127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28">
        <f>I29+I30</f>
        <v>7192.15</v>
      </c>
      <c r="J31" s="129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10" workbookViewId="0">
      <selection activeCell="B24" sqref="B24"/>
    </sheetView>
  </sheetViews>
  <sheetFormatPr defaultColWidth="9" defaultRowHeight="14.5"/>
  <cols>
    <col min="2" max="2" width="36.1363636363636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400</v>
      </c>
      <c r="C23" s="73" t="s">
        <v>162</v>
      </c>
      <c r="D23" s="73" t="s">
        <v>58</v>
      </c>
      <c r="E23" s="73" t="s">
        <v>163</v>
      </c>
      <c r="F23" s="74">
        <v>9</v>
      </c>
      <c r="G23" t="s">
        <v>432</v>
      </c>
      <c r="H23" s="74">
        <f>F23*G23</f>
        <v>405</v>
      </c>
      <c r="I23" t="s">
        <v>223</v>
      </c>
      <c r="J23" s="74">
        <v>2</v>
      </c>
      <c r="K23" s="74">
        <v>2.5</v>
      </c>
      <c r="L23" s="74">
        <f>H23</f>
        <v>405</v>
      </c>
      <c r="M23" s="74">
        <f>ROUND(L23*I23%,2)</f>
        <v>8.1</v>
      </c>
      <c r="N23" s="74">
        <f>H23-M23</f>
        <v>396.9</v>
      </c>
      <c r="O23" s="74">
        <f>ROUND(N23*J23%,2)</f>
        <v>7.94</v>
      </c>
      <c r="P23" s="74">
        <f>ROUND(N23-O23,2)</f>
        <v>388.96</v>
      </c>
      <c r="Q23" s="74">
        <f>ROUND(P23*K23%,2)</f>
        <v>9.72</v>
      </c>
      <c r="R23" s="74">
        <f>ROUND((M23+O23+Q23),2)</f>
        <v>25.76</v>
      </c>
      <c r="S23" s="74">
        <f>ROUND((H23-R23),2)</f>
        <v>379.24</v>
      </c>
      <c r="T23" s="94" t="s">
        <v>146</v>
      </c>
      <c r="U23" s="84">
        <v>0.18</v>
      </c>
      <c r="V23" s="74">
        <f>IF(OR($C$21=1,$C$21=4),ROUND(((S23*U23)/2),2),0)</f>
        <v>34.13</v>
      </c>
      <c r="W23" s="74">
        <f>IF($C$21=1,ROUND(((S23*U23)/2),2),0)</f>
        <v>34.13</v>
      </c>
      <c r="X23" s="74">
        <f>IF($C$21=2,ROUND(((S23*U23)),2),0)</f>
        <v>0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68.26</v>
      </c>
      <c r="AC23" s="73">
        <f>IF($V21=1,S23+AB23,S23)</f>
        <v>447.5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379.24</v>
      </c>
      <c r="AJ23" s="94">
        <f>IF($C$21=3,0,AG23+AH23)</f>
        <v>0</v>
      </c>
      <c r="AK23" s="94">
        <f t="shared" ref="AK23:AK24" si="2">IF($C$21=3,AE23+AG23+AH23,0)</f>
        <v>0</v>
      </c>
      <c r="AL23" s="121">
        <v>3</v>
      </c>
      <c r="AM23" s="94">
        <f>F23/AL23</f>
        <v>3</v>
      </c>
      <c r="AN23" s="94">
        <f>ROUND(AI23/AM23,5)</f>
        <v>126.41333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126.41333</v>
      </c>
      <c r="AS23" s="88" t="s">
        <v>229</v>
      </c>
      <c r="AT23" s="88" t="s">
        <v>58</v>
      </c>
      <c r="AU23" t="s">
        <v>240</v>
      </c>
      <c r="AV23" t="s">
        <v>433</v>
      </c>
      <c r="AW23" s="88">
        <f>AM23</f>
        <v>3</v>
      </c>
      <c r="AX23" s="88">
        <f>AR23</f>
        <v>126.41333</v>
      </c>
      <c r="AY23" s="88">
        <f>AU23+AW23</f>
        <v>3</v>
      </c>
      <c r="AZ23" s="88">
        <f>ROUND(((AU23*AV23)+(AW23*AX23))/(AU23+AW23),5)</f>
        <v>126.41333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124" t="s">
        <v>230</v>
      </c>
      <c r="BM23" t="s">
        <v>433</v>
      </c>
      <c r="BN23" t="s">
        <v>413</v>
      </c>
      <c r="BO23" s="88">
        <f>ROUND((((AW23*AZ23)+(BN23*BM23))/(AW23+BN23)),5)</f>
        <v>85.67204</v>
      </c>
      <c r="BP23" s="92">
        <f>BN23+AW23</f>
        <v>90.5</v>
      </c>
      <c r="BQ23" s="93">
        <v>88363222</v>
      </c>
    </row>
    <row r="24" ht="15.25" spans="1:69">
      <c r="A24" s="73">
        <v>2</v>
      </c>
      <c r="B24" s="73" t="s">
        <v>399</v>
      </c>
      <c r="C24" s="73" t="s">
        <v>175</v>
      </c>
      <c r="D24" s="73" t="s">
        <v>58</v>
      </c>
      <c r="E24" s="73" t="s">
        <v>163</v>
      </c>
      <c r="F24" s="74">
        <v>12</v>
      </c>
      <c r="G24" t="s">
        <v>369</v>
      </c>
      <c r="H24" s="74">
        <f t="shared" ref="H24" si="3">F24*G24</f>
        <v>4140</v>
      </c>
      <c r="I24" t="s">
        <v>266</v>
      </c>
      <c r="J24" s="74">
        <v>2</v>
      </c>
      <c r="K24" s="74">
        <v>2.5</v>
      </c>
      <c r="L24" s="74">
        <f t="shared" ref="L24" si="4">H24</f>
        <v>4140</v>
      </c>
      <c r="M24" s="74">
        <f t="shared" ref="M24" si="5">ROUND(L24*I24%,2)</f>
        <v>124.2</v>
      </c>
      <c r="N24" s="74">
        <f t="shared" ref="N24" si="6">H24-M24</f>
        <v>4015.8</v>
      </c>
      <c r="O24" s="74">
        <f t="shared" ref="O24" si="7">ROUND(N24*J24%,2)</f>
        <v>80.32</v>
      </c>
      <c r="P24" s="74">
        <f t="shared" ref="P24" si="8">ROUND(N24-O24,2)</f>
        <v>3935.48</v>
      </c>
      <c r="Q24" s="74">
        <f t="shared" ref="Q24" si="9">ROUND(P24*K24%,2)</f>
        <v>98.39</v>
      </c>
      <c r="R24" s="74">
        <f t="shared" ref="R24" si="10">ROUND((M24+O24+Q24),2)</f>
        <v>302.91</v>
      </c>
      <c r="S24" s="74">
        <f t="shared" ref="S24" si="11">ROUND((H24-R24),2)</f>
        <v>3837.09</v>
      </c>
      <c r="T24" s="94" t="s">
        <v>375</v>
      </c>
      <c r="U24" s="84">
        <v>0.18</v>
      </c>
      <c r="V24" s="74">
        <f t="shared" ref="V24" si="12">IF(OR($C$21=1,$C$21=4),ROUND(((S24*U24)/2),2),0)</f>
        <v>345.34</v>
      </c>
      <c r="W24" s="74">
        <f t="shared" ref="W24" si="13">IF($C$21=1,ROUND(((S24*U24)/2),2),0)</f>
        <v>345.34</v>
      </c>
      <c r="X24" s="74">
        <f t="shared" ref="X24" si="14">IF($C$21=2,ROUND(((S24*U24)),2),0)</f>
        <v>0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690.68</v>
      </c>
      <c r="AC24" s="73">
        <f t="shared" ref="AC24" si="18">IF($V22=1,S24+AB24,S24)</f>
        <v>3837.09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3837.09</v>
      </c>
      <c r="AJ24" s="94">
        <f t="shared" ref="AJ24" si="19">IF($C$21=3,0,AG24+AH24)</f>
        <v>0</v>
      </c>
      <c r="AK24" s="94">
        <f t="shared" si="2"/>
        <v>0</v>
      </c>
      <c r="AL24" s="121">
        <v>3</v>
      </c>
      <c r="AM24" s="94">
        <f>F24/AL24</f>
        <v>4</v>
      </c>
      <c r="AN24" s="94">
        <f t="shared" ref="AN24" si="20">ROUND(AI24/AM24,5)</f>
        <v>959.2725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959.2725</v>
      </c>
      <c r="AS24" s="88" t="s">
        <v>229</v>
      </c>
      <c r="AT24" s="88" t="s">
        <v>58</v>
      </c>
      <c r="AU24" t="s">
        <v>240</v>
      </c>
      <c r="AV24" t="s">
        <v>434</v>
      </c>
      <c r="AW24" s="88">
        <f>AM24</f>
        <v>4</v>
      </c>
      <c r="AX24" s="88">
        <f>AR24</f>
        <v>959.2725</v>
      </c>
      <c r="AY24" s="88">
        <f>AU24+AW24</f>
        <v>4</v>
      </c>
      <c r="AZ24" s="88">
        <f>ROUND(((AU24*AV24)+(AW24*AX24))/(AU24+AW24),5)</f>
        <v>959.2725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124" t="s">
        <v>230</v>
      </c>
      <c r="BM24" t="s">
        <v>434</v>
      </c>
      <c r="BN24" t="s">
        <v>435</v>
      </c>
      <c r="BO24" s="88">
        <f>ROUND((((AW24*AZ24)+(BN24*BM24))/(AW24+BN24)),5)</f>
        <v>652.05588</v>
      </c>
      <c r="BP24" s="92">
        <f>BN24+AW24</f>
        <v>102</v>
      </c>
      <c r="BQ24" s="93">
        <v>88363222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4545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328.67</v>
      </c>
      <c r="S25" s="76">
        <f>SUM(S23:S24)</f>
        <v>4216.33</v>
      </c>
      <c r="T25" s="76"/>
      <c r="U25" s="76"/>
      <c r="V25" s="82">
        <f t="shared" ref="V25:AE25" si="24">SUM(V23:V24)</f>
        <v>379.47</v>
      </c>
      <c r="W25" s="82">
        <f t="shared" si="24"/>
        <v>379.47</v>
      </c>
      <c r="X25" s="82">
        <f t="shared" si="24"/>
        <v>0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758.94</v>
      </c>
      <c r="AC25" s="85">
        <f t="shared" si="24"/>
        <v>4284.59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4216.33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4545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328.67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4216.33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AB25</f>
        <v>758.94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4975.27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D13" workbookViewId="0">
      <selection activeCell="BN29" sqref="BN29"/>
    </sheetView>
  </sheetViews>
  <sheetFormatPr defaultColWidth="9" defaultRowHeight="14.5"/>
  <cols>
    <col min="2" max="2" width="36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436</v>
      </c>
      <c r="C23" s="73" t="s">
        <v>162</v>
      </c>
      <c r="D23" s="73" t="s">
        <v>58</v>
      </c>
      <c r="E23" s="73" t="s">
        <v>163</v>
      </c>
      <c r="F23" s="74">
        <v>12</v>
      </c>
      <c r="G23" t="s">
        <v>228</v>
      </c>
      <c r="H23" s="74">
        <f>F23*G23</f>
        <v>4800</v>
      </c>
      <c r="I23" t="s">
        <v>266</v>
      </c>
      <c r="J23" s="74">
        <v>2</v>
      </c>
      <c r="K23" s="74">
        <v>2.5</v>
      </c>
      <c r="L23" s="74">
        <f>H23</f>
        <v>4800</v>
      </c>
      <c r="M23" s="74">
        <f>ROUND(L23*I23%,2)</f>
        <v>144</v>
      </c>
      <c r="N23" s="74">
        <f>H23-M23</f>
        <v>4656</v>
      </c>
      <c r="O23" s="74">
        <f>ROUND(N23*J23%,2)</f>
        <v>93.12</v>
      </c>
      <c r="P23" s="74">
        <f>ROUND(N23-O23,2)</f>
        <v>4562.88</v>
      </c>
      <c r="Q23" s="74">
        <f>ROUND(P23*K23%,2)</f>
        <v>114.07</v>
      </c>
      <c r="R23" s="74">
        <f>ROUND((M23+O23+Q23),2)</f>
        <v>351.19</v>
      </c>
      <c r="S23" s="74">
        <f>ROUND((H23-R23),2)</f>
        <v>4448.81</v>
      </c>
      <c r="T23" s="94" t="s">
        <v>146</v>
      </c>
      <c r="U23" s="8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800.79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800.79</v>
      </c>
      <c r="AC23" s="73">
        <f>IF($V21=1,S23+AB23,S23)</f>
        <v>5249.6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4448.81</v>
      </c>
      <c r="AJ23" s="94">
        <f>IF($C$21=3,0,AG23+AH23)</f>
        <v>0</v>
      </c>
      <c r="AK23" s="94">
        <f t="shared" ref="AK23:AK24" si="2">IF($C$21=3,AE23+AG23+AH23,0)</f>
        <v>0</v>
      </c>
      <c r="AL23" s="121">
        <v>3</v>
      </c>
      <c r="AM23" s="94">
        <f>F23/AL23</f>
        <v>4</v>
      </c>
      <c r="AN23" s="94">
        <f>ROUND(AI23/AM23,5)</f>
        <v>1112.2025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1112.2025</v>
      </c>
      <c r="AS23" s="88" t="s">
        <v>312</v>
      </c>
      <c r="AT23" s="88" t="s">
        <v>58</v>
      </c>
      <c r="AW23" s="88">
        <f>AM23</f>
        <v>4</v>
      </c>
      <c r="AX23" s="88">
        <f>AR23</f>
        <v>1112.2025</v>
      </c>
      <c r="AY23" s="88">
        <f>AU23+AW23</f>
        <v>4</v>
      </c>
      <c r="AZ23" s="88">
        <f>ROUND(((AU23*AV23)+(AW23*AX23))/(AU23+AW23),5)</f>
        <v>1112.2025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124" t="s">
        <v>314</v>
      </c>
      <c r="BO23" s="88">
        <f>ROUND((((AW23*AZ23)+(BN23*BM23))/(AW23+BN23)),5)</f>
        <v>1112.2025</v>
      </c>
      <c r="BP23" s="92">
        <f>BN23+AW23</f>
        <v>4</v>
      </c>
      <c r="BQ23" s="93">
        <v>88363222</v>
      </c>
    </row>
    <row r="24" ht="15.25" spans="1:69">
      <c r="A24" s="73">
        <v>2</v>
      </c>
      <c r="B24" s="73" t="s">
        <v>437</v>
      </c>
      <c r="C24" s="73" t="s">
        <v>175</v>
      </c>
      <c r="D24" s="73" t="s">
        <v>58</v>
      </c>
      <c r="E24" s="73" t="s">
        <v>163</v>
      </c>
      <c r="F24" s="74">
        <v>15</v>
      </c>
      <c r="G24" t="s">
        <v>423</v>
      </c>
      <c r="H24" s="74">
        <f t="shared" ref="H24" si="3">F24*G24</f>
        <v>4500</v>
      </c>
      <c r="I24" t="s">
        <v>223</v>
      </c>
      <c r="J24" s="74">
        <v>2</v>
      </c>
      <c r="K24" s="74">
        <v>2.5</v>
      </c>
      <c r="L24" s="74">
        <f t="shared" ref="L24" si="4">H24</f>
        <v>4500</v>
      </c>
      <c r="M24" s="74">
        <f t="shared" ref="M24" si="5">ROUND(L24*I24%,2)</f>
        <v>90</v>
      </c>
      <c r="N24" s="74">
        <f t="shared" ref="N24" si="6">H24-M24</f>
        <v>4410</v>
      </c>
      <c r="O24" s="74">
        <f t="shared" ref="O24" si="7">ROUND(N24*J24%,2)</f>
        <v>88.2</v>
      </c>
      <c r="P24" s="74">
        <f t="shared" ref="P24" si="8">ROUND(N24-O24,2)</f>
        <v>4321.8</v>
      </c>
      <c r="Q24" s="74">
        <f t="shared" ref="Q24" si="9">ROUND(P24*K24%,2)</f>
        <v>108.05</v>
      </c>
      <c r="R24" s="74">
        <f t="shared" ref="R24" si="10">ROUND((M24+O24+Q24),2)</f>
        <v>286.25</v>
      </c>
      <c r="S24" s="74">
        <f t="shared" ref="S24" si="11">ROUND((H24-R24),2)</f>
        <v>4213.75</v>
      </c>
      <c r="T24" s="94" t="s">
        <v>375</v>
      </c>
      <c r="U24" s="84">
        <v>0.18</v>
      </c>
      <c r="V24" s="74">
        <f t="shared" ref="V24" si="12">IF(OR($C$21=1,$C$21=4),ROUND(((S24*U24)/2),2),0)</f>
        <v>0</v>
      </c>
      <c r="W24" s="74">
        <f t="shared" ref="W24" si="13">IF($C$21=1,ROUND(((S24*U24)/2),2),0)</f>
        <v>0</v>
      </c>
      <c r="X24" s="74">
        <f t="shared" ref="X24" si="14">IF($C$21=2,ROUND(((S24*U24)),2),0)</f>
        <v>758.48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758.48</v>
      </c>
      <c r="AC24" s="73">
        <f t="shared" ref="AC24" si="18">IF($V22=1,S24+AB24,S24)</f>
        <v>4213.75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4213.75</v>
      </c>
      <c r="AJ24" s="94">
        <f t="shared" ref="AJ24" si="19">IF($C$21=3,0,AG24+AH24)</f>
        <v>0</v>
      </c>
      <c r="AK24" s="94">
        <f t="shared" si="2"/>
        <v>0</v>
      </c>
      <c r="AL24" s="121">
        <v>3</v>
      </c>
      <c r="AM24" s="94">
        <f>F24/AL24</f>
        <v>5</v>
      </c>
      <c r="AN24" s="94">
        <f t="shared" ref="AN24" si="20">ROUND(AI24/AM24,5)</f>
        <v>842.75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842.75</v>
      </c>
      <c r="AS24" s="88" t="s">
        <v>312</v>
      </c>
      <c r="AT24" s="88" t="s">
        <v>58</v>
      </c>
      <c r="AW24" s="88">
        <f>AM24</f>
        <v>5</v>
      </c>
      <c r="AX24" s="88">
        <f>AR24</f>
        <v>842.75</v>
      </c>
      <c r="AY24" s="88">
        <f>AU24+AW24</f>
        <v>5</v>
      </c>
      <c r="AZ24" s="88">
        <f>ROUND(((AU24*AV24)+(AW24*AX24))/(AU24+AW24),5)</f>
        <v>842.75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124" t="s">
        <v>314</v>
      </c>
      <c r="BO24" s="88">
        <f>ROUND((((AW24*AZ24)+(BN24*BM24))/(AW24+BN24)),5)</f>
        <v>842.75</v>
      </c>
      <c r="BP24" s="92">
        <f>BN24+AW24</f>
        <v>5</v>
      </c>
      <c r="BQ24" s="93">
        <v>88363222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9300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637.44</v>
      </c>
      <c r="S25" s="76">
        <f>SUM(S23:S24)</f>
        <v>8662.56</v>
      </c>
      <c r="T25" s="76"/>
      <c r="U25" s="76"/>
      <c r="V25" s="82">
        <f t="shared" ref="V25:AE25" si="24">SUM(V23:V24)</f>
        <v>0</v>
      </c>
      <c r="W25" s="82">
        <f t="shared" si="24"/>
        <v>0</v>
      </c>
      <c r="X25" s="82">
        <f t="shared" si="24"/>
        <v>1559.27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1559.27</v>
      </c>
      <c r="AC25" s="85">
        <f t="shared" si="24"/>
        <v>9463.35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8662.56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9300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637.44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8662.56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AB25</f>
        <v>1559.27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10221.83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D24" sqref="D24"/>
    </sheetView>
  </sheetViews>
  <sheetFormatPr defaultColWidth="9" defaultRowHeight="14.5"/>
  <cols>
    <col min="2" max="2" width="36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438</v>
      </c>
      <c r="C23" s="73" t="s">
        <v>162</v>
      </c>
      <c r="D23" s="73" t="s">
        <v>58</v>
      </c>
      <c r="E23" s="73" t="s">
        <v>163</v>
      </c>
      <c r="F23" s="74">
        <v>12</v>
      </c>
      <c r="G23" t="s">
        <v>228</v>
      </c>
      <c r="H23" s="74">
        <f>F23*G23</f>
        <v>4800</v>
      </c>
      <c r="I23" t="s">
        <v>266</v>
      </c>
      <c r="J23" s="74">
        <v>2</v>
      </c>
      <c r="K23" s="74">
        <v>2.5</v>
      </c>
      <c r="L23" s="74">
        <f>H23</f>
        <v>4800</v>
      </c>
      <c r="M23" s="74">
        <f>ROUND(L23*I23%,2)</f>
        <v>144</v>
      </c>
      <c r="N23" s="74">
        <f>H23-M23</f>
        <v>4656</v>
      </c>
      <c r="O23" s="74">
        <f>ROUND(N23*J23%,2)</f>
        <v>93.12</v>
      </c>
      <c r="P23" s="74">
        <f>ROUND(N23-O23,2)</f>
        <v>4562.88</v>
      </c>
      <c r="Q23" s="74">
        <f>ROUND(P23*K23%,2)</f>
        <v>114.07</v>
      </c>
      <c r="R23" s="74">
        <f>ROUND((M23+O23+Q23),2)</f>
        <v>351.19</v>
      </c>
      <c r="S23" s="74">
        <f>ROUND((H23-R23),2)</f>
        <v>4448.81</v>
      </c>
      <c r="T23" s="94" t="s">
        <v>146</v>
      </c>
      <c r="U23" s="8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800.79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800.79</v>
      </c>
      <c r="AC23" s="73">
        <f>IF($V21=1,S23+AB23,S23)</f>
        <v>5249.6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4448.81</v>
      </c>
      <c r="AJ23" s="94">
        <f>IF($C$21=3,0,AG23+AH23)</f>
        <v>0</v>
      </c>
      <c r="AK23" s="94">
        <f t="shared" ref="AK23:AK24" si="2">IF($C$21=3,AE23+AG23+AH23,0)</f>
        <v>0</v>
      </c>
      <c r="AL23" s="121">
        <v>3</v>
      </c>
      <c r="AM23" s="94">
        <f>F23/AL23</f>
        <v>4</v>
      </c>
      <c r="AN23" s="94">
        <f>ROUND(AI23/AM23,5)</f>
        <v>1112.2025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1112.2025</v>
      </c>
      <c r="AS23" s="88" t="s">
        <v>312</v>
      </c>
      <c r="AT23" s="88" t="s">
        <v>58</v>
      </c>
      <c r="AW23" s="88">
        <f>AM23</f>
        <v>4</v>
      </c>
      <c r="AX23" s="88">
        <f>AR23</f>
        <v>1112.2025</v>
      </c>
      <c r="AY23" s="88">
        <f>AU23+AW23</f>
        <v>4</v>
      </c>
      <c r="AZ23" s="88">
        <f>ROUND(((AU23*AV23)+(AW23*AX23))/(AU23+AW23),5)</f>
        <v>1112.2025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124" t="s">
        <v>314</v>
      </c>
      <c r="BO23" s="88">
        <f>ROUND((((AW23*AZ23)+(BN23*BM23))/(AW23+BN23)),5)</f>
        <v>1112.2025</v>
      </c>
      <c r="BP23" s="92">
        <f>BN23+AW23</f>
        <v>4</v>
      </c>
      <c r="BQ23" s="93">
        <v>88363222</v>
      </c>
    </row>
    <row r="24" ht="15.25" spans="1:69">
      <c r="A24" s="73">
        <v>2</v>
      </c>
      <c r="B24" s="73" t="s">
        <v>439</v>
      </c>
      <c r="C24" s="73" t="s">
        <v>175</v>
      </c>
      <c r="D24" s="73" t="s">
        <v>58</v>
      </c>
      <c r="E24" s="73" t="s">
        <v>163</v>
      </c>
      <c r="F24" s="74">
        <v>15</v>
      </c>
      <c r="G24" t="s">
        <v>423</v>
      </c>
      <c r="H24" s="74">
        <f t="shared" ref="H24" si="3">F24*G24</f>
        <v>4500</v>
      </c>
      <c r="I24" t="s">
        <v>223</v>
      </c>
      <c r="J24" s="74">
        <v>2</v>
      </c>
      <c r="K24" s="74">
        <v>2.5</v>
      </c>
      <c r="L24" s="74">
        <f t="shared" ref="L24" si="4">H24</f>
        <v>4500</v>
      </c>
      <c r="M24" s="74">
        <f t="shared" ref="M24" si="5">ROUND(L24*I24%,2)</f>
        <v>90</v>
      </c>
      <c r="N24" s="74">
        <f t="shared" ref="N24" si="6">H24-M24</f>
        <v>4410</v>
      </c>
      <c r="O24" s="74">
        <f t="shared" ref="O24" si="7">ROUND(N24*J24%,2)</f>
        <v>88.2</v>
      </c>
      <c r="P24" s="74">
        <f t="shared" ref="P24" si="8">ROUND(N24-O24,2)</f>
        <v>4321.8</v>
      </c>
      <c r="Q24" s="74">
        <f t="shared" ref="Q24" si="9">ROUND(P24*K24%,2)</f>
        <v>108.05</v>
      </c>
      <c r="R24" s="74">
        <f t="shared" ref="R24" si="10">ROUND((M24+O24+Q24),2)</f>
        <v>286.25</v>
      </c>
      <c r="S24" s="74">
        <f t="shared" ref="S24" si="11">ROUND((H24-R24),2)</f>
        <v>4213.75</v>
      </c>
      <c r="T24" s="94" t="s">
        <v>375</v>
      </c>
      <c r="U24" s="84">
        <v>0.18</v>
      </c>
      <c r="V24" s="74">
        <f t="shared" ref="V24" si="12">IF(OR($C$21=1,$C$21=4),ROUND(((S24*U24)/2),2),0)</f>
        <v>0</v>
      </c>
      <c r="W24" s="74">
        <f t="shared" ref="W24" si="13">IF($C$21=1,ROUND(((S24*U24)/2),2),0)</f>
        <v>0</v>
      </c>
      <c r="X24" s="74">
        <f t="shared" ref="X24" si="14">IF($C$21=2,ROUND(((S24*U24)),2),0)</f>
        <v>758.48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758.48</v>
      </c>
      <c r="AC24" s="73">
        <f t="shared" ref="AC24" si="18">IF($V22=1,S24+AB24,S24)</f>
        <v>4213.75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4213.75</v>
      </c>
      <c r="AJ24" s="94">
        <f t="shared" ref="AJ24" si="19">IF($C$21=3,0,AG24+AH24)</f>
        <v>0</v>
      </c>
      <c r="AK24" s="94">
        <f t="shared" si="2"/>
        <v>0</v>
      </c>
      <c r="AL24" s="121">
        <v>3</v>
      </c>
      <c r="AM24" s="94">
        <f>F24/AL24</f>
        <v>5</v>
      </c>
      <c r="AN24" s="94">
        <f t="shared" ref="AN24" si="20">ROUND(AI24/AM24,5)</f>
        <v>842.75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842.75</v>
      </c>
      <c r="AS24" s="88" t="s">
        <v>312</v>
      </c>
      <c r="AT24" s="88" t="s">
        <v>58</v>
      </c>
      <c r="AW24" s="88">
        <f>AM24</f>
        <v>5</v>
      </c>
      <c r="AX24" s="88">
        <f>AR24</f>
        <v>842.75</v>
      </c>
      <c r="AY24" s="88">
        <f>AU24+AW24</f>
        <v>5</v>
      </c>
      <c r="AZ24" s="88">
        <f>ROUND(((AU24*AV24)+(AW24*AX24))/(AU24+AW24),5)</f>
        <v>842.75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124" t="s">
        <v>314</v>
      </c>
      <c r="BO24" s="88">
        <f>ROUND((((AW24*AZ24)+(BN24*BM24))/(AW24+BN24)),5)</f>
        <v>842.75</v>
      </c>
      <c r="BP24" s="92">
        <f>BN24+AW24</f>
        <v>5</v>
      </c>
      <c r="BQ24" s="93">
        <v>88363222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9300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637.44</v>
      </c>
      <c r="S25" s="76">
        <f>SUM(S23:S24)</f>
        <v>8662.56</v>
      </c>
      <c r="T25" s="76"/>
      <c r="U25" s="76"/>
      <c r="V25" s="82">
        <f t="shared" ref="V25:AE25" si="24">SUM(V23:V24)</f>
        <v>0</v>
      </c>
      <c r="W25" s="82">
        <f t="shared" si="24"/>
        <v>0</v>
      </c>
      <c r="X25" s="82">
        <f t="shared" si="24"/>
        <v>1559.27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1559.27</v>
      </c>
      <c r="AC25" s="85">
        <f t="shared" si="24"/>
        <v>9463.35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8662.56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9300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637.44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8662.56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AB25</f>
        <v>1559.27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10221.83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A16" workbookViewId="0">
      <selection activeCell="B35" sqref="B35"/>
    </sheetView>
  </sheetViews>
  <sheetFormatPr defaultColWidth="9" defaultRowHeight="14.5"/>
  <cols>
    <col min="2" max="2" width="36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440</v>
      </c>
      <c r="C23" s="73" t="s">
        <v>162</v>
      </c>
      <c r="D23" s="73" t="s">
        <v>58</v>
      </c>
      <c r="E23" s="73" t="s">
        <v>163</v>
      </c>
      <c r="F23" s="74">
        <v>12</v>
      </c>
      <c r="G23" t="s">
        <v>441</v>
      </c>
      <c r="H23" s="74">
        <f>F23*G23</f>
        <v>2796</v>
      </c>
      <c r="I23" t="s">
        <v>223</v>
      </c>
      <c r="J23" s="74">
        <v>2</v>
      </c>
      <c r="K23" s="74">
        <v>2.5</v>
      </c>
      <c r="L23" s="74">
        <f>H23</f>
        <v>2796</v>
      </c>
      <c r="M23" s="74">
        <f>ROUND(L23*I23%,2)</f>
        <v>55.92</v>
      </c>
      <c r="N23" s="74">
        <f>H23-M23</f>
        <v>2740.08</v>
      </c>
      <c r="O23" s="74">
        <f>ROUND(N23*J23%,2)</f>
        <v>54.8</v>
      </c>
      <c r="P23" s="74">
        <f>ROUND(N23-O23,2)</f>
        <v>2685.28</v>
      </c>
      <c r="Q23" s="74">
        <f>ROUND(P23*K23%,2)</f>
        <v>67.13</v>
      </c>
      <c r="R23" s="74">
        <f>ROUND((M23+O23+Q23),2)</f>
        <v>177.85</v>
      </c>
      <c r="S23" s="74">
        <f>ROUND((H23-R23),2)</f>
        <v>2618.15</v>
      </c>
      <c r="T23" s="94" t="s">
        <v>146</v>
      </c>
      <c r="U23" s="8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471.27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471.27</v>
      </c>
      <c r="AC23" s="73">
        <f>IF($V21=1,S23+AB23,S23)</f>
        <v>3089.42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2618.15</v>
      </c>
      <c r="AJ23" s="94">
        <f>IF($C$21=3,0,AG23+AH23)</f>
        <v>0</v>
      </c>
      <c r="AK23" s="94">
        <f t="shared" ref="AK23:AK24" si="2">IF($C$21=3,AE23+AG23+AH23,0)</f>
        <v>0</v>
      </c>
      <c r="AL23" s="121">
        <v>3</v>
      </c>
      <c r="AM23" s="94">
        <f>F23/AL23</f>
        <v>4</v>
      </c>
      <c r="AN23" s="94">
        <f>ROUND(AI23/AM23,5)</f>
        <v>654.5375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654.5375</v>
      </c>
      <c r="AS23" s="88" t="s">
        <v>312</v>
      </c>
      <c r="AT23" s="88" t="s">
        <v>58</v>
      </c>
      <c r="AW23" s="88">
        <f>AM23</f>
        <v>4</v>
      </c>
      <c r="AX23" s="88">
        <f>AR23</f>
        <v>654.5375</v>
      </c>
      <c r="AY23" s="88">
        <f>AU23+AW23</f>
        <v>4</v>
      </c>
      <c r="AZ23" s="88">
        <f>ROUND(((AU23*AV23)+(AW23*AX23))/(AU23+AW23),5)</f>
        <v>654.5375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124" t="s">
        <v>314</v>
      </c>
      <c r="BO23" s="88">
        <f>ROUND((((AW23*AZ23)+(BN23*BM23))/(AW23+BN23)),5)</f>
        <v>654.5375</v>
      </c>
      <c r="BP23" s="92">
        <f>BN23+AW23</f>
        <v>4</v>
      </c>
      <c r="BQ23" s="93">
        <v>88363222</v>
      </c>
    </row>
    <row r="24" ht="15.25" spans="1:69">
      <c r="A24" s="73">
        <v>2</v>
      </c>
      <c r="B24" s="73" t="s">
        <v>442</v>
      </c>
      <c r="C24" s="73" t="s">
        <v>175</v>
      </c>
      <c r="D24" s="73" t="s">
        <v>58</v>
      </c>
      <c r="E24" s="73" t="s">
        <v>163</v>
      </c>
      <c r="F24" s="74">
        <v>16</v>
      </c>
      <c r="G24" t="s">
        <v>253</v>
      </c>
      <c r="H24" s="74">
        <f t="shared" ref="H24" si="3">F24*G24</f>
        <v>7280</v>
      </c>
      <c r="I24" t="s">
        <v>266</v>
      </c>
      <c r="J24" s="74">
        <v>2</v>
      </c>
      <c r="K24" s="74">
        <v>2.5</v>
      </c>
      <c r="L24" s="74">
        <f t="shared" ref="L24" si="4">H24</f>
        <v>7280</v>
      </c>
      <c r="M24" s="74">
        <f t="shared" ref="M24" si="5">ROUND(L24*I24%,2)</f>
        <v>218.4</v>
      </c>
      <c r="N24" s="74">
        <f t="shared" ref="N24" si="6">H24-M24</f>
        <v>7061.6</v>
      </c>
      <c r="O24" s="74">
        <f t="shared" ref="O24" si="7">ROUND(N24*J24%,2)</f>
        <v>141.23</v>
      </c>
      <c r="P24" s="74">
        <f t="shared" ref="P24" si="8">ROUND(N24-O24,2)</f>
        <v>6920.37</v>
      </c>
      <c r="Q24" s="74">
        <f t="shared" ref="Q24" si="9">ROUND(P24*K24%,2)</f>
        <v>173.01</v>
      </c>
      <c r="R24" s="74">
        <f t="shared" ref="R24" si="10">ROUND((M24+O24+Q24),2)</f>
        <v>532.64</v>
      </c>
      <c r="S24" s="74">
        <f t="shared" ref="S24" si="11">ROUND((H24-R24),2)</f>
        <v>6747.36</v>
      </c>
      <c r="T24" s="94" t="s">
        <v>375</v>
      </c>
      <c r="U24" s="84">
        <v>0.18</v>
      </c>
      <c r="V24" s="74">
        <f t="shared" ref="V24" si="12">IF(OR($C$21=1,$C$21=4),ROUND(((S24*U24)/2),2),0)</f>
        <v>0</v>
      </c>
      <c r="W24" s="74">
        <f t="shared" ref="W24" si="13">IF($C$21=1,ROUND(((S24*U24)/2),2),0)</f>
        <v>0</v>
      </c>
      <c r="X24" s="74">
        <f t="shared" ref="X24" si="14">IF($C$21=2,ROUND(((S24*U24)),2),0)</f>
        <v>1214.52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1214.52</v>
      </c>
      <c r="AC24" s="73">
        <f t="shared" ref="AC24" si="18">IF($V22=1,S24+AB24,S24)</f>
        <v>6747.36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6747.36</v>
      </c>
      <c r="AJ24" s="94">
        <f t="shared" ref="AJ24" si="19">IF($C$21=3,0,AG24+AH24)</f>
        <v>0</v>
      </c>
      <c r="AK24" s="94">
        <f t="shared" si="2"/>
        <v>0</v>
      </c>
      <c r="AL24" s="121">
        <v>4</v>
      </c>
      <c r="AM24" s="94">
        <f>F24/AL24</f>
        <v>4</v>
      </c>
      <c r="AN24" s="94">
        <f t="shared" ref="AN24" si="20">ROUND(AI24/AM24,5)</f>
        <v>1686.84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1686.84</v>
      </c>
      <c r="AS24" s="88" t="s">
        <v>312</v>
      </c>
      <c r="AT24" s="88" t="s">
        <v>58</v>
      </c>
      <c r="AW24" s="88">
        <f>AM24</f>
        <v>4</v>
      </c>
      <c r="AX24" s="88">
        <f>AR24</f>
        <v>1686.84</v>
      </c>
      <c r="AY24" s="88">
        <f>AU24+AW24</f>
        <v>4</v>
      </c>
      <c r="AZ24" s="88">
        <f>ROUND(((AU24*AV24)+(AW24*AX24))/(AU24+AW24),5)</f>
        <v>1686.84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124" t="s">
        <v>314</v>
      </c>
      <c r="BO24" s="88">
        <f>ROUND((((AW24*AZ24)+(BN24*BM24))/(AW24+BN24)),5)</f>
        <v>1686.84</v>
      </c>
      <c r="BP24" s="92">
        <f>BN24+AW24</f>
        <v>4</v>
      </c>
      <c r="BQ24" s="93">
        <v>88363222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10076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710.49</v>
      </c>
      <c r="S25" s="76">
        <f>SUM(S23:S24)</f>
        <v>9365.51</v>
      </c>
      <c r="T25" s="76"/>
      <c r="U25" s="76"/>
      <c r="V25" s="82">
        <f t="shared" ref="V25:AE25" si="24">SUM(V23:V24)</f>
        <v>0</v>
      </c>
      <c r="W25" s="82">
        <f t="shared" si="24"/>
        <v>0</v>
      </c>
      <c r="X25" s="82">
        <f t="shared" si="24"/>
        <v>1685.79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1685.79</v>
      </c>
      <c r="AC25" s="85">
        <f t="shared" si="24"/>
        <v>9836.78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9365.51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10076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710.49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9365.51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AB25</f>
        <v>1685.79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11051.3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topLeftCell="BK19" workbookViewId="0">
      <selection activeCell="BQ22" sqref="BQ22:BQ24"/>
    </sheetView>
  </sheetViews>
  <sheetFormatPr defaultColWidth="9" defaultRowHeight="14.5"/>
  <cols>
    <col min="2" max="2" width="36.1363636363636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1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408</v>
      </c>
      <c r="C23" s="73" t="s">
        <v>162</v>
      </c>
      <c r="D23" s="73" t="s">
        <v>58</v>
      </c>
      <c r="E23" s="73" t="s">
        <v>163</v>
      </c>
      <c r="F23" s="74">
        <v>12</v>
      </c>
      <c r="G23" t="s">
        <v>311</v>
      </c>
      <c r="H23" s="74">
        <f>F23*G23</f>
        <v>1200</v>
      </c>
      <c r="I23" t="s">
        <v>223</v>
      </c>
      <c r="J23" s="74">
        <v>2</v>
      </c>
      <c r="K23" s="74">
        <v>2.5</v>
      </c>
      <c r="L23" s="74">
        <f>H23</f>
        <v>1200</v>
      </c>
      <c r="M23" s="74">
        <f>ROUND(L23*I23%,2)</f>
        <v>24</v>
      </c>
      <c r="N23" s="74">
        <f>H23-M23</f>
        <v>1176</v>
      </c>
      <c r="O23" s="74">
        <f>ROUND(N23*J23%,2)</f>
        <v>23.52</v>
      </c>
      <c r="P23" s="74">
        <f>ROUND(N23-O23,2)</f>
        <v>1152.48</v>
      </c>
      <c r="Q23" s="74">
        <f>ROUND(P23*K23%,2)</f>
        <v>28.81</v>
      </c>
      <c r="R23" s="74">
        <f>ROUND((M23+O23+Q23),2)</f>
        <v>76.33</v>
      </c>
      <c r="S23" s="74">
        <f>ROUND((H23-R23),2)</f>
        <v>1123.67</v>
      </c>
      <c r="T23" s="94" t="s">
        <v>146</v>
      </c>
      <c r="U23" s="84">
        <v>0.18</v>
      </c>
      <c r="V23" s="74">
        <f>IF(OR($C$21=1,$C$21=4),ROUND(((S23*U23)/2),2),0)</f>
        <v>101.13</v>
      </c>
      <c r="W23" s="74">
        <f>IF($C$21=1,ROUND(((S23*U23)/2),2),0)</f>
        <v>101.13</v>
      </c>
      <c r="X23" s="74">
        <f>IF($C$21=2,ROUND(((S23*U23)),2),0)</f>
        <v>0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202.26</v>
      </c>
      <c r="AC23" s="73">
        <f>IF($V21=1,S23+AB23,S23)</f>
        <v>1325.93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1123.67</v>
      </c>
      <c r="AJ23" s="94">
        <f>IF($C$21=3,0,AG23+AH23)</f>
        <v>0</v>
      </c>
      <c r="AK23" s="94">
        <f t="shared" ref="AK23:AK24" si="2">IF($C$21=3,AE23+AG23+AH23,0)</f>
        <v>0</v>
      </c>
      <c r="AL23" s="121">
        <v>3</v>
      </c>
      <c r="AM23" s="94">
        <f>F23/AL23</f>
        <v>4</v>
      </c>
      <c r="AN23" s="94">
        <f>ROUND(AI23/AM23,5)</f>
        <v>280.9175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280.9175</v>
      </c>
      <c r="AS23" s="88" t="s">
        <v>229</v>
      </c>
      <c r="AT23" s="88" t="s">
        <v>58</v>
      </c>
      <c r="AU23" t="s">
        <v>443</v>
      </c>
      <c r="AV23" t="s">
        <v>444</v>
      </c>
      <c r="AW23" s="88">
        <f>AM23</f>
        <v>4</v>
      </c>
      <c r="AX23" s="88">
        <f>AR23</f>
        <v>280.9175</v>
      </c>
      <c r="AY23" s="88">
        <f>AU23+AW23</f>
        <v>29</v>
      </c>
      <c r="AZ23" s="88">
        <f>ROUND(((AU23*AV23)+(AW23*AX23))/(AU23+AW23),5)</f>
        <v>200.19345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124" t="s">
        <v>230</v>
      </c>
      <c r="BM23" t="s">
        <v>444</v>
      </c>
      <c r="BN23" t="s">
        <v>445</v>
      </c>
      <c r="BO23" s="88">
        <f>ROUND((((AW23*AZ23)+(BN23*BM23))/(AW23+BN23)),5)</f>
        <v>187.72106</v>
      </c>
      <c r="BP23" s="92">
        <f>BN23+AW23</f>
        <v>116.5</v>
      </c>
      <c r="BQ23" s="93">
        <v>88363222</v>
      </c>
    </row>
    <row r="24" ht="15.25" spans="1:69">
      <c r="A24" s="73">
        <v>2</v>
      </c>
      <c r="B24" s="73" t="s">
        <v>409</v>
      </c>
      <c r="C24" s="73" t="s">
        <v>175</v>
      </c>
      <c r="D24" s="73" t="s">
        <v>58</v>
      </c>
      <c r="E24" s="73" t="s">
        <v>163</v>
      </c>
      <c r="F24" s="74">
        <v>15</v>
      </c>
      <c r="G24" t="s">
        <v>311</v>
      </c>
      <c r="H24" s="74">
        <f t="shared" ref="H24" si="3">F24*G24</f>
        <v>1500</v>
      </c>
      <c r="I24" t="s">
        <v>223</v>
      </c>
      <c r="J24" s="74">
        <v>2</v>
      </c>
      <c r="K24" s="74">
        <v>2.5</v>
      </c>
      <c r="L24" s="74">
        <f t="shared" ref="L24" si="4">H24</f>
        <v>1500</v>
      </c>
      <c r="M24" s="74">
        <f t="shared" ref="M24" si="5">ROUND(L24*I24%,2)</f>
        <v>30</v>
      </c>
      <c r="N24" s="74">
        <f t="shared" ref="N24" si="6">H24-M24</f>
        <v>1470</v>
      </c>
      <c r="O24" s="74">
        <f t="shared" ref="O24" si="7">ROUND(N24*J24%,2)</f>
        <v>29.4</v>
      </c>
      <c r="P24" s="74">
        <f t="shared" ref="P24" si="8">ROUND(N24-O24,2)</f>
        <v>1440.6</v>
      </c>
      <c r="Q24" s="74">
        <f t="shared" ref="Q24" si="9">ROUND(P24*K24%,2)</f>
        <v>36.02</v>
      </c>
      <c r="R24" s="74">
        <f t="shared" ref="R24" si="10">ROUND((M24+O24+Q24),2)</f>
        <v>95.42</v>
      </c>
      <c r="S24" s="74">
        <f t="shared" ref="S24" si="11">ROUND((H24-R24),2)</f>
        <v>1404.58</v>
      </c>
      <c r="T24" s="94" t="s">
        <v>375</v>
      </c>
      <c r="U24" s="84">
        <v>0.18</v>
      </c>
      <c r="V24" s="74">
        <f t="shared" ref="V24" si="12">IF(OR($C$21=1,$C$21=4),ROUND(((S24*U24)/2),2),0)</f>
        <v>126.41</v>
      </c>
      <c r="W24" s="74">
        <f t="shared" ref="W24" si="13">IF($C$21=1,ROUND(((S24*U24)/2),2),0)</f>
        <v>126.41</v>
      </c>
      <c r="X24" s="74">
        <f t="shared" ref="X24" si="14">IF($C$21=2,ROUND(((S24*U24)),2),0)</f>
        <v>0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252.82</v>
      </c>
      <c r="AC24" s="73">
        <f t="shared" ref="AC24" si="18">IF($V22=1,S24+AB24,S24)</f>
        <v>1404.58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1404.58</v>
      </c>
      <c r="AJ24" s="94">
        <f t="shared" ref="AJ24" si="19">IF($C$21=3,0,AG24+AH24)</f>
        <v>0</v>
      </c>
      <c r="AK24" s="94">
        <f t="shared" si="2"/>
        <v>0</v>
      </c>
      <c r="AL24" s="121">
        <v>3</v>
      </c>
      <c r="AM24" s="94">
        <f>F24/AL24</f>
        <v>5</v>
      </c>
      <c r="AN24" s="94">
        <f t="shared" ref="AN24" si="20">ROUND(AI24/AM24,5)</f>
        <v>280.916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280.916</v>
      </c>
      <c r="AS24" s="88" t="s">
        <v>229</v>
      </c>
      <c r="AT24" s="88" t="s">
        <v>58</v>
      </c>
      <c r="AU24" t="s">
        <v>446</v>
      </c>
      <c r="AV24" t="s">
        <v>447</v>
      </c>
      <c r="AW24" s="88">
        <f>AM24</f>
        <v>5</v>
      </c>
      <c r="AX24" s="88">
        <f>AR24</f>
        <v>280.916</v>
      </c>
      <c r="AY24" s="88">
        <f>AU24+AW24</f>
        <v>33</v>
      </c>
      <c r="AZ24" s="88">
        <f>ROUND(((AU24*AV24)+(AW24*AX24))/(AU24+AW24),5)</f>
        <v>201.46546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124" t="s">
        <v>230</v>
      </c>
      <c r="BM24" t="s">
        <v>447</v>
      </c>
      <c r="BN24" t="s">
        <v>448</v>
      </c>
      <c r="BO24" s="88">
        <f>ROUND((((AW24*AZ24)+(BN24*BM24))/(AW24+BN24)),5)</f>
        <v>187.81937</v>
      </c>
      <c r="BP24" s="92">
        <f>BN24+AW24</f>
        <v>131</v>
      </c>
      <c r="BQ24" s="93">
        <v>88363222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2700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171.75</v>
      </c>
      <c r="S25" s="76">
        <f>SUM(S23:S24)</f>
        <v>2528.25</v>
      </c>
      <c r="T25" s="76"/>
      <c r="U25" s="76"/>
      <c r="V25" s="82">
        <f t="shared" ref="V25:AE25" si="24">SUM(V23:V24)</f>
        <v>227.54</v>
      </c>
      <c r="W25" s="82">
        <f t="shared" si="24"/>
        <v>227.54</v>
      </c>
      <c r="X25" s="82">
        <f t="shared" si="24"/>
        <v>0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455.08</v>
      </c>
      <c r="AC25" s="85">
        <f t="shared" si="24"/>
        <v>2730.51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2528.25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2700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171.75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2528.25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AB25</f>
        <v>455.08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2983.33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39"/>
  <sheetViews>
    <sheetView workbookViewId="0">
      <selection activeCell="A1" sqref="$A1:$XFD1048576"/>
    </sheetView>
  </sheetViews>
  <sheetFormatPr defaultColWidth="9" defaultRowHeight="14.5"/>
  <cols>
    <col min="2" max="2" width="36.5727272727273" customWidth="1"/>
    <col min="4" max="4" width="72.4272727272727" customWidth="1"/>
    <col min="11" max="11" width="6.13636363636364" customWidth="1"/>
    <col min="29" max="29" width="11.5727272727273" customWidth="1"/>
    <col min="35" max="35" width="14.2818181818182" customWidth="1"/>
    <col min="36" max="36" width="17.5727272727273" customWidth="1"/>
    <col min="37" max="37" width="13.4272727272727" customWidth="1"/>
    <col min="38" max="38" width="13.5727272727273" customWidth="1"/>
    <col min="45" max="45" width="9.42727272727273" customWidth="1"/>
    <col min="47" max="47" width="15.2818181818182" customWidth="1"/>
    <col min="48" max="48" width="20.2818181818182" customWidth="1"/>
    <col min="50" max="50" width="16.2818181818182" customWidth="1"/>
    <col min="51" max="51" width="13.8545454545455" customWidth="1"/>
    <col min="52" max="52" width="18.8545454545455" customWidth="1"/>
    <col min="54" max="57" width="21.7090909090909" customWidth="1"/>
    <col min="58" max="58" width="16.5727272727273" customWidth="1"/>
    <col min="59" max="59" width="13.7090909090909" customWidth="1"/>
    <col min="60" max="60" width="12.4272727272727" customWidth="1"/>
    <col min="63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8.25" spans="1:67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116"/>
      <c r="AP1" s="116"/>
      <c r="AQ1" s="116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  <c r="BM1" s="71"/>
      <c r="BN1" s="71"/>
      <c r="BO1" s="71"/>
    </row>
    <row r="2" ht="18.25" spans="1:67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</row>
    <row r="3" ht="15.25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</row>
    <row r="4" spans="1:67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</row>
    <row r="5" spans="1:67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</row>
    <row r="6" spans="1:67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</row>
    <row r="7" spans="1:67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</row>
    <row r="8" spans="1:67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</row>
    <row r="9" spans="1:67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</row>
    <row r="10" spans="1:67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</row>
    <row r="11" spans="1:67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</row>
    <row r="12" spans="1:67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</row>
    <row r="13" spans="1:67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</row>
    <row r="14" spans="1:67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</row>
    <row r="15" spans="1:67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</row>
    <row r="16" spans="1:67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</row>
    <row r="17" spans="1:67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</row>
    <row r="18" ht="15.25" spans="1:67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</row>
    <row r="19" ht="15.25" spans="1:67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</row>
    <row r="20" spans="1:67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</row>
    <row r="21" ht="15.25" spans="1:67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</row>
    <row r="22" ht="43.5" spans="1:69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117" t="s">
        <v>114</v>
      </c>
      <c r="AD22" s="117" t="s">
        <v>115</v>
      </c>
      <c r="AE22" s="117" t="s">
        <v>116</v>
      </c>
      <c r="AF22" s="117" t="s">
        <v>117</v>
      </c>
      <c r="AG22" s="117" t="s">
        <v>118</v>
      </c>
      <c r="AH22" s="117" t="s">
        <v>119</v>
      </c>
      <c r="AI22" s="117" t="s">
        <v>120</v>
      </c>
      <c r="AJ22" s="117" t="s">
        <v>121</v>
      </c>
      <c r="AK22" s="117" t="s">
        <v>122</v>
      </c>
      <c r="AL22" s="117" t="s">
        <v>123</v>
      </c>
      <c r="AM22" s="117" t="s">
        <v>124</v>
      </c>
      <c r="AN22" s="117" t="s">
        <v>125</v>
      </c>
      <c r="AO22" s="117" t="s">
        <v>126</v>
      </c>
      <c r="AP22" s="117" t="s">
        <v>127</v>
      </c>
      <c r="AQ22" s="117" t="s">
        <v>128</v>
      </c>
      <c r="AR22" s="118" t="s">
        <v>160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69">
      <c r="A23" s="73">
        <v>1</v>
      </c>
      <c r="B23" s="73" t="s">
        <v>374</v>
      </c>
      <c r="C23" s="73" t="s">
        <v>162</v>
      </c>
      <c r="D23" s="73" t="s">
        <v>58</v>
      </c>
      <c r="E23" s="73" t="s">
        <v>163</v>
      </c>
      <c r="F23" s="74">
        <v>12</v>
      </c>
      <c r="G23" s="74">
        <v>257.63</v>
      </c>
      <c r="H23" s="74">
        <f>F23*G23</f>
        <v>3091.56</v>
      </c>
      <c r="I23" s="74">
        <v>1</v>
      </c>
      <c r="J23" s="74">
        <v>2</v>
      </c>
      <c r="K23" s="74">
        <v>2.5</v>
      </c>
      <c r="L23" s="74">
        <f>H23</f>
        <v>3091.56</v>
      </c>
      <c r="M23" s="74">
        <f>ROUND(L23*I23%,2)</f>
        <v>30.92</v>
      </c>
      <c r="N23" s="74">
        <f>H23-M23</f>
        <v>3060.64</v>
      </c>
      <c r="O23" s="74">
        <f>ROUND(N23*J23%,2)</f>
        <v>61.21</v>
      </c>
      <c r="P23" s="74">
        <f>ROUND(N23-O23,2)</f>
        <v>2999.43</v>
      </c>
      <c r="Q23" s="74">
        <f>ROUND(P23*K23%,2)</f>
        <v>74.99</v>
      </c>
      <c r="R23" s="74">
        <f>ROUND((M23+O23+Q23),2)</f>
        <v>167.12</v>
      </c>
      <c r="S23" s="74">
        <f>ROUND((H23-R23),2)</f>
        <v>2924.44</v>
      </c>
      <c r="T23" s="94" t="s">
        <v>146</v>
      </c>
      <c r="U23" s="8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526.4</v>
      </c>
      <c r="Y23" s="74">
        <f>IF($C$21=4,ROUND(((S23*U23)/2),2),0)</f>
        <v>0</v>
      </c>
      <c r="Z23" s="122">
        <v>0</v>
      </c>
      <c r="AA23" s="74">
        <f>IF($C21=3,0,ROUND(S23*Z23,2))</f>
        <v>0</v>
      </c>
      <c r="AB23" s="73">
        <f>V23+W23+X23+Y23+AA23</f>
        <v>526.4</v>
      </c>
      <c r="AC23" s="73">
        <f>IF($V21=1,S23+AB23,S23)</f>
        <v>3450.84</v>
      </c>
      <c r="AD23" s="94">
        <v>120</v>
      </c>
      <c r="AE23" s="94">
        <f>IF($P$21=1,(S23/$S$25)*$E$36,AD23/$AD$25*$E$36)</f>
        <v>0</v>
      </c>
      <c r="AF23" s="94"/>
      <c r="AG23" s="94">
        <f>IF($P$21=1,(S23/$S$25)*$E$38,AD23/$AD$25*$E$38)</f>
        <v>0</v>
      </c>
      <c r="AH23" s="94">
        <f>IF($P$21=1,(S23/$S$25)*$E$39,AD23/$AD$25*$E$39)</f>
        <v>0</v>
      </c>
      <c r="AI23" s="94">
        <f t="shared" ref="AI23:AI24" si="1">S23*$M$21</f>
        <v>2924.44</v>
      </c>
      <c r="AJ23" s="94">
        <f>IF($C$21=3,0,AG23+AH23)</f>
        <v>0</v>
      </c>
      <c r="AK23" s="94">
        <f t="shared" ref="AK23:AK24" si="2">IF($C$21=3,AE23+AG23+AH23,0)</f>
        <v>0</v>
      </c>
      <c r="AL23" s="121">
        <v>3</v>
      </c>
      <c r="AM23" s="94">
        <f>F23/AL23</f>
        <v>4</v>
      </c>
      <c r="AN23" s="94">
        <f>ROUND(AI23/AM23,5)</f>
        <v>731.11</v>
      </c>
      <c r="AO23" s="94">
        <f>AJ23/AM23</f>
        <v>0</v>
      </c>
      <c r="AP23" s="94">
        <f>AK23/AM23</f>
        <v>0</v>
      </c>
      <c r="AQ23" s="94" t="s">
        <v>58</v>
      </c>
      <c r="AR23" s="94">
        <f>ROUND(AN23+AO23+AP23,5)</f>
        <v>731.11</v>
      </c>
      <c r="AS23" s="88" t="s">
        <v>312</v>
      </c>
      <c r="AT23" s="88" t="s">
        <v>58</v>
      </c>
      <c r="AW23" s="88">
        <f>AM23</f>
        <v>4</v>
      </c>
      <c r="AX23" s="88">
        <f>AR23</f>
        <v>731.11</v>
      </c>
      <c r="AY23" s="88">
        <f>AU23+AW23</f>
        <v>4</v>
      </c>
      <c r="AZ23" s="88">
        <f>ROUND(((AU23*AV23)+(AW23*AX23))/(AU23+AW23),5)</f>
        <v>731.11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124" t="s">
        <v>314</v>
      </c>
      <c r="BM23" t="s">
        <v>240</v>
      </c>
      <c r="BN23" t="s">
        <v>240</v>
      </c>
      <c r="BO23" s="88">
        <f>ROUND((((AW23*AZ23)+(BN23*BM23))/(AW23+BN23)),5)</f>
        <v>731.11</v>
      </c>
      <c r="BP23" s="92">
        <f>BN23+AW23</f>
        <v>4</v>
      </c>
      <c r="BQ23" s="93">
        <v>88363222</v>
      </c>
    </row>
    <row r="24" ht="15.25" spans="1:69">
      <c r="A24" s="73">
        <v>2</v>
      </c>
      <c r="B24" s="73" t="s">
        <v>372</v>
      </c>
      <c r="C24" s="73" t="s">
        <v>175</v>
      </c>
      <c r="D24" s="73" t="s">
        <v>58</v>
      </c>
      <c r="E24" s="73" t="s">
        <v>163</v>
      </c>
      <c r="F24" s="74">
        <v>15</v>
      </c>
      <c r="G24" s="74">
        <v>150.5</v>
      </c>
      <c r="H24" s="74">
        <f t="shared" ref="H24" si="3">F24*G24</f>
        <v>2257.5</v>
      </c>
      <c r="I24" s="74">
        <v>1</v>
      </c>
      <c r="J24" s="74">
        <v>2</v>
      </c>
      <c r="K24" s="74">
        <v>2.5</v>
      </c>
      <c r="L24" s="74">
        <f t="shared" ref="L24" si="4">H24</f>
        <v>2257.5</v>
      </c>
      <c r="M24" s="74">
        <f t="shared" ref="M24" si="5">ROUND(L24*I24%,2)</f>
        <v>22.58</v>
      </c>
      <c r="N24" s="74">
        <f t="shared" ref="N24" si="6">H24-M24</f>
        <v>2234.92</v>
      </c>
      <c r="O24" s="74">
        <f t="shared" ref="O24" si="7">ROUND(N24*J24%,2)</f>
        <v>44.7</v>
      </c>
      <c r="P24" s="74">
        <f t="shared" ref="P24" si="8">ROUND(N24-O24,2)</f>
        <v>2190.22</v>
      </c>
      <c r="Q24" s="74">
        <f t="shared" ref="Q24" si="9">ROUND(P24*K24%,2)</f>
        <v>54.76</v>
      </c>
      <c r="R24" s="74">
        <f t="shared" ref="R24" si="10">ROUND((M24+O24+Q24),2)</f>
        <v>122.04</v>
      </c>
      <c r="S24" s="74">
        <f t="shared" ref="S24" si="11">ROUND((H24-R24),2)</f>
        <v>2135.46</v>
      </c>
      <c r="T24" s="94" t="s">
        <v>375</v>
      </c>
      <c r="U24" s="84">
        <v>0.18</v>
      </c>
      <c r="V24" s="74">
        <f t="shared" ref="V24" si="12">IF(OR($C$21=1,$C$21=4),ROUND(((S24*U24)/2),2),0)</f>
        <v>0</v>
      </c>
      <c r="W24" s="74">
        <f t="shared" ref="W24" si="13">IF($C$21=1,ROUND(((S24*U24)/2),2),0)</f>
        <v>0</v>
      </c>
      <c r="X24" s="74">
        <f t="shared" ref="X24" si="14">IF($C$21=2,ROUND(((S24*U24)),2),0)</f>
        <v>384.38</v>
      </c>
      <c r="Y24" s="74">
        <f t="shared" ref="Y24" si="15">IF($C$21=4,ROUND(((S24*U24)/2),2),0)</f>
        <v>0</v>
      </c>
      <c r="Z24" s="122">
        <v>0</v>
      </c>
      <c r="AA24" s="74">
        <f t="shared" ref="AA24" si="16">IF($C22=3,0,ROUND(S24*Z24,2))</f>
        <v>0</v>
      </c>
      <c r="AB24" s="73">
        <f t="shared" ref="AB24" si="17">V24+W24+X24+Y24+AA24</f>
        <v>384.38</v>
      </c>
      <c r="AC24" s="73">
        <f t="shared" ref="AC24" si="18">IF($V22=1,S24+AB24,S24)</f>
        <v>2135.46</v>
      </c>
      <c r="AD24" s="94">
        <v>350</v>
      </c>
      <c r="AE24" s="94">
        <f>IF($P$21=1,(S24/$S$25)*$E$36,AD24/$AD$25*$E$36)</f>
        <v>0</v>
      </c>
      <c r="AF24" s="94"/>
      <c r="AG24" s="94">
        <f>IF($P$21=1,(S24/$S$25)*$E$38,AD24/$AD$25*$E$38)</f>
        <v>0</v>
      </c>
      <c r="AH24" s="94">
        <f>IF($P$21=1,(S24/$S$25)*$E$39,AD24/$AD$25*$E$39)</f>
        <v>0</v>
      </c>
      <c r="AI24" s="94">
        <f t="shared" si="1"/>
        <v>2135.46</v>
      </c>
      <c r="AJ24" s="94">
        <f t="shared" ref="AJ24" si="19">IF($C$21=3,0,AG24+AH24)</f>
        <v>0</v>
      </c>
      <c r="AK24" s="94">
        <f t="shared" si="2"/>
        <v>0</v>
      </c>
      <c r="AL24" s="121">
        <v>3</v>
      </c>
      <c r="AM24" s="94">
        <f>F24/AL24</f>
        <v>5</v>
      </c>
      <c r="AN24" s="94">
        <f t="shared" ref="AN24" si="20">ROUND(AI24/AM24,5)</f>
        <v>427.092</v>
      </c>
      <c r="AO24" s="94">
        <f t="shared" ref="AO24" si="21">AJ24/AM24</f>
        <v>0</v>
      </c>
      <c r="AP24" s="94">
        <f t="shared" ref="AP24" si="22">AK24/AM24</f>
        <v>0</v>
      </c>
      <c r="AQ24" s="94" t="s">
        <v>58</v>
      </c>
      <c r="AR24" s="94">
        <f t="shared" ref="AR24" si="23">ROUND(AN24+AO24+AP24,5)</f>
        <v>427.092</v>
      </c>
      <c r="AS24" s="88" t="s">
        <v>312</v>
      </c>
      <c r="AT24" s="88" t="s">
        <v>58</v>
      </c>
      <c r="AW24" s="88">
        <f>AM24</f>
        <v>5</v>
      </c>
      <c r="AX24" s="88">
        <f>AR24</f>
        <v>427.092</v>
      </c>
      <c r="AY24" s="88">
        <f>AU24+AW24</f>
        <v>5</v>
      </c>
      <c r="AZ24" s="88">
        <f>ROUND(((AU24*AV24)+(AW24*AX24))/(AU24+AW24),5)</f>
        <v>427.092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124" t="s">
        <v>314</v>
      </c>
      <c r="BM24" t="s">
        <v>240</v>
      </c>
      <c r="BN24" t="s">
        <v>240</v>
      </c>
      <c r="BO24" s="88">
        <f>ROUND((((AW24*AZ24)+(BN24*BM24))/(AW24+BN24)),5)</f>
        <v>427.092</v>
      </c>
      <c r="BP24" s="92">
        <f>BN24+AW24</f>
        <v>5</v>
      </c>
      <c r="BQ24" s="93">
        <v>88363222</v>
      </c>
    </row>
    <row r="25" ht="15.25" spans="1:67">
      <c r="A25" s="71"/>
      <c r="C25" s="103" t="s">
        <v>87</v>
      </c>
      <c r="D25" s="31"/>
      <c r="E25" s="31"/>
      <c r="F25" s="31"/>
      <c r="G25" s="32"/>
      <c r="H25" s="76">
        <f>SUM(H23:H24)</f>
        <v>5349.06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289.16</v>
      </c>
      <c r="S25" s="76">
        <f>SUM(S23:S24)</f>
        <v>5059.9</v>
      </c>
      <c r="T25" s="76"/>
      <c r="U25" s="76"/>
      <c r="V25" s="82">
        <f t="shared" ref="V25:AE25" si="24">SUM(V23:V24)</f>
        <v>0</v>
      </c>
      <c r="W25" s="82">
        <f t="shared" si="24"/>
        <v>0</v>
      </c>
      <c r="X25" s="82">
        <f t="shared" si="24"/>
        <v>910.78</v>
      </c>
      <c r="Y25" s="82">
        <f t="shared" si="24"/>
        <v>0</v>
      </c>
      <c r="Z25" s="123">
        <f t="shared" si="24"/>
        <v>0</v>
      </c>
      <c r="AA25" s="82">
        <f t="shared" si="24"/>
        <v>0</v>
      </c>
      <c r="AB25" s="76">
        <f t="shared" si="24"/>
        <v>910.78</v>
      </c>
      <c r="AC25" s="85">
        <f t="shared" si="24"/>
        <v>5586.3</v>
      </c>
      <c r="AD25" s="86">
        <f t="shared" si="24"/>
        <v>470</v>
      </c>
      <c r="AE25" s="86">
        <f t="shared" si="24"/>
        <v>0</v>
      </c>
      <c r="AF25" s="85"/>
      <c r="AG25" s="86">
        <f>SUM(AG23:AG24)</f>
        <v>0</v>
      </c>
      <c r="AH25" s="86">
        <f>IF($P$21=1,(S25/$S$25)*$E$39,AD25/$AD$25*$E$39)</f>
        <v>0</v>
      </c>
      <c r="AI25" s="86">
        <f>SUM(AI23:AI24)</f>
        <v>5059.9</v>
      </c>
      <c r="AJ25" s="86">
        <f>SUM(AJ23:AJ24)</f>
        <v>0</v>
      </c>
      <c r="AK25" s="86">
        <f>SUM(AK23:AK24)</f>
        <v>0</v>
      </c>
      <c r="AL25" s="85"/>
      <c r="AM25" s="85"/>
      <c r="AN25" s="85"/>
      <c r="AO25" s="85"/>
      <c r="AP25" s="85"/>
      <c r="AQ25" s="85"/>
      <c r="AR25" s="85"/>
      <c r="AS25" s="71"/>
      <c r="AT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</row>
    <row r="26" ht="15.25" spans="1:67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</row>
    <row r="27" ht="15.25" spans="1:67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5349.06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 t="s">
        <v>377</v>
      </c>
      <c r="BI27" s="158" t="s">
        <v>378</v>
      </c>
      <c r="BJ27" s="71"/>
      <c r="BK27" s="71"/>
      <c r="BL27" s="71"/>
      <c r="BM27" s="71"/>
      <c r="BN27" s="71"/>
      <c r="BO27" s="71"/>
    </row>
    <row r="28" ht="15.25" spans="1:67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289.16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 t="s">
        <v>379</v>
      </c>
      <c r="BI28" s="158" t="s">
        <v>380</v>
      </c>
      <c r="BJ28" s="71"/>
      <c r="BK28" s="71"/>
      <c r="BL28" s="71"/>
      <c r="BM28" s="71"/>
      <c r="BN28" s="71"/>
      <c r="BO28" s="71"/>
    </row>
    <row r="29" ht="15.25" spans="1:67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5059.9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</row>
    <row r="30" ht="15.25" spans="1:67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AB25</f>
        <v>910.78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</row>
    <row r="31" ht="15.25" spans="1:67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5970.68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</row>
    <row r="32" spans="1:67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 t="s">
        <v>381</v>
      </c>
      <c r="BN32" s="71" t="s">
        <v>382</v>
      </c>
      <c r="BO32" s="71"/>
    </row>
    <row r="33" spans="1:67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71"/>
      <c r="BJ33" s="71"/>
      <c r="BK33" s="71" t="s">
        <v>383</v>
      </c>
      <c r="BL33" s="71">
        <v>12.5</v>
      </c>
      <c r="BM33" s="71">
        <f>BL35*BL36</f>
        <v>18277.77</v>
      </c>
      <c r="BN33" s="71">
        <f>BL33*BL34</f>
        <v>6092.59</v>
      </c>
      <c r="BO33" s="71"/>
    </row>
    <row r="34" spans="1:67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 t="s">
        <v>384</v>
      </c>
      <c r="BL34" s="71">
        <v>487.4072</v>
      </c>
      <c r="BM34" s="71">
        <f>BL33+BL35</f>
        <v>50</v>
      </c>
      <c r="BN34" s="71"/>
      <c r="BO34" s="71"/>
    </row>
    <row r="35" spans="1:67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 t="s">
        <v>385</v>
      </c>
      <c r="BL35" s="71">
        <v>37.5</v>
      </c>
      <c r="BM35" s="71"/>
      <c r="BN35" s="71"/>
      <c r="BO35" s="71"/>
    </row>
    <row r="36" spans="1:67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 t="s">
        <v>386</v>
      </c>
      <c r="BL36" s="71">
        <v>487.4072</v>
      </c>
      <c r="BM36" s="71"/>
      <c r="BN36" s="71"/>
      <c r="BO36" s="71"/>
    </row>
    <row r="37" spans="1:6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>
        <f>BM33+BN33</f>
        <v>24370.36</v>
      </c>
      <c r="BN37" s="71">
        <f>BM37/BM34</f>
        <v>487.4072</v>
      </c>
      <c r="BO37" s="71"/>
    </row>
    <row r="38" spans="1:67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</row>
    <row r="39" spans="1:67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</row>
  </sheetData>
  <mergeCells count="14">
    <mergeCell ref="A1:AC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0" workbookViewId="0">
      <selection activeCell="V24" sqref="V24"/>
    </sheetView>
  </sheetViews>
  <sheetFormatPr defaultColWidth="9" defaultRowHeight="14.5"/>
  <cols>
    <col min="2" max="2" width="23.5727272727273" customWidth="1"/>
    <col min="8" max="8" width="30" customWidth="1"/>
    <col min="32" max="32" width="14.2818181818182" customWidth="1"/>
    <col min="62" max="62" width="41.1363636363636" customWidth="1"/>
    <col min="64" max="64" width="18.8545454545455" customWidth="1"/>
    <col min="65" max="65" width="34.4272727272727" customWidth="1"/>
  </cols>
  <sheetData>
    <row r="1" ht="18.25" spans="1:64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</row>
    <row r="2" ht="18.25" spans="1:64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</row>
    <row r="3" ht="15.25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</row>
    <row r="4" spans="1:64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</row>
    <row r="5" spans="1:64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</row>
    <row r="6" spans="1:64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</row>
    <row r="7" spans="1:64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</row>
    <row r="8" spans="1:64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</row>
    <row r="9" spans="1:64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</row>
    <row r="10" spans="1:64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</row>
    <row r="11" spans="1:64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</row>
    <row r="12" spans="1:64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</row>
    <row r="13" spans="1:64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</row>
    <row r="14" spans="1:64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</row>
    <row r="15" spans="1:64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</row>
    <row r="16" spans="1:64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</row>
    <row r="17" spans="1:64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</row>
    <row r="18" ht="15.25" spans="1:64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</row>
    <row r="19" ht="15.25" spans="1:64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</row>
    <row r="20" spans="1:64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</row>
    <row r="21" ht="15.25" spans="1:64">
      <c r="A21" s="21" t="s">
        <v>89</v>
      </c>
      <c r="B21" s="21"/>
      <c r="C21" s="22">
        <v>1</v>
      </c>
      <c r="D21" s="23" t="s">
        <v>90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</row>
    <row r="22" ht="43.5" spans="1:65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115" t="s">
        <v>113</v>
      </c>
      <c r="Z22" s="117" t="s">
        <v>114</v>
      </c>
      <c r="AA22" s="117" t="s">
        <v>115</v>
      </c>
      <c r="AB22" s="117" t="s">
        <v>116</v>
      </c>
      <c r="AC22" s="117" t="s">
        <v>117</v>
      </c>
      <c r="AD22" s="117" t="s">
        <v>118</v>
      </c>
      <c r="AE22" s="117" t="s">
        <v>119</v>
      </c>
      <c r="AF22" s="117" t="s">
        <v>120</v>
      </c>
      <c r="AG22" s="117" t="s">
        <v>121</v>
      </c>
      <c r="AH22" s="117" t="s">
        <v>122</v>
      </c>
      <c r="AI22" s="117" t="s">
        <v>123</v>
      </c>
      <c r="AJ22" s="117" t="s">
        <v>124</v>
      </c>
      <c r="AK22" s="117" t="s">
        <v>125</v>
      </c>
      <c r="AL22" s="117" t="s">
        <v>126</v>
      </c>
      <c r="AM22" s="117" t="s">
        <v>127</v>
      </c>
      <c r="AN22" s="117" t="s">
        <v>128</v>
      </c>
      <c r="AO22" s="118" t="s">
        <v>160</v>
      </c>
      <c r="AP22" s="3" t="s">
        <v>215</v>
      </c>
      <c r="AQ22" s="3" t="s">
        <v>128</v>
      </c>
      <c r="AR22" s="87" t="s">
        <v>131</v>
      </c>
      <c r="AS22" s="87" t="s">
        <v>132</v>
      </c>
      <c r="AT22" s="87" t="s">
        <v>133</v>
      </c>
      <c r="AU22" s="87" t="s">
        <v>134</v>
      </c>
      <c r="AV22" s="87" t="s">
        <v>135</v>
      </c>
      <c r="AW22" s="87" t="s">
        <v>136</v>
      </c>
      <c r="AX22" s="87" t="s">
        <v>137</v>
      </c>
      <c r="AY22" s="87" t="s">
        <v>138</v>
      </c>
      <c r="AZ22" s="89" t="s">
        <v>139</v>
      </c>
      <c r="BA22" s="89" t="s">
        <v>8</v>
      </c>
      <c r="BB22" s="89" t="s">
        <v>9</v>
      </c>
      <c r="BC22" s="87" t="s">
        <v>216</v>
      </c>
      <c r="BD22" s="87" t="s">
        <v>140</v>
      </c>
      <c r="BE22" s="87" t="s">
        <v>141</v>
      </c>
      <c r="BF22" s="87" t="s">
        <v>142</v>
      </c>
      <c r="BG22" s="87" t="s">
        <v>143</v>
      </c>
      <c r="BH22" s="87" t="s">
        <v>144</v>
      </c>
      <c r="BI22" s="87" t="s">
        <v>217</v>
      </c>
      <c r="BJ22" s="49" t="s">
        <v>218</v>
      </c>
      <c r="BK22" s="87" t="s">
        <v>219</v>
      </c>
      <c r="BL22" s="87" t="s">
        <v>136</v>
      </c>
      <c r="BM22" s="95" t="s">
        <v>220</v>
      </c>
    </row>
    <row r="23" ht="15.25" spans="1:65">
      <c r="A23" s="73">
        <v>1</v>
      </c>
      <c r="B23" s="73" t="s">
        <v>449</v>
      </c>
      <c r="C23" s="73" t="s">
        <v>162</v>
      </c>
      <c r="D23" s="73" t="s">
        <v>58</v>
      </c>
      <c r="E23" s="73" t="s">
        <v>163</v>
      </c>
      <c r="F23" s="74">
        <v>25</v>
      </c>
      <c r="G23" s="74">
        <v>257.63</v>
      </c>
      <c r="H23" s="74">
        <f>F23*G23</f>
        <v>6440.75</v>
      </c>
      <c r="I23" s="74">
        <v>1</v>
      </c>
      <c r="J23" s="74">
        <v>2</v>
      </c>
      <c r="K23" s="74">
        <v>2.5</v>
      </c>
      <c r="L23" s="74">
        <f>H23</f>
        <v>6440.75</v>
      </c>
      <c r="M23" s="74">
        <f>ROUND(L23*I23%,2)</f>
        <v>64.41</v>
      </c>
      <c r="N23" s="74">
        <f>H23-M23</f>
        <v>6376.34</v>
      </c>
      <c r="O23" s="74">
        <f>ROUND(N23*J23%,2)</f>
        <v>127.53</v>
      </c>
      <c r="P23" s="74">
        <f>ROUND(N23-O23,2)</f>
        <v>6248.81</v>
      </c>
      <c r="Q23" s="74">
        <f>ROUND(P23*K23%,2)</f>
        <v>156.22</v>
      </c>
      <c r="R23" s="74">
        <f>ROUND((M23+O23+Q23),2)</f>
        <v>348.16</v>
      </c>
      <c r="S23" s="74">
        <f>ROUND((H23-R23),2)</f>
        <v>6092.59</v>
      </c>
      <c r="T23" s="94" t="s">
        <v>146</v>
      </c>
      <c r="U23" s="84">
        <v>0.05</v>
      </c>
      <c r="V23" s="74">
        <f>IF($C$21=1,ROUND(((S23*U23)/2),2),0)</f>
        <v>152.31</v>
      </c>
      <c r="W23" s="74">
        <f>IF($C$21=1,ROUND(((S23*U23)/2),2),0)</f>
        <v>152.31</v>
      </c>
      <c r="X23" s="74">
        <f>IF($C$21=2,ROUND(((S23*U23)),2),0)</f>
        <v>0</v>
      </c>
      <c r="Y23" s="73">
        <f>ROUND((S23*18%),2)</f>
        <v>1096.67</v>
      </c>
      <c r="Z23" s="73">
        <f>S23+Y23</f>
        <v>7189.26</v>
      </c>
      <c r="AA23" s="94">
        <v>120</v>
      </c>
      <c r="AB23" s="94">
        <f>IF($P$21=1,(S23/$S$25)*$E$36,AA23/$AA$25*$E$36)</f>
        <v>0</v>
      </c>
      <c r="AC23" s="94"/>
      <c r="AD23" s="94">
        <f>IF($P$21=1,(S23/$S$25)*$E$38,AA23/$AA$25*$E$38)</f>
        <v>0</v>
      </c>
      <c r="AE23" s="94">
        <f>IF($P$21=1,(S23/$S$25)*$E$39,AA23/$AA$25*$E$39)</f>
        <v>0</v>
      </c>
      <c r="AF23" s="94">
        <f t="shared" ref="AF23:AF24" si="1">S23*$M$21</f>
        <v>6092.59</v>
      </c>
      <c r="AG23" s="94">
        <f>IF($C$21=3,0,AD23+AE23)</f>
        <v>0</v>
      </c>
      <c r="AH23" s="94">
        <f t="shared" ref="AH23:AH24" si="2">IF($C$21=3,AB23+AD23+AE23,0)</f>
        <v>0</v>
      </c>
      <c r="AI23" s="121">
        <v>2</v>
      </c>
      <c r="AJ23" s="94">
        <f t="shared" ref="AJ23:AJ24" si="3">F23/AI23</f>
        <v>12.5</v>
      </c>
      <c r="AK23" s="94">
        <f>ROUND(AF23/AJ23,5)</f>
        <v>487.4072</v>
      </c>
      <c r="AL23" s="94">
        <f>AG23/AJ23</f>
        <v>0</v>
      </c>
      <c r="AM23" s="94">
        <f>AH23/AJ23</f>
        <v>0</v>
      </c>
      <c r="AN23" s="94" t="s">
        <v>58</v>
      </c>
      <c r="AO23" s="94">
        <f>ROUND(AK23+AL23+AM23,5)</f>
        <v>487.4072</v>
      </c>
      <c r="AP23" s="62" t="s">
        <v>222</v>
      </c>
      <c r="AQ23" s="62" t="s">
        <v>58</v>
      </c>
      <c r="AR23" t="s">
        <v>450</v>
      </c>
      <c r="AS23" t="s">
        <v>451</v>
      </c>
      <c r="AT23" s="88">
        <f>AJ23</f>
        <v>12.5</v>
      </c>
      <c r="AU23" s="64">
        <f>AO23</f>
        <v>487.4072</v>
      </c>
      <c r="AV23" s="88">
        <f>AR23+AT23</f>
        <v>127.5</v>
      </c>
      <c r="AW23" s="62">
        <f>ROUND(((AR23*AS23)+(AT23*AU23))/(AR23+AT23),5)</f>
        <v>329.22605</v>
      </c>
      <c r="AX23" s="119"/>
      <c r="AY23" s="119" t="s">
        <v>149</v>
      </c>
      <c r="AZ23" s="120" t="s">
        <v>38</v>
      </c>
      <c r="BA23" s="120" t="s">
        <v>452</v>
      </c>
      <c r="BB23" s="120" t="s">
        <v>453</v>
      </c>
      <c r="BC23" s="119"/>
      <c r="BD23" s="119"/>
      <c r="BE23" s="119"/>
      <c r="BF23" s="62"/>
      <c r="BG23" s="62"/>
      <c r="BH23" s="62"/>
      <c r="BI23" s="62" t="s">
        <v>230</v>
      </c>
      <c r="BJ23" t="s">
        <v>454</v>
      </c>
      <c r="BK23" t="s">
        <v>455</v>
      </c>
      <c r="BL23" s="62">
        <f>ROUND((((AT23*AW23)+(BK23*BJ23))/(AT23+BK23)),5)</f>
        <v>150.66895</v>
      </c>
      <c r="BM23" s="92">
        <f>BK23+AT23</f>
        <v>205</v>
      </c>
    </row>
    <row r="24" ht="15.25" spans="1:65">
      <c r="A24" s="73">
        <v>2</v>
      </c>
      <c r="B24" s="73" t="s">
        <v>456</v>
      </c>
      <c r="C24" s="73" t="s">
        <v>175</v>
      </c>
      <c r="D24" s="73" t="s">
        <v>58</v>
      </c>
      <c r="E24" s="73" t="s">
        <v>163</v>
      </c>
      <c r="F24" s="74">
        <v>28</v>
      </c>
      <c r="G24" s="74">
        <v>150.5</v>
      </c>
      <c r="H24" s="74">
        <f t="shared" ref="H24" si="4">F24*G24</f>
        <v>4214</v>
      </c>
      <c r="I24" s="74">
        <v>1</v>
      </c>
      <c r="J24" s="74">
        <v>2</v>
      </c>
      <c r="K24" s="74">
        <v>2.5</v>
      </c>
      <c r="L24" s="74">
        <f t="shared" ref="L24" si="5">H24</f>
        <v>4214</v>
      </c>
      <c r="M24" s="74">
        <f t="shared" ref="M24" si="6">ROUND(L24*I24%,2)</f>
        <v>42.14</v>
      </c>
      <c r="N24" s="74">
        <f t="shared" ref="N24" si="7">H24-M24</f>
        <v>4171.86</v>
      </c>
      <c r="O24" s="74">
        <f t="shared" ref="O24" si="8">ROUND(N24*J24%,2)</f>
        <v>83.44</v>
      </c>
      <c r="P24" s="74">
        <f t="shared" ref="P24" si="9">ROUND(N24-O24,2)</f>
        <v>4088.42</v>
      </c>
      <c r="Q24" s="74">
        <f t="shared" ref="Q24" si="10">ROUND(P24*K24%,2)</f>
        <v>102.21</v>
      </c>
      <c r="R24" s="74">
        <f t="shared" ref="R24" si="11">ROUND((M24+O24+Q24),2)</f>
        <v>227.79</v>
      </c>
      <c r="S24" s="74">
        <f t="shared" ref="S24" si="12">ROUND((H24-R24),2)</f>
        <v>3986.21</v>
      </c>
      <c r="T24" s="94" t="s">
        <v>375</v>
      </c>
      <c r="U24" s="84">
        <v>0.12</v>
      </c>
      <c r="V24" s="74">
        <f t="shared" ref="V24" si="13">IF($C$21=1,ROUND(((S24*U24)/2),2),0)</f>
        <v>239.17</v>
      </c>
      <c r="W24" s="74">
        <f t="shared" ref="W24" si="14">IF($C$21=1,ROUND(((S24*U24)/2),2),0)</f>
        <v>239.17</v>
      </c>
      <c r="X24" s="74">
        <f t="shared" ref="X24" si="15">IF($C$21=2,ROUND(((S24*U24)),2),0)</f>
        <v>0</v>
      </c>
      <c r="Y24" s="73">
        <f t="shared" ref="Y24" si="16">ROUND((S24*18%),2)</f>
        <v>717.52</v>
      </c>
      <c r="Z24" s="73">
        <f t="shared" ref="Z24" si="17">S24+Y24</f>
        <v>4703.73</v>
      </c>
      <c r="AA24" s="94">
        <v>350</v>
      </c>
      <c r="AB24" s="94">
        <f>IF($P$21=1,(S24/$S$25)*$E$36,AA24/$AA$25*$E$36)</f>
        <v>0</v>
      </c>
      <c r="AC24" s="94"/>
      <c r="AD24" s="94">
        <f>IF($P$21=1,(S24/$S$25)*$E$38,AA24/$AA$25*$E$38)</f>
        <v>0</v>
      </c>
      <c r="AE24" s="94">
        <f>IF($P$21=1,(S24/$S$25)*$E$39,AA24/$AA$25*$E$39)</f>
        <v>0</v>
      </c>
      <c r="AF24" s="94">
        <f t="shared" si="1"/>
        <v>3986.21</v>
      </c>
      <c r="AG24" s="94">
        <f t="shared" ref="AG24" si="18">IF($C$21=3,0,AD24+AE24)</f>
        <v>0</v>
      </c>
      <c r="AH24" s="94">
        <f t="shared" si="2"/>
        <v>0</v>
      </c>
      <c r="AI24" s="121">
        <v>2</v>
      </c>
      <c r="AJ24" s="94">
        <f t="shared" si="3"/>
        <v>14</v>
      </c>
      <c r="AK24" s="94">
        <f t="shared" ref="AK24" si="19">ROUND(AF24/AJ24,5)</f>
        <v>284.72929</v>
      </c>
      <c r="AL24" s="94">
        <f t="shared" ref="AL24" si="20">AG24/AJ24</f>
        <v>0</v>
      </c>
      <c r="AM24" s="94">
        <f t="shared" ref="AM24" si="21">AH24/AJ24</f>
        <v>0</v>
      </c>
      <c r="AN24" s="94" t="s">
        <v>58</v>
      </c>
      <c r="AO24" s="94">
        <f t="shared" ref="AO24" si="22">ROUND(AK24+AL24+AM24,5)</f>
        <v>284.72929</v>
      </c>
      <c r="AP24" s="62" t="s">
        <v>222</v>
      </c>
      <c r="AQ24" s="62" t="s">
        <v>58</v>
      </c>
      <c r="AR24" t="s">
        <v>457</v>
      </c>
      <c r="AS24" t="s">
        <v>458</v>
      </c>
      <c r="AT24" s="64">
        <f>AJ24</f>
        <v>14</v>
      </c>
      <c r="AU24" s="64">
        <f>AO24</f>
        <v>284.72929</v>
      </c>
      <c r="AV24" s="88">
        <f t="shared" ref="AV24" si="23">AR24+AT24</f>
        <v>90</v>
      </c>
      <c r="AW24" s="62">
        <f>ROUND(((AR24*AS24)+(AT24*AU24))/(AR24+AT24),5)</f>
        <v>229.65969</v>
      </c>
      <c r="AX24" s="119"/>
      <c r="AY24" s="119"/>
      <c r="AZ24" s="120" t="s">
        <v>38</v>
      </c>
      <c r="BA24" s="120" t="s">
        <v>459</v>
      </c>
      <c r="BB24" s="120" t="s">
        <v>453</v>
      </c>
      <c r="BC24" s="119"/>
      <c r="BD24" s="119"/>
      <c r="BE24" s="119"/>
      <c r="BF24" s="62"/>
      <c r="BG24" s="62"/>
      <c r="BH24" s="62"/>
      <c r="BI24" s="62" t="s">
        <v>230</v>
      </c>
      <c r="BJ24" t="s">
        <v>460</v>
      </c>
      <c r="BK24" t="s">
        <v>461</v>
      </c>
      <c r="BL24" s="62">
        <f>ROUND((((AT24*AW24)+(BK24*BJ24))/(AT24+BK24)),5)</f>
        <v>171.52964</v>
      </c>
      <c r="BM24" s="92">
        <f t="shared" ref="BM24" si="24">BK24+AT24</f>
        <v>138</v>
      </c>
    </row>
    <row r="25" ht="15.25" spans="1:64">
      <c r="A25" s="71"/>
      <c r="C25" s="103" t="s">
        <v>87</v>
      </c>
      <c r="D25" s="31"/>
      <c r="E25" s="31"/>
      <c r="F25" s="31"/>
      <c r="G25" s="32"/>
      <c r="H25" s="76">
        <f>SUM(H23:H24)</f>
        <v>10654.75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575.95</v>
      </c>
      <c r="S25" s="76">
        <f>SUM(S23:S24)</f>
        <v>10078.8</v>
      </c>
      <c r="T25" s="76"/>
      <c r="U25" s="76"/>
      <c r="V25" s="82">
        <f t="shared" ref="V25:AB25" si="25">SUM(V23:V24)</f>
        <v>391.48</v>
      </c>
      <c r="W25" s="82">
        <f t="shared" si="25"/>
        <v>391.48</v>
      </c>
      <c r="X25" s="82">
        <f t="shared" si="25"/>
        <v>0</v>
      </c>
      <c r="Y25" s="76">
        <f t="shared" si="25"/>
        <v>1814.19</v>
      </c>
      <c r="Z25" s="85">
        <f t="shared" si="25"/>
        <v>11892.99</v>
      </c>
      <c r="AA25" s="86">
        <f t="shared" si="25"/>
        <v>470</v>
      </c>
      <c r="AB25" s="86">
        <f t="shared" si="25"/>
        <v>0</v>
      </c>
      <c r="AC25" s="85"/>
      <c r="AD25" s="86">
        <f>SUM(AD23:AD24)</f>
        <v>0</v>
      </c>
      <c r="AE25" s="86">
        <f>IF($P$21=1,(S25/$S$25)*$E$39,AA25/$AA$25*$E$39)</f>
        <v>0</v>
      </c>
      <c r="AF25" s="86">
        <f>SUM(AF23:AF24)</f>
        <v>10078.8</v>
      </c>
      <c r="AG25" s="86">
        <f>SUM(AG23:AG24)</f>
        <v>0</v>
      </c>
      <c r="AH25" s="86">
        <f>SUM(AH23:AH24)</f>
        <v>0</v>
      </c>
      <c r="AI25" s="85"/>
      <c r="AJ25" s="85"/>
      <c r="AK25" s="85"/>
      <c r="AL25" s="85"/>
      <c r="AM25" s="85"/>
      <c r="AN25" s="85"/>
      <c r="AO25" s="85"/>
      <c r="AP25" s="71"/>
      <c r="AQ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</row>
    <row r="26" ht="15.25" spans="1:64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</row>
    <row r="27" ht="15.25" spans="1:64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10654.75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 t="s">
        <v>377</v>
      </c>
      <c r="BF27" s="158" t="s">
        <v>378</v>
      </c>
      <c r="BG27" s="71"/>
      <c r="BH27" s="71"/>
      <c r="BI27" s="71"/>
      <c r="BJ27" s="71"/>
      <c r="BK27" s="71"/>
      <c r="BL27" s="71"/>
    </row>
    <row r="28" ht="15.25" spans="1:64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575.95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 t="s">
        <v>379</v>
      </c>
      <c r="BF28" s="158" t="s">
        <v>380</v>
      </c>
      <c r="BG28" s="71"/>
      <c r="BH28" s="71"/>
      <c r="BI28" s="71"/>
      <c r="BJ28" s="71"/>
      <c r="BK28" s="71"/>
      <c r="BL28" s="71"/>
    </row>
    <row r="29" ht="15.25" spans="1:64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10078.8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</row>
    <row r="30" ht="15.25" spans="1:64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Y25</f>
        <v>1814.19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</row>
    <row r="31" ht="15.25" spans="1:64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11892.99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</row>
    <row r="32" spans="1:64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 t="s">
        <v>381</v>
      </c>
      <c r="BK32" s="71" t="s">
        <v>382</v>
      </c>
      <c r="BL32" s="71"/>
    </row>
    <row r="33" spans="1:64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 t="s">
        <v>383</v>
      </c>
      <c r="BI33" s="71">
        <v>12.5</v>
      </c>
      <c r="BJ33" s="71">
        <f>BI35*BI36</f>
        <v>0</v>
      </c>
      <c r="BK33" s="71">
        <f>BI33*BI34</f>
        <v>6092.59</v>
      </c>
      <c r="BL33" s="71"/>
    </row>
    <row r="34" spans="1:64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 t="s">
        <v>384</v>
      </c>
      <c r="BI34" s="71">
        <v>487.4072</v>
      </c>
      <c r="BJ34" s="71">
        <f>BI33+BI35</f>
        <v>12.5</v>
      </c>
      <c r="BK34" s="71"/>
      <c r="BL34" s="71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3" workbookViewId="0">
      <selection activeCell="F28" sqref="F28"/>
    </sheetView>
  </sheetViews>
  <sheetFormatPr defaultColWidth="9" defaultRowHeight="14.5"/>
  <cols>
    <col min="2" max="2" width="16.2818181818182" customWidth="1"/>
  </cols>
  <sheetData>
    <row r="1" ht="18.25" spans="1:64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</row>
    <row r="2" ht="18.25" spans="1:64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</row>
    <row r="3" ht="15.25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</row>
    <row r="4" spans="1:64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</row>
    <row r="5" spans="1:64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</row>
    <row r="6" spans="1:64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</row>
    <row r="7" spans="1:64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</row>
    <row r="8" spans="1:64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</row>
    <row r="9" spans="1:64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</row>
    <row r="10" spans="1:64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</row>
    <row r="11" spans="1:64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</row>
    <row r="12" spans="1:64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</row>
    <row r="13" spans="1:64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</row>
    <row r="14" spans="1:64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</row>
    <row r="15" spans="1:64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</row>
    <row r="16" spans="1:64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</row>
    <row r="17" spans="1:64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</row>
    <row r="18" ht="15.25" spans="1:64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</row>
    <row r="19" ht="15.25" spans="1:64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</row>
    <row r="20" spans="1:64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</row>
    <row r="21" ht="15.25" spans="1:64">
      <c r="A21" s="21" t="s">
        <v>89</v>
      </c>
      <c r="B21" s="21"/>
      <c r="C21" s="22">
        <v>1</v>
      </c>
      <c r="D21" s="23" t="s">
        <v>90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</row>
    <row r="22" ht="43.5" spans="1:65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115" t="s">
        <v>113</v>
      </c>
      <c r="Z22" s="117" t="s">
        <v>114</v>
      </c>
      <c r="AA22" s="117" t="s">
        <v>115</v>
      </c>
      <c r="AB22" s="117" t="s">
        <v>116</v>
      </c>
      <c r="AC22" s="117" t="s">
        <v>117</v>
      </c>
      <c r="AD22" s="117" t="s">
        <v>118</v>
      </c>
      <c r="AE22" s="117" t="s">
        <v>119</v>
      </c>
      <c r="AF22" s="117" t="s">
        <v>120</v>
      </c>
      <c r="AG22" s="117" t="s">
        <v>121</v>
      </c>
      <c r="AH22" s="117" t="s">
        <v>122</v>
      </c>
      <c r="AI22" s="117" t="s">
        <v>123</v>
      </c>
      <c r="AJ22" s="117" t="s">
        <v>124</v>
      </c>
      <c r="AK22" s="117" t="s">
        <v>125</v>
      </c>
      <c r="AL22" s="117" t="s">
        <v>126</v>
      </c>
      <c r="AM22" s="117" t="s">
        <v>127</v>
      </c>
      <c r="AN22" s="117" t="s">
        <v>128</v>
      </c>
      <c r="AO22" s="118" t="s">
        <v>160</v>
      </c>
      <c r="AP22" s="3" t="s">
        <v>215</v>
      </c>
      <c r="AQ22" s="3" t="s">
        <v>128</v>
      </c>
      <c r="AR22" s="87" t="s">
        <v>131</v>
      </c>
      <c r="AS22" s="87" t="s">
        <v>132</v>
      </c>
      <c r="AT22" s="87" t="s">
        <v>133</v>
      </c>
      <c r="AU22" s="87" t="s">
        <v>134</v>
      </c>
      <c r="AV22" s="87" t="s">
        <v>135</v>
      </c>
      <c r="AW22" s="87" t="s">
        <v>136</v>
      </c>
      <c r="AX22" s="87" t="s">
        <v>137</v>
      </c>
      <c r="AY22" s="87" t="s">
        <v>138</v>
      </c>
      <c r="AZ22" s="89" t="s">
        <v>139</v>
      </c>
      <c r="BA22" s="89" t="s">
        <v>8</v>
      </c>
      <c r="BB22" s="89" t="s">
        <v>9</v>
      </c>
      <c r="BC22" s="87" t="s">
        <v>216</v>
      </c>
      <c r="BD22" s="87" t="s">
        <v>140</v>
      </c>
      <c r="BE22" s="87" t="s">
        <v>141</v>
      </c>
      <c r="BF22" s="87" t="s">
        <v>142</v>
      </c>
      <c r="BG22" s="87" t="s">
        <v>143</v>
      </c>
      <c r="BH22" s="87" t="s">
        <v>144</v>
      </c>
      <c r="BI22" s="87" t="s">
        <v>217</v>
      </c>
      <c r="BJ22" s="49" t="s">
        <v>218</v>
      </c>
      <c r="BK22" s="87" t="s">
        <v>219</v>
      </c>
      <c r="BL22" s="87" t="s">
        <v>136</v>
      </c>
      <c r="BM22" s="95" t="s">
        <v>220</v>
      </c>
    </row>
    <row r="23" ht="15.25" spans="1:65">
      <c r="A23" s="73">
        <v>1</v>
      </c>
      <c r="B23" s="73" t="s">
        <v>462</v>
      </c>
      <c r="C23" s="73" t="s">
        <v>162</v>
      </c>
      <c r="D23" s="73" t="s">
        <v>58</v>
      </c>
      <c r="E23" s="73" t="s">
        <v>163</v>
      </c>
      <c r="F23" s="74">
        <v>25</v>
      </c>
      <c r="G23" s="74">
        <v>257.63</v>
      </c>
      <c r="H23" s="74">
        <f>F23*G23</f>
        <v>6440.75</v>
      </c>
      <c r="I23" s="74">
        <v>1</v>
      </c>
      <c r="J23" s="74">
        <v>2</v>
      </c>
      <c r="K23" s="74">
        <v>2.5</v>
      </c>
      <c r="L23" s="74">
        <f>H23</f>
        <v>6440.75</v>
      </c>
      <c r="M23" s="74">
        <f>ROUND(L23*I23%,2)</f>
        <v>64.41</v>
      </c>
      <c r="N23" s="74">
        <f>H23-M23</f>
        <v>6376.34</v>
      </c>
      <c r="O23" s="74">
        <f>ROUND(N23*J23%,2)</f>
        <v>127.53</v>
      </c>
      <c r="P23" s="74">
        <f>ROUND(N23-O23,2)</f>
        <v>6248.81</v>
      </c>
      <c r="Q23" s="74">
        <f>ROUND(P23*K23%,2)</f>
        <v>156.22</v>
      </c>
      <c r="R23" s="74">
        <f>ROUND((M23+O23+Q23),2)</f>
        <v>348.16</v>
      </c>
      <c r="S23" s="74">
        <f>ROUND((H23-R23),2)</f>
        <v>6092.59</v>
      </c>
      <c r="T23" s="94" t="s">
        <v>146</v>
      </c>
      <c r="U23" s="84">
        <v>0.18</v>
      </c>
      <c r="V23" s="74">
        <f>IF($C$21=1,ROUND(((S23*U23)/2),2),0)</f>
        <v>548.33</v>
      </c>
      <c r="W23" s="74">
        <f>IF($C$21=1,ROUND(((S23*U23)/2),2),0)</f>
        <v>548.33</v>
      </c>
      <c r="X23" s="74">
        <f>IF($C$21=2,ROUND(((S23*U23)),2),0)</f>
        <v>0</v>
      </c>
      <c r="Y23" s="73">
        <f>ROUND((S23*18%),2)</f>
        <v>1096.67</v>
      </c>
      <c r="Z23" s="73">
        <f>S23+Y23</f>
        <v>7189.26</v>
      </c>
      <c r="AA23" s="94">
        <v>120</v>
      </c>
      <c r="AB23" s="94">
        <f>IF($P$21=1,(S23/$S$25)*$E$36,AA23/$AA$25*$E$36)</f>
        <v>0</v>
      </c>
      <c r="AC23" s="94"/>
      <c r="AD23" s="94">
        <f>IF($P$21=1,(S23/$S$25)*$E$38,AA23/$AA$25*$E$38)</f>
        <v>0</v>
      </c>
      <c r="AE23" s="94">
        <f>IF($P$21=1,(S23/$S$25)*$E$39,AA23/$AA$25*$E$39)</f>
        <v>0</v>
      </c>
      <c r="AF23" s="94">
        <f t="shared" ref="AF23:AF24" si="1">S23*$M$21</f>
        <v>6092.59</v>
      </c>
      <c r="AG23" s="94">
        <f>IF($C$21=3,0,AD23+AE23)</f>
        <v>0</v>
      </c>
      <c r="AH23" s="94">
        <f t="shared" ref="AH23:AH24" si="2">IF($C$21=3,AB23+AD23+AE23,0)</f>
        <v>0</v>
      </c>
      <c r="AI23" s="121">
        <v>2</v>
      </c>
      <c r="AJ23" s="94">
        <f t="shared" ref="AJ23:AJ24" si="3">F23/AI23</f>
        <v>12.5</v>
      </c>
      <c r="AK23" s="94">
        <f>ROUND(AF23/AJ23,5)</f>
        <v>487.4072</v>
      </c>
      <c r="AL23" s="94">
        <f>AG23/AJ23</f>
        <v>0</v>
      </c>
      <c r="AM23" s="94">
        <f>AH23/AJ23</f>
        <v>0</v>
      </c>
      <c r="AN23" s="94" t="s">
        <v>58</v>
      </c>
      <c r="AO23" s="94">
        <f>ROUND(AK23+AL23+AM23,5)</f>
        <v>487.4072</v>
      </c>
      <c r="AP23" s="62" t="s">
        <v>222</v>
      </c>
      <c r="AQ23" s="62" t="s">
        <v>58</v>
      </c>
      <c r="AR23" t="s">
        <v>240</v>
      </c>
      <c r="AS23" t="s">
        <v>427</v>
      </c>
      <c r="AT23" s="88">
        <f>AJ23</f>
        <v>12.5</v>
      </c>
      <c r="AU23" s="64">
        <f>AO23</f>
        <v>487.4072</v>
      </c>
      <c r="AV23" s="88">
        <f>AR23+AT23</f>
        <v>12.5</v>
      </c>
      <c r="AW23" s="62">
        <f>ROUND(((AR23*AS23)+(AT23*AU23))/(AR23+AT23),5)</f>
        <v>487.4072</v>
      </c>
      <c r="AX23" s="119"/>
      <c r="AY23" s="119" t="s">
        <v>149</v>
      </c>
      <c r="AZ23" s="120" t="s">
        <v>38</v>
      </c>
      <c r="BA23" s="120" t="s">
        <v>452</v>
      </c>
      <c r="BB23" s="120" t="s">
        <v>453</v>
      </c>
      <c r="BC23" s="119"/>
      <c r="BD23" s="119"/>
      <c r="BE23" s="119"/>
      <c r="BF23" s="62"/>
      <c r="BG23" s="62"/>
      <c r="BH23" s="62"/>
      <c r="BI23" s="62" t="s">
        <v>351</v>
      </c>
      <c r="BJ23" t="s">
        <v>427</v>
      </c>
      <c r="BK23" t="s">
        <v>311</v>
      </c>
      <c r="BL23" s="62">
        <f>ROUND((((AT23*AW23)+(BK23*BJ23))/(AT23+BK23)),5)</f>
        <v>487.4072</v>
      </c>
      <c r="BM23" s="92">
        <f>BK23+AT23</f>
        <v>112.5</v>
      </c>
    </row>
    <row r="24" ht="15.25" spans="1:65">
      <c r="A24" s="73">
        <v>2</v>
      </c>
      <c r="B24" s="73" t="s">
        <v>463</v>
      </c>
      <c r="C24" s="73" t="s">
        <v>175</v>
      </c>
      <c r="D24" s="73" t="s">
        <v>58</v>
      </c>
      <c r="E24" s="73" t="s">
        <v>163</v>
      </c>
      <c r="F24" s="74">
        <v>28</v>
      </c>
      <c r="G24" s="74">
        <v>150.5</v>
      </c>
      <c r="H24" s="74">
        <f t="shared" ref="H24" si="4">F24*G24</f>
        <v>4214</v>
      </c>
      <c r="I24" s="74">
        <v>1</v>
      </c>
      <c r="J24" s="74">
        <v>2</v>
      </c>
      <c r="K24" s="74">
        <v>2.5</v>
      </c>
      <c r="L24" s="74">
        <f t="shared" ref="L24" si="5">H24</f>
        <v>4214</v>
      </c>
      <c r="M24" s="74">
        <f t="shared" ref="M24" si="6">ROUND(L24*I24%,2)</f>
        <v>42.14</v>
      </c>
      <c r="N24" s="74">
        <f t="shared" ref="N24" si="7">H24-M24</f>
        <v>4171.86</v>
      </c>
      <c r="O24" s="74">
        <f t="shared" ref="O24" si="8">ROUND(N24*J24%,2)</f>
        <v>83.44</v>
      </c>
      <c r="P24" s="74">
        <f t="shared" ref="P24" si="9">ROUND(N24-O24,2)</f>
        <v>4088.42</v>
      </c>
      <c r="Q24" s="74">
        <f t="shared" ref="Q24" si="10">ROUND(P24*K24%,2)</f>
        <v>102.21</v>
      </c>
      <c r="R24" s="74">
        <f t="shared" ref="R24" si="11">ROUND((M24+O24+Q24),2)</f>
        <v>227.79</v>
      </c>
      <c r="S24" s="74">
        <f t="shared" ref="S24" si="12">ROUND((H24-R24),2)</f>
        <v>3986.21</v>
      </c>
      <c r="T24" s="94" t="s">
        <v>375</v>
      </c>
      <c r="U24" s="84">
        <v>0.18</v>
      </c>
      <c r="V24" s="74">
        <f t="shared" ref="V24" si="13">IF($C$21=1,ROUND(((S24*U24)/2),2),0)</f>
        <v>358.76</v>
      </c>
      <c r="W24" s="74">
        <f t="shared" ref="W24" si="14">IF($C$21=1,ROUND(((S24*U24)/2),2),0)</f>
        <v>358.76</v>
      </c>
      <c r="X24" s="74">
        <f t="shared" ref="X24" si="15">IF($C$21=2,ROUND(((S24*U24)),2),0)</f>
        <v>0</v>
      </c>
      <c r="Y24" s="73">
        <f t="shared" ref="Y24" si="16">ROUND((S24*18%),2)</f>
        <v>717.52</v>
      </c>
      <c r="Z24" s="73">
        <f t="shared" ref="Z24" si="17">S24+Y24</f>
        <v>4703.73</v>
      </c>
      <c r="AA24" s="94">
        <v>350</v>
      </c>
      <c r="AB24" s="94">
        <f>IF($P$21=1,(S24/$S$25)*$E$36,AA24/$AA$25*$E$36)</f>
        <v>0</v>
      </c>
      <c r="AC24" s="94"/>
      <c r="AD24" s="94">
        <f>IF($P$21=1,(S24/$S$25)*$E$38,AA24/$AA$25*$E$38)</f>
        <v>0</v>
      </c>
      <c r="AE24" s="94">
        <f>IF($P$21=1,(S24/$S$25)*$E$39,AA24/$AA$25*$E$39)</f>
        <v>0</v>
      </c>
      <c r="AF24" s="94">
        <f t="shared" si="1"/>
        <v>3986.21</v>
      </c>
      <c r="AG24" s="94">
        <f t="shared" ref="AG24" si="18">IF($C$21=3,0,AD24+AE24)</f>
        <v>0</v>
      </c>
      <c r="AH24" s="94">
        <f t="shared" si="2"/>
        <v>0</v>
      </c>
      <c r="AI24" s="121">
        <v>2.5</v>
      </c>
      <c r="AJ24" s="94">
        <f t="shared" si="3"/>
        <v>11.2</v>
      </c>
      <c r="AK24" s="94">
        <f t="shared" ref="AK24" si="19">ROUND(AF24/AJ24,5)</f>
        <v>355.91161</v>
      </c>
      <c r="AL24" s="94">
        <f t="shared" ref="AL24" si="20">AG24/AJ24</f>
        <v>0</v>
      </c>
      <c r="AM24" s="94">
        <f t="shared" ref="AM24" si="21">AH24/AJ24</f>
        <v>0</v>
      </c>
      <c r="AN24" s="94" t="s">
        <v>58</v>
      </c>
      <c r="AO24" s="94">
        <f t="shared" ref="AO24" si="22">ROUND(AK24+AL24+AM24,5)</f>
        <v>355.91161</v>
      </c>
      <c r="AP24" s="62" t="s">
        <v>222</v>
      </c>
      <c r="AQ24" s="62" t="s">
        <v>58</v>
      </c>
      <c r="AR24" t="s">
        <v>240</v>
      </c>
      <c r="AS24" t="s">
        <v>464</v>
      </c>
      <c r="AT24" s="88">
        <f t="shared" ref="AT24" si="23">AJ24</f>
        <v>11.2</v>
      </c>
      <c r="AU24" s="64">
        <f>AO24</f>
        <v>355.91161</v>
      </c>
      <c r="AV24" s="88">
        <f t="shared" ref="AV24" si="24">AR24+AT24</f>
        <v>11.2</v>
      </c>
      <c r="AW24" s="62">
        <f>ROUND(((AR24*AS24)+(AT24*AU24))/(AR24+AT24),5)</f>
        <v>355.91161</v>
      </c>
      <c r="AX24" s="119"/>
      <c r="AY24" s="119"/>
      <c r="AZ24" s="120" t="s">
        <v>38</v>
      </c>
      <c r="BA24" s="120" t="s">
        <v>459</v>
      </c>
      <c r="BB24" s="120" t="s">
        <v>453</v>
      </c>
      <c r="BC24" s="119"/>
      <c r="BD24" s="119"/>
      <c r="BE24" s="119"/>
      <c r="BF24" s="62"/>
      <c r="BG24" s="62"/>
      <c r="BH24" s="62"/>
      <c r="BI24" s="62" t="s">
        <v>351</v>
      </c>
      <c r="BJ24" t="s">
        <v>464</v>
      </c>
      <c r="BK24" t="s">
        <v>465</v>
      </c>
      <c r="BL24" s="62">
        <f t="shared" ref="BL24" si="25">ROUND((((AT24*AW24)+(BK24*BJ24))/(AT24+BK24)),5)</f>
        <v>355.91161</v>
      </c>
      <c r="BM24" s="92">
        <f t="shared" ref="BM24" si="26">BK24+AT24</f>
        <v>100.8</v>
      </c>
    </row>
    <row r="25" ht="15.25" spans="1:64">
      <c r="A25" s="71"/>
      <c r="C25" s="103" t="s">
        <v>87</v>
      </c>
      <c r="D25" s="31"/>
      <c r="E25" s="31"/>
      <c r="F25" s="31"/>
      <c r="G25" s="32"/>
      <c r="H25" s="76">
        <f>SUM(H23:H24)</f>
        <v>10654.75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575.95</v>
      </c>
      <c r="S25" s="76">
        <f>SUM(S23:S24)</f>
        <v>10078.8</v>
      </c>
      <c r="T25" s="76"/>
      <c r="U25" s="76"/>
      <c r="V25" s="82">
        <f t="shared" ref="V25:AB25" si="27">SUM(V23:V24)</f>
        <v>907.09</v>
      </c>
      <c r="W25" s="82">
        <f t="shared" si="27"/>
        <v>907.09</v>
      </c>
      <c r="X25" s="82">
        <f t="shared" si="27"/>
        <v>0</v>
      </c>
      <c r="Y25" s="76">
        <f t="shared" si="27"/>
        <v>1814.19</v>
      </c>
      <c r="Z25" s="85">
        <f t="shared" si="27"/>
        <v>11892.99</v>
      </c>
      <c r="AA25" s="86">
        <f t="shared" si="27"/>
        <v>470</v>
      </c>
      <c r="AB25" s="86">
        <f t="shared" si="27"/>
        <v>0</v>
      </c>
      <c r="AC25" s="85"/>
      <c r="AD25" s="86">
        <f>SUM(AD23:AD24)</f>
        <v>0</v>
      </c>
      <c r="AE25" s="86">
        <f>IF($P$21=1,(S25/$S$25)*$E$39,AA25/$AA$25*$E$39)</f>
        <v>0</v>
      </c>
      <c r="AF25" s="86">
        <f>SUM(AF23:AF24)</f>
        <v>10078.8</v>
      </c>
      <c r="AG25" s="86">
        <f>SUM(AG23:AG24)</f>
        <v>0</v>
      </c>
      <c r="AH25" s="86">
        <f>SUM(AH23:AH24)</f>
        <v>0</v>
      </c>
      <c r="AI25" s="85"/>
      <c r="AJ25" s="85"/>
      <c r="AK25" s="85"/>
      <c r="AL25" s="85"/>
      <c r="AM25" s="85"/>
      <c r="AN25" s="85"/>
      <c r="AO25" s="85"/>
      <c r="AP25" s="71"/>
      <c r="AQ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</row>
    <row r="26" ht="15.25" spans="1:64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</row>
    <row r="27" ht="15.25" spans="1:64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10654.75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 t="s">
        <v>377</v>
      </c>
      <c r="BF27" s="158" t="s">
        <v>378</v>
      </c>
      <c r="BG27" s="71"/>
      <c r="BH27" s="71"/>
      <c r="BI27" s="71"/>
      <c r="BJ27" s="71"/>
      <c r="BK27" s="71"/>
      <c r="BL27" s="71"/>
    </row>
    <row r="28" ht="15.25" spans="1:64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575.95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 t="s">
        <v>379</v>
      </c>
      <c r="BF28" s="158" t="s">
        <v>380</v>
      </c>
      <c r="BG28" s="71"/>
      <c r="BH28" s="71"/>
      <c r="BI28" s="71"/>
      <c r="BJ28" s="71"/>
      <c r="BK28" s="71"/>
      <c r="BL28" s="71"/>
    </row>
    <row r="29" ht="15.25" spans="1:64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10078.8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</row>
    <row r="30" ht="15.25" spans="1:64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Y25</f>
        <v>1814.19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</row>
    <row r="31" ht="15.25" spans="1:64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11892.99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</row>
    <row r="32" spans="1:64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 t="s">
        <v>381</v>
      </c>
      <c r="BK32" s="71" t="s">
        <v>382</v>
      </c>
      <c r="BL32" s="71"/>
    </row>
    <row r="33" spans="1:64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 t="s">
        <v>383</v>
      </c>
      <c r="BI33" s="71">
        <v>12.5</v>
      </c>
      <c r="BJ33" s="71">
        <f>BI35*BI36</f>
        <v>0</v>
      </c>
      <c r="BK33" s="71">
        <f>BI33*BI34</f>
        <v>6092.59</v>
      </c>
      <c r="BL33" s="71"/>
    </row>
    <row r="34" spans="1:64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 t="s">
        <v>384</v>
      </c>
      <c r="BI34" s="71">
        <v>487.4072</v>
      </c>
      <c r="BJ34" s="71">
        <f>BI33+BI35</f>
        <v>12.5</v>
      </c>
      <c r="BK34" s="71"/>
      <c r="BL34" s="71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A13" workbookViewId="0">
      <selection activeCell="AW23" sqref="AW23"/>
    </sheetView>
  </sheetViews>
  <sheetFormatPr defaultColWidth="9" defaultRowHeight="14.5"/>
  <cols>
    <col min="2" max="2" width="16.2818181818182" customWidth="1"/>
    <col min="35" max="35" width="13.5727272727273" customWidth="1"/>
    <col min="36" max="36" width="15.5727272727273" customWidth="1"/>
    <col min="44" max="44" width="15.2818181818182" customWidth="1"/>
    <col min="45" max="45" width="20.2818181818182" customWidth="1"/>
    <col min="46" max="46" width="11.4272727272727" customWidth="1"/>
    <col min="47" max="47" width="16.2818181818182" customWidth="1"/>
    <col min="48" max="48" width="13.8545454545455" customWidth="1"/>
    <col min="49" max="49" width="18.8545454545455" customWidth="1"/>
    <col min="51" max="51" width="21.7090909090909" customWidth="1"/>
    <col min="65" max="65" width="34.4272727272727" customWidth="1"/>
  </cols>
  <sheetData>
    <row r="1" ht="18.25" spans="1:64">
      <c r="A1" s="101" t="s">
        <v>154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71"/>
      <c r="AP1" s="71"/>
      <c r="AQ1" s="71"/>
      <c r="AR1" s="71"/>
      <c r="AS1" s="71"/>
      <c r="AT1" s="71"/>
      <c r="AU1" s="71"/>
      <c r="AV1" s="71"/>
      <c r="AW1" s="71"/>
      <c r="AX1" s="71"/>
      <c r="AY1" s="71"/>
      <c r="AZ1" s="71"/>
      <c r="BA1" s="71"/>
      <c r="BB1" s="71"/>
      <c r="BC1" s="71"/>
      <c r="BD1" s="71"/>
      <c r="BE1" s="71"/>
      <c r="BF1" s="71"/>
      <c r="BG1" s="71"/>
      <c r="BH1" s="71"/>
      <c r="BI1" s="71"/>
      <c r="BJ1" s="71"/>
      <c r="BK1" s="71"/>
      <c r="BL1" s="71"/>
    </row>
    <row r="2" ht="18.25" spans="1:64">
      <c r="A2" s="60" t="s">
        <v>47</v>
      </c>
      <c r="B2" s="60"/>
      <c r="C2" s="60"/>
      <c r="D2" s="60"/>
      <c r="E2" s="60"/>
      <c r="F2" s="60"/>
      <c r="G2" s="60"/>
      <c r="H2" s="60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</row>
    <row r="3" ht="15.25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</row>
    <row r="4" spans="1:64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</row>
    <row r="5" spans="1:64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</row>
    <row r="6" spans="1:64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</row>
    <row r="7" spans="1:64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</row>
    <row r="8" spans="1:64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</row>
    <row r="9" spans="1:64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</row>
    <row r="10" spans="1:64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</row>
    <row r="11" spans="1:64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</row>
    <row r="12" spans="1:64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</row>
    <row r="13" spans="1:64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</row>
    <row r="14" spans="1:64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</row>
    <row r="15" spans="1:64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</row>
    <row r="16" spans="1:64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</row>
    <row r="17" spans="1:64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</row>
    <row r="18" ht="15.25" spans="1:64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</row>
    <row r="19" ht="15.25" spans="1:64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</row>
    <row r="20" spans="1:64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</row>
    <row r="21" ht="15.25" spans="1:64">
      <c r="A21" s="21" t="s">
        <v>89</v>
      </c>
      <c r="B21" s="21"/>
      <c r="C21" s="22">
        <v>1</v>
      </c>
      <c r="D21" s="23" t="s">
        <v>90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2</v>
      </c>
      <c r="Q21" s="80" t="s">
        <v>95</v>
      </c>
      <c r="R21" s="72"/>
      <c r="S21" s="72"/>
      <c r="T21" s="72"/>
      <c r="U21" s="72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</row>
    <row r="22" ht="43.5" spans="1:65">
      <c r="A22" s="102" t="s">
        <v>155</v>
      </c>
      <c r="B22" s="102" t="s">
        <v>49</v>
      </c>
      <c r="C22" s="102" t="s">
        <v>156</v>
      </c>
      <c r="D22" s="102" t="s">
        <v>51</v>
      </c>
      <c r="E22" s="102" t="s">
        <v>52</v>
      </c>
      <c r="F22" s="102" t="s">
        <v>53</v>
      </c>
      <c r="G22" s="102" t="s">
        <v>54</v>
      </c>
      <c r="H22" s="102" t="s">
        <v>55</v>
      </c>
      <c r="I22" s="106" t="s">
        <v>97</v>
      </c>
      <c r="J22" s="106" t="s">
        <v>99</v>
      </c>
      <c r="K22" s="106" t="s">
        <v>98</v>
      </c>
      <c r="L22" s="107" t="s">
        <v>100</v>
      </c>
      <c r="M22" s="107" t="s">
        <v>101</v>
      </c>
      <c r="N22" s="107" t="s">
        <v>104</v>
      </c>
      <c r="O22" s="107" t="s">
        <v>105</v>
      </c>
      <c r="P22" s="107" t="s">
        <v>157</v>
      </c>
      <c r="Q22" s="107" t="s">
        <v>103</v>
      </c>
      <c r="R22" s="106" t="s">
        <v>106</v>
      </c>
      <c r="S22" s="102" t="s">
        <v>158</v>
      </c>
      <c r="T22" s="102" t="s">
        <v>108</v>
      </c>
      <c r="U22" s="115" t="s">
        <v>159</v>
      </c>
      <c r="V22" s="115" t="s">
        <v>110</v>
      </c>
      <c r="W22" s="115" t="s">
        <v>111</v>
      </c>
      <c r="X22" s="115" t="s">
        <v>112</v>
      </c>
      <c r="Y22" s="115" t="s">
        <v>113</v>
      </c>
      <c r="Z22" s="117" t="s">
        <v>114</v>
      </c>
      <c r="AA22" s="117" t="s">
        <v>115</v>
      </c>
      <c r="AB22" s="117" t="s">
        <v>116</v>
      </c>
      <c r="AC22" s="117" t="s">
        <v>117</v>
      </c>
      <c r="AD22" s="117" t="s">
        <v>118</v>
      </c>
      <c r="AE22" s="117" t="s">
        <v>119</v>
      </c>
      <c r="AF22" s="117" t="s">
        <v>120</v>
      </c>
      <c r="AG22" s="117" t="s">
        <v>121</v>
      </c>
      <c r="AH22" s="117" t="s">
        <v>122</v>
      </c>
      <c r="AI22" s="117" t="s">
        <v>123</v>
      </c>
      <c r="AJ22" s="117" t="s">
        <v>124</v>
      </c>
      <c r="AK22" s="117" t="s">
        <v>125</v>
      </c>
      <c r="AL22" s="117" t="s">
        <v>126</v>
      </c>
      <c r="AM22" s="117" t="s">
        <v>127</v>
      </c>
      <c r="AN22" s="117" t="s">
        <v>128</v>
      </c>
      <c r="AO22" s="118" t="s">
        <v>160</v>
      </c>
      <c r="AP22" s="3" t="s">
        <v>215</v>
      </c>
      <c r="AQ22" s="3" t="s">
        <v>128</v>
      </c>
      <c r="AR22" s="87" t="s">
        <v>131</v>
      </c>
      <c r="AS22" s="87" t="s">
        <v>132</v>
      </c>
      <c r="AT22" s="87" t="s">
        <v>133</v>
      </c>
      <c r="AU22" s="87" t="s">
        <v>134</v>
      </c>
      <c r="AV22" s="87" t="s">
        <v>135</v>
      </c>
      <c r="AW22" s="87" t="s">
        <v>136</v>
      </c>
      <c r="AX22" s="87" t="s">
        <v>137</v>
      </c>
      <c r="AY22" s="87" t="s">
        <v>138</v>
      </c>
      <c r="AZ22" s="89" t="s">
        <v>139</v>
      </c>
      <c r="BA22" s="89" t="s">
        <v>8</v>
      </c>
      <c r="BB22" s="89" t="s">
        <v>9</v>
      </c>
      <c r="BC22" s="87" t="s">
        <v>216</v>
      </c>
      <c r="BD22" s="87" t="s">
        <v>140</v>
      </c>
      <c r="BE22" s="87" t="s">
        <v>141</v>
      </c>
      <c r="BF22" s="87" t="s">
        <v>142</v>
      </c>
      <c r="BG22" s="87" t="s">
        <v>143</v>
      </c>
      <c r="BH22" s="87" t="s">
        <v>144</v>
      </c>
      <c r="BI22" s="87" t="s">
        <v>217</v>
      </c>
      <c r="BJ22" s="49" t="s">
        <v>218</v>
      </c>
      <c r="BK22" s="87" t="s">
        <v>219</v>
      </c>
      <c r="BL22" s="87" t="s">
        <v>136</v>
      </c>
      <c r="BM22" s="95" t="s">
        <v>220</v>
      </c>
    </row>
    <row r="23" ht="15.25" spans="1:65">
      <c r="A23" s="73">
        <v>1</v>
      </c>
      <c r="B23" s="73" t="s">
        <v>466</v>
      </c>
      <c r="C23" s="73" t="s">
        <v>162</v>
      </c>
      <c r="D23" s="73" t="s">
        <v>58</v>
      </c>
      <c r="E23" s="73" t="s">
        <v>163</v>
      </c>
      <c r="F23" s="74">
        <v>25</v>
      </c>
      <c r="G23" t="s">
        <v>467</v>
      </c>
      <c r="H23" s="74">
        <f>F23*G23</f>
        <v>1967.5</v>
      </c>
      <c r="I23" t="s">
        <v>223</v>
      </c>
      <c r="J23" s="74">
        <v>2</v>
      </c>
      <c r="K23" s="74">
        <v>2.5</v>
      </c>
      <c r="L23" s="74">
        <f>H23</f>
        <v>1967.5</v>
      </c>
      <c r="M23" s="74">
        <f>ROUND(L23*I23%,2)</f>
        <v>39.35</v>
      </c>
      <c r="N23" s="74">
        <f>H23-M23</f>
        <v>1928.15</v>
      </c>
      <c r="O23" s="74">
        <f>ROUND(N23*J23%,2)</f>
        <v>38.56</v>
      </c>
      <c r="P23" s="74">
        <f>ROUND(N23-O23,2)</f>
        <v>1889.59</v>
      </c>
      <c r="Q23" s="74">
        <f>ROUND(P23*K23%,2)</f>
        <v>47.24</v>
      </c>
      <c r="R23" s="74">
        <f>ROUND((M23+O23+Q23),2)</f>
        <v>125.15</v>
      </c>
      <c r="S23" s="74">
        <f>ROUND((H23-R23),2)</f>
        <v>1842.35</v>
      </c>
      <c r="T23" s="94" t="s">
        <v>146</v>
      </c>
      <c r="U23" s="84">
        <v>0.18</v>
      </c>
      <c r="V23" s="74">
        <f>IF($C$21=1,ROUND(((S23*U23)/2),2),0)</f>
        <v>165.81</v>
      </c>
      <c r="W23" s="74">
        <f>IF($C$21=1,ROUND(((S23*U23)/2),2),0)</f>
        <v>165.81</v>
      </c>
      <c r="X23" s="74">
        <f>IF($C$21=2,ROUND(((S23*U23)),2),0)</f>
        <v>0</v>
      </c>
      <c r="Y23" s="73">
        <f>ROUND((S23*18%),2)</f>
        <v>331.62</v>
      </c>
      <c r="Z23" s="73">
        <f>S23+Y23</f>
        <v>2173.97</v>
      </c>
      <c r="AA23" s="94">
        <v>120</v>
      </c>
      <c r="AB23" s="94">
        <f>IF($P$21=1,(S23/$S$25)*$E$36,AA23/$AA$25*$E$36)</f>
        <v>0</v>
      </c>
      <c r="AC23" s="94"/>
      <c r="AD23" s="94">
        <f>IF($P$21=1,(S23/$S$25)*$E$38,AA23/$AA$25*$E$38)</f>
        <v>0</v>
      </c>
      <c r="AE23" s="94">
        <f>IF($P$21=1,(S23/$S$25)*$E$39,AA23/$AA$25*$E$39)</f>
        <v>0</v>
      </c>
      <c r="AF23" s="94">
        <f t="shared" ref="AF23:AF24" si="1">S23*$M$21</f>
        <v>1842.35</v>
      </c>
      <c r="AG23" s="94">
        <f>IF($C$21=3,0,AD23+AE23)</f>
        <v>0</v>
      </c>
      <c r="AH23" s="94">
        <f t="shared" ref="AH23:AH24" si="2">IF($C$21=3,AB23+AD23+AE23,0)</f>
        <v>0</v>
      </c>
      <c r="AI23" s="74">
        <v>2</v>
      </c>
      <c r="AJ23" s="94">
        <f t="shared" ref="AJ23:AJ24" si="3">F23/AI23</f>
        <v>12.5</v>
      </c>
      <c r="AK23" s="94">
        <f>ROUND(AF23/AJ23,5)</f>
        <v>147.388</v>
      </c>
      <c r="AL23" s="94">
        <f>AG23/AJ23</f>
        <v>0</v>
      </c>
      <c r="AM23" s="94">
        <f>AH23/AJ23</f>
        <v>0</v>
      </c>
      <c r="AN23" s="94" t="s">
        <v>58</v>
      </c>
      <c r="AO23" s="94">
        <f>ROUND(AK23+AL23+AM23,5)</f>
        <v>147.388</v>
      </c>
      <c r="AP23" s="62" t="s">
        <v>222</v>
      </c>
      <c r="AQ23" s="62" t="s">
        <v>58</v>
      </c>
      <c r="AR23" t="s">
        <v>468</v>
      </c>
      <c r="AS23" t="s">
        <v>469</v>
      </c>
      <c r="AT23" s="64">
        <f>AJ23</f>
        <v>12.5</v>
      </c>
      <c r="AU23" s="64">
        <f>AO23</f>
        <v>147.388</v>
      </c>
      <c r="AV23" s="88">
        <f>AR23+AT23</f>
        <v>25</v>
      </c>
      <c r="AW23" s="62">
        <f>ROUND(((AR23*AS23)+(AT23*AU23))/(AR23+AT23),5)</f>
        <v>147.388</v>
      </c>
      <c r="AX23" s="119"/>
      <c r="AY23" s="119" t="s">
        <v>149</v>
      </c>
      <c r="AZ23" s="120" t="s">
        <v>38</v>
      </c>
      <c r="BA23" s="120" t="s">
        <v>452</v>
      </c>
      <c r="BB23" s="120" t="s">
        <v>453</v>
      </c>
      <c r="BC23" s="119"/>
      <c r="BD23" s="119"/>
      <c r="BE23" s="119"/>
      <c r="BF23" s="62"/>
      <c r="BG23" s="62"/>
      <c r="BH23" s="62"/>
      <c r="BI23" s="62" t="s">
        <v>230</v>
      </c>
      <c r="BJ23" t="s">
        <v>240</v>
      </c>
      <c r="BK23" t="s">
        <v>240</v>
      </c>
      <c r="BL23" s="62">
        <f>ROUND((((AT23*AW23)+(BK23*BJ23))/(AT23+BK23)),5)</f>
        <v>147.388</v>
      </c>
      <c r="BM23" s="92">
        <f>BK23+AT23</f>
        <v>12.5</v>
      </c>
    </row>
    <row r="24" ht="15.25" spans="1:65">
      <c r="A24" s="73">
        <v>2</v>
      </c>
      <c r="B24" s="73" t="s">
        <v>470</v>
      </c>
      <c r="C24" s="73" t="s">
        <v>175</v>
      </c>
      <c r="D24" s="73" t="s">
        <v>58</v>
      </c>
      <c r="E24" s="73" t="s">
        <v>163</v>
      </c>
      <c r="F24" s="74">
        <v>28</v>
      </c>
      <c r="G24" t="s">
        <v>471</v>
      </c>
      <c r="H24" s="74">
        <f t="shared" ref="H24" si="4">F24*G24</f>
        <v>2380</v>
      </c>
      <c r="I24" t="s">
        <v>266</v>
      </c>
      <c r="J24" s="74">
        <v>2</v>
      </c>
      <c r="K24" s="74">
        <v>2.5</v>
      </c>
      <c r="L24" s="74">
        <f t="shared" ref="L24" si="5">H24</f>
        <v>2380</v>
      </c>
      <c r="M24" s="74">
        <f t="shared" ref="M24" si="6">ROUND(L24*I24%,2)</f>
        <v>71.4</v>
      </c>
      <c r="N24" s="74">
        <f t="shared" ref="N24" si="7">H24-M24</f>
        <v>2308.6</v>
      </c>
      <c r="O24" s="74">
        <f t="shared" ref="O24" si="8">ROUND(N24*J24%,2)</f>
        <v>46.17</v>
      </c>
      <c r="P24" s="74">
        <f t="shared" ref="P24" si="9">ROUND(N24-O24,2)</f>
        <v>2262.43</v>
      </c>
      <c r="Q24" s="74">
        <f t="shared" ref="Q24" si="10">ROUND(P24*K24%,2)</f>
        <v>56.56</v>
      </c>
      <c r="R24" s="74">
        <f t="shared" ref="R24" si="11">ROUND((M24+O24+Q24),2)</f>
        <v>174.13</v>
      </c>
      <c r="S24" s="74">
        <f t="shared" ref="S24" si="12">ROUND((H24-R24),2)</f>
        <v>2205.87</v>
      </c>
      <c r="T24" s="94" t="s">
        <v>375</v>
      </c>
      <c r="U24" s="84">
        <v>0.18</v>
      </c>
      <c r="V24" s="74">
        <f t="shared" ref="V24" si="13">IF($C$21=1,ROUND(((S24*U24)/2),2),0)</f>
        <v>198.53</v>
      </c>
      <c r="W24" s="74">
        <f t="shared" ref="W24" si="14">IF($C$21=1,ROUND(((S24*U24)/2),2),0)</f>
        <v>198.53</v>
      </c>
      <c r="X24" s="74">
        <f t="shared" ref="X24" si="15">IF($C$21=2,ROUND(((S24*U24)),2),0)</f>
        <v>0</v>
      </c>
      <c r="Y24" s="73">
        <f t="shared" ref="Y24" si="16">ROUND((S24*18%),2)</f>
        <v>397.06</v>
      </c>
      <c r="Z24" s="73">
        <f t="shared" ref="Z24" si="17">S24+Y24</f>
        <v>2602.93</v>
      </c>
      <c r="AA24" s="94">
        <v>350</v>
      </c>
      <c r="AB24" s="94">
        <f>IF($P$21=1,(S24/$S$25)*$E$36,AA24/$AA$25*$E$36)</f>
        <v>0</v>
      </c>
      <c r="AC24" s="94"/>
      <c r="AD24" s="94">
        <f>IF($P$21=1,(S24/$S$25)*$E$38,AA24/$AA$25*$E$38)</f>
        <v>0</v>
      </c>
      <c r="AE24" s="94">
        <f>IF($P$21=1,(S24/$S$25)*$E$39,AA24/$AA$25*$E$39)</f>
        <v>0</v>
      </c>
      <c r="AF24" s="94">
        <f t="shared" si="1"/>
        <v>2205.87</v>
      </c>
      <c r="AG24" s="94">
        <f t="shared" ref="AG24" si="18">IF($C$21=3,0,AD24+AE24)</f>
        <v>0</v>
      </c>
      <c r="AH24" s="94">
        <f t="shared" si="2"/>
        <v>0</v>
      </c>
      <c r="AI24" s="74">
        <v>2</v>
      </c>
      <c r="AJ24" s="94">
        <f t="shared" si="3"/>
        <v>14</v>
      </c>
      <c r="AK24" s="94">
        <f t="shared" ref="AK24" si="19">ROUND(AF24/AJ24,5)</f>
        <v>157.56214</v>
      </c>
      <c r="AL24" s="94">
        <f t="shared" ref="AL24" si="20">AG24/AJ24</f>
        <v>0</v>
      </c>
      <c r="AM24" s="94">
        <f t="shared" ref="AM24" si="21">AH24/AJ24</f>
        <v>0</v>
      </c>
      <c r="AN24" s="94" t="s">
        <v>58</v>
      </c>
      <c r="AO24" s="94">
        <f t="shared" ref="AO24" si="22">ROUND(AK24+AL24+AM24,5)</f>
        <v>157.56214</v>
      </c>
      <c r="AP24" s="62" t="s">
        <v>222</v>
      </c>
      <c r="AQ24" s="62" t="s">
        <v>58</v>
      </c>
      <c r="AR24" t="s">
        <v>472</v>
      </c>
      <c r="AS24" t="s">
        <v>473</v>
      </c>
      <c r="AT24" s="64">
        <f>AJ24</f>
        <v>14</v>
      </c>
      <c r="AU24" s="64">
        <f>AO24</f>
        <v>157.56214</v>
      </c>
      <c r="AV24" s="88">
        <f t="shared" ref="AV24" si="23">AR24+AT24</f>
        <v>28</v>
      </c>
      <c r="AW24" s="62">
        <f>ROUND(((AR24*AS24)+(AT24*AU24))/(AR24+AT24),5)</f>
        <v>157.56214</v>
      </c>
      <c r="AX24" s="119"/>
      <c r="AY24" s="119"/>
      <c r="AZ24" s="120" t="s">
        <v>38</v>
      </c>
      <c r="BA24" s="120" t="s">
        <v>459</v>
      </c>
      <c r="BB24" s="120" t="s">
        <v>453</v>
      </c>
      <c r="BC24" s="119"/>
      <c r="BD24" s="119"/>
      <c r="BE24" s="119"/>
      <c r="BF24" s="62"/>
      <c r="BG24" s="62"/>
      <c r="BH24" s="62"/>
      <c r="BI24" s="62" t="s">
        <v>230</v>
      </c>
      <c r="BJ24" t="s">
        <v>240</v>
      </c>
      <c r="BK24" t="s">
        <v>240</v>
      </c>
      <c r="BL24" s="62">
        <f t="shared" ref="BL24" si="24">ROUND((((AT24*AW24)+(BK24*BJ24))/(AT24+BK24)),5)</f>
        <v>157.56214</v>
      </c>
      <c r="BM24" s="92">
        <f t="shared" ref="BM24" si="25">BK24+AT24</f>
        <v>14</v>
      </c>
    </row>
    <row r="25" ht="15.25" spans="1:64">
      <c r="A25" s="71"/>
      <c r="C25" s="103" t="s">
        <v>87</v>
      </c>
      <c r="D25" s="31"/>
      <c r="E25" s="31"/>
      <c r="F25" s="31"/>
      <c r="G25" s="32"/>
      <c r="H25" s="76">
        <f>SUM(H23:H24)</f>
        <v>4347.5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299.28</v>
      </c>
      <c r="S25" s="76">
        <f>SUM(S23:S24)</f>
        <v>4048.22</v>
      </c>
      <c r="T25" s="76"/>
      <c r="U25" s="76"/>
      <c r="V25" s="82">
        <f t="shared" ref="V25:AB25" si="26">SUM(V23:V24)</f>
        <v>364.34</v>
      </c>
      <c r="W25" s="82">
        <f t="shared" si="26"/>
        <v>364.34</v>
      </c>
      <c r="X25" s="82">
        <f t="shared" si="26"/>
        <v>0</v>
      </c>
      <c r="Y25" s="76">
        <f t="shared" si="26"/>
        <v>728.68</v>
      </c>
      <c r="Z25" s="85">
        <f t="shared" si="26"/>
        <v>4776.9</v>
      </c>
      <c r="AA25" s="86">
        <f t="shared" si="26"/>
        <v>470</v>
      </c>
      <c r="AB25" s="86">
        <f t="shared" si="26"/>
        <v>0</v>
      </c>
      <c r="AC25" s="85"/>
      <c r="AD25" s="86">
        <f>SUM(AD23:AD24)</f>
        <v>0</v>
      </c>
      <c r="AE25" s="86">
        <f>IF($P$21=1,(S25/$S$25)*$E$39,AA25/$AA$25*$E$39)</f>
        <v>0</v>
      </c>
      <c r="AF25" s="86">
        <f>SUM(AF23:AF24)</f>
        <v>4048.22</v>
      </c>
      <c r="AG25" s="86">
        <f>SUM(AG23:AG24)</f>
        <v>0</v>
      </c>
      <c r="AH25" s="86">
        <f>SUM(AH23:AH24)</f>
        <v>0</v>
      </c>
      <c r="AI25" s="85"/>
      <c r="AJ25" s="85"/>
      <c r="AK25" s="85"/>
      <c r="AL25" s="85"/>
      <c r="AM25" s="85"/>
      <c r="AN25" s="85"/>
      <c r="AO25" s="85"/>
      <c r="AP25" s="71"/>
      <c r="AQ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</row>
    <row r="26" ht="15.25" spans="1:64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</row>
    <row r="27" ht="15.25" spans="1:64">
      <c r="A27" s="71"/>
      <c r="B27" s="71"/>
      <c r="C27" s="71"/>
      <c r="D27" s="71"/>
      <c r="E27" s="71"/>
      <c r="F27" s="71"/>
      <c r="G27" s="104" t="s">
        <v>194</v>
      </c>
      <c r="H27" s="105"/>
      <c r="I27" s="108">
        <f>H25</f>
        <v>4347.5</v>
      </c>
      <c r="J27" s="108"/>
      <c r="K27" s="109"/>
      <c r="L27" s="71"/>
      <c r="M27" s="110" t="s">
        <v>195</v>
      </c>
      <c r="N27" s="111"/>
      <c r="O27" s="111"/>
      <c r="P27" s="112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 t="s">
        <v>377</v>
      </c>
      <c r="BF27" s="158" t="s">
        <v>378</v>
      </c>
      <c r="BG27" s="71"/>
      <c r="BH27" s="71"/>
      <c r="BI27" s="71"/>
      <c r="BJ27" s="71"/>
      <c r="BK27" s="71"/>
      <c r="BL27" s="71"/>
    </row>
    <row r="28" ht="15.25" spans="1:64">
      <c r="A28" s="71"/>
      <c r="B28" s="71"/>
      <c r="C28" s="71"/>
      <c r="D28" s="71"/>
      <c r="E28" s="71"/>
      <c r="F28" s="71"/>
      <c r="G28" s="104" t="s">
        <v>196</v>
      </c>
      <c r="H28" s="105"/>
      <c r="I28" s="108">
        <f>R25</f>
        <v>299.28</v>
      </c>
      <c r="J28" s="108"/>
      <c r="K28" s="71"/>
      <c r="L28" s="71"/>
      <c r="M28" s="113">
        <v>1</v>
      </c>
      <c r="N28" s="113" t="s">
        <v>58</v>
      </c>
      <c r="O28" s="113">
        <v>2</v>
      </c>
      <c r="P28" s="113" t="s">
        <v>163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 t="s">
        <v>379</v>
      </c>
      <c r="BF28" s="158" t="s">
        <v>380</v>
      </c>
      <c r="BG28" s="71"/>
      <c r="BH28" s="71"/>
      <c r="BI28" s="71"/>
      <c r="BJ28" s="71"/>
      <c r="BK28" s="71"/>
      <c r="BL28" s="71"/>
    </row>
    <row r="29" ht="15.25" spans="1:64">
      <c r="A29" s="71"/>
      <c r="B29" s="71"/>
      <c r="C29" s="71"/>
      <c r="D29" s="71"/>
      <c r="E29" s="71"/>
      <c r="F29" s="71"/>
      <c r="G29" s="104" t="s">
        <v>197</v>
      </c>
      <c r="H29" s="105"/>
      <c r="I29" s="108">
        <f>S25</f>
        <v>4048.22</v>
      </c>
      <c r="J29" s="108"/>
      <c r="K29" s="71"/>
      <c r="L29" s="71"/>
      <c r="M29" s="73">
        <v>1</v>
      </c>
      <c r="N29" s="73" t="s">
        <v>58</v>
      </c>
      <c r="O29" s="73">
        <v>2.5</v>
      </c>
      <c r="P29" s="73" t="s">
        <v>176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</row>
    <row r="30" ht="15.25" spans="1:64">
      <c r="A30" s="71"/>
      <c r="B30" s="71"/>
      <c r="C30" s="71"/>
      <c r="D30" s="71"/>
      <c r="E30" s="71"/>
      <c r="F30" s="71"/>
      <c r="G30" s="104" t="s">
        <v>198</v>
      </c>
      <c r="H30" s="105"/>
      <c r="I30" s="108">
        <f>Y25</f>
        <v>728.68</v>
      </c>
      <c r="J30" s="108"/>
      <c r="K30" s="71"/>
      <c r="L30" s="71"/>
      <c r="M30" s="73">
        <v>1</v>
      </c>
      <c r="N30" s="73" t="s">
        <v>163</v>
      </c>
      <c r="O30" s="73">
        <v>0.001</v>
      </c>
      <c r="P30" s="73" t="s">
        <v>185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</row>
    <row r="31" ht="15.25" spans="1:64">
      <c r="A31" s="71"/>
      <c r="B31" s="71"/>
      <c r="C31" s="71"/>
      <c r="D31" s="71"/>
      <c r="E31" s="71"/>
      <c r="F31" s="71"/>
      <c r="G31" s="104" t="s">
        <v>199</v>
      </c>
      <c r="H31" s="105"/>
      <c r="I31" s="114">
        <f>I29+I30</f>
        <v>4776.9</v>
      </c>
      <c r="J31" s="114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</row>
    <row r="32" spans="1:64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 t="s">
        <v>381</v>
      </c>
      <c r="BK32" s="71" t="s">
        <v>382</v>
      </c>
      <c r="BL32" s="71"/>
    </row>
    <row r="33" spans="1:64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 t="s">
        <v>383</v>
      </c>
      <c r="BI33" s="71">
        <v>12.5</v>
      </c>
      <c r="BJ33" s="71">
        <f>BI35*BI36</f>
        <v>0</v>
      </c>
      <c r="BK33" s="71">
        <f>BI33*BI34</f>
        <v>6092.59</v>
      </c>
      <c r="BL33" s="71"/>
    </row>
    <row r="34" spans="1:64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 t="s">
        <v>384</v>
      </c>
      <c r="BI34" s="71">
        <v>487.4072</v>
      </c>
      <c r="BJ34" s="71">
        <f>BI33+BI35</f>
        <v>12.5</v>
      </c>
      <c r="BK34" s="71"/>
      <c r="BL34" s="71"/>
    </row>
  </sheetData>
  <mergeCells count="14">
    <mergeCell ref="A1:Z1"/>
    <mergeCell ref="B19:G19"/>
    <mergeCell ref="A21:B21"/>
    <mergeCell ref="G27:H27"/>
    <mergeCell ref="I27:J27"/>
    <mergeCell ref="M27:P27"/>
    <mergeCell ref="G28:H28"/>
    <mergeCell ref="I28:J28"/>
    <mergeCell ref="G29:H29"/>
    <mergeCell ref="I29:J29"/>
    <mergeCell ref="G30:H30"/>
    <mergeCell ref="I30:J30"/>
    <mergeCell ref="G31:H31"/>
    <mergeCell ref="I31:J31"/>
  </mergeCells>
  <pageMargins left="0.7" right="0.7" top="0.75" bottom="0.75" header="0.3" footer="0.3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topLeftCell="BH19" workbookViewId="0">
      <selection activeCell="C23" sqref="C23"/>
    </sheetView>
  </sheetViews>
  <sheetFormatPr defaultColWidth="9" defaultRowHeight="14.5"/>
  <cols>
    <col min="2" max="2" width="26.8545454545455" customWidth="1"/>
    <col min="3" max="3" width="19.2818181818182" customWidth="1"/>
    <col min="4" max="4" width="62.7090909090909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2" max="12" width="13.8545454545455" customWidth="1"/>
    <col min="14" max="14" width="13.5727272727273" customWidth="1"/>
    <col min="16" max="16" width="13.7090909090909" customWidth="1"/>
    <col min="17" max="17" width="37.7090909090909" customWidth="1"/>
    <col min="18" max="18" width="10.8545454545455" customWidth="1"/>
    <col min="26" max="26" width="10.2818181818182" customWidth="1"/>
    <col min="27" max="27" width="12.8545454545455" customWidth="1"/>
    <col min="28" max="28" width="8.70909090909091" customWidth="1"/>
    <col min="29" max="29" width="9.28181818181818" customWidth="1"/>
    <col min="31" max="31" width="8.42727272727273" customWidth="1"/>
    <col min="32" max="32" width="14.2818181818182" customWidth="1"/>
    <col min="35" max="35" width="13.5727272727273" customWidth="1"/>
    <col min="36" max="36" width="15.5727272727273" customWidth="1"/>
    <col min="39" max="39" width="8.57272727272727" customWidth="1"/>
    <col min="40" max="40" width="11.8545454545455" customWidth="1"/>
    <col min="48" max="48" width="13.8545454545455" customWidth="1"/>
    <col min="49" max="49" width="18.8545454545455" customWidth="1"/>
    <col min="57" max="57" width="12.5727272727273" customWidth="1"/>
    <col min="58" max="58" width="21.7090909090909" customWidth="1"/>
    <col min="59" max="59" width="30.5727272727273" customWidth="1"/>
    <col min="62" max="62" width="41.1363636363636" customWidth="1"/>
    <col min="63" max="63" width="37" customWidth="1"/>
    <col min="64" max="64" width="18.8545454545455" customWidth="1"/>
    <col min="65" max="65" width="34.4272727272727" customWidth="1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1"/>
      <c r="AP1" s="71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1"/>
      <c r="AP2" s="71"/>
    </row>
    <row r="3" ht="15.25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71"/>
    </row>
    <row r="4" spans="1:42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1"/>
    </row>
    <row r="5" spans="1:42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1"/>
    </row>
    <row r="6" spans="1:42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1"/>
    </row>
    <row r="7" spans="1:42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1"/>
    </row>
    <row r="8" spans="1:42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1"/>
    </row>
    <row r="9" spans="1:42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1"/>
    </row>
    <row r="10" spans="1:42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1"/>
    </row>
    <row r="11" spans="1:42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1"/>
    </row>
    <row r="12" spans="1:42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1"/>
    </row>
    <row r="13" spans="1:42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1"/>
    </row>
    <row r="14" spans="1:42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1"/>
    </row>
    <row r="15" spans="1:42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1"/>
    </row>
    <row r="16" spans="1:42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1"/>
    </row>
    <row r="17" spans="1:42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>
        <v>5858.27</v>
      </c>
      <c r="T17" s="78"/>
      <c r="U17" s="77"/>
      <c r="V17" s="77"/>
      <c r="W17" s="77"/>
      <c r="X17" s="77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1"/>
    </row>
    <row r="18" ht="15.25" spans="1:42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1"/>
    </row>
    <row r="19" ht="15.25" spans="1:42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1"/>
    </row>
    <row r="20" spans="1:42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1"/>
    </row>
    <row r="21" ht="15.25" spans="1:42">
      <c r="A21" s="21" t="s">
        <v>89</v>
      </c>
      <c r="B21" s="21"/>
      <c r="C21" s="22">
        <v>1</v>
      </c>
      <c r="D21" s="23" t="s">
        <v>90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1"/>
    </row>
    <row r="22" ht="57.5" spans="1:65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113</v>
      </c>
      <c r="Z22" s="43" t="s">
        <v>114</v>
      </c>
      <c r="AA22" s="43" t="s">
        <v>115</v>
      </c>
      <c r="AB22" s="44" t="s">
        <v>116</v>
      </c>
      <c r="AC22" s="44" t="s">
        <v>117</v>
      </c>
      <c r="AD22" s="44" t="s">
        <v>118</v>
      </c>
      <c r="AE22" s="43" t="s">
        <v>119</v>
      </c>
      <c r="AF22" s="43" t="s">
        <v>120</v>
      </c>
      <c r="AG22" s="44" t="s">
        <v>121</v>
      </c>
      <c r="AH22" s="44" t="s">
        <v>122</v>
      </c>
      <c r="AI22" s="43" t="s">
        <v>123</v>
      </c>
      <c r="AJ22" s="43" t="s">
        <v>124</v>
      </c>
      <c r="AK22" s="44" t="s">
        <v>125</v>
      </c>
      <c r="AL22" s="44" t="s">
        <v>126</v>
      </c>
      <c r="AM22" s="44" t="s">
        <v>127</v>
      </c>
      <c r="AN22" s="43" t="s">
        <v>128</v>
      </c>
      <c r="AO22" s="48" t="s">
        <v>129</v>
      </c>
      <c r="AP22" s="3" t="s">
        <v>215</v>
      </c>
      <c r="AQ22" s="3" t="s">
        <v>128</v>
      </c>
      <c r="AR22" s="87" t="s">
        <v>131</v>
      </c>
      <c r="AS22" s="87" t="s">
        <v>132</v>
      </c>
      <c r="AT22" s="87" t="s">
        <v>133</v>
      </c>
      <c r="AU22" s="87" t="s">
        <v>134</v>
      </c>
      <c r="AV22" s="87" t="s">
        <v>135</v>
      </c>
      <c r="AW22" s="87" t="s">
        <v>136</v>
      </c>
      <c r="AX22" s="87" t="s">
        <v>137</v>
      </c>
      <c r="AY22" s="87" t="s">
        <v>138</v>
      </c>
      <c r="AZ22" s="89" t="s">
        <v>139</v>
      </c>
      <c r="BA22" s="89" t="s">
        <v>8</v>
      </c>
      <c r="BB22" s="89" t="s">
        <v>9</v>
      </c>
      <c r="BC22" s="87" t="s">
        <v>216</v>
      </c>
      <c r="BD22" s="87" t="s">
        <v>140</v>
      </c>
      <c r="BE22" s="87" t="s">
        <v>141</v>
      </c>
      <c r="BF22" s="87" t="s">
        <v>142</v>
      </c>
      <c r="BG22" s="87" t="s">
        <v>143</v>
      </c>
      <c r="BH22" s="87" t="s">
        <v>144</v>
      </c>
      <c r="BI22" s="87" t="s">
        <v>217</v>
      </c>
      <c r="BJ22" s="49" t="s">
        <v>218</v>
      </c>
      <c r="BK22" s="87" t="s">
        <v>219</v>
      </c>
      <c r="BL22" s="87" t="s">
        <v>136</v>
      </c>
      <c r="BM22" s="95" t="s">
        <v>220</v>
      </c>
    </row>
    <row r="23" ht="15.25" spans="1:67">
      <c r="A23" s="73">
        <v>1</v>
      </c>
      <c r="B23" s="73" t="s">
        <v>474</v>
      </c>
      <c r="C23" s="73" t="s">
        <v>57</v>
      </c>
      <c r="D23" s="73" t="s">
        <v>58</v>
      </c>
      <c r="E23" s="73" t="s">
        <v>58</v>
      </c>
      <c r="F23" s="74">
        <v>2</v>
      </c>
      <c r="G23" s="74">
        <v>250.25</v>
      </c>
      <c r="H23" s="74">
        <f>F23*G23</f>
        <v>500.5</v>
      </c>
      <c r="I23" s="74">
        <v>2.21</v>
      </c>
      <c r="J23" s="74">
        <v>1.79</v>
      </c>
      <c r="K23" s="74">
        <v>2.5</v>
      </c>
      <c r="L23" s="74">
        <f>H23</f>
        <v>500.5</v>
      </c>
      <c r="M23" s="74">
        <f>ROUND(L23*I23%,2)</f>
        <v>11.06</v>
      </c>
      <c r="N23" s="74">
        <f>H23-M23</f>
        <v>489.44</v>
      </c>
      <c r="O23" s="74">
        <f>ROUND(N23*J23%,2)</f>
        <v>8.76</v>
      </c>
      <c r="P23" s="74">
        <f>ROUND(N23-O23,2)</f>
        <v>480.68</v>
      </c>
      <c r="Q23" s="74">
        <f>ROUND(P23*K23%,2)</f>
        <v>12.02</v>
      </c>
      <c r="R23" s="74">
        <f>M23+O23+Q23</f>
        <v>31.84</v>
      </c>
      <c r="S23" s="74">
        <f>(H23-R23)</f>
        <v>468.66</v>
      </c>
      <c r="T23" s="74" t="s">
        <v>146</v>
      </c>
      <c r="U23" s="74">
        <v>0.18</v>
      </c>
      <c r="V23" s="74">
        <f>IF($C$21=1,ROUND(((S23*U23)/2),2),0)</f>
        <v>42.18</v>
      </c>
      <c r="W23" s="74">
        <f>IF($C$21=1,ROUND(((S23*U23)/2),2),0)</f>
        <v>42.18</v>
      </c>
      <c r="X23" s="74">
        <f>IF($C$21=2,ROUND(((S23*U23)),2),0)</f>
        <v>0</v>
      </c>
      <c r="Y23" s="74">
        <f>V23+W23+X23</f>
        <v>84.36</v>
      </c>
      <c r="Z23" s="74">
        <f t="shared" ref="Z23:Z24" si="1">S23+Y23</f>
        <v>553.02</v>
      </c>
      <c r="AA23" s="74">
        <v>120</v>
      </c>
      <c r="AB23" s="74">
        <f>IF($P$21=1,(S23/$S$25)*$E$36,AA23/$AA$25*$E$36)</f>
        <v>0</v>
      </c>
      <c r="AC23" s="74"/>
      <c r="AD23" s="74">
        <f>IF($P$21=1,(S23/$S$25)*$E$38,AA23/$AA$25*$E$38)</f>
        <v>0</v>
      </c>
      <c r="AE23" s="74">
        <f>IF($P$21=1,(S23/$S$25)*$E$38,AA23/$AA$25*$E$38)</f>
        <v>0</v>
      </c>
      <c r="AF23" s="74">
        <f t="shared" ref="AF23:AF24" si="2">S23*$M$21</f>
        <v>468.66</v>
      </c>
      <c r="AG23" s="74">
        <f t="shared" ref="AG23:AG24" si="3">IF($C$21=3,0,AD23+AE23)</f>
        <v>0</v>
      </c>
      <c r="AH23" s="74">
        <f t="shared" ref="AH23:AH24" si="4">IF($C$21=3,AB23+AD23+AE23,0)</f>
        <v>0</v>
      </c>
      <c r="AI23" s="74">
        <v>1</v>
      </c>
      <c r="AJ23" s="74">
        <f t="shared" ref="AJ23:AJ24" si="5">F23/AI23</f>
        <v>2</v>
      </c>
      <c r="AK23" s="74">
        <f>AF23/AJ23</f>
        <v>234.33</v>
      </c>
      <c r="AL23" s="74">
        <f>AG23/AJ23</f>
        <v>0</v>
      </c>
      <c r="AM23" s="74">
        <f>AH23/AJ23</f>
        <v>0</v>
      </c>
      <c r="AN23" s="74" t="s">
        <v>58</v>
      </c>
      <c r="AO23" s="74">
        <f>AK23+AL23+AM23</f>
        <v>234.33</v>
      </c>
      <c r="AP23" s="88" t="s">
        <v>222</v>
      </c>
      <c r="AQ23" s="88" t="s">
        <v>58</v>
      </c>
      <c r="AR23" t="s">
        <v>240</v>
      </c>
      <c r="AS23" t="s">
        <v>224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234.33</v>
      </c>
      <c r="AX23" s="90"/>
      <c r="AY23" s="90" t="s">
        <v>149</v>
      </c>
      <c r="AZ23" s="91" t="s">
        <v>38</v>
      </c>
      <c r="BA23" s="91" t="s">
        <v>30</v>
      </c>
      <c r="BB23" s="91" t="s">
        <v>39</v>
      </c>
      <c r="BC23" s="90"/>
      <c r="BD23" s="90"/>
      <c r="BE23" s="90"/>
      <c r="BF23" s="88"/>
      <c r="BG23" s="88"/>
      <c r="BH23" s="88"/>
      <c r="BI23" s="88" t="s">
        <v>31</v>
      </c>
      <c r="BJ23" t="s">
        <v>224</v>
      </c>
      <c r="BK23" t="s">
        <v>226</v>
      </c>
      <c r="BL23" s="88">
        <f>ROUND((((AT23*AW23)+(BK23*BJ23))/(AT23+BK23)),5)</f>
        <v>234.33</v>
      </c>
      <c r="BM23" s="92">
        <f>BK23+AT23</f>
        <v>12</v>
      </c>
      <c r="BN23" s="92"/>
      <c r="BO23" s="92"/>
    </row>
    <row r="24" ht="15.25" spans="1:67">
      <c r="A24" s="73">
        <v>2</v>
      </c>
      <c r="B24" s="73" t="s">
        <v>475</v>
      </c>
      <c r="C24" s="73" t="s">
        <v>60</v>
      </c>
      <c r="D24" s="73" t="s">
        <v>58</v>
      </c>
      <c r="E24" s="73" t="s">
        <v>58</v>
      </c>
      <c r="F24" s="74">
        <v>3</v>
      </c>
      <c r="G24" s="74">
        <v>251.25</v>
      </c>
      <c r="H24" s="74">
        <f t="shared" ref="H24" si="6">F24*G24</f>
        <v>753.75</v>
      </c>
      <c r="I24" s="74">
        <v>2.21</v>
      </c>
      <c r="J24" s="74">
        <v>1.79</v>
      </c>
      <c r="K24" s="74">
        <v>2.5</v>
      </c>
      <c r="L24" s="74">
        <f t="shared" ref="L24" si="7">H24</f>
        <v>753.75</v>
      </c>
      <c r="M24" s="74">
        <f t="shared" ref="M24" si="8">ROUND(L24*I24%,2)</f>
        <v>16.66</v>
      </c>
      <c r="N24" s="74">
        <f t="shared" ref="N24" si="9">H24-M24</f>
        <v>737.09</v>
      </c>
      <c r="O24" s="74">
        <f t="shared" ref="O24" si="10">ROUND(N24*J24%,2)</f>
        <v>13.19</v>
      </c>
      <c r="P24" s="74">
        <f t="shared" ref="P24" si="11">ROUND(N24-O24,2)</f>
        <v>723.9</v>
      </c>
      <c r="Q24" s="74">
        <f t="shared" ref="Q24" si="12">ROUND(P24*K24%,2)</f>
        <v>18.1</v>
      </c>
      <c r="R24" s="74">
        <f t="shared" ref="R24" si="13">M24+O24+Q24</f>
        <v>47.95</v>
      </c>
      <c r="S24" s="74">
        <f t="shared" ref="S24" si="14">(H24-R24)</f>
        <v>705.8</v>
      </c>
      <c r="T24" s="74" t="s">
        <v>146</v>
      </c>
      <c r="U24" s="74">
        <v>0.18</v>
      </c>
      <c r="V24" s="74">
        <f t="shared" ref="V24" si="15">IF($C$21=1,ROUND(((S24*U24)/2),2),0)</f>
        <v>63.52</v>
      </c>
      <c r="W24" s="74">
        <f t="shared" ref="W24" si="16">IF($C$21=1,ROUND(((S24*U24)/2),2),0)</f>
        <v>63.52</v>
      </c>
      <c r="X24" s="74">
        <f t="shared" ref="X24" si="17">IF($C$21=2,ROUND(((S24*U24)),2),0)</f>
        <v>0</v>
      </c>
      <c r="Y24" s="74">
        <f t="shared" ref="Y24" si="18">V24+W24+X24</f>
        <v>127.04</v>
      </c>
      <c r="Z24" s="74">
        <f t="shared" si="1"/>
        <v>832.84</v>
      </c>
      <c r="AA24" s="74">
        <v>120</v>
      </c>
      <c r="AB24" s="74">
        <f>IF($P$21=1,(S24/$S$25)*$E$36,AA24/$AA$25*$E$36)</f>
        <v>0</v>
      </c>
      <c r="AC24" s="74"/>
      <c r="AD24" s="74">
        <f>IF($P$21=1,(S24/$S$25)*$E$38,AA24/$AA$25*$E$38)</f>
        <v>0</v>
      </c>
      <c r="AE24" s="74">
        <f>IF($P$21=1,(S24/$S$25)*$E$38,AA24/$AA$25*$E$38)</f>
        <v>0</v>
      </c>
      <c r="AF24" s="74">
        <f t="shared" si="2"/>
        <v>705.8</v>
      </c>
      <c r="AG24" s="74">
        <f t="shared" si="3"/>
        <v>0</v>
      </c>
      <c r="AH24" s="74">
        <f t="shared" si="4"/>
        <v>0</v>
      </c>
      <c r="AI24" s="74">
        <v>1</v>
      </c>
      <c r="AJ24" s="74">
        <f t="shared" si="5"/>
        <v>3</v>
      </c>
      <c r="AK24" s="74">
        <f t="shared" ref="AK24" si="19">AF24/AJ24</f>
        <v>235.266666666667</v>
      </c>
      <c r="AL24" s="74">
        <f t="shared" ref="AL24" si="20">AG24/AJ24</f>
        <v>0</v>
      </c>
      <c r="AM24" s="74">
        <f t="shared" ref="AM24" si="21">AH24/AJ24</f>
        <v>0</v>
      </c>
      <c r="AN24" s="74" t="s">
        <v>58</v>
      </c>
      <c r="AO24" s="74">
        <f t="shared" ref="AO24" si="22">AK24+AL24+AM24</f>
        <v>235.266666666667</v>
      </c>
      <c r="AP24" s="88" t="s">
        <v>222</v>
      </c>
      <c r="AQ24" s="88" t="s">
        <v>58</v>
      </c>
      <c r="AR24" t="s">
        <v>240</v>
      </c>
      <c r="AS24" t="s">
        <v>476</v>
      </c>
      <c r="AT24" s="88">
        <f t="shared" ref="AT24" si="23">AJ24</f>
        <v>3</v>
      </c>
      <c r="AU24" s="88">
        <f t="shared" ref="AU24" si="24">AO24</f>
        <v>235.266666666667</v>
      </c>
      <c r="AV24" s="88">
        <f t="shared" ref="AV24" si="25">AR24+AT24</f>
        <v>3</v>
      </c>
      <c r="AW24" s="88">
        <f t="shared" ref="AW24" si="26">ROUND(((AR24*AS24)+(AT24*AU24))/(AR24+AT24),5)</f>
        <v>235.26667</v>
      </c>
      <c r="AX24" s="90"/>
      <c r="AY24" s="90"/>
      <c r="AZ24" s="91" t="s">
        <v>38</v>
      </c>
      <c r="BA24" s="91" t="s">
        <v>30</v>
      </c>
      <c r="BB24" s="91" t="s">
        <v>39</v>
      </c>
      <c r="BC24" s="90"/>
      <c r="BD24" s="90"/>
      <c r="BE24" s="90"/>
      <c r="BF24" s="88"/>
      <c r="BG24" s="88"/>
      <c r="BH24" s="88"/>
      <c r="BI24" s="88" t="s">
        <v>31</v>
      </c>
      <c r="BJ24" t="s">
        <v>476</v>
      </c>
      <c r="BK24" t="s">
        <v>266</v>
      </c>
      <c r="BL24" s="88">
        <f t="shared" ref="BL24" si="27">ROUND((((AT24*AW24)+(BK24*BJ24))/(AT24+BK24)),5)</f>
        <v>235.26667</v>
      </c>
      <c r="BM24" s="92">
        <f t="shared" ref="BM24" si="28">BK24+AT24</f>
        <v>6</v>
      </c>
      <c r="BN24" s="92"/>
      <c r="BO24" s="92"/>
    </row>
    <row r="25" ht="15.25" spans="1:42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1254.25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79.79</v>
      </c>
      <c r="S25" s="82">
        <f>SUM(S23:S24)</f>
        <v>1174.46</v>
      </c>
      <c r="T25" s="76"/>
      <c r="U25" s="76"/>
      <c r="V25" s="83">
        <f t="shared" ref="V25:AB25" si="29">SUM(V23:V24)</f>
        <v>105.7</v>
      </c>
      <c r="W25" s="83">
        <f t="shared" si="29"/>
        <v>105.7</v>
      </c>
      <c r="X25" s="83">
        <f t="shared" si="29"/>
        <v>0</v>
      </c>
      <c r="Y25" s="76">
        <f t="shared" si="29"/>
        <v>211.4</v>
      </c>
      <c r="Z25" s="85">
        <f t="shared" si="29"/>
        <v>1385.86</v>
      </c>
      <c r="AA25" s="86">
        <f t="shared" si="29"/>
        <v>240</v>
      </c>
      <c r="AB25" s="86">
        <f t="shared" si="29"/>
        <v>0</v>
      </c>
      <c r="AC25" s="85"/>
      <c r="AD25" s="86">
        <f>SUM(AD23:AD24)</f>
        <v>0</v>
      </c>
      <c r="AE25" s="86">
        <f>SUM(AE23:AE24)</f>
        <v>0</v>
      </c>
      <c r="AF25" s="86">
        <f>SUM(AF23:AF24)</f>
        <v>1174.46</v>
      </c>
      <c r="AG25" s="86">
        <f>SUM(AG23:AG24)</f>
        <v>0</v>
      </c>
      <c r="AH25" s="86">
        <f>SUM(AH23:AH24)</f>
        <v>0</v>
      </c>
      <c r="AI25" s="85"/>
      <c r="AJ25" s="85"/>
      <c r="AK25" s="85"/>
      <c r="AL25" s="85"/>
      <c r="AM25" s="85"/>
      <c r="AN25" s="85"/>
      <c r="AO25" s="85"/>
      <c r="AP25" s="71"/>
    </row>
    <row r="26" spans="1:42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topLeftCell="BH16" workbookViewId="0">
      <selection activeCell="A1" sqref="$A1:$XFD1048576"/>
    </sheetView>
  </sheetViews>
  <sheetFormatPr defaultColWidth="9" defaultRowHeight="14.5"/>
  <cols>
    <col min="2" max="2" width="26.8545454545455" customWidth="1"/>
    <col min="3" max="3" width="19.2818181818182" customWidth="1"/>
    <col min="4" max="4" width="62.7090909090909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12" max="12" width="13.8545454545455" customWidth="1"/>
    <col min="26" max="26" width="10.2818181818182" customWidth="1"/>
    <col min="27" max="27" width="12.8545454545455" customWidth="1"/>
    <col min="28" max="28" width="8.70909090909091" customWidth="1"/>
    <col min="48" max="48" width="13.8545454545455" customWidth="1"/>
    <col min="57" max="57" width="12.5727272727273" customWidth="1"/>
    <col min="58" max="58" width="21.7090909090909" customWidth="1"/>
    <col min="59" max="59" width="30.5727272727273" customWidth="1"/>
    <col min="62" max="62" width="41.1363636363636" customWidth="1"/>
    <col min="63" max="63" width="37" customWidth="1"/>
    <col min="64" max="64" width="18.8545454545455" customWidth="1"/>
    <col min="65" max="65" width="34.4272727272727" customWidth="1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1"/>
      <c r="AP1" s="71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1"/>
      <c r="AP2" s="71"/>
    </row>
    <row r="3" ht="15.25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71"/>
    </row>
    <row r="4" spans="1:42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1"/>
    </row>
    <row r="5" spans="1:42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1"/>
    </row>
    <row r="6" spans="1:42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1"/>
    </row>
    <row r="7" spans="1:42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1"/>
    </row>
    <row r="8" spans="1:42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1"/>
    </row>
    <row r="9" spans="1:42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1"/>
    </row>
    <row r="10" spans="1:42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1"/>
    </row>
    <row r="11" spans="1:42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1"/>
    </row>
    <row r="12" spans="1:42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1"/>
    </row>
    <row r="13" spans="1:42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1"/>
    </row>
    <row r="14" spans="1:42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1"/>
    </row>
    <row r="15" spans="1:42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1"/>
    </row>
    <row r="16" spans="1:42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1"/>
    </row>
    <row r="17" spans="1:42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>
        <v>5858.27</v>
      </c>
      <c r="T17" s="78"/>
      <c r="U17" s="77"/>
      <c r="V17" s="77"/>
      <c r="W17" s="77"/>
      <c r="X17" s="77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1"/>
    </row>
    <row r="18" ht="15.25" spans="1:42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1"/>
    </row>
    <row r="19" ht="15.25" spans="1:42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1"/>
    </row>
    <row r="20" spans="1:42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1"/>
    </row>
    <row r="21" ht="15.25" spans="1:42">
      <c r="A21" s="21" t="s">
        <v>89</v>
      </c>
      <c r="B21" s="21"/>
      <c r="C21" s="22">
        <v>1</v>
      </c>
      <c r="D21" s="23" t="s">
        <v>90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1"/>
    </row>
    <row r="22" ht="57.5" spans="1:65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113</v>
      </c>
      <c r="Z22" s="43" t="s">
        <v>114</v>
      </c>
      <c r="AA22" s="43" t="s">
        <v>115</v>
      </c>
      <c r="AB22" s="44" t="s">
        <v>116</v>
      </c>
      <c r="AC22" s="44" t="s">
        <v>117</v>
      </c>
      <c r="AD22" s="44" t="s">
        <v>118</v>
      </c>
      <c r="AE22" s="43" t="s">
        <v>119</v>
      </c>
      <c r="AF22" s="43" t="s">
        <v>120</v>
      </c>
      <c r="AG22" s="44" t="s">
        <v>121</v>
      </c>
      <c r="AH22" s="44" t="s">
        <v>122</v>
      </c>
      <c r="AI22" s="43" t="s">
        <v>123</v>
      </c>
      <c r="AJ22" s="43" t="s">
        <v>124</v>
      </c>
      <c r="AK22" s="44" t="s">
        <v>125</v>
      </c>
      <c r="AL22" s="44" t="s">
        <v>126</v>
      </c>
      <c r="AM22" s="44" t="s">
        <v>127</v>
      </c>
      <c r="AN22" s="43" t="s">
        <v>128</v>
      </c>
      <c r="AO22" s="48" t="s">
        <v>129</v>
      </c>
      <c r="AP22" s="3" t="s">
        <v>215</v>
      </c>
      <c r="AQ22" s="3" t="s">
        <v>128</v>
      </c>
      <c r="AR22" s="87" t="s">
        <v>131</v>
      </c>
      <c r="AS22" s="87" t="s">
        <v>132</v>
      </c>
      <c r="AT22" s="87" t="s">
        <v>133</v>
      </c>
      <c r="AU22" s="87" t="s">
        <v>134</v>
      </c>
      <c r="AV22" s="87" t="s">
        <v>135</v>
      </c>
      <c r="AW22" s="87" t="s">
        <v>136</v>
      </c>
      <c r="AX22" s="87" t="s">
        <v>137</v>
      </c>
      <c r="AY22" s="87" t="s">
        <v>138</v>
      </c>
      <c r="AZ22" s="89" t="s">
        <v>139</v>
      </c>
      <c r="BA22" s="89" t="s">
        <v>8</v>
      </c>
      <c r="BB22" s="89" t="s">
        <v>9</v>
      </c>
      <c r="BC22" s="87" t="s">
        <v>216</v>
      </c>
      <c r="BD22" s="87" t="s">
        <v>140</v>
      </c>
      <c r="BE22" s="87" t="s">
        <v>141</v>
      </c>
      <c r="BF22" s="87" t="s">
        <v>142</v>
      </c>
      <c r="BG22" s="87" t="s">
        <v>143</v>
      </c>
      <c r="BH22" s="87" t="s">
        <v>144</v>
      </c>
      <c r="BI22" s="87" t="s">
        <v>217</v>
      </c>
      <c r="BJ22" s="49" t="s">
        <v>218</v>
      </c>
      <c r="BK22" s="87" t="s">
        <v>219</v>
      </c>
      <c r="BL22" s="87" t="s">
        <v>136</v>
      </c>
      <c r="BM22" s="95" t="s">
        <v>220</v>
      </c>
    </row>
    <row r="23" ht="15.25" spans="1:67">
      <c r="A23" s="73">
        <v>1</v>
      </c>
      <c r="B23" s="73" t="s">
        <v>477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478</v>
      </c>
      <c r="H23" s="74">
        <f>F23*G23</f>
        <v>1572</v>
      </c>
      <c r="I23" t="s">
        <v>316</v>
      </c>
      <c r="J23" s="74">
        <v>1.79</v>
      </c>
      <c r="K23" s="74">
        <v>2.5</v>
      </c>
      <c r="L23" s="74">
        <f>H23</f>
        <v>1572</v>
      </c>
      <c r="M23" s="74">
        <f>ROUND(L23*I23%,2)</f>
        <v>33.01</v>
      </c>
      <c r="N23" s="74">
        <f>H23-M23</f>
        <v>1538.99</v>
      </c>
      <c r="O23" s="74">
        <f>ROUND(N23*J23%,2)</f>
        <v>27.55</v>
      </c>
      <c r="P23" s="74">
        <f>ROUND(N23-O23,2)</f>
        <v>1511.44</v>
      </c>
      <c r="Q23" s="74">
        <f>ROUND(P23*K23%,2)</f>
        <v>37.79</v>
      </c>
      <c r="R23" s="74">
        <f>M23+O23+Q23</f>
        <v>98.35</v>
      </c>
      <c r="S23" s="74">
        <f>(H23-R23)</f>
        <v>1473.65</v>
      </c>
      <c r="T23" s="74" t="s">
        <v>146</v>
      </c>
      <c r="U23" s="74">
        <v>0.18</v>
      </c>
      <c r="V23" s="74">
        <f>IF($C$21=1,ROUND(((S23*U23)/2),2),0)</f>
        <v>132.63</v>
      </c>
      <c r="W23" s="74">
        <f>IF($C$21=1,ROUND(((S23*U23)/2),2),0)</f>
        <v>132.63</v>
      </c>
      <c r="X23" s="74">
        <f>IF($C$21=2,ROUND(((S23*U23)),2),0)</f>
        <v>0</v>
      </c>
      <c r="Y23" s="74">
        <f>V23+W23+X23</f>
        <v>265.26</v>
      </c>
      <c r="Z23" s="74">
        <f t="shared" ref="Z23:Z24" si="1">S23+Y23</f>
        <v>1738.91</v>
      </c>
      <c r="AA23" s="74">
        <v>120</v>
      </c>
      <c r="AB23" s="74">
        <f>IF($P$21=1,(S23/$S$25)*$E$36,AA23/$AA$25*$E$36)</f>
        <v>0</v>
      </c>
      <c r="AC23" s="74"/>
      <c r="AD23" s="74">
        <f>IF($P$21=1,(S23/$S$25)*$E$38,AA23/$AA$25*$E$38)</f>
        <v>0</v>
      </c>
      <c r="AE23" s="74">
        <f>IF($P$21=1,(S23/$S$25)*$E$38,AA23/$AA$25*$E$38)</f>
        <v>0</v>
      </c>
      <c r="AF23" s="74">
        <f t="shared" ref="AF23:AF24" si="2">S23*$M$21</f>
        <v>1473.65</v>
      </c>
      <c r="AG23" s="74">
        <f t="shared" ref="AG23:AG24" si="3">IF($C$21=3,0,AD23+AE23)</f>
        <v>0</v>
      </c>
      <c r="AH23" s="74">
        <f t="shared" ref="AH23:AH24" si="4">IF($C$21=3,AB23+AD23+AE23,0)</f>
        <v>0</v>
      </c>
      <c r="AI23" s="74">
        <v>1</v>
      </c>
      <c r="AJ23" s="74">
        <f t="shared" ref="AJ23:AJ24" si="5">F23/AI23</f>
        <v>2</v>
      </c>
      <c r="AK23" s="74">
        <f>AF23/AJ23</f>
        <v>736.825</v>
      </c>
      <c r="AL23" s="74">
        <f>AG23/AJ23</f>
        <v>0</v>
      </c>
      <c r="AM23" s="74">
        <f>AH23/AJ23</f>
        <v>0</v>
      </c>
      <c r="AN23" s="74" t="s">
        <v>58</v>
      </c>
      <c r="AO23" s="74">
        <f>AK23+AL23+AM23</f>
        <v>736.825</v>
      </c>
      <c r="AP23" s="88" t="s">
        <v>222</v>
      </c>
      <c r="AQ23" s="88" t="s">
        <v>58</v>
      </c>
      <c r="AR23" t="s">
        <v>240</v>
      </c>
      <c r="AS23" t="s">
        <v>479</v>
      </c>
      <c r="AT23" s="88">
        <f>AJ23</f>
        <v>2</v>
      </c>
      <c r="AU23" s="88">
        <f>AO23</f>
        <v>736.825</v>
      </c>
      <c r="AV23" s="88">
        <f>AR23+AT23</f>
        <v>2</v>
      </c>
      <c r="AW23" s="88">
        <f>ROUND(((AR23*AS23)+(AT23*AU23))/(AR23+AT23),5)</f>
        <v>736.825</v>
      </c>
      <c r="AX23" s="90"/>
      <c r="AY23" s="90" t="s">
        <v>149</v>
      </c>
      <c r="AZ23" s="91" t="s">
        <v>38</v>
      </c>
      <c r="BA23" s="91" t="s">
        <v>30</v>
      </c>
      <c r="BB23" s="91" t="s">
        <v>39</v>
      </c>
      <c r="BC23" s="90"/>
      <c r="BD23" s="90"/>
      <c r="BE23" s="90"/>
      <c r="BF23" s="88"/>
      <c r="BG23" s="88"/>
      <c r="BH23" s="88"/>
      <c r="BI23" s="88" t="s">
        <v>31</v>
      </c>
      <c r="BJ23" t="s">
        <v>479</v>
      </c>
      <c r="BK23" t="s">
        <v>223</v>
      </c>
      <c r="BL23" s="88">
        <f>ROUND((((AT23*AW23)+(BK23*BJ23))/(AT23+BK23)),5)</f>
        <v>736.825</v>
      </c>
      <c r="BM23" s="92">
        <f>BK23+AT23</f>
        <v>4</v>
      </c>
      <c r="BN23" s="92"/>
      <c r="BO23" s="92"/>
    </row>
    <row r="24" ht="15.25" spans="1:67">
      <c r="A24" s="73">
        <v>2</v>
      </c>
      <c r="B24" s="73" t="s">
        <v>480</v>
      </c>
      <c r="C24" s="73" t="s">
        <v>60</v>
      </c>
      <c r="D24" s="73" t="s">
        <v>58</v>
      </c>
      <c r="E24" s="73" t="s">
        <v>58</v>
      </c>
      <c r="F24" s="74">
        <v>3</v>
      </c>
      <c r="G24" t="s">
        <v>481</v>
      </c>
      <c r="H24" s="74">
        <f t="shared" ref="H24" si="6">F24*G24</f>
        <v>1305</v>
      </c>
      <c r="I24" t="s">
        <v>357</v>
      </c>
      <c r="J24" s="74">
        <v>1.68</v>
      </c>
      <c r="K24" s="74">
        <v>2.5</v>
      </c>
      <c r="L24" s="74">
        <f>H24</f>
        <v>1305</v>
      </c>
      <c r="M24" s="74">
        <f>ROUND(L24*I24%,2)</f>
        <v>30.02</v>
      </c>
      <c r="N24" s="74">
        <f t="shared" ref="N24" si="7">H24-M24</f>
        <v>1274.98</v>
      </c>
      <c r="O24" s="74">
        <f t="shared" ref="O24" si="8">ROUND(N24*J24%,2)</f>
        <v>21.42</v>
      </c>
      <c r="P24" s="74">
        <f t="shared" ref="P24" si="9">ROUND(N24-O24,2)</f>
        <v>1253.56</v>
      </c>
      <c r="Q24" s="74">
        <f t="shared" ref="Q24" si="10">ROUND(P24*K24%,2)</f>
        <v>31.34</v>
      </c>
      <c r="R24" s="74">
        <f t="shared" ref="R24" si="11">M24+O24+Q24</f>
        <v>82.78</v>
      </c>
      <c r="S24" s="74">
        <f>(H24-R24)</f>
        <v>1222.22</v>
      </c>
      <c r="T24" s="74" t="s">
        <v>146</v>
      </c>
      <c r="U24" s="74">
        <v>0.18</v>
      </c>
      <c r="V24" s="74">
        <f t="shared" ref="V24" si="12">IF($C$21=1,ROUND(((S24*U24)/2),2),0)</f>
        <v>110</v>
      </c>
      <c r="W24" s="74">
        <f>IF($C$21=1,ROUND(((S24*U24)/2),2),0)</f>
        <v>110</v>
      </c>
      <c r="X24" s="74">
        <f>IF($C$21=2,ROUND(((S24*U24)),2),0)</f>
        <v>0</v>
      </c>
      <c r="Y24" s="74">
        <f t="shared" ref="Y24" si="13">V24+W24+X24</f>
        <v>220</v>
      </c>
      <c r="Z24" s="74">
        <f t="shared" si="1"/>
        <v>1442.22</v>
      </c>
      <c r="AA24" s="74">
        <v>200</v>
      </c>
      <c r="AB24" s="74">
        <f>IF($P$21=1,(S24/$S$25)*$E$36,AA24/$AA$25*$E$36)</f>
        <v>0</v>
      </c>
      <c r="AC24" s="74"/>
      <c r="AD24" s="74">
        <f>IF($P$21=1,(S24/$S$25)*$E$38,AA24/$AA$25*$E$38)</f>
        <v>0</v>
      </c>
      <c r="AE24" s="74">
        <f>IF($P$21=1,(S24/$S$25)*$E$38,AA24/$AA$25*$E$38)</f>
        <v>0</v>
      </c>
      <c r="AF24" s="74">
        <f t="shared" si="2"/>
        <v>1222.22</v>
      </c>
      <c r="AG24" s="74">
        <f t="shared" si="3"/>
        <v>0</v>
      </c>
      <c r="AH24" s="74">
        <f t="shared" si="4"/>
        <v>0</v>
      </c>
      <c r="AI24" s="74">
        <v>1</v>
      </c>
      <c r="AJ24" s="74">
        <f t="shared" si="5"/>
        <v>3</v>
      </c>
      <c r="AK24" s="74">
        <f t="shared" ref="AK24" si="14">AF24/AJ24</f>
        <v>407.406666666667</v>
      </c>
      <c r="AL24" s="74">
        <f t="shared" ref="AL24" si="15">AG24/AJ24</f>
        <v>0</v>
      </c>
      <c r="AM24" s="74">
        <f t="shared" ref="AM24" si="16">AH24/AJ24</f>
        <v>0</v>
      </c>
      <c r="AN24" s="74" t="s">
        <v>58</v>
      </c>
      <c r="AO24" s="74">
        <f t="shared" ref="AO24" si="17">AK24+AL24+AM24</f>
        <v>407.406666666667</v>
      </c>
      <c r="AP24" s="88" t="s">
        <v>222</v>
      </c>
      <c r="AQ24" s="88" t="s">
        <v>58</v>
      </c>
      <c r="AR24" t="s">
        <v>240</v>
      </c>
      <c r="AS24" t="s">
        <v>482</v>
      </c>
      <c r="AT24" s="88">
        <f t="shared" ref="AT24" si="18">AJ24</f>
        <v>3</v>
      </c>
      <c r="AU24" s="88">
        <f>AO24</f>
        <v>407.406666666667</v>
      </c>
      <c r="AV24" s="88">
        <f t="shared" ref="AV24" si="19">AR24+AT24</f>
        <v>3</v>
      </c>
      <c r="AW24" s="88">
        <f>ROUND(((AR24*AS24)+(AT24*AU24))/(AR24+AT24),5)</f>
        <v>407.40667</v>
      </c>
      <c r="AX24" s="90"/>
      <c r="AY24" s="90"/>
      <c r="AZ24" s="91" t="s">
        <v>38</v>
      </c>
      <c r="BA24" s="97" t="s">
        <v>294</v>
      </c>
      <c r="BB24" s="97"/>
      <c r="BC24" s="90"/>
      <c r="BD24" s="90"/>
      <c r="BE24" s="90"/>
      <c r="BF24" s="88"/>
      <c r="BG24" s="88"/>
      <c r="BH24" s="88"/>
      <c r="BI24" s="88" t="s">
        <v>31</v>
      </c>
      <c r="BJ24" t="s">
        <v>482</v>
      </c>
      <c r="BK24" t="s">
        <v>266</v>
      </c>
      <c r="BL24" s="88">
        <f t="shared" ref="BL24" si="20">ROUND((((AT24*AW24)+(BK24*BJ24))/(AT24+BK24)),5)</f>
        <v>407.40667</v>
      </c>
      <c r="BM24" s="92">
        <f t="shared" ref="BM24" si="21">BK24+AT24</f>
        <v>6</v>
      </c>
      <c r="BN24" s="92"/>
      <c r="BO24" s="92"/>
    </row>
    <row r="25" ht="15.25" spans="1:42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2877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181.13</v>
      </c>
      <c r="S25" s="82">
        <f>SUM(S23:S24)</f>
        <v>2695.87</v>
      </c>
      <c r="T25" s="76"/>
      <c r="U25" s="76"/>
      <c r="V25" s="83">
        <f t="shared" ref="V25:AB25" si="22">SUM(V23:V24)</f>
        <v>242.63</v>
      </c>
      <c r="W25" s="83">
        <f t="shared" si="22"/>
        <v>242.63</v>
      </c>
      <c r="X25" s="83">
        <f t="shared" si="22"/>
        <v>0</v>
      </c>
      <c r="Y25" s="76">
        <f t="shared" si="22"/>
        <v>485.26</v>
      </c>
      <c r="Z25" s="85">
        <f t="shared" si="22"/>
        <v>3181.13</v>
      </c>
      <c r="AA25" s="86">
        <f t="shared" si="22"/>
        <v>320</v>
      </c>
      <c r="AB25" s="86">
        <f t="shared" si="22"/>
        <v>0</v>
      </c>
      <c r="AC25" s="85"/>
      <c r="AD25" s="86">
        <f>SUM(AD23:AD24)</f>
        <v>0</v>
      </c>
      <c r="AE25" s="86">
        <f>SUM(AE23:AE24)</f>
        <v>0</v>
      </c>
      <c r="AF25" s="86">
        <f>SUM(AF23:AF24)</f>
        <v>2695.87</v>
      </c>
      <c r="AG25" s="86">
        <f>SUM(AG23:AG24)</f>
        <v>0</v>
      </c>
      <c r="AH25" s="86">
        <f>SUM(AH23:AH24)</f>
        <v>0</v>
      </c>
      <c r="AI25" s="85"/>
      <c r="AJ25" s="85"/>
      <c r="AK25" s="85"/>
      <c r="AL25" s="85"/>
      <c r="AM25" s="85"/>
      <c r="AN25" s="85"/>
      <c r="AO25" s="85"/>
      <c r="AP25" s="71"/>
    </row>
    <row r="26" spans="1:42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0" workbookViewId="0">
      <selection activeCell="B27" sqref="B27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483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363</v>
      </c>
      <c r="H23" s="74">
        <f>F23*G23</f>
        <v>1200</v>
      </c>
      <c r="I23" t="s">
        <v>223</v>
      </c>
      <c r="J23" s="74">
        <v>1.79</v>
      </c>
      <c r="K23" s="74">
        <v>2.5</v>
      </c>
      <c r="L23" s="74">
        <f>H23</f>
        <v>1200</v>
      </c>
      <c r="M23" s="74">
        <f>ROUND(L23*I23%,2)</f>
        <v>24</v>
      </c>
      <c r="N23" s="74">
        <f>H23-M23</f>
        <v>1176</v>
      </c>
      <c r="O23" s="74">
        <f>ROUND(N23*J23%,2)</f>
        <v>21.05</v>
      </c>
      <c r="P23" s="74">
        <f>ROUND(N23-O23,2)</f>
        <v>1154.95</v>
      </c>
      <c r="Q23" s="74">
        <f>ROUND(P23*K23%,2)</f>
        <v>28.87</v>
      </c>
      <c r="R23" s="74">
        <f>M23+O23+Q23</f>
        <v>73.92</v>
      </c>
      <c r="S23" s="74">
        <f>(H23-R23)</f>
        <v>1126.08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202.69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202.69</v>
      </c>
      <c r="AC23" s="74">
        <f>IF($V21=1,S23+AB23,S23)</f>
        <v>1328.77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1126.08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563.04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563.04</v>
      </c>
      <c r="AS23" s="88" t="s">
        <v>312</v>
      </c>
      <c r="AT23" s="88" t="s">
        <v>58</v>
      </c>
      <c r="AU23" t="s">
        <v>240</v>
      </c>
      <c r="AV23" t="s">
        <v>484</v>
      </c>
      <c r="AW23" s="88">
        <f>AM23</f>
        <v>2</v>
      </c>
      <c r="AX23" s="88">
        <f>AR23</f>
        <v>563.04</v>
      </c>
      <c r="AY23" s="88">
        <f>AU23+AW23</f>
        <v>2</v>
      </c>
      <c r="AZ23" s="88">
        <f>ROUND(((AU23*AV23)+(AW23*AX23))/(AU23+AW23),5)</f>
        <v>563.04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367</v>
      </c>
      <c r="BM23" t="s">
        <v>484</v>
      </c>
      <c r="BN23" t="s">
        <v>304</v>
      </c>
      <c r="BO23" s="88">
        <f>ROUND((((AW23*AZ23)+(BN23*BM23))/(AW23+BN23)),5)</f>
        <v>563.04</v>
      </c>
      <c r="BP23" s="92">
        <f>BN23+AW23</f>
        <v>6</v>
      </c>
      <c r="BQ23" s="93">
        <v>88363222</v>
      </c>
      <c r="BR23" s="92"/>
    </row>
    <row r="24" ht="15.25" spans="1:70">
      <c r="A24" s="73">
        <v>2</v>
      </c>
      <c r="B24" s="73" t="s">
        <v>485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256</v>
      </c>
      <c r="H24" s="74">
        <f>F24*G24</f>
        <v>1000</v>
      </c>
      <c r="I24" t="s">
        <v>223</v>
      </c>
      <c r="J24" s="74">
        <v>1.79</v>
      </c>
      <c r="K24" s="74">
        <v>2.5</v>
      </c>
      <c r="L24" s="74">
        <f>H24</f>
        <v>1000</v>
      </c>
      <c r="M24" s="74">
        <f>ROUND(L24*I24%,2)</f>
        <v>20</v>
      </c>
      <c r="N24" s="74">
        <f>H24-M24</f>
        <v>980</v>
      </c>
      <c r="O24" s="74">
        <f>ROUND(N24*J24%,2)</f>
        <v>17.54</v>
      </c>
      <c r="P24" s="74">
        <f>ROUND(N24-O24,2)</f>
        <v>962.46</v>
      </c>
      <c r="Q24" s="74">
        <f>ROUND(P24*K24%,2)</f>
        <v>24.06</v>
      </c>
      <c r="R24" s="74">
        <f>M24+O24+Q24</f>
        <v>61.6</v>
      </c>
      <c r="S24" s="74">
        <f>(H24-R24)</f>
        <v>938.4</v>
      </c>
      <c r="T24" s="74" t="s">
        <v>146</v>
      </c>
      <c r="U24" s="74">
        <v>0.18</v>
      </c>
      <c r="V24" s="74">
        <f>IF(OR($C$21=1,$C$21=4),ROUND(((S24*U24)/2),2),0)</f>
        <v>0</v>
      </c>
      <c r="W24" s="74">
        <f>IF($C$21=1,ROUND(((S24*U24)/2),2),0)</f>
        <v>0</v>
      </c>
      <c r="X24" s="74">
        <f>IF($C$21=2,ROUND(((S24*U24)),2),0)</f>
        <v>168.91</v>
      </c>
      <c r="Y24" s="74">
        <f>IF($C$21=4,ROUND(((S24*U24)/2),2),0)</f>
        <v>0</v>
      </c>
      <c r="Z24" s="84">
        <v>0</v>
      </c>
      <c r="AA24" s="74">
        <f>IF($C22=3,0,ROUND(S24*Z24,2))</f>
        <v>0</v>
      </c>
      <c r="AB24" s="74">
        <f>V24+W24+X24+Y24+AA24</f>
        <v>168.91</v>
      </c>
      <c r="AC24" s="74">
        <f>IF($V22=1,S24+AB24,S24)</f>
        <v>938.4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938.4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469.2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469.2</v>
      </c>
      <c r="AS24" s="88" t="s">
        <v>312</v>
      </c>
      <c r="AT24" s="88" t="s">
        <v>58</v>
      </c>
      <c r="AU24" t="s">
        <v>240</v>
      </c>
      <c r="AV24" t="s">
        <v>258</v>
      </c>
      <c r="AW24" s="88">
        <f>AM24</f>
        <v>2</v>
      </c>
      <c r="AX24" s="88">
        <f>AR24</f>
        <v>469.2</v>
      </c>
      <c r="AY24" s="88">
        <f>AU24+AW24</f>
        <v>2</v>
      </c>
      <c r="AZ24" s="88">
        <f>ROUND(((AU24*AV24)+(AW24*AX24))/(AU24+AW24),5)</f>
        <v>469.2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367</v>
      </c>
      <c r="BM24" t="s">
        <v>258</v>
      </c>
      <c r="BN24" t="s">
        <v>304</v>
      </c>
      <c r="BO24" s="88">
        <f>ROUND((((AW24*AZ24)+(BN24*BM24))/(AW24+BN24)),5)</f>
        <v>469.2</v>
      </c>
      <c r="BP24" s="92">
        <f>BN24+AW24</f>
        <v>6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2200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135.52</v>
      </c>
      <c r="S25" s="82">
        <f>SUM(S23:S24)</f>
        <v>2064.48</v>
      </c>
      <c r="T25" s="76"/>
      <c r="U25" s="76"/>
      <c r="V25" s="83">
        <f>SUM(V23:V24)</f>
        <v>0</v>
      </c>
      <c r="W25" s="83">
        <f>SUM(W23:W24)</f>
        <v>0</v>
      </c>
      <c r="X25" s="83">
        <f>SUM(X23:X24)</f>
        <v>371.6</v>
      </c>
      <c r="Y25" s="83">
        <f>SUM(Y23:Y24)</f>
        <v>0</v>
      </c>
      <c r="Z25" s="83"/>
      <c r="AA25" s="83">
        <f>SUM(AA23:AA24)</f>
        <v>0</v>
      </c>
      <c r="AB25" s="76">
        <f>SUM(AB23:AB24)</f>
        <v>371.6</v>
      </c>
      <c r="AC25" s="85">
        <f>SUM(AC23:AC24)</f>
        <v>2267.17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2064.48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6"/>
  <sheetViews>
    <sheetView topLeftCell="A16" workbookViewId="0">
      <selection activeCell="D21" sqref="D21"/>
    </sheetView>
  </sheetViews>
  <sheetFormatPr defaultColWidth="9" defaultRowHeight="14.5"/>
  <cols>
    <col min="2" max="2" width="30.2818181818182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52" max="52" width="18.8545454545455" customWidth="1"/>
    <col min="60" max="60" width="12.5727272727273" customWidth="1"/>
    <col min="61" max="61" width="21.7090909090909" customWidth="1"/>
    <col min="62" max="63" width="30.5727272727273" customWidth="1"/>
    <col min="64" max="64" width="8.13636363636364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/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486</v>
      </c>
      <c r="C23" s="73" t="s">
        <v>57</v>
      </c>
      <c r="D23" s="73" t="s">
        <v>58</v>
      </c>
      <c r="E23" s="73" t="s">
        <v>58</v>
      </c>
      <c r="F23" s="74">
        <v>2</v>
      </c>
      <c r="G23" t="s">
        <v>363</v>
      </c>
      <c r="H23" s="74">
        <f>F23*G23</f>
        <v>1200</v>
      </c>
      <c r="I23" t="s">
        <v>223</v>
      </c>
      <c r="J23" s="74">
        <v>1.79</v>
      </c>
      <c r="K23" s="74">
        <v>2.5</v>
      </c>
      <c r="L23" s="74">
        <f>H23</f>
        <v>1200</v>
      </c>
      <c r="M23" s="74">
        <f>ROUND(L23*I23%,2)</f>
        <v>24</v>
      </c>
      <c r="N23" s="74">
        <f>H23-M23</f>
        <v>1176</v>
      </c>
      <c r="O23" s="74">
        <f>ROUND(N23*J23%,2)</f>
        <v>21.05</v>
      </c>
      <c r="P23" s="74">
        <f>ROUND(N23-O23,2)</f>
        <v>1154.95</v>
      </c>
      <c r="Q23" s="74">
        <f>ROUND(P23*K23%,2)</f>
        <v>28.87</v>
      </c>
      <c r="R23" s="74">
        <f>M23+O23+Q23</f>
        <v>73.92</v>
      </c>
      <c r="S23" s="74">
        <f>(H23-R23)</f>
        <v>1126.08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202.69</v>
      </c>
      <c r="Y23" s="74">
        <f>IF($C$21=4,ROUND(((S23*U23)/2),2),0)</f>
        <v>0</v>
      </c>
      <c r="Z23" s="84">
        <v>0</v>
      </c>
      <c r="AA23" s="74">
        <f>IF($C21=3,0,ROUND(S23*Z23,2))</f>
        <v>0</v>
      </c>
      <c r="AB23" s="74">
        <f>V23+W23+X23+Y23+AA23</f>
        <v>202.69</v>
      </c>
      <c r="AC23" s="74">
        <f>IF($V21=1,S23+AB23,S23)</f>
        <v>1328.77</v>
      </c>
      <c r="AD23" s="74">
        <v>120</v>
      </c>
      <c r="AE23" s="74">
        <f>IF($P$21=1,(S23/$S$25)*$E$36,AD23/$AD$25*$E$36)</f>
        <v>0</v>
      </c>
      <c r="AF23" s="74"/>
      <c r="AG23" s="74">
        <f>IF($P$21=1,(S23/$S$25)*$E$38,AD23/$AD$25*$E$38)</f>
        <v>0</v>
      </c>
      <c r="AH23" s="74">
        <f>IF($P$21=1,(S23/$S$25)*$E$38,AD23/$AD$25*$E$38)</f>
        <v>0</v>
      </c>
      <c r="AI23" s="74">
        <f t="shared" ref="AI23:AI24" si="1">S23*$M$21</f>
        <v>1126.08</v>
      </c>
      <c r="AJ23" s="74">
        <f t="shared" ref="AJ23:AJ24" si="2">IF($C$21=3,0,AG23+AH23)</f>
        <v>0</v>
      </c>
      <c r="AK23" s="74">
        <f t="shared" ref="AK23:AK24" si="3">IF($C$21=3,AE23+AG23+AH23,0)</f>
        <v>0</v>
      </c>
      <c r="AL23" s="74">
        <v>1</v>
      </c>
      <c r="AM23" s="74">
        <f t="shared" ref="AM23:AM24" si="4">F23/AL23</f>
        <v>2</v>
      </c>
      <c r="AN23" s="74">
        <f>AI23/AM23</f>
        <v>563.04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563.04</v>
      </c>
      <c r="AS23" s="88" t="s">
        <v>312</v>
      </c>
      <c r="AT23" s="88" t="s">
        <v>58</v>
      </c>
      <c r="AU23" t="s">
        <v>240</v>
      </c>
      <c r="AV23" t="s">
        <v>484</v>
      </c>
      <c r="AW23" s="88">
        <f>AM23</f>
        <v>2</v>
      </c>
      <c r="AX23" s="88">
        <f>AR23</f>
        <v>563.04</v>
      </c>
      <c r="AY23" s="88">
        <f>AU23+AW23</f>
        <v>2</v>
      </c>
      <c r="AZ23" s="88">
        <f>ROUND(((AU23*AV23)+(AW23*AX23))/(AU23+AW23),5)</f>
        <v>563.04</v>
      </c>
      <c r="BA23" s="90"/>
      <c r="BB23" s="90" t="s">
        <v>149</v>
      </c>
      <c r="BC23" s="100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367</v>
      </c>
      <c r="BM23" t="s">
        <v>484</v>
      </c>
      <c r="BN23" t="s">
        <v>223</v>
      </c>
      <c r="BO23" s="88">
        <f>ROUND((((AW23*AZ23)+(BN23*BM23))/(AW23+BN23)),5)</f>
        <v>563.04</v>
      </c>
      <c r="BP23" s="92">
        <f>BN23+AW23</f>
        <v>4</v>
      </c>
      <c r="BQ23" s="93">
        <v>88363222</v>
      </c>
      <c r="BR23" s="92"/>
    </row>
    <row r="24" ht="15.25" spans="1:70">
      <c r="A24" s="73">
        <v>2</v>
      </c>
      <c r="B24" s="73" t="s">
        <v>487</v>
      </c>
      <c r="C24" s="73" t="s">
        <v>57</v>
      </c>
      <c r="D24" s="73" t="s">
        <v>58</v>
      </c>
      <c r="E24" s="73" t="s">
        <v>58</v>
      </c>
      <c r="F24" s="74">
        <v>2</v>
      </c>
      <c r="G24" t="s">
        <v>488</v>
      </c>
      <c r="H24" s="74">
        <f>F24*G24</f>
        <v>1400</v>
      </c>
      <c r="I24" t="s">
        <v>266</v>
      </c>
      <c r="J24" s="74">
        <v>1.79</v>
      </c>
      <c r="K24" s="74">
        <v>2.5</v>
      </c>
      <c r="L24" s="74">
        <f>H24</f>
        <v>1400</v>
      </c>
      <c r="M24" s="74">
        <f>ROUND(L24*I24%,2)</f>
        <v>42</v>
      </c>
      <c r="N24" s="74">
        <f>H24-M24</f>
        <v>1358</v>
      </c>
      <c r="O24" s="74">
        <f>ROUND(N24*J24%,2)</f>
        <v>24.31</v>
      </c>
      <c r="P24" s="74">
        <f>ROUND(N24-O24,2)</f>
        <v>1333.69</v>
      </c>
      <c r="Q24" s="74">
        <f>ROUND(P24*K24%,2)</f>
        <v>33.34</v>
      </c>
      <c r="R24" s="74">
        <f>M24+O24+Q24</f>
        <v>99.65</v>
      </c>
      <c r="S24" s="74">
        <f>(H24-R24)</f>
        <v>1300.35</v>
      </c>
      <c r="T24" s="74" t="s">
        <v>146</v>
      </c>
      <c r="U24" s="74">
        <v>0.18</v>
      </c>
      <c r="V24" s="74">
        <f>IF(OR($C$21=1,$C$21=4),ROUND(((S24*U24)/2),2),0)</f>
        <v>0</v>
      </c>
      <c r="W24" s="74">
        <f>IF($C$21=1,ROUND(((S24*U24)/2),2),0)</f>
        <v>0</v>
      </c>
      <c r="X24" s="74">
        <f>IF($C$21=2,ROUND(((S24*U24)),2),0)</f>
        <v>234.06</v>
      </c>
      <c r="Y24" s="74">
        <f>IF($C$21=4,ROUND(((S24*U24)/2),2),0)</f>
        <v>0</v>
      </c>
      <c r="Z24" s="84">
        <v>0</v>
      </c>
      <c r="AA24" s="74">
        <f>IF($C22=3,0,ROUND(S24*Z24,2))</f>
        <v>0</v>
      </c>
      <c r="AB24" s="74">
        <f>V24+W24+X24+Y24+AA24</f>
        <v>234.06</v>
      </c>
      <c r="AC24" s="74">
        <f>IF($V22=1,S24+AB24,S24)</f>
        <v>1300.35</v>
      </c>
      <c r="AD24" s="74">
        <v>120</v>
      </c>
      <c r="AE24" s="74">
        <f>IF($P$21=1,(S24/$S$25)*$E$36,AD24/$AD$25*$E$36)</f>
        <v>0</v>
      </c>
      <c r="AF24" s="74"/>
      <c r="AG24" s="74">
        <f>IF($P$21=1,(S24/$S$25)*$E$38,AD24/$AD$25*$E$38)</f>
        <v>0</v>
      </c>
      <c r="AH24" s="74">
        <f>IF($P$21=1,(S24/$S$25)*$E$38,AD24/$AD$25*$E$38)</f>
        <v>0</v>
      </c>
      <c r="AI24" s="74">
        <f t="shared" si="1"/>
        <v>1300.35</v>
      </c>
      <c r="AJ24" s="74">
        <f t="shared" si="2"/>
        <v>0</v>
      </c>
      <c r="AK24" s="74">
        <f t="shared" si="3"/>
        <v>0</v>
      </c>
      <c r="AL24" s="74">
        <v>1</v>
      </c>
      <c r="AM24" s="74">
        <f t="shared" si="4"/>
        <v>2</v>
      </c>
      <c r="AN24" s="74">
        <f>AI24/AM24</f>
        <v>650.175</v>
      </c>
      <c r="AO24" s="74">
        <f>AJ24/AM24</f>
        <v>0</v>
      </c>
      <c r="AP24" s="74">
        <f>AK24/AM24</f>
        <v>0</v>
      </c>
      <c r="AQ24" s="74" t="s">
        <v>58</v>
      </c>
      <c r="AR24" s="74">
        <f>AN24+AO24+AP24</f>
        <v>650.175</v>
      </c>
      <c r="AS24" s="88" t="s">
        <v>312</v>
      </c>
      <c r="AT24" s="88" t="s">
        <v>58</v>
      </c>
      <c r="AU24" t="s">
        <v>240</v>
      </c>
      <c r="AV24" t="s">
        <v>489</v>
      </c>
      <c r="AW24" s="88">
        <f>AM24</f>
        <v>2</v>
      </c>
      <c r="AX24" s="88">
        <f>AR24</f>
        <v>650.175</v>
      </c>
      <c r="AY24" s="88">
        <f>AU24+AW24</f>
        <v>2</v>
      </c>
      <c r="AZ24" s="88">
        <f>ROUND(((AU24*AV24)+(AW24*AX24))/(AU24+AW24),5)</f>
        <v>650.175</v>
      </c>
      <c r="BA24" s="90"/>
      <c r="BB24" s="90" t="s">
        <v>149</v>
      </c>
      <c r="BC24" s="100" t="s">
        <v>38</v>
      </c>
      <c r="BD24" s="91" t="s">
        <v>30</v>
      </c>
      <c r="BE24" s="91" t="s">
        <v>39</v>
      </c>
      <c r="BF24" s="90"/>
      <c r="BG24" s="90"/>
      <c r="BH24" s="90"/>
      <c r="BI24" s="88"/>
      <c r="BJ24" s="88"/>
      <c r="BK24" s="88"/>
      <c r="BL24" s="88" t="s">
        <v>367</v>
      </c>
      <c r="BM24" t="s">
        <v>489</v>
      </c>
      <c r="BN24" t="s">
        <v>223</v>
      </c>
      <c r="BO24" s="88">
        <f>ROUND((((AW24*AZ24)+(BN24*BM24))/(AW24+BN24)),5)</f>
        <v>650.175</v>
      </c>
      <c r="BP24" s="92">
        <f>BN24+AW24</f>
        <v>4</v>
      </c>
      <c r="BQ24" s="93">
        <v>88363222</v>
      </c>
      <c r="BR24" s="92"/>
    </row>
    <row r="25" ht="15.25" spans="1:45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2600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173.57</v>
      </c>
      <c r="S25" s="82">
        <f>SUM(S23:S24)</f>
        <v>2426.43</v>
      </c>
      <c r="T25" s="76"/>
      <c r="U25" s="76"/>
      <c r="V25" s="83">
        <f>SUM(V23:V24)</f>
        <v>0</v>
      </c>
      <c r="W25" s="83">
        <f>SUM(W23:W24)</f>
        <v>0</v>
      </c>
      <c r="X25" s="83">
        <f>SUM(X23:X24)</f>
        <v>436.75</v>
      </c>
      <c r="Y25" s="83">
        <f>SUM(Y23:Y24)</f>
        <v>0</v>
      </c>
      <c r="Z25" s="83"/>
      <c r="AA25" s="83">
        <f>SUM(AA23:AA24)</f>
        <v>0</v>
      </c>
      <c r="AB25" s="76">
        <f>SUM(AB23:AB24)</f>
        <v>436.75</v>
      </c>
      <c r="AC25" s="85">
        <f>SUM(AC23:AC24)</f>
        <v>2629.12</v>
      </c>
      <c r="AD25" s="86">
        <f t="shared" ref="AD25:AE25" si="5">SUM(AD23:AD23)</f>
        <v>120</v>
      </c>
      <c r="AE25" s="86">
        <f t="shared" si="5"/>
        <v>0</v>
      </c>
      <c r="AF25" s="85"/>
      <c r="AG25" s="86">
        <f>SUM(AG23:AG23)</f>
        <v>0</v>
      </c>
      <c r="AH25" s="86">
        <f>SUM(AH23:AH23)</f>
        <v>0</v>
      </c>
      <c r="AI25" s="86">
        <f>SUM(AI23:AI24)</f>
        <v>2426.43</v>
      </c>
      <c r="AJ25" s="86">
        <f>SUM(AJ23:AJ23)</f>
        <v>0</v>
      </c>
      <c r="AK25" s="86">
        <f>SUM(AK23:AK23)</f>
        <v>0</v>
      </c>
      <c r="AL25" s="85"/>
      <c r="AM25" s="85"/>
      <c r="AN25" s="85"/>
      <c r="AO25" s="85"/>
      <c r="AP25" s="85"/>
      <c r="AQ25" s="85"/>
      <c r="AR25" s="85"/>
      <c r="AS25" s="71"/>
    </row>
    <row r="26" spans="1:45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</row>
  </sheetData>
  <mergeCells count="3">
    <mergeCell ref="A1:AC1"/>
    <mergeCell ref="B19:G19"/>
    <mergeCell ref="A21:B21"/>
  </mergeCells>
  <pageMargins left="0.7" right="0.7" top="0.75" bottom="0.75" header="0.3" footer="0.3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M34"/>
  <sheetViews>
    <sheetView topLeftCell="I16" workbookViewId="0">
      <selection activeCell="Z20" sqref="Z20:Z27"/>
    </sheetView>
  </sheetViews>
  <sheetFormatPr defaultColWidth="9" defaultRowHeight="14.5"/>
  <cols>
    <col min="2" max="2" width="26.8545454545455" customWidth="1"/>
    <col min="3" max="3" width="19.2818181818182" customWidth="1"/>
    <col min="4" max="4" width="62.7090909090909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32" max="32" width="14.2818181818182" customWidth="1"/>
    <col min="40" max="40" width="11.8545454545455" customWidth="1"/>
    <col min="41" max="41" width="23.2818181818182" customWidth="1"/>
    <col min="42" max="42" width="11.1363636363636" customWidth="1"/>
    <col min="43" max="43" width="11.8545454545455" customWidth="1"/>
    <col min="44" max="44" width="15.2818181818182" customWidth="1"/>
    <col min="45" max="45" width="20.2818181818182" customWidth="1"/>
    <col min="46" max="46" width="11.4272727272727" customWidth="1"/>
    <col min="47" max="47" width="16.2818181818182" customWidth="1"/>
    <col min="48" max="48" width="13.8545454545455" customWidth="1"/>
    <col min="49" max="49" width="18.8545454545455" customWidth="1"/>
    <col min="50" max="50" width="19" customWidth="1"/>
    <col min="51" max="51" width="21.7090909090909" customWidth="1"/>
    <col min="52" max="52" width="16" customWidth="1"/>
    <col min="53" max="53" width="14.2818181818182" customWidth="1"/>
    <col min="54" max="54" width="17.2818181818182" customWidth="1"/>
    <col min="55" max="55" width="13.7090909090909" customWidth="1"/>
    <col min="56" max="56" width="12.4272727272727" customWidth="1"/>
    <col min="57" max="57" width="12.5727272727273" customWidth="1"/>
    <col min="58" max="58" width="21.7090909090909" customWidth="1"/>
    <col min="59" max="59" width="30.5727272727273" customWidth="1"/>
    <col min="62" max="62" width="41.1363636363636" customWidth="1"/>
    <col min="63" max="63" width="37" customWidth="1"/>
    <col min="64" max="64" width="18.8545454545455" customWidth="1"/>
    <col min="65" max="65" width="34.4272727272727" customWidth="1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1"/>
      <c r="AP1" s="71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1"/>
      <c r="AP2" s="71"/>
    </row>
    <row r="3" ht="15.25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71"/>
    </row>
    <row r="4" spans="1:42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1"/>
    </row>
    <row r="5" spans="1:42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1"/>
    </row>
    <row r="6" spans="1:42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1"/>
    </row>
    <row r="7" spans="1:42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1"/>
    </row>
    <row r="8" spans="1:42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1"/>
    </row>
    <row r="9" spans="1:42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1"/>
    </row>
    <row r="10" spans="1:42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1"/>
    </row>
    <row r="11" spans="1:42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1"/>
    </row>
    <row r="12" spans="1:42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1"/>
    </row>
    <row r="13" spans="1:42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1"/>
    </row>
    <row r="14" spans="1:42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1"/>
    </row>
    <row r="15" spans="1:42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1"/>
    </row>
    <row r="16" spans="1:42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1"/>
    </row>
    <row r="17" spans="1:42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>
        <v>5858.27</v>
      </c>
      <c r="T17" s="78"/>
      <c r="U17" s="77"/>
      <c r="V17" s="77"/>
      <c r="W17" s="77"/>
      <c r="X17" s="77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1"/>
    </row>
    <row r="18" ht="15.25" spans="1:42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1"/>
    </row>
    <row r="19" ht="15.25" spans="1:42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1"/>
    </row>
    <row r="20" spans="1:42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1"/>
    </row>
    <row r="21" ht="15.25" spans="1:42">
      <c r="A21" s="21" t="s">
        <v>89</v>
      </c>
      <c r="B21" s="21"/>
      <c r="C21" s="22">
        <v>2</v>
      </c>
      <c r="D21" s="23" t="s">
        <v>90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1"/>
    </row>
    <row r="22" ht="57.5" spans="1:65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113</v>
      </c>
      <c r="Z22" s="43" t="s">
        <v>114</v>
      </c>
      <c r="AA22" s="43" t="s">
        <v>115</v>
      </c>
      <c r="AB22" s="44" t="s">
        <v>116</v>
      </c>
      <c r="AC22" s="44" t="s">
        <v>117</v>
      </c>
      <c r="AD22" s="44" t="s">
        <v>118</v>
      </c>
      <c r="AE22" s="43" t="s">
        <v>119</v>
      </c>
      <c r="AF22" s="43" t="s">
        <v>120</v>
      </c>
      <c r="AG22" s="44" t="s">
        <v>121</v>
      </c>
      <c r="AH22" s="44" t="s">
        <v>122</v>
      </c>
      <c r="AI22" s="43" t="s">
        <v>123</v>
      </c>
      <c r="AJ22" s="43" t="s">
        <v>124</v>
      </c>
      <c r="AK22" s="44" t="s">
        <v>125</v>
      </c>
      <c r="AL22" s="44" t="s">
        <v>126</v>
      </c>
      <c r="AM22" s="44" t="s">
        <v>127</v>
      </c>
      <c r="AN22" s="43" t="s">
        <v>128</v>
      </c>
      <c r="AO22" s="48" t="s">
        <v>129</v>
      </c>
      <c r="AP22" s="3" t="s">
        <v>215</v>
      </c>
      <c r="AQ22" s="3" t="s">
        <v>128</v>
      </c>
      <c r="AR22" s="87" t="s">
        <v>131</v>
      </c>
      <c r="AS22" s="87" t="s">
        <v>132</v>
      </c>
      <c r="AT22" s="87" t="s">
        <v>133</v>
      </c>
      <c r="AU22" s="87" t="s">
        <v>134</v>
      </c>
      <c r="AV22" s="87" t="s">
        <v>135</v>
      </c>
      <c r="AW22" s="87" t="s">
        <v>136</v>
      </c>
      <c r="AX22" s="87" t="s">
        <v>137</v>
      </c>
      <c r="AY22" s="87" t="s">
        <v>138</v>
      </c>
      <c r="AZ22" s="89" t="s">
        <v>139</v>
      </c>
      <c r="BA22" s="89" t="s">
        <v>8</v>
      </c>
      <c r="BB22" s="89" t="s">
        <v>9</v>
      </c>
      <c r="BC22" s="87" t="s">
        <v>216</v>
      </c>
      <c r="BD22" s="87" t="s">
        <v>140</v>
      </c>
      <c r="BE22" s="87" t="s">
        <v>141</v>
      </c>
      <c r="BF22" s="87" t="s">
        <v>142</v>
      </c>
      <c r="BG22" s="87" t="s">
        <v>143</v>
      </c>
      <c r="BH22" s="87" t="s">
        <v>144</v>
      </c>
      <c r="BI22" s="87" t="s">
        <v>217</v>
      </c>
      <c r="BJ22" s="49" t="s">
        <v>218</v>
      </c>
      <c r="BK22" s="87" t="s">
        <v>219</v>
      </c>
      <c r="BL22" s="87" t="s">
        <v>136</v>
      </c>
      <c r="BM22" s="95" t="s">
        <v>220</v>
      </c>
    </row>
    <row r="23" ht="15.25" spans="1:64">
      <c r="A23" s="73">
        <v>1</v>
      </c>
      <c r="B23" s="73" t="s">
        <v>490</v>
      </c>
      <c r="C23" s="73" t="s">
        <v>57</v>
      </c>
      <c r="D23" s="73" t="s">
        <v>163</v>
      </c>
      <c r="E23" s="73" t="s">
        <v>163</v>
      </c>
      <c r="F23" s="74">
        <v>25</v>
      </c>
      <c r="G23" t="s">
        <v>491</v>
      </c>
      <c r="H23" s="74">
        <f>F23*G23</f>
        <v>86325</v>
      </c>
      <c r="I23" t="s">
        <v>266</v>
      </c>
      <c r="J23" s="74">
        <v>1.79</v>
      </c>
      <c r="K23" s="74">
        <v>2.5</v>
      </c>
      <c r="L23" s="74">
        <f>H23</f>
        <v>86325</v>
      </c>
      <c r="M23" s="74">
        <f>ROUND(L23*I23%,2)</f>
        <v>2589.75</v>
      </c>
      <c r="N23" s="74">
        <f>H23-M23</f>
        <v>83735.25</v>
      </c>
      <c r="O23" s="74">
        <f>ROUND(N23*J23%,2)</f>
        <v>1498.86</v>
      </c>
      <c r="P23" s="74">
        <f>ROUND(N23-O23,2)</f>
        <v>82236.39</v>
      </c>
      <c r="Q23" s="74">
        <f>ROUND(P23*K23%,2)</f>
        <v>2055.91</v>
      </c>
      <c r="R23" s="74">
        <f>M23+O23+Q23</f>
        <v>6144.52</v>
      </c>
      <c r="S23" s="74">
        <f>(H23-R23)</f>
        <v>80180.48</v>
      </c>
      <c r="T23" s="74" t="s">
        <v>146</v>
      </c>
      <c r="U23" s="74">
        <v>0.18</v>
      </c>
      <c r="V23" s="74">
        <f>IF($C$21=1,ROUND(((S23*U23)/2),2),0)</f>
        <v>0</v>
      </c>
      <c r="W23" s="74">
        <f>IF($C$21=1,ROUND(((S23*U23)/2),2),0)</f>
        <v>0</v>
      </c>
      <c r="X23" s="74">
        <f>IF($C$21=2,ROUND(((S23*U23)),2),0)</f>
        <v>14432.49</v>
      </c>
      <c r="Y23" s="74">
        <f>V23+W23+X23</f>
        <v>14432.49</v>
      </c>
      <c r="Z23" s="74">
        <f t="shared" ref="Z23" si="1">S23+Y23</f>
        <v>94612.97</v>
      </c>
      <c r="AA23" s="74">
        <v>120</v>
      </c>
      <c r="AB23" s="74">
        <f>IF($P$21=1,(S23/$S$24)*$E$35,AA23/$AA$24*$E$35)</f>
        <v>0</v>
      </c>
      <c r="AC23" s="74"/>
      <c r="AD23" s="74">
        <f>IF($P$21=1,(S23/$S$24)*$E$37,AA23/$AA$24*$E$37)</f>
        <v>0</v>
      </c>
      <c r="AE23" s="74">
        <f>IF($P$21=1,(S23/$S$24)*$E$37,AA23/$AA$24*$E$37)</f>
        <v>0</v>
      </c>
      <c r="AF23" s="74">
        <f t="shared" ref="AF23" si="2">S23*$M$21</f>
        <v>80180.48</v>
      </c>
      <c r="AG23" s="74">
        <f t="shared" ref="AG23" si="3">IF($C$21=3,0,AD23+AE23)</f>
        <v>0</v>
      </c>
      <c r="AH23" s="74">
        <f t="shared" ref="AH23" si="4">IF($C$21=3,AB23+AD23+AE23,0)</f>
        <v>0</v>
      </c>
      <c r="AI23" s="74">
        <v>1</v>
      </c>
      <c r="AJ23" s="74">
        <f t="shared" ref="AJ23" si="5">F23/AI23</f>
        <v>25</v>
      </c>
      <c r="AK23" s="74">
        <f>AF23/AJ23</f>
        <v>3207.2192</v>
      </c>
      <c r="AL23" s="74">
        <f>AG23/AJ23</f>
        <v>0</v>
      </c>
      <c r="AM23" s="74">
        <f>AH23/AJ23</f>
        <v>0</v>
      </c>
      <c r="AN23" s="74" t="s">
        <v>58</v>
      </c>
      <c r="AO23" s="74">
        <f>AK23+AL23+AM23</f>
        <v>3207.2192</v>
      </c>
      <c r="AP23" s="88" t="s">
        <v>350</v>
      </c>
      <c r="AQ23" s="88" t="s">
        <v>58</v>
      </c>
      <c r="AT23" s="88">
        <f>AJ23</f>
        <v>25</v>
      </c>
      <c r="AW23" s="88">
        <f>ROUND(((AR23*AS23)+(AT23*AU23))/(AR23+AT23),5)</f>
        <v>0</v>
      </c>
      <c r="AX23" s="90"/>
      <c r="AY23" s="90" t="s">
        <v>149</v>
      </c>
      <c r="AZ23" s="97" t="s">
        <v>29</v>
      </c>
      <c r="BA23" s="91" t="s">
        <v>30</v>
      </c>
      <c r="BB23" s="91" t="s">
        <v>39</v>
      </c>
      <c r="BC23" s="90"/>
      <c r="BD23" s="90"/>
      <c r="BE23" s="90"/>
      <c r="BF23" s="88"/>
      <c r="BG23" s="88"/>
      <c r="BH23" s="88"/>
      <c r="BI23" s="88" t="s">
        <v>351</v>
      </c>
      <c r="BJ23" t="s">
        <v>240</v>
      </c>
      <c r="BK23" t="s">
        <v>240</v>
      </c>
      <c r="BL23" s="88">
        <f>ROUND((((AT23*AW23)+(BK23*BJ23))/(AT23+BK23)),5)</f>
        <v>0</v>
      </c>
    </row>
    <row r="24" ht="15.25" spans="1:42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86325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6144.52</v>
      </c>
      <c r="S24" s="82">
        <f>SUM(S23:S23)</f>
        <v>80180.48</v>
      </c>
      <c r="T24" s="76"/>
      <c r="U24" s="76"/>
      <c r="V24" s="83">
        <f t="shared" ref="V24:AB24" si="6">SUM(V23:V23)</f>
        <v>0</v>
      </c>
      <c r="W24" s="83">
        <f t="shared" si="6"/>
        <v>0</v>
      </c>
      <c r="X24" s="83">
        <f t="shared" si="6"/>
        <v>14432.49</v>
      </c>
      <c r="Y24" s="76">
        <f t="shared" si="6"/>
        <v>14432.49</v>
      </c>
      <c r="Z24" s="85">
        <f t="shared" si="6"/>
        <v>94612.97</v>
      </c>
      <c r="AA24" s="86">
        <f t="shared" si="6"/>
        <v>120</v>
      </c>
      <c r="AB24" s="86">
        <f t="shared" si="6"/>
        <v>0</v>
      </c>
      <c r="AC24" s="85"/>
      <c r="AD24" s="86">
        <f>SUM(AD23:AD23)</f>
        <v>0</v>
      </c>
      <c r="AE24" s="86">
        <f>SUM(AE23:AE23)</f>
        <v>0</v>
      </c>
      <c r="AF24" s="86">
        <f>SUM(AF23:AF23)</f>
        <v>80180.48</v>
      </c>
      <c r="AG24" s="86">
        <f>SUM(AG23:AG23)</f>
        <v>0</v>
      </c>
      <c r="AH24" s="86">
        <f>SUM(AH23:AH23)</f>
        <v>0</v>
      </c>
      <c r="AI24" s="85"/>
      <c r="AJ24" s="85"/>
      <c r="AK24" s="85"/>
      <c r="AL24" s="85"/>
      <c r="AM24" s="85"/>
      <c r="AN24" s="85"/>
      <c r="AO24" s="85"/>
      <c r="AP24" s="71"/>
    </row>
    <row r="25" ht="15.25" spans="1:60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98"/>
      <c r="AQ25" s="98"/>
      <c r="BG25" s="98"/>
      <c r="BH25" s="98"/>
    </row>
    <row r="26" ht="15.25" spans="60:61">
      <c r="BH26" s="99"/>
      <c r="BI26" s="99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26"/>
  <sheetViews>
    <sheetView workbookViewId="0">
      <selection activeCell="A1" sqref="$A1:$XFD1048576"/>
    </sheetView>
  </sheetViews>
  <sheetFormatPr defaultColWidth="9" defaultRowHeight="14.5"/>
  <cols>
    <col min="2" max="2" width="26.8545454545455" customWidth="1"/>
    <col min="3" max="3" width="19.2818181818182" customWidth="1"/>
    <col min="4" max="4" width="62.7090909090909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26" max="26" width="10.2818181818182" customWidth="1"/>
    <col min="27" max="27" width="12.8545454545455" customWidth="1"/>
    <col min="28" max="28" width="8.70909090909091" customWidth="1"/>
    <col min="48" max="48" width="13.8545454545455" customWidth="1"/>
    <col min="57" max="57" width="12.5727272727273" customWidth="1"/>
    <col min="58" max="58" width="21.7090909090909" customWidth="1"/>
    <col min="59" max="60" width="30.5727272727273" customWidth="1"/>
    <col min="64" max="64" width="18.8545454545455" customWidth="1"/>
    <col min="65" max="65" width="34.4272727272727" customWidth="1"/>
  </cols>
  <sheetData>
    <row r="1" ht="17.5" spans="1:42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71"/>
      <c r="AP1" s="71"/>
    </row>
    <row r="2" ht="18.25" spans="1:42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71"/>
      <c r="AP2" s="71"/>
    </row>
    <row r="3" ht="15.25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71"/>
    </row>
    <row r="4" spans="1:42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1"/>
    </row>
    <row r="5" spans="1:42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1"/>
    </row>
    <row r="6" spans="1:42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1"/>
    </row>
    <row r="7" spans="1:42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1"/>
    </row>
    <row r="8" spans="1:42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1"/>
    </row>
    <row r="9" spans="1:42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1"/>
    </row>
    <row r="10" spans="1:42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1"/>
    </row>
    <row r="11" spans="1:42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1"/>
    </row>
    <row r="12" spans="1:42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1"/>
    </row>
    <row r="13" spans="1:42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1"/>
    </row>
    <row r="14" spans="1:42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1"/>
    </row>
    <row r="15" spans="1:42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1"/>
    </row>
    <row r="16" spans="1:42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1"/>
    </row>
    <row r="17" spans="1:42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>
        <v>5858.27</v>
      </c>
      <c r="T17" s="78"/>
      <c r="U17" s="77"/>
      <c r="V17" s="77"/>
      <c r="W17" s="77"/>
      <c r="X17" s="77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1"/>
    </row>
    <row r="18" ht="15.25" spans="1:42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1"/>
    </row>
    <row r="19" ht="15.25" spans="1:42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1"/>
    </row>
    <row r="20" spans="1:42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1"/>
    </row>
    <row r="21" ht="15.25" spans="1:42">
      <c r="A21" s="21" t="s">
        <v>89</v>
      </c>
      <c r="B21" s="21"/>
      <c r="C21" s="22">
        <v>1</v>
      </c>
      <c r="D21" s="23" t="s">
        <v>90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1"/>
    </row>
    <row r="22" ht="57.5" spans="1:66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113</v>
      </c>
      <c r="Z22" s="43" t="s">
        <v>114</v>
      </c>
      <c r="AA22" s="43" t="s">
        <v>115</v>
      </c>
      <c r="AB22" s="44" t="s">
        <v>116</v>
      </c>
      <c r="AC22" s="44" t="s">
        <v>117</v>
      </c>
      <c r="AD22" s="44" t="s">
        <v>118</v>
      </c>
      <c r="AE22" s="43" t="s">
        <v>119</v>
      </c>
      <c r="AF22" s="43" t="s">
        <v>120</v>
      </c>
      <c r="AG22" s="44" t="s">
        <v>121</v>
      </c>
      <c r="AH22" s="44" t="s">
        <v>122</v>
      </c>
      <c r="AI22" s="43" t="s">
        <v>123</v>
      </c>
      <c r="AJ22" s="43" t="s">
        <v>124</v>
      </c>
      <c r="AK22" s="44" t="s">
        <v>125</v>
      </c>
      <c r="AL22" s="44" t="s">
        <v>126</v>
      </c>
      <c r="AM22" s="44" t="s">
        <v>127</v>
      </c>
      <c r="AN22" s="43" t="s">
        <v>128</v>
      </c>
      <c r="AO22" s="48" t="s">
        <v>129</v>
      </c>
      <c r="AP22" s="3" t="s">
        <v>215</v>
      </c>
      <c r="AQ22" s="3" t="s">
        <v>128</v>
      </c>
      <c r="AR22" s="87" t="s">
        <v>131</v>
      </c>
      <c r="AS22" s="87" t="s">
        <v>132</v>
      </c>
      <c r="AT22" s="87" t="s">
        <v>133</v>
      </c>
      <c r="AU22" s="87" t="s">
        <v>134</v>
      </c>
      <c r="AV22" s="87" t="s">
        <v>135</v>
      </c>
      <c r="AW22" s="87" t="s">
        <v>136</v>
      </c>
      <c r="AX22" s="87" t="s">
        <v>137</v>
      </c>
      <c r="AY22" s="87" t="s">
        <v>138</v>
      </c>
      <c r="AZ22" s="89" t="s">
        <v>139</v>
      </c>
      <c r="BA22" s="89" t="s">
        <v>8</v>
      </c>
      <c r="BB22" s="89" t="s">
        <v>9</v>
      </c>
      <c r="BC22" s="87" t="s">
        <v>216</v>
      </c>
      <c r="BD22" s="87" t="s">
        <v>140</v>
      </c>
      <c r="BE22" s="87" t="s">
        <v>141</v>
      </c>
      <c r="BF22" s="87" t="s">
        <v>142</v>
      </c>
      <c r="BG22" s="87" t="s">
        <v>143</v>
      </c>
      <c r="BH22" s="87" t="s">
        <v>144</v>
      </c>
      <c r="BI22" s="87" t="s">
        <v>217</v>
      </c>
      <c r="BJ22" s="49" t="s">
        <v>218</v>
      </c>
      <c r="BK22" s="87" t="s">
        <v>219</v>
      </c>
      <c r="BL22" s="87" t="s">
        <v>136</v>
      </c>
      <c r="BM22" s="95" t="s">
        <v>220</v>
      </c>
      <c r="BN22" s="96" t="s">
        <v>108</v>
      </c>
    </row>
    <row r="23" ht="15.25" spans="1:67">
      <c r="A23" s="73">
        <v>1</v>
      </c>
      <c r="B23" s="73" t="s">
        <v>492</v>
      </c>
      <c r="C23" s="73" t="s">
        <v>57</v>
      </c>
      <c r="D23" s="73" t="s">
        <v>58</v>
      </c>
      <c r="E23" s="73" t="s">
        <v>58</v>
      </c>
      <c r="F23" s="74">
        <v>2</v>
      </c>
      <c r="G23" s="74">
        <v>250.25</v>
      </c>
      <c r="H23" s="74">
        <f>F23*G23</f>
        <v>500.5</v>
      </c>
      <c r="I23" s="74">
        <v>2.21</v>
      </c>
      <c r="J23" s="74">
        <v>1.79</v>
      </c>
      <c r="K23" s="74">
        <v>2.5</v>
      </c>
      <c r="L23" s="74">
        <f>H23</f>
        <v>500.5</v>
      </c>
      <c r="M23" s="74">
        <f>ROUND(L23*I23%,2)</f>
        <v>11.06</v>
      </c>
      <c r="N23" s="74">
        <f>H23-M23</f>
        <v>489.44</v>
      </c>
      <c r="O23" s="74">
        <f>ROUND(N23*J23%,2)</f>
        <v>8.76</v>
      </c>
      <c r="P23" s="74">
        <f>ROUND(N23-O23,2)</f>
        <v>480.68</v>
      </c>
      <c r="Q23" s="74">
        <f>ROUND(P23*K23%,2)</f>
        <v>12.02</v>
      </c>
      <c r="R23" s="74">
        <f>M23+O23+Q23</f>
        <v>31.84</v>
      </c>
      <c r="S23" s="74">
        <f>(H23-R23)</f>
        <v>468.66</v>
      </c>
      <c r="T23" s="74" t="s">
        <v>146</v>
      </c>
      <c r="U23" s="74">
        <v>0.18</v>
      </c>
      <c r="V23" s="74">
        <f>IF($C$21=1,ROUND(((S23*U23)/2),2),0)</f>
        <v>42.18</v>
      </c>
      <c r="W23" s="74">
        <f>IF($C$21=1,ROUND(((S23*U23)/2),2),0)</f>
        <v>42.18</v>
      </c>
      <c r="X23" s="74">
        <f>IF($C$21=2,ROUND(((S23*U23)),2),0)</f>
        <v>0</v>
      </c>
      <c r="Y23" s="74">
        <f>V23+W23+X23</f>
        <v>84.36</v>
      </c>
      <c r="Z23" s="74">
        <f t="shared" ref="Z23:Z24" si="1">S23+Y23</f>
        <v>553.02</v>
      </c>
      <c r="AA23" s="74">
        <v>120</v>
      </c>
      <c r="AB23" s="74">
        <f>IF($P$21=1,(S23/$S$25)*$E$36,AA23/$AA$25*$E$36)</f>
        <v>0</v>
      </c>
      <c r="AC23" s="74"/>
      <c r="AD23" s="74">
        <f>IF($P$21=1,(S23/$S$25)*$E$38,AA23/$AA$25*$E$38)</f>
        <v>0</v>
      </c>
      <c r="AE23" s="74">
        <f>IF($P$21=1,(S23/$S$25)*$E$38,AA23/$AA$25*$E$38)</f>
        <v>0</v>
      </c>
      <c r="AF23" s="74">
        <f t="shared" ref="AF23:AF24" si="2">S23*$M$21</f>
        <v>468.66</v>
      </c>
      <c r="AG23" s="74">
        <f t="shared" ref="AG23:AG24" si="3">IF($C$21=3,0,AD23+AE23)</f>
        <v>0</v>
      </c>
      <c r="AH23" s="74">
        <f t="shared" ref="AH23:AH24" si="4">IF($C$21=3,AB23+AD23+AE23,0)</f>
        <v>0</v>
      </c>
      <c r="AI23" s="74">
        <v>1</v>
      </c>
      <c r="AJ23" s="74">
        <f t="shared" ref="AJ23:AJ24" si="5">F23/AI23</f>
        <v>2</v>
      </c>
      <c r="AK23" s="74">
        <f>AF23/AJ23</f>
        <v>234.33</v>
      </c>
      <c r="AL23" s="74">
        <f>AG23/AJ23</f>
        <v>0</v>
      </c>
      <c r="AM23" s="74">
        <f>AH23/AJ23</f>
        <v>0</v>
      </c>
      <c r="AN23" s="74" t="s">
        <v>58</v>
      </c>
      <c r="AO23" s="74">
        <f>AK23+AL23+AM23</f>
        <v>234.33</v>
      </c>
      <c r="AP23" s="88" t="s">
        <v>222</v>
      </c>
      <c r="AQ23" s="88" t="s">
        <v>58</v>
      </c>
      <c r="AR23" t="s">
        <v>240</v>
      </c>
      <c r="AS23" t="s">
        <v>224</v>
      </c>
      <c r="AT23" s="88">
        <f>AJ23</f>
        <v>2</v>
      </c>
      <c r="AU23" s="88">
        <f>AO23</f>
        <v>234.33</v>
      </c>
      <c r="AV23" s="88">
        <f>AR23+AT23</f>
        <v>2</v>
      </c>
      <c r="AW23" s="88">
        <f>ROUND(((AR23*AS23)+(AT23*AU23))/(AR23+AT23),5)</f>
        <v>234.33</v>
      </c>
      <c r="AX23" s="90"/>
      <c r="AY23" s="90" t="s">
        <v>149</v>
      </c>
      <c r="AZ23" s="91" t="s">
        <v>38</v>
      </c>
      <c r="BA23" s="91" t="s">
        <v>30</v>
      </c>
      <c r="BB23" s="91" t="s">
        <v>39</v>
      </c>
      <c r="BC23" s="90"/>
      <c r="BD23" s="90"/>
      <c r="BE23" s="90"/>
      <c r="BF23" s="88"/>
      <c r="BG23" s="88"/>
      <c r="BH23" s="88"/>
      <c r="BI23" s="88" t="s">
        <v>31</v>
      </c>
      <c r="BJ23" t="s">
        <v>493</v>
      </c>
      <c r="BK23" t="s">
        <v>494</v>
      </c>
      <c r="BL23" s="88">
        <f>ROUND((((AT23*AW23)+(BK23*BJ23))/(AT23+BK23)),5)</f>
        <v>168.49708</v>
      </c>
      <c r="BM23" s="92">
        <f>BK23+AT23</f>
        <v>2340.6</v>
      </c>
      <c r="BN23" s="93">
        <v>123562</v>
      </c>
      <c r="BO23" s="92"/>
    </row>
    <row r="24" ht="15.25" spans="1:67">
      <c r="A24" s="73">
        <v>2</v>
      </c>
      <c r="B24" s="73" t="s">
        <v>495</v>
      </c>
      <c r="C24" s="73" t="s">
        <v>60</v>
      </c>
      <c r="D24" s="73" t="s">
        <v>58</v>
      </c>
      <c r="E24" s="73" t="s">
        <v>58</v>
      </c>
      <c r="F24" s="74">
        <v>3</v>
      </c>
      <c r="G24" s="74">
        <v>130.25</v>
      </c>
      <c r="H24" s="74">
        <f t="shared" ref="H24" si="6">F24*G24</f>
        <v>390.75</v>
      </c>
      <c r="I24" s="74">
        <v>1.25</v>
      </c>
      <c r="J24" s="74">
        <v>1.68</v>
      </c>
      <c r="K24" s="74">
        <v>2.5</v>
      </c>
      <c r="L24" s="74">
        <f>H24</f>
        <v>390.75</v>
      </c>
      <c r="M24" s="74">
        <f>ROUND(L24*I24%,2)</f>
        <v>4.88</v>
      </c>
      <c r="N24" s="74">
        <f t="shared" ref="N24" si="7">H24-M24</f>
        <v>385.87</v>
      </c>
      <c r="O24" s="74">
        <f t="shared" ref="O24" si="8">ROUND(N24*J24%,2)</f>
        <v>6.48</v>
      </c>
      <c r="P24" s="74">
        <f t="shared" ref="P24" si="9">ROUND(N24-O24,2)</f>
        <v>379.39</v>
      </c>
      <c r="Q24" s="74">
        <f t="shared" ref="Q24" si="10">ROUND(P24*K24%,2)</f>
        <v>9.48</v>
      </c>
      <c r="R24" s="74">
        <f t="shared" ref="R24" si="11">M24+O24+Q24</f>
        <v>20.84</v>
      </c>
      <c r="S24" s="74">
        <f t="shared" ref="S24" si="12">(H24-R24)</f>
        <v>369.91</v>
      </c>
      <c r="T24" s="74" t="s">
        <v>146</v>
      </c>
      <c r="U24" s="74">
        <v>0.18</v>
      </c>
      <c r="V24" s="74">
        <f t="shared" ref="V24" si="13">IF($C$21=1,ROUND(((S24*U24)/2),2),0)</f>
        <v>33.29</v>
      </c>
      <c r="W24" s="74">
        <f t="shared" ref="W24" si="14">IF($C$21=1,ROUND(((S24*U24)/2),2),0)</f>
        <v>33.29</v>
      </c>
      <c r="X24" s="74">
        <f t="shared" ref="X24" si="15">IF($C$21=2,ROUND(((S24*U24)),2),0)</f>
        <v>0</v>
      </c>
      <c r="Y24" s="74">
        <f t="shared" ref="Y24" si="16">V24+W24+X24</f>
        <v>66.58</v>
      </c>
      <c r="Z24" s="74">
        <f t="shared" si="1"/>
        <v>436.49</v>
      </c>
      <c r="AA24" s="74">
        <v>200</v>
      </c>
      <c r="AB24" s="74">
        <f>IF($P$21=1,(S24/$S$25)*$E$36,AA24/$AA$25*$E$36)</f>
        <v>0</v>
      </c>
      <c r="AC24" s="74"/>
      <c r="AD24" s="74">
        <f>IF($P$21=1,(S24/$S$25)*$E$38,AA24/$AA$25*$E$38)</f>
        <v>0</v>
      </c>
      <c r="AE24" s="74">
        <f>IF($P$21=1,(S24/$S$25)*$E$38,AA24/$AA$25*$E$38)</f>
        <v>0</v>
      </c>
      <c r="AF24" s="74">
        <f t="shared" si="2"/>
        <v>369.91</v>
      </c>
      <c r="AG24" s="74">
        <f t="shared" si="3"/>
        <v>0</v>
      </c>
      <c r="AH24" s="74">
        <f t="shared" si="4"/>
        <v>0</v>
      </c>
      <c r="AI24" s="74">
        <v>1</v>
      </c>
      <c r="AJ24" s="74">
        <f t="shared" si="5"/>
        <v>3</v>
      </c>
      <c r="AK24" s="74">
        <f t="shared" ref="AK24" si="17">AF24/AJ24</f>
        <v>123.303333333333</v>
      </c>
      <c r="AL24" s="74">
        <f t="shared" ref="AL24" si="18">AG24/AJ24</f>
        <v>0</v>
      </c>
      <c r="AM24" s="74">
        <f t="shared" ref="AM24" si="19">AH24/AJ24</f>
        <v>0</v>
      </c>
      <c r="AN24" s="74" t="s">
        <v>58</v>
      </c>
      <c r="AO24" s="74">
        <f t="shared" ref="AO24" si="20">AK24+AL24+AM24</f>
        <v>123.303333333333</v>
      </c>
      <c r="AP24" s="88" t="s">
        <v>222</v>
      </c>
      <c r="AQ24" s="88" t="s">
        <v>58</v>
      </c>
      <c r="AR24" t="s">
        <v>240</v>
      </c>
      <c r="AS24" t="s">
        <v>496</v>
      </c>
      <c r="AT24" s="88">
        <f t="shared" ref="AT24" si="21">AJ24</f>
        <v>3</v>
      </c>
      <c r="AU24" s="88">
        <f>AO24</f>
        <v>123.303333333333</v>
      </c>
      <c r="AV24" s="88">
        <f t="shared" ref="AV24" si="22">AR24+AT24</f>
        <v>3</v>
      </c>
      <c r="AW24" s="88">
        <f>ROUND(((AR24*AS24)+(AT24*AU24))/(AR24+AT24),5)</f>
        <v>123.30333</v>
      </c>
      <c r="AX24" s="90"/>
      <c r="AY24" s="90"/>
      <c r="AZ24" s="91" t="s">
        <v>38</v>
      </c>
      <c r="BA24" s="97" t="s">
        <v>294</v>
      </c>
      <c r="BB24" s="97"/>
      <c r="BC24" s="90"/>
      <c r="BD24" s="90"/>
      <c r="BE24" s="90"/>
      <c r="BF24" s="88"/>
      <c r="BG24" s="88"/>
      <c r="BH24" s="88"/>
      <c r="BI24" s="88" t="s">
        <v>31</v>
      </c>
      <c r="BJ24" t="s">
        <v>497</v>
      </c>
      <c r="BK24" t="s">
        <v>498</v>
      </c>
      <c r="BL24" s="88">
        <f t="shared" ref="BL24" si="23">ROUND((((AT24*AW24)+(BK24*BJ24))/(AT24+BK24)),5)</f>
        <v>100.89858</v>
      </c>
      <c r="BM24" s="92">
        <f t="shared" ref="BM24" si="24">BK24+AT24</f>
        <v>8730</v>
      </c>
      <c r="BN24" s="93">
        <v>123562</v>
      </c>
      <c r="BO24" s="92"/>
    </row>
    <row r="25" ht="15.25" spans="1:42">
      <c r="A25" s="71"/>
      <c r="B25" s="75"/>
      <c r="C25" s="75"/>
      <c r="D25" s="31" t="s">
        <v>87</v>
      </c>
      <c r="E25" s="31"/>
      <c r="F25" s="31"/>
      <c r="G25" s="32"/>
      <c r="H25" s="76">
        <f>SUM(H23:H24)</f>
        <v>891.25</v>
      </c>
      <c r="I25" s="73"/>
      <c r="J25" s="73"/>
      <c r="K25" s="73"/>
      <c r="L25" s="73"/>
      <c r="M25" s="73"/>
      <c r="N25" s="73"/>
      <c r="O25" s="73"/>
      <c r="P25" s="73"/>
      <c r="Q25" s="73"/>
      <c r="R25" s="76">
        <f>SUM(R23:R24)</f>
        <v>52.68</v>
      </c>
      <c r="S25" s="82">
        <f>SUM(S23:S24)</f>
        <v>838.57</v>
      </c>
      <c r="T25" s="76"/>
      <c r="U25" s="76"/>
      <c r="V25" s="83">
        <f t="shared" ref="V25:AB25" si="25">SUM(V23:V24)</f>
        <v>75.47</v>
      </c>
      <c r="W25" s="83">
        <f t="shared" si="25"/>
        <v>75.47</v>
      </c>
      <c r="X25" s="83">
        <f t="shared" si="25"/>
        <v>0</v>
      </c>
      <c r="Y25" s="76">
        <f t="shared" si="25"/>
        <v>150.94</v>
      </c>
      <c r="Z25" s="85">
        <f t="shared" si="25"/>
        <v>989.51</v>
      </c>
      <c r="AA25" s="86">
        <f t="shared" si="25"/>
        <v>320</v>
      </c>
      <c r="AB25" s="86">
        <f t="shared" si="25"/>
        <v>0</v>
      </c>
      <c r="AC25" s="85"/>
      <c r="AD25" s="86">
        <f>SUM(AD23:AD24)</f>
        <v>0</v>
      </c>
      <c r="AE25" s="86">
        <f>SUM(AE23:AE24)</f>
        <v>0</v>
      </c>
      <c r="AF25" s="86">
        <f>SUM(AF23:AF24)</f>
        <v>838.57</v>
      </c>
      <c r="AG25" s="86">
        <f>SUM(AG23:AG24)</f>
        <v>0</v>
      </c>
      <c r="AH25" s="86">
        <f>SUM(AH23:AH24)</f>
        <v>0</v>
      </c>
      <c r="AI25" s="85"/>
      <c r="AJ25" s="85"/>
      <c r="AK25" s="85"/>
      <c r="AL25" s="85"/>
      <c r="AM25" s="85"/>
      <c r="AN25" s="85"/>
      <c r="AO25" s="85"/>
      <c r="AP25" s="71"/>
    </row>
    <row r="26" spans="1:42">
      <c r="A26" s="71"/>
      <c r="B26" s="75"/>
      <c r="C26" s="75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</row>
  </sheetData>
  <mergeCells count="3">
    <mergeCell ref="A1:Z1"/>
    <mergeCell ref="B19:G19"/>
    <mergeCell ref="A21:B21"/>
  </mergeCells>
  <pageMargins left="0.7" right="0.7" top="0.75" bottom="0.75" header="0.3" footer="0.3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I7" workbookViewId="0">
      <selection activeCell="AB23" sqref="AB23"/>
    </sheetView>
  </sheetViews>
  <sheetFormatPr defaultColWidth="9" defaultRowHeight="14.5"/>
  <cols>
    <col min="2" max="2" width="26.8545454545455" customWidth="1"/>
    <col min="3" max="3" width="19.2818181818182" customWidth="1"/>
    <col min="4" max="4" width="72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29" max="29" width="10.2818181818182" customWidth="1"/>
    <col min="30" max="30" width="12.8545454545455" customWidth="1"/>
    <col min="31" max="31" width="8.70909090909091" customWidth="1"/>
    <col min="43" max="43" width="11.8545454545455" customWidth="1"/>
    <col min="44" max="44" width="23.2818181818182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7" max="67" width="18.8545454545455" customWidth="1"/>
    <col min="68" max="68" width="34.4272727272727" customWidth="1"/>
  </cols>
  <sheetData>
    <row r="1" ht="17.5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18.25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15.25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>
        <v>5858.27</v>
      </c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5</v>
      </c>
      <c r="D21" s="23" t="s">
        <v>499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95" t="s">
        <v>220</v>
      </c>
      <c r="BQ22" s="96" t="s">
        <v>108</v>
      </c>
    </row>
    <row r="23" ht="15.25" spans="1:70">
      <c r="A23" s="73">
        <v>1</v>
      </c>
      <c r="B23" s="73" t="s">
        <v>495</v>
      </c>
      <c r="C23" s="73" t="s">
        <v>57</v>
      </c>
      <c r="D23" s="73" t="s">
        <v>58</v>
      </c>
      <c r="E23" s="73" t="s">
        <v>58</v>
      </c>
      <c r="F23" s="74">
        <v>2</v>
      </c>
      <c r="G23" s="74">
        <v>250.25</v>
      </c>
      <c r="H23" s="74">
        <f>F23*G23</f>
        <v>500.5</v>
      </c>
      <c r="I23" s="74">
        <v>2.21</v>
      </c>
      <c r="J23" s="74">
        <v>1.79</v>
      </c>
      <c r="K23" s="74">
        <v>2.5</v>
      </c>
      <c r="L23" s="74">
        <f>H23</f>
        <v>500.5</v>
      </c>
      <c r="M23" s="74">
        <f>ROUND(L23*I23%,2)</f>
        <v>11.06</v>
      </c>
      <c r="N23" s="74">
        <f>H23-M23</f>
        <v>489.44</v>
      </c>
      <c r="O23" s="74">
        <f>ROUND(N23*J23%,2)</f>
        <v>8.76</v>
      </c>
      <c r="P23" s="74">
        <f>ROUND(N23-O23,2)</f>
        <v>480.68</v>
      </c>
      <c r="Q23" s="74">
        <f>ROUND(P23*K23%,2)</f>
        <v>12.02</v>
      </c>
      <c r="R23" s="74">
        <f>M23+O23+Q23</f>
        <v>31.84</v>
      </c>
      <c r="S23" s="74">
        <f>(H23-R23)</f>
        <v>468.66</v>
      </c>
      <c r="T23" s="74" t="s">
        <v>146</v>
      </c>
      <c r="U23" s="74">
        <v>0.18</v>
      </c>
      <c r="V23" s="74">
        <f>IF($C$21=1,ROUND(((S23*U23)/2),2),0)</f>
        <v>0</v>
      </c>
      <c r="W23" s="74">
        <f>IF($C$21=1,ROUND(((S23*U23)/2),2),0)</f>
        <v>0</v>
      </c>
      <c r="X23" s="74">
        <f>IF($C$21=2,ROUND(((S23*U23)),2),0)</f>
        <v>0</v>
      </c>
      <c r="Y23" s="74">
        <f>IF($C$21=4,ROUND(((S23*U23)/2),2),0)</f>
        <v>0</v>
      </c>
      <c r="Z23" s="84">
        <v>0.06</v>
      </c>
      <c r="AA23" s="74">
        <f>IF($C$21=5,ROUND(((S23*Z23)),2),0)</f>
        <v>28.12</v>
      </c>
      <c r="AB23" s="74">
        <f>V23+W23+X23+Y23+AA23</f>
        <v>28.12</v>
      </c>
      <c r="AC23" s="74">
        <f t="shared" ref="AC23" si="1">S23+AB23</f>
        <v>496.78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2">S23*$M$21</f>
        <v>468.66</v>
      </c>
      <c r="AJ23" s="74">
        <f t="shared" ref="AJ23" si="3">IF($C$21=3,0,AG23+AH23)</f>
        <v>0</v>
      </c>
      <c r="AK23" s="74">
        <f t="shared" ref="AK23" si="4">IF($C$21=3,AE23+AG23+AH23,0)</f>
        <v>0</v>
      </c>
      <c r="AL23" s="74">
        <v>1</v>
      </c>
      <c r="AM23" s="74">
        <f t="shared" ref="AM23" si="5">F23/AL23</f>
        <v>2</v>
      </c>
      <c r="AN23" s="74">
        <f>AI23/AM23</f>
        <v>234.33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234.33</v>
      </c>
      <c r="AS23" s="88" t="s">
        <v>222</v>
      </c>
      <c r="AT23" s="88" t="s">
        <v>58</v>
      </c>
      <c r="AU23" t="s">
        <v>240</v>
      </c>
      <c r="AV23" t="s">
        <v>224</v>
      </c>
      <c r="AW23" s="88">
        <f>AM23</f>
        <v>2</v>
      </c>
      <c r="AX23" s="88">
        <f>AR23</f>
        <v>234.33</v>
      </c>
      <c r="AY23" s="88">
        <f>AU23+AW23</f>
        <v>2</v>
      </c>
      <c r="AZ23" s="88">
        <f>ROUND(((AU23*AV23)+(AW23*AX23))/(AU23+AW23),5)</f>
        <v>234.33</v>
      </c>
      <c r="BA23" s="90"/>
      <c r="BB23" s="90" t="s">
        <v>149</v>
      </c>
      <c r="BC23" s="91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</v>
      </c>
      <c r="BM23" t="s">
        <v>493</v>
      </c>
      <c r="BN23" t="s">
        <v>494</v>
      </c>
      <c r="BO23" s="88">
        <f>ROUND((((AW23*AZ23)+(BN23*BM23))/(AW23+BN23)),5)</f>
        <v>168.49708</v>
      </c>
      <c r="BP23" s="92">
        <f>BN23+AW23</f>
        <v>2340.6</v>
      </c>
      <c r="BQ23" s="93">
        <v>123562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500.5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31.84</v>
      </c>
      <c r="S24" s="82">
        <f>SUM(S23:S23)</f>
        <v>468.66</v>
      </c>
      <c r="T24" s="76"/>
      <c r="U24" s="76"/>
      <c r="V24" s="83">
        <f t="shared" ref="V24:AE24" si="6">SUM(V23:V23)</f>
        <v>0</v>
      </c>
      <c r="W24" s="83">
        <f t="shared" si="6"/>
        <v>0</v>
      </c>
      <c r="X24" s="83">
        <f t="shared" si="6"/>
        <v>0</v>
      </c>
      <c r="Y24" s="83"/>
      <c r="Z24" s="83"/>
      <c r="AA24" s="83"/>
      <c r="AB24" s="76">
        <f t="shared" si="6"/>
        <v>28.12</v>
      </c>
      <c r="AC24" s="85">
        <f t="shared" si="6"/>
        <v>496.78</v>
      </c>
      <c r="AD24" s="86">
        <f t="shared" si="6"/>
        <v>120</v>
      </c>
      <c r="AE24" s="86">
        <f t="shared" si="6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468.66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A16" workbookViewId="0">
      <selection activeCell="J21" sqref="J21"/>
    </sheetView>
  </sheetViews>
  <sheetFormatPr defaultColWidth="9" defaultRowHeight="14.5"/>
  <cols>
    <col min="2" max="2" width="26.8545454545455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9" max="29" width="10.2818181818182" customWidth="1"/>
    <col min="30" max="30" width="12.8545454545455" customWidth="1"/>
    <col min="31" max="31" width="8.70909090909091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27.75" customHeight="1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ht="27.75" customHeight="1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ht="27.75" customHeight="1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ht="27.75" customHeight="1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ht="27.75" customHeight="1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ht="27.75" customHeight="1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ht="27.75" customHeight="1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ht="27.75" customHeight="1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ht="27.75" customHeight="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ht="27.75" customHeight="1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ht="27.75" customHeight="1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ht="27.75" customHeight="1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ht="27.75" customHeight="1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ht="27.75" customHeight="1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>
        <v>5858.27</v>
      </c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500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307</v>
      </c>
      <c r="C23" s="73" t="s">
        <v>57</v>
      </c>
      <c r="D23" s="73" t="s">
        <v>58</v>
      </c>
      <c r="E23" s="73" t="s">
        <v>58</v>
      </c>
      <c r="F23" s="74">
        <v>2</v>
      </c>
      <c r="G23" s="74">
        <v>250.25</v>
      </c>
      <c r="H23" s="74">
        <f>F23*G23</f>
        <v>500.5</v>
      </c>
      <c r="I23" s="74">
        <v>2.21</v>
      </c>
      <c r="J23" s="74">
        <v>1.79</v>
      </c>
      <c r="K23" s="74">
        <v>2.5</v>
      </c>
      <c r="L23" s="74">
        <f>H23</f>
        <v>500.5</v>
      </c>
      <c r="M23" s="74">
        <f>ROUND(L23*I23%,2)</f>
        <v>11.06</v>
      </c>
      <c r="N23" s="74">
        <f>H23-M23</f>
        <v>489.44</v>
      </c>
      <c r="O23" s="74">
        <f>ROUND(N23*J23%,2)</f>
        <v>8.76</v>
      </c>
      <c r="P23" s="74">
        <f>ROUND(N23-O23,2)</f>
        <v>480.68</v>
      </c>
      <c r="Q23" s="74">
        <f>ROUND(P23*K23%,2)</f>
        <v>12.02</v>
      </c>
      <c r="R23" s="74">
        <f>M23+O23+Q23</f>
        <v>31.84</v>
      </c>
      <c r="S23" s="74">
        <f>(H23-R23)</f>
        <v>468.66</v>
      </c>
      <c r="T23" s="74" t="s">
        <v>146</v>
      </c>
      <c r="U23" s="74">
        <v>0.18</v>
      </c>
      <c r="V23" s="74">
        <f>IF($C$21=1,ROUND(((S23*U23)/2),2),0)</f>
        <v>42.18</v>
      </c>
      <c r="W23" s="74">
        <f>IF($C$21=1,ROUND(((S23*U23)/2),2),0)</f>
        <v>42.18</v>
      </c>
      <c r="X23" s="74">
        <f>IF($C$21=2,ROUND(((S23*U23)),2),0)</f>
        <v>0</v>
      </c>
      <c r="Y23" s="74">
        <f>IF($C$21=4,ROUND(((S23*U23)/2),2),0)</f>
        <v>0</v>
      </c>
      <c r="Z23" s="84">
        <v>0.06</v>
      </c>
      <c r="AA23" s="74">
        <f>IF($C$21=5,ROUND(((S23*Z23)),2),0)</f>
        <v>0</v>
      </c>
      <c r="AB23" s="74">
        <f>V23+W23+X23+Y23+AA23</f>
        <v>84.36</v>
      </c>
      <c r="AC23" s="74">
        <f>S23</f>
        <v>468.66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468.66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234.33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234.33</v>
      </c>
      <c r="AS23" s="88" t="s">
        <v>222</v>
      </c>
      <c r="AT23" s="88" t="s">
        <v>58</v>
      </c>
      <c r="AU23" t="s">
        <v>223</v>
      </c>
      <c r="AV23" t="s">
        <v>501</v>
      </c>
      <c r="AW23" s="88">
        <f>AM23</f>
        <v>2</v>
      </c>
      <c r="AX23" s="88">
        <f>AR23</f>
        <v>234.33</v>
      </c>
      <c r="AY23" s="88">
        <f>AU23+AW23</f>
        <v>4</v>
      </c>
      <c r="AZ23" s="88">
        <f>ROUND(((AU23*AV23)+(AW23*AX23))/(AU23+AW23),5)</f>
        <v>238.31</v>
      </c>
      <c r="BA23" s="90"/>
      <c r="BB23" s="90" t="s">
        <v>149</v>
      </c>
      <c r="BC23" s="91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</v>
      </c>
      <c r="BM23" t="s">
        <v>502</v>
      </c>
      <c r="BN23" t="s">
        <v>269</v>
      </c>
      <c r="BO23" s="88">
        <f>ROUND((((AW23*AZ23)+(BN23*BM23))/(AW23+BN23)),5)</f>
        <v>3100.41971</v>
      </c>
      <c r="BP23" s="92">
        <f>BN23+AW23</f>
        <v>14</v>
      </c>
      <c r="BQ23" s="93">
        <v>123562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500.5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31.84</v>
      </c>
      <c r="S24" s="82">
        <f>SUM(S23:S23)</f>
        <v>468.66</v>
      </c>
      <c r="T24" s="76"/>
      <c r="U24" s="76"/>
      <c r="V24" s="83">
        <f t="shared" ref="V24:AE24" si="5">SUM(V23:V23)</f>
        <v>42.18</v>
      </c>
      <c r="W24" s="83">
        <f t="shared" si="5"/>
        <v>42.18</v>
      </c>
      <c r="X24" s="83">
        <f t="shared" si="5"/>
        <v>0</v>
      </c>
      <c r="Y24" s="83"/>
      <c r="Z24" s="83"/>
      <c r="AA24" s="83"/>
      <c r="AB24" s="76">
        <f t="shared" si="5"/>
        <v>84.36</v>
      </c>
      <c r="AC24" s="85">
        <f t="shared" si="5"/>
        <v>468.66</v>
      </c>
      <c r="AD24" s="86">
        <f t="shared" si="5"/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468.66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workbookViewId="0">
      <selection activeCell="A1" sqref="$A1:$XFD1048576"/>
    </sheetView>
  </sheetViews>
  <sheetFormatPr defaultColWidth="9" defaultRowHeight="14.5"/>
  <cols>
    <col min="2" max="2" width="26.8545454545455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27" max="27" width="9.42727272727273"/>
    <col min="29" max="29" width="10.2818181818182" customWidth="1"/>
    <col min="30" max="30" width="12.8545454545455" customWidth="1"/>
    <col min="31" max="31" width="8.70909090909091" customWidth="1"/>
    <col min="35" max="35" width="14.2818181818182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27.75" customHeight="1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ht="27.75" customHeight="1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ht="27.75" customHeight="1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ht="27.75" customHeight="1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ht="27.75" customHeight="1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ht="27.75" customHeight="1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ht="27.75" customHeight="1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ht="27.75" customHeight="1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ht="27.75" customHeight="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ht="27.75" customHeight="1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ht="27.75" customHeight="1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ht="27.75" customHeight="1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ht="27.75" customHeight="1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ht="27.75" customHeight="1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>
        <v>5858.27</v>
      </c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50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>
        <v>1</v>
      </c>
      <c r="W21" s="72" t="s">
        <v>211</v>
      </c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307</v>
      </c>
      <c r="C23" s="73" t="s">
        <v>57</v>
      </c>
      <c r="D23" s="73" t="s">
        <v>58</v>
      </c>
      <c r="E23" s="73" t="s">
        <v>58</v>
      </c>
      <c r="F23" s="74">
        <v>2</v>
      </c>
      <c r="G23" s="74">
        <v>250.25</v>
      </c>
      <c r="H23" s="74">
        <f>F23*G23</f>
        <v>500.5</v>
      </c>
      <c r="I23" s="74">
        <v>2.21</v>
      </c>
      <c r="J23" s="74">
        <v>1.79</v>
      </c>
      <c r="K23" s="74">
        <v>2.5</v>
      </c>
      <c r="L23" s="74">
        <f>H23</f>
        <v>500.5</v>
      </c>
      <c r="M23" s="74">
        <f>ROUND(L23*I23%,2)</f>
        <v>11.06</v>
      </c>
      <c r="N23" s="74">
        <f>H23-M23</f>
        <v>489.44</v>
      </c>
      <c r="O23" s="74">
        <f>ROUND(N23*J23%,2)</f>
        <v>8.76</v>
      </c>
      <c r="P23" s="74">
        <f>ROUND(N23-O23,2)</f>
        <v>480.68</v>
      </c>
      <c r="Q23" s="74">
        <f>ROUND(P23*K23%,2)</f>
        <v>12.02</v>
      </c>
      <c r="R23" s="74">
        <f>M23+O23+Q23</f>
        <v>31.84</v>
      </c>
      <c r="S23" s="74">
        <f>(H23-R23)</f>
        <v>468.66</v>
      </c>
      <c r="T23" s="74" t="s">
        <v>146</v>
      </c>
      <c r="U23" s="74">
        <v>0.18</v>
      </c>
      <c r="V23" s="74">
        <f>IF(OR($C$21=1,$C$21=4),ROUND(((S23*U23)/2),2),0)</f>
        <v>0</v>
      </c>
      <c r="W23" s="74">
        <f>IF($C$21=1,ROUND(((S23*U23)/2),2),0)</f>
        <v>0</v>
      </c>
      <c r="X23" s="74">
        <f>IF($C$21=2,ROUND(((S23*U23)),2),0)</f>
        <v>0</v>
      </c>
      <c r="Y23" s="74">
        <f>IF($C$21=4,ROUND(((S23*U23)/2),2),0)</f>
        <v>0</v>
      </c>
      <c r="Z23" s="84">
        <v>0.06</v>
      </c>
      <c r="AA23" s="74">
        <f>IF($C21=3,0,S23*Z23)</f>
        <v>0</v>
      </c>
      <c r="AB23" s="74">
        <f>V23+W23+X23+Y23+AA23</f>
        <v>0</v>
      </c>
      <c r="AC23" s="74">
        <f>IF($V21=1,S23+AB23,S23)</f>
        <v>468.66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23433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11716.5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11716.5</v>
      </c>
      <c r="AS23" s="88" t="s">
        <v>222</v>
      </c>
      <c r="AT23" s="88" t="s">
        <v>58</v>
      </c>
      <c r="AU23" t="s">
        <v>223</v>
      </c>
      <c r="AV23" t="s">
        <v>224</v>
      </c>
      <c r="AW23" s="88">
        <f>AM23</f>
        <v>2</v>
      </c>
      <c r="AX23" s="88">
        <f>AR23</f>
        <v>11716.5</v>
      </c>
      <c r="AY23" s="88">
        <f>AU23+AW23</f>
        <v>4</v>
      </c>
      <c r="AZ23" s="88">
        <f>ROUND(((AU23*AV23)+(AW23*AX23))/(AU23+AW23),5)</f>
        <v>5975.415</v>
      </c>
      <c r="BA23" s="90"/>
      <c r="BB23" s="90" t="s">
        <v>149</v>
      </c>
      <c r="BC23" s="91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</v>
      </c>
      <c r="BM23" t="s">
        <v>225</v>
      </c>
      <c r="BN23" t="s">
        <v>226</v>
      </c>
      <c r="BO23" s="88">
        <f>ROUND((((AW23*AZ23)+(BN23*BM23))/(AW23+BN23)),5)</f>
        <v>4534.2855</v>
      </c>
      <c r="BP23" s="92">
        <f>BN23+AW23</f>
        <v>12</v>
      </c>
      <c r="BQ23" s="93">
        <v>123562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500.5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31.84</v>
      </c>
      <c r="S24" s="82">
        <f>SUM(S23:S23)</f>
        <v>468.66</v>
      </c>
      <c r="T24" s="76"/>
      <c r="U24" s="76"/>
      <c r="V24" s="83">
        <f t="shared" ref="V24:AE24" si="5">SUM(V23:V23)</f>
        <v>0</v>
      </c>
      <c r="W24" s="83">
        <f t="shared" si="5"/>
        <v>0</v>
      </c>
      <c r="X24" s="83">
        <f t="shared" si="5"/>
        <v>0</v>
      </c>
      <c r="Y24" s="83"/>
      <c r="Z24" s="83"/>
      <c r="AA24" s="83"/>
      <c r="AB24" s="76">
        <f t="shared" si="5"/>
        <v>0</v>
      </c>
      <c r="AC24" s="85">
        <f t="shared" si="5"/>
        <v>468.66</v>
      </c>
      <c r="AD24" s="86">
        <f t="shared" si="5"/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23433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O14" workbookViewId="0">
      <selection activeCell="AA23" sqref="AA23"/>
    </sheetView>
  </sheetViews>
  <sheetFormatPr defaultColWidth="9" defaultRowHeight="14.5"/>
  <cols>
    <col min="2" max="2" width="26.8545454545455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12" max="12" width="13.8545454545455" customWidth="1"/>
    <col min="14" max="14" width="13.5727272727273" customWidth="1"/>
    <col min="15" max="15" width="15.2818181818182" customWidth="1"/>
    <col min="16" max="16" width="13.7090909090909" customWidth="1"/>
    <col min="18" max="18" width="10.8545454545455" customWidth="1"/>
    <col min="19" max="19" width="9.42727272727273" customWidth="1"/>
    <col min="29" max="29" width="10.2818181818182" customWidth="1"/>
    <col min="30" max="30" width="12.8545454545455" customWidth="1"/>
    <col min="31" max="31" width="8.70909090909091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27.75" customHeight="1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ht="27.75" customHeight="1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ht="27.75" customHeight="1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ht="27.75" customHeight="1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ht="27.75" customHeight="1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ht="27.75" customHeight="1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ht="27.75" customHeight="1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ht="27.75" customHeight="1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ht="27.75" customHeight="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ht="27.75" customHeight="1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ht="27.75" customHeight="1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ht="27.75" customHeight="1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ht="27.75" customHeight="1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ht="27.75" customHeight="1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>
        <v>5858.27</v>
      </c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1</v>
      </c>
      <c r="D21" s="23" t="s">
        <v>500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307</v>
      </c>
      <c r="C23" s="73" t="s">
        <v>57</v>
      </c>
      <c r="D23" s="73" t="s">
        <v>58</v>
      </c>
      <c r="E23" s="73" t="s">
        <v>58</v>
      </c>
      <c r="F23" s="74">
        <v>2</v>
      </c>
      <c r="G23" s="74">
        <v>250.25</v>
      </c>
      <c r="H23" s="74">
        <f>F23*G23</f>
        <v>500.5</v>
      </c>
      <c r="I23" s="74">
        <v>1</v>
      </c>
      <c r="J23" s="74">
        <v>2</v>
      </c>
      <c r="K23" s="74">
        <v>3</v>
      </c>
      <c r="L23" s="74">
        <v>0</v>
      </c>
      <c r="M23" s="74">
        <f>ROUND(L23*I23%,2)</f>
        <v>0</v>
      </c>
      <c r="N23" s="74">
        <v>0</v>
      </c>
      <c r="O23" s="74">
        <f>ROUND(N23*J23%,2)</f>
        <v>0</v>
      </c>
      <c r="P23" s="74">
        <f>ROUND(N23-O23,2)</f>
        <v>0</v>
      </c>
      <c r="Q23" s="74">
        <f>ROUND(P23*K23%,2)</f>
        <v>0</v>
      </c>
      <c r="R23" s="74">
        <f>M23+O23+Q23</f>
        <v>0</v>
      </c>
      <c r="S23" s="74">
        <f>(H23-R23)</f>
        <v>500.5</v>
      </c>
      <c r="T23" s="74" t="s">
        <v>146</v>
      </c>
      <c r="U23" s="74">
        <v>0.18</v>
      </c>
      <c r="V23" s="74">
        <f>IF($C$21=1,ROUND(((S23*U23)/2),2),0)</f>
        <v>45.05</v>
      </c>
      <c r="W23" s="74">
        <f>IF($C$21=1,ROUND(((S23*U23)/2),2),0)</f>
        <v>45.05</v>
      </c>
      <c r="X23" s="74">
        <f>IF($C$21=2,ROUND(((S23*U23)),2),0)</f>
        <v>0</v>
      </c>
      <c r="Y23" s="74">
        <f>IF($C$21=4,ROUND(((S23*U23)/2),2),0)</f>
        <v>0</v>
      </c>
      <c r="Z23" s="84">
        <v>0.01</v>
      </c>
      <c r="AA23" s="94">
        <f>S23*Z23</f>
        <v>5.005</v>
      </c>
      <c r="AB23" s="94">
        <f>V23+W23+X23+Y23+AA23</f>
        <v>95.105</v>
      </c>
      <c r="AC23" s="74">
        <f>S23</f>
        <v>500.5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500.5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250.25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250.25</v>
      </c>
      <c r="AS23" s="88" t="s">
        <v>222</v>
      </c>
      <c r="AT23" s="88" t="s">
        <v>58</v>
      </c>
      <c r="AU23" t="s">
        <v>223</v>
      </c>
      <c r="AV23" t="s">
        <v>503</v>
      </c>
      <c r="AW23" s="88">
        <f>AM23</f>
        <v>2</v>
      </c>
      <c r="AX23" s="88">
        <f>AR23</f>
        <v>250.25</v>
      </c>
      <c r="AY23" s="88">
        <f>AU23+AW23</f>
        <v>4</v>
      </c>
      <c r="AZ23" s="88">
        <f>ROUND(((AU23*AV23)+(AW23*AX23))/(AU23+AW23),5)</f>
        <v>249.255</v>
      </c>
      <c r="BA23" s="90"/>
      <c r="BB23" s="90" t="s">
        <v>149</v>
      </c>
      <c r="BC23" s="91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</v>
      </c>
      <c r="BM23" t="s">
        <v>504</v>
      </c>
      <c r="BN23" t="s">
        <v>322</v>
      </c>
      <c r="BO23" s="88">
        <f>ROUND((((AW23*AZ23)+(BN23*BM23))/(AW23+BN23)),5)</f>
        <v>2467.60144</v>
      </c>
      <c r="BP23" s="92">
        <f>BN23+AW23</f>
        <v>18</v>
      </c>
      <c r="BQ23" s="93">
        <v>123562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500.5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0</v>
      </c>
      <c r="S24" s="82">
        <f>SUM(S23:S23)</f>
        <v>500.5</v>
      </c>
      <c r="T24" s="76"/>
      <c r="U24" s="76"/>
      <c r="V24" s="83">
        <f t="shared" ref="V24:AE24" si="5">SUM(V23:V23)</f>
        <v>45.05</v>
      </c>
      <c r="W24" s="83">
        <f t="shared" si="5"/>
        <v>45.05</v>
      </c>
      <c r="X24" s="83">
        <f t="shared" si="5"/>
        <v>0</v>
      </c>
      <c r="Y24" s="83"/>
      <c r="Z24" s="83"/>
      <c r="AA24" s="83"/>
      <c r="AB24" s="76">
        <f t="shared" si="5"/>
        <v>95.105</v>
      </c>
      <c r="AC24" s="85">
        <f t="shared" si="5"/>
        <v>500.5</v>
      </c>
      <c r="AD24" s="86">
        <f t="shared" si="5"/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500.5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5"/>
  <sheetViews>
    <sheetView topLeftCell="E17" workbookViewId="0">
      <selection activeCell="H23" sqref="H23"/>
    </sheetView>
  </sheetViews>
  <sheetFormatPr defaultColWidth="9" defaultRowHeight="14.5"/>
  <cols>
    <col min="2" max="2" width="26.8545454545455" customWidth="1"/>
    <col min="3" max="3" width="19.2818181818182" customWidth="1"/>
    <col min="4" max="4" width="80.4272727272727" customWidth="1"/>
    <col min="5" max="5" width="10.4272727272727" customWidth="1"/>
    <col min="6" max="6" width="8.28181818181818" customWidth="1"/>
    <col min="7" max="7" width="10.1363636363636" customWidth="1"/>
    <col min="8" max="8" width="11.8545454545455" customWidth="1"/>
    <col min="11" max="11" width="6.28181818181818" customWidth="1"/>
    <col min="12" max="12" width="13.8545454545455" customWidth="1"/>
    <col min="14" max="14" width="13.5727272727273" customWidth="1"/>
    <col min="15" max="15" width="15.2818181818182" customWidth="1"/>
    <col min="16" max="16" width="13.7090909090909" customWidth="1"/>
    <col min="18" max="18" width="10.8545454545455" customWidth="1"/>
    <col min="19" max="19" width="9.42727272727273" customWidth="1"/>
    <col min="29" max="29" width="10.2818181818182" customWidth="1"/>
    <col min="30" max="30" width="12.8545454545455" customWidth="1"/>
    <col min="31" max="31" width="8.70909090909091" customWidth="1"/>
    <col min="43" max="43" width="11.8545454545455" customWidth="1"/>
    <col min="44" max="44" width="23.2818181818182" customWidth="1"/>
    <col min="46" max="46" width="11.8545454545455" customWidth="1"/>
    <col min="47" max="47" width="15.2818181818182" customWidth="1"/>
    <col min="48" max="48" width="20.2818181818182" customWidth="1"/>
    <col min="49" max="49" width="11.4272727272727" customWidth="1"/>
    <col min="51" max="51" width="13.8545454545455" customWidth="1"/>
    <col min="60" max="60" width="12.5727272727273" customWidth="1"/>
    <col min="61" max="61" width="21.7090909090909" customWidth="1"/>
    <col min="62" max="63" width="30.5727272727273" customWidth="1"/>
    <col min="65" max="65" width="41.1363636363636" customWidth="1"/>
    <col min="66" max="66" width="37" customWidth="1"/>
    <col min="67" max="67" width="18.8545454545455" customWidth="1"/>
    <col min="68" max="68" width="34.4272727272727" customWidth="1"/>
  </cols>
  <sheetData>
    <row r="1" ht="27.75" customHeight="1" spans="1:45">
      <c r="A1" s="60" t="s">
        <v>46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71"/>
      <c r="AS1" s="71"/>
    </row>
    <row r="2" ht="27.75" customHeight="1" spans="1:45">
      <c r="A2" s="60" t="s">
        <v>47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71"/>
      <c r="AS2" s="71"/>
    </row>
    <row r="3" ht="27.75" customHeight="1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71"/>
    </row>
    <row r="4" ht="27.75" customHeight="1" spans="1:45">
      <c r="A4" s="61">
        <v>1</v>
      </c>
      <c r="B4" s="62" t="s">
        <v>56</v>
      </c>
      <c r="C4" s="62" t="s">
        <v>57</v>
      </c>
      <c r="D4" s="62" t="s">
        <v>58</v>
      </c>
      <c r="E4" s="62" t="s">
        <v>58</v>
      </c>
      <c r="F4" s="63">
        <v>25</v>
      </c>
      <c r="G4" s="64">
        <v>257.63</v>
      </c>
      <c r="H4" s="65">
        <f>F4*G4</f>
        <v>6440.75</v>
      </c>
      <c r="I4" s="77"/>
      <c r="J4" s="77"/>
      <c r="K4" s="77"/>
      <c r="L4" s="78"/>
      <c r="M4" s="78"/>
      <c r="N4" s="78"/>
      <c r="O4" s="78"/>
      <c r="P4" s="78"/>
      <c r="Q4" s="78"/>
      <c r="R4" s="78"/>
      <c r="S4" s="78"/>
      <c r="T4" s="78"/>
      <c r="U4" s="77"/>
      <c r="V4" s="77"/>
      <c r="W4" s="77"/>
      <c r="X4" s="77"/>
      <c r="Y4" s="77"/>
      <c r="Z4" s="77"/>
      <c r="AA4" s="77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1"/>
    </row>
    <row r="5" ht="27.75" customHeight="1" spans="1:45">
      <c r="A5" s="61">
        <v>2</v>
      </c>
      <c r="B5" s="62" t="s">
        <v>59</v>
      </c>
      <c r="C5" s="62" t="s">
        <v>60</v>
      </c>
      <c r="D5" s="62" t="s">
        <v>58</v>
      </c>
      <c r="E5" s="62" t="s">
        <v>58</v>
      </c>
      <c r="F5" s="63">
        <v>35</v>
      </c>
      <c r="G5" s="64">
        <v>125.45</v>
      </c>
      <c r="H5" s="65">
        <f>F5*G5</f>
        <v>4390.75</v>
      </c>
      <c r="I5" s="77"/>
      <c r="J5" s="77"/>
      <c r="K5" s="77"/>
      <c r="L5" s="78"/>
      <c r="M5" s="78"/>
      <c r="N5" s="78"/>
      <c r="O5" s="78"/>
      <c r="P5" s="78"/>
      <c r="Q5" s="78"/>
      <c r="R5" s="78"/>
      <c r="S5" s="78"/>
      <c r="T5" s="78"/>
      <c r="U5" s="77"/>
      <c r="V5" s="77"/>
      <c r="W5" s="77"/>
      <c r="X5" s="77"/>
      <c r="Y5" s="77"/>
      <c r="Z5" s="77"/>
      <c r="AA5" s="77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1"/>
    </row>
    <row r="6" ht="27.75" customHeight="1" spans="1:45">
      <c r="A6" s="61">
        <v>3</v>
      </c>
      <c r="B6" s="62" t="s">
        <v>61</v>
      </c>
      <c r="C6" s="62" t="s">
        <v>62</v>
      </c>
      <c r="D6" s="62" t="s">
        <v>58</v>
      </c>
      <c r="E6" s="62" t="s">
        <v>58</v>
      </c>
      <c r="F6" s="63">
        <v>45</v>
      </c>
      <c r="G6" s="64">
        <v>125.36</v>
      </c>
      <c r="H6" s="65">
        <f>F6*G6</f>
        <v>5641.2</v>
      </c>
      <c r="I6" s="77"/>
      <c r="J6" s="77"/>
      <c r="K6" s="77"/>
      <c r="L6" s="78"/>
      <c r="M6" s="78"/>
      <c r="N6" s="78"/>
      <c r="O6" s="78"/>
      <c r="P6" s="78"/>
      <c r="Q6" s="78"/>
      <c r="R6" s="78"/>
      <c r="S6" s="78"/>
      <c r="T6" s="78"/>
      <c r="U6" s="77"/>
      <c r="V6" s="77"/>
      <c r="W6" s="77"/>
      <c r="X6" s="77"/>
      <c r="Y6" s="77"/>
      <c r="Z6" s="77"/>
      <c r="AA6" s="77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1"/>
    </row>
    <row r="7" ht="27.75" customHeight="1" spans="1:45">
      <c r="A7" s="61">
        <v>4</v>
      </c>
      <c r="B7" s="62" t="s">
        <v>63</v>
      </c>
      <c r="C7" s="62" t="s">
        <v>64</v>
      </c>
      <c r="D7" s="62" t="s">
        <v>58</v>
      </c>
      <c r="E7" s="62" t="s">
        <v>58</v>
      </c>
      <c r="F7" s="63">
        <v>55</v>
      </c>
      <c r="G7" s="64">
        <v>45.25</v>
      </c>
      <c r="H7" s="65">
        <f t="shared" ref="H7:H18" si="0">F7*G7</f>
        <v>2488.75</v>
      </c>
      <c r="I7" s="77"/>
      <c r="J7" s="77"/>
      <c r="K7" s="77"/>
      <c r="L7" s="78"/>
      <c r="M7" s="78"/>
      <c r="N7" s="78"/>
      <c r="O7" s="78"/>
      <c r="P7" s="78"/>
      <c r="Q7" s="78"/>
      <c r="R7" s="78"/>
      <c r="S7" s="78"/>
      <c r="T7" s="78"/>
      <c r="U7" s="77"/>
      <c r="V7" s="77"/>
      <c r="W7" s="77"/>
      <c r="X7" s="77"/>
      <c r="Y7" s="77"/>
      <c r="Z7" s="77"/>
      <c r="AA7" s="77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1"/>
    </row>
    <row r="8" ht="27.75" customHeight="1" spans="1:45">
      <c r="A8" s="61">
        <v>5</v>
      </c>
      <c r="B8" s="62" t="s">
        <v>65</v>
      </c>
      <c r="C8" s="62" t="s">
        <v>66</v>
      </c>
      <c r="D8" s="62" t="s">
        <v>58</v>
      </c>
      <c r="E8" s="62" t="s">
        <v>58</v>
      </c>
      <c r="F8" s="63">
        <v>60</v>
      </c>
      <c r="G8" s="64">
        <v>45.5</v>
      </c>
      <c r="H8" s="65">
        <f t="shared" si="0"/>
        <v>2730</v>
      </c>
      <c r="I8" s="77"/>
      <c r="J8" s="77"/>
      <c r="K8" s="77"/>
      <c r="L8" s="78"/>
      <c r="M8" s="78"/>
      <c r="N8" s="78"/>
      <c r="O8" s="78"/>
      <c r="P8" s="78"/>
      <c r="Q8" s="78"/>
      <c r="R8" s="78"/>
      <c r="S8" s="78"/>
      <c r="T8" s="78"/>
      <c r="U8" s="77"/>
      <c r="V8" s="77"/>
      <c r="W8" s="77"/>
      <c r="X8" s="77"/>
      <c r="Y8" s="77"/>
      <c r="Z8" s="77"/>
      <c r="AA8" s="77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1"/>
    </row>
    <row r="9" ht="27.75" customHeight="1" spans="1:45">
      <c r="A9" s="61">
        <v>6</v>
      </c>
      <c r="B9" s="62" t="s">
        <v>67</v>
      </c>
      <c r="C9" s="62" t="s">
        <v>68</v>
      </c>
      <c r="D9" s="62" t="s">
        <v>58</v>
      </c>
      <c r="E9" s="62" t="s">
        <v>58</v>
      </c>
      <c r="F9" s="63">
        <v>75</v>
      </c>
      <c r="G9" s="64">
        <v>125.25</v>
      </c>
      <c r="H9" s="65">
        <f t="shared" si="0"/>
        <v>9393.75</v>
      </c>
      <c r="I9" s="77"/>
      <c r="J9" s="77"/>
      <c r="K9" s="77"/>
      <c r="L9" s="78"/>
      <c r="M9" s="78"/>
      <c r="N9" s="78"/>
      <c r="O9" s="78"/>
      <c r="P9" s="78"/>
      <c r="Q9" s="78"/>
      <c r="R9" s="78"/>
      <c r="S9" s="78"/>
      <c r="T9" s="78"/>
      <c r="U9" s="77"/>
      <c r="V9" s="77"/>
      <c r="W9" s="77"/>
      <c r="X9" s="77"/>
      <c r="Y9" s="77"/>
      <c r="Z9" s="77"/>
      <c r="AA9" s="77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1"/>
    </row>
    <row r="10" ht="27.75" customHeight="1" spans="1:45">
      <c r="A10" s="61">
        <v>7</v>
      </c>
      <c r="B10" s="62" t="s">
        <v>69</v>
      </c>
      <c r="C10" s="62" t="s">
        <v>70</v>
      </c>
      <c r="D10" s="62" t="s">
        <v>58</v>
      </c>
      <c r="E10" s="62" t="s">
        <v>58</v>
      </c>
      <c r="F10" s="63">
        <v>28</v>
      </c>
      <c r="G10" s="64">
        <v>150.5</v>
      </c>
      <c r="H10" s="65">
        <f t="shared" si="0"/>
        <v>4214</v>
      </c>
      <c r="I10" s="77"/>
      <c r="J10" s="77"/>
      <c r="K10" s="77"/>
      <c r="L10" s="78"/>
      <c r="M10" s="78"/>
      <c r="N10" s="78"/>
      <c r="O10" s="78"/>
      <c r="P10" s="78"/>
      <c r="Q10" s="78"/>
      <c r="R10" s="78"/>
      <c r="S10" s="78"/>
      <c r="T10" s="78"/>
      <c r="U10" s="77"/>
      <c r="V10" s="77"/>
      <c r="W10" s="77"/>
      <c r="X10" s="77"/>
      <c r="Y10" s="77"/>
      <c r="Z10" s="77"/>
      <c r="AA10" s="77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1"/>
    </row>
    <row r="11" ht="27.75" customHeight="1" spans="1:45">
      <c r="A11" s="61">
        <v>8</v>
      </c>
      <c r="B11" s="62" t="s">
        <v>71</v>
      </c>
      <c r="C11" s="62" t="s">
        <v>72</v>
      </c>
      <c r="D11" s="62" t="s">
        <v>58</v>
      </c>
      <c r="E11" s="62" t="s">
        <v>58</v>
      </c>
      <c r="F11" s="63">
        <v>30</v>
      </c>
      <c r="G11" s="64">
        <v>65.32</v>
      </c>
      <c r="H11" s="65">
        <f t="shared" si="0"/>
        <v>1959.6</v>
      </c>
      <c r="I11" s="77"/>
      <c r="J11" s="77"/>
      <c r="K11" s="77"/>
      <c r="L11" s="78"/>
      <c r="M11" s="78"/>
      <c r="N11" s="78"/>
      <c r="O11" s="78"/>
      <c r="P11" s="78"/>
      <c r="Q11" s="78"/>
      <c r="R11" s="78"/>
      <c r="S11" s="78"/>
      <c r="T11" s="78"/>
      <c r="U11" s="77"/>
      <c r="V11" s="77"/>
      <c r="W11" s="77"/>
      <c r="X11" s="77"/>
      <c r="Y11" s="77"/>
      <c r="Z11" s="77"/>
      <c r="AA11" s="77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1"/>
    </row>
    <row r="12" ht="27.75" customHeight="1" spans="1:45">
      <c r="A12" s="61">
        <v>9</v>
      </c>
      <c r="B12" s="62" t="s">
        <v>73</v>
      </c>
      <c r="C12" s="62" t="s">
        <v>74</v>
      </c>
      <c r="D12" s="62" t="s">
        <v>58</v>
      </c>
      <c r="E12" s="62" t="s">
        <v>58</v>
      </c>
      <c r="F12" s="63">
        <v>25</v>
      </c>
      <c r="G12" s="64">
        <v>74.89</v>
      </c>
      <c r="H12" s="65">
        <f t="shared" si="0"/>
        <v>1872.25</v>
      </c>
      <c r="I12" s="77"/>
      <c r="J12" s="77"/>
      <c r="K12" s="77"/>
      <c r="L12" s="78"/>
      <c r="M12" s="78"/>
      <c r="N12" s="78"/>
      <c r="O12" s="78"/>
      <c r="P12" s="78"/>
      <c r="Q12" s="78"/>
      <c r="R12" s="78"/>
      <c r="S12" s="78"/>
      <c r="T12" s="78"/>
      <c r="U12" s="77"/>
      <c r="V12" s="77"/>
      <c r="W12" s="77"/>
      <c r="X12" s="77"/>
      <c r="Y12" s="77"/>
      <c r="Z12" s="77"/>
      <c r="AA12" s="77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1"/>
    </row>
    <row r="13" ht="27.75" customHeight="1" spans="1:45">
      <c r="A13" s="61">
        <v>10</v>
      </c>
      <c r="B13" s="62" t="s">
        <v>75</v>
      </c>
      <c r="C13" s="62" t="s">
        <v>76</v>
      </c>
      <c r="D13" s="62" t="s">
        <v>58</v>
      </c>
      <c r="E13" s="62" t="s">
        <v>58</v>
      </c>
      <c r="F13" s="63">
        <v>28</v>
      </c>
      <c r="G13" s="64">
        <v>89.56</v>
      </c>
      <c r="H13" s="65">
        <f t="shared" si="0"/>
        <v>2507.68</v>
      </c>
      <c r="I13" s="77"/>
      <c r="J13" s="77"/>
      <c r="K13" s="77"/>
      <c r="L13" s="78"/>
      <c r="M13" s="78"/>
      <c r="N13" s="78"/>
      <c r="O13" s="78"/>
      <c r="P13" s="78"/>
      <c r="Q13" s="78"/>
      <c r="R13" s="78"/>
      <c r="S13" s="78"/>
      <c r="T13" s="78"/>
      <c r="U13" s="77"/>
      <c r="V13" s="77"/>
      <c r="W13" s="77"/>
      <c r="X13" s="77"/>
      <c r="Y13" s="77"/>
      <c r="Z13" s="77"/>
      <c r="AA13" s="77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1"/>
    </row>
    <row r="14" ht="27.75" customHeight="1" spans="1:45">
      <c r="A14" s="61">
        <v>11</v>
      </c>
      <c r="B14" s="62" t="s">
        <v>77</v>
      </c>
      <c r="C14" s="62" t="s">
        <v>78</v>
      </c>
      <c r="D14" s="62" t="s">
        <v>58</v>
      </c>
      <c r="E14" s="62" t="s">
        <v>58</v>
      </c>
      <c r="F14" s="63">
        <v>37</v>
      </c>
      <c r="G14" s="64">
        <v>89.54</v>
      </c>
      <c r="H14" s="65">
        <f t="shared" si="0"/>
        <v>3312.98</v>
      </c>
      <c r="I14" s="77"/>
      <c r="J14" s="77"/>
      <c r="K14" s="77"/>
      <c r="L14" s="78"/>
      <c r="M14" s="78"/>
      <c r="N14" s="78"/>
      <c r="O14" s="78"/>
      <c r="P14" s="78"/>
      <c r="Q14" s="78"/>
      <c r="R14" s="78"/>
      <c r="S14" s="78"/>
      <c r="T14" s="78"/>
      <c r="U14" s="77"/>
      <c r="V14" s="77"/>
      <c r="W14" s="77"/>
      <c r="X14" s="77"/>
      <c r="Y14" s="77"/>
      <c r="Z14" s="77"/>
      <c r="AA14" s="77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1"/>
    </row>
    <row r="15" ht="27.75" customHeight="1" spans="1:45">
      <c r="A15" s="61">
        <v>12</v>
      </c>
      <c r="B15" s="62" t="s">
        <v>79</v>
      </c>
      <c r="C15" s="62" t="s">
        <v>80</v>
      </c>
      <c r="D15" s="62" t="s">
        <v>58</v>
      </c>
      <c r="E15" s="62" t="s">
        <v>58</v>
      </c>
      <c r="F15" s="63">
        <v>39</v>
      </c>
      <c r="G15" s="64">
        <v>98.25</v>
      </c>
      <c r="H15" s="65">
        <f t="shared" si="0"/>
        <v>3831.75</v>
      </c>
      <c r="I15" s="77"/>
      <c r="J15" s="77"/>
      <c r="K15" s="77"/>
      <c r="L15" s="78"/>
      <c r="M15" s="78"/>
      <c r="N15" s="78"/>
      <c r="O15" s="78"/>
      <c r="P15" s="78"/>
      <c r="Q15" s="78"/>
      <c r="R15" s="78"/>
      <c r="S15" s="78"/>
      <c r="T15" s="78"/>
      <c r="U15" s="77"/>
      <c r="V15" s="77"/>
      <c r="W15" s="77"/>
      <c r="X15" s="77"/>
      <c r="Y15" s="77"/>
      <c r="Z15" s="77"/>
      <c r="AA15" s="77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1"/>
    </row>
    <row r="16" ht="27.75" customHeight="1" spans="1:45">
      <c r="A16" s="61">
        <v>13</v>
      </c>
      <c r="B16" s="62" t="s">
        <v>81</v>
      </c>
      <c r="C16" s="62" t="s">
        <v>82</v>
      </c>
      <c r="D16" s="62" t="s">
        <v>58</v>
      </c>
      <c r="E16" s="62" t="s">
        <v>58</v>
      </c>
      <c r="F16" s="63">
        <v>70</v>
      </c>
      <c r="G16" s="64">
        <v>102.25</v>
      </c>
      <c r="H16" s="65">
        <f t="shared" si="0"/>
        <v>7157.5</v>
      </c>
      <c r="I16" s="77"/>
      <c r="J16" s="77"/>
      <c r="K16" s="77"/>
      <c r="L16" s="78"/>
      <c r="M16" s="78"/>
      <c r="N16" s="78"/>
      <c r="O16" s="78"/>
      <c r="P16" s="78"/>
      <c r="Q16" s="78"/>
      <c r="R16" s="78"/>
      <c r="S16" s="78"/>
      <c r="T16" s="78"/>
      <c r="U16" s="77"/>
      <c r="V16" s="77"/>
      <c r="W16" s="77"/>
      <c r="X16" s="77"/>
      <c r="Y16" s="77"/>
      <c r="Z16" s="77"/>
      <c r="AA16" s="77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1"/>
    </row>
    <row r="17" spans="1:45">
      <c r="A17" s="61">
        <v>14</v>
      </c>
      <c r="B17" s="62" t="s">
        <v>83</v>
      </c>
      <c r="C17" s="62" t="s">
        <v>84</v>
      </c>
      <c r="D17" s="62" t="s">
        <v>58</v>
      </c>
      <c r="E17" s="62" t="s">
        <v>58</v>
      </c>
      <c r="F17" s="63">
        <v>100</v>
      </c>
      <c r="G17" s="64">
        <v>103.5</v>
      </c>
      <c r="H17" s="65">
        <f t="shared" si="0"/>
        <v>10350</v>
      </c>
      <c r="I17" s="77"/>
      <c r="J17" s="77"/>
      <c r="K17" s="77"/>
      <c r="L17" s="78"/>
      <c r="M17" s="78"/>
      <c r="N17" s="78"/>
      <c r="O17" s="78"/>
      <c r="P17" s="78"/>
      <c r="Q17" s="78"/>
      <c r="R17" s="78"/>
      <c r="S17" s="81">
        <v>5858.27</v>
      </c>
      <c r="T17" s="78"/>
      <c r="U17" s="77"/>
      <c r="V17" s="77"/>
      <c r="W17" s="77"/>
      <c r="X17" s="77"/>
      <c r="Y17" s="77"/>
      <c r="Z17" s="77"/>
      <c r="AA17" s="77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1"/>
    </row>
    <row r="18" ht="15.25" spans="1:45">
      <c r="A18" s="66">
        <v>15</v>
      </c>
      <c r="B18" s="67" t="s">
        <v>85</v>
      </c>
      <c r="C18" s="67" t="s">
        <v>86</v>
      </c>
      <c r="D18" s="67" t="s">
        <v>58</v>
      </c>
      <c r="E18" s="67" t="s">
        <v>58</v>
      </c>
      <c r="F18" s="68">
        <v>85</v>
      </c>
      <c r="G18" s="69">
        <v>65.48</v>
      </c>
      <c r="H18" s="70">
        <f t="shared" si="0"/>
        <v>5565.8</v>
      </c>
      <c r="I18" s="77"/>
      <c r="J18" s="77"/>
      <c r="K18" s="77"/>
      <c r="L18" s="78"/>
      <c r="M18" s="78"/>
      <c r="N18" s="78"/>
      <c r="O18" s="78"/>
      <c r="P18" s="78"/>
      <c r="Q18" s="78"/>
      <c r="R18" s="78"/>
      <c r="S18" s="78"/>
      <c r="T18" s="78"/>
      <c r="U18" s="77"/>
      <c r="V18" s="77"/>
      <c r="W18" s="77"/>
      <c r="X18" s="77"/>
      <c r="Y18" s="77"/>
      <c r="Z18" s="77"/>
      <c r="AA18" s="77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1"/>
    </row>
    <row r="19" ht="15.25" spans="1:45">
      <c r="A19" s="71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79"/>
      <c r="J19" s="79"/>
      <c r="K19" s="79"/>
      <c r="L19" s="79"/>
      <c r="M19" s="79"/>
      <c r="N19" s="79"/>
      <c r="O19" s="79"/>
      <c r="P19" s="79"/>
      <c r="Q19" s="79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1"/>
    </row>
    <row r="20" spans="1:45">
      <c r="A20" s="72" t="s">
        <v>88</v>
      </c>
      <c r="B20" s="20"/>
      <c r="C20" s="20"/>
      <c r="D20" s="20"/>
      <c r="E20" s="20"/>
      <c r="F20" s="20"/>
      <c r="G20" s="20"/>
      <c r="H20" s="72"/>
      <c r="I20" s="80"/>
      <c r="J20" s="80"/>
      <c r="K20" s="80"/>
      <c r="L20" s="80"/>
      <c r="M20" s="80"/>
      <c r="N20" s="80"/>
      <c r="O20" s="80"/>
      <c r="P20" s="80"/>
      <c r="Q20" s="80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1"/>
    </row>
    <row r="21" ht="15.25" spans="1:45">
      <c r="A21" s="21" t="s">
        <v>89</v>
      </c>
      <c r="B21" s="21"/>
      <c r="C21" s="22">
        <v>2</v>
      </c>
      <c r="D21" s="23" t="s">
        <v>500</v>
      </c>
      <c r="E21" s="20"/>
      <c r="F21" s="20"/>
      <c r="G21" s="20"/>
      <c r="H21" s="72"/>
      <c r="I21" s="80" t="s">
        <v>91</v>
      </c>
      <c r="J21" s="80" t="s">
        <v>92</v>
      </c>
      <c r="K21" s="80"/>
      <c r="L21" s="80" t="s">
        <v>93</v>
      </c>
      <c r="M21" s="80">
        <v>1</v>
      </c>
      <c r="N21" s="80"/>
      <c r="O21" s="80" t="s">
        <v>94</v>
      </c>
      <c r="P21" s="80">
        <v>1</v>
      </c>
      <c r="Q21" s="80" t="s">
        <v>95</v>
      </c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72"/>
      <c r="AS21" s="71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87" t="s">
        <v>131</v>
      </c>
      <c r="AV22" s="87" t="s">
        <v>132</v>
      </c>
      <c r="AW22" s="87" t="s">
        <v>133</v>
      </c>
      <c r="AX22" s="87" t="s">
        <v>134</v>
      </c>
      <c r="AY22" s="87" t="s">
        <v>135</v>
      </c>
      <c r="AZ22" s="87" t="s">
        <v>136</v>
      </c>
      <c r="BA22" s="87" t="s">
        <v>137</v>
      </c>
      <c r="BB22" s="87" t="s">
        <v>138</v>
      </c>
      <c r="BC22" s="89" t="s">
        <v>139</v>
      </c>
      <c r="BD22" s="89" t="s">
        <v>8</v>
      </c>
      <c r="BE22" s="89" t="s">
        <v>9</v>
      </c>
      <c r="BF22" s="87" t="s">
        <v>216</v>
      </c>
      <c r="BG22" s="87" t="s">
        <v>140</v>
      </c>
      <c r="BH22" s="87" t="s">
        <v>141</v>
      </c>
      <c r="BI22" s="87" t="s">
        <v>142</v>
      </c>
      <c r="BJ22" s="87" t="s">
        <v>143</v>
      </c>
      <c r="BK22" s="87" t="s">
        <v>144</v>
      </c>
      <c r="BL22" s="87" t="s">
        <v>217</v>
      </c>
      <c r="BM22" s="49" t="s">
        <v>218</v>
      </c>
      <c r="BN22" s="87" t="s">
        <v>219</v>
      </c>
      <c r="BO22" s="87" t="s">
        <v>136</v>
      </c>
      <c r="BP22" s="87" t="s">
        <v>220</v>
      </c>
      <c r="BQ22" s="87" t="s">
        <v>108</v>
      </c>
    </row>
    <row r="23" ht="15.25" spans="1:70">
      <c r="A23" s="73">
        <v>1</v>
      </c>
      <c r="B23" s="73" t="s">
        <v>307</v>
      </c>
      <c r="C23" s="73" t="s">
        <v>57</v>
      </c>
      <c r="D23" s="73" t="s">
        <v>58</v>
      </c>
      <c r="E23" s="73" t="s">
        <v>58</v>
      </c>
      <c r="F23" s="74">
        <v>2</v>
      </c>
      <c r="G23" s="74">
        <v>250.25</v>
      </c>
      <c r="H23" s="74">
        <f>F23*G23</f>
        <v>500.5</v>
      </c>
      <c r="I23" s="74">
        <v>0</v>
      </c>
      <c r="J23" s="74">
        <v>0</v>
      </c>
      <c r="K23" s="74">
        <v>0</v>
      </c>
      <c r="L23" s="74">
        <v>0</v>
      </c>
      <c r="M23" s="74">
        <f>ROUND(L23*I23%,2)</f>
        <v>0</v>
      </c>
      <c r="N23" s="74">
        <v>0</v>
      </c>
      <c r="O23" s="74">
        <f>ROUND(N23*J23%,2)</f>
        <v>0</v>
      </c>
      <c r="P23" s="74">
        <f>ROUND(N23-O23,2)</f>
        <v>0</v>
      </c>
      <c r="Q23" s="74">
        <f>ROUND(P23*K23%,2)</f>
        <v>0</v>
      </c>
      <c r="R23" s="74">
        <f>M23+O23+Q23</f>
        <v>0</v>
      </c>
      <c r="S23" s="74">
        <f>(H23-R23)</f>
        <v>500.5</v>
      </c>
      <c r="T23" s="74" t="s">
        <v>146</v>
      </c>
      <c r="U23" s="74">
        <v>0.18</v>
      </c>
      <c r="V23" s="74">
        <f>IF($C$21=1,ROUND(((S23*U23)/2),2),0)</f>
        <v>0</v>
      </c>
      <c r="W23" s="74">
        <f>IF($C$21=1,ROUND(((S23*U23)/2),2),0)</f>
        <v>0</v>
      </c>
      <c r="X23" s="74">
        <f>IF($C$21=2,ROUND(((S23*U23)),2),0)</f>
        <v>90.09</v>
      </c>
      <c r="Y23" s="74">
        <f>IF($C$21=4,ROUND(((S23*U23)/2),2),0)</f>
        <v>0</v>
      </c>
      <c r="Z23" s="84">
        <v>0.06</v>
      </c>
      <c r="AA23" s="74">
        <f>IF($C$21=5,ROUND(((S23*Z23)),2),0)</f>
        <v>0</v>
      </c>
      <c r="AB23" s="74">
        <f>V23+W23+X23+Y23+AA23</f>
        <v>90.09</v>
      </c>
      <c r="AC23" s="74">
        <f>S23</f>
        <v>500.5</v>
      </c>
      <c r="AD23" s="74">
        <v>120</v>
      </c>
      <c r="AE23" s="74">
        <f>IF($P$21=1,(S23/$S$24)*$E$35,AD23/$AD$24*$E$35)</f>
        <v>0</v>
      </c>
      <c r="AF23" s="74"/>
      <c r="AG23" s="74">
        <f>IF($P$21=1,(S23/$S$24)*$E$37,AD23/$AD$24*$E$37)</f>
        <v>0</v>
      </c>
      <c r="AH23" s="74">
        <f>IF($P$21=1,(S23/$S$24)*$E$37,AD23/$AD$24*$E$37)</f>
        <v>0</v>
      </c>
      <c r="AI23" s="74">
        <f t="shared" ref="AI23" si="1">S23*$M$21</f>
        <v>500.5</v>
      </c>
      <c r="AJ23" s="74">
        <f t="shared" ref="AJ23" si="2">IF($C$21=3,0,AG23+AH23)</f>
        <v>0</v>
      </c>
      <c r="AK23" s="74">
        <f t="shared" ref="AK23" si="3">IF($C$21=3,AE23+AG23+AH23,0)</f>
        <v>0</v>
      </c>
      <c r="AL23" s="74">
        <v>1</v>
      </c>
      <c r="AM23" s="74">
        <f t="shared" ref="AM23" si="4">F23/AL23</f>
        <v>2</v>
      </c>
      <c r="AN23" s="74">
        <f>AI23/AM23</f>
        <v>250.25</v>
      </c>
      <c r="AO23" s="74">
        <f>AJ23/AM23</f>
        <v>0</v>
      </c>
      <c r="AP23" s="74">
        <f>AK23/AM23</f>
        <v>0</v>
      </c>
      <c r="AQ23" s="74" t="s">
        <v>58</v>
      </c>
      <c r="AR23" s="74">
        <f>AN23+AO23+AP23</f>
        <v>250.25</v>
      </c>
      <c r="AS23" s="88" t="s">
        <v>222</v>
      </c>
      <c r="AT23" s="88" t="s">
        <v>58</v>
      </c>
      <c r="AU23" t="s">
        <v>223</v>
      </c>
      <c r="AV23" t="s">
        <v>224</v>
      </c>
      <c r="AW23" s="88">
        <f>AM23</f>
        <v>2</v>
      </c>
      <c r="AX23" s="88">
        <f>AR23</f>
        <v>250.25</v>
      </c>
      <c r="AY23" s="88">
        <f>AU23+AW23</f>
        <v>4</v>
      </c>
      <c r="AZ23" s="88">
        <f>ROUND(((AU23*AV23)+(AW23*AX23))/(AU23+AW23),5)</f>
        <v>242.29</v>
      </c>
      <c r="BA23" s="90"/>
      <c r="BB23" s="90" t="s">
        <v>149</v>
      </c>
      <c r="BC23" s="91" t="s">
        <v>38</v>
      </c>
      <c r="BD23" s="91" t="s">
        <v>30</v>
      </c>
      <c r="BE23" s="91" t="s">
        <v>39</v>
      </c>
      <c r="BF23" s="90"/>
      <c r="BG23" s="90"/>
      <c r="BH23" s="90"/>
      <c r="BI23" s="88"/>
      <c r="BJ23" s="88"/>
      <c r="BK23" s="88"/>
      <c r="BL23" s="88" t="s">
        <v>31</v>
      </c>
      <c r="BM23" t="s">
        <v>502</v>
      </c>
      <c r="BN23" t="s">
        <v>269</v>
      </c>
      <c r="BO23" s="88">
        <f>ROUND((((AW23*AZ23)+(BN23*BM23))/(AW23+BN23)),5)</f>
        <v>3100.98829</v>
      </c>
      <c r="BP23" s="92">
        <f>BN23+AW23</f>
        <v>14</v>
      </c>
      <c r="BQ23" s="93">
        <v>123562</v>
      </c>
      <c r="BR23" s="92"/>
    </row>
    <row r="24" ht="15.25" spans="1:45">
      <c r="A24" s="71"/>
      <c r="B24" s="75"/>
      <c r="C24" s="75"/>
      <c r="D24" s="31" t="s">
        <v>87</v>
      </c>
      <c r="E24" s="31"/>
      <c r="F24" s="31"/>
      <c r="G24" s="32"/>
      <c r="H24" s="76">
        <f>SUM(H23:H23)</f>
        <v>500.5</v>
      </c>
      <c r="I24" s="73"/>
      <c r="J24" s="73"/>
      <c r="K24" s="73"/>
      <c r="L24" s="73"/>
      <c r="M24" s="73"/>
      <c r="N24" s="73"/>
      <c r="O24" s="73"/>
      <c r="P24" s="73"/>
      <c r="Q24" s="73"/>
      <c r="R24" s="76">
        <f>SUM(R23:R23)</f>
        <v>0</v>
      </c>
      <c r="S24" s="82">
        <f>SUM(S23:S23)</f>
        <v>500.5</v>
      </c>
      <c r="T24" s="76"/>
      <c r="U24" s="76"/>
      <c r="V24" s="83">
        <f t="shared" ref="V24:AE24" si="5">SUM(V23:V23)</f>
        <v>0</v>
      </c>
      <c r="W24" s="83">
        <f t="shared" si="5"/>
        <v>0</v>
      </c>
      <c r="X24" s="83">
        <f t="shared" si="5"/>
        <v>90.09</v>
      </c>
      <c r="Y24" s="83"/>
      <c r="Z24" s="83"/>
      <c r="AA24" s="83"/>
      <c r="AB24" s="76">
        <f t="shared" si="5"/>
        <v>90.09</v>
      </c>
      <c r="AC24" s="85">
        <f t="shared" si="5"/>
        <v>500.5</v>
      </c>
      <c r="AD24" s="86">
        <f t="shared" si="5"/>
        <v>120</v>
      </c>
      <c r="AE24" s="86">
        <f t="shared" si="5"/>
        <v>0</v>
      </c>
      <c r="AF24" s="85"/>
      <c r="AG24" s="86">
        <f>SUM(AG23:AG23)</f>
        <v>0</v>
      </c>
      <c r="AH24" s="86">
        <f>SUM(AH23:AH23)</f>
        <v>0</v>
      </c>
      <c r="AI24" s="86">
        <f>SUM(AI23:AI23)</f>
        <v>500.5</v>
      </c>
      <c r="AJ24" s="86">
        <f>SUM(AJ23:AJ23)</f>
        <v>0</v>
      </c>
      <c r="AK24" s="86">
        <f>SUM(AK23:AK23)</f>
        <v>0</v>
      </c>
      <c r="AL24" s="85"/>
      <c r="AM24" s="85"/>
      <c r="AN24" s="85"/>
      <c r="AO24" s="85"/>
      <c r="AP24" s="85"/>
      <c r="AQ24" s="85"/>
      <c r="AR24" s="85"/>
      <c r="AS24" s="71"/>
    </row>
    <row r="25" spans="1:45">
      <c r="A25" s="71"/>
      <c r="B25" s="75"/>
      <c r="C25" s="75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</row>
  </sheetData>
  <mergeCells count="3">
    <mergeCell ref="A1:AC1"/>
    <mergeCell ref="B19:G19"/>
    <mergeCell ref="A21:B21"/>
  </mergeCells>
  <pageMargins left="0.7" right="0.7" top="0.75" bottom="0.75" header="0.3" footer="0.3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6" workbookViewId="0">
      <selection activeCell="J18" sqref="J18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505</v>
      </c>
      <c r="C23" s="27" t="s">
        <v>505</v>
      </c>
      <c r="D23" s="27" t="s">
        <v>58</v>
      </c>
      <c r="E23" s="27" t="s">
        <v>58</v>
      </c>
      <c r="F23" s="28">
        <v>2</v>
      </c>
      <c r="G23" s="29" t="s">
        <v>232</v>
      </c>
      <c r="H23" s="28">
        <f>F23*G23</f>
        <v>500</v>
      </c>
      <c r="I23" s="29" t="s">
        <v>223</v>
      </c>
      <c r="J23" s="28">
        <v>2</v>
      </c>
      <c r="K23" s="28">
        <v>2</v>
      </c>
      <c r="L23" s="28">
        <f>H23</f>
        <v>500</v>
      </c>
      <c r="M23" s="28">
        <f>ROUND(L23*I23%,2)</f>
        <v>10</v>
      </c>
      <c r="N23" s="28">
        <f>H23-M23</f>
        <v>490</v>
      </c>
      <c r="O23" s="28">
        <f>ROUND(N23*J23%,2)</f>
        <v>9.8</v>
      </c>
      <c r="P23" s="28">
        <f>ROUND(N23-O23,2)</f>
        <v>480.2</v>
      </c>
      <c r="Q23" s="28">
        <f>ROUND(P23*K23%,2)</f>
        <v>9.6</v>
      </c>
      <c r="R23" s="28">
        <f>M23+O23+Q23</f>
        <v>29.4</v>
      </c>
      <c r="S23" s="28">
        <f>(H23-R23)</f>
        <v>470.6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28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470.6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470.6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235.3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235.3</v>
      </c>
      <c r="AS23" s="50" t="s">
        <v>229</v>
      </c>
      <c r="AT23" s="50" t="s">
        <v>58</v>
      </c>
      <c r="AU23" s="29"/>
      <c r="AV23" s="29"/>
      <c r="AW23" s="50">
        <f>AM23</f>
        <v>2</v>
      </c>
      <c r="AX23" s="50">
        <f>AR23</f>
        <v>235.3</v>
      </c>
      <c r="AY23" s="50">
        <f>AU23+AW23</f>
        <v>2</v>
      </c>
      <c r="AZ23" s="50">
        <f>ROUND(((AU23*AV23)+(AW23*AX23))/(AU23+AW23),5)</f>
        <v>235.3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240</v>
      </c>
      <c r="BN23" s="29" t="s">
        <v>240</v>
      </c>
      <c r="BO23" s="50">
        <f>ROUND((((AW23*AZ23)+(BN23*BM23))/(AW23+BN23)),5)</f>
        <v>235.3</v>
      </c>
      <c r="BP23" s="55">
        <f>BN23+AW23</f>
        <v>2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29.4</v>
      </c>
      <c r="S24" s="41">
        <f t="shared" si="1"/>
        <v>470.6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470.6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470.6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5" workbookViewId="0">
      <selection activeCell="AK29" sqref="AK29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506</v>
      </c>
      <c r="C23" s="27" t="s">
        <v>506</v>
      </c>
      <c r="D23" s="27" t="s">
        <v>58</v>
      </c>
      <c r="E23" s="27" t="s">
        <v>163</v>
      </c>
      <c r="F23" s="28">
        <v>2</v>
      </c>
      <c r="G23" s="29" t="s">
        <v>232</v>
      </c>
      <c r="H23" s="28">
        <f>F23*G23</f>
        <v>500</v>
      </c>
      <c r="I23" s="29" t="s">
        <v>223</v>
      </c>
      <c r="J23" s="28">
        <v>2</v>
      </c>
      <c r="K23" s="28">
        <v>2</v>
      </c>
      <c r="L23" s="28">
        <f>H23</f>
        <v>500</v>
      </c>
      <c r="M23" s="28">
        <f>ROUND(L23*I23%,2)</f>
        <v>10</v>
      </c>
      <c r="N23" s="28">
        <f>H23-M23</f>
        <v>490</v>
      </c>
      <c r="O23" s="28">
        <f>ROUND(N23*J23%,2)</f>
        <v>9.8</v>
      </c>
      <c r="P23" s="28">
        <f>ROUND(N23-O23,2)</f>
        <v>480.2</v>
      </c>
      <c r="Q23" s="28">
        <f>ROUND(P23*K23%,2)</f>
        <v>9.6</v>
      </c>
      <c r="R23" s="28">
        <f>M23+O23+Q23</f>
        <v>29.4</v>
      </c>
      <c r="S23" s="28">
        <f>(H23-R23)</f>
        <v>470.6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28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470.6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470.6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705.9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705.9</v>
      </c>
      <c r="AS23" s="50" t="s">
        <v>229</v>
      </c>
      <c r="AT23" s="50" t="s">
        <v>58</v>
      </c>
      <c r="AU23" s="29"/>
      <c r="AV23" s="29"/>
      <c r="AW23" s="50">
        <f>AM23</f>
        <v>0.666666666666667</v>
      </c>
      <c r="AX23" s="50">
        <f>AR23</f>
        <v>705.9</v>
      </c>
      <c r="AY23" s="50">
        <f>AU23+AW23</f>
        <v>0.666666666666667</v>
      </c>
      <c r="AZ23" s="50">
        <f>ROUND(((AU23*AV23)+(AW23*AX23))/(AU23+AW23),5)</f>
        <v>705.9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240</v>
      </c>
      <c r="BN23" s="29" t="s">
        <v>240</v>
      </c>
      <c r="BO23" s="50">
        <f>ROUND((((AW23*AZ23)+(BN23*BM23))/(AW23+BN23)),5)</f>
        <v>705.9</v>
      </c>
      <c r="BP23" s="55">
        <f>BN23+AW23</f>
        <v>0.666666666666667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500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29.4</v>
      </c>
      <c r="S24" s="41">
        <f t="shared" si="1"/>
        <v>470.6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470.6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470.6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C21" sqref="C21"/>
    </sheetView>
  </sheetViews>
  <sheetFormatPr defaultColWidth="8.72727272727273" defaultRowHeight="14.5"/>
  <cols>
    <col min="2" max="2" width="16" customWidth="1"/>
  </cols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507</v>
      </c>
      <c r="C23" s="27" t="s">
        <v>507</v>
      </c>
      <c r="D23" s="27" t="s">
        <v>58</v>
      </c>
      <c r="E23" s="27" t="s">
        <v>58</v>
      </c>
      <c r="F23" s="28">
        <v>2</v>
      </c>
      <c r="G23" s="29" t="s">
        <v>253</v>
      </c>
      <c r="H23" s="28">
        <f>F23*G23</f>
        <v>910</v>
      </c>
      <c r="I23" s="29">
        <v>2</v>
      </c>
      <c r="J23" s="28">
        <v>2</v>
      </c>
      <c r="K23" s="28">
        <v>3</v>
      </c>
      <c r="L23" s="28">
        <f>H23</f>
        <v>910</v>
      </c>
      <c r="M23" s="28">
        <f>ROUND(L23*I23%,2)</f>
        <v>18.2</v>
      </c>
      <c r="N23" s="28">
        <f>H23-M23</f>
        <v>891.8</v>
      </c>
      <c r="O23" s="28">
        <f>ROUND(N23*J23%,2)</f>
        <v>17.84</v>
      </c>
      <c r="P23" s="28">
        <f>ROUND(N23-O23,2)</f>
        <v>873.96</v>
      </c>
      <c r="Q23" s="28">
        <f>ROUND(P23*K23%,2)</f>
        <v>26.22</v>
      </c>
      <c r="R23" s="28">
        <f>M23+O23+Q23</f>
        <v>62.26</v>
      </c>
      <c r="S23" s="28">
        <f>(H23-R23)</f>
        <v>847.74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847.74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847.74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423.87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423.87</v>
      </c>
      <c r="AS23" s="50" t="s">
        <v>222</v>
      </c>
      <c r="AT23" s="50" t="s">
        <v>58</v>
      </c>
      <c r="AU23" s="29" t="s">
        <v>223</v>
      </c>
      <c r="AV23" s="29" t="s">
        <v>317</v>
      </c>
      <c r="AW23" s="50">
        <f>AM23</f>
        <v>2</v>
      </c>
      <c r="AX23" s="50">
        <f>AR23</f>
        <v>423.87</v>
      </c>
      <c r="AY23" s="50">
        <f>AU23+AW23</f>
        <v>4</v>
      </c>
      <c r="AZ23" s="50">
        <f>ROUND(((AU23*AV23)+(AW23*AX23))/(AU23+AW23),5)</f>
        <v>377.42813</v>
      </c>
      <c r="BA23" s="52"/>
      <c r="BB23" s="52" t="s">
        <v>149</v>
      </c>
      <c r="BC23" s="53" t="s">
        <v>29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31</v>
      </c>
      <c r="BM23" s="29" t="s">
        <v>318</v>
      </c>
      <c r="BN23" s="29" t="s">
        <v>243</v>
      </c>
      <c r="BO23" s="50">
        <f>ROUND((((AW23*AZ23)+(BN23*BM23))/(AW23+BN23)),5)</f>
        <v>277.52168</v>
      </c>
      <c r="BP23" s="55">
        <f>BN23+AW23</f>
        <v>26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910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62.26</v>
      </c>
      <c r="S24" s="41">
        <f t="shared" si="1"/>
        <v>847.74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847.74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847.74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5" workbookViewId="0">
      <selection activeCell="J26" sqref="J26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508</v>
      </c>
      <c r="C23" s="27" t="s">
        <v>508</v>
      </c>
      <c r="D23" s="27" t="s">
        <v>58</v>
      </c>
      <c r="E23" s="27" t="s">
        <v>58</v>
      </c>
      <c r="F23" s="28">
        <v>2</v>
      </c>
      <c r="G23" s="29" t="s">
        <v>234</v>
      </c>
      <c r="H23" s="28">
        <f>F23*G23</f>
        <v>400</v>
      </c>
      <c r="I23" s="29" t="s">
        <v>223</v>
      </c>
      <c r="J23" s="28">
        <v>1.79</v>
      </c>
      <c r="K23" s="28">
        <v>2.5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7.02</v>
      </c>
      <c r="P23" s="28">
        <f>ROUND(N23-O23,2)</f>
        <v>384.98</v>
      </c>
      <c r="Q23" s="28">
        <f>ROUND(P23*K23%,2)</f>
        <v>9.62</v>
      </c>
      <c r="R23" s="28">
        <f>M23+O23+Q23</f>
        <v>24.64</v>
      </c>
      <c r="S23" s="28">
        <f>(H23-R23)</f>
        <v>375.36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375.36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375.36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187.68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187.68</v>
      </c>
      <c r="AS23" s="50" t="s">
        <v>229</v>
      </c>
      <c r="AT23" s="50" t="s">
        <v>58</v>
      </c>
      <c r="AU23" s="29" t="s">
        <v>240</v>
      </c>
      <c r="AV23" s="29" t="s">
        <v>315</v>
      </c>
      <c r="AW23" s="50">
        <f>AM23</f>
        <v>2</v>
      </c>
      <c r="AX23" s="50">
        <f>AR23</f>
        <v>187.68</v>
      </c>
      <c r="AY23" s="50">
        <f>AU23+AW23</f>
        <v>2</v>
      </c>
      <c r="AZ23" s="50">
        <f>ROUND(((AU23*AV23)+(AW23*AX23))/(AU23+AW23),5)</f>
        <v>187.68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319</v>
      </c>
      <c r="BN23" s="29" t="s">
        <v>320</v>
      </c>
      <c r="BO23" s="50">
        <f>ROUND((((AW23*AZ23)+(BN23*BM23))/(AW23+BN23)),5)</f>
        <v>186.91706</v>
      </c>
      <c r="BP23" s="55">
        <f>BN23+AW23</f>
        <v>82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24.64</v>
      </c>
      <c r="S24" s="41">
        <f t="shared" si="1"/>
        <v>375.36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375.36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375.36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9" workbookViewId="0">
      <selection activeCell="I10" sqref="I10"/>
    </sheetView>
  </sheetViews>
  <sheetFormatPr defaultColWidth="8.72727272727273" defaultRowHeight="14.5"/>
  <cols>
    <col min="2" max="2" width="26.6363636363636" customWidth="1"/>
  </cols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509</v>
      </c>
      <c r="C23" s="27" t="s">
        <v>509</v>
      </c>
      <c r="D23" s="27" t="s">
        <v>58</v>
      </c>
      <c r="E23" s="27" t="s">
        <v>163</v>
      </c>
      <c r="F23" s="28">
        <v>2</v>
      </c>
      <c r="G23" s="29" t="s">
        <v>234</v>
      </c>
      <c r="H23" s="28">
        <f>F23*G23</f>
        <v>400</v>
      </c>
      <c r="I23" s="29" t="s">
        <v>223</v>
      </c>
      <c r="J23" s="28">
        <v>1.79</v>
      </c>
      <c r="K23" s="28">
        <v>2.5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7.02</v>
      </c>
      <c r="P23" s="28">
        <f>ROUND(N23-O23,2)</f>
        <v>384.98</v>
      </c>
      <c r="Q23" s="28">
        <f>ROUND(P23*K23%,2)</f>
        <v>9.62</v>
      </c>
      <c r="R23" s="28">
        <f>M23+O23+Q23</f>
        <v>24.64</v>
      </c>
      <c r="S23" s="28">
        <f>(H23-R23)</f>
        <v>375.36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375.36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375.36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563.04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563.04</v>
      </c>
      <c r="AS23" s="50" t="s">
        <v>229</v>
      </c>
      <c r="AT23" s="50" t="s">
        <v>58</v>
      </c>
      <c r="AU23" s="29" t="s">
        <v>240</v>
      </c>
      <c r="AV23" s="29" t="s">
        <v>315</v>
      </c>
      <c r="AW23" s="50">
        <f>AM23</f>
        <v>0.666666666666667</v>
      </c>
      <c r="AX23" s="50">
        <f>AR23</f>
        <v>563.04</v>
      </c>
      <c r="AY23" s="50">
        <f>AU23+AW23</f>
        <v>0.666666666666667</v>
      </c>
      <c r="AZ23" s="50">
        <f>ROUND(((AU23*AV23)+(AW23*AX23))/(AU23+AW23),5)</f>
        <v>563.04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319</v>
      </c>
      <c r="BN23" s="29" t="s">
        <v>320</v>
      </c>
      <c r="BO23" s="50">
        <f>ROUND((((AW23*AZ23)+(BN23*BM23))/(AW23+BN23)),5)</f>
        <v>190.0066</v>
      </c>
      <c r="BP23" s="55">
        <f>BN23+AW23</f>
        <v>80.6666666666667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24.64</v>
      </c>
      <c r="S24" s="41">
        <f t="shared" si="1"/>
        <v>375.36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375.36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375.36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F11" sqref="F11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57" t="s">
        <v>87</v>
      </c>
      <c r="C19" s="58"/>
      <c r="D19" s="58"/>
      <c r="E19" s="58"/>
      <c r="F19" s="58"/>
      <c r="G19" s="59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510</v>
      </c>
      <c r="C23" s="27" t="s">
        <v>510</v>
      </c>
      <c r="D23" s="27" t="s">
        <v>58</v>
      </c>
      <c r="E23" s="27" t="s">
        <v>58</v>
      </c>
      <c r="F23" s="28">
        <v>2</v>
      </c>
      <c r="G23" s="29" t="s">
        <v>234</v>
      </c>
      <c r="H23" s="28">
        <f>F23*G23</f>
        <v>400</v>
      </c>
      <c r="I23" s="29" t="s">
        <v>223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IF($C21=3,0,S23*Z23)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188.24</v>
      </c>
      <c r="AS23" s="50" t="s">
        <v>222</v>
      </c>
      <c r="AT23" s="50" t="s">
        <v>58</v>
      </c>
      <c r="AU23" s="29" t="s">
        <v>235</v>
      </c>
      <c r="AV23" s="29" t="s">
        <v>236</v>
      </c>
      <c r="AW23" s="50">
        <f>AM23</f>
        <v>2</v>
      </c>
      <c r="AX23" s="50">
        <f>AR23</f>
        <v>188.24</v>
      </c>
      <c r="AY23" s="50">
        <f>AU23+AW23</f>
        <v>14092</v>
      </c>
      <c r="AZ23" s="50">
        <f>ROUND(((AU23*AV23)+(AW23*AX23))/(AU23+AW23),5)</f>
        <v>121.1908</v>
      </c>
      <c r="BA23" s="52"/>
      <c r="BB23" s="52" t="s">
        <v>149</v>
      </c>
      <c r="BC23" s="54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237</v>
      </c>
      <c r="BN23" s="29" t="s">
        <v>238</v>
      </c>
      <c r="BO23" s="50">
        <f>ROUND((((AW23*AZ23)+(BN23*BM23))/(AW23+BN23)),5)</f>
        <v>146.93407</v>
      </c>
      <c r="BP23" s="55">
        <f>BN23+AW23</f>
        <v>689</v>
      </c>
      <c r="BQ23" s="56">
        <v>88363221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X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/>
      <c r="Z24" s="42"/>
      <c r="AA24" s="42"/>
      <c r="AB24" s="33">
        <f t="shared" ref="AB24:AE24" si="2">SUM(AB23:AB23)</f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9" workbookViewId="0">
      <selection activeCell="J25" sqref="J25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511</v>
      </c>
      <c r="C23" s="27" t="s">
        <v>511</v>
      </c>
      <c r="D23" s="27" t="s">
        <v>58</v>
      </c>
      <c r="E23" s="27" t="s">
        <v>58</v>
      </c>
      <c r="F23" s="28">
        <v>2</v>
      </c>
      <c r="G23" s="29" t="s">
        <v>234</v>
      </c>
      <c r="H23" s="28">
        <f>F23*G23</f>
        <v>400</v>
      </c>
      <c r="I23" s="29" t="s">
        <v>223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188.24</v>
      </c>
      <c r="AS23" s="50" t="s">
        <v>229</v>
      </c>
      <c r="AT23" s="50" t="s">
        <v>58</v>
      </c>
      <c r="AU23" s="29" t="s">
        <v>240</v>
      </c>
      <c r="AV23" s="29" t="s">
        <v>247</v>
      </c>
      <c r="AW23" s="50">
        <f>AM23</f>
        <v>2</v>
      </c>
      <c r="AX23" s="50">
        <f>AR23</f>
        <v>188.24</v>
      </c>
      <c r="AY23" s="50">
        <f>AU23+AW23</f>
        <v>2</v>
      </c>
      <c r="AZ23" s="50">
        <f>ROUND(((AU23*AV23)+(AW23*AX23))/(AU23+AW23),5)</f>
        <v>188.24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247</v>
      </c>
      <c r="BN23" s="29" t="s">
        <v>304</v>
      </c>
      <c r="BO23" s="50">
        <f>ROUND((((AW23*AZ23)+(BN23*BM23))/(AW23+BN23)),5)</f>
        <v>186.96</v>
      </c>
      <c r="BP23" s="55">
        <f>BN23+AW23</f>
        <v>6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12" workbookViewId="0">
      <selection activeCell="G26" sqref="G26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512</v>
      </c>
      <c r="C23" s="27" t="s">
        <v>512</v>
      </c>
      <c r="D23" s="27" t="s">
        <v>58</v>
      </c>
      <c r="E23" s="27" t="s">
        <v>163</v>
      </c>
      <c r="F23" s="28">
        <v>2</v>
      </c>
      <c r="G23" s="29" t="s">
        <v>234</v>
      </c>
      <c r="H23" s="28">
        <f>F23*G23</f>
        <v>400</v>
      </c>
      <c r="I23" s="29" t="s">
        <v>223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3</v>
      </c>
      <c r="AM23" s="28">
        <f>F23/AL23</f>
        <v>0.666666666666667</v>
      </c>
      <c r="AN23" s="28">
        <f>AI23/AM23</f>
        <v>564.72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564.72</v>
      </c>
      <c r="AS23" s="50" t="s">
        <v>229</v>
      </c>
      <c r="AT23" s="50" t="s">
        <v>58</v>
      </c>
      <c r="AU23" s="29" t="s">
        <v>240</v>
      </c>
      <c r="AV23" s="29" t="s">
        <v>247</v>
      </c>
      <c r="AW23" s="50">
        <f>AM23</f>
        <v>0.666666666666667</v>
      </c>
      <c r="AX23" s="50">
        <f>AR23</f>
        <v>564.72</v>
      </c>
      <c r="AY23" s="50">
        <f>AU23+AW23</f>
        <v>0.666666666666667</v>
      </c>
      <c r="AZ23" s="50">
        <f>ROUND(((AU23*AV23)+(AW23*AX23))/(AU23+AW23),5)</f>
        <v>564.72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247</v>
      </c>
      <c r="BN23" s="29" t="s">
        <v>304</v>
      </c>
      <c r="BO23" s="50">
        <f>ROUND((((AW23*AZ23)+(BN23*BM23))/(AW23+BN23)),5)</f>
        <v>240.37714</v>
      </c>
      <c r="BP23" s="55">
        <f>BN23+AW23</f>
        <v>4.66666666666667</v>
      </c>
      <c r="BQ23" s="56">
        <v>88363222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topLeftCell="A15" workbookViewId="0">
      <selection activeCell="J22" sqref="J22"/>
    </sheetView>
  </sheetViews>
  <sheetFormatPr defaultColWidth="8.72727272727273" defaultRowHeight="14.5"/>
  <sheetData>
    <row r="1" ht="17.5" spans="1:69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</row>
    <row r="2" ht="18.25" spans="1:69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</row>
    <row r="3" ht="15.25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16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4"/>
      <c r="J4" s="34"/>
      <c r="K4" s="34"/>
      <c r="L4" s="35"/>
      <c r="M4" s="35"/>
      <c r="N4" s="35"/>
      <c r="O4" s="35"/>
      <c r="P4" s="35"/>
      <c r="Q4" s="35"/>
      <c r="R4" s="35"/>
      <c r="S4" s="35"/>
      <c r="T4" s="35"/>
      <c r="U4" s="34"/>
      <c r="V4" s="34"/>
      <c r="W4" s="34"/>
      <c r="X4" s="34"/>
      <c r="Y4" s="34"/>
      <c r="Z4" s="34"/>
      <c r="AA4" s="34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16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4"/>
      <c r="J5" s="34"/>
      <c r="K5" s="34"/>
      <c r="L5" s="35"/>
      <c r="M5" s="35"/>
      <c r="N5" s="35"/>
      <c r="O5" s="35"/>
      <c r="P5" s="35"/>
      <c r="Q5" s="35"/>
      <c r="R5" s="35"/>
      <c r="S5" s="35"/>
      <c r="T5" s="35"/>
      <c r="U5" s="34"/>
      <c r="V5" s="34"/>
      <c r="W5" s="34"/>
      <c r="X5" s="34"/>
      <c r="Y5" s="34"/>
      <c r="Z5" s="34"/>
      <c r="AA5" s="34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16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4"/>
      <c r="J6" s="34"/>
      <c r="K6" s="34"/>
      <c r="L6" s="35"/>
      <c r="M6" s="35"/>
      <c r="N6" s="35"/>
      <c r="O6" s="35"/>
      <c r="P6" s="35"/>
      <c r="Q6" s="35"/>
      <c r="R6" s="35"/>
      <c r="S6" s="35"/>
      <c r="T6" s="35"/>
      <c r="U6" s="34"/>
      <c r="V6" s="34"/>
      <c r="W6" s="34"/>
      <c r="X6" s="34"/>
      <c r="Y6" s="34"/>
      <c r="Z6" s="34"/>
      <c r="AA6" s="34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16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4"/>
      <c r="J7" s="34"/>
      <c r="K7" s="34"/>
      <c r="L7" s="35"/>
      <c r="M7" s="35"/>
      <c r="N7" s="35"/>
      <c r="O7" s="35"/>
      <c r="P7" s="35"/>
      <c r="Q7" s="35"/>
      <c r="R7" s="35"/>
      <c r="S7" s="35"/>
      <c r="T7" s="35"/>
      <c r="U7" s="34"/>
      <c r="V7" s="34"/>
      <c r="W7" s="34"/>
      <c r="X7" s="34"/>
      <c r="Y7" s="34"/>
      <c r="Z7" s="34"/>
      <c r="AA7" s="34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16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4"/>
      <c r="J8" s="34"/>
      <c r="K8" s="34"/>
      <c r="L8" s="35"/>
      <c r="M8" s="35"/>
      <c r="N8" s="35"/>
      <c r="O8" s="35"/>
      <c r="P8" s="35"/>
      <c r="Q8" s="35"/>
      <c r="R8" s="35"/>
      <c r="S8" s="35"/>
      <c r="T8" s="35"/>
      <c r="U8" s="34"/>
      <c r="V8" s="34"/>
      <c r="W8" s="34"/>
      <c r="X8" s="34"/>
      <c r="Y8" s="34"/>
      <c r="Z8" s="34"/>
      <c r="AA8" s="34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16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4"/>
      <c r="J9" s="34"/>
      <c r="K9" s="34"/>
      <c r="L9" s="35"/>
      <c r="M9" s="35"/>
      <c r="N9" s="35"/>
      <c r="O9" s="35"/>
      <c r="P9" s="35"/>
      <c r="Q9" s="35"/>
      <c r="R9" s="35"/>
      <c r="S9" s="35"/>
      <c r="T9" s="35"/>
      <c r="U9" s="34"/>
      <c r="V9" s="34"/>
      <c r="W9" s="34"/>
      <c r="X9" s="34"/>
      <c r="Y9" s="34"/>
      <c r="Z9" s="34"/>
      <c r="AA9" s="34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16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4"/>
      <c r="J10" s="34"/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4"/>
      <c r="V10" s="34"/>
      <c r="W10" s="34"/>
      <c r="X10" s="34"/>
      <c r="Y10" s="34"/>
      <c r="Z10" s="34"/>
      <c r="AA10" s="34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16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65.32</v>
      </c>
      <c r="H11" s="10">
        <f t="shared" si="0"/>
        <v>1959.6</v>
      </c>
      <c r="I11" s="34"/>
      <c r="J11" s="34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4"/>
      <c r="V11" s="34"/>
      <c r="W11" s="34"/>
      <c r="X11" s="34"/>
      <c r="Y11" s="34"/>
      <c r="Z11" s="34"/>
      <c r="AA11" s="34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16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4"/>
      <c r="J12" s="34"/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4"/>
      <c r="V12" s="34"/>
      <c r="W12" s="34"/>
      <c r="X12" s="34"/>
      <c r="Y12" s="34"/>
      <c r="Z12" s="34"/>
      <c r="AA12" s="34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16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</v>
      </c>
      <c r="I13" s="34"/>
      <c r="J13" s="34"/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4"/>
      <c r="V13" s="34"/>
      <c r="W13" s="34"/>
      <c r="X13" s="34"/>
      <c r="Y13" s="34"/>
      <c r="Z13" s="34"/>
      <c r="AA13" s="34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16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4"/>
      <c r="J14" s="34"/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4"/>
      <c r="V14" s="34"/>
      <c r="W14" s="34"/>
      <c r="X14" s="34"/>
      <c r="Y14" s="34"/>
      <c r="Z14" s="34"/>
      <c r="AA14" s="34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16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4"/>
      <c r="J15" s="34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4"/>
      <c r="V15" s="34"/>
      <c r="W15" s="34"/>
      <c r="X15" s="34"/>
      <c r="Y15" s="34"/>
      <c r="Z15" s="34"/>
      <c r="AA15" s="34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16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4"/>
      <c r="J16" s="34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4"/>
      <c r="V16" s="34"/>
      <c r="W16" s="34"/>
      <c r="X16" s="34"/>
      <c r="Y16" s="34"/>
      <c r="Z16" s="34"/>
      <c r="AA16" s="34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16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4"/>
      <c r="J17" s="34"/>
      <c r="K17" s="34"/>
      <c r="L17" s="35"/>
      <c r="M17" s="35"/>
      <c r="N17" s="35"/>
      <c r="O17" s="35"/>
      <c r="P17" s="35"/>
      <c r="Q17" s="35"/>
      <c r="R17" s="35"/>
      <c r="S17" s="39"/>
      <c r="T17" s="35"/>
      <c r="U17" s="34"/>
      <c r="V17" s="34"/>
      <c r="W17" s="34"/>
      <c r="X17" s="34"/>
      <c r="Y17" s="34"/>
      <c r="Z17" s="34"/>
      <c r="AA17" s="34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16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</row>
    <row r="18" ht="15.25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4"/>
      <c r="J18" s="34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4"/>
      <c r="V18" s="34"/>
      <c r="W18" s="34"/>
      <c r="X18" s="34"/>
      <c r="Y18" s="34"/>
      <c r="Z18" s="34"/>
      <c r="AA18" s="34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16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</row>
    <row r="19" ht="15.25" spans="1:69">
      <c r="A19" s="16"/>
      <c r="B19" s="17" t="s">
        <v>87</v>
      </c>
      <c r="C19" s="17"/>
      <c r="D19" s="17"/>
      <c r="E19" s="17"/>
      <c r="F19" s="17"/>
      <c r="G19" s="17"/>
      <c r="H19" s="18">
        <f>SUM(H4:H18)</f>
        <v>71856.76</v>
      </c>
      <c r="I19" s="36"/>
      <c r="J19" s="36"/>
      <c r="K19" s="36"/>
      <c r="L19" s="36"/>
      <c r="M19" s="36"/>
      <c r="N19" s="36"/>
      <c r="O19" s="36"/>
      <c r="P19" s="36"/>
      <c r="Q19" s="36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6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</row>
    <row r="20" spans="1:69">
      <c r="A20" s="19" t="s">
        <v>88</v>
      </c>
      <c r="B20" s="20"/>
      <c r="C20" s="20"/>
      <c r="D20" s="20"/>
      <c r="E20" s="20"/>
      <c r="F20" s="20"/>
      <c r="G20" s="20"/>
      <c r="H20" s="19"/>
      <c r="I20" s="36"/>
      <c r="J20" s="36"/>
      <c r="K20" s="36"/>
      <c r="L20" s="36"/>
      <c r="M20" s="36"/>
      <c r="N20" s="36"/>
      <c r="O20" s="36"/>
      <c r="P20" s="36"/>
      <c r="Q20" s="36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6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</row>
    <row r="21" ht="15.25" spans="1:69">
      <c r="A21" s="21" t="s">
        <v>89</v>
      </c>
      <c r="B21" s="21"/>
      <c r="C21" s="22">
        <v>3</v>
      </c>
      <c r="D21" s="23" t="s">
        <v>210</v>
      </c>
      <c r="E21" s="20"/>
      <c r="F21" s="20"/>
      <c r="G21" s="20"/>
      <c r="H21" s="19"/>
      <c r="I21" s="36" t="s">
        <v>91</v>
      </c>
      <c r="J21" s="36" t="s">
        <v>92</v>
      </c>
      <c r="K21" s="36"/>
      <c r="L21" s="36" t="s">
        <v>93</v>
      </c>
      <c r="M21" s="36">
        <v>1</v>
      </c>
      <c r="N21" s="36"/>
      <c r="O21" s="36" t="s">
        <v>94</v>
      </c>
      <c r="P21" s="36">
        <v>1</v>
      </c>
      <c r="Q21" s="36" t="s">
        <v>95</v>
      </c>
      <c r="R21" s="19"/>
      <c r="S21" s="19"/>
      <c r="T21" s="19"/>
      <c r="U21" s="19"/>
      <c r="V21" s="19">
        <v>1</v>
      </c>
      <c r="W21" s="19" t="s">
        <v>211</v>
      </c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6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</row>
    <row r="22" ht="57.5" spans="1:69">
      <c r="A22" s="24" t="s">
        <v>48</v>
      </c>
      <c r="B22" s="24" t="s">
        <v>49</v>
      </c>
      <c r="C22" s="25" t="s">
        <v>50</v>
      </c>
      <c r="D22" s="24" t="s">
        <v>51</v>
      </c>
      <c r="E22" s="24" t="s">
        <v>52</v>
      </c>
      <c r="F22" s="26" t="s">
        <v>96</v>
      </c>
      <c r="G22" s="24" t="s">
        <v>54</v>
      </c>
      <c r="H22" s="24" t="s">
        <v>55</v>
      </c>
      <c r="I22" s="37" t="s">
        <v>97</v>
      </c>
      <c r="J22" s="37" t="s">
        <v>98</v>
      </c>
      <c r="K22" s="37" t="s">
        <v>99</v>
      </c>
      <c r="L22" s="38" t="s">
        <v>100</v>
      </c>
      <c r="M22" s="38" t="s">
        <v>101</v>
      </c>
      <c r="N22" s="38" t="s">
        <v>102</v>
      </c>
      <c r="O22" s="38" t="s">
        <v>103</v>
      </c>
      <c r="P22" s="38" t="s">
        <v>104</v>
      </c>
      <c r="Q22" s="38" t="s">
        <v>105</v>
      </c>
      <c r="R22" s="37" t="s">
        <v>106</v>
      </c>
      <c r="S22" s="24" t="s">
        <v>107</v>
      </c>
      <c r="T22" s="24" t="s">
        <v>108</v>
      </c>
      <c r="U22" s="40" t="s">
        <v>109</v>
      </c>
      <c r="V22" s="40" t="s">
        <v>110</v>
      </c>
      <c r="W22" s="40" t="s">
        <v>111</v>
      </c>
      <c r="X22" s="40" t="s">
        <v>112</v>
      </c>
      <c r="Y22" s="40" t="s">
        <v>212</v>
      </c>
      <c r="Z22" s="40" t="s">
        <v>213</v>
      </c>
      <c r="AA22" s="40" t="s">
        <v>214</v>
      </c>
      <c r="AB22" s="40" t="s">
        <v>113</v>
      </c>
      <c r="AC22" s="43" t="s">
        <v>114</v>
      </c>
      <c r="AD22" s="43" t="s">
        <v>115</v>
      </c>
      <c r="AE22" s="44" t="s">
        <v>116</v>
      </c>
      <c r="AF22" s="44" t="s">
        <v>117</v>
      </c>
      <c r="AG22" s="44" t="s">
        <v>118</v>
      </c>
      <c r="AH22" s="43" t="s">
        <v>119</v>
      </c>
      <c r="AI22" s="43" t="s">
        <v>120</v>
      </c>
      <c r="AJ22" s="44" t="s">
        <v>121</v>
      </c>
      <c r="AK22" s="44" t="s">
        <v>122</v>
      </c>
      <c r="AL22" s="43" t="s">
        <v>123</v>
      </c>
      <c r="AM22" s="43" t="s">
        <v>124</v>
      </c>
      <c r="AN22" s="44" t="s">
        <v>125</v>
      </c>
      <c r="AO22" s="44" t="s">
        <v>126</v>
      </c>
      <c r="AP22" s="44" t="s">
        <v>127</v>
      </c>
      <c r="AQ22" s="43" t="s">
        <v>128</v>
      </c>
      <c r="AR22" s="48" t="s">
        <v>129</v>
      </c>
      <c r="AS22" s="3" t="s">
        <v>215</v>
      </c>
      <c r="AT22" s="3" t="s">
        <v>128</v>
      </c>
      <c r="AU22" s="49" t="s">
        <v>131</v>
      </c>
      <c r="AV22" s="49" t="s">
        <v>132</v>
      </c>
      <c r="AW22" s="49" t="s">
        <v>133</v>
      </c>
      <c r="AX22" s="49" t="s">
        <v>134</v>
      </c>
      <c r="AY22" s="49" t="s">
        <v>135</v>
      </c>
      <c r="AZ22" s="49" t="s">
        <v>136</v>
      </c>
      <c r="BA22" s="49" t="s">
        <v>137</v>
      </c>
      <c r="BB22" s="49" t="s">
        <v>138</v>
      </c>
      <c r="BC22" s="51" t="s">
        <v>139</v>
      </c>
      <c r="BD22" s="51" t="s">
        <v>8</v>
      </c>
      <c r="BE22" s="51" t="s">
        <v>9</v>
      </c>
      <c r="BF22" s="49" t="s">
        <v>216</v>
      </c>
      <c r="BG22" s="49" t="s">
        <v>140</v>
      </c>
      <c r="BH22" s="49" t="s">
        <v>141</v>
      </c>
      <c r="BI22" s="49" t="s">
        <v>142</v>
      </c>
      <c r="BJ22" s="49" t="s">
        <v>143</v>
      </c>
      <c r="BK22" s="49" t="s">
        <v>144</v>
      </c>
      <c r="BL22" s="49" t="s">
        <v>217</v>
      </c>
      <c r="BM22" s="49" t="s">
        <v>218</v>
      </c>
      <c r="BN22" s="49" t="s">
        <v>219</v>
      </c>
      <c r="BO22" s="49" t="s">
        <v>136</v>
      </c>
      <c r="BP22" s="49" t="s">
        <v>220</v>
      </c>
      <c r="BQ22" s="49" t="s">
        <v>108</v>
      </c>
    </row>
    <row r="23" ht="15.25" spans="1:69">
      <c r="A23" s="27">
        <v>1</v>
      </c>
      <c r="B23" s="27" t="s">
        <v>513</v>
      </c>
      <c r="C23" s="27" t="s">
        <v>513</v>
      </c>
      <c r="D23" s="27" t="s">
        <v>58</v>
      </c>
      <c r="E23" s="27" t="s">
        <v>58</v>
      </c>
      <c r="F23" s="28">
        <v>2</v>
      </c>
      <c r="G23" s="29" t="s">
        <v>234</v>
      </c>
      <c r="H23" s="28">
        <f>F23*G23</f>
        <v>400</v>
      </c>
      <c r="I23" s="29" t="s">
        <v>223</v>
      </c>
      <c r="J23" s="28">
        <v>2</v>
      </c>
      <c r="K23" s="28">
        <v>2</v>
      </c>
      <c r="L23" s="28">
        <f>H23</f>
        <v>400</v>
      </c>
      <c r="M23" s="28">
        <f>ROUND(L23*I23%,2)</f>
        <v>8</v>
      </c>
      <c r="N23" s="28">
        <f>H23-M23</f>
        <v>392</v>
      </c>
      <c r="O23" s="28">
        <f>ROUND(N23*J23%,2)</f>
        <v>7.84</v>
      </c>
      <c r="P23" s="28">
        <f>ROUND(N23-O23,2)</f>
        <v>384.16</v>
      </c>
      <c r="Q23" s="28">
        <f>ROUND(P23*K23%,2)</f>
        <v>7.68</v>
      </c>
      <c r="R23" s="28">
        <f>M23+O23+Q23</f>
        <v>23.52</v>
      </c>
      <c r="S23" s="28">
        <f>(H23-R23)</f>
        <v>376.48</v>
      </c>
      <c r="T23" s="28" t="s">
        <v>146</v>
      </c>
      <c r="U23" s="28">
        <v>0.18</v>
      </c>
      <c r="V23" s="28">
        <f>IF(OR($C$21=1,$C$21=4),ROUND(((S23*U23)/2),2),0)</f>
        <v>0</v>
      </c>
      <c r="W23" s="28">
        <f>IF($C$21=1,ROUND(((S23*U23)/2),2),0)</f>
        <v>0</v>
      </c>
      <c r="X23" s="28">
        <f>IF($C$21=2,ROUND(((S23*U23)),2),0)</f>
        <v>0</v>
      </c>
      <c r="Y23" s="28">
        <f>IF($C$21=4,ROUND(((S23*U23)/2),2),0)</f>
        <v>0</v>
      </c>
      <c r="Z23" s="45">
        <v>0</v>
      </c>
      <c r="AA23" s="28">
        <f>IF($C21=3,0,ROUND(S23*Z23,2))</f>
        <v>0</v>
      </c>
      <c r="AB23" s="28">
        <f>V23+W23+X23+Y23+AA23</f>
        <v>0</v>
      </c>
      <c r="AC23" s="28">
        <f>IF($V21=1,S23+AB23,S23)</f>
        <v>376.48</v>
      </c>
      <c r="AD23" s="28">
        <v>120</v>
      </c>
      <c r="AE23" s="28">
        <f>IF($P$21=1,(S23/$S$24)*$E$35,AD23/$AD$24*$E$35)</f>
        <v>0</v>
      </c>
      <c r="AF23" s="28"/>
      <c r="AG23" s="28">
        <f>IF($P$21=1,(S23/$S$24)*$E$37,AD23/$AD$24*$E$37)</f>
        <v>0</v>
      </c>
      <c r="AH23" s="28">
        <f>IF($P$21=1,(S23/$S$24)*$E$37,AD23/$AD$24*$E$37)</f>
        <v>0</v>
      </c>
      <c r="AI23" s="28">
        <f>S23*$M$21</f>
        <v>376.48</v>
      </c>
      <c r="AJ23" s="28">
        <f>IF($C$21=3,0,AG23+AH23)</f>
        <v>0</v>
      </c>
      <c r="AK23" s="28">
        <f>IF($C$21=3,AE23+AG23+AH23,0)</f>
        <v>0</v>
      </c>
      <c r="AL23" s="28">
        <v>1</v>
      </c>
      <c r="AM23" s="28">
        <f>F23/AL23</f>
        <v>2</v>
      </c>
      <c r="AN23" s="28">
        <f>AI23/AM23</f>
        <v>188.24</v>
      </c>
      <c r="AO23" s="28">
        <f>AJ23/AM23</f>
        <v>0</v>
      </c>
      <c r="AP23" s="28">
        <f>AK23/AM23</f>
        <v>0</v>
      </c>
      <c r="AQ23" s="28" t="s">
        <v>58</v>
      </c>
      <c r="AR23" s="28">
        <f>AN23+AO23+AP23</f>
        <v>188.24</v>
      </c>
      <c r="AS23" s="50" t="s">
        <v>222</v>
      </c>
      <c r="AT23" s="50" t="s">
        <v>58</v>
      </c>
      <c r="AU23" s="29" t="s">
        <v>322</v>
      </c>
      <c r="AV23" s="29" t="s">
        <v>323</v>
      </c>
      <c r="AW23" s="50">
        <f>AM23</f>
        <v>2</v>
      </c>
      <c r="AX23" s="50">
        <f>AR23</f>
        <v>188.24</v>
      </c>
      <c r="AY23" s="50">
        <f>AU23+AW23</f>
        <v>18</v>
      </c>
      <c r="AZ23" s="50">
        <f>ROUND(((AU23*AV23)+(AW23*AX23))/(AU23+AW23),5)</f>
        <v>186.08428</v>
      </c>
      <c r="BA23" s="52"/>
      <c r="BB23" s="52" t="s">
        <v>149</v>
      </c>
      <c r="BC23" s="53" t="s">
        <v>38</v>
      </c>
      <c r="BD23" s="54" t="s">
        <v>30</v>
      </c>
      <c r="BE23" s="54" t="s">
        <v>39</v>
      </c>
      <c r="BF23" s="52"/>
      <c r="BG23" s="52"/>
      <c r="BH23" s="52"/>
      <c r="BI23" s="50"/>
      <c r="BJ23" s="50"/>
      <c r="BK23" s="50"/>
      <c r="BL23" s="50" t="s">
        <v>230</v>
      </c>
      <c r="BM23" s="29" t="s">
        <v>324</v>
      </c>
      <c r="BN23" s="29" t="s">
        <v>310</v>
      </c>
      <c r="BO23" s="50">
        <f>ROUND((((AW23*AZ23)+(BN23*BM23))/(AW23+BN23)),5)</f>
        <v>184.80458</v>
      </c>
      <c r="BP23" s="55">
        <f>BN23+AW23</f>
        <v>20</v>
      </c>
      <c r="BQ23" s="56">
        <v>88363221</v>
      </c>
    </row>
    <row r="24" ht="15.25" spans="1:69">
      <c r="A24" s="16"/>
      <c r="B24" s="30"/>
      <c r="C24" s="30"/>
      <c r="D24" s="31" t="s">
        <v>87</v>
      </c>
      <c r="E24" s="31"/>
      <c r="F24" s="31"/>
      <c r="G24" s="32"/>
      <c r="H24" s="33">
        <f>SUM(H23:H23)</f>
        <v>400</v>
      </c>
      <c r="I24" s="27"/>
      <c r="J24" s="27"/>
      <c r="K24" s="27"/>
      <c r="L24" s="27"/>
      <c r="M24" s="27"/>
      <c r="N24" s="27"/>
      <c r="O24" s="27"/>
      <c r="P24" s="27"/>
      <c r="Q24" s="27"/>
      <c r="R24" s="33">
        <f t="shared" ref="R24:Y24" si="1">SUM(R23:R23)</f>
        <v>23.52</v>
      </c>
      <c r="S24" s="41">
        <f t="shared" si="1"/>
        <v>376.48</v>
      </c>
      <c r="T24" s="33"/>
      <c r="U24" s="33"/>
      <c r="V24" s="42">
        <f t="shared" si="1"/>
        <v>0</v>
      </c>
      <c r="W24" s="42">
        <f t="shared" si="1"/>
        <v>0</v>
      </c>
      <c r="X24" s="42">
        <f t="shared" si="1"/>
        <v>0</v>
      </c>
      <c r="Y24" s="42">
        <f t="shared" si="1"/>
        <v>0</v>
      </c>
      <c r="Z24" s="42"/>
      <c r="AA24" s="42">
        <f t="shared" ref="AA24:AE24" si="2">SUM(AA23:AA23)</f>
        <v>0</v>
      </c>
      <c r="AB24" s="33">
        <f t="shared" si="2"/>
        <v>0</v>
      </c>
      <c r="AC24" s="46">
        <f t="shared" si="2"/>
        <v>376.48</v>
      </c>
      <c r="AD24" s="47">
        <f t="shared" si="2"/>
        <v>120</v>
      </c>
      <c r="AE24" s="47">
        <f t="shared" si="2"/>
        <v>0</v>
      </c>
      <c r="AF24" s="46"/>
      <c r="AG24" s="47">
        <f t="shared" ref="AG24:AK24" si="3">SUM(AG23:AG23)</f>
        <v>0</v>
      </c>
      <c r="AH24" s="47">
        <f t="shared" si="3"/>
        <v>0</v>
      </c>
      <c r="AI24" s="47">
        <f t="shared" si="3"/>
        <v>376.48</v>
      </c>
      <c r="AJ24" s="47">
        <f t="shared" si="3"/>
        <v>0</v>
      </c>
      <c r="AK24" s="47">
        <f t="shared" si="3"/>
        <v>0</v>
      </c>
      <c r="AL24" s="46"/>
      <c r="AM24" s="46"/>
      <c r="AN24" s="46"/>
      <c r="AO24" s="46"/>
      <c r="AP24" s="46"/>
      <c r="AQ24" s="46"/>
      <c r="AR24" s="46"/>
      <c r="AS24" s="16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  <c r="BE24" s="29"/>
      <c r="BF24" s="29"/>
      <c r="BG24" s="29"/>
      <c r="BH24" s="29"/>
      <c r="BI24" s="29"/>
      <c r="BJ24" s="29"/>
      <c r="BK24" s="29"/>
      <c r="BL24" s="29"/>
      <c r="BM24" s="29"/>
      <c r="BN24" s="29"/>
      <c r="BO24" s="29"/>
      <c r="BP24" s="29"/>
      <c r="BQ24" s="29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76</vt:i4>
      </vt:variant>
    </vt:vector>
  </HeadingPairs>
  <TitlesOfParts>
    <vt:vector size="76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Sakthi R</cp:lastModifiedBy>
  <dcterms:created xsi:type="dcterms:W3CDTF">2024-08-28T12:59:00Z</dcterms:created>
  <dcterms:modified xsi:type="dcterms:W3CDTF">2025-12-11T11:24:37Z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