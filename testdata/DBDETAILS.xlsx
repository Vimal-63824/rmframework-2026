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20" firstSheet="16" activeTab="1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POWithRateContractGen" sheetId="8" r:id="rId8"/>
    <sheet name="POwithRateContractMat" sheetId="9" r:id="rId9"/>
    <sheet name="POMATUD" sheetId="10" r:id="rId10"/>
    <sheet name="RateContractSer" sheetId="11" r:id="rId11"/>
    <sheet name="PriceListItemGen" sheetId="12" r:id="rId12"/>
    <sheet name="STRateContract" sheetId="13" r:id="rId13"/>
    <sheet name="StockTransferItemGeneralType" sheetId="14" r:id="rId14"/>
    <sheet name="PriceListItemSer" sheetId="15" r:id="rId15"/>
    <sheet name="StockTransferPriceList" sheetId="16" r:id="rId16"/>
    <sheet name="DifferentUOMUD" sheetId="18" r:id="rId17"/>
    <sheet name="DifferentUOMMATUD" sheetId="19" r:id="rId18"/>
    <sheet name="DifferentUOMStocktransferUD" sheetId="20" r:id="rId19"/>
    <sheet name="DifferentUOMRateGen" sheetId="21" r:id="rId20"/>
    <sheet name="DifferentUOMRateMat" sheetId="2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<sst xmlns="http://schemas.openxmlformats.org/spreadsheetml/2006/main" count="3443" uniqueCount="338">
  <si>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</si>
  <si>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</si>
  <si>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</si>
  <si>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</si>
  <si>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</si>
  <si>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</si>
  <si>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</si>
  <si>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</si>
  <si>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</si>
  <si>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</si>
  <si>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</si>
  <si>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</si>
  <si>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</si>
  <si>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</si>
  <si>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</si>
  <si>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</si>
  <si>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</si>
  <si>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</si>
  <si>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</si>
  <si>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</si>
  <si>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</si>
  <si>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</si>
  <si>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</si>
  <si>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</si>
  <si>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</si>
  <si>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</si>
  <si>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</si>
  <si>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</si>
  <si>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</si>
  <si>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</si>
  <si>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</si>
  <si>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</si>
  <si>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</si>
  <si>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</si>
  <si>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</si>
  <si>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</si>
  <si>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</si>
  <si>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</si>
  <si>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</si>
  <si>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</si>
  <si>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</si>
  <si>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</si>
  <si>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</si>
  <si>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</si>
  <si>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</si>
  <si>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</si>
  <si>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</si>
  <si>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</si>
  <si>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</si>
  <si>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</si>
  <si>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</si>
  <si>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</si>
  <si>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</si>
  <si>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</si>
  <si>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</si>
  <si>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</si>
  <si>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</si>
  <si>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</si>
  <si>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</si>
  <si>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</si>
  <si>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</si>
  <si>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</si>
  <si>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</si>
  <si>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</si>
  <si>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</si>
  <si>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</si>
  <si>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</si>
  <si>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</si>
  <si>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</si>
  <si>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</si>
  <si>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</si>
  <si>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</si>
  <si>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</si>
  <si>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</si>
  <si>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</si>
  <si>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</si>
  <si>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</si>
  <si>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</si>
  <si>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</si>
  <si>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</si>
  <si>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</si>
  <si>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</si>
  <si>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</si>
  <si>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</si>
  <si>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</si>
  <si>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</si>
  <si>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</si>
  <si>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</si>
  <si>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</si>
  <si>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</si>
  <si>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</si>
  <si>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</si>
  <si>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</si>
  <si>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</si>
  <si>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</si>
  <si>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</si>
  <si>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</si>
  <si>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</si>
  <si>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</si>
  <si>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</si>
  <si>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</si>
  <si>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</si>
  <si>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</si>
  <si>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</si>
  <si>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</si>
  <si>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</si>
  <si>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</si>
  <si>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</si>
  <si>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</si>
  <si>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</si>
  <si>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</si>
  <si>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</si>
  <si>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</si>
  <si>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</si>
  <si>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</si>
  <si>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</si>
  <si>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</si>
  <si>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</si>
  <si>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</si>
  <si>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</si>
  <si>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</si>
  <si>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</si>
  <si>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</si>
  <si>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</si>
  <si>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</si>
  <si>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</si>
  <si>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</si>
  <si>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</si>
  <si>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</si>
  <si>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</si>
  <si>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</si>
  <si>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</si>
  <si>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</si>
  <si>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</si>
  <si>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</si>
  <si>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</si>
  <si>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</si>
  <si>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</si>
  <si>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</si>
  <si>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</si>
  <si>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</si>
  <si>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</si>
  <si>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</si>
  <si>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</si>
  <si>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</si>
  <si>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</si>
  <si>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</si>
  <si>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</si>
  <si>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</si>
  <si>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</si>
  <si>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</si>
  <si>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</si>
  <si>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</si>
  <si>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</si>
  <si>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</si>
  <si>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</si>
  <si>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</si>
  <si>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</si>
  <si>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</si>
  <si>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</si>
  <si>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</si>
  <si>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</si>
  <si>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</si>
  <si>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</si>
  <si>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</si>
  <si>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</si>
  <si>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</si>
  <si>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</si>
  <si>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</si>
  <si>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</si>
  <si>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</si>
  <si>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</si>
  <si>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</si>
  <si>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</si>
  <si>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</si>
  <si>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</si>
  <si>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</si>
  <si>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</si>
  <si>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</si>
  <si>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</si>
  <si>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</si>
  <si>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</si>
  <si>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</si>
  <si>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</si>
  <si>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</si>
  <si>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</si>
  <si>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</si>
  <si>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</si>
  <si>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</si>
  <si>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</si>
  <si>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</si>
  <si>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</si>
  <si>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</si>
  <si>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</si>
  <si>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</si>
  <si>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</si>
  <si>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</si>
  <si>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</si>
  <si>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</si>
  <si>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</si>
  <si>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</si>
  <si>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</si>
  <si>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</si>
  <si>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</si>
  <si>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</si>
  <si>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</si>
  <si>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</si>
  <si>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</si>
  <si>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</si>
  <si>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</si>
  <si>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GWL_SERVICES_02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</si>
  <si>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</si>
  <si>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</si>
  <si>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</si>
  <si>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</si>
  <si>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</si>
  <si>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</si>
  <si>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</si>
  <si>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0</t>
  </si>
  <si>
    <t>200</t>
  </si>
  <si>
    <t>168.71475</t>
  </si>
  <si>
    <t>2262.6</t>
  </si>
  <si>
    <t>123.30333</t>
  </si>
  <si>
    <t>RMM</t>
  </si>
  <si>
    <t>100.81357</t>
  </si>
  <si>
    <t>8697</t>
  </si>
  <si>
    <t>PK-SER-MAC-10001</t>
  </si>
  <si>
    <t>524</t>
  </si>
  <si>
    <t>2</t>
  </si>
  <si>
    <t>13334</t>
  </si>
  <si>
    <t>513.37571</t>
  </si>
  <si>
    <t>513.48491</t>
  </si>
  <si>
    <t>139</t>
  </si>
  <si>
    <t>PK-NA-MAC-10001</t>
  </si>
  <si>
    <t>232</t>
  </si>
  <si>
    <t>2.32</t>
  </si>
  <si>
    <t>12246</t>
  </si>
  <si>
    <t>226.58785</t>
  </si>
  <si>
    <t>226.59864</t>
  </si>
  <si>
    <t>3069</t>
  </si>
  <si>
    <t>old qty</t>
  </si>
  <si>
    <t>old unit cost</t>
  </si>
  <si>
    <t>513.39166</t>
  </si>
  <si>
    <t>513.37246</t>
  </si>
  <si>
    <t>513.48332</t>
  </si>
  <si>
    <t>141</t>
  </si>
  <si>
    <t>226.58633</t>
  </si>
  <si>
    <t>226.59863</t>
  </si>
  <si>
    <t>3072</t>
  </si>
  <si>
    <t>TVS-SIM-204686</t>
  </si>
  <si>
    <t>234.33</t>
  </si>
  <si>
    <t>TVS-SIM-293931</t>
  </si>
  <si>
    <t>123.29933</t>
  </si>
  <si>
    <t>90</t>
  </si>
  <si>
    <t>PK-SERV-MAC-NA-01</t>
  </si>
  <si>
    <t>177</t>
  </si>
  <si>
    <t>1.25</t>
  </si>
  <si>
    <t>TVS-RM-KDK-26</t>
  </si>
  <si>
    <t>1230</t>
  </si>
  <si>
    <t>1</t>
  </si>
  <si>
    <t>420</t>
  </si>
  <si>
    <t>1182.58984</t>
  </si>
  <si>
    <t>1158.34824</t>
  </si>
  <si>
    <t>202</t>
  </si>
  <si>
    <t>TVS-RM-KDK-25</t>
  </si>
  <si>
    <t>253</t>
  </si>
  <si>
    <t>340</t>
  </si>
  <si>
    <t>249.19116</t>
  </si>
  <si>
    <t>247.4422</t>
  </si>
  <si>
    <t>312</t>
  </si>
  <si>
    <t>TVS-SIM-257793</t>
  </si>
  <si>
    <t>2.1</t>
  </si>
  <si>
    <t>INS WH</t>
  </si>
  <si>
    <t>68</t>
  </si>
  <si>
    <t>1204.17</t>
  </si>
  <si>
    <t>RM LWH</t>
  </si>
  <si>
    <t>506</t>
  </si>
  <si>
    <t>TVS-SIM-395809</t>
  </si>
  <si>
    <t>1243</t>
  </si>
  <si>
    <t>1123</t>
  </si>
  <si>
    <t>1218.14</t>
  </si>
  <si>
    <t>40</t>
  </si>
  <si>
    <t>TVS-SIM-493509</t>
  </si>
  <si>
    <t>TVS-SIM-450890</t>
  </si>
  <si>
    <t>TVS-SER-10005</t>
  </si>
  <si>
    <t>675</t>
  </si>
  <si>
    <t>1.34</t>
  </si>
  <si>
    <t>TVS-SIM-599803</t>
  </si>
  <si>
    <t>455.67</t>
  </si>
  <si>
    <t>451.1133</t>
  </si>
  <si>
    <t>437</t>
  </si>
  <si>
    <t>TVS-SIM-050035</t>
  </si>
  <si>
    <t>345</t>
  </si>
  <si>
    <t>338.1</t>
  </si>
  <si>
    <t>765</t>
  </si>
  <si>
    <t>TVS-RM-KDConvers-222</t>
  </si>
  <si>
    <t>487.4072</t>
  </si>
  <si>
    <t>RM KD</t>
  </si>
  <si>
    <t>112.5</t>
  </si>
  <si>
    <t>TVS-RM-KDConvers-223</t>
  </si>
  <si>
    <t>HSN2</t>
  </si>
  <si>
    <t>355.91161</t>
  </si>
  <si>
    <t>100.8</t>
  </si>
  <si>
    <t>TVS-RM-KDConvers-224</t>
  </si>
  <si>
    <t>HSN3</t>
  </si>
  <si>
    <t>0.0847</t>
  </si>
  <si>
    <t>RMN</t>
  </si>
  <si>
    <t>333000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</si>
  <si>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</si>
  <si>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</si>
  <si>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</si>
  <si>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</si>
  <si>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</si>
  <si>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</si>
  <si>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</si>
  <si>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</si>
  <si>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</si>
  <si>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</si>
  <si>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</si>
  <si>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RMLG</t>
  </si>
  <si>
    <t>RMG</t>
  </si>
  <si>
    <t>100</t>
  </si>
  <si>
    <t>KD-DISS-896601</t>
  </si>
  <si>
    <t>RML2</t>
  </si>
  <si>
    <t>89.6</t>
  </si>
  <si>
    <t>KD-DISS-989088</t>
  </si>
  <si>
    <t>KD-DISS-126597</t>
  </si>
  <si>
    <t>KD-DISS-126610</t>
  </si>
  <si>
    <t>KD-DISS-126611</t>
  </si>
  <si>
    <t>TVS-DIS-942242</t>
  </si>
  <si>
    <t>78.7</t>
  </si>
  <si>
    <t>12.5</t>
  </si>
  <si>
    <t>147.388</t>
  </si>
  <si>
    <t>TVS-DIS-184603</t>
  </si>
  <si>
    <t>85</t>
  </si>
  <si>
    <t>3</t>
  </si>
  <si>
    <t>14</t>
  </si>
  <si>
    <t>157.56214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</si>
</sst>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%"/>
  </numFmts>
  <fonts count="28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11"/>
      <color theme="1"/>
      <name val="Calibri"/>
      <charset val="134"/>
      <scheme val="minor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3" borderId="2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4" applyNumberFormat="0" applyFill="0" applyAlignment="0" applyProtection="0">
      <alignment vertical="center"/>
    </xf>
    <xf numFmtId="0" fontId="15" fillId="0" borderId="24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4" borderId="26" applyNumberFormat="0" applyAlignment="0" applyProtection="0">
      <alignment vertical="center"/>
    </xf>
    <xf numFmtId="0" fontId="18" fillId="15" borderId="27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6" borderId="28" applyNumberFormat="0" applyAlignment="0" applyProtection="0">
      <alignment vertical="center"/>
    </xf>
    <xf numFmtId="0" fontId="21" fillId="0" borderId="29" applyNumberFormat="0" applyFill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</cellStyleXfs>
  <cellXfs count="1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5" xfId="0" applyFont="1" applyBorder="1"/>
    <xf numFmtId="0" fontId="3" fillId="0" borderId="6" xfId="0" applyFont="1" applyBorder="1"/>
    <xf numFmtId="180" fontId="3" fillId="0" borderId="6" xfId="0" applyNumberFormat="1" applyFont="1" applyBorder="1"/>
    <xf numFmtId="2" fontId="3" fillId="0" borderId="6" xfId="0" applyNumberFormat="1" applyFont="1" applyBorder="1"/>
    <xf numFmtId="2" fontId="3" fillId="0" borderId="7" xfId="0" applyNumberFormat="1" applyFont="1" applyBorder="1"/>
    <xf numFmtId="0" fontId="3" fillId="0" borderId="8" xfId="0" applyFont="1" applyBorder="1"/>
    <xf numFmtId="0" fontId="3" fillId="0" borderId="9" xfId="0" applyFont="1" applyBorder="1"/>
    <xf numFmtId="180" fontId="3" fillId="0" borderId="9" xfId="0" applyNumberFormat="1" applyFont="1" applyBorder="1"/>
    <xf numFmtId="2" fontId="3" fillId="0" borderId="9" xfId="0" applyNumberFormat="1" applyFont="1" applyBorder="1"/>
    <xf numFmtId="2" fontId="3" fillId="0" borderId="10" xfId="0" applyNumberFormat="1" applyFont="1" applyBorder="1"/>
    <xf numFmtId="0" fontId="3" fillId="0" borderId="0" xfId="0" applyFont="1"/>
    <xf numFmtId="0" fontId="2" fillId="3" borderId="11" xfId="0" applyFont="1" applyFill="1" applyBorder="1" applyAlignment="1">
      <alignment horizontal="center" vertical="top"/>
    </xf>
    <xf numFmtId="0" fontId="2" fillId="3" borderId="12" xfId="0" applyFont="1" applyFill="1" applyBorder="1" applyAlignment="1">
      <alignment vertical="top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3" xfId="0" applyNumberFormat="1" applyFont="1" applyBorder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6" xfId="0" applyFont="1" applyFill="1" applyBorder="1" applyAlignment="1"/>
    <xf numFmtId="0" fontId="2" fillId="3" borderId="13" xfId="0" applyFont="1" applyFill="1" applyBorder="1"/>
    <xf numFmtId="0" fontId="3" fillId="0" borderId="14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0" xfId="0" applyFont="1" applyFill="1" applyBorder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right"/>
    </xf>
    <xf numFmtId="0" fontId="3" fillId="0" borderId="0" xfId="0" applyFont="1" applyAlignment="1"/>
    <xf numFmtId="0" fontId="2" fillId="6" borderId="14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2" fillId="6" borderId="16" xfId="0" applyFont="1" applyFill="1" applyBorder="1" applyAlignment="1">
      <alignment horizontal="center"/>
    </xf>
    <xf numFmtId="0" fontId="3" fillId="0" borderId="17" xfId="0" applyFont="1" applyBorder="1"/>
    <xf numFmtId="0" fontId="2" fillId="7" borderId="13" xfId="0" applyFont="1" applyFill="1" applyBorder="1" applyAlignment="1">
      <alignment horizontal="right"/>
    </xf>
    <xf numFmtId="0" fontId="2" fillId="8" borderId="13" xfId="0" applyFont="1" applyFill="1" applyBorder="1" applyAlignment="1">
      <alignment horizontal="center" vertical="center"/>
    </xf>
    <xf numFmtId="2" fontId="3" fillId="0" borderId="13" xfId="0" applyNumberFormat="1" applyFont="1" applyBorder="1"/>
    <xf numFmtId="10" fontId="3" fillId="0" borderId="13" xfId="0" applyNumberFormat="1" applyFont="1" applyBorder="1"/>
    <xf numFmtId="0" fontId="2" fillId="3" borderId="13" xfId="0" applyNumberFormat="1" applyFont="1" applyFill="1" applyBorder="1"/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7" borderId="13" xfId="0" applyFont="1" applyFill="1" applyBorder="1"/>
    <xf numFmtId="2" fontId="2" fillId="7" borderId="13" xfId="0" applyNumberFormat="1" applyFont="1" applyFill="1" applyBorder="1"/>
    <xf numFmtId="0" fontId="2" fillId="9" borderId="13" xfId="0" applyFont="1" applyFill="1" applyBorder="1" applyAlignment="1">
      <alignment horizontal="center" vertical="center" wrapText="1"/>
    </xf>
    <xf numFmtId="0" fontId="3" fillId="2" borderId="3" xfId="0" applyFont="1" applyFill="1" applyBorder="1"/>
    <xf numFmtId="0" fontId="3" fillId="0" borderId="6" xfId="0" applyNumberFormat="1" applyFont="1" applyBorder="1"/>
    <xf numFmtId="0" fontId="3" fillId="2" borderId="18" xfId="0" applyFont="1" applyFill="1" applyBorder="1"/>
    <xf numFmtId="0" fontId="0" fillId="0" borderId="6" xfId="0" applyBorder="1"/>
    <xf numFmtId="0" fontId="0" fillId="0" borderId="0" xfId="0" applyAlignment="1">
      <alignment vertical="center"/>
    </xf>
    <xf numFmtId="0" fontId="3" fillId="2" borderId="3" xfId="0" applyFont="1" applyFill="1" applyBorder="1" applyAlignment="1"/>
    <xf numFmtId="0" fontId="3" fillId="2" borderId="19" xfId="0" applyFont="1" applyFill="1" applyBorder="1"/>
    <xf numFmtId="0" fontId="0" fillId="0" borderId="0" xfId="0" applyNumberFormat="1"/>
    <xf numFmtId="180" fontId="3" fillId="0" borderId="13" xfId="0" applyNumberFormat="1" applyFont="1" applyBorder="1"/>
    <xf numFmtId="0" fontId="0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2" fillId="4" borderId="17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4" fillId="0" borderId="0" xfId="0" applyFont="1"/>
    <xf numFmtId="0" fontId="2" fillId="8" borderId="17" xfId="0" applyFont="1" applyFill="1" applyBorder="1" applyAlignment="1">
      <alignment horizontal="center" vertical="center"/>
    </xf>
    <xf numFmtId="2" fontId="2" fillId="3" borderId="13" xfId="0" applyNumberFormat="1" applyFont="1" applyFill="1" applyBorder="1"/>
    <xf numFmtId="0" fontId="2" fillId="7" borderId="17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9" borderId="17" xfId="0" applyFont="1" applyFill="1" applyBorder="1" applyAlignment="1">
      <alignment horizontal="center" vertical="center"/>
    </xf>
    <xf numFmtId="0" fontId="0" fillId="0" borderId="6" xfId="0" applyNumberFormat="1" applyBorder="1"/>
    <xf numFmtId="0" fontId="0" fillId="0" borderId="20" xfId="0" applyNumberFormat="1" applyFont="1" applyBorder="1" applyAlignment="1">
      <alignment vertical="center"/>
    </xf>
    <xf numFmtId="0" fontId="0" fillId="0" borderId="20" xfId="0" applyNumberFormat="1" applyBorder="1" applyAlignment="1">
      <alignment vertical="center"/>
    </xf>
    <xf numFmtId="0" fontId="5" fillId="0" borderId="20" xfId="0" applyNumberFormat="1" applyFont="1" applyBorder="1" applyAlignment="1">
      <alignment vertical="center"/>
    </xf>
    <xf numFmtId="0" fontId="3" fillId="0" borderId="3" xfId="0" applyFont="1" applyBorder="1"/>
    <xf numFmtId="0" fontId="0" fillId="0" borderId="20" xfId="0" applyBorder="1"/>
    <xf numFmtId="0" fontId="0" fillId="0" borderId="21" xfId="0" applyBorder="1"/>
    <xf numFmtId="0" fontId="3" fillId="0" borderId="4" xfId="0" applyFont="1" applyBorder="1"/>
    <xf numFmtId="0" fontId="3" fillId="0" borderId="7" xfId="0" applyFont="1" applyBorder="1"/>
    <xf numFmtId="0" fontId="6" fillId="10" borderId="22" xfId="0" applyFont="1" applyFill="1" applyBorder="1"/>
    <xf numFmtId="0" fontId="6" fillId="11" borderId="22" xfId="0" applyFont="1" applyFill="1" applyBorder="1"/>
    <xf numFmtId="0" fontId="5" fillId="0" borderId="20" xfId="0" applyFont="1" applyBorder="1"/>
    <xf numFmtId="2" fontId="3" fillId="0" borderId="0" xfId="0" applyNumberFormat="1" applyFont="1" applyBorder="1"/>
    <xf numFmtId="0" fontId="0" fillId="0" borderId="20" xfId="0" applyNumberFormat="1" applyBorder="1"/>
    <xf numFmtId="9" fontId="3" fillId="0" borderId="13" xfId="0" applyNumberFormat="1" applyFont="1" applyBorder="1"/>
    <xf numFmtId="0" fontId="2" fillId="3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81" fontId="3" fillId="0" borderId="13" xfId="0" applyNumberFormat="1" applyFont="1" applyBorder="1"/>
    <xf numFmtId="0" fontId="2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8" fillId="0" borderId="0" xfId="0" applyNumberFormat="1" applyFont="1" applyFill="1" applyBorder="1"/>
    <xf numFmtId="2" fontId="2" fillId="0" borderId="0" xfId="0" applyNumberFormat="1" applyFont="1" applyFill="1" applyBorder="1" applyAlignment="1">
      <alignment horizontal="right"/>
    </xf>
    <xf numFmtId="0" fontId="8" fillId="7" borderId="20" xfId="0" applyFont="1" applyFill="1" applyBorder="1"/>
    <xf numFmtId="0" fontId="0" fillId="7" borderId="20" xfId="0" applyFill="1" applyBorder="1"/>
    <xf numFmtId="0" fontId="0" fillId="0" borderId="0" xfId="0" applyBorder="1"/>
    <xf numFmtId="0" fontId="0" fillId="7" borderId="20" xfId="0" applyFill="1" applyBorder="1" applyAlignment="1">
      <alignment vertical="center"/>
    </xf>
    <xf numFmtId="0" fontId="3" fillId="0" borderId="0" xfId="0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ebappqc.roadmaperp.com:8765/ords/r/erp/scm-us9011/item-unit-association?p36719401_prodplnt_prod_id=TVS-SIM-293931&amp;p36719401_prodplnt_prod_rev=0&amp;p36719401_rep_type=&amp;p36719401_page=367194&amp;p36719401_prodplnt_status=A&amp;p36719401_prodplnt_plnt=U100&amp;clear=RP,36719401&amp;session=33842499744504&amp;cs=1kldaqlcSqb6KDMk97DSm3fLFox-yvkXS_nDDCWj2cQ6lFYyTyIVJRSGUfxoHPp0HF37cUbSvK2iNx8b1xUvsO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workbookViewId="0">
      <selection activeCell="A4" sqref="A4"/>
    </sheetView>
  </sheetViews>
  <sheetFormatPr defaultColWidth="9" defaultRowHeight="14.4"/>
  <cols>
    <col min="1" max="1" width="15.4259259259259" customWidth="1"/>
    <col min="2" max="2" width="16.1388888888889" customWidth="1"/>
    <col min="3" max="3" width="10.712962962963" customWidth="1"/>
    <col min="4" max="4" width="15.5740740740741" customWidth="1"/>
    <col min="5" max="5" width="8.71296296296296" customWidth="1"/>
    <col min="6" max="6" width="13.712962962963" customWidth="1"/>
    <col min="7" max="7" width="26.8518518518519" customWidth="1"/>
    <col min="8" max="8" width="11.1388888888889" customWidth="1"/>
    <col min="9" max="9" width="13.1388888888889" customWidth="1"/>
    <col min="10" max="10" width="15.712962962963" customWidth="1"/>
    <col min="22" max="22" width="13.5740740740741" customWidth="1"/>
    <col min="23" max="23" width="12.4259259259259" customWidth="1"/>
    <col min="24" max="24" width="17.8518518518519" customWidth="1"/>
    <col min="25" max="25" width="8.13888888888889" customWidth="1"/>
    <col min="26" max="26" width="21.1388888888889" customWidth="1"/>
  </cols>
  <sheetData>
    <row r="1" spans="1:26">
      <c r="A1" s="111" t="s">
        <v>0</v>
      </c>
      <c r="B1" s="111" t="s">
        <v>1</v>
      </c>
      <c r="C1" s="111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2" t="s">
        <v>7</v>
      </c>
      <c r="I1" s="112" t="s">
        <v>8</v>
      </c>
      <c r="J1" s="112" t="s">
        <v>9</v>
      </c>
      <c r="K1" s="112" t="s">
        <v>10</v>
      </c>
      <c r="L1" s="112" t="s">
        <v>11</v>
      </c>
      <c r="M1" s="112" t="s">
        <v>12</v>
      </c>
      <c r="N1" s="112" t="s">
        <v>13</v>
      </c>
      <c r="O1" s="112" t="s">
        <v>14</v>
      </c>
      <c r="P1" s="112" t="s">
        <v>15</v>
      </c>
      <c r="Q1" s="112" t="s">
        <v>16</v>
      </c>
      <c r="R1" s="112" t="s">
        <v>17</v>
      </c>
      <c r="S1" s="112" t="s">
        <v>18</v>
      </c>
      <c r="T1" s="112" t="s">
        <v>19</v>
      </c>
      <c r="U1" s="112" t="s">
        <v>20</v>
      </c>
      <c r="V1" s="112" t="s">
        <v>21</v>
      </c>
      <c r="W1" s="114" t="s">
        <v>22</v>
      </c>
      <c r="X1" s="114" t="s">
        <v>23</v>
      </c>
      <c r="Y1" s="114" t="s">
        <v>24</v>
      </c>
      <c r="Z1" s="114" t="s">
        <v>25</v>
      </c>
    </row>
    <row r="2" spans="1:26">
      <c r="A2" t="s">
        <v>26</v>
      </c>
      <c r="B2" t="s">
        <v>27</v>
      </c>
      <c r="C2" s="84">
        <v>10</v>
      </c>
      <c r="D2" s="92">
        <v>100</v>
      </c>
      <c r="E2" s="84">
        <f>A2+C2</f>
        <v>1152.6</v>
      </c>
      <c r="F2" s="84">
        <f t="shared" ref="F2:F4" si="0">ROUND(((A2*B2)+(C2*D2))/(C2+A2),5)</f>
        <v>138.51226</v>
      </c>
      <c r="G2" s="84" t="s">
        <v>28</v>
      </c>
      <c r="H2" s="84" t="s">
        <v>29</v>
      </c>
      <c r="I2" s="84" t="s">
        <v>30</v>
      </c>
      <c r="J2" s="84">
        <v>2</v>
      </c>
      <c r="K2" s="84" t="s">
        <v>31</v>
      </c>
      <c r="L2" s="84">
        <v>1000</v>
      </c>
      <c r="M2" s="84">
        <v>1000</v>
      </c>
      <c r="N2" s="84">
        <v>10</v>
      </c>
      <c r="O2" s="84">
        <v>100</v>
      </c>
      <c r="P2" s="84">
        <v>900</v>
      </c>
      <c r="Q2" s="84">
        <v>10</v>
      </c>
      <c r="R2" s="84">
        <v>90</v>
      </c>
      <c r="S2" s="84">
        <v>810</v>
      </c>
      <c r="T2" s="84">
        <v>10</v>
      </c>
      <c r="U2" s="84">
        <v>81</v>
      </c>
      <c r="V2" s="84">
        <v>729</v>
      </c>
      <c r="W2" s="63" t="s">
        <v>32</v>
      </c>
      <c r="X2" s="63" t="s">
        <v>33</v>
      </c>
      <c r="Y2" s="63">
        <v>5</v>
      </c>
      <c r="Z2" s="63" t="s">
        <v>34</v>
      </c>
    </row>
    <row r="3" spans="1:26">
      <c r="A3" t="s">
        <v>35</v>
      </c>
      <c r="B3" t="s">
        <v>36</v>
      </c>
      <c r="C3" s="84">
        <v>20</v>
      </c>
      <c r="D3" s="84">
        <v>200</v>
      </c>
      <c r="E3" s="84">
        <f t="shared" ref="E3:E4" si="1">A3+C3</f>
        <v>8682</v>
      </c>
      <c r="F3" s="84">
        <f t="shared" si="0"/>
        <v>100.89381</v>
      </c>
      <c r="G3" s="84" t="s">
        <v>37</v>
      </c>
      <c r="H3" s="84" t="s">
        <v>38</v>
      </c>
      <c r="I3" s="84" t="s">
        <v>30</v>
      </c>
      <c r="J3" s="84" t="s">
        <v>39</v>
      </c>
      <c r="K3" s="84" t="s">
        <v>31</v>
      </c>
      <c r="L3" s="84">
        <v>4000</v>
      </c>
      <c r="M3" s="84">
        <v>4000</v>
      </c>
      <c r="N3" s="84">
        <v>10</v>
      </c>
      <c r="O3" s="84">
        <v>400</v>
      </c>
      <c r="P3" s="84">
        <v>3600</v>
      </c>
      <c r="Q3" s="84">
        <v>10</v>
      </c>
      <c r="R3" s="84">
        <v>360</v>
      </c>
      <c r="S3" s="84">
        <v>3240</v>
      </c>
      <c r="T3" s="84">
        <v>10</v>
      </c>
      <c r="U3" s="84">
        <v>324</v>
      </c>
      <c r="V3" s="84">
        <v>2916</v>
      </c>
      <c r="W3" s="63" t="s">
        <v>40</v>
      </c>
      <c r="X3" s="63" t="s">
        <v>41</v>
      </c>
      <c r="Y3" s="63">
        <v>100</v>
      </c>
      <c r="Z3" s="63" t="s">
        <v>34</v>
      </c>
    </row>
    <row r="4" spans="1:22">
      <c r="A4" t="s">
        <v>42</v>
      </c>
      <c r="B4" t="s">
        <v>43</v>
      </c>
      <c r="C4" s="84">
        <v>10</v>
      </c>
      <c r="D4" s="84">
        <v>300</v>
      </c>
      <c r="E4" s="84">
        <f t="shared" si="1"/>
        <v>11412</v>
      </c>
      <c r="F4" s="84">
        <f t="shared" si="0"/>
        <v>262.44597</v>
      </c>
      <c r="G4" s="84" t="s">
        <v>44</v>
      </c>
      <c r="H4" s="84" t="s">
        <v>45</v>
      </c>
      <c r="I4" s="84" t="s">
        <v>30</v>
      </c>
      <c r="J4" s="84" t="s">
        <v>39</v>
      </c>
      <c r="K4" s="84" t="s">
        <v>31</v>
      </c>
      <c r="L4" s="84">
        <v>3000</v>
      </c>
      <c r="M4" s="84">
        <v>3000</v>
      </c>
      <c r="N4" s="84">
        <v>10</v>
      </c>
      <c r="O4" s="84">
        <v>300</v>
      </c>
      <c r="P4" s="84">
        <v>2700</v>
      </c>
      <c r="Q4" s="84">
        <v>10</v>
      </c>
      <c r="R4" s="84">
        <v>270</v>
      </c>
      <c r="S4" s="84">
        <v>2430</v>
      </c>
      <c r="T4" s="84">
        <v>10</v>
      </c>
      <c r="U4" s="84">
        <v>243</v>
      </c>
      <c r="V4" s="84">
        <v>2187</v>
      </c>
    </row>
    <row r="5" spans="1:3">
      <c r="A5" s="113"/>
      <c r="B5" s="113"/>
      <c r="C5" s="113"/>
    </row>
    <row r="6" spans="1:3">
      <c r="A6" s="113"/>
      <c r="B6" s="113"/>
      <c r="C6" s="113"/>
    </row>
    <row r="7" spans="1:3">
      <c r="A7" s="113"/>
      <c r="B7" s="113"/>
      <c r="C7" s="113"/>
    </row>
    <row r="8" spans="1:3">
      <c r="A8" s="113"/>
      <c r="B8" s="113"/>
      <c r="C8" s="113"/>
    </row>
    <row r="9" spans="1:3">
      <c r="A9" s="113"/>
      <c r="B9" s="113"/>
      <c r="C9" s="113"/>
    </row>
    <row r="10" spans="1:3">
      <c r="A10" s="113"/>
      <c r="B10" s="113"/>
      <c r="C10" s="113"/>
    </row>
    <row r="11" spans="1:3">
      <c r="A11" s="113"/>
      <c r="B11" s="113"/>
      <c r="C11" s="113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9"/>
  <sheetViews>
    <sheetView topLeftCell="AT13" workbookViewId="0">
      <selection activeCell="AZ25" sqref="AZ25"/>
    </sheetView>
  </sheetViews>
  <sheetFormatPr defaultColWidth="10.1388888888889" defaultRowHeight="14.4"/>
  <cols>
    <col min="2" max="2" width="21.4259259259259" customWidth="1"/>
    <col min="3" max="3" width="26.8518518518519" customWidth="1"/>
    <col min="4" max="4" width="62.712962962963" customWidth="1"/>
    <col min="5" max="5" width="11.287037037037" customWidth="1"/>
    <col min="6" max="6" width="17.5740740740741" customWidth="1"/>
    <col min="9" max="9" width="15.287037037037" customWidth="1"/>
    <col min="12" max="12" width="16.287037037037" customWidth="1"/>
    <col min="13" max="13" width="13.8518518518519" customWidth="1"/>
    <col min="14" max="14" width="18.8518518518519" customWidth="1"/>
    <col min="15" max="15" width="19" customWidth="1"/>
    <col min="16" max="16" width="21.712962962963" customWidth="1"/>
    <col min="17" max="17" width="37.712962962963" customWidth="1"/>
    <col min="18" max="18" width="13.712962962963" customWidth="1"/>
    <col min="19" max="19" width="12.4259259259259" customWidth="1"/>
    <col min="20" max="20" width="12.5740740740741" customWidth="1"/>
    <col min="22" max="22" width="30.5740740740741" customWidth="1"/>
    <col min="23" max="23" width="9.42592592592593" customWidth="1"/>
    <col min="24" max="24" width="10.712962962963" customWidth="1"/>
    <col min="27" max="27" width="12.8518518518519" customWidth="1"/>
    <col min="28" max="28" width="10.712962962963" customWidth="1"/>
    <col min="30" max="31" width="10.712962962963" customWidth="1"/>
    <col min="32" max="32" width="14.287037037037" customWidth="1"/>
    <col min="33" max="33" width="10.712962962963" customWidth="1"/>
    <col min="35" max="35" width="13.5740740740741" customWidth="1"/>
    <col min="36" max="36" width="15.5740740740741" customWidth="1"/>
    <col min="40" max="40" width="11.8518518518519" customWidth="1"/>
    <col min="41" max="41" width="23.287037037037" customWidth="1"/>
    <col min="42" max="42" width="9.42592592592593" customWidth="1"/>
    <col min="43" max="43" width="11.8518518518519" customWidth="1"/>
    <col min="44" max="44" width="15.287037037037" customWidth="1"/>
    <col min="45" max="45" width="20.287037037037" customWidth="1"/>
    <col min="46" max="46" width="11.4259259259259" customWidth="1"/>
    <col min="47" max="47" width="16.287037037037" customWidth="1"/>
    <col min="48" max="48" width="13.8518518518519" customWidth="1"/>
    <col min="49" max="49" width="18.8518518518519" customWidth="1"/>
    <col min="50" max="50" width="19" customWidth="1"/>
    <col min="51" max="51" width="21.712962962963" customWidth="1"/>
    <col min="52" max="52" width="16.5740740740741" customWidth="1"/>
    <col min="53" max="53" width="14.287037037037" customWidth="1"/>
    <col min="54" max="54" width="17.287037037037" customWidth="1"/>
    <col min="55" max="55" width="13.712962962963" customWidth="1"/>
    <col min="56" max="56" width="12.4259259259259" customWidth="1"/>
    <col min="57" max="57" width="12.5740740740741" customWidth="1"/>
    <col min="58" max="58" width="21.712962962963" customWidth="1"/>
    <col min="59" max="59" width="30.5740740740741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42.9" spans="1:60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130</v>
      </c>
      <c r="AQ22" s="4" t="s">
        <v>128</v>
      </c>
      <c r="AR22" s="53" t="s">
        <v>131</v>
      </c>
      <c r="AS22" s="53" t="s">
        <v>132</v>
      </c>
      <c r="AT22" s="83" t="s">
        <v>133</v>
      </c>
      <c r="AU22" s="8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140</v>
      </c>
      <c r="BD22" s="53" t="s">
        <v>141</v>
      </c>
      <c r="BE22" s="83" t="s">
        <v>142</v>
      </c>
      <c r="BF22" s="83" t="s">
        <v>143</v>
      </c>
      <c r="BG22" s="83" t="s">
        <v>144</v>
      </c>
      <c r="BH22" s="86"/>
    </row>
    <row r="23" ht="15.15" spans="1:60">
      <c r="A23" s="26">
        <v>1</v>
      </c>
      <c r="B23" s="84" t="s">
        <v>28</v>
      </c>
      <c r="C23" s="26" t="s">
        <v>57</v>
      </c>
      <c r="D23" s="26" t="s">
        <v>58</v>
      </c>
      <c r="E23" s="26" t="s">
        <v>58</v>
      </c>
      <c r="F23" s="61">
        <v>25</v>
      </c>
      <c r="G23" t="s">
        <v>145</v>
      </c>
      <c r="H23" s="45" t="e">
        <f>F23*G23</f>
        <v>#VALUE!</v>
      </c>
      <c r="I23" s="27">
        <v>2.21</v>
      </c>
      <c r="J23" s="27">
        <v>1.79</v>
      </c>
      <c r="K23" s="27">
        <v>2.5</v>
      </c>
      <c r="L23" s="45" t="e">
        <f>H23</f>
        <v>#VALUE!</v>
      </c>
      <c r="M23" s="45" t="e">
        <f>ROUND(L23*I23%,2)</f>
        <v>#VALUE!</v>
      </c>
      <c r="N23" s="45" t="e">
        <f>H23-M23</f>
        <v>#VALUE!</v>
      </c>
      <c r="O23" s="45" t="e">
        <f>ROUND(N23*J23%,2)</f>
        <v>#VALUE!</v>
      </c>
      <c r="P23" s="45" t="e">
        <f>ROUND(N23-O23,2)</f>
        <v>#VALUE!</v>
      </c>
      <c r="Q23" s="45" t="e">
        <f>ROUND(P23*K23%,2)</f>
        <v>#VALUE!</v>
      </c>
      <c r="R23" s="45" t="e">
        <f>M23+O23+Q23</f>
        <v>#VALUE!</v>
      </c>
      <c r="S23" s="27" t="e">
        <f>(H23-R23)</f>
        <v>#VALUE!</v>
      </c>
      <c r="T23" s="45" t="s">
        <v>146</v>
      </c>
      <c r="U23" s="46">
        <v>0.18</v>
      </c>
      <c r="V23" s="45" t="e">
        <f>IF($C$21=1,ROUND(((S23*U23)/2),2),0)</f>
        <v>#VALUE!</v>
      </c>
      <c r="W23" s="45" t="e">
        <f>IF($C$21=1,ROUND(((S23*U23)/2),2),0)</f>
        <v>#VALUE!</v>
      </c>
      <c r="X23" s="27">
        <f>IF($C$21=2,ROUND(((S23*U23)),2),0)</f>
        <v>0</v>
      </c>
      <c r="Y23" s="45" t="e">
        <f>V23+W23+X23</f>
        <v>#VALUE!</v>
      </c>
      <c r="Z23" s="45" t="e">
        <f t="shared" ref="Z23:Z25" si="1">S23+Y23</f>
        <v>#VALUE!</v>
      </c>
      <c r="AA23" s="45">
        <v>120</v>
      </c>
      <c r="AB23" s="45" t="e">
        <f>IF($P$21=1,(S23/$S$26)*$E$37,AA23/$AA$26*$E$37)</f>
        <v>#VALUE!</v>
      </c>
      <c r="AC23" s="45"/>
      <c r="AD23" s="45" t="e">
        <f>IF($P$21=1,(S23/$S$26)*$E$39,AA23/$AA$26*$E$39)</f>
        <v>#VALUE!</v>
      </c>
      <c r="AE23" s="45" t="e">
        <f>IF($P$21=1,(S23/$S$26)*$E$39,AA23/$AA$26*$E$39)</f>
        <v>#VALUE!</v>
      </c>
      <c r="AF23" s="45" t="e">
        <f t="shared" ref="AF23:AF25" si="2">S23*$M$21</f>
        <v>#VALUE!</v>
      </c>
      <c r="AG23" s="45" t="e">
        <f t="shared" ref="AG23:AG25" si="3">IF($C$21=3,0,AD23+AE23)</f>
        <v>#VALUE!</v>
      </c>
      <c r="AH23" s="45">
        <f t="shared" ref="AH23:AH25" si="4">IF($C$21=3,AB23+AD23+AE23,0)</f>
        <v>0</v>
      </c>
      <c r="AI23" s="61">
        <v>1</v>
      </c>
      <c r="AJ23" s="45">
        <f t="shared" ref="AJ23:AJ25" si="5">F23/AI23</f>
        <v>25</v>
      </c>
      <c r="AK23" s="45" t="e">
        <f>AF23/AJ23</f>
        <v>#VALUE!</v>
      </c>
      <c r="AL23" s="45" t="e">
        <f>AG23/AJ23</f>
        <v>#VALUE!</v>
      </c>
      <c r="AM23" s="45">
        <f>AH23/AJ23</f>
        <v>0</v>
      </c>
      <c r="AN23" s="45" t="s">
        <v>58</v>
      </c>
      <c r="AO23" s="45" t="e">
        <f>AK23+AL23+AM23</f>
        <v>#VALUE!</v>
      </c>
      <c r="AP23" s="8" t="s">
        <v>31</v>
      </c>
      <c r="AQ23" s="8" t="s">
        <v>58</v>
      </c>
      <c r="AR23" t="s">
        <v>147</v>
      </c>
      <c r="AS23" t="s">
        <v>148</v>
      </c>
      <c r="AT23" s="10">
        <f>AJ23</f>
        <v>25</v>
      </c>
      <c r="AU23" s="10" t="e">
        <f>AO23</f>
        <v>#VALUE!</v>
      </c>
      <c r="AV23" s="10">
        <f>AR23+AT23</f>
        <v>1177.6</v>
      </c>
      <c r="AW23" s="8" t="e">
        <f>ROUND(((AR23*AS23)+(AT23*AU23))/(AR23+AT23),5)</f>
        <v>#VALUE!</v>
      </c>
      <c r="AX23" s="56"/>
      <c r="AY23" s="56" t="s">
        <v>149</v>
      </c>
      <c r="AZ23" s="84" t="s">
        <v>29</v>
      </c>
      <c r="BA23" s="56"/>
      <c r="BB23" s="56"/>
      <c r="BC23" s="85"/>
      <c r="BD23" s="56"/>
      <c r="BE23" s="8"/>
      <c r="BF23" s="8"/>
      <c r="BG23" s="8"/>
      <c r="BH23" s="87"/>
    </row>
    <row r="24" ht="15.15" spans="1:60">
      <c r="A24" s="26">
        <v>2</v>
      </c>
      <c r="B24" s="90" t="s">
        <v>37</v>
      </c>
      <c r="C24" s="26" t="s">
        <v>60</v>
      </c>
      <c r="D24" s="26" t="s">
        <v>58</v>
      </c>
      <c r="E24" s="26" t="s">
        <v>58</v>
      </c>
      <c r="F24" s="61">
        <v>35</v>
      </c>
      <c r="G24" t="s">
        <v>145</v>
      </c>
      <c r="H24" s="45" t="e">
        <f t="shared" ref="H24:H25" si="6">F24*G24</f>
        <v>#VALUE!</v>
      </c>
      <c r="I24" s="27">
        <v>1.25</v>
      </c>
      <c r="J24" s="27">
        <v>1.68</v>
      </c>
      <c r="K24" s="27">
        <v>2.5</v>
      </c>
      <c r="L24" s="45" t="e">
        <f>H24</f>
        <v>#VALUE!</v>
      </c>
      <c r="M24" s="45" t="e">
        <f>ROUND(L24*I24%,2)</f>
        <v>#VALUE!</v>
      </c>
      <c r="N24" s="45" t="e">
        <f t="shared" ref="N24:N25" si="7">H24-M24</f>
        <v>#VALUE!</v>
      </c>
      <c r="O24" s="45" t="e">
        <f t="shared" ref="O24:O25" si="8">ROUND(N24*J24%,2)</f>
        <v>#VALUE!</v>
      </c>
      <c r="P24" s="45" t="e">
        <f t="shared" ref="P24:P25" si="9">ROUND(N24-O24,2)</f>
        <v>#VALUE!</v>
      </c>
      <c r="Q24" s="45" t="e">
        <f t="shared" ref="Q24:Q25" si="10">ROUND(P24*K24%,2)</f>
        <v>#VALUE!</v>
      </c>
      <c r="R24" s="45" t="e">
        <f t="shared" ref="R24:R25" si="11">M24+O24+Q24</f>
        <v>#VALUE!</v>
      </c>
      <c r="S24" s="27" t="e">
        <f t="shared" ref="S24:S25" si="12">(H24-R24)</f>
        <v>#VALUE!</v>
      </c>
      <c r="T24" s="45" t="s">
        <v>146</v>
      </c>
      <c r="U24" s="46">
        <v>0.18</v>
      </c>
      <c r="V24" s="45" t="e">
        <f t="shared" ref="V24:V25" si="13">IF($C$21=1,ROUND(((S24*U24)/2),2),0)</f>
        <v>#VALUE!</v>
      </c>
      <c r="W24" s="45" t="e">
        <f t="shared" ref="W24:W25" si="14">IF($C$21=1,ROUND(((S24*U24)/2),2),0)</f>
        <v>#VALUE!</v>
      </c>
      <c r="X24" s="27">
        <f t="shared" ref="X24:X25" si="15">IF($C$21=2,ROUND(((S24*U24)),2),0)</f>
        <v>0</v>
      </c>
      <c r="Y24" s="45" t="e">
        <f t="shared" ref="Y24:Y25" si="16">V24+W24+X24</f>
        <v>#VALUE!</v>
      </c>
      <c r="Z24" s="45" t="e">
        <f t="shared" si="1"/>
        <v>#VALUE!</v>
      </c>
      <c r="AA24" s="45">
        <v>200</v>
      </c>
      <c r="AB24" s="45" t="e">
        <f>IF($P$21=1,(S24/$S$26)*$E$37,AA24/$AA$26*$E$37)</f>
        <v>#VALUE!</v>
      </c>
      <c r="AC24" s="45"/>
      <c r="AD24" s="45" t="e">
        <f>IF($P$21=1,(S24/$S$26)*$E$39,AA24/$AA$26*$E$39)</f>
        <v>#VALUE!</v>
      </c>
      <c r="AE24" s="45" t="e">
        <f>IF($P$21=1,(S24/$S$26)*$E$39,AA24/$AA$26*$E$39)</f>
        <v>#VALUE!</v>
      </c>
      <c r="AF24" s="45" t="e">
        <f t="shared" si="2"/>
        <v>#VALUE!</v>
      </c>
      <c r="AG24" s="45" t="e">
        <f t="shared" si="3"/>
        <v>#VALUE!</v>
      </c>
      <c r="AH24" s="45">
        <f t="shared" si="4"/>
        <v>0</v>
      </c>
      <c r="AI24" s="61">
        <v>1</v>
      </c>
      <c r="AJ24" s="45">
        <f t="shared" si="5"/>
        <v>35</v>
      </c>
      <c r="AK24" s="45" t="e">
        <f t="shared" ref="AK24:AK25" si="17">AF24/AJ24</f>
        <v>#VALUE!</v>
      </c>
      <c r="AL24" s="45" t="e">
        <f t="shared" ref="AL24:AL25" si="18">AG24/AJ24</f>
        <v>#VALUE!</v>
      </c>
      <c r="AM24" s="45">
        <f t="shared" ref="AM24:AM25" si="19">AH24/AJ24</f>
        <v>0</v>
      </c>
      <c r="AN24" s="45" t="s">
        <v>58</v>
      </c>
      <c r="AO24" s="45" t="e">
        <f t="shared" ref="AO24:AO25" si="20">AK24+AL24+AM24</f>
        <v>#VALUE!</v>
      </c>
      <c r="AP24" s="8" t="s">
        <v>31</v>
      </c>
      <c r="AQ24" s="8" t="s">
        <v>58</v>
      </c>
      <c r="AR24" t="s">
        <v>150</v>
      </c>
      <c r="AS24" t="s">
        <v>151</v>
      </c>
      <c r="AT24" s="10">
        <f>AJ24</f>
        <v>35</v>
      </c>
      <c r="AU24" s="10" t="e">
        <f>AO24</f>
        <v>#VALUE!</v>
      </c>
      <c r="AV24" s="10">
        <f t="shared" ref="AV24:AV25" si="21">AR24+AT24</f>
        <v>8717</v>
      </c>
      <c r="AW24" s="8" t="e">
        <f t="shared" ref="AW24:AW25" si="22">((AR24*AS24)+(AT24*AU24))/(AR24+AT24)</f>
        <v>#VALUE!</v>
      </c>
      <c r="AX24" s="56"/>
      <c r="AY24" s="56"/>
      <c r="AZ24" s="84" t="s">
        <v>38</v>
      </c>
      <c r="BA24" s="56" t="s">
        <v>152</v>
      </c>
      <c r="BB24" s="56"/>
      <c r="BC24" s="85"/>
      <c r="BD24" s="56"/>
      <c r="BE24" s="8"/>
      <c r="BF24" s="8"/>
      <c r="BG24" s="8"/>
      <c r="BH24" s="87"/>
    </row>
    <row r="25" ht="15.15" spans="1:60">
      <c r="A25" s="26">
        <v>3</v>
      </c>
      <c r="B25" s="84" t="s">
        <v>44</v>
      </c>
      <c r="C25" s="26" t="s">
        <v>62</v>
      </c>
      <c r="D25" s="26" t="s">
        <v>58</v>
      </c>
      <c r="E25" s="26" t="s">
        <v>58</v>
      </c>
      <c r="F25" s="61">
        <v>45</v>
      </c>
      <c r="G25" t="s">
        <v>145</v>
      </c>
      <c r="H25" s="45" t="e">
        <f t="shared" si="6"/>
        <v>#VALUE!</v>
      </c>
      <c r="I25" s="27">
        <v>1.25</v>
      </c>
      <c r="J25" s="27">
        <v>0.25</v>
      </c>
      <c r="K25" s="27">
        <v>2.5</v>
      </c>
      <c r="L25" s="45" t="e">
        <f>H25</f>
        <v>#VALUE!</v>
      </c>
      <c r="M25" s="45" t="e">
        <f>ROUND(L25*I25%,2)</f>
        <v>#VALUE!</v>
      </c>
      <c r="N25" s="45" t="e">
        <f t="shared" si="7"/>
        <v>#VALUE!</v>
      </c>
      <c r="O25" s="45" t="e">
        <f t="shared" si="8"/>
        <v>#VALUE!</v>
      </c>
      <c r="P25" s="45" t="e">
        <f t="shared" si="9"/>
        <v>#VALUE!</v>
      </c>
      <c r="Q25" s="45" t="e">
        <f t="shared" si="10"/>
        <v>#VALUE!</v>
      </c>
      <c r="R25" s="45" t="e">
        <f t="shared" si="11"/>
        <v>#VALUE!</v>
      </c>
      <c r="S25" s="27" t="e">
        <f t="shared" si="12"/>
        <v>#VALUE!</v>
      </c>
      <c r="T25" s="45" t="s">
        <v>146</v>
      </c>
      <c r="U25" s="46">
        <v>0.18</v>
      </c>
      <c r="V25" s="45" t="e">
        <f t="shared" si="13"/>
        <v>#VALUE!</v>
      </c>
      <c r="W25" s="45" t="e">
        <f t="shared" si="14"/>
        <v>#VALUE!</v>
      </c>
      <c r="X25" s="27">
        <f t="shared" si="15"/>
        <v>0</v>
      </c>
      <c r="Y25" s="45" t="e">
        <f t="shared" si="16"/>
        <v>#VALUE!</v>
      </c>
      <c r="Z25" s="45" t="e">
        <f t="shared" si="1"/>
        <v>#VALUE!</v>
      </c>
      <c r="AA25" s="45">
        <v>150</v>
      </c>
      <c r="AB25" s="45" t="e">
        <f>IF($P$21=1,(S25/$S$26)*$E$37,AA25/$AA$26*$E$37)</f>
        <v>#VALUE!</v>
      </c>
      <c r="AC25" s="45"/>
      <c r="AD25" s="45" t="e">
        <f>IF($P$21=1,(S25/$S$26)*$E$39,AA25/$AA$26*$E$39)</f>
        <v>#VALUE!</v>
      </c>
      <c r="AE25" s="45" t="e">
        <f>IF($P$21=1,(S25/$S$26)*$E$39,AA25/$AA$26*$E$39)</f>
        <v>#VALUE!</v>
      </c>
      <c r="AF25" s="45" t="e">
        <f t="shared" si="2"/>
        <v>#VALUE!</v>
      </c>
      <c r="AG25" s="45" t="e">
        <f t="shared" si="3"/>
        <v>#VALUE!</v>
      </c>
      <c r="AH25" s="45">
        <f t="shared" si="4"/>
        <v>0</v>
      </c>
      <c r="AI25" s="61">
        <v>1</v>
      </c>
      <c r="AJ25" s="45">
        <f t="shared" si="5"/>
        <v>45</v>
      </c>
      <c r="AK25" s="45" t="e">
        <f t="shared" si="17"/>
        <v>#VALUE!</v>
      </c>
      <c r="AL25" s="45" t="e">
        <f t="shared" si="18"/>
        <v>#VALUE!</v>
      </c>
      <c r="AM25" s="45">
        <f t="shared" si="19"/>
        <v>0</v>
      </c>
      <c r="AN25" s="45" t="s">
        <v>58</v>
      </c>
      <c r="AO25" s="45" t="e">
        <f t="shared" si="20"/>
        <v>#VALUE!</v>
      </c>
      <c r="AP25" s="8" t="s">
        <v>31</v>
      </c>
      <c r="AQ25" s="8" t="s">
        <v>58</v>
      </c>
      <c r="AR25" t="s">
        <v>42</v>
      </c>
      <c r="AS25" t="s">
        <v>43</v>
      </c>
      <c r="AT25" s="10">
        <f>AJ25</f>
        <v>45</v>
      </c>
      <c r="AU25" s="10" t="e">
        <f>AO25</f>
        <v>#VALUE!</v>
      </c>
      <c r="AV25" s="10">
        <f t="shared" si="21"/>
        <v>11447</v>
      </c>
      <c r="AW25" s="8" t="e">
        <f t="shared" si="22"/>
        <v>#VALUE!</v>
      </c>
      <c r="AX25" s="56"/>
      <c r="AY25" s="56"/>
      <c r="AZ25" s="84" t="s">
        <v>45</v>
      </c>
      <c r="BA25" s="56"/>
      <c r="BB25" s="56" t="s">
        <v>39</v>
      </c>
      <c r="BC25" s="85"/>
      <c r="BD25" s="56"/>
      <c r="BE25" s="8"/>
      <c r="BF25" s="8"/>
      <c r="BG25" s="8"/>
      <c r="BH25" s="87"/>
    </row>
    <row r="26" ht="15" customHeight="1" spans="1:42">
      <c r="A26" s="17"/>
      <c r="B26" s="67"/>
      <c r="C26" s="67"/>
      <c r="D26" s="29" t="s">
        <v>87</v>
      </c>
      <c r="E26" s="29"/>
      <c r="F26" s="29"/>
      <c r="G26" s="30"/>
      <c r="H26" s="31" t="e">
        <f>SUM(H23:H25)</f>
        <v>#VALUE!</v>
      </c>
      <c r="I26" s="26"/>
      <c r="J26" s="26"/>
      <c r="K26" s="26"/>
      <c r="L26" s="26"/>
      <c r="M26" s="26"/>
      <c r="N26" s="26"/>
      <c r="O26" s="26"/>
      <c r="P26" s="26"/>
      <c r="Q26" s="26"/>
      <c r="R26" s="31" t="e">
        <f>SUM(R23:R25)</f>
        <v>#VALUE!</v>
      </c>
      <c r="S26" s="47" t="e">
        <f>SUM(S23:S25)</f>
        <v>#VALUE!</v>
      </c>
      <c r="T26" s="31"/>
      <c r="U26" s="31"/>
      <c r="V26" s="75" t="e">
        <f t="shared" ref="V26:AB26" si="23">SUM(V23:V25)</f>
        <v>#VALUE!</v>
      </c>
      <c r="W26" s="75" t="e">
        <f t="shared" si="23"/>
        <v>#VALUE!</v>
      </c>
      <c r="X26" s="75">
        <f t="shared" si="23"/>
        <v>0</v>
      </c>
      <c r="Y26" s="31" t="e">
        <f t="shared" si="23"/>
        <v>#VALUE!</v>
      </c>
      <c r="Z26" s="50" t="e">
        <f t="shared" si="23"/>
        <v>#VALUE!</v>
      </c>
      <c r="AA26" s="51">
        <f t="shared" si="23"/>
        <v>470</v>
      </c>
      <c r="AB26" s="51" t="e">
        <f t="shared" si="23"/>
        <v>#VALUE!</v>
      </c>
      <c r="AC26" s="50"/>
      <c r="AD26" s="51" t="e">
        <f>SUM(AD23:AD25)</f>
        <v>#VALUE!</v>
      </c>
      <c r="AE26" s="51" t="e">
        <f>SUM(AE23:AE25)</f>
        <v>#VALUE!</v>
      </c>
      <c r="AF26" s="51" t="e">
        <f>SUM(AF23:AF25)</f>
        <v>#VALUE!</v>
      </c>
      <c r="AG26" s="51" t="e">
        <f>SUM(AG23:AG25)</f>
        <v>#VALUE!</v>
      </c>
      <c r="AH26" s="51">
        <f>SUM(AH23:AH25)</f>
        <v>0</v>
      </c>
      <c r="AI26" s="50"/>
      <c r="AJ26" s="50"/>
      <c r="AK26" s="50"/>
      <c r="AL26" s="50"/>
      <c r="AM26" s="50"/>
      <c r="AN26" s="50"/>
      <c r="AO26" s="50"/>
      <c r="AP26" s="17"/>
    </row>
    <row r="27" spans="1:42">
      <c r="A27" s="17"/>
      <c r="B27" s="67"/>
      <c r="C27" s="6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</row>
    <row r="28" spans="1:42">
      <c r="A28" s="17"/>
      <c r="B28" s="17"/>
      <c r="C28" s="17"/>
      <c r="D28" s="17"/>
      <c r="E28" s="17" t="s">
        <v>153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</row>
    <row r="29" spans="1:42">
      <c r="A29" s="17"/>
      <c r="D29" s="17"/>
      <c r="E29" s="17"/>
      <c r="F29" s="17"/>
      <c r="G29" s="17">
        <f>E29*F29</f>
        <v>0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</row>
    <row r="30" spans="1:42">
      <c r="A30" s="17"/>
      <c r="B30" s="105"/>
      <c r="C30" s="106"/>
      <c r="D30" s="10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</row>
    <row r="31" spans="1:42">
      <c r="A31" s="17"/>
      <c r="B31" s="105"/>
      <c r="C31" s="106"/>
      <c r="D31" s="10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</row>
    <row r="32" spans="1:42">
      <c r="A32" s="17"/>
      <c r="B32" s="105"/>
      <c r="C32" s="106"/>
      <c r="D32" s="10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</row>
    <row r="33" spans="1:42">
      <c r="A33" s="17"/>
      <c r="B33" s="105"/>
      <c r="C33" s="106"/>
      <c r="D33" s="107"/>
      <c r="E33" s="17"/>
      <c r="F33" s="17"/>
      <c r="G33" s="17"/>
      <c r="H33" s="108"/>
      <c r="I33" s="110"/>
      <c r="J33" s="110"/>
      <c r="K33" s="38"/>
      <c r="L33" s="17"/>
      <c r="M33" s="17"/>
      <c r="N33" s="17"/>
      <c r="O33" s="17"/>
      <c r="P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</row>
    <row r="34" spans="1:42">
      <c r="A34" s="17"/>
      <c r="B34" s="105"/>
      <c r="C34" s="60"/>
      <c r="D34" s="109"/>
      <c r="E34" s="17"/>
      <c r="F34" s="17"/>
      <c r="G34" s="17"/>
      <c r="H34" s="108"/>
      <c r="I34" s="110"/>
      <c r="J34" s="110"/>
      <c r="K34" s="17"/>
      <c r="L34" s="17"/>
      <c r="M34" s="17"/>
      <c r="N34" s="17"/>
      <c r="O34" s="17"/>
      <c r="P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</row>
    <row r="35" spans="1:42">
      <c r="A35" s="17"/>
      <c r="B35" s="17"/>
      <c r="C35" s="17"/>
      <c r="D35" s="17"/>
      <c r="E35" s="17"/>
      <c r="F35" s="17"/>
      <c r="G35" s="17"/>
      <c r="H35" s="108"/>
      <c r="I35" s="110"/>
      <c r="J35" s="110"/>
      <c r="K35" s="17"/>
      <c r="L35" s="17"/>
      <c r="M35" s="17"/>
      <c r="N35" s="17"/>
      <c r="O35" s="17"/>
      <c r="P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</row>
    <row r="36" spans="1:42">
      <c r="A36" s="17"/>
      <c r="B36" s="17"/>
      <c r="C36" s="17"/>
      <c r="D36" s="17"/>
      <c r="E36" s="17"/>
      <c r="F36" s="17"/>
      <c r="G36" s="108"/>
      <c r="H36" s="108"/>
      <c r="I36" s="110"/>
      <c r="J36" s="110"/>
      <c r="K36" s="17"/>
      <c r="L36" s="17"/>
      <c r="M36" s="17"/>
      <c r="N36" s="17"/>
      <c r="O36" s="17"/>
      <c r="P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</row>
    <row r="37" spans="1:42">
      <c r="A37" s="17"/>
      <c r="B37" s="17"/>
      <c r="C37" s="17"/>
      <c r="D37" s="17"/>
      <c r="E37" s="17"/>
      <c r="F37" s="17"/>
      <c r="G37" s="108"/>
      <c r="H37" s="108"/>
      <c r="I37" s="110"/>
      <c r="J37" s="110"/>
      <c r="K37" s="17"/>
      <c r="L37" s="17"/>
      <c r="M37" s="17"/>
      <c r="N37" s="17"/>
      <c r="O37" s="17"/>
      <c r="P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</row>
    <row r="38" spans="1:4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</row>
    <row r="39" spans="1:4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</row>
    <row r="40" spans="1:42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</row>
    <row r="41" spans="1:42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</row>
    <row r="42" spans="1: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</row>
    <row r="43" spans="1:42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</row>
    <row r="44" spans="1:42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</row>
    <row r="45" spans="1:42">
      <c r="A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</row>
    <row r="46" spans="1:42">
      <c r="A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</row>
    <row r="47" spans="1:42">
      <c r="A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</row>
    <row r="48" spans="1:42">
      <c r="A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</row>
    <row r="49" spans="1:42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1:AP44"/>
  <sheetViews>
    <sheetView topLeftCell="O28" workbookViewId="0">
      <selection activeCell="AB22" sqref="AB22"/>
    </sheetView>
  </sheetViews>
  <sheetFormatPr defaultColWidth="9" defaultRowHeight="14.4"/>
  <cols>
    <col min="8" max="8" width="11.8518518518519" customWidth="1"/>
    <col min="12" max="12" width="13.8518518518519" customWidth="1"/>
    <col min="14" max="14" width="13.712962962963" customWidth="1"/>
    <col min="19" max="19" width="11.5740740740741" customWidth="1"/>
    <col min="25" max="25" width="9.71296296296296" customWidth="1"/>
    <col min="28" max="29" width="9.13888888888889" customWidth="1"/>
    <col min="30" max="30" width="9.42592592592593" customWidth="1"/>
    <col min="31" max="31" width="9.13888888888889" customWidth="1"/>
    <col min="35" max="35" width="14.287037037037" customWidth="1"/>
    <col min="36" max="36" width="17.287037037037" customWidth="1"/>
    <col min="37" max="37" width="13.712962962963" customWidth="1"/>
    <col min="38" max="38" width="12.4259259259259" customWidth="1"/>
    <col min="39" max="39" width="12.5740740740741" customWidth="1"/>
    <col min="40" max="40" width="21.712962962963" customWidth="1"/>
    <col min="41" max="41" width="30.5740740740741" customWidth="1"/>
  </cols>
  <sheetData>
    <row r="21" ht="18.15" spans="1:23">
      <c r="A21" s="1" t="s">
        <v>154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7"/>
    </row>
    <row r="22" ht="42.9" spans="1:42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44" t="s">
        <v>159</v>
      </c>
      <c r="U22" s="44" t="s">
        <v>113</v>
      </c>
      <c r="V22" s="49" t="s">
        <v>114</v>
      </c>
      <c r="W22" s="52" t="s">
        <v>160</v>
      </c>
      <c r="X22" s="4" t="s">
        <v>130</v>
      </c>
      <c r="Y22" s="4" t="s">
        <v>128</v>
      </c>
      <c r="Z22" s="53" t="s">
        <v>131</v>
      </c>
      <c r="AA22" s="53" t="s">
        <v>132</v>
      </c>
      <c r="AB22" s="83" t="s">
        <v>133</v>
      </c>
      <c r="AC22" s="83" t="s">
        <v>134</v>
      </c>
      <c r="AD22" s="53" t="s">
        <v>135</v>
      </c>
      <c r="AE22" s="53" t="s">
        <v>136</v>
      </c>
      <c r="AF22" s="53" t="s">
        <v>137</v>
      </c>
      <c r="AG22" s="53" t="s">
        <v>138</v>
      </c>
      <c r="AH22" s="55" t="s">
        <v>139</v>
      </c>
      <c r="AI22" s="55" t="s">
        <v>8</v>
      </c>
      <c r="AJ22" s="55" t="s">
        <v>9</v>
      </c>
      <c r="AK22" s="53" t="s">
        <v>140</v>
      </c>
      <c r="AL22" s="53" t="s">
        <v>141</v>
      </c>
      <c r="AM22" s="83" t="s">
        <v>142</v>
      </c>
      <c r="AN22" s="83" t="s">
        <v>143</v>
      </c>
      <c r="AO22" s="83" t="s">
        <v>144</v>
      </c>
      <c r="AP22" s="86"/>
    </row>
    <row r="23" ht="15.15" spans="1:42">
      <c r="A23" s="26">
        <v>1</v>
      </c>
      <c r="B23" s="26" t="s">
        <v>161</v>
      </c>
      <c r="C23" s="26" t="s">
        <v>162</v>
      </c>
      <c r="D23" s="26" t="s">
        <v>58</v>
      </c>
      <c r="E23" s="26" t="s">
        <v>163</v>
      </c>
      <c r="F23" s="26">
        <v>40</v>
      </c>
      <c r="G23" s="45">
        <v>257.63</v>
      </c>
      <c r="H23" s="45">
        <f>F23*G23</f>
        <v>10305.2</v>
      </c>
      <c r="I23" s="27">
        <v>1</v>
      </c>
      <c r="J23" s="27">
        <v>2</v>
      </c>
      <c r="K23" s="27">
        <v>2.5</v>
      </c>
      <c r="L23" s="27">
        <f>H23</f>
        <v>10305.2</v>
      </c>
      <c r="M23" s="27">
        <f>ROUND(L23*I23%,2)</f>
        <v>103.05</v>
      </c>
      <c r="N23" s="27">
        <f>H23-M23</f>
        <v>10202.15</v>
      </c>
      <c r="O23" s="27">
        <f>ROUND(N23*J23%,2)</f>
        <v>204.04</v>
      </c>
      <c r="P23" s="27">
        <f>ROUND(N23-O23,2)</f>
        <v>9998.11</v>
      </c>
      <c r="Q23" s="27">
        <f>ROUND(P23*K23%,2)</f>
        <v>249.95</v>
      </c>
      <c r="R23" s="27">
        <f>ROUND((M23+O23+Q23),2)</f>
        <v>557.04</v>
      </c>
      <c r="S23" s="27">
        <f>ROUND((H23-R23),2)</f>
        <v>9748.16</v>
      </c>
      <c r="T23" s="27">
        <v>0.18</v>
      </c>
      <c r="U23" s="27">
        <f>ROUND((S23*18%),2)</f>
        <v>1754.67</v>
      </c>
      <c r="V23" s="27">
        <f>S23+U23</f>
        <v>11502.83</v>
      </c>
      <c r="W23" s="27">
        <f t="shared" ref="W23:W28" si="0">ROUND(G23*$O$41,2)</f>
        <v>515.26</v>
      </c>
      <c r="X23" s="8" t="s">
        <v>31</v>
      </c>
      <c r="Y23" s="8" t="s">
        <v>58</v>
      </c>
      <c r="Z23">
        <v>1152.6</v>
      </c>
      <c r="AA23">
        <v>138.28799</v>
      </c>
      <c r="AB23" s="10">
        <f>R23</f>
        <v>557.04</v>
      </c>
      <c r="AC23" s="10">
        <f>W23</f>
        <v>515.26</v>
      </c>
      <c r="AD23" s="10">
        <f>Z23+AB23</f>
        <v>1709.64</v>
      </c>
      <c r="AE23" s="8">
        <f>ROUND(((Z23*AA23)+(AB23*AC23))/(Z23+AB23),5)</f>
        <v>261.11413</v>
      </c>
      <c r="AF23" s="56"/>
      <c r="AG23" s="56" t="s">
        <v>149</v>
      </c>
      <c r="AH23" s="84" t="s">
        <v>29</v>
      </c>
      <c r="AI23" s="56"/>
      <c r="AJ23" s="56"/>
      <c r="AK23" s="85"/>
      <c r="AL23" s="56"/>
      <c r="AM23" s="8"/>
      <c r="AN23" s="8"/>
      <c r="AO23" s="8"/>
      <c r="AP23" s="87"/>
    </row>
    <row r="24" ht="15.15" spans="1:42">
      <c r="A24" s="26">
        <v>2</v>
      </c>
      <c r="B24" s="26" t="s">
        <v>164</v>
      </c>
      <c r="C24" s="26" t="s">
        <v>165</v>
      </c>
      <c r="D24" s="26" t="s">
        <v>58</v>
      </c>
      <c r="E24" s="26" t="s">
        <v>163</v>
      </c>
      <c r="F24" s="26">
        <v>35</v>
      </c>
      <c r="G24" s="45">
        <v>125.45</v>
      </c>
      <c r="H24" s="45">
        <f>F24*G24</f>
        <v>4390.75</v>
      </c>
      <c r="I24" s="27">
        <v>1</v>
      </c>
      <c r="J24" s="27">
        <v>2</v>
      </c>
      <c r="K24" s="27">
        <v>2.5</v>
      </c>
      <c r="L24" s="27">
        <f>H24</f>
        <v>4390.75</v>
      </c>
      <c r="M24" s="27">
        <f t="shared" ref="M24:M37" si="1">ROUND(L24*I24%,2)</f>
        <v>43.91</v>
      </c>
      <c r="N24" s="27">
        <f>H24-M24</f>
        <v>4346.84</v>
      </c>
      <c r="O24" s="27">
        <f t="shared" ref="O24:O37" si="2">ROUND(N24*J24%,2)</f>
        <v>86.94</v>
      </c>
      <c r="P24" s="27">
        <f>ROUND(N24-O24,2)</f>
        <v>4259.9</v>
      </c>
      <c r="Q24" s="27">
        <f t="shared" ref="Q24:Q37" si="3">ROUND(P24*K24%,2)</f>
        <v>106.5</v>
      </c>
      <c r="R24" s="27">
        <f>ROUND((M24+O24+Q24),2)</f>
        <v>237.35</v>
      </c>
      <c r="S24" s="27">
        <f>ROUND((H24-R24),2)</f>
        <v>4153.4</v>
      </c>
      <c r="T24" s="27">
        <v>0.18</v>
      </c>
      <c r="U24" s="27">
        <f>ROUND((S24*18%),2)</f>
        <v>747.61</v>
      </c>
      <c r="V24" s="27">
        <f>S24+U24</f>
        <v>4901.01</v>
      </c>
      <c r="W24" s="27">
        <f t="shared" si="0"/>
        <v>250.9</v>
      </c>
      <c r="X24" s="8" t="s">
        <v>31</v>
      </c>
      <c r="Y24" s="8" t="s">
        <v>58</v>
      </c>
      <c r="Z24" t="s">
        <v>150</v>
      </c>
      <c r="AA24" t="s">
        <v>151</v>
      </c>
      <c r="AB24" s="10">
        <f>R24</f>
        <v>237.35</v>
      </c>
      <c r="AC24" s="10">
        <f>W24</f>
        <v>250.9</v>
      </c>
      <c r="AD24" s="10">
        <f t="shared" ref="AD24:AD25" si="4">Z24+AB24</f>
        <v>8919.35</v>
      </c>
      <c r="AE24" s="8">
        <f t="shared" ref="AE24:AE25" si="5">((Z24*AA24)+(AB24*AC24))/(Z24+AB24)</f>
        <v>104.769646579627</v>
      </c>
      <c r="AF24" s="56"/>
      <c r="AG24" s="56"/>
      <c r="AH24" s="84" t="s">
        <v>38</v>
      </c>
      <c r="AI24" s="56" t="s">
        <v>152</v>
      </c>
      <c r="AJ24" s="56"/>
      <c r="AK24" s="85"/>
      <c r="AL24" s="56"/>
      <c r="AM24" s="8"/>
      <c r="AN24" s="8"/>
      <c r="AO24" s="8"/>
      <c r="AP24" s="87"/>
    </row>
    <row r="25" ht="15.15" spans="1:42">
      <c r="A25" s="26">
        <v>3</v>
      </c>
      <c r="B25" s="26" t="s">
        <v>166</v>
      </c>
      <c r="C25" s="26" t="s">
        <v>167</v>
      </c>
      <c r="D25" s="26" t="s">
        <v>58</v>
      </c>
      <c r="E25" s="26" t="s">
        <v>163</v>
      </c>
      <c r="F25" s="26">
        <v>45</v>
      </c>
      <c r="G25" s="45">
        <v>125.36</v>
      </c>
      <c r="H25" s="45">
        <f>F25*G25</f>
        <v>5641.2</v>
      </c>
      <c r="I25" s="27">
        <v>1</v>
      </c>
      <c r="J25" s="27">
        <v>2</v>
      </c>
      <c r="K25" s="27">
        <v>2.5</v>
      </c>
      <c r="L25" s="27">
        <f>H25</f>
        <v>5641.2</v>
      </c>
      <c r="M25" s="27">
        <f t="shared" si="1"/>
        <v>56.41</v>
      </c>
      <c r="N25" s="27">
        <f>H25-M25</f>
        <v>5584.79</v>
      </c>
      <c r="O25" s="27">
        <f t="shared" si="2"/>
        <v>111.7</v>
      </c>
      <c r="P25" s="27">
        <f>ROUND(N25-O25,2)</f>
        <v>5473.09</v>
      </c>
      <c r="Q25" s="27">
        <f t="shared" si="3"/>
        <v>136.83</v>
      </c>
      <c r="R25" s="27">
        <f>ROUND((M25+O25+Q25),2)</f>
        <v>304.94</v>
      </c>
      <c r="S25" s="27">
        <f>ROUND((H25-R25),2)</f>
        <v>5336.26</v>
      </c>
      <c r="T25" s="27">
        <v>0.18</v>
      </c>
      <c r="U25" s="27">
        <f>ROUND((S25*18%),2)</f>
        <v>960.53</v>
      </c>
      <c r="V25" s="27">
        <f>S25+U25</f>
        <v>6296.79</v>
      </c>
      <c r="W25" s="27">
        <f t="shared" si="0"/>
        <v>250.72</v>
      </c>
      <c r="X25" s="8" t="s">
        <v>31</v>
      </c>
      <c r="Y25" s="8" t="s">
        <v>58</v>
      </c>
      <c r="Z25" t="s">
        <v>42</v>
      </c>
      <c r="AA25" t="s">
        <v>43</v>
      </c>
      <c r="AB25" s="10">
        <f>R25</f>
        <v>304.94</v>
      </c>
      <c r="AC25" s="10">
        <f>W25</f>
        <v>250.72</v>
      </c>
      <c r="AD25" s="10">
        <f t="shared" si="4"/>
        <v>11706.94</v>
      </c>
      <c r="AE25" s="8">
        <f t="shared" si="5"/>
        <v>262.10845232486</v>
      </c>
      <c r="AF25" s="56"/>
      <c r="AG25" s="56"/>
      <c r="AH25" s="84" t="s">
        <v>45</v>
      </c>
      <c r="AI25" s="56"/>
      <c r="AJ25" s="56" t="s">
        <v>39</v>
      </c>
      <c r="AK25" s="85"/>
      <c r="AL25" s="56"/>
      <c r="AM25" s="8"/>
      <c r="AN25" s="8"/>
      <c r="AO25" s="8"/>
      <c r="AP25" s="87"/>
    </row>
    <row r="26" ht="15.15" spans="1:23">
      <c r="A26" s="26">
        <v>4</v>
      </c>
      <c r="B26" s="26" t="s">
        <v>168</v>
      </c>
      <c r="C26" s="26" t="s">
        <v>169</v>
      </c>
      <c r="D26" s="26" t="s">
        <v>58</v>
      </c>
      <c r="E26" s="26" t="s">
        <v>163</v>
      </c>
      <c r="F26" s="26">
        <v>55</v>
      </c>
      <c r="G26" s="45">
        <v>45.25</v>
      </c>
      <c r="H26" s="45">
        <f t="shared" ref="H26:H37" si="6">F26*G26</f>
        <v>2488.75</v>
      </c>
      <c r="I26" s="27">
        <v>1</v>
      </c>
      <c r="J26" s="27">
        <v>2</v>
      </c>
      <c r="K26" s="27">
        <v>2.5</v>
      </c>
      <c r="L26" s="27">
        <f t="shared" ref="L26:L37" si="7">H26</f>
        <v>2488.75</v>
      </c>
      <c r="M26" s="27">
        <f t="shared" si="1"/>
        <v>24.89</v>
      </c>
      <c r="N26" s="27">
        <f t="shared" ref="N26:N37" si="8">H26-M26</f>
        <v>2463.86</v>
      </c>
      <c r="O26" s="27">
        <f t="shared" si="2"/>
        <v>49.28</v>
      </c>
      <c r="P26" s="27">
        <f t="shared" ref="P26:P37" si="9">ROUND(N26-O26,2)</f>
        <v>2414.58</v>
      </c>
      <c r="Q26" s="27">
        <f t="shared" si="3"/>
        <v>60.36</v>
      </c>
      <c r="R26" s="27">
        <f t="shared" ref="R26:R37" si="10">ROUND((M26+O26+Q26),2)</f>
        <v>134.53</v>
      </c>
      <c r="S26" s="27">
        <f t="shared" ref="S26:S37" si="11">ROUND((H26-R26),2)</f>
        <v>2354.22</v>
      </c>
      <c r="T26" s="27">
        <v>0.18</v>
      </c>
      <c r="U26" s="27">
        <f t="shared" ref="U26:U37" si="12">ROUND((S26*18%),2)</f>
        <v>423.76</v>
      </c>
      <c r="V26" s="27">
        <f t="shared" ref="V26:V37" si="13">S26+U26</f>
        <v>2777.98</v>
      </c>
      <c r="W26" s="27">
        <f t="shared" si="0"/>
        <v>90.5</v>
      </c>
    </row>
    <row r="27" ht="15.15" spans="1:23">
      <c r="A27" s="26">
        <v>5</v>
      </c>
      <c r="B27" s="26" t="s">
        <v>170</v>
      </c>
      <c r="C27" s="26" t="s">
        <v>171</v>
      </c>
      <c r="D27" s="26" t="s">
        <v>58</v>
      </c>
      <c r="E27" s="26" t="s">
        <v>163</v>
      </c>
      <c r="F27" s="26">
        <v>60</v>
      </c>
      <c r="G27" s="45">
        <v>45.5</v>
      </c>
      <c r="H27" s="45">
        <f t="shared" si="6"/>
        <v>2730</v>
      </c>
      <c r="I27" s="27">
        <v>1</v>
      </c>
      <c r="J27" s="27">
        <v>2</v>
      </c>
      <c r="K27" s="27">
        <v>2.5</v>
      </c>
      <c r="L27" s="27">
        <f t="shared" si="7"/>
        <v>2730</v>
      </c>
      <c r="M27" s="27">
        <f t="shared" si="1"/>
        <v>27.3</v>
      </c>
      <c r="N27" s="27">
        <f t="shared" si="8"/>
        <v>2702.7</v>
      </c>
      <c r="O27" s="27">
        <f t="shared" si="2"/>
        <v>54.05</v>
      </c>
      <c r="P27" s="27">
        <f t="shared" si="9"/>
        <v>2648.65</v>
      </c>
      <c r="Q27" s="27">
        <f t="shared" si="3"/>
        <v>66.22</v>
      </c>
      <c r="R27" s="27">
        <f t="shared" si="10"/>
        <v>147.57</v>
      </c>
      <c r="S27" s="27">
        <f t="shared" si="11"/>
        <v>2582.43</v>
      </c>
      <c r="T27" s="27">
        <v>0.18</v>
      </c>
      <c r="U27" s="27">
        <f t="shared" si="12"/>
        <v>464.84</v>
      </c>
      <c r="V27" s="27">
        <f t="shared" si="13"/>
        <v>3047.27</v>
      </c>
      <c r="W27" s="27">
        <f t="shared" si="0"/>
        <v>91</v>
      </c>
    </row>
    <row r="28" ht="15.15" spans="1:23">
      <c r="A28" s="26">
        <v>6</v>
      </c>
      <c r="B28" s="26" t="s">
        <v>172</v>
      </c>
      <c r="C28" s="26" t="s">
        <v>173</v>
      </c>
      <c r="D28" s="26" t="s">
        <v>58</v>
      </c>
      <c r="E28" s="26" t="s">
        <v>163</v>
      </c>
      <c r="F28" s="26">
        <v>75</v>
      </c>
      <c r="G28" s="45">
        <v>125.25</v>
      </c>
      <c r="H28" s="45">
        <f t="shared" si="6"/>
        <v>9393.75</v>
      </c>
      <c r="I28" s="27">
        <v>1</v>
      </c>
      <c r="J28" s="27">
        <v>2</v>
      </c>
      <c r="K28" s="27">
        <v>2.5</v>
      </c>
      <c r="L28" s="27">
        <f t="shared" si="7"/>
        <v>9393.75</v>
      </c>
      <c r="M28" s="27">
        <f t="shared" si="1"/>
        <v>93.94</v>
      </c>
      <c r="N28" s="27">
        <f t="shared" si="8"/>
        <v>9299.81</v>
      </c>
      <c r="O28" s="27">
        <f t="shared" si="2"/>
        <v>186</v>
      </c>
      <c r="P28" s="27">
        <f t="shared" si="9"/>
        <v>9113.81</v>
      </c>
      <c r="Q28" s="27">
        <f t="shared" si="3"/>
        <v>227.85</v>
      </c>
      <c r="R28" s="27">
        <f t="shared" si="10"/>
        <v>507.79</v>
      </c>
      <c r="S28" s="27">
        <f t="shared" si="11"/>
        <v>8885.96</v>
      </c>
      <c r="T28" s="27">
        <v>0.18</v>
      </c>
      <c r="U28" s="27">
        <f t="shared" si="12"/>
        <v>1599.47</v>
      </c>
      <c r="V28" s="27">
        <f t="shared" si="13"/>
        <v>10485.43</v>
      </c>
      <c r="W28" s="27">
        <f t="shared" si="0"/>
        <v>250.5</v>
      </c>
    </row>
    <row r="29" ht="15.15" spans="1:23">
      <c r="A29" s="26">
        <v>7</v>
      </c>
      <c r="B29" s="26" t="s">
        <v>174</v>
      </c>
      <c r="C29" s="26" t="s">
        <v>175</v>
      </c>
      <c r="D29" s="26" t="s">
        <v>58</v>
      </c>
      <c r="E29" s="26" t="s">
        <v>176</v>
      </c>
      <c r="F29" s="26">
        <v>28</v>
      </c>
      <c r="G29" s="45">
        <v>150.5</v>
      </c>
      <c r="H29" s="45">
        <f t="shared" si="6"/>
        <v>4214</v>
      </c>
      <c r="I29" s="27">
        <v>1</v>
      </c>
      <c r="J29" s="27">
        <v>2</v>
      </c>
      <c r="K29" s="27">
        <v>2.5</v>
      </c>
      <c r="L29" s="27">
        <f t="shared" si="7"/>
        <v>4214</v>
      </c>
      <c r="M29" s="27">
        <f t="shared" si="1"/>
        <v>42.14</v>
      </c>
      <c r="N29" s="27">
        <f t="shared" si="8"/>
        <v>4171.86</v>
      </c>
      <c r="O29" s="27">
        <f t="shared" si="2"/>
        <v>83.44</v>
      </c>
      <c r="P29" s="27">
        <f t="shared" si="9"/>
        <v>4088.42</v>
      </c>
      <c r="Q29" s="27">
        <f t="shared" si="3"/>
        <v>102.21</v>
      </c>
      <c r="R29" s="27">
        <f t="shared" si="10"/>
        <v>227.79</v>
      </c>
      <c r="S29" s="27">
        <f t="shared" si="11"/>
        <v>3986.21</v>
      </c>
      <c r="T29" s="27">
        <v>0.18</v>
      </c>
      <c r="U29" s="27">
        <f t="shared" si="12"/>
        <v>717.52</v>
      </c>
      <c r="V29" s="27">
        <f t="shared" si="13"/>
        <v>4703.73</v>
      </c>
      <c r="W29" s="27">
        <f>ROUND(G29*$O$42,2)</f>
        <v>376.25</v>
      </c>
    </row>
    <row r="30" ht="15.15" spans="1:23">
      <c r="A30" s="26">
        <v>8</v>
      </c>
      <c r="B30" s="26" t="s">
        <v>177</v>
      </c>
      <c r="C30" s="26" t="s">
        <v>178</v>
      </c>
      <c r="D30" s="26" t="s">
        <v>58</v>
      </c>
      <c r="E30" s="26" t="s">
        <v>176</v>
      </c>
      <c r="F30" s="26">
        <v>30</v>
      </c>
      <c r="G30" s="45">
        <v>65.32</v>
      </c>
      <c r="H30" s="45">
        <f t="shared" si="6"/>
        <v>1959.6</v>
      </c>
      <c r="I30" s="27">
        <v>1</v>
      </c>
      <c r="J30" s="27">
        <v>2</v>
      </c>
      <c r="K30" s="27">
        <v>2.5</v>
      </c>
      <c r="L30" s="27">
        <f t="shared" si="7"/>
        <v>1959.6</v>
      </c>
      <c r="M30" s="27">
        <f t="shared" si="1"/>
        <v>19.6</v>
      </c>
      <c r="N30" s="27">
        <f t="shared" si="8"/>
        <v>1940</v>
      </c>
      <c r="O30" s="27">
        <f t="shared" si="2"/>
        <v>38.8</v>
      </c>
      <c r="P30" s="27">
        <f t="shared" si="9"/>
        <v>1901.2</v>
      </c>
      <c r="Q30" s="27">
        <f t="shared" si="3"/>
        <v>47.53</v>
      </c>
      <c r="R30" s="27">
        <f t="shared" si="10"/>
        <v>105.93</v>
      </c>
      <c r="S30" s="27">
        <f t="shared" si="11"/>
        <v>1853.67</v>
      </c>
      <c r="T30" s="27">
        <v>0.18</v>
      </c>
      <c r="U30" s="27">
        <f t="shared" si="12"/>
        <v>333.66</v>
      </c>
      <c r="V30" s="27">
        <f t="shared" si="13"/>
        <v>2187.33</v>
      </c>
      <c r="W30" s="27">
        <f>ROUND(G30*$O$42,2)</f>
        <v>163.3</v>
      </c>
    </row>
    <row r="31" ht="15.15" spans="1:23">
      <c r="A31" s="26">
        <v>9</v>
      </c>
      <c r="B31" s="26" t="s">
        <v>179</v>
      </c>
      <c r="C31" s="26" t="s">
        <v>180</v>
      </c>
      <c r="D31" s="26" t="s">
        <v>58</v>
      </c>
      <c r="E31" s="26" t="s">
        <v>176</v>
      </c>
      <c r="F31" s="26">
        <v>25</v>
      </c>
      <c r="G31" s="45">
        <v>74.89</v>
      </c>
      <c r="H31" s="45">
        <f t="shared" si="6"/>
        <v>1872.25</v>
      </c>
      <c r="I31" s="27">
        <v>1</v>
      </c>
      <c r="J31" s="27">
        <v>2</v>
      </c>
      <c r="K31" s="27">
        <v>2.5</v>
      </c>
      <c r="L31" s="27">
        <f t="shared" si="7"/>
        <v>1872.25</v>
      </c>
      <c r="M31" s="27">
        <f t="shared" si="1"/>
        <v>18.72</v>
      </c>
      <c r="N31" s="27">
        <f t="shared" si="8"/>
        <v>1853.53</v>
      </c>
      <c r="O31" s="27">
        <f t="shared" si="2"/>
        <v>37.07</v>
      </c>
      <c r="P31" s="27">
        <f t="shared" si="9"/>
        <v>1816.46</v>
      </c>
      <c r="Q31" s="27">
        <f t="shared" si="3"/>
        <v>45.41</v>
      </c>
      <c r="R31" s="27">
        <f t="shared" si="10"/>
        <v>101.2</v>
      </c>
      <c r="S31" s="27">
        <f t="shared" si="11"/>
        <v>1771.05</v>
      </c>
      <c r="T31" s="27">
        <v>0.18</v>
      </c>
      <c r="U31" s="27">
        <f t="shared" si="12"/>
        <v>318.79</v>
      </c>
      <c r="V31" s="27">
        <f t="shared" si="13"/>
        <v>2089.84</v>
      </c>
      <c r="W31" s="27">
        <f>ROUND(G31*$O$42,2)</f>
        <v>187.23</v>
      </c>
    </row>
    <row r="32" ht="15.15" spans="1:23">
      <c r="A32" s="26">
        <v>10</v>
      </c>
      <c r="B32" s="26" t="s">
        <v>181</v>
      </c>
      <c r="C32" s="26" t="s">
        <v>182</v>
      </c>
      <c r="D32" s="26" t="s">
        <v>58</v>
      </c>
      <c r="E32" s="26" t="s">
        <v>176</v>
      </c>
      <c r="F32" s="26">
        <v>28</v>
      </c>
      <c r="G32" s="45">
        <v>89.56</v>
      </c>
      <c r="H32" s="45">
        <f t="shared" si="6"/>
        <v>2507.68</v>
      </c>
      <c r="I32" s="27">
        <v>1</v>
      </c>
      <c r="J32" s="27">
        <v>2</v>
      </c>
      <c r="K32" s="27">
        <v>2.5</v>
      </c>
      <c r="L32" s="27">
        <f t="shared" si="7"/>
        <v>2507.68</v>
      </c>
      <c r="M32" s="27">
        <f t="shared" si="1"/>
        <v>25.08</v>
      </c>
      <c r="N32" s="27">
        <f t="shared" si="8"/>
        <v>2482.6</v>
      </c>
      <c r="O32" s="27">
        <f t="shared" si="2"/>
        <v>49.65</v>
      </c>
      <c r="P32" s="27">
        <f t="shared" si="9"/>
        <v>2432.95</v>
      </c>
      <c r="Q32" s="27">
        <f t="shared" si="3"/>
        <v>60.82</v>
      </c>
      <c r="R32" s="27">
        <f t="shared" si="10"/>
        <v>135.55</v>
      </c>
      <c r="S32" s="27">
        <f t="shared" si="11"/>
        <v>2372.13</v>
      </c>
      <c r="T32" s="27">
        <v>0.18</v>
      </c>
      <c r="U32" s="27">
        <f t="shared" si="12"/>
        <v>426.98</v>
      </c>
      <c r="V32" s="27">
        <f t="shared" si="13"/>
        <v>2799.11</v>
      </c>
      <c r="W32" s="27">
        <f>ROUND(G32*$O$42,2)</f>
        <v>223.9</v>
      </c>
    </row>
    <row r="33" ht="15.15" spans="1:23">
      <c r="A33" s="26">
        <v>11</v>
      </c>
      <c r="B33" s="26" t="s">
        <v>183</v>
      </c>
      <c r="C33" s="26" t="s">
        <v>184</v>
      </c>
      <c r="D33" s="26" t="s">
        <v>163</v>
      </c>
      <c r="E33" s="26" t="s">
        <v>185</v>
      </c>
      <c r="F33" s="26">
        <v>37</v>
      </c>
      <c r="G33" s="45">
        <v>89.54</v>
      </c>
      <c r="H33" s="45">
        <f t="shared" si="6"/>
        <v>3312.98</v>
      </c>
      <c r="I33" s="27">
        <v>1</v>
      </c>
      <c r="J33" s="27">
        <v>2</v>
      </c>
      <c r="K33" s="27">
        <v>2.5</v>
      </c>
      <c r="L33" s="27">
        <f t="shared" si="7"/>
        <v>3312.98</v>
      </c>
      <c r="M33" s="27">
        <f t="shared" si="1"/>
        <v>33.13</v>
      </c>
      <c r="N33" s="27">
        <f t="shared" si="8"/>
        <v>3279.85</v>
      </c>
      <c r="O33" s="27">
        <f t="shared" si="2"/>
        <v>65.6</v>
      </c>
      <c r="P33" s="27">
        <f t="shared" si="9"/>
        <v>3214.25</v>
      </c>
      <c r="Q33" s="27">
        <f t="shared" si="3"/>
        <v>80.36</v>
      </c>
      <c r="R33" s="27">
        <f t="shared" si="10"/>
        <v>179.09</v>
      </c>
      <c r="S33" s="27">
        <f t="shared" si="11"/>
        <v>3133.89</v>
      </c>
      <c r="T33" s="27">
        <v>0.18</v>
      </c>
      <c r="U33" s="27">
        <f t="shared" si="12"/>
        <v>564.1</v>
      </c>
      <c r="V33" s="27">
        <f t="shared" si="13"/>
        <v>3697.99</v>
      </c>
      <c r="W33" s="27">
        <f>ROUND(G33*$O$43,2)</f>
        <v>0.09</v>
      </c>
    </row>
    <row r="34" ht="15.15" spans="1:23">
      <c r="A34" s="26">
        <v>12</v>
      </c>
      <c r="B34" s="26" t="s">
        <v>186</v>
      </c>
      <c r="C34" s="26" t="s">
        <v>187</v>
      </c>
      <c r="D34" s="26" t="s">
        <v>163</v>
      </c>
      <c r="E34" s="26" t="s">
        <v>185</v>
      </c>
      <c r="F34" s="26">
        <v>39</v>
      </c>
      <c r="G34" s="45">
        <v>35.2</v>
      </c>
      <c r="H34" s="45">
        <f t="shared" si="6"/>
        <v>1372.8</v>
      </c>
      <c r="I34" s="27">
        <v>1</v>
      </c>
      <c r="J34" s="27">
        <v>2</v>
      </c>
      <c r="K34" s="27">
        <v>2.5</v>
      </c>
      <c r="L34" s="27">
        <f t="shared" si="7"/>
        <v>1372.8</v>
      </c>
      <c r="M34" s="27">
        <f t="shared" si="1"/>
        <v>13.73</v>
      </c>
      <c r="N34" s="27">
        <f t="shared" si="8"/>
        <v>1359.07</v>
      </c>
      <c r="O34" s="27">
        <f t="shared" si="2"/>
        <v>27.18</v>
      </c>
      <c r="P34" s="27">
        <f t="shared" si="9"/>
        <v>1331.89</v>
      </c>
      <c r="Q34" s="27">
        <f t="shared" si="3"/>
        <v>33.3</v>
      </c>
      <c r="R34" s="27">
        <f t="shared" si="10"/>
        <v>74.21</v>
      </c>
      <c r="S34" s="27">
        <f t="shared" si="11"/>
        <v>1298.59</v>
      </c>
      <c r="T34" s="27">
        <v>0.18</v>
      </c>
      <c r="U34" s="27">
        <f t="shared" si="12"/>
        <v>233.75</v>
      </c>
      <c r="V34" s="27">
        <f t="shared" si="13"/>
        <v>1532.34</v>
      </c>
      <c r="W34" s="27">
        <f>ROUND(G34*$O$43,2)</f>
        <v>0.04</v>
      </c>
    </row>
    <row r="35" ht="15.15" spans="1:23">
      <c r="A35" s="26">
        <v>13</v>
      </c>
      <c r="B35" s="26" t="s">
        <v>188</v>
      </c>
      <c r="C35" s="26" t="s">
        <v>189</v>
      </c>
      <c r="D35" s="26" t="s">
        <v>163</v>
      </c>
      <c r="E35" s="26" t="s">
        <v>185</v>
      </c>
      <c r="F35" s="26">
        <v>70</v>
      </c>
      <c r="G35" s="45">
        <v>102.25</v>
      </c>
      <c r="H35" s="45">
        <f t="shared" si="6"/>
        <v>7157.5</v>
      </c>
      <c r="I35" s="27">
        <v>1</v>
      </c>
      <c r="J35" s="27">
        <v>2</v>
      </c>
      <c r="K35" s="27">
        <v>2.5</v>
      </c>
      <c r="L35" s="27">
        <f t="shared" si="7"/>
        <v>7157.5</v>
      </c>
      <c r="M35" s="27">
        <f t="shared" si="1"/>
        <v>71.58</v>
      </c>
      <c r="N35" s="27">
        <f t="shared" si="8"/>
        <v>7085.92</v>
      </c>
      <c r="O35" s="27">
        <f t="shared" si="2"/>
        <v>141.72</v>
      </c>
      <c r="P35" s="27">
        <f t="shared" si="9"/>
        <v>6944.2</v>
      </c>
      <c r="Q35" s="27">
        <f t="shared" si="3"/>
        <v>173.61</v>
      </c>
      <c r="R35" s="27">
        <f t="shared" si="10"/>
        <v>386.91</v>
      </c>
      <c r="S35" s="27">
        <f t="shared" si="11"/>
        <v>6770.59</v>
      </c>
      <c r="T35" s="27">
        <v>0.18</v>
      </c>
      <c r="U35" s="27">
        <f t="shared" si="12"/>
        <v>1218.71</v>
      </c>
      <c r="V35" s="27">
        <f t="shared" si="13"/>
        <v>7989.3</v>
      </c>
      <c r="W35" s="27">
        <f>ROUND(G35*$O$43,2)</f>
        <v>0.1</v>
      </c>
    </row>
    <row r="36" ht="15.15" spans="1:23">
      <c r="A36" s="26">
        <v>14</v>
      </c>
      <c r="B36" s="26" t="s">
        <v>190</v>
      </c>
      <c r="C36" s="26" t="s">
        <v>191</v>
      </c>
      <c r="D36" s="26" t="s">
        <v>163</v>
      </c>
      <c r="E36" s="26" t="s">
        <v>185</v>
      </c>
      <c r="F36" s="26">
        <v>100</v>
      </c>
      <c r="G36" s="45">
        <v>125.23</v>
      </c>
      <c r="H36" s="45">
        <f t="shared" si="6"/>
        <v>12523</v>
      </c>
      <c r="I36" s="27">
        <v>1</v>
      </c>
      <c r="J36" s="27">
        <v>2</v>
      </c>
      <c r="K36" s="27">
        <v>2.5</v>
      </c>
      <c r="L36" s="27">
        <f t="shared" si="7"/>
        <v>12523</v>
      </c>
      <c r="M36" s="27">
        <f t="shared" si="1"/>
        <v>125.23</v>
      </c>
      <c r="N36" s="27">
        <f t="shared" si="8"/>
        <v>12397.77</v>
      </c>
      <c r="O36" s="27">
        <f t="shared" si="2"/>
        <v>247.96</v>
      </c>
      <c r="P36" s="27">
        <f t="shared" si="9"/>
        <v>12149.81</v>
      </c>
      <c r="Q36" s="27">
        <f t="shared" si="3"/>
        <v>303.75</v>
      </c>
      <c r="R36" s="27">
        <f t="shared" si="10"/>
        <v>676.94</v>
      </c>
      <c r="S36" s="27">
        <f t="shared" si="11"/>
        <v>11846.06</v>
      </c>
      <c r="T36" s="27">
        <v>0.18</v>
      </c>
      <c r="U36" s="27">
        <f t="shared" si="12"/>
        <v>2132.29</v>
      </c>
      <c r="V36" s="27">
        <f t="shared" si="13"/>
        <v>13978.35</v>
      </c>
      <c r="W36" s="27">
        <f>ROUND(G36*$O$43,2)</f>
        <v>0.13</v>
      </c>
    </row>
    <row r="37" ht="15.15" spans="1:23">
      <c r="A37" s="26">
        <v>15</v>
      </c>
      <c r="B37" s="26" t="s">
        <v>192</v>
      </c>
      <c r="C37" s="26" t="s">
        <v>193</v>
      </c>
      <c r="D37" s="26" t="s">
        <v>163</v>
      </c>
      <c r="E37" s="26" t="s">
        <v>185</v>
      </c>
      <c r="F37" s="26">
        <v>85</v>
      </c>
      <c r="G37" s="45">
        <v>65.48</v>
      </c>
      <c r="H37" s="45">
        <f t="shared" si="6"/>
        <v>5565.8</v>
      </c>
      <c r="I37" s="27">
        <v>1</v>
      </c>
      <c r="J37" s="27">
        <v>2</v>
      </c>
      <c r="K37" s="27">
        <v>2.5</v>
      </c>
      <c r="L37" s="27">
        <f t="shared" si="7"/>
        <v>5565.8</v>
      </c>
      <c r="M37" s="27">
        <f t="shared" si="1"/>
        <v>55.66</v>
      </c>
      <c r="N37" s="27">
        <f t="shared" si="8"/>
        <v>5510.14</v>
      </c>
      <c r="O37" s="27">
        <f t="shared" si="2"/>
        <v>110.2</v>
      </c>
      <c r="P37" s="27">
        <f t="shared" si="9"/>
        <v>5399.94</v>
      </c>
      <c r="Q37" s="27">
        <f t="shared" si="3"/>
        <v>135</v>
      </c>
      <c r="R37" s="27">
        <f t="shared" si="10"/>
        <v>300.86</v>
      </c>
      <c r="S37" s="27">
        <f t="shared" si="11"/>
        <v>5264.94</v>
      </c>
      <c r="T37" s="27">
        <v>0.18</v>
      </c>
      <c r="U37" s="27">
        <f t="shared" si="12"/>
        <v>947.69</v>
      </c>
      <c r="V37" s="27">
        <f t="shared" si="13"/>
        <v>6212.63</v>
      </c>
      <c r="W37" s="27">
        <f>ROUND(G37*$O$43,2)</f>
        <v>0.07</v>
      </c>
    </row>
    <row r="38" ht="15.15" spans="1:23">
      <c r="A38" s="17"/>
      <c r="B38" s="94" t="s">
        <v>87</v>
      </c>
      <c r="C38" s="94"/>
      <c r="D38" s="94"/>
      <c r="E38" s="94"/>
      <c r="F38" s="94"/>
      <c r="G38" s="94"/>
      <c r="H38" s="31">
        <f>SUM(H23:H37)</f>
        <v>75435.26</v>
      </c>
      <c r="I38" s="26"/>
      <c r="J38" s="26"/>
      <c r="K38" s="26"/>
      <c r="L38" s="27"/>
      <c r="M38" s="27"/>
      <c r="N38" s="27"/>
      <c r="O38" s="27"/>
      <c r="P38" s="27"/>
      <c r="Q38" s="27"/>
      <c r="R38" s="47">
        <f>SUM(R23:R37)</f>
        <v>4077.7</v>
      </c>
      <c r="S38" s="47">
        <f>SUM(S23:S37)</f>
        <v>71357.56</v>
      </c>
      <c r="T38" s="47"/>
      <c r="U38" s="47">
        <f>SUM(U23:U37)</f>
        <v>12844.37</v>
      </c>
      <c r="V38" s="104">
        <f t="shared" ref="V38" si="14">SUM(V23:V37)</f>
        <v>84201.93</v>
      </c>
      <c r="W38" s="104"/>
    </row>
    <row r="39" ht="15.15" spans="1:23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ht="15.15" spans="1:23">
      <c r="A40" s="17"/>
      <c r="B40" s="17"/>
      <c r="C40" s="17"/>
      <c r="D40" s="17"/>
      <c r="E40" s="17"/>
      <c r="F40" s="17"/>
      <c r="G40" s="32" t="s">
        <v>194</v>
      </c>
      <c r="H40" s="33"/>
      <c r="I40" s="37">
        <f>H38</f>
        <v>75435.26</v>
      </c>
      <c r="J40" s="37"/>
      <c r="K40" s="38"/>
      <c r="L40" s="17"/>
      <c r="M40" s="39" t="s">
        <v>195</v>
      </c>
      <c r="N40" s="40"/>
      <c r="O40" s="40"/>
      <c r="P40" s="41"/>
      <c r="Q40" s="17"/>
      <c r="R40" s="17"/>
      <c r="S40" s="17"/>
      <c r="T40" s="17"/>
      <c r="U40" s="17"/>
      <c r="V40" s="17"/>
      <c r="W40" s="17"/>
    </row>
    <row r="41" ht="15.15" spans="1:23">
      <c r="A41" s="17"/>
      <c r="B41" s="17"/>
      <c r="C41" s="17"/>
      <c r="D41" s="17"/>
      <c r="E41" s="17"/>
      <c r="F41" s="17"/>
      <c r="G41" s="32" t="s">
        <v>196</v>
      </c>
      <c r="H41" s="33"/>
      <c r="I41" s="37">
        <f>R38</f>
        <v>4077.7</v>
      </c>
      <c r="J41" s="37"/>
      <c r="K41" s="17"/>
      <c r="L41" s="17"/>
      <c r="M41" s="42">
        <v>1</v>
      </c>
      <c r="N41" s="42" t="s">
        <v>58</v>
      </c>
      <c r="O41" s="42">
        <v>2</v>
      </c>
      <c r="P41" s="42" t="s">
        <v>163</v>
      </c>
      <c r="Q41" s="17"/>
      <c r="R41" s="17"/>
      <c r="S41" s="17"/>
      <c r="T41" s="17"/>
      <c r="U41" s="17"/>
      <c r="V41" s="17"/>
      <c r="W41" s="17"/>
    </row>
    <row r="42" ht="15.15" spans="1:23">
      <c r="A42" s="17"/>
      <c r="B42" s="17"/>
      <c r="C42" s="17"/>
      <c r="D42" s="17"/>
      <c r="E42" s="17"/>
      <c r="F42" s="17"/>
      <c r="G42" s="32" t="s">
        <v>197</v>
      </c>
      <c r="H42" s="33"/>
      <c r="I42" s="37">
        <f>S38</f>
        <v>71357.56</v>
      </c>
      <c r="J42" s="37"/>
      <c r="K42" s="17"/>
      <c r="L42" s="17"/>
      <c r="M42" s="26">
        <v>1</v>
      </c>
      <c r="N42" s="26" t="s">
        <v>58</v>
      </c>
      <c r="O42" s="26">
        <v>2.5</v>
      </c>
      <c r="P42" s="26" t="s">
        <v>176</v>
      </c>
      <c r="Q42" s="17"/>
      <c r="R42" s="17"/>
      <c r="S42" s="17"/>
      <c r="T42" s="17"/>
      <c r="U42" s="17"/>
      <c r="V42" s="17"/>
      <c r="W42" s="17"/>
    </row>
    <row r="43" ht="15.15" spans="1:23">
      <c r="A43" s="17"/>
      <c r="B43" s="17"/>
      <c r="C43" s="17"/>
      <c r="D43" s="17"/>
      <c r="E43" s="17"/>
      <c r="F43" s="17"/>
      <c r="G43" s="32" t="s">
        <v>198</v>
      </c>
      <c r="H43" s="33"/>
      <c r="I43" s="37">
        <f>U38</f>
        <v>12844.37</v>
      </c>
      <c r="J43" s="37"/>
      <c r="K43" s="17"/>
      <c r="L43" s="17"/>
      <c r="M43" s="26">
        <v>1</v>
      </c>
      <c r="N43" s="26" t="s">
        <v>163</v>
      </c>
      <c r="O43" s="26">
        <v>0.001</v>
      </c>
      <c r="P43" s="26" t="s">
        <v>185</v>
      </c>
      <c r="Q43" s="17"/>
      <c r="R43" s="17"/>
      <c r="S43" s="17"/>
      <c r="T43" s="17"/>
      <c r="U43" s="17"/>
      <c r="V43" s="17"/>
      <c r="W43" s="17"/>
    </row>
    <row r="44" ht="15.15" spans="1:23">
      <c r="A44" s="17"/>
      <c r="B44" s="17"/>
      <c r="C44" s="17"/>
      <c r="D44" s="17"/>
      <c r="E44" s="17"/>
      <c r="F44" s="17"/>
      <c r="G44" s="32" t="s">
        <v>199</v>
      </c>
      <c r="H44" s="33"/>
      <c r="I44" s="43">
        <f>I42+I43</f>
        <v>84201.93</v>
      </c>
      <c r="J44" s="43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</sheetData>
  <mergeCells count="13">
    <mergeCell ref="A21:V21"/>
    <mergeCell ref="B38:G38"/>
    <mergeCell ref="G40:H40"/>
    <mergeCell ref="I40:J40"/>
    <mergeCell ref="M40:P40"/>
    <mergeCell ref="G41:H41"/>
    <mergeCell ref="I41:J41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28"/>
  <sheetViews>
    <sheetView topLeftCell="A7" workbookViewId="0">
      <selection activeCell="A4" sqref="A4:P4"/>
    </sheetView>
  </sheetViews>
  <sheetFormatPr defaultColWidth="9" defaultRowHeight="14.4"/>
  <cols>
    <col min="2" max="2" width="8.57407407407407" customWidth="1"/>
    <col min="13" max="13" width="13.712962962963" customWidth="1"/>
    <col min="14" max="14" width="9" customWidth="1"/>
    <col min="15" max="15" width="13.5740740740741" customWidth="1"/>
    <col min="17" max="17" width="14.4259259259259" customWidth="1"/>
    <col min="18" max="18" width="19.5740740740741" customWidth="1"/>
    <col min="19" max="19" width="7.13888888888889" customWidth="1"/>
    <col min="20" max="21" width="11.5740740740741" customWidth="1"/>
    <col min="22" max="22" width="16" customWidth="1"/>
    <col min="23" max="23" width="12.4259259259259" customWidth="1"/>
  </cols>
  <sheetData>
    <row r="3" ht="15.15"/>
    <row r="4" ht="18.15" spans="1:23">
      <c r="A4" s="1" t="s">
        <v>200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98" t="s">
        <v>201</v>
      </c>
      <c r="R4" s="98" t="s">
        <v>202</v>
      </c>
      <c r="S4" s="99"/>
      <c r="T4" s="98">
        <v>82.92</v>
      </c>
      <c r="U4" s="100"/>
      <c r="V4" s="101"/>
      <c r="W4" s="17"/>
    </row>
    <row r="5" ht="28.35" spans="1:23">
      <c r="A5" s="25" t="s">
        <v>155</v>
      </c>
      <c r="B5" s="25" t="s">
        <v>49</v>
      </c>
      <c r="C5" s="25" t="s">
        <v>51</v>
      </c>
      <c r="D5" s="25" t="s">
        <v>52</v>
      </c>
      <c r="E5" s="25" t="s">
        <v>53</v>
      </c>
      <c r="F5" s="25" t="s">
        <v>54</v>
      </c>
      <c r="G5" s="25" t="s">
        <v>55</v>
      </c>
      <c r="H5" s="35" t="s">
        <v>97</v>
      </c>
      <c r="I5" s="35" t="s">
        <v>99</v>
      </c>
      <c r="J5" s="35" t="s">
        <v>98</v>
      </c>
      <c r="K5" s="36" t="s">
        <v>100</v>
      </c>
      <c r="L5" s="36" t="s">
        <v>101</v>
      </c>
      <c r="M5" s="36" t="s">
        <v>104</v>
      </c>
      <c r="N5" s="36" t="s">
        <v>105</v>
      </c>
      <c r="O5" s="36" t="s">
        <v>102</v>
      </c>
      <c r="P5" s="36" t="s">
        <v>103</v>
      </c>
      <c r="Q5" s="35" t="s">
        <v>203</v>
      </c>
      <c r="R5" s="25" t="s">
        <v>204</v>
      </c>
      <c r="S5" s="44" t="s">
        <v>159</v>
      </c>
      <c r="T5" s="44" t="s">
        <v>113</v>
      </c>
      <c r="U5" s="49" t="s">
        <v>114</v>
      </c>
      <c r="V5" s="49" t="s">
        <v>205</v>
      </c>
      <c r="W5" s="52" t="s">
        <v>129</v>
      </c>
    </row>
    <row r="6" ht="15.15" spans="1:23">
      <c r="A6" s="26">
        <v>1</v>
      </c>
      <c r="B6" s="26" t="s">
        <v>56</v>
      </c>
      <c r="C6" s="26" t="s">
        <v>58</v>
      </c>
      <c r="D6" s="26" t="s">
        <v>58</v>
      </c>
      <c r="E6" s="26">
        <v>25</v>
      </c>
      <c r="F6" s="26">
        <v>257.63</v>
      </c>
      <c r="G6" s="26">
        <f>E6*F6</f>
        <v>6440.75</v>
      </c>
      <c r="H6" s="93">
        <v>0.01</v>
      </c>
      <c r="I6" s="93">
        <v>0.02</v>
      </c>
      <c r="J6" s="103">
        <v>0.025</v>
      </c>
      <c r="K6" s="26">
        <f>G6</f>
        <v>6440.75</v>
      </c>
      <c r="L6" s="26">
        <f>ROUND(K6*H6,2)</f>
        <v>64.41</v>
      </c>
      <c r="M6" s="26">
        <f>G6-L6</f>
        <v>6376.34</v>
      </c>
      <c r="N6" s="26">
        <f>ROUND(M6*I6,2)</f>
        <v>127.53</v>
      </c>
      <c r="O6" s="26">
        <f>ROUND(M6-N6,2)</f>
        <v>6248.81</v>
      </c>
      <c r="P6" s="26">
        <f>ROUND(O6*J6,2)</f>
        <v>156.22</v>
      </c>
      <c r="Q6" s="26">
        <f>ROUND((L6+N6+P6),2)</f>
        <v>348.16</v>
      </c>
      <c r="R6" s="26">
        <f>ROUND((G6-Q6),2)</f>
        <v>6092.59</v>
      </c>
      <c r="S6" s="93">
        <v>0.18</v>
      </c>
      <c r="T6" s="26">
        <f>ROUND((R6*18%),2)</f>
        <v>1096.67</v>
      </c>
      <c r="U6" s="26">
        <f>R6+T6</f>
        <v>7189.26</v>
      </c>
      <c r="V6" s="26">
        <f>U6*$T$4</f>
        <v>596133.4392</v>
      </c>
      <c r="W6" s="26">
        <f>F6*$T$4</f>
        <v>21362.6796</v>
      </c>
    </row>
    <row r="7" ht="15.15" spans="1:23">
      <c r="A7" s="26">
        <v>2</v>
      </c>
      <c r="B7" s="26" t="s">
        <v>59</v>
      </c>
      <c r="C7" s="26" t="s">
        <v>58</v>
      </c>
      <c r="D7" s="26" t="s">
        <v>58</v>
      </c>
      <c r="E7" s="26">
        <v>35</v>
      </c>
      <c r="F7" s="26">
        <v>125.45</v>
      </c>
      <c r="G7" s="26">
        <f>E7*F7</f>
        <v>4390.75</v>
      </c>
      <c r="H7" s="93">
        <v>0.01</v>
      </c>
      <c r="I7" s="93">
        <v>0.02</v>
      </c>
      <c r="J7" s="103">
        <v>0.025</v>
      </c>
      <c r="K7" s="26">
        <f>G7</f>
        <v>4390.75</v>
      </c>
      <c r="L7" s="26">
        <f>ROUND(K7*H7,2)</f>
        <v>43.91</v>
      </c>
      <c r="M7" s="26">
        <f>G7-L7</f>
        <v>4346.84</v>
      </c>
      <c r="N7" s="26">
        <f>ROUND(M7*I7,2)</f>
        <v>86.94</v>
      </c>
      <c r="O7" s="26">
        <f>ROUND(M7-N7,2)</f>
        <v>4259.9</v>
      </c>
      <c r="P7" s="26">
        <f>ROUND(O7*J7,2)</f>
        <v>106.5</v>
      </c>
      <c r="Q7" s="26">
        <f>ROUND((L7+N7+P7),2)</f>
        <v>237.35</v>
      </c>
      <c r="R7" s="26">
        <f>ROUND((G7-Q7),2)</f>
        <v>4153.4</v>
      </c>
      <c r="S7" s="93">
        <v>0.18</v>
      </c>
      <c r="T7" s="26">
        <f>ROUND((R7*18%),2)</f>
        <v>747.61</v>
      </c>
      <c r="U7" s="26">
        <f>R7+T7</f>
        <v>4901.01</v>
      </c>
      <c r="V7" s="26">
        <f t="shared" ref="V7:V20" si="0">U7*$T$4</f>
        <v>406391.7492</v>
      </c>
      <c r="W7" s="26">
        <f t="shared" ref="W7:W20" si="1">F7*$T$4</f>
        <v>10402.314</v>
      </c>
    </row>
    <row r="8" ht="15.15" spans="1:23">
      <c r="A8" s="26">
        <v>3</v>
      </c>
      <c r="B8" s="26" t="s">
        <v>61</v>
      </c>
      <c r="C8" s="26" t="s">
        <v>58</v>
      </c>
      <c r="D8" s="26" t="s">
        <v>58</v>
      </c>
      <c r="E8" s="26">
        <v>45</v>
      </c>
      <c r="F8" s="26">
        <v>125.36</v>
      </c>
      <c r="G8" s="26">
        <f>E8*F8</f>
        <v>5641.2</v>
      </c>
      <c r="H8" s="93">
        <v>0.01</v>
      </c>
      <c r="I8" s="93">
        <v>0.02</v>
      </c>
      <c r="J8" s="103">
        <v>0.025</v>
      </c>
      <c r="K8" s="26">
        <f>G8</f>
        <v>5641.2</v>
      </c>
      <c r="L8" s="26">
        <f>ROUND(K8*H8,2)</f>
        <v>56.41</v>
      </c>
      <c r="M8" s="26">
        <f>G8-L8</f>
        <v>5584.79</v>
      </c>
      <c r="N8" s="26">
        <f>ROUND(M8*I8,2)</f>
        <v>111.7</v>
      </c>
      <c r="O8" s="26">
        <f>ROUND(M8-N8,2)</f>
        <v>5473.09</v>
      </c>
      <c r="P8" s="26">
        <f>ROUND(O8*J8,2)</f>
        <v>136.83</v>
      </c>
      <c r="Q8" s="26">
        <f>ROUND((L8+N8+P8),2)</f>
        <v>304.94</v>
      </c>
      <c r="R8" s="26">
        <f>ROUND((G8-Q8),2)</f>
        <v>5336.26</v>
      </c>
      <c r="S8" s="93">
        <v>0.18</v>
      </c>
      <c r="T8" s="26">
        <f>ROUND((R8*18%),2)</f>
        <v>960.53</v>
      </c>
      <c r="U8" s="26">
        <f>R8+T8</f>
        <v>6296.79</v>
      </c>
      <c r="V8" s="26">
        <f t="shared" si="0"/>
        <v>522129.8268</v>
      </c>
      <c r="W8" s="26">
        <f t="shared" si="1"/>
        <v>10394.8512</v>
      </c>
    </row>
    <row r="9" ht="15.15" spans="1:23">
      <c r="A9" s="26">
        <v>4</v>
      </c>
      <c r="B9" s="26" t="s">
        <v>63</v>
      </c>
      <c r="C9" s="26" t="s">
        <v>58</v>
      </c>
      <c r="D9" s="26" t="s">
        <v>58</v>
      </c>
      <c r="E9" s="26">
        <v>55</v>
      </c>
      <c r="F9" s="26">
        <v>45.25</v>
      </c>
      <c r="G9" s="26">
        <f t="shared" ref="G9:G20" si="2">E9*F9</f>
        <v>2488.75</v>
      </c>
      <c r="H9" s="93">
        <v>0.01</v>
      </c>
      <c r="I9" s="93">
        <v>0.02</v>
      </c>
      <c r="J9" s="103">
        <v>0.025</v>
      </c>
      <c r="K9" s="26">
        <f t="shared" ref="K9:K20" si="3">G9</f>
        <v>2488.75</v>
      </c>
      <c r="L9" s="26">
        <f t="shared" ref="L9:L20" si="4">ROUND(K9*H9,2)</f>
        <v>24.89</v>
      </c>
      <c r="M9" s="26">
        <f t="shared" ref="M9:M20" si="5">G9-L9</f>
        <v>2463.86</v>
      </c>
      <c r="N9" s="26">
        <f t="shared" ref="N9:N20" si="6">ROUND(M9*I9,2)</f>
        <v>49.28</v>
      </c>
      <c r="O9" s="26">
        <f t="shared" ref="O9:O20" si="7">ROUND(M9-N9,2)</f>
        <v>2414.58</v>
      </c>
      <c r="P9" s="26">
        <f t="shared" ref="P9:P20" si="8">ROUND(O9*J9,2)</f>
        <v>60.36</v>
      </c>
      <c r="Q9" s="26">
        <f t="shared" ref="Q9:Q20" si="9">ROUND((L9+N9+P9),2)</f>
        <v>134.53</v>
      </c>
      <c r="R9" s="26">
        <f t="shared" ref="R9:R20" si="10">ROUND((G9-Q9),2)</f>
        <v>2354.22</v>
      </c>
      <c r="S9" s="93">
        <v>0.18</v>
      </c>
      <c r="T9" s="26">
        <f t="shared" ref="T9:T20" si="11">ROUND((R9*18%),2)</f>
        <v>423.76</v>
      </c>
      <c r="U9" s="26">
        <f t="shared" ref="U9:U20" si="12">R9+T9</f>
        <v>2777.98</v>
      </c>
      <c r="V9" s="26">
        <f t="shared" si="0"/>
        <v>230350.1016</v>
      </c>
      <c r="W9" s="26">
        <f t="shared" si="1"/>
        <v>3752.13</v>
      </c>
    </row>
    <row r="10" ht="15.15" spans="1:23">
      <c r="A10" s="26">
        <v>5</v>
      </c>
      <c r="B10" s="26" t="s">
        <v>65</v>
      </c>
      <c r="C10" s="26" t="s">
        <v>58</v>
      </c>
      <c r="D10" s="26" t="s">
        <v>58</v>
      </c>
      <c r="E10" s="26">
        <v>60</v>
      </c>
      <c r="F10" s="26">
        <v>45.5</v>
      </c>
      <c r="G10" s="26">
        <f t="shared" si="2"/>
        <v>2730</v>
      </c>
      <c r="H10" s="93">
        <v>0.01</v>
      </c>
      <c r="I10" s="93">
        <v>0.02</v>
      </c>
      <c r="J10" s="103">
        <v>0.025</v>
      </c>
      <c r="K10" s="26">
        <f t="shared" si="3"/>
        <v>2730</v>
      </c>
      <c r="L10" s="26">
        <f t="shared" si="4"/>
        <v>27.3</v>
      </c>
      <c r="M10" s="26">
        <f t="shared" si="5"/>
        <v>2702.7</v>
      </c>
      <c r="N10" s="26">
        <f t="shared" si="6"/>
        <v>54.05</v>
      </c>
      <c r="O10" s="26">
        <f t="shared" si="7"/>
        <v>2648.65</v>
      </c>
      <c r="P10" s="26">
        <f t="shared" si="8"/>
        <v>66.22</v>
      </c>
      <c r="Q10" s="26">
        <f t="shared" si="9"/>
        <v>147.57</v>
      </c>
      <c r="R10" s="26">
        <f t="shared" si="10"/>
        <v>2582.43</v>
      </c>
      <c r="S10" s="93">
        <v>0.18</v>
      </c>
      <c r="T10" s="26">
        <f t="shared" si="11"/>
        <v>464.84</v>
      </c>
      <c r="U10" s="26">
        <f t="shared" si="12"/>
        <v>3047.27</v>
      </c>
      <c r="V10" s="26">
        <f t="shared" si="0"/>
        <v>252679.6284</v>
      </c>
      <c r="W10" s="26">
        <f t="shared" si="1"/>
        <v>3772.86</v>
      </c>
    </row>
    <row r="11" ht="15.15" spans="1:23">
      <c r="A11" s="26">
        <v>6</v>
      </c>
      <c r="B11" s="26" t="s">
        <v>67</v>
      </c>
      <c r="C11" s="26" t="s">
        <v>58</v>
      </c>
      <c r="D11" s="26" t="s">
        <v>58</v>
      </c>
      <c r="E11" s="26">
        <v>75</v>
      </c>
      <c r="F11" s="26">
        <v>125.25</v>
      </c>
      <c r="G11" s="26">
        <f t="shared" si="2"/>
        <v>9393.75</v>
      </c>
      <c r="H11" s="93">
        <v>0.01</v>
      </c>
      <c r="I11" s="93">
        <v>0.02</v>
      </c>
      <c r="J11" s="103">
        <v>0.025</v>
      </c>
      <c r="K11" s="26">
        <f t="shared" si="3"/>
        <v>9393.75</v>
      </c>
      <c r="L11" s="26">
        <f t="shared" si="4"/>
        <v>93.94</v>
      </c>
      <c r="M11" s="26">
        <f t="shared" si="5"/>
        <v>9299.81</v>
      </c>
      <c r="N11" s="26">
        <f t="shared" si="6"/>
        <v>186</v>
      </c>
      <c r="O11" s="26">
        <f t="shared" si="7"/>
        <v>9113.81</v>
      </c>
      <c r="P11" s="26">
        <f t="shared" si="8"/>
        <v>227.85</v>
      </c>
      <c r="Q11" s="26">
        <f t="shared" si="9"/>
        <v>507.79</v>
      </c>
      <c r="R11" s="26">
        <f t="shared" si="10"/>
        <v>8885.96</v>
      </c>
      <c r="S11" s="93">
        <v>0.18</v>
      </c>
      <c r="T11" s="26">
        <f t="shared" si="11"/>
        <v>1599.47</v>
      </c>
      <c r="U11" s="26">
        <f t="shared" si="12"/>
        <v>10485.43</v>
      </c>
      <c r="V11" s="26">
        <f t="shared" si="0"/>
        <v>869451.8556</v>
      </c>
      <c r="W11" s="26">
        <f t="shared" si="1"/>
        <v>10385.73</v>
      </c>
    </row>
    <row r="12" ht="15.15" spans="1:23">
      <c r="A12" s="26">
        <v>7</v>
      </c>
      <c r="B12" s="26" t="s">
        <v>69</v>
      </c>
      <c r="C12" s="26" t="s">
        <v>58</v>
      </c>
      <c r="D12" s="26" t="s">
        <v>58</v>
      </c>
      <c r="E12" s="26">
        <v>28</v>
      </c>
      <c r="F12" s="26">
        <v>150.5</v>
      </c>
      <c r="G12" s="26">
        <f t="shared" si="2"/>
        <v>4214</v>
      </c>
      <c r="H12" s="93">
        <v>0.01</v>
      </c>
      <c r="I12" s="93">
        <v>0.02</v>
      </c>
      <c r="J12" s="103">
        <v>0.025</v>
      </c>
      <c r="K12" s="26">
        <f t="shared" si="3"/>
        <v>4214</v>
      </c>
      <c r="L12" s="26">
        <f t="shared" si="4"/>
        <v>42.14</v>
      </c>
      <c r="M12" s="26">
        <f t="shared" si="5"/>
        <v>4171.86</v>
      </c>
      <c r="N12" s="26">
        <f t="shared" si="6"/>
        <v>83.44</v>
      </c>
      <c r="O12" s="26">
        <f t="shared" si="7"/>
        <v>4088.42</v>
      </c>
      <c r="P12" s="26">
        <f t="shared" si="8"/>
        <v>102.21</v>
      </c>
      <c r="Q12" s="26">
        <f t="shared" si="9"/>
        <v>227.79</v>
      </c>
      <c r="R12" s="26">
        <f t="shared" si="10"/>
        <v>3986.21</v>
      </c>
      <c r="S12" s="93">
        <v>0.18</v>
      </c>
      <c r="T12" s="26">
        <f t="shared" si="11"/>
        <v>717.52</v>
      </c>
      <c r="U12" s="26">
        <f t="shared" si="12"/>
        <v>4703.73</v>
      </c>
      <c r="V12" s="26">
        <f t="shared" si="0"/>
        <v>390033.2916</v>
      </c>
      <c r="W12" s="26">
        <f t="shared" si="1"/>
        <v>12479.46</v>
      </c>
    </row>
    <row r="13" ht="15.15" spans="1:23">
      <c r="A13" s="26">
        <v>8</v>
      </c>
      <c r="B13" s="26" t="s">
        <v>71</v>
      </c>
      <c r="C13" s="26" t="s">
        <v>58</v>
      </c>
      <c r="D13" s="26" t="s">
        <v>58</v>
      </c>
      <c r="E13" s="26">
        <v>30</v>
      </c>
      <c r="F13" s="26">
        <v>65.32</v>
      </c>
      <c r="G13" s="26">
        <f t="shared" si="2"/>
        <v>1959.6</v>
      </c>
      <c r="H13" s="93">
        <v>0.01</v>
      </c>
      <c r="I13" s="93">
        <v>0.02</v>
      </c>
      <c r="J13" s="103">
        <v>0.025</v>
      </c>
      <c r="K13" s="26">
        <f t="shared" si="3"/>
        <v>1959.6</v>
      </c>
      <c r="L13" s="26">
        <f t="shared" si="4"/>
        <v>19.6</v>
      </c>
      <c r="M13" s="26">
        <f t="shared" si="5"/>
        <v>1940</v>
      </c>
      <c r="N13" s="26">
        <f t="shared" si="6"/>
        <v>38.8</v>
      </c>
      <c r="O13" s="26">
        <f t="shared" si="7"/>
        <v>1901.2</v>
      </c>
      <c r="P13" s="26">
        <f t="shared" si="8"/>
        <v>47.53</v>
      </c>
      <c r="Q13" s="26">
        <f t="shared" si="9"/>
        <v>105.93</v>
      </c>
      <c r="R13" s="26">
        <f t="shared" si="10"/>
        <v>1853.67</v>
      </c>
      <c r="S13" s="93">
        <v>0.18</v>
      </c>
      <c r="T13" s="26">
        <f t="shared" si="11"/>
        <v>333.66</v>
      </c>
      <c r="U13" s="26">
        <f t="shared" si="12"/>
        <v>2187.33</v>
      </c>
      <c r="V13" s="26">
        <f t="shared" si="0"/>
        <v>181373.4036</v>
      </c>
      <c r="W13" s="26">
        <f t="shared" si="1"/>
        <v>5416.3344</v>
      </c>
    </row>
    <row r="14" ht="15.15" spans="1:23">
      <c r="A14" s="26">
        <v>9</v>
      </c>
      <c r="B14" s="26" t="s">
        <v>73</v>
      </c>
      <c r="C14" s="26" t="s">
        <v>58</v>
      </c>
      <c r="D14" s="26" t="s">
        <v>58</v>
      </c>
      <c r="E14" s="26">
        <v>25</v>
      </c>
      <c r="F14" s="26">
        <v>74.89</v>
      </c>
      <c r="G14" s="26">
        <f t="shared" si="2"/>
        <v>1872.25</v>
      </c>
      <c r="H14" s="93">
        <v>0.01</v>
      </c>
      <c r="I14" s="93">
        <v>0.02</v>
      </c>
      <c r="J14" s="103">
        <v>0.025</v>
      </c>
      <c r="K14" s="26">
        <f t="shared" si="3"/>
        <v>1872.25</v>
      </c>
      <c r="L14" s="26">
        <f t="shared" si="4"/>
        <v>18.72</v>
      </c>
      <c r="M14" s="26">
        <f t="shared" si="5"/>
        <v>1853.53</v>
      </c>
      <c r="N14" s="26">
        <f t="shared" si="6"/>
        <v>37.07</v>
      </c>
      <c r="O14" s="26">
        <f t="shared" si="7"/>
        <v>1816.46</v>
      </c>
      <c r="P14" s="26">
        <f t="shared" si="8"/>
        <v>45.41</v>
      </c>
      <c r="Q14" s="26">
        <f t="shared" si="9"/>
        <v>101.2</v>
      </c>
      <c r="R14" s="26">
        <f t="shared" si="10"/>
        <v>1771.05</v>
      </c>
      <c r="S14" s="93">
        <v>0.18</v>
      </c>
      <c r="T14" s="26">
        <f t="shared" si="11"/>
        <v>318.79</v>
      </c>
      <c r="U14" s="26">
        <f t="shared" si="12"/>
        <v>2089.84</v>
      </c>
      <c r="V14" s="26">
        <f t="shared" si="0"/>
        <v>173289.5328</v>
      </c>
      <c r="W14" s="26">
        <f t="shared" si="1"/>
        <v>6209.8788</v>
      </c>
    </row>
    <row r="15" ht="15.15" spans="1:23">
      <c r="A15" s="26">
        <v>10</v>
      </c>
      <c r="B15" s="26" t="s">
        <v>75</v>
      </c>
      <c r="C15" s="26" t="s">
        <v>58</v>
      </c>
      <c r="D15" s="26" t="s">
        <v>58</v>
      </c>
      <c r="E15" s="26">
        <v>28</v>
      </c>
      <c r="F15" s="26">
        <v>89.56</v>
      </c>
      <c r="G15" s="26">
        <f t="shared" si="2"/>
        <v>2507.68</v>
      </c>
      <c r="H15" s="93">
        <v>0.01</v>
      </c>
      <c r="I15" s="93">
        <v>0.02</v>
      </c>
      <c r="J15" s="103">
        <v>0.025</v>
      </c>
      <c r="K15" s="26">
        <f t="shared" si="3"/>
        <v>2507.68</v>
      </c>
      <c r="L15" s="26">
        <f t="shared" si="4"/>
        <v>25.08</v>
      </c>
      <c r="M15" s="26">
        <f t="shared" si="5"/>
        <v>2482.6</v>
      </c>
      <c r="N15" s="26">
        <f t="shared" si="6"/>
        <v>49.65</v>
      </c>
      <c r="O15" s="26">
        <f t="shared" si="7"/>
        <v>2432.95</v>
      </c>
      <c r="P15" s="26">
        <f t="shared" si="8"/>
        <v>60.82</v>
      </c>
      <c r="Q15" s="26">
        <f t="shared" si="9"/>
        <v>135.55</v>
      </c>
      <c r="R15" s="26">
        <f t="shared" si="10"/>
        <v>2372.13</v>
      </c>
      <c r="S15" s="93">
        <v>0.18</v>
      </c>
      <c r="T15" s="26">
        <f t="shared" si="11"/>
        <v>426.98</v>
      </c>
      <c r="U15" s="26">
        <f t="shared" si="12"/>
        <v>2799.11</v>
      </c>
      <c r="V15" s="26">
        <f t="shared" si="0"/>
        <v>232102.2012</v>
      </c>
      <c r="W15" s="26">
        <f t="shared" si="1"/>
        <v>7426.3152</v>
      </c>
    </row>
    <row r="16" ht="15.15" spans="1:23">
      <c r="A16" s="26">
        <v>11</v>
      </c>
      <c r="B16" s="26" t="s">
        <v>77</v>
      </c>
      <c r="C16" s="26" t="s">
        <v>58</v>
      </c>
      <c r="D16" s="26" t="s">
        <v>58</v>
      </c>
      <c r="E16" s="26">
        <v>37</v>
      </c>
      <c r="F16" s="26">
        <v>89.54</v>
      </c>
      <c r="G16" s="26">
        <f t="shared" si="2"/>
        <v>3312.98</v>
      </c>
      <c r="H16" s="93">
        <v>0.01</v>
      </c>
      <c r="I16" s="93">
        <v>0.02</v>
      </c>
      <c r="J16" s="103">
        <v>0.025</v>
      </c>
      <c r="K16" s="26">
        <f t="shared" si="3"/>
        <v>3312.98</v>
      </c>
      <c r="L16" s="26">
        <f t="shared" si="4"/>
        <v>33.13</v>
      </c>
      <c r="M16" s="26">
        <f t="shared" si="5"/>
        <v>3279.85</v>
      </c>
      <c r="N16" s="26">
        <f t="shared" si="6"/>
        <v>65.6</v>
      </c>
      <c r="O16" s="26">
        <f t="shared" si="7"/>
        <v>3214.25</v>
      </c>
      <c r="P16" s="26">
        <f t="shared" si="8"/>
        <v>80.36</v>
      </c>
      <c r="Q16" s="26">
        <f t="shared" si="9"/>
        <v>179.09</v>
      </c>
      <c r="R16" s="26">
        <f t="shared" si="10"/>
        <v>3133.89</v>
      </c>
      <c r="S16" s="93">
        <v>0.18</v>
      </c>
      <c r="T16" s="26">
        <f t="shared" si="11"/>
        <v>564.1</v>
      </c>
      <c r="U16" s="26">
        <f t="shared" si="12"/>
        <v>3697.99</v>
      </c>
      <c r="V16" s="26">
        <f t="shared" si="0"/>
        <v>306637.3308</v>
      </c>
      <c r="W16" s="26">
        <f t="shared" si="1"/>
        <v>7424.6568</v>
      </c>
    </row>
    <row r="17" ht="15.15" spans="1:23">
      <c r="A17" s="26">
        <v>12</v>
      </c>
      <c r="B17" s="26" t="s">
        <v>79</v>
      </c>
      <c r="C17" s="26" t="s">
        <v>58</v>
      </c>
      <c r="D17" s="26" t="s">
        <v>58</v>
      </c>
      <c r="E17" s="26">
        <v>39</v>
      </c>
      <c r="F17" s="26">
        <v>98.25</v>
      </c>
      <c r="G17" s="26">
        <f t="shared" si="2"/>
        <v>3831.75</v>
      </c>
      <c r="H17" s="93">
        <v>0.01</v>
      </c>
      <c r="I17" s="93">
        <v>0.02</v>
      </c>
      <c r="J17" s="103">
        <v>0.025</v>
      </c>
      <c r="K17" s="26">
        <f t="shared" si="3"/>
        <v>3831.75</v>
      </c>
      <c r="L17" s="26">
        <f t="shared" si="4"/>
        <v>38.32</v>
      </c>
      <c r="M17" s="26">
        <f t="shared" si="5"/>
        <v>3793.43</v>
      </c>
      <c r="N17" s="26">
        <f t="shared" si="6"/>
        <v>75.87</v>
      </c>
      <c r="O17" s="26">
        <f t="shared" si="7"/>
        <v>3717.56</v>
      </c>
      <c r="P17" s="26">
        <f t="shared" si="8"/>
        <v>92.94</v>
      </c>
      <c r="Q17" s="26">
        <f t="shared" si="9"/>
        <v>207.13</v>
      </c>
      <c r="R17" s="26">
        <f t="shared" si="10"/>
        <v>3624.62</v>
      </c>
      <c r="S17" s="93">
        <v>0.18</v>
      </c>
      <c r="T17" s="26">
        <f t="shared" si="11"/>
        <v>652.43</v>
      </c>
      <c r="U17" s="26">
        <f t="shared" si="12"/>
        <v>4277.05</v>
      </c>
      <c r="V17" s="26">
        <f t="shared" si="0"/>
        <v>354652.986</v>
      </c>
      <c r="W17" s="26">
        <f t="shared" si="1"/>
        <v>8146.89</v>
      </c>
    </row>
    <row r="18" ht="15.15" spans="1:23">
      <c r="A18" s="26">
        <v>13</v>
      </c>
      <c r="B18" s="26" t="s">
        <v>81</v>
      </c>
      <c r="C18" s="26" t="s">
        <v>58</v>
      </c>
      <c r="D18" s="26" t="s">
        <v>58</v>
      </c>
      <c r="E18" s="26">
        <v>70</v>
      </c>
      <c r="F18" s="26">
        <v>102.25</v>
      </c>
      <c r="G18" s="26">
        <f t="shared" si="2"/>
        <v>7157.5</v>
      </c>
      <c r="H18" s="93">
        <v>0.01</v>
      </c>
      <c r="I18" s="93">
        <v>0.02</v>
      </c>
      <c r="J18" s="103">
        <v>0.025</v>
      </c>
      <c r="K18" s="26">
        <f t="shared" si="3"/>
        <v>7157.5</v>
      </c>
      <c r="L18" s="26">
        <f t="shared" si="4"/>
        <v>71.58</v>
      </c>
      <c r="M18" s="26">
        <f t="shared" si="5"/>
        <v>7085.92</v>
      </c>
      <c r="N18" s="26">
        <f t="shared" si="6"/>
        <v>141.72</v>
      </c>
      <c r="O18" s="26">
        <f t="shared" si="7"/>
        <v>6944.2</v>
      </c>
      <c r="P18" s="26">
        <f t="shared" si="8"/>
        <v>173.61</v>
      </c>
      <c r="Q18" s="26">
        <f t="shared" si="9"/>
        <v>386.91</v>
      </c>
      <c r="R18" s="26">
        <f t="shared" si="10"/>
        <v>6770.59</v>
      </c>
      <c r="S18" s="93">
        <v>0.18</v>
      </c>
      <c r="T18" s="26">
        <f t="shared" si="11"/>
        <v>1218.71</v>
      </c>
      <c r="U18" s="26">
        <f t="shared" si="12"/>
        <v>7989.3</v>
      </c>
      <c r="V18" s="26">
        <f t="shared" si="0"/>
        <v>662472.756</v>
      </c>
      <c r="W18" s="26">
        <f t="shared" si="1"/>
        <v>8478.57</v>
      </c>
    </row>
    <row r="19" ht="15.15" spans="1:23">
      <c r="A19" s="26">
        <v>14</v>
      </c>
      <c r="B19" s="26" t="s">
        <v>83</v>
      </c>
      <c r="C19" s="26" t="s">
        <v>58</v>
      </c>
      <c r="D19" s="26" t="s">
        <v>58</v>
      </c>
      <c r="E19" s="26">
        <v>100</v>
      </c>
      <c r="F19" s="26">
        <v>103.5</v>
      </c>
      <c r="G19" s="26">
        <f t="shared" si="2"/>
        <v>10350</v>
      </c>
      <c r="H19" s="93">
        <v>0.01</v>
      </c>
      <c r="I19" s="93">
        <v>0.02</v>
      </c>
      <c r="J19" s="103">
        <v>0.025</v>
      </c>
      <c r="K19" s="26">
        <f t="shared" si="3"/>
        <v>10350</v>
      </c>
      <c r="L19" s="26">
        <f t="shared" si="4"/>
        <v>103.5</v>
      </c>
      <c r="M19" s="26">
        <f t="shared" si="5"/>
        <v>10246.5</v>
      </c>
      <c r="N19" s="26">
        <f t="shared" si="6"/>
        <v>204.93</v>
      </c>
      <c r="O19" s="26">
        <f t="shared" si="7"/>
        <v>10041.57</v>
      </c>
      <c r="P19" s="26">
        <f t="shared" si="8"/>
        <v>251.04</v>
      </c>
      <c r="Q19" s="26">
        <f t="shared" si="9"/>
        <v>559.47</v>
      </c>
      <c r="R19" s="26">
        <f t="shared" si="10"/>
        <v>9790.53</v>
      </c>
      <c r="S19" s="93">
        <v>0.18</v>
      </c>
      <c r="T19" s="26">
        <f t="shared" si="11"/>
        <v>1762.3</v>
      </c>
      <c r="U19" s="26">
        <f t="shared" si="12"/>
        <v>11552.83</v>
      </c>
      <c r="V19" s="26">
        <f t="shared" si="0"/>
        <v>957960.6636</v>
      </c>
      <c r="W19" s="26">
        <f t="shared" si="1"/>
        <v>8582.22</v>
      </c>
    </row>
    <row r="20" ht="15.15" spans="1:23">
      <c r="A20" s="26">
        <v>15</v>
      </c>
      <c r="B20" s="26" t="s">
        <v>85</v>
      </c>
      <c r="C20" s="26" t="s">
        <v>58</v>
      </c>
      <c r="D20" s="26" t="s">
        <v>58</v>
      </c>
      <c r="E20" s="26">
        <v>85</v>
      </c>
      <c r="F20" s="26">
        <v>65.48</v>
      </c>
      <c r="G20" s="26">
        <f t="shared" si="2"/>
        <v>5565.8</v>
      </c>
      <c r="H20" s="93">
        <v>0.01</v>
      </c>
      <c r="I20" s="93">
        <v>0.02</v>
      </c>
      <c r="J20" s="103">
        <v>0.025</v>
      </c>
      <c r="K20" s="26">
        <f t="shared" si="3"/>
        <v>5565.8</v>
      </c>
      <c r="L20" s="26">
        <f t="shared" si="4"/>
        <v>55.66</v>
      </c>
      <c r="M20" s="26">
        <f t="shared" si="5"/>
        <v>5510.14</v>
      </c>
      <c r="N20" s="26">
        <f t="shared" si="6"/>
        <v>110.2</v>
      </c>
      <c r="O20" s="26">
        <f t="shared" si="7"/>
        <v>5399.94</v>
      </c>
      <c r="P20" s="26">
        <f t="shared" si="8"/>
        <v>135</v>
      </c>
      <c r="Q20" s="26">
        <f t="shared" si="9"/>
        <v>300.86</v>
      </c>
      <c r="R20" s="26">
        <f t="shared" si="10"/>
        <v>5264.94</v>
      </c>
      <c r="S20" s="93">
        <v>0.18</v>
      </c>
      <c r="T20" s="26">
        <f t="shared" si="11"/>
        <v>947.69</v>
      </c>
      <c r="U20" s="26">
        <f t="shared" si="12"/>
        <v>6212.63</v>
      </c>
      <c r="V20" s="26">
        <f t="shared" si="0"/>
        <v>515151.2796</v>
      </c>
      <c r="W20" s="26">
        <f t="shared" si="1"/>
        <v>5429.6016</v>
      </c>
    </row>
    <row r="21" ht="15.15" spans="1:23">
      <c r="A21" s="17"/>
      <c r="B21" s="94" t="s">
        <v>87</v>
      </c>
      <c r="C21" s="94"/>
      <c r="D21" s="94"/>
      <c r="E21" s="94"/>
      <c r="F21" s="94"/>
      <c r="G21" s="31">
        <f>SUM(G6:G20)</f>
        <v>71856.76</v>
      </c>
      <c r="H21" s="26"/>
      <c r="I21" s="26"/>
      <c r="J21" s="26"/>
      <c r="K21" s="26"/>
      <c r="L21" s="26"/>
      <c r="M21" s="26"/>
      <c r="N21" s="26"/>
      <c r="O21" s="26"/>
      <c r="P21" s="26"/>
      <c r="Q21" s="31">
        <f>SUM(Q6:Q20)</f>
        <v>3884.27</v>
      </c>
      <c r="R21" s="31">
        <f>SUM(R6:R20)</f>
        <v>67972.49</v>
      </c>
      <c r="S21" s="31"/>
      <c r="T21" s="31">
        <f>SUM(T6:T20)</f>
        <v>12235.06</v>
      </c>
      <c r="U21" s="50">
        <f t="shared" ref="U21:V21" si="13">SUM(U6:U20)</f>
        <v>80207.55</v>
      </c>
      <c r="V21" s="50">
        <f t="shared" si="13"/>
        <v>6650810.046</v>
      </c>
      <c r="W21" s="50"/>
    </row>
    <row r="22" ht="15.15" spans="1:23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ht="15.15" spans="1:23">
      <c r="A23" s="17"/>
      <c r="B23" s="17"/>
      <c r="C23" s="17"/>
      <c r="D23" s="17"/>
      <c r="E23" s="17"/>
      <c r="F23" s="95" t="s">
        <v>206</v>
      </c>
      <c r="G23" s="95"/>
      <c r="H23" s="95"/>
      <c r="I23" s="95"/>
      <c r="J23" s="17"/>
      <c r="K23" s="95" t="s">
        <v>207</v>
      </c>
      <c r="L23" s="95"/>
      <c r="M23" s="95"/>
      <c r="N23" s="95"/>
      <c r="O23" s="17"/>
      <c r="P23" s="17"/>
      <c r="Q23" s="17"/>
      <c r="R23" s="17"/>
      <c r="S23" s="17"/>
      <c r="T23" s="17"/>
      <c r="U23" s="17"/>
      <c r="V23" s="17"/>
      <c r="W23" s="17"/>
    </row>
    <row r="24" ht="15.15" spans="1:23">
      <c r="A24" s="17"/>
      <c r="B24" s="17"/>
      <c r="C24" s="17"/>
      <c r="D24" s="17"/>
      <c r="E24" s="17"/>
      <c r="F24" s="32" t="s">
        <v>194</v>
      </c>
      <c r="G24" s="33"/>
      <c r="H24" s="96">
        <f>G21</f>
        <v>71856.76</v>
      </c>
      <c r="I24" s="96"/>
      <c r="J24" s="38"/>
      <c r="K24" s="32" t="s">
        <v>194</v>
      </c>
      <c r="L24" s="33"/>
      <c r="M24" s="96">
        <f>H24*$T$4</f>
        <v>5958362.5392</v>
      </c>
      <c r="N24" s="96"/>
      <c r="O24" s="17"/>
      <c r="P24" s="17"/>
      <c r="Q24" s="17"/>
      <c r="R24" s="17"/>
      <c r="S24" s="17"/>
      <c r="T24" s="17"/>
      <c r="U24" s="17"/>
      <c r="V24" s="17"/>
      <c r="W24" s="17"/>
    </row>
    <row r="25" ht="15.15" spans="1:23">
      <c r="A25" s="17"/>
      <c r="B25" s="17"/>
      <c r="C25" s="17"/>
      <c r="D25" s="17"/>
      <c r="E25" s="17"/>
      <c r="F25" s="32" t="s">
        <v>196</v>
      </c>
      <c r="G25" s="33"/>
      <c r="H25" s="96">
        <f>Q21</f>
        <v>3884.27</v>
      </c>
      <c r="I25" s="96"/>
      <c r="J25" s="17"/>
      <c r="K25" s="32" t="s">
        <v>196</v>
      </c>
      <c r="L25" s="33"/>
      <c r="M25" s="96">
        <f t="shared" ref="M25:M28" si="14">H25*$T$4</f>
        <v>322083.6684</v>
      </c>
      <c r="N25" s="96"/>
      <c r="O25" s="17"/>
      <c r="P25" s="17"/>
      <c r="Q25" s="17"/>
      <c r="R25" s="17"/>
      <c r="S25" s="17"/>
      <c r="T25" s="17"/>
      <c r="U25" s="17"/>
      <c r="V25" s="70"/>
      <c r="W25" s="17"/>
    </row>
    <row r="26" ht="15.15" spans="1:23">
      <c r="A26" s="17"/>
      <c r="B26" s="17"/>
      <c r="C26" s="17"/>
      <c r="D26" s="17"/>
      <c r="E26" s="17"/>
      <c r="F26" s="32" t="s">
        <v>197</v>
      </c>
      <c r="G26" s="33"/>
      <c r="H26" s="96">
        <f>R21</f>
        <v>67972.49</v>
      </c>
      <c r="I26" s="96"/>
      <c r="J26" s="17"/>
      <c r="K26" s="32" t="s">
        <v>197</v>
      </c>
      <c r="L26" s="33"/>
      <c r="M26" s="96">
        <f t="shared" si="14"/>
        <v>5636278.8708</v>
      </c>
      <c r="N26" s="96"/>
      <c r="O26" s="17"/>
      <c r="P26" s="17"/>
      <c r="Q26" s="17"/>
      <c r="R26" s="17"/>
      <c r="S26" s="17"/>
      <c r="T26" s="17"/>
      <c r="U26" s="17"/>
      <c r="V26" s="70"/>
      <c r="W26" s="17"/>
    </row>
    <row r="27" ht="15.15" spans="1:23">
      <c r="A27" s="17"/>
      <c r="B27" s="17"/>
      <c r="C27" s="17"/>
      <c r="D27" s="17"/>
      <c r="E27" s="17"/>
      <c r="F27" s="32" t="s">
        <v>198</v>
      </c>
      <c r="G27" s="33"/>
      <c r="H27" s="96">
        <f>T21</f>
        <v>12235.06</v>
      </c>
      <c r="I27" s="96"/>
      <c r="J27" s="17"/>
      <c r="K27" s="32" t="s">
        <v>198</v>
      </c>
      <c r="L27" s="33"/>
      <c r="M27" s="96">
        <f t="shared" si="14"/>
        <v>1014531.1752</v>
      </c>
      <c r="N27" s="96"/>
      <c r="O27" s="17"/>
      <c r="P27" s="17"/>
      <c r="Q27" s="17"/>
      <c r="R27" s="17"/>
      <c r="S27" s="17"/>
      <c r="T27" s="17"/>
      <c r="U27" s="17"/>
      <c r="V27" s="70"/>
      <c r="W27" s="17"/>
    </row>
    <row r="28" ht="15.15" spans="1:23">
      <c r="A28" s="17"/>
      <c r="B28" s="17"/>
      <c r="C28" s="17"/>
      <c r="D28" s="17"/>
      <c r="E28" s="17"/>
      <c r="F28" s="32" t="s">
        <v>199</v>
      </c>
      <c r="G28" s="33"/>
      <c r="H28" s="97">
        <f>H26+H27</f>
        <v>80207.55</v>
      </c>
      <c r="I28" s="97"/>
      <c r="J28" s="17"/>
      <c r="K28" s="32" t="s">
        <v>199</v>
      </c>
      <c r="L28" s="33"/>
      <c r="M28" s="97">
        <f t="shared" si="14"/>
        <v>6650810.046</v>
      </c>
      <c r="N28" s="97"/>
      <c r="O28" s="17"/>
      <c r="P28" s="17"/>
      <c r="Q28" s="17"/>
      <c r="R28" s="17"/>
      <c r="S28" s="17"/>
      <c r="T28" s="17"/>
      <c r="U28" s="17"/>
      <c r="V28" s="17"/>
      <c r="W28" s="17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workbookViewId="0">
      <selection activeCell="R11" sqref="R11"/>
    </sheetView>
  </sheetViews>
  <sheetFormatPr defaultColWidth="9" defaultRowHeight="14.4"/>
  <sheetData>
    <row r="1" ht="18.15" spans="1:23">
      <c r="A1" s="1" t="s">
        <v>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98" t="s">
        <v>201</v>
      </c>
      <c r="R1" s="98" t="s">
        <v>202</v>
      </c>
      <c r="S1" s="99"/>
      <c r="T1" s="98">
        <v>82.92</v>
      </c>
      <c r="U1" s="100"/>
      <c r="V1" s="101"/>
      <c r="W1" s="17"/>
    </row>
    <row r="2" ht="42.15" spans="1:23">
      <c r="A2" s="25" t="s">
        <v>155</v>
      </c>
      <c r="B2" s="25" t="s">
        <v>49</v>
      </c>
      <c r="C2" s="25" t="s">
        <v>51</v>
      </c>
      <c r="D2" s="25" t="s">
        <v>52</v>
      </c>
      <c r="E2" s="25" t="s">
        <v>53</v>
      </c>
      <c r="F2" s="25" t="s">
        <v>54</v>
      </c>
      <c r="G2" s="25" t="s">
        <v>55</v>
      </c>
      <c r="H2" s="35" t="s">
        <v>97</v>
      </c>
      <c r="I2" s="35" t="s">
        <v>99</v>
      </c>
      <c r="J2" s="35" t="s">
        <v>98</v>
      </c>
      <c r="K2" s="36" t="s">
        <v>100</v>
      </c>
      <c r="L2" s="36" t="s">
        <v>101</v>
      </c>
      <c r="M2" s="36" t="s">
        <v>104</v>
      </c>
      <c r="N2" s="36" t="s">
        <v>105</v>
      </c>
      <c r="O2" s="36" t="s">
        <v>157</v>
      </c>
      <c r="P2" s="36" t="s">
        <v>103</v>
      </c>
      <c r="Q2" s="35" t="s">
        <v>203</v>
      </c>
      <c r="R2" s="25" t="s">
        <v>204</v>
      </c>
      <c r="S2" s="44" t="s">
        <v>159</v>
      </c>
      <c r="T2" s="44" t="s">
        <v>113</v>
      </c>
      <c r="U2" s="102" t="s">
        <v>209</v>
      </c>
      <c r="V2" s="102" t="s">
        <v>205</v>
      </c>
      <c r="W2" s="52" t="s">
        <v>160</v>
      </c>
    </row>
    <row r="3" ht="15.15" spans="1:23">
      <c r="A3" s="26">
        <v>1</v>
      </c>
      <c r="B3" s="26" t="s">
        <v>56</v>
      </c>
      <c r="C3" s="26" t="s">
        <v>58</v>
      </c>
      <c r="D3" s="26" t="s">
        <v>163</v>
      </c>
      <c r="E3" s="26">
        <v>25</v>
      </c>
      <c r="F3" s="26">
        <v>257.63</v>
      </c>
      <c r="G3" s="26">
        <f>E3*F3</f>
        <v>6440.75</v>
      </c>
      <c r="H3" s="93">
        <v>0.01</v>
      </c>
      <c r="I3" s="93">
        <v>0.02</v>
      </c>
      <c r="J3" s="46">
        <v>0.025</v>
      </c>
      <c r="K3" s="26">
        <f>G3</f>
        <v>6440.75</v>
      </c>
      <c r="L3" s="26">
        <f>ROUND(K3*H3,2)</f>
        <v>64.41</v>
      </c>
      <c r="M3" s="26">
        <f>G3-L3</f>
        <v>6376.34</v>
      </c>
      <c r="N3" s="26">
        <f>ROUND(M3*I3,2)</f>
        <v>127.53</v>
      </c>
      <c r="O3" s="26">
        <f>ROUND(M3-N3,2)</f>
        <v>6248.81</v>
      </c>
      <c r="P3" s="26">
        <f>ROUND(O3*J3,2)</f>
        <v>156.22</v>
      </c>
      <c r="Q3" s="26">
        <f>ROUND((L3+N3+P3),2)</f>
        <v>348.16</v>
      </c>
      <c r="R3" s="26">
        <f>ROUND((G3-Q3),2)</f>
        <v>6092.59</v>
      </c>
      <c r="S3" s="93">
        <v>0.18</v>
      </c>
      <c r="T3" s="26">
        <f>ROUND((R3*18%),2)</f>
        <v>1096.67</v>
      </c>
      <c r="U3" s="26">
        <f>R3+T3</f>
        <v>7189.26</v>
      </c>
      <c r="V3" s="26">
        <f>U3*$T$1</f>
        <v>596133.4392</v>
      </c>
      <c r="W3" s="26">
        <f t="shared" ref="W3:W8" si="0">ROUND(F3*$S$21*$T$1,2)</f>
        <v>42725.36</v>
      </c>
    </row>
    <row r="4" ht="15.15" spans="1:23">
      <c r="A4" s="26">
        <v>2</v>
      </c>
      <c r="B4" s="26" t="s">
        <v>59</v>
      </c>
      <c r="C4" s="26" t="s">
        <v>58</v>
      </c>
      <c r="D4" s="26" t="s">
        <v>163</v>
      </c>
      <c r="E4" s="26">
        <v>35</v>
      </c>
      <c r="F4" s="26">
        <v>125.45</v>
      </c>
      <c r="G4" s="26">
        <f>E4*F4</f>
        <v>4390.75</v>
      </c>
      <c r="H4" s="93">
        <v>0.01</v>
      </c>
      <c r="I4" s="93">
        <v>0.02</v>
      </c>
      <c r="J4" s="46">
        <v>0.025</v>
      </c>
      <c r="K4" s="26">
        <f>G4</f>
        <v>4390.75</v>
      </c>
      <c r="L4" s="26">
        <f>ROUND(K4*H4,2)</f>
        <v>43.91</v>
      </c>
      <c r="M4" s="26">
        <f>G4-L4</f>
        <v>4346.84</v>
      </c>
      <c r="N4" s="26">
        <f>ROUND(M4*I4,2)</f>
        <v>86.94</v>
      </c>
      <c r="O4" s="26">
        <f>ROUND(M4-N4,2)</f>
        <v>4259.9</v>
      </c>
      <c r="P4" s="26">
        <f>ROUND(O4*J4,2)</f>
        <v>106.5</v>
      </c>
      <c r="Q4" s="26">
        <f>ROUND((L4+N4+P4),2)</f>
        <v>237.35</v>
      </c>
      <c r="R4" s="26">
        <f>ROUND((G4-Q4),2)</f>
        <v>4153.4</v>
      </c>
      <c r="S4" s="93">
        <v>0.18</v>
      </c>
      <c r="T4" s="26">
        <f>ROUND((R4*18%),2)</f>
        <v>747.61</v>
      </c>
      <c r="U4" s="26">
        <f>R4+T4</f>
        <v>4901.01</v>
      </c>
      <c r="V4" s="26">
        <f t="shared" ref="V4:V17" si="1">U4*$T$1</f>
        <v>406391.7492</v>
      </c>
      <c r="W4" s="26">
        <f t="shared" si="0"/>
        <v>20804.63</v>
      </c>
    </row>
    <row r="5" ht="15.15" spans="1:23">
      <c r="A5" s="26">
        <v>3</v>
      </c>
      <c r="B5" s="26" t="s">
        <v>61</v>
      </c>
      <c r="C5" s="26" t="s">
        <v>58</v>
      </c>
      <c r="D5" s="26" t="s">
        <v>163</v>
      </c>
      <c r="E5" s="26">
        <v>45</v>
      </c>
      <c r="F5" s="26">
        <v>125.36</v>
      </c>
      <c r="G5" s="26">
        <f>E5*F5</f>
        <v>5641.2</v>
      </c>
      <c r="H5" s="93">
        <v>0.01</v>
      </c>
      <c r="I5" s="93">
        <v>0.02</v>
      </c>
      <c r="J5" s="46">
        <v>0.025</v>
      </c>
      <c r="K5" s="26">
        <f>G5</f>
        <v>5641.2</v>
      </c>
      <c r="L5" s="26">
        <f>ROUND(K5*H5,2)</f>
        <v>56.41</v>
      </c>
      <c r="M5" s="26">
        <f>G5-L5</f>
        <v>5584.79</v>
      </c>
      <c r="N5" s="26">
        <f>ROUND(M5*I5,2)</f>
        <v>111.7</v>
      </c>
      <c r="O5" s="26">
        <f>ROUND(M5-N5,2)</f>
        <v>5473.09</v>
      </c>
      <c r="P5" s="26">
        <f>ROUND(O5*J5,2)</f>
        <v>136.83</v>
      </c>
      <c r="Q5" s="26">
        <f>ROUND((L5+N5+P5),2)</f>
        <v>304.94</v>
      </c>
      <c r="R5" s="26">
        <f>ROUND((G5-Q5),2)</f>
        <v>5336.26</v>
      </c>
      <c r="S5" s="93">
        <v>0.18</v>
      </c>
      <c r="T5" s="26">
        <f>ROUND((R5*18%),2)</f>
        <v>960.53</v>
      </c>
      <c r="U5" s="26">
        <f>R5+T5</f>
        <v>6296.79</v>
      </c>
      <c r="V5" s="26">
        <f t="shared" si="1"/>
        <v>522129.8268</v>
      </c>
      <c r="W5" s="26">
        <f t="shared" si="0"/>
        <v>20789.7</v>
      </c>
    </row>
    <row r="6" ht="15.15" spans="1:23">
      <c r="A6" s="26">
        <v>4</v>
      </c>
      <c r="B6" s="26" t="s">
        <v>63</v>
      </c>
      <c r="C6" s="26" t="s">
        <v>58</v>
      </c>
      <c r="D6" s="26" t="s">
        <v>163</v>
      </c>
      <c r="E6" s="26">
        <v>55</v>
      </c>
      <c r="F6" s="26">
        <v>45.25</v>
      </c>
      <c r="G6" s="26">
        <f t="shared" ref="G6:G17" si="2">E6*F6</f>
        <v>2488.75</v>
      </c>
      <c r="H6" s="93">
        <v>0.01</v>
      </c>
      <c r="I6" s="93">
        <v>0.02</v>
      </c>
      <c r="J6" s="46">
        <v>0.025</v>
      </c>
      <c r="K6" s="26">
        <f t="shared" ref="K6:K17" si="3">G6</f>
        <v>2488.75</v>
      </c>
      <c r="L6" s="26">
        <f t="shared" ref="L6:L17" si="4">ROUND(K6*H6,2)</f>
        <v>24.89</v>
      </c>
      <c r="M6" s="26">
        <f t="shared" ref="M6:M17" si="5">G6-L6</f>
        <v>2463.86</v>
      </c>
      <c r="N6" s="26">
        <f t="shared" ref="N6:N17" si="6">ROUND(M6*I6,2)</f>
        <v>49.28</v>
      </c>
      <c r="O6" s="26">
        <f t="shared" ref="O6:O17" si="7">ROUND(M6-N6,2)</f>
        <v>2414.58</v>
      </c>
      <c r="P6" s="26">
        <f t="shared" ref="P6:P17" si="8">ROUND(O6*J6,2)</f>
        <v>60.36</v>
      </c>
      <c r="Q6" s="26">
        <f t="shared" ref="Q6:Q17" si="9">ROUND((L6+N6+P6),2)</f>
        <v>134.53</v>
      </c>
      <c r="R6" s="26">
        <f t="shared" ref="R6:R17" si="10">ROUND((G6-Q6),2)</f>
        <v>2354.22</v>
      </c>
      <c r="S6" s="93">
        <v>0.18</v>
      </c>
      <c r="T6" s="26">
        <f t="shared" ref="T6:T17" si="11">ROUND((R6*18%),2)</f>
        <v>423.76</v>
      </c>
      <c r="U6" s="26">
        <f t="shared" ref="U6:U17" si="12">R6+T6</f>
        <v>2777.98</v>
      </c>
      <c r="V6" s="26">
        <f t="shared" si="1"/>
        <v>230350.1016</v>
      </c>
      <c r="W6" s="26">
        <f t="shared" si="0"/>
        <v>7504.26</v>
      </c>
    </row>
    <row r="7" ht="15.15" spans="1:23">
      <c r="A7" s="26">
        <v>5</v>
      </c>
      <c r="B7" s="26" t="s">
        <v>65</v>
      </c>
      <c r="C7" s="26" t="s">
        <v>58</v>
      </c>
      <c r="D7" s="26" t="s">
        <v>163</v>
      </c>
      <c r="E7" s="26">
        <v>60</v>
      </c>
      <c r="F7" s="26">
        <v>45.5</v>
      </c>
      <c r="G7" s="26">
        <f t="shared" si="2"/>
        <v>2730</v>
      </c>
      <c r="H7" s="93">
        <v>0.01</v>
      </c>
      <c r="I7" s="93">
        <v>0.02</v>
      </c>
      <c r="J7" s="46">
        <v>0.025</v>
      </c>
      <c r="K7" s="26">
        <f t="shared" si="3"/>
        <v>2730</v>
      </c>
      <c r="L7" s="26">
        <f t="shared" si="4"/>
        <v>27.3</v>
      </c>
      <c r="M7" s="26">
        <f t="shared" si="5"/>
        <v>2702.7</v>
      </c>
      <c r="N7" s="26">
        <f t="shared" si="6"/>
        <v>54.05</v>
      </c>
      <c r="O7" s="26">
        <f t="shared" si="7"/>
        <v>2648.65</v>
      </c>
      <c r="P7" s="26">
        <f t="shared" si="8"/>
        <v>66.22</v>
      </c>
      <c r="Q7" s="26">
        <f t="shared" si="9"/>
        <v>147.57</v>
      </c>
      <c r="R7" s="26">
        <f t="shared" si="10"/>
        <v>2582.43</v>
      </c>
      <c r="S7" s="93">
        <v>0.18</v>
      </c>
      <c r="T7" s="26">
        <f t="shared" si="11"/>
        <v>464.84</v>
      </c>
      <c r="U7" s="26">
        <f t="shared" si="12"/>
        <v>3047.27</v>
      </c>
      <c r="V7" s="26">
        <f t="shared" si="1"/>
        <v>252679.6284</v>
      </c>
      <c r="W7" s="26">
        <f t="shared" si="0"/>
        <v>7545.72</v>
      </c>
    </row>
    <row r="8" ht="15.15" spans="1:23">
      <c r="A8" s="26">
        <v>6</v>
      </c>
      <c r="B8" s="26" t="s">
        <v>67</v>
      </c>
      <c r="C8" s="26" t="s">
        <v>58</v>
      </c>
      <c r="D8" s="26" t="s">
        <v>163</v>
      </c>
      <c r="E8" s="26">
        <v>75</v>
      </c>
      <c r="F8" s="26">
        <v>125.25</v>
      </c>
      <c r="G8" s="26">
        <f t="shared" si="2"/>
        <v>9393.75</v>
      </c>
      <c r="H8" s="93">
        <v>0.01</v>
      </c>
      <c r="I8" s="93">
        <v>0.02</v>
      </c>
      <c r="J8" s="46">
        <v>0.025</v>
      </c>
      <c r="K8" s="26">
        <f t="shared" si="3"/>
        <v>9393.75</v>
      </c>
      <c r="L8" s="26">
        <f t="shared" si="4"/>
        <v>93.94</v>
      </c>
      <c r="M8" s="26">
        <f t="shared" si="5"/>
        <v>9299.81</v>
      </c>
      <c r="N8" s="26">
        <f t="shared" si="6"/>
        <v>186</v>
      </c>
      <c r="O8" s="26">
        <f t="shared" si="7"/>
        <v>9113.81</v>
      </c>
      <c r="P8" s="26">
        <f t="shared" si="8"/>
        <v>227.85</v>
      </c>
      <c r="Q8" s="26">
        <f t="shared" si="9"/>
        <v>507.79</v>
      </c>
      <c r="R8" s="26">
        <f t="shared" si="10"/>
        <v>8885.96</v>
      </c>
      <c r="S8" s="93">
        <v>0.18</v>
      </c>
      <c r="T8" s="26">
        <f t="shared" si="11"/>
        <v>1599.47</v>
      </c>
      <c r="U8" s="26">
        <f t="shared" si="12"/>
        <v>10485.43</v>
      </c>
      <c r="V8" s="26">
        <f t="shared" si="1"/>
        <v>869451.8556</v>
      </c>
      <c r="W8" s="26">
        <f t="shared" si="0"/>
        <v>20771.46</v>
      </c>
    </row>
    <row r="9" ht="15.15" spans="1:23">
      <c r="A9" s="26">
        <v>7</v>
      </c>
      <c r="B9" s="26" t="s">
        <v>69</v>
      </c>
      <c r="C9" s="26" t="s">
        <v>58</v>
      </c>
      <c r="D9" s="26" t="s">
        <v>176</v>
      </c>
      <c r="E9" s="26">
        <v>28</v>
      </c>
      <c r="F9" s="26">
        <v>150.5</v>
      </c>
      <c r="G9" s="26">
        <f t="shared" si="2"/>
        <v>4214</v>
      </c>
      <c r="H9" s="93">
        <v>0.01</v>
      </c>
      <c r="I9" s="93">
        <v>0.02</v>
      </c>
      <c r="J9" s="46">
        <v>0.025</v>
      </c>
      <c r="K9" s="26">
        <f t="shared" si="3"/>
        <v>4214</v>
      </c>
      <c r="L9" s="26">
        <f t="shared" si="4"/>
        <v>42.14</v>
      </c>
      <c r="M9" s="26">
        <f t="shared" si="5"/>
        <v>4171.86</v>
      </c>
      <c r="N9" s="26">
        <f t="shared" si="6"/>
        <v>83.44</v>
      </c>
      <c r="O9" s="26">
        <f t="shared" si="7"/>
        <v>4088.42</v>
      </c>
      <c r="P9" s="26">
        <f t="shared" si="8"/>
        <v>102.21</v>
      </c>
      <c r="Q9" s="26">
        <f t="shared" si="9"/>
        <v>227.79</v>
      </c>
      <c r="R9" s="26">
        <f t="shared" si="10"/>
        <v>3986.21</v>
      </c>
      <c r="S9" s="93">
        <v>0.18</v>
      </c>
      <c r="T9" s="26">
        <f t="shared" si="11"/>
        <v>717.52</v>
      </c>
      <c r="U9" s="26">
        <f t="shared" si="12"/>
        <v>4703.73</v>
      </c>
      <c r="V9" s="26">
        <f t="shared" si="1"/>
        <v>390033.2916</v>
      </c>
      <c r="W9" s="26">
        <f>ROUND(F9*$S$22*$T$1,2)</f>
        <v>31198.65</v>
      </c>
    </row>
    <row r="10" ht="15.15" spans="1:23">
      <c r="A10" s="26">
        <v>8</v>
      </c>
      <c r="B10" s="26" t="s">
        <v>71</v>
      </c>
      <c r="C10" s="26" t="s">
        <v>58</v>
      </c>
      <c r="D10" s="26" t="s">
        <v>176</v>
      </c>
      <c r="E10" s="26">
        <v>30</v>
      </c>
      <c r="F10" s="26">
        <v>65.32</v>
      </c>
      <c r="G10" s="26">
        <f t="shared" si="2"/>
        <v>1959.6</v>
      </c>
      <c r="H10" s="93">
        <v>0.01</v>
      </c>
      <c r="I10" s="93">
        <v>0.02</v>
      </c>
      <c r="J10" s="46">
        <v>0.025</v>
      </c>
      <c r="K10" s="26">
        <f t="shared" si="3"/>
        <v>1959.6</v>
      </c>
      <c r="L10" s="26">
        <f t="shared" si="4"/>
        <v>19.6</v>
      </c>
      <c r="M10" s="26">
        <f t="shared" si="5"/>
        <v>1940</v>
      </c>
      <c r="N10" s="26">
        <f t="shared" si="6"/>
        <v>38.8</v>
      </c>
      <c r="O10" s="26">
        <f t="shared" si="7"/>
        <v>1901.2</v>
      </c>
      <c r="P10" s="26">
        <f t="shared" si="8"/>
        <v>47.53</v>
      </c>
      <c r="Q10" s="26">
        <f t="shared" si="9"/>
        <v>105.93</v>
      </c>
      <c r="R10" s="26">
        <f t="shared" si="10"/>
        <v>1853.67</v>
      </c>
      <c r="S10" s="93">
        <v>0.18</v>
      </c>
      <c r="T10" s="26">
        <f t="shared" si="11"/>
        <v>333.66</v>
      </c>
      <c r="U10" s="26">
        <f t="shared" si="12"/>
        <v>2187.33</v>
      </c>
      <c r="V10" s="26">
        <f t="shared" si="1"/>
        <v>181373.4036</v>
      </c>
      <c r="W10" s="26">
        <f>ROUND(F10*$S$22*$T$1,2)</f>
        <v>13540.84</v>
      </c>
    </row>
    <row r="11" ht="15.15" spans="1:23">
      <c r="A11" s="26">
        <v>9</v>
      </c>
      <c r="B11" s="26" t="s">
        <v>73</v>
      </c>
      <c r="C11" s="26" t="s">
        <v>58</v>
      </c>
      <c r="D11" s="26" t="s">
        <v>176</v>
      </c>
      <c r="E11" s="26">
        <v>25</v>
      </c>
      <c r="F11" s="26">
        <v>74.89</v>
      </c>
      <c r="G11" s="26">
        <f t="shared" si="2"/>
        <v>1872.25</v>
      </c>
      <c r="H11" s="93">
        <v>0.01</v>
      </c>
      <c r="I11" s="93">
        <v>0.02</v>
      </c>
      <c r="J11" s="46">
        <v>0.025</v>
      </c>
      <c r="K11" s="26">
        <f t="shared" si="3"/>
        <v>1872.25</v>
      </c>
      <c r="L11" s="26">
        <f t="shared" si="4"/>
        <v>18.72</v>
      </c>
      <c r="M11" s="26">
        <f t="shared" si="5"/>
        <v>1853.53</v>
      </c>
      <c r="N11" s="26">
        <f t="shared" si="6"/>
        <v>37.07</v>
      </c>
      <c r="O11" s="26">
        <f t="shared" si="7"/>
        <v>1816.46</v>
      </c>
      <c r="P11" s="26">
        <f t="shared" si="8"/>
        <v>45.41</v>
      </c>
      <c r="Q11" s="26">
        <f t="shared" si="9"/>
        <v>101.2</v>
      </c>
      <c r="R11" s="26">
        <f t="shared" si="10"/>
        <v>1771.05</v>
      </c>
      <c r="S11" s="93">
        <v>0.18</v>
      </c>
      <c r="T11" s="26">
        <f t="shared" si="11"/>
        <v>318.79</v>
      </c>
      <c r="U11" s="26">
        <f t="shared" si="12"/>
        <v>2089.84</v>
      </c>
      <c r="V11" s="26">
        <f t="shared" si="1"/>
        <v>173289.5328</v>
      </c>
      <c r="W11" s="26">
        <f>ROUND(F11*$S$22*$T$1,2)</f>
        <v>15524.7</v>
      </c>
    </row>
    <row r="12" ht="15.15" spans="1:23">
      <c r="A12" s="26">
        <v>10</v>
      </c>
      <c r="B12" s="26" t="s">
        <v>75</v>
      </c>
      <c r="C12" s="26" t="s">
        <v>58</v>
      </c>
      <c r="D12" s="26" t="s">
        <v>176</v>
      </c>
      <c r="E12" s="26">
        <v>28</v>
      </c>
      <c r="F12" s="26">
        <v>89.56</v>
      </c>
      <c r="G12" s="26">
        <f t="shared" si="2"/>
        <v>2507.68</v>
      </c>
      <c r="H12" s="93">
        <v>0.01</v>
      </c>
      <c r="I12" s="93">
        <v>0.02</v>
      </c>
      <c r="J12" s="46">
        <v>0.025</v>
      </c>
      <c r="K12" s="26">
        <f t="shared" si="3"/>
        <v>2507.68</v>
      </c>
      <c r="L12" s="26">
        <f t="shared" si="4"/>
        <v>25.08</v>
      </c>
      <c r="M12" s="26">
        <f t="shared" si="5"/>
        <v>2482.6</v>
      </c>
      <c r="N12" s="26">
        <f t="shared" si="6"/>
        <v>49.65</v>
      </c>
      <c r="O12" s="26">
        <f t="shared" si="7"/>
        <v>2432.95</v>
      </c>
      <c r="P12" s="26">
        <f t="shared" si="8"/>
        <v>60.82</v>
      </c>
      <c r="Q12" s="26">
        <f t="shared" si="9"/>
        <v>135.55</v>
      </c>
      <c r="R12" s="26">
        <f t="shared" si="10"/>
        <v>2372.13</v>
      </c>
      <c r="S12" s="93">
        <v>0.18</v>
      </c>
      <c r="T12" s="26">
        <f t="shared" si="11"/>
        <v>426.98</v>
      </c>
      <c r="U12" s="26">
        <f t="shared" si="12"/>
        <v>2799.11</v>
      </c>
      <c r="V12" s="26">
        <f t="shared" si="1"/>
        <v>232102.2012</v>
      </c>
      <c r="W12" s="26">
        <f>ROUND(F12*$S$22*$T$1,2)</f>
        <v>18565.79</v>
      </c>
    </row>
    <row r="13" ht="15.15" spans="1:23">
      <c r="A13" s="26">
        <v>11</v>
      </c>
      <c r="B13" s="26" t="s">
        <v>77</v>
      </c>
      <c r="C13" s="26" t="s">
        <v>163</v>
      </c>
      <c r="D13" s="26" t="s">
        <v>185</v>
      </c>
      <c r="E13" s="26">
        <v>37</v>
      </c>
      <c r="F13" s="26">
        <v>89.54</v>
      </c>
      <c r="G13" s="26">
        <f t="shared" si="2"/>
        <v>3312.98</v>
      </c>
      <c r="H13" s="93">
        <v>0.01</v>
      </c>
      <c r="I13" s="93">
        <v>0.02</v>
      </c>
      <c r="J13" s="46">
        <v>0.025</v>
      </c>
      <c r="K13" s="26">
        <f t="shared" si="3"/>
        <v>3312.98</v>
      </c>
      <c r="L13" s="26">
        <f t="shared" si="4"/>
        <v>33.13</v>
      </c>
      <c r="M13" s="26">
        <f t="shared" si="5"/>
        <v>3279.85</v>
      </c>
      <c r="N13" s="26">
        <f t="shared" si="6"/>
        <v>65.6</v>
      </c>
      <c r="O13" s="26">
        <f t="shared" si="7"/>
        <v>3214.25</v>
      </c>
      <c r="P13" s="26">
        <f t="shared" si="8"/>
        <v>80.36</v>
      </c>
      <c r="Q13" s="26">
        <f t="shared" si="9"/>
        <v>179.09</v>
      </c>
      <c r="R13" s="26">
        <f t="shared" si="10"/>
        <v>3133.89</v>
      </c>
      <c r="S13" s="93">
        <v>0.18</v>
      </c>
      <c r="T13" s="26">
        <f t="shared" si="11"/>
        <v>564.1</v>
      </c>
      <c r="U13" s="26">
        <f t="shared" si="12"/>
        <v>3697.99</v>
      </c>
      <c r="V13" s="26">
        <f t="shared" si="1"/>
        <v>306637.3308</v>
      </c>
      <c r="W13" s="26">
        <f>ROUND(F13*$S$23*$T$1,2)</f>
        <v>7.42</v>
      </c>
    </row>
    <row r="14" ht="15.15" spans="1:23">
      <c r="A14" s="26">
        <v>12</v>
      </c>
      <c r="B14" s="26" t="s">
        <v>79</v>
      </c>
      <c r="C14" s="26" t="s">
        <v>163</v>
      </c>
      <c r="D14" s="26" t="s">
        <v>185</v>
      </c>
      <c r="E14" s="26">
        <v>39</v>
      </c>
      <c r="F14" s="26">
        <v>35.2</v>
      </c>
      <c r="G14" s="26">
        <f t="shared" si="2"/>
        <v>1372.8</v>
      </c>
      <c r="H14" s="93">
        <v>0.01</v>
      </c>
      <c r="I14" s="93">
        <v>0.02</v>
      </c>
      <c r="J14" s="46">
        <v>0.025</v>
      </c>
      <c r="K14" s="26">
        <f t="shared" si="3"/>
        <v>1372.8</v>
      </c>
      <c r="L14" s="26">
        <f t="shared" si="4"/>
        <v>13.73</v>
      </c>
      <c r="M14" s="26">
        <f t="shared" si="5"/>
        <v>1359.07</v>
      </c>
      <c r="N14" s="26">
        <f t="shared" si="6"/>
        <v>27.18</v>
      </c>
      <c r="O14" s="26">
        <f t="shared" si="7"/>
        <v>1331.89</v>
      </c>
      <c r="P14" s="26">
        <f t="shared" si="8"/>
        <v>33.3</v>
      </c>
      <c r="Q14" s="26">
        <f t="shared" si="9"/>
        <v>74.21</v>
      </c>
      <c r="R14" s="26">
        <f t="shared" si="10"/>
        <v>1298.59</v>
      </c>
      <c r="S14" s="93">
        <v>0.18</v>
      </c>
      <c r="T14" s="26">
        <f t="shared" si="11"/>
        <v>233.75</v>
      </c>
      <c r="U14" s="26">
        <f t="shared" si="12"/>
        <v>1532.34</v>
      </c>
      <c r="V14" s="26">
        <f t="shared" si="1"/>
        <v>127061.6328</v>
      </c>
      <c r="W14" s="26">
        <f>ROUND(F14*$S$23*$T$1,2)</f>
        <v>2.92</v>
      </c>
    </row>
    <row r="15" ht="15.15" spans="1:23">
      <c r="A15" s="26">
        <v>13</v>
      </c>
      <c r="B15" s="26" t="s">
        <v>81</v>
      </c>
      <c r="C15" s="26" t="s">
        <v>163</v>
      </c>
      <c r="D15" s="26" t="s">
        <v>185</v>
      </c>
      <c r="E15" s="26">
        <v>70</v>
      </c>
      <c r="F15" s="26">
        <v>102.25</v>
      </c>
      <c r="G15" s="26">
        <f t="shared" si="2"/>
        <v>7157.5</v>
      </c>
      <c r="H15" s="93">
        <v>0.01</v>
      </c>
      <c r="I15" s="93">
        <v>0.02</v>
      </c>
      <c r="J15" s="46">
        <v>0.025</v>
      </c>
      <c r="K15" s="26">
        <f t="shared" si="3"/>
        <v>7157.5</v>
      </c>
      <c r="L15" s="26">
        <f t="shared" si="4"/>
        <v>71.58</v>
      </c>
      <c r="M15" s="26">
        <f t="shared" si="5"/>
        <v>7085.92</v>
      </c>
      <c r="N15" s="26">
        <f t="shared" si="6"/>
        <v>141.72</v>
      </c>
      <c r="O15" s="26">
        <f t="shared" si="7"/>
        <v>6944.2</v>
      </c>
      <c r="P15" s="26">
        <f t="shared" si="8"/>
        <v>173.61</v>
      </c>
      <c r="Q15" s="26">
        <f t="shared" si="9"/>
        <v>386.91</v>
      </c>
      <c r="R15" s="26">
        <f t="shared" si="10"/>
        <v>6770.59</v>
      </c>
      <c r="S15" s="93">
        <v>0.18</v>
      </c>
      <c r="T15" s="26">
        <f t="shared" si="11"/>
        <v>1218.71</v>
      </c>
      <c r="U15" s="26">
        <f t="shared" si="12"/>
        <v>7989.3</v>
      </c>
      <c r="V15" s="26">
        <f t="shared" si="1"/>
        <v>662472.756</v>
      </c>
      <c r="W15" s="26">
        <f>ROUND(F15*$S$23*$T$1,2)</f>
        <v>8.48</v>
      </c>
    </row>
    <row r="16" ht="15.15" spans="1:23">
      <c r="A16" s="26">
        <v>14</v>
      </c>
      <c r="B16" s="26" t="s">
        <v>83</v>
      </c>
      <c r="C16" s="26" t="s">
        <v>163</v>
      </c>
      <c r="D16" s="26" t="s">
        <v>185</v>
      </c>
      <c r="E16" s="26">
        <v>100</v>
      </c>
      <c r="F16" s="26">
        <v>125.23</v>
      </c>
      <c r="G16" s="26">
        <f t="shared" si="2"/>
        <v>12523</v>
      </c>
      <c r="H16" s="93">
        <v>0.01</v>
      </c>
      <c r="I16" s="93">
        <v>0.02</v>
      </c>
      <c r="J16" s="46">
        <v>0.025</v>
      </c>
      <c r="K16" s="26">
        <f t="shared" si="3"/>
        <v>12523</v>
      </c>
      <c r="L16" s="26">
        <f t="shared" si="4"/>
        <v>125.23</v>
      </c>
      <c r="M16" s="26">
        <f t="shared" si="5"/>
        <v>12397.77</v>
      </c>
      <c r="N16" s="26">
        <f t="shared" si="6"/>
        <v>247.96</v>
      </c>
      <c r="O16" s="26">
        <f t="shared" si="7"/>
        <v>12149.81</v>
      </c>
      <c r="P16" s="26">
        <f t="shared" si="8"/>
        <v>303.75</v>
      </c>
      <c r="Q16" s="26">
        <f t="shared" si="9"/>
        <v>676.94</v>
      </c>
      <c r="R16" s="26">
        <f t="shared" si="10"/>
        <v>11846.06</v>
      </c>
      <c r="S16" s="93">
        <v>0.18</v>
      </c>
      <c r="T16" s="26">
        <f t="shared" si="11"/>
        <v>2132.29</v>
      </c>
      <c r="U16" s="26">
        <f t="shared" si="12"/>
        <v>13978.35</v>
      </c>
      <c r="V16" s="26">
        <f t="shared" si="1"/>
        <v>1159084.782</v>
      </c>
      <c r="W16" s="26">
        <f>ROUND(F16*$S$23*$T$1,2)</f>
        <v>10.38</v>
      </c>
    </row>
    <row r="17" ht="15.15" spans="1:23">
      <c r="A17" s="26">
        <v>15</v>
      </c>
      <c r="B17" s="26" t="s">
        <v>85</v>
      </c>
      <c r="C17" s="26" t="s">
        <v>163</v>
      </c>
      <c r="D17" s="26" t="s">
        <v>185</v>
      </c>
      <c r="E17" s="26">
        <v>85</v>
      </c>
      <c r="F17" s="26">
        <v>65.48</v>
      </c>
      <c r="G17" s="26">
        <f t="shared" si="2"/>
        <v>5565.8</v>
      </c>
      <c r="H17" s="93">
        <v>0.01</v>
      </c>
      <c r="I17" s="93">
        <v>0.02</v>
      </c>
      <c r="J17" s="46">
        <v>0.025</v>
      </c>
      <c r="K17" s="26">
        <f t="shared" si="3"/>
        <v>5565.8</v>
      </c>
      <c r="L17" s="26">
        <f t="shared" si="4"/>
        <v>55.66</v>
      </c>
      <c r="M17" s="26">
        <f t="shared" si="5"/>
        <v>5510.14</v>
      </c>
      <c r="N17" s="26">
        <f t="shared" si="6"/>
        <v>110.2</v>
      </c>
      <c r="O17" s="26">
        <f t="shared" si="7"/>
        <v>5399.94</v>
      </c>
      <c r="P17" s="26">
        <f t="shared" si="8"/>
        <v>135</v>
      </c>
      <c r="Q17" s="26">
        <f t="shared" si="9"/>
        <v>300.86</v>
      </c>
      <c r="R17" s="26">
        <f t="shared" si="10"/>
        <v>5264.94</v>
      </c>
      <c r="S17" s="93">
        <v>0.18</v>
      </c>
      <c r="T17" s="26">
        <f t="shared" si="11"/>
        <v>947.69</v>
      </c>
      <c r="U17" s="26">
        <f t="shared" si="12"/>
        <v>6212.63</v>
      </c>
      <c r="V17" s="26">
        <f t="shared" si="1"/>
        <v>515151.2796</v>
      </c>
      <c r="W17" s="26">
        <f>ROUND(F17*$S$23*$T$1,2)</f>
        <v>5.43</v>
      </c>
    </row>
    <row r="18" ht="15.15" spans="1:23">
      <c r="A18" s="17"/>
      <c r="B18" s="94" t="s">
        <v>87</v>
      </c>
      <c r="C18" s="94"/>
      <c r="D18" s="94"/>
      <c r="E18" s="94"/>
      <c r="F18" s="94"/>
      <c r="G18" s="31">
        <f>SUM(G3:G17)</f>
        <v>71570.81</v>
      </c>
      <c r="H18" s="26"/>
      <c r="I18" s="26"/>
      <c r="J18" s="26"/>
      <c r="K18" s="26"/>
      <c r="L18" s="26"/>
      <c r="M18" s="26"/>
      <c r="N18" s="26"/>
      <c r="O18" s="26"/>
      <c r="P18" s="26"/>
      <c r="Q18" s="31">
        <f>SUM(Q3:Q17)</f>
        <v>3868.82</v>
      </c>
      <c r="R18" s="31">
        <f>SUM(R3:R17)</f>
        <v>67701.99</v>
      </c>
      <c r="S18" s="31"/>
      <c r="T18" s="31">
        <f>SUM(T3:T17)</f>
        <v>12186.37</v>
      </c>
      <c r="U18" s="50">
        <f t="shared" ref="U18:W18" si="13">SUM(U3:U17)</f>
        <v>79888.36</v>
      </c>
      <c r="V18" s="50">
        <f t="shared" si="13"/>
        <v>6624342.8112</v>
      </c>
      <c r="W18" s="50">
        <f t="shared" si="13"/>
        <v>199005.74</v>
      </c>
    </row>
    <row r="19" ht="15.15" spans="1:23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ht="15.15" spans="1:23">
      <c r="A20" s="17"/>
      <c r="B20" s="17"/>
      <c r="C20" s="17"/>
      <c r="D20" s="17"/>
      <c r="E20" s="17"/>
      <c r="F20" s="95" t="s">
        <v>206</v>
      </c>
      <c r="G20" s="95"/>
      <c r="H20" s="95"/>
      <c r="I20" s="95"/>
      <c r="J20" s="17"/>
      <c r="K20" s="95" t="s">
        <v>207</v>
      </c>
      <c r="L20" s="95"/>
      <c r="M20" s="95"/>
      <c r="N20" s="95"/>
      <c r="O20" s="17"/>
      <c r="P20" s="17"/>
      <c r="Q20" s="39" t="s">
        <v>195</v>
      </c>
      <c r="R20" s="40"/>
      <c r="S20" s="40"/>
      <c r="T20" s="41"/>
      <c r="U20" s="17"/>
      <c r="V20" s="17"/>
      <c r="W20" s="17"/>
    </row>
    <row r="21" ht="15.15" spans="1:23">
      <c r="A21" s="17"/>
      <c r="B21" s="17"/>
      <c r="C21" s="17"/>
      <c r="D21" s="17"/>
      <c r="E21" s="17"/>
      <c r="F21" s="32" t="s">
        <v>194</v>
      </c>
      <c r="G21" s="33"/>
      <c r="H21" s="96">
        <f>G18</f>
        <v>71570.81</v>
      </c>
      <c r="I21" s="96"/>
      <c r="J21" s="38"/>
      <c r="K21" s="32" t="s">
        <v>194</v>
      </c>
      <c r="L21" s="33"/>
      <c r="M21" s="96">
        <f>H21*$T$1</f>
        <v>5934651.5652</v>
      </c>
      <c r="N21" s="96"/>
      <c r="O21" s="17"/>
      <c r="P21" s="17"/>
      <c r="Q21" s="42">
        <v>1</v>
      </c>
      <c r="R21" s="42" t="s">
        <v>58</v>
      </c>
      <c r="S21" s="42">
        <v>2</v>
      </c>
      <c r="T21" s="42" t="s">
        <v>163</v>
      </c>
      <c r="U21" s="17"/>
      <c r="V21" s="70"/>
      <c r="W21" s="17"/>
    </row>
    <row r="22" ht="15.15" spans="1:23">
      <c r="A22" s="17"/>
      <c r="B22" s="17"/>
      <c r="C22" s="17"/>
      <c r="D22" s="17"/>
      <c r="E22" s="17"/>
      <c r="F22" s="32" t="s">
        <v>196</v>
      </c>
      <c r="G22" s="33"/>
      <c r="H22" s="96">
        <f>Q18</f>
        <v>3868.82</v>
      </c>
      <c r="I22" s="96"/>
      <c r="J22" s="17"/>
      <c r="K22" s="32" t="s">
        <v>196</v>
      </c>
      <c r="L22" s="33"/>
      <c r="M22" s="96">
        <f t="shared" ref="M22:M25" si="14">H22*$T$1</f>
        <v>320802.5544</v>
      </c>
      <c r="N22" s="96"/>
      <c r="O22" s="17"/>
      <c r="P22" s="17"/>
      <c r="Q22" s="26">
        <v>1</v>
      </c>
      <c r="R22" s="26" t="s">
        <v>58</v>
      </c>
      <c r="S22" s="26">
        <v>2.5</v>
      </c>
      <c r="T22" s="26" t="s">
        <v>176</v>
      </c>
      <c r="U22" s="17"/>
      <c r="V22" s="70"/>
      <c r="W22" s="17"/>
    </row>
    <row r="23" ht="15.15" spans="1:23">
      <c r="A23" s="17"/>
      <c r="B23" s="17"/>
      <c r="C23" s="17"/>
      <c r="D23" s="17"/>
      <c r="E23" s="17"/>
      <c r="F23" s="32" t="s">
        <v>197</v>
      </c>
      <c r="G23" s="33"/>
      <c r="H23" s="96">
        <f>R18</f>
        <v>67701.99</v>
      </c>
      <c r="I23" s="96"/>
      <c r="J23" s="17"/>
      <c r="K23" s="32" t="s">
        <v>197</v>
      </c>
      <c r="L23" s="33"/>
      <c r="M23" s="96">
        <f t="shared" si="14"/>
        <v>5613849.0108</v>
      </c>
      <c r="N23" s="96"/>
      <c r="O23" s="17"/>
      <c r="P23" s="17"/>
      <c r="Q23" s="26">
        <v>1</v>
      </c>
      <c r="R23" s="26" t="s">
        <v>163</v>
      </c>
      <c r="S23" s="26">
        <v>0.001</v>
      </c>
      <c r="T23" s="26" t="s">
        <v>185</v>
      </c>
      <c r="U23" s="17"/>
      <c r="V23" s="70"/>
      <c r="W23" s="17"/>
    </row>
    <row r="24" ht="15.15" spans="1:23">
      <c r="A24" s="17"/>
      <c r="B24" s="17"/>
      <c r="C24" s="17"/>
      <c r="D24" s="17"/>
      <c r="E24" s="17"/>
      <c r="F24" s="32" t="s">
        <v>198</v>
      </c>
      <c r="G24" s="33"/>
      <c r="H24" s="96">
        <f>T18</f>
        <v>12186.37</v>
      </c>
      <c r="I24" s="96"/>
      <c r="J24" s="17"/>
      <c r="K24" s="32" t="s">
        <v>198</v>
      </c>
      <c r="L24" s="33"/>
      <c r="M24" s="96">
        <f t="shared" si="14"/>
        <v>1010493.8004</v>
      </c>
      <c r="N24" s="96"/>
      <c r="O24" s="17"/>
      <c r="P24" s="17"/>
      <c r="Q24" s="17"/>
      <c r="R24" s="17"/>
      <c r="S24" s="17"/>
      <c r="T24" s="17"/>
      <c r="U24" s="17"/>
      <c r="V24" s="70"/>
      <c r="W24" s="17"/>
    </row>
    <row r="25" ht="15.15" spans="1:23">
      <c r="A25" s="17"/>
      <c r="B25" s="17"/>
      <c r="C25" s="17"/>
      <c r="D25" s="17"/>
      <c r="E25" s="17"/>
      <c r="F25" s="32" t="s">
        <v>199</v>
      </c>
      <c r="G25" s="33"/>
      <c r="H25" s="97">
        <f>H23+H24</f>
        <v>79888.36</v>
      </c>
      <c r="I25" s="97"/>
      <c r="J25" s="17"/>
      <c r="K25" s="32" t="s">
        <v>199</v>
      </c>
      <c r="L25" s="33"/>
      <c r="M25" s="97">
        <f t="shared" si="14"/>
        <v>6624342.8112</v>
      </c>
      <c r="N25" s="97"/>
      <c r="O25" s="17"/>
      <c r="P25" s="17"/>
      <c r="Q25" s="17"/>
      <c r="R25" s="17"/>
      <c r="S25" s="17"/>
      <c r="T25" s="17"/>
      <c r="U25" s="17"/>
      <c r="V25" s="70"/>
      <c r="W25" s="17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25"/>
  <sheetViews>
    <sheetView topLeftCell="A10" workbookViewId="0">
      <selection activeCell="AT23" sqref="AT23:AU23"/>
    </sheetView>
  </sheetViews>
  <sheetFormatPr defaultColWidth="9" defaultRowHeight="14.4"/>
  <cols>
    <col min="1" max="1" width="24.5740740740741" customWidth="1"/>
    <col min="2" max="2" width="26.8518518518519" customWidth="1"/>
    <col min="3" max="3" width="19.287037037037" customWidth="1"/>
    <col min="4" max="4" width="62.712962962963" customWidth="1"/>
    <col min="5" max="5" width="10.4259259259259" customWidth="1"/>
    <col min="6" max="6" width="8.28703703703704" customWidth="1"/>
    <col min="7" max="7" width="10.1388888888889" customWidth="1"/>
    <col min="8" max="8" width="11.8518518518519" customWidth="1"/>
    <col min="9" max="9" width="6.42592592592593" customWidth="1"/>
    <col min="10" max="10" width="6.13888888888889" customWidth="1"/>
    <col min="29" max="29" width="9" customWidth="1"/>
    <col min="37" max="37" width="7.13888888888889" customWidth="1"/>
    <col min="38" max="38" width="6.42592592592593" customWidth="1"/>
    <col min="40" max="40" width="11.8518518518519" customWidth="1"/>
    <col min="41" max="41" width="23.287037037037" customWidth="1"/>
    <col min="42" max="42" width="9.42592592592593" customWidth="1"/>
    <col min="43" max="43" width="11.8518518518519" customWidth="1"/>
    <col min="44" max="44" width="15.287037037037" customWidth="1"/>
    <col min="45" max="45" width="20.287037037037" customWidth="1"/>
    <col min="57" max="57" width="12.5740740740741" customWidth="1"/>
    <col min="58" max="58" width="21.712962962963" customWidth="1"/>
    <col min="59" max="59" width="30.5740740740741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0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130</v>
      </c>
      <c r="AQ22" s="4" t="s">
        <v>128</v>
      </c>
      <c r="AR22" s="53" t="s">
        <v>131</v>
      </c>
      <c r="AS22" s="53" t="s">
        <v>132</v>
      </c>
      <c r="AT22" s="83" t="s">
        <v>133</v>
      </c>
      <c r="AU22" s="8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140</v>
      </c>
      <c r="BD22" s="53" t="s">
        <v>141</v>
      </c>
      <c r="BE22" s="83" t="s">
        <v>142</v>
      </c>
      <c r="BF22" s="83" t="s">
        <v>143</v>
      </c>
      <c r="BG22" s="83" t="s">
        <v>144</v>
      </c>
      <c r="BH22" s="86"/>
    </row>
    <row r="23" ht="15.15" spans="1:60">
      <c r="A23" s="26">
        <v>1</v>
      </c>
      <c r="B23" s="26" t="s">
        <v>210</v>
      </c>
      <c r="C23" s="26" t="s">
        <v>57</v>
      </c>
      <c r="D23" s="26" t="s">
        <v>58</v>
      </c>
      <c r="E23" s="26" t="s">
        <v>58</v>
      </c>
      <c r="F23" s="61">
        <v>25</v>
      </c>
      <c r="G23" s="45">
        <v>250.25</v>
      </c>
      <c r="H23" s="45">
        <f>F23*G23</f>
        <v>6256.25</v>
      </c>
      <c r="I23" s="27">
        <v>2.21</v>
      </c>
      <c r="J23" s="27">
        <v>1.79</v>
      </c>
      <c r="K23" s="27">
        <v>2.5</v>
      </c>
      <c r="L23" s="45">
        <f>H23</f>
        <v>6256.25</v>
      </c>
      <c r="M23" s="45">
        <f>ROUND(L23*I23%,2)</f>
        <v>138.26</v>
      </c>
      <c r="N23" s="45">
        <f>H23-M23</f>
        <v>6117.99</v>
      </c>
      <c r="O23" s="45">
        <f>ROUND(N23*J23%,2)</f>
        <v>109.51</v>
      </c>
      <c r="P23" s="45">
        <f>ROUND(N23-O23,2)</f>
        <v>6008.48</v>
      </c>
      <c r="Q23" s="45">
        <f>ROUND(P23*K23%,2)</f>
        <v>150.21</v>
      </c>
      <c r="R23" s="45">
        <f>M23+O23+Q23</f>
        <v>397.98</v>
      </c>
      <c r="S23" s="27">
        <f>(H23-R23)</f>
        <v>5858.27</v>
      </c>
      <c r="T23" s="45" t="s">
        <v>146</v>
      </c>
      <c r="U23" s="46">
        <v>0.18</v>
      </c>
      <c r="V23" s="45">
        <f>IF($C$21=1,ROUND(((S23*U23)/2),2),0)</f>
        <v>527.24</v>
      </c>
      <c r="W23" s="45">
        <f>IF($C$21=1,ROUND(((S23*U23)/2),2),0)</f>
        <v>527.24</v>
      </c>
      <c r="X23" s="27">
        <f>IF($C$21=2,ROUND(((S23*U23)),2),0)</f>
        <v>0</v>
      </c>
      <c r="Y23" s="45">
        <f>V23+W23+X23</f>
        <v>1054.48</v>
      </c>
      <c r="Z23" s="45">
        <f t="shared" ref="Z23" si="1">S23+Y23</f>
        <v>6912.75</v>
      </c>
      <c r="AA23" s="45">
        <v>120</v>
      </c>
      <c r="AB23" s="45">
        <f>IF($P$21=1,(S23/$S$24)*$E$35,AA23/$AA$24*$E$35)</f>
        <v>0</v>
      </c>
      <c r="AC23" s="45"/>
      <c r="AD23" s="45">
        <f>IF($P$21=1,(S23/$S$24)*$E$37,AA23/$AA$24*$E$37)</f>
        <v>0</v>
      </c>
      <c r="AE23" s="45">
        <f>IF($P$21=1,(S23/$S$24)*$E$37,AA23/$AA$24*$E$37)</f>
        <v>0</v>
      </c>
      <c r="AF23" s="45">
        <f t="shared" ref="AF23" si="2">S23*$M$21</f>
        <v>5858.27</v>
      </c>
      <c r="AG23" s="45">
        <f t="shared" ref="AG23" si="3">IF($C$21=3,0,AD23+AE23)</f>
        <v>0</v>
      </c>
      <c r="AH23" s="45">
        <f t="shared" ref="AH23" si="4">IF($C$21=3,AB23+AD23+AE23,0)</f>
        <v>0</v>
      </c>
      <c r="AI23" s="61">
        <v>1</v>
      </c>
      <c r="AJ23" s="45">
        <f t="shared" ref="AJ23" si="5">F23/AI23</f>
        <v>25</v>
      </c>
      <c r="AK23" s="45">
        <f>AF23/AJ23</f>
        <v>234.3308</v>
      </c>
      <c r="AL23" s="45">
        <f>AG23/AJ23</f>
        <v>0</v>
      </c>
      <c r="AM23" s="45">
        <f>AH23/AJ23</f>
        <v>0</v>
      </c>
      <c r="AN23" s="45" t="s">
        <v>58</v>
      </c>
      <c r="AO23" s="45">
        <f>AK23+AL23+AM23</f>
        <v>234.3308</v>
      </c>
      <c r="AP23" s="8" t="s">
        <v>31</v>
      </c>
      <c r="AQ23" s="8" t="s">
        <v>58</v>
      </c>
      <c r="AR23" t="s">
        <v>147</v>
      </c>
      <c r="AS23" t="s">
        <v>148</v>
      </c>
      <c r="AT23" s="10">
        <f>AJ23</f>
        <v>25</v>
      </c>
      <c r="AU23" s="10">
        <f>AO23</f>
        <v>234.3308</v>
      </c>
      <c r="AV23" s="10">
        <f>AR23+AT23</f>
        <v>1177.6</v>
      </c>
      <c r="AW23" s="8">
        <f>ROUND(((AR23*AS23)+(AT23*AU23))/(AR23+AT23),5)</f>
        <v>140.32694</v>
      </c>
      <c r="AX23" s="56"/>
      <c r="AY23" s="56" t="s">
        <v>149</v>
      </c>
      <c r="AZ23" s="84" t="s">
        <v>29</v>
      </c>
      <c r="BA23" s="56"/>
      <c r="BB23" s="56"/>
      <c r="BC23" s="85"/>
      <c r="BD23" s="56"/>
      <c r="BE23" s="8"/>
      <c r="BF23" s="8"/>
      <c r="BG23" s="8"/>
      <c r="BH23" s="87"/>
    </row>
    <row r="24" ht="15.15" spans="1:42">
      <c r="A24" s="17"/>
      <c r="B24" s="67"/>
      <c r="C24" s="67"/>
      <c r="D24" s="29" t="s">
        <v>87</v>
      </c>
      <c r="E24" s="29"/>
      <c r="F24" s="29"/>
      <c r="G24" s="30"/>
      <c r="H24" s="31">
        <f>SUM(H23:H23)</f>
        <v>6256.25</v>
      </c>
      <c r="I24" s="26"/>
      <c r="J24" s="26"/>
      <c r="K24" s="26"/>
      <c r="L24" s="26"/>
      <c r="M24" s="26"/>
      <c r="N24" s="26"/>
      <c r="O24" s="26"/>
      <c r="P24" s="26"/>
      <c r="Q24" s="26"/>
      <c r="R24" s="31">
        <f>SUM(R23:R23)</f>
        <v>397.98</v>
      </c>
      <c r="S24" s="47">
        <f>SUM(S23:S23)</f>
        <v>5858.27</v>
      </c>
      <c r="T24" s="31"/>
      <c r="U24" s="31"/>
      <c r="V24" s="75">
        <f t="shared" ref="V24:AB24" si="6">SUM(V23:V23)</f>
        <v>527.24</v>
      </c>
      <c r="W24" s="75">
        <f t="shared" si="6"/>
        <v>527.24</v>
      </c>
      <c r="X24" s="75">
        <f t="shared" si="6"/>
        <v>0</v>
      </c>
      <c r="Y24" s="31">
        <f t="shared" si="6"/>
        <v>1054.48</v>
      </c>
      <c r="Z24" s="50">
        <f t="shared" si="6"/>
        <v>6912.75</v>
      </c>
      <c r="AA24" s="51">
        <f t="shared" si="6"/>
        <v>120</v>
      </c>
      <c r="AB24" s="51">
        <f t="shared" si="6"/>
        <v>0</v>
      </c>
      <c r="AC24" s="50"/>
      <c r="AD24" s="51">
        <f>SUM(AD23:AD23)</f>
        <v>0</v>
      </c>
      <c r="AE24" s="51">
        <f>SUM(AE23:AE23)</f>
        <v>0</v>
      </c>
      <c r="AF24" s="51">
        <f>SUM(AF23:AF23)</f>
        <v>5858.27</v>
      </c>
      <c r="AG24" s="51">
        <f>SUM(AG23:AG23)</f>
        <v>0</v>
      </c>
      <c r="AH24" s="51">
        <f>SUM(AH23:AH23)</f>
        <v>0</v>
      </c>
      <c r="AI24" s="50"/>
      <c r="AJ24" s="50"/>
      <c r="AK24" s="50"/>
      <c r="AL24" s="50"/>
      <c r="AM24" s="50"/>
      <c r="AN24" s="50"/>
      <c r="AO24" s="50"/>
      <c r="AP24" s="17"/>
    </row>
    <row r="25" spans="1:42">
      <c r="A25" s="17"/>
      <c r="B25" s="67"/>
      <c r="C25" s="6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Z13" workbookViewId="0">
      <selection activeCell="AP24" sqref="AP24"/>
    </sheetView>
  </sheetViews>
  <sheetFormatPr defaultColWidth="9" defaultRowHeight="14.4"/>
  <cols>
    <col min="2" max="2" width="26.8518518518519" customWidth="1"/>
    <col min="3" max="3" width="19.287037037037" customWidth="1"/>
    <col min="4" max="4" width="62.712962962963" customWidth="1"/>
    <col min="5" max="5" width="10.4259259259259" customWidth="1"/>
    <col min="6" max="6" width="8.28703703703704" customWidth="1"/>
    <col min="7" max="7" width="10.1388888888889" customWidth="1"/>
    <col min="8" max="8" width="11.8518518518519" customWidth="1"/>
    <col min="26" max="26" width="10.287037037037" customWidth="1"/>
    <col min="27" max="27" width="12.8518518518519" customWidth="1"/>
    <col min="28" max="28" width="8.71296296296296" customWidth="1"/>
    <col min="48" max="48" width="13.8518518518519" customWidth="1"/>
    <col min="57" max="57" width="12.5740740740741" customWidth="1"/>
    <col min="58" max="58" width="21.712962962963" customWidth="1"/>
    <col min="59" max="59" width="30.5740740740741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7">
      <c r="A23" s="26">
        <v>1</v>
      </c>
      <c r="B23" s="84" t="s">
        <v>28</v>
      </c>
      <c r="C23" s="26" t="s">
        <v>57</v>
      </c>
      <c r="D23" s="26" t="s">
        <v>58</v>
      </c>
      <c r="E23" s="26" t="s">
        <v>58</v>
      </c>
      <c r="F23" s="27">
        <v>2</v>
      </c>
      <c r="G23" s="27">
        <v>250.25</v>
      </c>
      <c r="H23" s="27">
        <f>F23*G23</f>
        <v>500.5</v>
      </c>
      <c r="I23" s="27">
        <v>2.21</v>
      </c>
      <c r="J23" s="27">
        <v>1.79</v>
      </c>
      <c r="K23" s="27">
        <v>2.5</v>
      </c>
      <c r="L23" s="27">
        <f>H23</f>
        <v>500.5</v>
      </c>
      <c r="M23" s="27">
        <f>ROUND(L23*I23%,2)</f>
        <v>11.06</v>
      </c>
      <c r="N23" s="27">
        <f>H23-M23</f>
        <v>489.44</v>
      </c>
      <c r="O23" s="27">
        <f>ROUND(N23*J23%,2)</f>
        <v>8.76</v>
      </c>
      <c r="P23" s="27">
        <f>ROUND(N23-O23,2)</f>
        <v>480.68</v>
      </c>
      <c r="Q23" s="27">
        <f>ROUND(P23*K23%,2)</f>
        <v>12.02</v>
      </c>
      <c r="R23" s="27">
        <f>M23+O23+Q23</f>
        <v>31.84</v>
      </c>
      <c r="S23" s="27">
        <f>(H23-R23)</f>
        <v>468.66</v>
      </c>
      <c r="T23" s="27" t="s">
        <v>146</v>
      </c>
      <c r="U23" s="27">
        <v>0.18</v>
      </c>
      <c r="V23" s="27">
        <f>IF($C$21=1,ROUND(((S23*U23)/2),2),0)</f>
        <v>42.18</v>
      </c>
      <c r="W23" s="27">
        <f>IF($C$21=1,ROUND(((S23*U23)/2),2),0)</f>
        <v>42.18</v>
      </c>
      <c r="X23" s="27">
        <f>IF($C$21=2,ROUND(((S23*U23)),2),0)</f>
        <v>0</v>
      </c>
      <c r="Y23" s="27">
        <f>V23+W23+X23</f>
        <v>84.36</v>
      </c>
      <c r="Z23" s="27">
        <f t="shared" ref="Z23:Z24" si="1">S23+Y23</f>
        <v>553.02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468.66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234.33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234.33</v>
      </c>
      <c r="AP23" s="54" t="s">
        <v>217</v>
      </c>
      <c r="AQ23" s="54" t="s">
        <v>58</v>
      </c>
      <c r="AR23" t="s">
        <v>218</v>
      </c>
      <c r="AS23" t="s">
        <v>219</v>
      </c>
      <c r="AT23" s="54">
        <f>AJ23</f>
        <v>2</v>
      </c>
      <c r="AU23" s="54">
        <f>AO23</f>
        <v>234.33</v>
      </c>
      <c r="AV23" s="54">
        <f>AR23+AT23</f>
        <v>2</v>
      </c>
      <c r="AW23" s="54">
        <f>ROUND(((AR23*AS23)+(AT23*AU23))/(AR23+AT23),5)</f>
        <v>234.33</v>
      </c>
      <c r="AX23" s="79"/>
      <c r="AY23" s="79" t="s">
        <v>149</v>
      </c>
      <c r="AZ23" s="81" t="s">
        <v>29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31</v>
      </c>
      <c r="BJ23" t="s">
        <v>220</v>
      </c>
      <c r="BK23" t="s">
        <v>221</v>
      </c>
      <c r="BL23" s="54">
        <f>ROUND((((AT23*AW23)+(BK23*BJ23))/(AT23+BK23)),5)</f>
        <v>168.7727</v>
      </c>
      <c r="BM23" s="60">
        <f>BK23+AT23</f>
        <v>2264.6</v>
      </c>
      <c r="BN23" s="60"/>
      <c r="BO23" s="60"/>
    </row>
    <row r="24" ht="15.15" spans="1:67">
      <c r="A24" s="26">
        <v>2</v>
      </c>
      <c r="B24" s="90" t="s">
        <v>37</v>
      </c>
      <c r="C24" s="26" t="s">
        <v>60</v>
      </c>
      <c r="D24" s="26" t="s">
        <v>58</v>
      </c>
      <c r="E24" s="26" t="s">
        <v>58</v>
      </c>
      <c r="F24" s="27">
        <v>3</v>
      </c>
      <c r="G24" s="27">
        <v>130.25</v>
      </c>
      <c r="H24" s="27">
        <f t="shared" ref="H24" si="6">F24*G24</f>
        <v>390.75</v>
      </c>
      <c r="I24" s="27">
        <v>1.25</v>
      </c>
      <c r="J24" s="27">
        <v>1.68</v>
      </c>
      <c r="K24" s="27">
        <v>2.5</v>
      </c>
      <c r="L24" s="27">
        <f>H24</f>
        <v>390.75</v>
      </c>
      <c r="M24" s="27">
        <f>ROUND(L24*I24%,2)</f>
        <v>4.88</v>
      </c>
      <c r="N24" s="27">
        <f t="shared" ref="N24" si="7">H24-M24</f>
        <v>385.87</v>
      </c>
      <c r="O24" s="27">
        <f t="shared" ref="O24" si="8">ROUND(N24*J24%,2)</f>
        <v>6.48</v>
      </c>
      <c r="P24" s="27">
        <f t="shared" ref="P24" si="9">ROUND(N24-O24,2)</f>
        <v>379.39</v>
      </c>
      <c r="Q24" s="27">
        <f t="shared" ref="Q24" si="10">ROUND(P24*K24%,2)</f>
        <v>9.48</v>
      </c>
      <c r="R24" s="27">
        <f t="shared" ref="R24" si="11">M24+O24+Q24</f>
        <v>20.84</v>
      </c>
      <c r="S24" s="27">
        <f t="shared" ref="S24" si="12">(H24-R24)</f>
        <v>369.91</v>
      </c>
      <c r="T24" s="27" t="s">
        <v>146</v>
      </c>
      <c r="U24" s="27">
        <v>0.18</v>
      </c>
      <c r="V24" s="27">
        <f t="shared" ref="V24" si="13">IF($C$21=1,ROUND(((S24*U24)/2),2),0)</f>
        <v>33.29</v>
      </c>
      <c r="W24" s="27">
        <f t="shared" ref="W24" si="14">IF($C$21=1,ROUND(((S24*U24)/2),2),0)</f>
        <v>33.29</v>
      </c>
      <c r="X24" s="27">
        <f t="shared" ref="X24" si="15">IF($C$21=2,ROUND(((S24*U24)),2),0)</f>
        <v>0</v>
      </c>
      <c r="Y24" s="27">
        <f t="shared" ref="Y24" si="16">V24+W24+X24</f>
        <v>66.58</v>
      </c>
      <c r="Z24" s="27">
        <f t="shared" si="1"/>
        <v>436.49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369.91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7">AF24/AJ24</f>
        <v>123.303333333333</v>
      </c>
      <c r="AL24" s="27">
        <f t="shared" ref="AL24" si="18">AG24/AJ24</f>
        <v>0</v>
      </c>
      <c r="AM24" s="27">
        <f t="shared" ref="AM24" si="19">AH24/AJ24</f>
        <v>0</v>
      </c>
      <c r="AN24" s="27" t="s">
        <v>58</v>
      </c>
      <c r="AO24" s="27">
        <f t="shared" ref="AO24" si="20">AK24+AL24+AM24</f>
        <v>123.303333333333</v>
      </c>
      <c r="AP24" s="54" t="s">
        <v>217</v>
      </c>
      <c r="AQ24" s="54" t="s">
        <v>58</v>
      </c>
      <c r="AR24" t="s">
        <v>218</v>
      </c>
      <c r="AS24" t="s">
        <v>222</v>
      </c>
      <c r="AT24" s="54">
        <f t="shared" ref="AT24" si="21">AJ24</f>
        <v>3</v>
      </c>
      <c r="AU24" s="54">
        <f>AO24</f>
        <v>123.303333333333</v>
      </c>
      <c r="AV24" s="54">
        <f t="shared" ref="AV24" si="22">AR24+AT24</f>
        <v>3</v>
      </c>
      <c r="AW24" s="54">
        <f>ROUND(((AR24*AS24)+(AT24*AU24))/(AR24+AT24),5)</f>
        <v>123.30333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31</v>
      </c>
      <c r="BJ24" t="s">
        <v>224</v>
      </c>
      <c r="BK24" t="s">
        <v>225</v>
      </c>
      <c r="BL24" s="54">
        <f t="shared" ref="BL24" si="23">ROUND((((AT24*AW24)+(BK24*BJ24))/(AT24+BK24)),5)</f>
        <v>100.82133</v>
      </c>
      <c r="BM24" s="60">
        <f t="shared" ref="BM24" si="24">BK24+AT24</f>
        <v>8700</v>
      </c>
      <c r="BN24" s="60"/>
      <c r="BO24" s="60"/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891.25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52.68</v>
      </c>
      <c r="S25" s="47">
        <f>SUM(S23:S24)</f>
        <v>838.57</v>
      </c>
      <c r="T25" s="31"/>
      <c r="U25" s="31"/>
      <c r="V25" s="75">
        <f t="shared" ref="V25:AB25" si="25">SUM(V23:V24)</f>
        <v>75.47</v>
      </c>
      <c r="W25" s="75">
        <f t="shared" si="25"/>
        <v>75.47</v>
      </c>
      <c r="X25" s="75">
        <f t="shared" si="25"/>
        <v>0</v>
      </c>
      <c r="Y25" s="31">
        <f t="shared" si="25"/>
        <v>150.94</v>
      </c>
      <c r="Z25" s="50">
        <f t="shared" si="25"/>
        <v>989.51</v>
      </c>
      <c r="AA25" s="51">
        <f t="shared" si="25"/>
        <v>320</v>
      </c>
      <c r="AB25" s="51">
        <f t="shared" si="25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838.57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6" spans="1:42">
      <c r="A26" s="17"/>
      <c r="B26" s="67"/>
      <c r="C26" s="6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</row>
  </sheetData>
  <mergeCells count="3">
    <mergeCell ref="A1:Z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topLeftCell="AM19" workbookViewId="0">
      <selection activeCell="AW28" sqref="AW28"/>
    </sheetView>
  </sheetViews>
  <sheetFormatPr defaultColWidth="9" defaultRowHeight="14.4"/>
  <cols>
    <col min="2" max="2" width="19.712962962963" customWidth="1"/>
    <col min="3" max="3" width="19.287037037037" customWidth="1"/>
    <col min="4" max="4" width="62.712962962963" customWidth="1"/>
    <col min="5" max="5" width="10.4259259259259" customWidth="1"/>
    <col min="6" max="6" width="8.28703703703704" customWidth="1"/>
    <col min="8" max="8" width="11.8518518518519" customWidth="1"/>
    <col min="10" max="10" width="6.13888888888889" customWidth="1"/>
    <col min="11" max="11" width="6.28703703703704" customWidth="1"/>
    <col min="12" max="12" width="13.8518518518519" customWidth="1"/>
    <col min="42" max="42" width="9.42592592592593" customWidth="1"/>
    <col min="43" max="43" width="11.8518518518519" customWidth="1"/>
    <col min="44" max="44" width="15.287037037037" customWidth="1"/>
    <col min="45" max="45" width="20.287037037037" customWidth="1"/>
    <col min="46" max="46" width="11.4259259259259" customWidth="1"/>
    <col min="47" max="47" width="16.287037037037" customWidth="1"/>
    <col min="48" max="48" width="13.8518518518519" customWidth="1"/>
    <col min="49" max="49" width="18.8518518518519" customWidth="1"/>
    <col min="51" max="51" width="21.712962962963" customWidth="1"/>
    <col min="52" max="52" width="16" customWidth="1"/>
    <col min="53" max="53" width="14.287037037037" customWidth="1"/>
    <col min="54" max="54" width="12.4259259259259" customWidth="1"/>
    <col min="55" max="55" width="12.5740740740741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6">
      <c r="A23" s="26">
        <v>1</v>
      </c>
      <c r="B23" s="26" t="s">
        <v>226</v>
      </c>
      <c r="C23" s="26" t="s">
        <v>57</v>
      </c>
      <c r="D23" s="26" t="s">
        <v>58</v>
      </c>
      <c r="E23" s="26" t="s">
        <v>58</v>
      </c>
      <c r="F23" s="27">
        <v>2</v>
      </c>
      <c r="G23" t="s">
        <v>227</v>
      </c>
      <c r="H23" s="27">
        <f>F23*G23</f>
        <v>1048</v>
      </c>
      <c r="I23" t="s">
        <v>228</v>
      </c>
      <c r="J23" s="27">
        <v>1.79</v>
      </c>
      <c r="K23" s="27">
        <v>2.5</v>
      </c>
      <c r="L23" s="27">
        <f>H23</f>
        <v>1048</v>
      </c>
      <c r="M23" s="27">
        <f>ROUND(L23*I23%,2)</f>
        <v>20.96</v>
      </c>
      <c r="N23" s="27">
        <f>H23-M23</f>
        <v>1027.04</v>
      </c>
      <c r="O23" s="27">
        <f>ROUND(N23*J23%,2)</f>
        <v>18.38</v>
      </c>
      <c r="P23" s="27">
        <f>ROUND(N23-O23,2)</f>
        <v>1008.66</v>
      </c>
      <c r="Q23" s="27">
        <f>ROUND(P23*K23%,2)</f>
        <v>25.22</v>
      </c>
      <c r="R23" s="27">
        <f>M23+O23+Q23</f>
        <v>64.56</v>
      </c>
      <c r="S23" s="27">
        <f>(H23-R23)</f>
        <v>983.44</v>
      </c>
      <c r="T23" s="27" t="s">
        <v>146</v>
      </c>
      <c r="U23" s="27">
        <v>0.18</v>
      </c>
      <c r="V23" s="27">
        <f>IF($C$21=1,ROUND(((S23*U23)/2),2),0)</f>
        <v>88.51</v>
      </c>
      <c r="W23" s="27">
        <f>IF($C$21=1,ROUND(((S23*U23)/2),2),0)</f>
        <v>88.51</v>
      </c>
      <c r="X23" s="27">
        <f>IF($C$21=2,ROUND(((S23*U23)),2),0)</f>
        <v>0</v>
      </c>
      <c r="Y23" s="27">
        <f>V23+W23+X23</f>
        <v>177.02</v>
      </c>
      <c r="Z23" s="27">
        <f t="shared" ref="Z23:Z24" si="1">S23+Y23</f>
        <v>1160.46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983.44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491.72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491.72</v>
      </c>
      <c r="AP23" s="54" t="s">
        <v>217</v>
      </c>
      <c r="AQ23" s="54" t="s">
        <v>58</v>
      </c>
      <c r="AR23" t="s">
        <v>229</v>
      </c>
      <c r="AS23" t="s">
        <v>230</v>
      </c>
      <c r="AT23" s="54">
        <f>AJ23</f>
        <v>2</v>
      </c>
      <c r="AU23" s="54">
        <f>AO23</f>
        <v>491.72</v>
      </c>
      <c r="AV23" s="54">
        <f>AR23+AT23</f>
        <v>13336</v>
      </c>
      <c r="AW23" s="54">
        <f>ROUND(((AR23*AS23)+(AT23*AU23))/(AR23+AT23),5)</f>
        <v>513.37246</v>
      </c>
      <c r="AX23" s="79"/>
      <c r="AY23" s="79" t="s">
        <v>149</v>
      </c>
      <c r="AZ23" s="92" t="s">
        <v>45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31</v>
      </c>
      <c r="BJ23" t="s">
        <v>231</v>
      </c>
      <c r="BK23" t="s">
        <v>232</v>
      </c>
      <c r="BL23" s="54">
        <f>ROUND((((AT23*AW23)+(BK23*BJ23))/(AT23+BK23)),5)</f>
        <v>513.48331</v>
      </c>
      <c r="BM23" s="60">
        <f>BK23+AT23</f>
        <v>141</v>
      </c>
      <c r="BN23" s="60"/>
    </row>
    <row r="24" ht="15.15" spans="1:66">
      <c r="A24" s="26">
        <v>3</v>
      </c>
      <c r="B24" s="26" t="s">
        <v>233</v>
      </c>
      <c r="C24" s="26" t="s">
        <v>62</v>
      </c>
      <c r="D24" s="26" t="s">
        <v>58</v>
      </c>
      <c r="E24" s="26" t="s">
        <v>58</v>
      </c>
      <c r="F24" s="27">
        <v>3</v>
      </c>
      <c r="G24" t="s">
        <v>234</v>
      </c>
      <c r="H24" s="27">
        <f>F24*G24</f>
        <v>696</v>
      </c>
      <c r="I24" t="s">
        <v>235</v>
      </c>
      <c r="J24" s="27">
        <v>0.25</v>
      </c>
      <c r="K24" s="27">
        <v>2.5</v>
      </c>
      <c r="L24" s="27">
        <f>H24</f>
        <v>696</v>
      </c>
      <c r="M24" s="27">
        <f>ROUND(L24*I24%,2)</f>
        <v>16.15</v>
      </c>
      <c r="N24" s="27">
        <f t="shared" ref="N24" si="6">H24-M24</f>
        <v>679.85</v>
      </c>
      <c r="O24" s="27">
        <f t="shared" ref="O24" si="7">ROUND(N24*J24%,2)</f>
        <v>1.7</v>
      </c>
      <c r="P24" s="27">
        <f t="shared" ref="P24" si="8">ROUND(N24-O24,2)</f>
        <v>678.15</v>
      </c>
      <c r="Q24" s="27">
        <f t="shared" ref="Q24" si="9">ROUND(P24*K24%,2)</f>
        <v>16.95</v>
      </c>
      <c r="R24" s="27">
        <f t="shared" ref="R24" si="10">M24+O24+Q24</f>
        <v>34.8</v>
      </c>
      <c r="S24" s="27">
        <f t="shared" ref="S24" si="11">(H24-R24)</f>
        <v>661.2</v>
      </c>
      <c r="T24" s="27" t="s">
        <v>146</v>
      </c>
      <c r="U24" s="27">
        <v>0.18</v>
      </c>
      <c r="V24" s="27">
        <f t="shared" ref="V24" si="12">IF($C$21=1,ROUND(((S24*U24)/2),2),0)</f>
        <v>59.51</v>
      </c>
      <c r="W24" s="27">
        <f t="shared" ref="W24" si="13">IF($C$21=1,ROUND(((S24*U24)/2),2),0)</f>
        <v>59.51</v>
      </c>
      <c r="X24" s="27">
        <f t="shared" ref="X24" si="14">IF($C$21=2,ROUND(((S24*U24)),2),0)</f>
        <v>0</v>
      </c>
      <c r="Y24" s="27">
        <f t="shared" ref="Y24" si="15">V24+W24+X24</f>
        <v>119.02</v>
      </c>
      <c r="Z24" s="27">
        <f t="shared" si="1"/>
        <v>780.22</v>
      </c>
      <c r="AA24" s="27">
        <v>150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661.2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6">AF24/AJ24</f>
        <v>220.4</v>
      </c>
      <c r="AL24" s="27">
        <f t="shared" ref="AL24" si="17">AG24/AJ24</f>
        <v>0</v>
      </c>
      <c r="AM24" s="27">
        <f t="shared" ref="AM24" si="18">AH24/AJ24</f>
        <v>0</v>
      </c>
      <c r="AN24" s="27" t="s">
        <v>58</v>
      </c>
      <c r="AO24" s="27">
        <f t="shared" ref="AO24" si="19">AK24+AL24+AM24</f>
        <v>220.4</v>
      </c>
      <c r="AP24" s="54" t="s">
        <v>217</v>
      </c>
      <c r="AQ24" s="54" t="s">
        <v>58</v>
      </c>
      <c r="AR24" t="s">
        <v>236</v>
      </c>
      <c r="AS24" t="s">
        <v>237</v>
      </c>
      <c r="AT24" s="54">
        <f t="shared" ref="AT24" si="20">AJ24</f>
        <v>3</v>
      </c>
      <c r="AU24" s="54">
        <f>AO24</f>
        <v>220.4</v>
      </c>
      <c r="AV24" s="54">
        <f t="shared" ref="AV24" si="21">AR24+AT24</f>
        <v>12249</v>
      </c>
      <c r="AW24" s="54">
        <f>ROUND(((AR24*AS24)+(AT24*AU24))/(AR24+AT24),5)</f>
        <v>226.58633</v>
      </c>
      <c r="AX24" s="79"/>
      <c r="AY24" s="79"/>
      <c r="AZ24" s="81" t="s">
        <v>29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31</v>
      </c>
      <c r="BJ24" t="s">
        <v>238</v>
      </c>
      <c r="BK24" t="s">
        <v>239</v>
      </c>
      <c r="BL24" s="54">
        <f t="shared" ref="BL24" si="22">ROUND((((AT24*AW24)+(BK24*BJ24))/(AT24+BK24)),5)</f>
        <v>226.59863</v>
      </c>
      <c r="BM24" s="60">
        <f t="shared" ref="BM24" si="23">BK24+AT24</f>
        <v>3072</v>
      </c>
      <c r="BN24" s="60"/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1744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99.36</v>
      </c>
      <c r="S25" s="47">
        <f>SUM(S23:S24)</f>
        <v>1644.64</v>
      </c>
      <c r="T25" s="31"/>
      <c r="U25" s="31"/>
      <c r="V25" s="75">
        <f t="shared" ref="V25:AB25" si="24">SUM(V23:V24)</f>
        <v>148.02</v>
      </c>
      <c r="W25" s="75">
        <f t="shared" si="24"/>
        <v>148.02</v>
      </c>
      <c r="X25" s="75">
        <f t="shared" si="24"/>
        <v>0</v>
      </c>
      <c r="Y25" s="31">
        <f t="shared" si="24"/>
        <v>296.04</v>
      </c>
      <c r="Z25" s="50">
        <f t="shared" si="24"/>
        <v>1940.68</v>
      </c>
      <c r="AA25" s="51">
        <f t="shared" si="24"/>
        <v>270</v>
      </c>
      <c r="AB25" s="51">
        <f t="shared" si="24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1644.64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7" spans="45:46">
      <c r="AS27" t="s">
        <v>240</v>
      </c>
      <c r="AT27" t="s">
        <v>241</v>
      </c>
    </row>
    <row r="28" spans="45:49">
      <c r="AS28">
        <v>1473.685</v>
      </c>
      <c r="AT28">
        <v>1281.64708</v>
      </c>
      <c r="AU28" s="54">
        <f t="shared" ref="AU28" si="25">AK28</f>
        <v>0</v>
      </c>
      <c r="AW28" s="73"/>
    </row>
    <row r="31" spans="48:48">
      <c r="AV31" t="s">
        <v>242</v>
      </c>
    </row>
    <row r="32" spans="48:48">
      <c r="AV32">
        <v>513.38841</v>
      </c>
    </row>
    <row r="33" spans="48:48">
      <c r="AV33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workbookViewId="0">
      <selection activeCell="A1" sqref="$A1:$XFD1048576"/>
    </sheetView>
  </sheetViews>
  <sheetFormatPr defaultColWidth="9" defaultRowHeight="14.4"/>
  <cols>
    <col min="2" max="2" width="19.712962962963" customWidth="1"/>
    <col min="3" max="3" width="19.287037037037" customWidth="1"/>
    <col min="4" max="4" width="62.712962962963" customWidth="1"/>
    <col min="5" max="5" width="10.4259259259259" customWidth="1"/>
    <col min="6" max="6" width="8.28703703703704" customWidth="1"/>
    <col min="8" max="8" width="11.8518518518519" customWidth="1"/>
    <col min="10" max="10" width="6.13888888888889" customWidth="1"/>
    <col min="11" max="11" width="6.28703703703704" customWidth="1"/>
    <col min="12" max="12" width="13.8518518518519" customWidth="1"/>
    <col min="42" max="42" width="9.42592592592593" customWidth="1"/>
    <col min="43" max="43" width="11.8518518518519" customWidth="1"/>
    <col min="44" max="44" width="15.287037037037" customWidth="1"/>
    <col min="45" max="45" width="20.287037037037" customWidth="1"/>
    <col min="46" max="46" width="11.4259259259259" customWidth="1"/>
    <col min="47" max="47" width="16.287037037037" customWidth="1"/>
    <col min="48" max="48" width="13.8518518518519" customWidth="1"/>
    <col min="49" max="49" width="18.8518518518519" customWidth="1"/>
    <col min="54" max="54" width="12.4259259259259" customWidth="1"/>
    <col min="55" max="55" width="12.5740740740741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6">
      <c r="A23" s="26">
        <v>1</v>
      </c>
      <c r="B23" s="26" t="s">
        <v>226</v>
      </c>
      <c r="C23" s="26" t="s">
        <v>57</v>
      </c>
      <c r="D23" s="26" t="s">
        <v>58</v>
      </c>
      <c r="E23" s="26" t="s">
        <v>58</v>
      </c>
      <c r="F23" s="27">
        <v>2</v>
      </c>
      <c r="G23" t="s">
        <v>227</v>
      </c>
      <c r="H23" s="27">
        <f>F23*G23</f>
        <v>1048</v>
      </c>
      <c r="I23" t="s">
        <v>228</v>
      </c>
      <c r="J23" s="27">
        <v>1.79</v>
      </c>
      <c r="K23" s="27">
        <v>2.5</v>
      </c>
      <c r="L23" s="27">
        <f>H23</f>
        <v>1048</v>
      </c>
      <c r="M23" s="27">
        <f>ROUND(L23*I23%,2)</f>
        <v>20.96</v>
      </c>
      <c r="N23" s="27">
        <f>H23-M23</f>
        <v>1027.04</v>
      </c>
      <c r="O23" s="27">
        <f>ROUND(N23*J23%,2)</f>
        <v>18.38</v>
      </c>
      <c r="P23" s="27">
        <f>ROUND(N23-O23,2)</f>
        <v>1008.66</v>
      </c>
      <c r="Q23" s="27">
        <f>ROUND(P23*K23%,2)</f>
        <v>25.22</v>
      </c>
      <c r="R23" s="27">
        <f>M23+O23+Q23</f>
        <v>64.56</v>
      </c>
      <c r="S23" s="27">
        <f>(H23-R23)</f>
        <v>983.44</v>
      </c>
      <c r="T23" s="27" t="s">
        <v>146</v>
      </c>
      <c r="U23" s="27">
        <v>0.18</v>
      </c>
      <c r="V23" s="27">
        <f>IF($C$21=1,ROUND(((S23*U23)/2),2),0)</f>
        <v>88.51</v>
      </c>
      <c r="W23" s="27">
        <f>IF($C$21=1,ROUND(((S23*U23)/2),2),0)</f>
        <v>88.51</v>
      </c>
      <c r="X23" s="27">
        <f>IF($C$21=2,ROUND(((S23*U23)),2),0)</f>
        <v>0</v>
      </c>
      <c r="Y23" s="27">
        <f>V23+W23+X23</f>
        <v>177.02</v>
      </c>
      <c r="Z23" s="27">
        <f t="shared" ref="Z23:Z24" si="1">S23+Y23</f>
        <v>1160.46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983.44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491.72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491.72</v>
      </c>
      <c r="AP23" s="54" t="s">
        <v>217</v>
      </c>
      <c r="AQ23" s="54" t="s">
        <v>58</v>
      </c>
      <c r="AR23" t="s">
        <v>229</v>
      </c>
      <c r="AS23" t="s">
        <v>243</v>
      </c>
      <c r="AT23" s="54">
        <f>AJ23</f>
        <v>2</v>
      </c>
      <c r="AU23" s="54">
        <f>AO23</f>
        <v>491.72</v>
      </c>
      <c r="AV23" s="54">
        <f>AR23+AT23</f>
        <v>13336</v>
      </c>
      <c r="AW23" s="54">
        <f>ROUND(((AR23*AS23)+(AT23*AU23))/(AR23+AT23),5)</f>
        <v>513.36921</v>
      </c>
      <c r="AX23" s="79"/>
      <c r="AY23" s="79" t="s">
        <v>149</v>
      </c>
      <c r="AZ23" s="92" t="s">
        <v>45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31</v>
      </c>
      <c r="BJ23" t="s">
        <v>244</v>
      </c>
      <c r="BK23" t="s">
        <v>245</v>
      </c>
      <c r="BL23" s="54">
        <f>ROUND((((AT23*AW23)+(BK23*BJ23))/(AT23+BK23)),5)</f>
        <v>513.48172</v>
      </c>
      <c r="BM23" s="60">
        <f>BK23+AT23</f>
        <v>143</v>
      </c>
      <c r="BN23" s="60"/>
    </row>
    <row r="24" ht="15.15" spans="1:66">
      <c r="A24" s="26">
        <v>3</v>
      </c>
      <c r="B24" s="26" t="s">
        <v>233</v>
      </c>
      <c r="C24" s="26" t="s">
        <v>62</v>
      </c>
      <c r="D24" s="26" t="s">
        <v>58</v>
      </c>
      <c r="E24" s="26" t="s">
        <v>58</v>
      </c>
      <c r="F24" s="27">
        <v>3</v>
      </c>
      <c r="G24" t="s">
        <v>234</v>
      </c>
      <c r="H24" s="27">
        <f>F24*G24</f>
        <v>696</v>
      </c>
      <c r="I24" t="s">
        <v>235</v>
      </c>
      <c r="J24" s="27">
        <v>0.25</v>
      </c>
      <c r="K24" s="27">
        <v>2.5</v>
      </c>
      <c r="L24" s="27">
        <f>H24</f>
        <v>696</v>
      </c>
      <c r="M24" s="27">
        <f>ROUND(L24*I24%,2)</f>
        <v>16.15</v>
      </c>
      <c r="N24" s="27">
        <f t="shared" ref="N24" si="6">H24-M24</f>
        <v>679.85</v>
      </c>
      <c r="O24" s="27">
        <f t="shared" ref="O24" si="7">ROUND(N24*J24%,2)</f>
        <v>1.7</v>
      </c>
      <c r="P24" s="27">
        <f t="shared" ref="P24" si="8">ROUND(N24-O24,2)</f>
        <v>678.15</v>
      </c>
      <c r="Q24" s="27">
        <f t="shared" ref="Q24" si="9">ROUND(P24*K24%,2)</f>
        <v>16.95</v>
      </c>
      <c r="R24" s="27">
        <f t="shared" ref="R24" si="10">M24+O24+Q24</f>
        <v>34.8</v>
      </c>
      <c r="S24" s="27">
        <f t="shared" ref="S24" si="11">(H24-R24)</f>
        <v>661.2</v>
      </c>
      <c r="T24" s="27" t="s">
        <v>146</v>
      </c>
      <c r="U24" s="27">
        <v>0.18</v>
      </c>
      <c r="V24" s="27">
        <f t="shared" ref="V24" si="12">IF($C$21=1,ROUND(((S24*U24)/2),2),0)</f>
        <v>59.51</v>
      </c>
      <c r="W24" s="27">
        <f t="shared" ref="W24" si="13">IF($C$21=1,ROUND(((S24*U24)/2),2),0)</f>
        <v>59.51</v>
      </c>
      <c r="X24" s="27">
        <f t="shared" ref="X24" si="14">IF($C$21=2,ROUND(((S24*U24)),2),0)</f>
        <v>0</v>
      </c>
      <c r="Y24" s="27">
        <f t="shared" ref="Y24" si="15">V24+W24+X24</f>
        <v>119.02</v>
      </c>
      <c r="Z24" s="27">
        <f t="shared" si="1"/>
        <v>780.22</v>
      </c>
      <c r="AA24" s="27">
        <v>150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661.2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6">AF24/AJ24</f>
        <v>220.4</v>
      </c>
      <c r="AL24" s="27">
        <f t="shared" ref="AL24" si="17">AG24/AJ24</f>
        <v>0</v>
      </c>
      <c r="AM24" s="27">
        <f t="shared" ref="AM24" si="18">AH24/AJ24</f>
        <v>0</v>
      </c>
      <c r="AN24" s="27" t="s">
        <v>58</v>
      </c>
      <c r="AO24" s="27">
        <f t="shared" ref="AO24" si="19">AK24+AL24+AM24</f>
        <v>220.4</v>
      </c>
      <c r="AP24" s="54" t="s">
        <v>217</v>
      </c>
      <c r="AQ24" s="54" t="s">
        <v>58</v>
      </c>
      <c r="AR24" t="s">
        <v>236</v>
      </c>
      <c r="AS24" t="s">
        <v>246</v>
      </c>
      <c r="AT24" s="54">
        <f t="shared" ref="AT24" si="20">AJ24</f>
        <v>3</v>
      </c>
      <c r="AU24" s="54">
        <f>AO24</f>
        <v>220.4</v>
      </c>
      <c r="AV24" s="54">
        <f t="shared" ref="AV24" si="21">AR24+AT24</f>
        <v>12249</v>
      </c>
      <c r="AW24" s="54">
        <f t="shared" ref="AW24" si="22">ROUND(((AR24*AS24)+(AT24*AU24))/(AR24+AT24),5)</f>
        <v>226.58481</v>
      </c>
      <c r="AX24" s="79"/>
      <c r="AY24" s="79"/>
      <c r="AZ24" s="81" t="s">
        <v>29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31</v>
      </c>
      <c r="BJ24" t="s">
        <v>247</v>
      </c>
      <c r="BK24" t="s">
        <v>248</v>
      </c>
      <c r="BL24" s="54">
        <f t="shared" ref="BL24" si="23">ROUND((((AT24*AW24)+(BK24*BJ24))/(AT24+BK24)),5)</f>
        <v>226.59862</v>
      </c>
      <c r="BM24" s="60">
        <f t="shared" ref="BM24" si="24">BK24+AT24</f>
        <v>3075</v>
      </c>
      <c r="BN24" s="60"/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1744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99.36</v>
      </c>
      <c r="S25" s="47">
        <f>SUM(S23:S24)</f>
        <v>1644.64</v>
      </c>
      <c r="T25" s="31"/>
      <c r="U25" s="31"/>
      <c r="V25" s="75">
        <f t="shared" ref="V25:AB25" si="25">SUM(V23:V24)</f>
        <v>148.02</v>
      </c>
      <c r="W25" s="75">
        <f t="shared" si="25"/>
        <v>148.02</v>
      </c>
      <c r="X25" s="75">
        <f t="shared" si="25"/>
        <v>0</v>
      </c>
      <c r="Y25" s="31">
        <f t="shared" si="25"/>
        <v>296.04</v>
      </c>
      <c r="Z25" s="50">
        <f t="shared" si="25"/>
        <v>1940.68</v>
      </c>
      <c r="AA25" s="51">
        <f t="shared" si="25"/>
        <v>270</v>
      </c>
      <c r="AB25" s="51">
        <f t="shared" si="25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1644.64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7" spans="45:46">
      <c r="AS27" t="s">
        <v>240</v>
      </c>
      <c r="AT27" t="s">
        <v>241</v>
      </c>
    </row>
    <row r="28" spans="45:47">
      <c r="AS28">
        <v>1473.685</v>
      </c>
      <c r="AT28">
        <v>1281.64708</v>
      </c>
      <c r="AU28" s="54">
        <f t="shared" ref="AU28" si="26">AK28</f>
        <v>0</v>
      </c>
    </row>
    <row r="31" spans="48:48">
      <c r="AV31" t="s">
        <v>242</v>
      </c>
    </row>
    <row r="32" spans="48:48">
      <c r="AV32">
        <v>513.38841</v>
      </c>
    </row>
    <row r="33" spans="48:48">
      <c r="AV33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0"/>
  <sheetViews>
    <sheetView topLeftCell="A16" workbookViewId="0">
      <selection activeCell="K24" sqref="K24"/>
    </sheetView>
  </sheetViews>
  <sheetFormatPr defaultColWidth="9" defaultRowHeight="14.4"/>
  <cols>
    <col min="2" max="2" width="26.8518518518519" customWidth="1"/>
    <col min="12" max="12" width="13.8518518518519" customWidth="1"/>
    <col min="45" max="45" width="20.287037037037" customWidth="1"/>
    <col min="49" max="49" width="18.8518518518519" customWidth="1"/>
    <col min="51" max="51" width="21.712962962963" customWidth="1"/>
    <col min="53" max="53" width="14.287037037037" customWidth="1"/>
    <col min="61" max="61" width="8.13888888888889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249</v>
      </c>
      <c r="C23" s="26" t="s">
        <v>57</v>
      </c>
      <c r="D23" s="26" t="s">
        <v>58</v>
      </c>
      <c r="E23" s="26" t="s">
        <v>58</v>
      </c>
      <c r="F23" s="27">
        <v>2</v>
      </c>
      <c r="G23" s="27">
        <v>250.25</v>
      </c>
      <c r="H23" s="27">
        <f>F23*G23</f>
        <v>500.5</v>
      </c>
      <c r="I23" s="27">
        <v>2.21</v>
      </c>
      <c r="J23" s="27">
        <v>1.79</v>
      </c>
      <c r="K23" s="27">
        <v>2.5</v>
      </c>
      <c r="L23" s="27">
        <f>H23</f>
        <v>500.5</v>
      </c>
      <c r="M23" s="27">
        <f>ROUND(L23*I23%,2)</f>
        <v>11.06</v>
      </c>
      <c r="N23" s="27">
        <f>H23-M23</f>
        <v>489.44</v>
      </c>
      <c r="O23" s="27">
        <f>ROUND(N23*J23%,2)</f>
        <v>8.76</v>
      </c>
      <c r="P23" s="27">
        <f>ROUND(N23-O23,2)</f>
        <v>480.68</v>
      </c>
      <c r="Q23" s="27">
        <f>ROUND(P23*K23%,2)</f>
        <v>12.02</v>
      </c>
      <c r="R23" s="27">
        <f>M23+O23+Q23</f>
        <v>31.84</v>
      </c>
      <c r="S23" s="27">
        <f>(H23-R23)</f>
        <v>468.66</v>
      </c>
      <c r="T23" s="27" t="s">
        <v>146</v>
      </c>
      <c r="U23" s="27">
        <v>0.18</v>
      </c>
      <c r="V23" s="27">
        <f>IF($C$21=1,ROUND(((S23*U23)/2),2),0)</f>
        <v>42.18</v>
      </c>
      <c r="W23" s="27">
        <f>IF($C$21=1,ROUND(((S23*U23)/2),2),0)</f>
        <v>42.18</v>
      </c>
      <c r="X23" s="27">
        <f>IF($C$21=2,ROUND(((S23*U23)),2),0)</f>
        <v>0</v>
      </c>
      <c r="Y23" s="27">
        <f>V23+W23+X23</f>
        <v>84.36</v>
      </c>
      <c r="Z23" s="27">
        <f t="shared" ref="Z23:Z24" si="1">S23+Y23</f>
        <v>553.02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468.66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>F23/AI23</f>
        <v>2</v>
      </c>
      <c r="AK23" s="27">
        <f>AF23/AJ23</f>
        <v>234.33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234.33</v>
      </c>
      <c r="AP23" s="54" t="s">
        <v>217</v>
      </c>
      <c r="AQ23" s="54" t="s">
        <v>58</v>
      </c>
      <c r="AR23" t="s">
        <v>218</v>
      </c>
      <c r="AS23" t="s">
        <v>250</v>
      </c>
      <c r="AT23" s="54">
        <f>AJ23</f>
        <v>2</v>
      </c>
      <c r="AU23" s="54">
        <f>AO23</f>
        <v>234.33</v>
      </c>
      <c r="AV23" s="54">
        <f>AR23+AT23</f>
        <v>2</v>
      </c>
      <c r="AW23" s="54">
        <f>ROUND(((AR23*AS23)+(AT23*AU23))/(AR23+AT23),5)</f>
        <v>234.33</v>
      </c>
      <c r="AX23" s="79"/>
      <c r="AY23" s="79" t="s">
        <v>149</v>
      </c>
      <c r="AZ23" s="80" t="s">
        <v>38</v>
      </c>
      <c r="BA23" s="81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31</v>
      </c>
      <c r="BJ23" t="s">
        <v>250</v>
      </c>
      <c r="BK23" t="s">
        <v>228</v>
      </c>
      <c r="BL23" s="54">
        <f>ROUND((((AT23*AW23)+(BK23*BJ23))/(AT23+BK23)),5)</f>
        <v>234.33</v>
      </c>
      <c r="BM23" s="60">
        <f>BK23+AT23</f>
        <v>4</v>
      </c>
    </row>
    <row r="24" ht="15.15" spans="1:65">
      <c r="A24" s="26">
        <v>2</v>
      </c>
      <c r="B24" s="26" t="s">
        <v>251</v>
      </c>
      <c r="C24" s="26" t="s">
        <v>60</v>
      </c>
      <c r="D24" s="26" t="s">
        <v>58</v>
      </c>
      <c r="E24" s="26" t="s">
        <v>58</v>
      </c>
      <c r="F24" s="27">
        <v>30</v>
      </c>
      <c r="G24" s="27">
        <v>130.25</v>
      </c>
      <c r="H24" s="27">
        <f>F24*G24</f>
        <v>3907.5</v>
      </c>
      <c r="I24" s="27">
        <v>1.25</v>
      </c>
      <c r="J24" s="27">
        <v>1.68</v>
      </c>
      <c r="K24" s="27">
        <v>2.5</v>
      </c>
      <c r="L24" s="27">
        <f>H24</f>
        <v>3907.5</v>
      </c>
      <c r="M24" s="27">
        <f>ROUND(L24*I24%,2)</f>
        <v>48.84</v>
      </c>
      <c r="N24" s="27">
        <f t="shared" ref="N24" si="5">H24-M24</f>
        <v>3858.66</v>
      </c>
      <c r="O24" s="27">
        <f t="shared" ref="O24" si="6">ROUND(N24*J24%,2)</f>
        <v>64.83</v>
      </c>
      <c r="P24" s="27">
        <f t="shared" ref="P24" si="7">ROUND(N24-O24,2)</f>
        <v>3793.83</v>
      </c>
      <c r="Q24" s="27">
        <f t="shared" ref="Q24" si="8">ROUND(P24*K24%,2)</f>
        <v>94.85</v>
      </c>
      <c r="R24" s="27">
        <f t="shared" ref="R24" si="9">M24+O24+Q24</f>
        <v>208.52</v>
      </c>
      <c r="S24" s="27">
        <f t="shared" ref="S24" si="10">(H24-R24)</f>
        <v>3698.98</v>
      </c>
      <c r="T24" s="27" t="s">
        <v>146</v>
      </c>
      <c r="U24" s="27">
        <v>0.18</v>
      </c>
      <c r="V24" s="27">
        <f t="shared" ref="V24" si="11">IF($C$21=1,ROUND(((S24*U24)/2),2),0)</f>
        <v>332.91</v>
      </c>
      <c r="W24" s="27">
        <f t="shared" ref="W24" si="12">IF($C$21=1,ROUND(((S24*U24)/2),2),0)</f>
        <v>332.91</v>
      </c>
      <c r="X24" s="27">
        <f t="shared" ref="X24" si="13">IF($C$21=2,ROUND(((S24*U24)),2),0)</f>
        <v>0</v>
      </c>
      <c r="Y24" s="27">
        <f t="shared" ref="Y24" si="14">V24+W24+X24</f>
        <v>665.82</v>
      </c>
      <c r="Z24" s="27">
        <f t="shared" si="1"/>
        <v>4364.8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3698.98</v>
      </c>
      <c r="AG24" s="27">
        <f t="shared" si="3"/>
        <v>0</v>
      </c>
      <c r="AH24" s="27">
        <f t="shared" si="4"/>
        <v>0</v>
      </c>
      <c r="AI24" s="27">
        <v>1</v>
      </c>
      <c r="AJ24" s="27">
        <f>F24/AI24</f>
        <v>30</v>
      </c>
      <c r="AK24" s="27">
        <f t="shared" ref="AK24" si="15">AF24/AJ24</f>
        <v>123.299333333333</v>
      </c>
      <c r="AL24" s="27">
        <f t="shared" ref="AL24" si="16">AG24/AJ24</f>
        <v>0</v>
      </c>
      <c r="AM24" s="27">
        <f t="shared" ref="AM24" si="17">AH24/AJ24</f>
        <v>0</v>
      </c>
      <c r="AN24" s="27" t="s">
        <v>58</v>
      </c>
      <c r="AO24" s="27">
        <f t="shared" ref="AO24" si="18">AK24+AL24+AM24</f>
        <v>123.299333333333</v>
      </c>
      <c r="AP24" s="54" t="s">
        <v>217</v>
      </c>
      <c r="AQ24" s="54" t="s">
        <v>58</v>
      </c>
      <c r="AR24" t="s">
        <v>218</v>
      </c>
      <c r="AS24" t="s">
        <v>252</v>
      </c>
      <c r="AT24" s="54">
        <f t="shared" ref="AT24" si="19">AJ24</f>
        <v>30</v>
      </c>
      <c r="AU24" s="54">
        <f>AO24</f>
        <v>123.299333333333</v>
      </c>
      <c r="AV24" s="54">
        <f t="shared" ref="AV24" si="20">AR24+AT24</f>
        <v>30</v>
      </c>
      <c r="AW24" s="54">
        <f>ROUND(((AR24*AS24)+(AT24*AU24))/(AR24+AT24),5)</f>
        <v>123.29933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31</v>
      </c>
      <c r="BJ24" t="s">
        <v>252</v>
      </c>
      <c r="BK24" t="s">
        <v>253</v>
      </c>
      <c r="BL24" s="54">
        <f>ROUND((((AT24*AW24)+(BK24*BJ24))/(AT24+BK24)),5)</f>
        <v>123.29933</v>
      </c>
      <c r="BM24" s="60">
        <f>BK24+AT24</f>
        <v>120</v>
      </c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4408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240.36</v>
      </c>
      <c r="S25" s="47">
        <f>SUM(S23:S24)</f>
        <v>4167.64</v>
      </c>
      <c r="T25" s="31"/>
      <c r="U25" s="31"/>
      <c r="V25" s="75">
        <f t="shared" ref="V25:AB25" si="21">SUM(V23:V24)</f>
        <v>375.09</v>
      </c>
      <c r="W25" s="75">
        <f t="shared" si="21"/>
        <v>375.09</v>
      </c>
      <c r="X25" s="75">
        <f t="shared" si="21"/>
        <v>0</v>
      </c>
      <c r="Y25" s="31">
        <f t="shared" si="21"/>
        <v>750.18</v>
      </c>
      <c r="Z25" s="50">
        <f t="shared" si="21"/>
        <v>4917.82</v>
      </c>
      <c r="AA25" s="51">
        <f t="shared" si="21"/>
        <v>320</v>
      </c>
      <c r="AB25" s="51">
        <f t="shared" si="21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4167.64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6" ht="15.15" spans="64:65">
      <c r="BL26" s="88">
        <v>123.29933</v>
      </c>
      <c r="BM26" s="88"/>
    </row>
    <row r="30" spans="11:11">
      <c r="K30" s="73"/>
    </row>
  </sheetData>
  <mergeCells count="3">
    <mergeCell ref="A1:Z1"/>
    <mergeCell ref="B19:G19"/>
    <mergeCell ref="A21:B21"/>
  </mergeCells>
  <hyperlinks>
    <hyperlink ref="B24" r:id="rId1" display="TVS-SIM-293931"/>
  </hyperlink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24"/>
  <sheetViews>
    <sheetView topLeftCell="AS13" workbookViewId="0">
      <selection activeCell="AT23" sqref="AT23:AU23"/>
    </sheetView>
  </sheetViews>
  <sheetFormatPr defaultColWidth="9" defaultRowHeight="14.4"/>
  <cols>
    <col min="2" max="2" width="20.712962962963" customWidth="1"/>
    <col min="3" max="3" width="19.287037037037" customWidth="1"/>
    <col min="4" max="4" width="62.712962962963" customWidth="1"/>
    <col min="57" max="57" width="12.5740740740741" customWidth="1"/>
    <col min="58" max="58" width="21.712962962963" customWidth="1"/>
    <col min="59" max="59" width="30.5740740740741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0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130</v>
      </c>
      <c r="AQ22" s="4" t="s">
        <v>128</v>
      </c>
      <c r="AR22" s="53" t="s">
        <v>131</v>
      </c>
      <c r="AS22" s="53" t="s">
        <v>132</v>
      </c>
      <c r="AT22" s="83" t="s">
        <v>133</v>
      </c>
      <c r="AU22" s="8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140</v>
      </c>
      <c r="BD22" s="53" t="s">
        <v>141</v>
      </c>
      <c r="BE22" s="83" t="s">
        <v>142</v>
      </c>
      <c r="BF22" s="83" t="s">
        <v>143</v>
      </c>
      <c r="BG22" s="83" t="s">
        <v>144</v>
      </c>
      <c r="BH22" s="86"/>
    </row>
    <row r="23" ht="15.15" spans="1:60">
      <c r="A23" s="26">
        <v>1</v>
      </c>
      <c r="B23" s="26" t="s">
        <v>254</v>
      </c>
      <c r="C23" s="26" t="s">
        <v>57</v>
      </c>
      <c r="D23" s="26" t="s">
        <v>58</v>
      </c>
      <c r="E23" s="26" t="s">
        <v>58</v>
      </c>
      <c r="F23" s="61">
        <v>2</v>
      </c>
      <c r="G23" t="s">
        <v>255</v>
      </c>
      <c r="H23" s="45">
        <f>F23*G23</f>
        <v>354</v>
      </c>
      <c r="I23" t="s">
        <v>256</v>
      </c>
      <c r="J23" s="27">
        <v>1.79</v>
      </c>
      <c r="K23" s="27">
        <v>2.5</v>
      </c>
      <c r="L23" s="27">
        <f>H23</f>
        <v>354</v>
      </c>
      <c r="M23" s="27">
        <f>ROUND(L23*I23%,2)</f>
        <v>4.43</v>
      </c>
      <c r="N23" s="27">
        <f>H23-M23</f>
        <v>349.57</v>
      </c>
      <c r="O23" s="27">
        <f>ROUND(N23*J23%,2)</f>
        <v>6.26</v>
      </c>
      <c r="P23" s="27">
        <f>ROUND(N23-O23,2)</f>
        <v>343.31</v>
      </c>
      <c r="Q23" s="27">
        <f>ROUND(P23*K23%,2)</f>
        <v>8.58</v>
      </c>
      <c r="R23" s="27">
        <f>M23+O23+Q23</f>
        <v>19.27</v>
      </c>
      <c r="S23" s="27">
        <f>(H23-R23)</f>
        <v>334.73</v>
      </c>
      <c r="T23" s="45" t="s">
        <v>146</v>
      </c>
      <c r="U23" s="46">
        <v>0.05</v>
      </c>
      <c r="V23" s="27">
        <f>IF($C$21=1,ROUND(((S23*U23)/2),2),0)</f>
        <v>8.37</v>
      </c>
      <c r="W23" s="27">
        <f>IF($C$21=1,ROUND(((S23*U23)/2),2),0)</f>
        <v>8.37</v>
      </c>
      <c r="X23" s="27">
        <f>IF($C$21=2,ROUND(((S23*U23)),2),0)</f>
        <v>0</v>
      </c>
      <c r="Y23" s="27">
        <f>V23+W23+X23</f>
        <v>16.74</v>
      </c>
      <c r="Z23" s="27">
        <f t="shared" ref="Z23" si="1">S23+Y23</f>
        <v>351.47</v>
      </c>
      <c r="AA23" s="45">
        <v>120</v>
      </c>
      <c r="AB23" s="45">
        <f>IF($P$21=1,(S23/$S$24)*$E$35,AA23/$AA$24*$E$35)</f>
        <v>0</v>
      </c>
      <c r="AC23" s="45"/>
      <c r="AD23" s="45">
        <f>IF($P$21=1,(S23/$S$24)*$E$37,AA23/$AA$24*$E$37)</f>
        <v>0</v>
      </c>
      <c r="AE23" s="45">
        <f>IF($P$21=1,(S23/$S$24)*$E$37,AA23/$AA$24*$E$37)</f>
        <v>0</v>
      </c>
      <c r="AF23" s="45">
        <f t="shared" ref="AF23" si="2">S23*$M$21</f>
        <v>334.73</v>
      </c>
      <c r="AG23" s="45">
        <f t="shared" ref="AG23" si="3">IF($C$21=3,0,AD23+AE23)</f>
        <v>0</v>
      </c>
      <c r="AH23" s="45">
        <f t="shared" ref="AH23" si="4">IF($C$21=3,AB23+AD23+AE23,0)</f>
        <v>0</v>
      </c>
      <c r="AI23" s="61">
        <v>1</v>
      </c>
      <c r="AJ23" s="45">
        <f t="shared" ref="AJ23" si="5">F23/AI23</f>
        <v>2</v>
      </c>
      <c r="AK23" s="45">
        <f>AF23/AJ23</f>
        <v>167.365</v>
      </c>
      <c r="AL23" s="45">
        <f>AG23/AJ23</f>
        <v>0</v>
      </c>
      <c r="AM23" s="45">
        <f>AH23/AJ23</f>
        <v>0</v>
      </c>
      <c r="AN23" s="45" t="s">
        <v>58</v>
      </c>
      <c r="AO23" s="45">
        <f>AK23+AL23+AM23</f>
        <v>167.365</v>
      </c>
      <c r="AP23" s="8" t="s">
        <v>31</v>
      </c>
      <c r="AQ23" s="8" t="s">
        <v>58</v>
      </c>
      <c r="AR23" t="s">
        <v>147</v>
      </c>
      <c r="AS23" s="56" t="s">
        <v>148</v>
      </c>
      <c r="AT23" s="56">
        <f>AJ23</f>
        <v>2</v>
      </c>
      <c r="AU23" s="56">
        <f>AO23</f>
        <v>167.365</v>
      </c>
      <c r="AV23" s="54">
        <f>AR23+AT23</f>
        <v>1154.6</v>
      </c>
      <c r="AW23" s="54">
        <f>ROUND(((AR23*AS23)+(AT23*AU23))/(AR23+AT23),5)</f>
        <v>138.33836</v>
      </c>
      <c r="AX23" s="56"/>
      <c r="AY23" s="56" t="s">
        <v>149</v>
      </c>
      <c r="AZ23" s="84" t="s">
        <v>29</v>
      </c>
      <c r="BA23" s="56"/>
      <c r="BB23" s="56"/>
      <c r="BC23" s="85"/>
      <c r="BD23" s="56"/>
      <c r="BE23" s="8"/>
      <c r="BF23" s="8"/>
      <c r="BG23" s="8"/>
      <c r="BH23" s="87"/>
    </row>
    <row r="24" ht="15.15" spans="1:47">
      <c r="A24" s="17"/>
      <c r="B24" s="67"/>
      <c r="C24" s="67"/>
      <c r="D24" s="29" t="s">
        <v>87</v>
      </c>
      <c r="E24" s="29"/>
      <c r="F24" s="29"/>
      <c r="G24" s="30"/>
      <c r="H24" s="31">
        <f>SUM(H23:H23)</f>
        <v>354</v>
      </c>
      <c r="I24" s="26"/>
      <c r="J24" s="26"/>
      <c r="K24" s="26"/>
      <c r="L24" s="26"/>
      <c r="M24" s="26"/>
      <c r="N24" s="26"/>
      <c r="O24" s="26"/>
      <c r="P24" s="26"/>
      <c r="Q24" s="26"/>
      <c r="R24" s="31">
        <f>SUM(R23:R23)</f>
        <v>19.27</v>
      </c>
      <c r="S24" s="47">
        <f>SUM(S23:S23)</f>
        <v>334.73</v>
      </c>
      <c r="T24" s="31"/>
      <c r="U24" s="31"/>
      <c r="V24" s="75">
        <f t="shared" ref="V24:AB24" si="6">SUM(V23:V23)</f>
        <v>8.37</v>
      </c>
      <c r="W24" s="75">
        <f t="shared" si="6"/>
        <v>8.37</v>
      </c>
      <c r="X24" s="75">
        <f t="shared" si="6"/>
        <v>0</v>
      </c>
      <c r="Y24" s="31">
        <f t="shared" si="6"/>
        <v>16.74</v>
      </c>
      <c r="Z24" s="50">
        <f t="shared" si="6"/>
        <v>351.47</v>
      </c>
      <c r="AA24" s="51">
        <f t="shared" si="6"/>
        <v>120</v>
      </c>
      <c r="AB24" s="51">
        <f t="shared" si="6"/>
        <v>0</v>
      </c>
      <c r="AC24" s="50"/>
      <c r="AD24" s="51">
        <f>SUM(AD23:AD23)</f>
        <v>0</v>
      </c>
      <c r="AE24" s="51">
        <f>SUM(AE23:AE23)</f>
        <v>0</v>
      </c>
      <c r="AF24" s="51">
        <f>SUM(AF23:AF23)</f>
        <v>334.73</v>
      </c>
      <c r="AG24" s="51">
        <f>SUM(AG23:AG23)</f>
        <v>0</v>
      </c>
      <c r="AH24" s="51">
        <f>SUM(AH23:AH23)</f>
        <v>0</v>
      </c>
      <c r="AI24" s="50"/>
      <c r="AJ24" s="50"/>
      <c r="AK24" s="50"/>
      <c r="AL24" s="50"/>
      <c r="AM24" s="50"/>
      <c r="AN24" s="50"/>
      <c r="AO24" s="50"/>
      <c r="AP24" s="17"/>
      <c r="AT24" s="91"/>
      <c r="AU24" s="91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1"/>
  <sheetViews>
    <sheetView topLeftCell="A13" workbookViewId="0">
      <selection activeCell="B24" sqref="B24"/>
    </sheetView>
  </sheetViews>
  <sheetFormatPr defaultColWidth="9" defaultRowHeight="14.4"/>
  <cols>
    <col min="2" max="2" width="26.8518518518519" customWidth="1"/>
    <col min="3" max="3" width="19.287037037037" customWidth="1"/>
    <col min="4" max="4" width="62.712962962963" customWidth="1"/>
    <col min="5" max="5" width="10.4259259259259" customWidth="1"/>
    <col min="57" max="57" width="12.5740740740741" customWidth="1"/>
    <col min="58" max="58" width="21.712962962963" customWidth="1"/>
    <col min="59" max="59" width="30.5740740740741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90" t="s">
        <v>257</v>
      </c>
      <c r="C23" s="26" t="s">
        <v>57</v>
      </c>
      <c r="D23" s="26" t="s">
        <v>58</v>
      </c>
      <c r="E23" s="26" t="s">
        <v>58</v>
      </c>
      <c r="F23" s="27">
        <v>2</v>
      </c>
      <c r="G23" t="s">
        <v>258</v>
      </c>
      <c r="H23" s="27">
        <f>F23*G23</f>
        <v>2460</v>
      </c>
      <c r="I23" t="s">
        <v>259</v>
      </c>
      <c r="J23" s="27">
        <v>1.79</v>
      </c>
      <c r="K23" s="27">
        <v>2.5</v>
      </c>
      <c r="L23" s="27">
        <f>H23</f>
        <v>2460</v>
      </c>
      <c r="M23" s="27">
        <f>ROUND(L23*I23%,2)</f>
        <v>24.6</v>
      </c>
      <c r="N23" s="27">
        <f>H23-M23</f>
        <v>2435.4</v>
      </c>
      <c r="O23" s="27">
        <f>ROUND(N23*J23%,2)</f>
        <v>43.59</v>
      </c>
      <c r="P23" s="27">
        <f>ROUND(N23-O23,2)</f>
        <v>2391.81</v>
      </c>
      <c r="Q23" s="27">
        <f>ROUND(P23*K23%,2)</f>
        <v>59.8</v>
      </c>
      <c r="R23" s="27">
        <f>M23+O23+Q23</f>
        <v>127.99</v>
      </c>
      <c r="S23" s="27">
        <f>(H23-R23)</f>
        <v>2332.01</v>
      </c>
      <c r="T23" s="27" t="s">
        <v>146</v>
      </c>
      <c r="U23" s="27">
        <v>0.18</v>
      </c>
      <c r="V23" s="27">
        <f>IF($C$21=1,ROUND(((S23*U23)/2),2),0)</f>
        <v>209.88</v>
      </c>
      <c r="W23" s="27">
        <f>IF($C$21=1,ROUND(((S23*U23)/2),2),0)</f>
        <v>209.88</v>
      </c>
      <c r="X23" s="27">
        <f>IF($C$21=2,ROUND(((S23*U23)),2),0)</f>
        <v>0</v>
      </c>
      <c r="Y23" s="27">
        <f>V23+W23+X23</f>
        <v>419.76</v>
      </c>
      <c r="Z23" s="27">
        <f t="shared" ref="Z23:Z24" si="1">S23+Y23</f>
        <v>2751.77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2332.01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1166.005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1166.005</v>
      </c>
      <c r="AP23" s="54" t="s">
        <v>217</v>
      </c>
      <c r="AQ23" s="54" t="s">
        <v>58</v>
      </c>
      <c r="AR23" t="s">
        <v>260</v>
      </c>
      <c r="AS23" t="s">
        <v>261</v>
      </c>
      <c r="AT23" s="54">
        <f>AJ23</f>
        <v>2</v>
      </c>
      <c r="AU23" s="54">
        <f>AO23</f>
        <v>1166.005</v>
      </c>
      <c r="AV23" s="54">
        <f>AR23+AT23</f>
        <v>422</v>
      </c>
      <c r="AW23" s="54">
        <f>ROUND(((AR23*AS23)+(AT23*AU23))/(AR23+AT23),5)</f>
        <v>1182.51124</v>
      </c>
      <c r="AX23" s="79"/>
      <c r="AY23" s="79" t="s">
        <v>149</v>
      </c>
      <c r="AZ23" s="80" t="s">
        <v>38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31</v>
      </c>
      <c r="BJ23" t="s">
        <v>262</v>
      </c>
      <c r="BK23" t="s">
        <v>263</v>
      </c>
      <c r="BL23" s="54">
        <f>ROUND((((AT23*AW23)+(BK23*BJ23))/(AT23+BK23)),5)</f>
        <v>1158.58513</v>
      </c>
      <c r="BM23" s="60">
        <f>BK23+AT23</f>
        <v>204</v>
      </c>
    </row>
    <row r="24" ht="15.15" spans="1:65">
      <c r="A24" s="26">
        <v>2</v>
      </c>
      <c r="B24" s="90" t="s">
        <v>264</v>
      </c>
      <c r="C24" s="26" t="s">
        <v>60</v>
      </c>
      <c r="D24" s="26" t="s">
        <v>58</v>
      </c>
      <c r="E24" s="26" t="s">
        <v>58</v>
      </c>
      <c r="F24" s="27">
        <v>3</v>
      </c>
      <c r="G24" t="s">
        <v>265</v>
      </c>
      <c r="H24" s="27">
        <f t="shared" ref="H24" si="6">F24*G24</f>
        <v>759</v>
      </c>
      <c r="I24" t="s">
        <v>259</v>
      </c>
      <c r="J24" s="27">
        <v>1.68</v>
      </c>
      <c r="K24" s="27">
        <v>2.5</v>
      </c>
      <c r="L24" s="27">
        <f>H24</f>
        <v>759</v>
      </c>
      <c r="M24" s="27">
        <f>ROUND(L24*I24%,2)</f>
        <v>7.59</v>
      </c>
      <c r="N24" s="27">
        <f t="shared" ref="N24" si="7">H24-M24</f>
        <v>751.41</v>
      </c>
      <c r="O24" s="27">
        <f t="shared" ref="O24" si="8">ROUND(N24*J24%,2)</f>
        <v>12.62</v>
      </c>
      <c r="P24" s="27">
        <f t="shared" ref="P24" si="9">ROUND(N24-O24,2)</f>
        <v>738.79</v>
      </c>
      <c r="Q24" s="27">
        <f t="shared" ref="Q24" si="10">ROUND(P24*K24%,2)</f>
        <v>18.47</v>
      </c>
      <c r="R24" s="27">
        <f t="shared" ref="R24" si="11">M24+O24+Q24</f>
        <v>38.68</v>
      </c>
      <c r="S24" s="27">
        <f t="shared" ref="S24" si="12">(H24-R24)</f>
        <v>720.32</v>
      </c>
      <c r="T24" s="27" t="s">
        <v>146</v>
      </c>
      <c r="U24" s="27">
        <v>0.05</v>
      </c>
      <c r="V24" s="27">
        <f t="shared" ref="V24" si="13">IF($C$21=1,ROUND(((S24*U24)/2),2),0)</f>
        <v>18.01</v>
      </c>
      <c r="W24" s="27">
        <f t="shared" ref="W24" si="14">IF($C$21=1,ROUND(((S24*U24)/2),2),0)</f>
        <v>18.01</v>
      </c>
      <c r="X24" s="27">
        <f t="shared" ref="X24" si="15">IF($C$21=2,ROUND(((S24*U24)),2),0)</f>
        <v>0</v>
      </c>
      <c r="Y24" s="27">
        <f t="shared" ref="Y24" si="16">V24+W24+X24</f>
        <v>36.02</v>
      </c>
      <c r="Z24" s="27">
        <f t="shared" si="1"/>
        <v>756.34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720.32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7">AF24/AJ24</f>
        <v>240.106666666667</v>
      </c>
      <c r="AL24" s="27">
        <f t="shared" ref="AL24" si="18">AG24/AJ24</f>
        <v>0</v>
      </c>
      <c r="AM24" s="27">
        <f t="shared" ref="AM24" si="19">AH24/AJ24</f>
        <v>0</v>
      </c>
      <c r="AN24" s="27" t="s">
        <v>58</v>
      </c>
      <c r="AO24" s="27">
        <f t="shared" ref="AO24" si="20">AK24+AL24+AM24</f>
        <v>240.106666666667</v>
      </c>
      <c r="AP24" s="54" t="s">
        <v>217</v>
      </c>
      <c r="AQ24" s="54" t="s">
        <v>58</v>
      </c>
      <c r="AR24" t="s">
        <v>266</v>
      </c>
      <c r="AS24" t="s">
        <v>267</v>
      </c>
      <c r="AT24" s="54">
        <f t="shared" ref="AT24" si="21">AJ24</f>
        <v>3</v>
      </c>
      <c r="AU24" s="54">
        <f>AO24</f>
        <v>240.106666666667</v>
      </c>
      <c r="AV24" s="54">
        <f t="shared" ref="AV24" si="22">AR24+AT24</f>
        <v>343</v>
      </c>
      <c r="AW24" s="54">
        <f>ROUND(((AR24*AS24)+(AT24*AU24))/(AR24+AT24),5)</f>
        <v>249.1117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31</v>
      </c>
      <c r="BJ24" t="s">
        <v>268</v>
      </c>
      <c r="BK24" t="s">
        <v>269</v>
      </c>
      <c r="BL24" s="54">
        <f>ROUND((((AT24*AW24)+(BK24*BJ24))/(AT24+BK24)),5)</f>
        <v>247.4581</v>
      </c>
      <c r="BM24" s="60">
        <f t="shared" ref="BM24" si="23">BK24+AT24</f>
        <v>315</v>
      </c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3219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166.67</v>
      </c>
      <c r="S25" s="47">
        <f>SUM(S23:S24)</f>
        <v>3052.33</v>
      </c>
      <c r="T25" s="31"/>
      <c r="U25" s="31"/>
      <c r="V25" s="75">
        <f t="shared" ref="V25:AB25" si="24">SUM(V23:V24)</f>
        <v>227.89</v>
      </c>
      <c r="W25" s="75">
        <f t="shared" si="24"/>
        <v>227.89</v>
      </c>
      <c r="X25" s="75">
        <f t="shared" si="24"/>
        <v>0</v>
      </c>
      <c r="Y25" s="31">
        <f t="shared" si="24"/>
        <v>455.78</v>
      </c>
      <c r="Z25" s="50">
        <f t="shared" si="24"/>
        <v>3508.11</v>
      </c>
      <c r="AA25" s="51">
        <f t="shared" si="24"/>
        <v>320</v>
      </c>
      <c r="AB25" s="51">
        <f t="shared" si="24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3052.33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30" ht="15.15"/>
    <row r="31" ht="15.15" spans="57:58">
      <c r="BE31" s="88" t="s">
        <v>31</v>
      </c>
      <c r="BF31" s="88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27"/>
  <sheetViews>
    <sheetView topLeftCell="AH13" workbookViewId="0">
      <selection activeCell="AT28" sqref="AT28"/>
    </sheetView>
  </sheetViews>
  <sheetFormatPr defaultColWidth="9" defaultRowHeight="14.4"/>
  <cols>
    <col min="2" max="2" width="16.4259259259259" customWidth="1"/>
    <col min="8" max="8" width="11.8518518518519" customWidth="1"/>
    <col min="46" max="46" width="11.4259259259259" customWidth="1"/>
    <col min="47" max="47" width="16.287037037037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2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270</v>
      </c>
      <c r="C23" s="26" t="s">
        <v>57</v>
      </c>
      <c r="D23" s="26" t="s">
        <v>58</v>
      </c>
      <c r="E23" s="26" t="s">
        <v>58</v>
      </c>
      <c r="F23" s="27">
        <v>2</v>
      </c>
      <c r="G23" t="s">
        <v>258</v>
      </c>
      <c r="H23" s="27">
        <f>F23*G23</f>
        <v>2460</v>
      </c>
      <c r="I23" t="s">
        <v>271</v>
      </c>
      <c r="J23" s="27">
        <v>1.79</v>
      </c>
      <c r="K23" s="27">
        <v>2.5</v>
      </c>
      <c r="L23" s="27">
        <f>H23</f>
        <v>2460</v>
      </c>
      <c r="M23" s="27">
        <f>ROUND(L23*I23%,2)</f>
        <v>51.66</v>
      </c>
      <c r="N23" s="27">
        <f>H23-M23</f>
        <v>2408.34</v>
      </c>
      <c r="O23" s="27">
        <f>ROUND(N23*J23%,2)</f>
        <v>43.11</v>
      </c>
      <c r="P23" s="27">
        <f>ROUND(N23-O23,2)</f>
        <v>2365.23</v>
      </c>
      <c r="Q23" s="27">
        <f>ROUND(P23*K23%,2)</f>
        <v>59.13</v>
      </c>
      <c r="R23" s="27">
        <f>M23+O23+Q23</f>
        <v>153.9</v>
      </c>
      <c r="S23" s="27">
        <f>(H23-R23)</f>
        <v>2306.1</v>
      </c>
      <c r="T23" s="27" t="s">
        <v>146</v>
      </c>
      <c r="U23" s="27">
        <v>0.18</v>
      </c>
      <c r="V23" s="27">
        <f>IF($C$21=1,ROUND(((S23*U23)/2),2),0)</f>
        <v>0</v>
      </c>
      <c r="W23" s="27">
        <f>IF($C$21=1,ROUND(((S23*U23)/2),2),0)</f>
        <v>0</v>
      </c>
      <c r="X23" s="27">
        <f>IF($C$21=2,ROUND(((S23*U23)),2),0)</f>
        <v>415.1</v>
      </c>
      <c r="Y23" s="27">
        <f>V23+W23+X23</f>
        <v>415.1</v>
      </c>
      <c r="Z23" s="27">
        <f t="shared" ref="Z23:Z24" si="1">S23+Y23</f>
        <v>2721.2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2306.1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1153.05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1153.05</v>
      </c>
      <c r="AP23" s="54" t="s">
        <v>272</v>
      </c>
      <c r="AQ23" s="54" t="s">
        <v>58</v>
      </c>
      <c r="AR23" t="s">
        <v>273</v>
      </c>
      <c r="AS23" t="s">
        <v>274</v>
      </c>
      <c r="AT23" s="54">
        <f>AJ23</f>
        <v>2</v>
      </c>
      <c r="AU23" s="54">
        <f>AO23</f>
        <v>1153.05</v>
      </c>
      <c r="AV23" s="54">
        <f>AR23+AT23</f>
        <v>70</v>
      </c>
      <c r="AW23" s="54">
        <f>ROUND(((AR23*AS23)+(AT23*AU23))/(AR23+AT23),5)</f>
        <v>1202.70943</v>
      </c>
      <c r="AX23" s="79"/>
      <c r="AY23" s="79" t="s">
        <v>149</v>
      </c>
      <c r="AZ23" s="80" t="s">
        <v>38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82" t="s">
        <v>275</v>
      </c>
      <c r="BJ23" t="s">
        <v>274</v>
      </c>
      <c r="BK23" t="s">
        <v>276</v>
      </c>
      <c r="BL23" s="54">
        <f>ROUND((((AT23*AW23)+(BK23*BJ23))/(AT23+BK23)),5)</f>
        <v>1204.16425</v>
      </c>
      <c r="BM23" s="60">
        <f>BK23+AT23</f>
        <v>508</v>
      </c>
    </row>
    <row r="24" ht="15.15" spans="1:65">
      <c r="A24" s="26">
        <v>2</v>
      </c>
      <c r="B24" s="26" t="s">
        <v>277</v>
      </c>
      <c r="C24" s="26" t="s">
        <v>60</v>
      </c>
      <c r="D24" s="26" t="s">
        <v>58</v>
      </c>
      <c r="E24" s="26" t="s">
        <v>58</v>
      </c>
      <c r="F24" s="27">
        <v>3</v>
      </c>
      <c r="G24" t="s">
        <v>278</v>
      </c>
      <c r="H24" s="27">
        <f t="shared" ref="H24" si="6">F24*G24</f>
        <v>3729</v>
      </c>
      <c r="I24" t="s">
        <v>228</v>
      </c>
      <c r="J24" s="27">
        <v>1.68</v>
      </c>
      <c r="K24" s="27">
        <v>2.5</v>
      </c>
      <c r="L24" s="27">
        <f>H24</f>
        <v>3729</v>
      </c>
      <c r="M24" s="27">
        <f>ROUND(L24*I24%,2)</f>
        <v>74.58</v>
      </c>
      <c r="N24" s="27">
        <f t="shared" ref="N24" si="7">H24-M24</f>
        <v>3654.42</v>
      </c>
      <c r="O24" s="27">
        <f t="shared" ref="O24" si="8">ROUND(N24*J24%,2)</f>
        <v>61.39</v>
      </c>
      <c r="P24" s="27">
        <f t="shared" ref="P24" si="9">ROUND(N24-O24,2)</f>
        <v>3593.03</v>
      </c>
      <c r="Q24" s="27">
        <f t="shared" ref="Q24" si="10">ROUND(P24*K24%,2)</f>
        <v>89.83</v>
      </c>
      <c r="R24" s="27">
        <f t="shared" ref="R24" si="11">M24+O24+Q24</f>
        <v>225.8</v>
      </c>
      <c r="S24" s="27">
        <f t="shared" ref="S24" si="12">(H24-R24)</f>
        <v>3503.2</v>
      </c>
      <c r="T24" s="27" t="s">
        <v>146</v>
      </c>
      <c r="U24" s="27">
        <v>0.18</v>
      </c>
      <c r="V24" s="27">
        <f t="shared" ref="V24" si="13">IF($C$21=1,ROUND(((S24*U24)/2),2),0)</f>
        <v>0</v>
      </c>
      <c r="W24" s="27">
        <f t="shared" ref="W24" si="14">IF($C$21=1,ROUND(((S24*U24)/2),2),0)</f>
        <v>0</v>
      </c>
      <c r="X24" s="27">
        <f t="shared" ref="X24" si="15">IF($C$21=2,ROUND(((S24*U24)),2),0)</f>
        <v>630.58</v>
      </c>
      <c r="Y24" s="27">
        <f t="shared" ref="Y24" si="16">V24+W24+X24</f>
        <v>630.58</v>
      </c>
      <c r="Z24" s="27">
        <f t="shared" si="1"/>
        <v>4133.78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3503.2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7">AF24/AJ24</f>
        <v>1167.73333333333</v>
      </c>
      <c r="AL24" s="27">
        <f t="shared" ref="AL24" si="18">AG24/AJ24</f>
        <v>0</v>
      </c>
      <c r="AM24" s="27">
        <f t="shared" ref="AM24" si="19">AH24/AJ24</f>
        <v>0</v>
      </c>
      <c r="AN24" s="27" t="s">
        <v>58</v>
      </c>
      <c r="AO24" s="27">
        <f t="shared" ref="AO24" si="20">AK24+AL24+AM24</f>
        <v>1167.73333333333</v>
      </c>
      <c r="AP24" s="54" t="s">
        <v>272</v>
      </c>
      <c r="AQ24" s="54" t="s">
        <v>58</v>
      </c>
      <c r="AR24" t="s">
        <v>279</v>
      </c>
      <c r="AS24" t="s">
        <v>280</v>
      </c>
      <c r="AT24" s="54">
        <f t="shared" ref="AT24" si="21">AJ24</f>
        <v>3</v>
      </c>
      <c r="AU24" s="54">
        <f>AO24</f>
        <v>1167.73333333333</v>
      </c>
      <c r="AV24" s="54">
        <f>AR24+AT24</f>
        <v>1126</v>
      </c>
      <c r="AW24" s="54">
        <f>ROUND(((AR24*AS24)+(AT24*AU24))/(AR24+AT24),5)</f>
        <v>1218.0057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82" t="s">
        <v>275</v>
      </c>
      <c r="BJ24" t="s">
        <v>280</v>
      </c>
      <c r="BK24" t="s">
        <v>281</v>
      </c>
      <c r="BL24" s="54">
        <f>ROUND((((AT24*AW24)+(BK24*BJ24))/(AT24+BK24)),5)</f>
        <v>1218.13063</v>
      </c>
      <c r="BM24" s="60">
        <f t="shared" ref="BM24" si="22">BK24+AT24</f>
        <v>43</v>
      </c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6189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379.7</v>
      </c>
      <c r="S25" s="47">
        <f>SUM(S23:S24)</f>
        <v>5809.3</v>
      </c>
      <c r="T25" s="31"/>
      <c r="U25" s="31"/>
      <c r="V25" s="75">
        <f t="shared" ref="V25:AB25" si="23">SUM(V23:V24)</f>
        <v>0</v>
      </c>
      <c r="W25" s="75">
        <f t="shared" si="23"/>
        <v>0</v>
      </c>
      <c r="X25" s="75">
        <f t="shared" si="23"/>
        <v>1045.68</v>
      </c>
      <c r="Y25" s="31">
        <f t="shared" si="23"/>
        <v>1045.68</v>
      </c>
      <c r="Z25" s="50">
        <f t="shared" si="23"/>
        <v>6854.98</v>
      </c>
      <c r="AA25" s="51">
        <f t="shared" si="23"/>
        <v>320</v>
      </c>
      <c r="AB25" s="51">
        <f t="shared" si="23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5809.3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6" ht="15.15"/>
    <row r="27" ht="15.15" spans="42:43">
      <c r="AP27" s="88"/>
      <c r="AQ27" s="88"/>
    </row>
  </sheetData>
  <mergeCells count="3">
    <mergeCell ref="A1:Z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5"/>
  <sheetViews>
    <sheetView topLeftCell="E16" workbookViewId="0">
      <selection activeCell="I23" sqref="I23:K23"/>
    </sheetView>
  </sheetViews>
  <sheetFormatPr defaultColWidth="9" defaultRowHeight="14.4"/>
  <cols>
    <col min="2" max="2" width="26.8518518518519" customWidth="1"/>
    <col min="3" max="3" width="19.287037037037" customWidth="1"/>
    <col min="4" max="4" width="62.712962962963" customWidth="1"/>
    <col min="5" max="5" width="10.4259259259259" customWidth="1"/>
    <col min="6" max="6" width="8.28703703703704" customWidth="1"/>
    <col min="7" max="7" width="10.1388888888889" customWidth="1"/>
    <col min="8" max="8" width="11.8518518518519" customWidth="1"/>
    <col min="32" max="32" width="14.287037037037" customWidth="1"/>
    <col min="40" max="40" width="11.8518518518519" customWidth="1"/>
    <col min="41" max="41" width="23.287037037037" customWidth="1"/>
    <col min="42" max="42" width="11.1388888888889" customWidth="1"/>
    <col min="43" max="43" width="11.8518518518519" customWidth="1"/>
    <col min="44" max="44" width="15.287037037037" customWidth="1"/>
    <col min="45" max="45" width="20.287037037037" customWidth="1"/>
    <col min="46" max="46" width="11.4259259259259" customWidth="1"/>
    <col min="47" max="47" width="16.287037037037" customWidth="1"/>
    <col min="48" max="48" width="13.8518518518519" customWidth="1"/>
    <col min="49" max="49" width="18.8518518518519" customWidth="1"/>
    <col min="50" max="50" width="19" customWidth="1"/>
    <col min="51" max="51" width="21.712962962963" customWidth="1"/>
    <col min="52" max="52" width="16" customWidth="1"/>
    <col min="53" max="53" width="14.287037037037" customWidth="1"/>
    <col min="54" max="54" width="17.287037037037" customWidth="1"/>
    <col min="55" max="55" width="13.712962962963" customWidth="1"/>
    <col min="56" max="56" width="12.4259259259259" customWidth="1"/>
    <col min="57" max="57" width="12.5740740740741" customWidth="1"/>
    <col min="58" max="58" width="21.712962962963" customWidth="1"/>
    <col min="59" max="59" width="30.5740740740741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2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282</v>
      </c>
      <c r="C23" s="26" t="s">
        <v>57</v>
      </c>
      <c r="D23" s="26" t="s">
        <v>58</v>
      </c>
      <c r="E23" s="26" t="s">
        <v>58</v>
      </c>
      <c r="F23" s="27">
        <v>25</v>
      </c>
      <c r="G23" s="27">
        <v>34</v>
      </c>
      <c r="H23" s="27">
        <f>F23*G23</f>
        <v>850</v>
      </c>
      <c r="I23" s="27">
        <v>2.21</v>
      </c>
      <c r="J23" s="27">
        <v>1.79</v>
      </c>
      <c r="K23" s="27">
        <v>2.5</v>
      </c>
      <c r="L23" s="27">
        <f>H23</f>
        <v>850</v>
      </c>
      <c r="M23" s="27">
        <f>ROUND(L23*I23%,2)</f>
        <v>18.79</v>
      </c>
      <c r="N23" s="27">
        <f>H23-M23</f>
        <v>831.21</v>
      </c>
      <c r="O23" s="27">
        <f>ROUND(N23*J23%,2)</f>
        <v>14.88</v>
      </c>
      <c r="P23" s="27">
        <f>ROUND(N23-O23,2)</f>
        <v>816.33</v>
      </c>
      <c r="Q23" s="27">
        <f>ROUND(P23*K23%,2)</f>
        <v>20.41</v>
      </c>
      <c r="R23" s="27">
        <f>M23+O23+Q23</f>
        <v>54.08</v>
      </c>
      <c r="S23" s="27">
        <f>(H23-R23)</f>
        <v>795.92</v>
      </c>
      <c r="T23" s="27" t="s">
        <v>146</v>
      </c>
      <c r="U23" s="27">
        <v>0.18</v>
      </c>
      <c r="V23" s="27">
        <f>IF($C$21=1,ROUND(((S23*U23)/2),2),0)</f>
        <v>0</v>
      </c>
      <c r="W23" s="27">
        <f>IF($C$21=1,ROUND(((S23*U23)/2),2),0)</f>
        <v>0</v>
      </c>
      <c r="X23" s="27">
        <f>IF($C$21=2,ROUND(((S23*U23)),2),0)</f>
        <v>143.27</v>
      </c>
      <c r="Y23" s="27">
        <f>V23+W23+X23</f>
        <v>143.27</v>
      </c>
      <c r="Z23" s="27">
        <f t="shared" ref="Z23:Z24" si="1">S23+Y23</f>
        <v>939.19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795.92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25</v>
      </c>
      <c r="AK23" s="27">
        <f>AF23/AJ23</f>
        <v>31.8368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31.8368</v>
      </c>
      <c r="AP23" s="54" t="s">
        <v>272</v>
      </c>
      <c r="AQ23" s="54" t="s">
        <v>58</v>
      </c>
      <c r="AT23" s="54">
        <f>AJ23</f>
        <v>25</v>
      </c>
      <c r="AU23" s="54">
        <f>AO23</f>
        <v>31.8368</v>
      </c>
      <c r="AV23" s="54">
        <f>AR23+AT23</f>
        <v>25</v>
      </c>
      <c r="AW23" s="54">
        <f>ROUND(((AR23*AS23)+(AT23*AU23))/(AR23+AT23),5)</f>
        <v>31.8368</v>
      </c>
      <c r="AX23" s="79"/>
      <c r="AY23" s="79" t="s">
        <v>149</v>
      </c>
      <c r="AZ23" s="81" t="s">
        <v>29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54" t="s">
        <v>275</v>
      </c>
      <c r="BJ23" t="s">
        <v>218</v>
      </c>
      <c r="BK23" t="s">
        <v>218</v>
      </c>
      <c r="BL23" s="54">
        <f>ROUND((((AT23*AW23)+(BK23*BJ23))/(AT23+BK23)),5)</f>
        <v>31.8368</v>
      </c>
      <c r="BM23" s="60">
        <f>BK23+AT23</f>
        <v>25</v>
      </c>
    </row>
    <row r="24" ht="15.15" spans="1:65">
      <c r="A24" s="26">
        <v>2</v>
      </c>
      <c r="B24" s="26" t="s">
        <v>283</v>
      </c>
      <c r="C24" s="26" t="s">
        <v>60</v>
      </c>
      <c r="D24" s="26" t="s">
        <v>58</v>
      </c>
      <c r="E24" s="26" t="s">
        <v>58</v>
      </c>
      <c r="F24" s="27">
        <v>35</v>
      </c>
      <c r="G24" s="27">
        <v>30</v>
      </c>
      <c r="H24" s="27">
        <f t="shared" ref="H24" si="6">F24*G24</f>
        <v>1050</v>
      </c>
      <c r="I24" s="27">
        <v>1.25</v>
      </c>
      <c r="J24" s="27">
        <v>1.68</v>
      </c>
      <c r="K24" s="27">
        <v>2.5</v>
      </c>
      <c r="L24" s="27">
        <f>H24</f>
        <v>1050</v>
      </c>
      <c r="M24" s="27">
        <f>ROUND(L24*I24%,2)</f>
        <v>13.13</v>
      </c>
      <c r="N24" s="27">
        <f t="shared" ref="N24" si="7">H24-M24</f>
        <v>1036.87</v>
      </c>
      <c r="O24" s="27">
        <f t="shared" ref="O24" si="8">ROUND(N24*J24%,2)</f>
        <v>17.42</v>
      </c>
      <c r="P24" s="27">
        <f t="shared" ref="P24" si="9">ROUND(N24-O24,2)</f>
        <v>1019.45</v>
      </c>
      <c r="Q24" s="27">
        <f t="shared" ref="Q24" si="10">ROUND(P24*K24%,2)</f>
        <v>25.49</v>
      </c>
      <c r="R24" s="27">
        <f t="shared" ref="R24" si="11">M24+O24+Q24</f>
        <v>56.04</v>
      </c>
      <c r="S24" s="27">
        <f t="shared" ref="S24" si="12">(H24-R24)</f>
        <v>993.96</v>
      </c>
      <c r="T24" s="27" t="s">
        <v>146</v>
      </c>
      <c r="U24" s="27">
        <v>0.18</v>
      </c>
      <c r="V24" s="27">
        <f t="shared" ref="V24" si="13">IF($C$21=1,ROUND(((S24*U24)/2),2),0)</f>
        <v>0</v>
      </c>
      <c r="W24" s="27">
        <f t="shared" ref="W24" si="14">IF($C$21=1,ROUND(((S24*U24)/2),2),0)</f>
        <v>0</v>
      </c>
      <c r="X24" s="27">
        <f t="shared" ref="X24" si="15">IF($C$21=2,ROUND(((S24*U24)),2),0)</f>
        <v>178.91</v>
      </c>
      <c r="Y24" s="27">
        <f t="shared" ref="Y24" si="16">V24+W24+X24</f>
        <v>178.91</v>
      </c>
      <c r="Z24" s="27">
        <f t="shared" si="1"/>
        <v>1172.87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993.96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35</v>
      </c>
      <c r="AK24" s="27">
        <f t="shared" ref="AK24" si="17">AF24/AJ24</f>
        <v>28.3988571428571</v>
      </c>
      <c r="AL24" s="27">
        <f t="shared" ref="AL24" si="18">AG24/AJ24</f>
        <v>0</v>
      </c>
      <c r="AM24" s="27">
        <f t="shared" ref="AM24" si="19">AH24/AJ24</f>
        <v>0</v>
      </c>
      <c r="AN24" s="27" t="s">
        <v>58</v>
      </c>
      <c r="AO24" s="27">
        <f t="shared" ref="AO24" si="20">AK24+AL24+AM24</f>
        <v>28.3988571428571</v>
      </c>
      <c r="AP24" s="54" t="s">
        <v>272</v>
      </c>
      <c r="AQ24" s="54" t="s">
        <v>58</v>
      </c>
      <c r="AT24" s="54">
        <f t="shared" ref="AT24" si="21">AJ24</f>
        <v>35</v>
      </c>
      <c r="AU24" s="54">
        <f>AO24</f>
        <v>28.3988571428571</v>
      </c>
      <c r="AV24" s="54">
        <f t="shared" ref="AV24" si="22">AR24+AT24</f>
        <v>35</v>
      </c>
      <c r="AW24" s="54">
        <f>ROUND(((AR24*AS24)+(AT24*AU24))/(AR24+AT24),5)</f>
        <v>28.39886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54" t="s">
        <v>275</v>
      </c>
      <c r="BJ24" t="s">
        <v>218</v>
      </c>
      <c r="BK24" t="s">
        <v>218</v>
      </c>
      <c r="BL24" s="54">
        <f>ROUND((((AT24*AW24)+(BK24*BJ24))/(AT24+BK24)),5)</f>
        <v>28.39886</v>
      </c>
      <c r="BM24" s="60">
        <f t="shared" ref="BM24" si="23">BK24+AT24</f>
        <v>35</v>
      </c>
    </row>
    <row r="25" ht="15.15" spans="1:42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1900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110.12</v>
      </c>
      <c r="S25" s="47">
        <f>SUM(S23:S24)</f>
        <v>1789.88</v>
      </c>
      <c r="T25" s="31"/>
      <c r="U25" s="31"/>
      <c r="V25" s="75">
        <f t="shared" ref="V25:AB25" si="24">SUM(V23:V24)</f>
        <v>0</v>
      </c>
      <c r="W25" s="75">
        <f t="shared" si="24"/>
        <v>0</v>
      </c>
      <c r="X25" s="75">
        <f t="shared" si="24"/>
        <v>322.18</v>
      </c>
      <c r="Y25" s="31">
        <f t="shared" si="24"/>
        <v>322.18</v>
      </c>
      <c r="Z25" s="50">
        <f t="shared" si="24"/>
        <v>2112.06</v>
      </c>
      <c r="AA25" s="51">
        <f t="shared" si="24"/>
        <v>320</v>
      </c>
      <c r="AB25" s="51">
        <f t="shared" si="24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1789.88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</row>
    <row r="26" ht="15.15" spans="1:60">
      <c r="A26" s="17"/>
      <c r="B26" s="67"/>
      <c r="C26" s="6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88"/>
      <c r="AQ26" s="88"/>
      <c r="BG26" s="88"/>
      <c r="BH26" s="88"/>
    </row>
    <row r="27" ht="15.15" spans="60:61">
      <c r="BH27" s="89"/>
      <c r="BI27" s="89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24"/>
  <sheetViews>
    <sheetView topLeftCell="A16" workbookViewId="0">
      <selection activeCell="B23" sqref="B23"/>
    </sheetView>
  </sheetViews>
  <sheetFormatPr defaultColWidth="9" defaultRowHeight="14.4"/>
  <cols>
    <col min="1" max="1" width="24.5740740740741" customWidth="1"/>
    <col min="2" max="2" width="17.287037037037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0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130</v>
      </c>
      <c r="AQ22" s="4" t="s">
        <v>128</v>
      </c>
      <c r="AR22" s="53" t="s">
        <v>131</v>
      </c>
      <c r="AS22" s="53" t="s">
        <v>132</v>
      </c>
      <c r="AT22" s="83" t="s">
        <v>133</v>
      </c>
      <c r="AU22" s="8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140</v>
      </c>
      <c r="BD22" s="53" t="s">
        <v>141</v>
      </c>
      <c r="BE22" s="83" t="s">
        <v>142</v>
      </c>
      <c r="BF22" s="83" t="s">
        <v>143</v>
      </c>
      <c r="BG22" s="83" t="s">
        <v>144</v>
      </c>
      <c r="BH22" s="86"/>
    </row>
    <row r="23" ht="15.15" spans="1:60">
      <c r="A23" s="26">
        <v>1</v>
      </c>
      <c r="B23" s="26" t="s">
        <v>284</v>
      </c>
      <c r="C23" s="26" t="s">
        <v>57</v>
      </c>
      <c r="D23" s="26" t="s">
        <v>58</v>
      </c>
      <c r="E23" s="26" t="s">
        <v>58</v>
      </c>
      <c r="F23" s="61">
        <v>2</v>
      </c>
      <c r="G23" t="s">
        <v>285</v>
      </c>
      <c r="H23" s="45">
        <f>F23*G23</f>
        <v>1350</v>
      </c>
      <c r="I23" t="s">
        <v>286</v>
      </c>
      <c r="J23" s="27">
        <v>1.79</v>
      </c>
      <c r="K23" s="27">
        <v>2.5</v>
      </c>
      <c r="L23" s="27">
        <f>H23</f>
        <v>1350</v>
      </c>
      <c r="M23" s="27">
        <f>ROUND(L23*I23%,2)</f>
        <v>18.09</v>
      </c>
      <c r="N23" s="27">
        <f>H23-M23</f>
        <v>1331.91</v>
      </c>
      <c r="O23" s="27">
        <f>ROUND(N23*J23%,2)</f>
        <v>23.84</v>
      </c>
      <c r="P23" s="27">
        <f>ROUND(N23-O23,2)</f>
        <v>1308.07</v>
      </c>
      <c r="Q23" s="27">
        <f>ROUND(P23*K23%,2)</f>
        <v>32.7</v>
      </c>
      <c r="R23" s="27">
        <f>M23+O23+Q23</f>
        <v>74.63</v>
      </c>
      <c r="S23" s="27">
        <f>(H23-R23)</f>
        <v>1275.37</v>
      </c>
      <c r="T23" s="45" t="s">
        <v>146</v>
      </c>
      <c r="U23" s="46">
        <v>0.18</v>
      </c>
      <c r="V23" s="27">
        <f>IF($C$21=1,ROUND(((S23*U23)/2),2),0)</f>
        <v>114.78</v>
      </c>
      <c r="W23" s="27">
        <f>IF($C$21=1,ROUND(((S23*U23)/2),2),0)</f>
        <v>114.78</v>
      </c>
      <c r="X23" s="27">
        <f>IF($C$21=2,ROUND(((S23*U23)),2),0)</f>
        <v>0</v>
      </c>
      <c r="Y23" s="27">
        <f>V23+W23+X23</f>
        <v>229.56</v>
      </c>
      <c r="Z23" s="27">
        <f t="shared" ref="Z23" si="1">S23+Y23</f>
        <v>1504.93</v>
      </c>
      <c r="AA23" s="45">
        <v>120</v>
      </c>
      <c r="AB23" s="45">
        <f>IF($P$21=1,(S23/$S$24)*$E$35,AA23/$AA$24*$E$35)</f>
        <v>0</v>
      </c>
      <c r="AC23" s="45"/>
      <c r="AD23" s="45">
        <f>IF($P$21=1,(S23/$S$24)*$E$37,AA23/$AA$24*$E$37)</f>
        <v>0</v>
      </c>
      <c r="AE23" s="45">
        <f>IF($P$21=1,(S23/$S$24)*$E$37,AA23/$AA$24*$E$37)</f>
        <v>0</v>
      </c>
      <c r="AF23" s="45">
        <f t="shared" ref="AF23" si="2">S23*$M$21</f>
        <v>1275.37</v>
      </c>
      <c r="AG23" s="45">
        <f t="shared" ref="AG23" si="3">IF($C$21=3,0,AD23+AE23)</f>
        <v>0</v>
      </c>
      <c r="AH23" s="45">
        <f t="shared" ref="AH23" si="4">IF($C$21=3,AB23+AD23+AE23,0)</f>
        <v>0</v>
      </c>
      <c r="AI23" s="61">
        <v>1</v>
      </c>
      <c r="AJ23" s="45">
        <f t="shared" ref="AJ23" si="5">F23/AI23</f>
        <v>2</v>
      </c>
      <c r="AK23" s="45">
        <f>AF23/AJ23</f>
        <v>637.685</v>
      </c>
      <c r="AL23" s="45">
        <f>AG23/AJ23</f>
        <v>0</v>
      </c>
      <c r="AM23" s="45">
        <f>AH23/AJ23</f>
        <v>0</v>
      </c>
      <c r="AN23" s="45" t="s">
        <v>58</v>
      </c>
      <c r="AO23" s="45">
        <f>AK23+AL23+AM23</f>
        <v>637.685</v>
      </c>
      <c r="AP23" s="8" t="s">
        <v>31</v>
      </c>
      <c r="AQ23" s="8" t="s">
        <v>58</v>
      </c>
      <c r="AR23" t="s">
        <v>147</v>
      </c>
      <c r="AS23" t="s">
        <v>148</v>
      </c>
      <c r="AT23" s="56">
        <f>AJ23</f>
        <v>2</v>
      </c>
      <c r="AU23" s="56">
        <f>AO23</f>
        <v>637.685</v>
      </c>
      <c r="AV23" s="10">
        <f>AR23+AT23</f>
        <v>1154.6</v>
      </c>
      <c r="AW23" s="8">
        <f>ROUND(((AR23*AS23)+(AT23*AU23))/(AR23+AT23),5)</f>
        <v>139.15305</v>
      </c>
      <c r="AX23" s="56"/>
      <c r="AY23" s="56" t="s">
        <v>149</v>
      </c>
      <c r="AZ23" s="84" t="s">
        <v>29</v>
      </c>
      <c r="BA23" s="56"/>
      <c r="BB23" s="56"/>
      <c r="BC23" s="85"/>
      <c r="BD23" s="56"/>
      <c r="BE23" s="8"/>
      <c r="BF23" s="8"/>
      <c r="BG23" s="8"/>
      <c r="BH23" s="87"/>
    </row>
    <row r="24" ht="15.15" spans="1:42">
      <c r="A24" s="17"/>
      <c r="B24" s="67"/>
      <c r="C24" s="67"/>
      <c r="D24" s="29" t="s">
        <v>87</v>
      </c>
      <c r="E24" s="29"/>
      <c r="F24" s="29"/>
      <c r="G24" s="30"/>
      <c r="H24" s="31">
        <f>SUM(H23:H23)</f>
        <v>1350</v>
      </c>
      <c r="I24" s="26"/>
      <c r="J24" s="26"/>
      <c r="K24" s="26"/>
      <c r="L24" s="26"/>
      <c r="M24" s="26"/>
      <c r="N24" s="26"/>
      <c r="O24" s="26"/>
      <c r="P24" s="26"/>
      <c r="Q24" s="26"/>
      <c r="R24" s="31">
        <f>SUM(R23:R23)</f>
        <v>74.63</v>
      </c>
      <c r="S24" s="47">
        <f>SUM(S23:S23)</f>
        <v>1275.37</v>
      </c>
      <c r="T24" s="31"/>
      <c r="U24" s="31"/>
      <c r="V24" s="75">
        <f t="shared" ref="V24:AB24" si="6">SUM(V23:V23)</f>
        <v>114.78</v>
      </c>
      <c r="W24" s="75">
        <f t="shared" si="6"/>
        <v>114.78</v>
      </c>
      <c r="X24" s="75">
        <f t="shared" si="6"/>
        <v>0</v>
      </c>
      <c r="Y24" s="31">
        <f t="shared" si="6"/>
        <v>229.56</v>
      </c>
      <c r="Z24" s="50">
        <f t="shared" si="6"/>
        <v>1504.93</v>
      </c>
      <c r="AA24" s="51">
        <f t="shared" si="6"/>
        <v>120</v>
      </c>
      <c r="AB24" s="51">
        <f t="shared" si="6"/>
        <v>0</v>
      </c>
      <c r="AC24" s="50"/>
      <c r="AD24" s="51">
        <f>SUM(AD23:AD23)</f>
        <v>0</v>
      </c>
      <c r="AE24" s="51">
        <f>SUM(AE23:AE23)</f>
        <v>0</v>
      </c>
      <c r="AF24" s="51">
        <f>SUM(AF23:AF23)</f>
        <v>1275.37</v>
      </c>
      <c r="AG24" s="51">
        <f>SUM(AG23:AG23)</f>
        <v>0</v>
      </c>
      <c r="AH24" s="51">
        <f>SUM(AH23:AH23)</f>
        <v>0</v>
      </c>
      <c r="AI24" s="50"/>
      <c r="AJ24" s="50"/>
      <c r="AK24" s="50"/>
      <c r="AL24" s="50"/>
      <c r="AM24" s="50"/>
      <c r="AN24" s="50"/>
      <c r="AO24" s="50"/>
      <c r="AP24" s="17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25"/>
  <sheetViews>
    <sheetView topLeftCell="A19" workbookViewId="0">
      <selection activeCell="C21" sqref="C21"/>
    </sheetView>
  </sheetViews>
  <sheetFormatPr defaultColWidth="9" defaultRowHeight="14.4"/>
  <cols>
    <col min="2" max="2" width="19.712962962963" customWidth="1"/>
    <col min="3" max="3" width="19.287037037037" customWidth="1"/>
    <col min="32" max="32" width="14.287037037037" customWidth="1"/>
    <col min="40" max="40" width="11.8518518518519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7.4" spans="1:42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17"/>
      <c r="AP1" s="17"/>
    </row>
    <row r="2" ht="18.15" spans="1:42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7"/>
      <c r="AP2" s="17"/>
    </row>
    <row r="3" ht="15.15" spans="1:42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17"/>
    </row>
    <row r="4" spans="1:42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68"/>
      <c r="J4" s="68"/>
      <c r="K4" s="68"/>
      <c r="L4" s="69"/>
      <c r="M4" s="69"/>
      <c r="N4" s="69"/>
      <c r="O4" s="69"/>
      <c r="P4" s="69"/>
      <c r="Q4" s="69"/>
      <c r="R4" s="69"/>
      <c r="S4" s="69"/>
      <c r="T4" s="69"/>
      <c r="U4" s="68"/>
      <c r="V4" s="68"/>
      <c r="W4" s="68"/>
      <c r="X4" s="68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17"/>
    </row>
    <row r="5" spans="1:42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68"/>
      <c r="J5" s="68"/>
      <c r="K5" s="68"/>
      <c r="L5" s="69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17"/>
    </row>
    <row r="6" spans="1:42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68"/>
      <c r="J6" s="68"/>
      <c r="K6" s="68"/>
      <c r="L6" s="69"/>
      <c r="M6" s="69"/>
      <c r="N6" s="69"/>
      <c r="O6" s="69"/>
      <c r="P6" s="69"/>
      <c r="Q6" s="69"/>
      <c r="R6" s="69"/>
      <c r="S6" s="69"/>
      <c r="T6" s="69"/>
      <c r="U6" s="68"/>
      <c r="V6" s="68"/>
      <c r="W6" s="68"/>
      <c r="X6" s="68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17"/>
    </row>
    <row r="7" spans="1:42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68"/>
      <c r="J7" s="68"/>
      <c r="K7" s="68"/>
      <c r="L7" s="69"/>
      <c r="M7" s="69"/>
      <c r="N7" s="69"/>
      <c r="O7" s="69"/>
      <c r="P7" s="69"/>
      <c r="Q7" s="69"/>
      <c r="R7" s="69"/>
      <c r="S7" s="69"/>
      <c r="T7" s="69"/>
      <c r="U7" s="68"/>
      <c r="V7" s="68"/>
      <c r="W7" s="68"/>
      <c r="X7" s="68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17"/>
    </row>
    <row r="8" spans="1:42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68"/>
      <c r="J8" s="68"/>
      <c r="K8" s="68"/>
      <c r="L8" s="69"/>
      <c r="M8" s="69"/>
      <c r="N8" s="69"/>
      <c r="O8" s="69"/>
      <c r="P8" s="69"/>
      <c r="Q8" s="69"/>
      <c r="R8" s="69"/>
      <c r="S8" s="69"/>
      <c r="T8" s="69"/>
      <c r="U8" s="68"/>
      <c r="V8" s="68"/>
      <c r="W8" s="68"/>
      <c r="X8" s="68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17"/>
    </row>
    <row r="9" spans="1:42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68"/>
      <c r="J9" s="68"/>
      <c r="K9" s="68"/>
      <c r="L9" s="69"/>
      <c r="M9" s="69"/>
      <c r="N9" s="69"/>
      <c r="O9" s="69"/>
      <c r="P9" s="69"/>
      <c r="Q9" s="69"/>
      <c r="R9" s="69"/>
      <c r="S9" s="69"/>
      <c r="T9" s="69"/>
      <c r="U9" s="68"/>
      <c r="V9" s="68"/>
      <c r="W9" s="68"/>
      <c r="X9" s="68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17"/>
    </row>
    <row r="10" spans="1:42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68"/>
      <c r="J10" s="68"/>
      <c r="K10" s="68"/>
      <c r="L10" s="69"/>
      <c r="M10" s="69"/>
      <c r="N10" s="69"/>
      <c r="O10" s="69"/>
      <c r="P10" s="69"/>
      <c r="Q10" s="69"/>
      <c r="R10" s="69"/>
      <c r="S10" s="69"/>
      <c r="T10" s="69"/>
      <c r="U10" s="68"/>
      <c r="V10" s="68"/>
      <c r="W10" s="68"/>
      <c r="X10" s="68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17"/>
    </row>
    <row r="11" spans="1:42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68"/>
      <c r="J11" s="68"/>
      <c r="K11" s="68"/>
      <c r="L11" s="69"/>
      <c r="M11" s="69"/>
      <c r="N11" s="69"/>
      <c r="O11" s="69"/>
      <c r="P11" s="69"/>
      <c r="Q11" s="69"/>
      <c r="R11" s="69"/>
      <c r="S11" s="69"/>
      <c r="T11" s="69"/>
      <c r="U11" s="68"/>
      <c r="V11" s="68"/>
      <c r="W11" s="68"/>
      <c r="X11" s="68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17"/>
    </row>
    <row r="12" spans="1:42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68"/>
      <c r="J12" s="68"/>
      <c r="K12" s="68"/>
      <c r="L12" s="69"/>
      <c r="M12" s="69"/>
      <c r="N12" s="69"/>
      <c r="O12" s="69"/>
      <c r="P12" s="69"/>
      <c r="Q12" s="69"/>
      <c r="R12" s="69"/>
      <c r="S12" s="69"/>
      <c r="T12" s="69"/>
      <c r="U12" s="68"/>
      <c r="V12" s="68"/>
      <c r="W12" s="68"/>
      <c r="X12" s="68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17"/>
    </row>
    <row r="13" spans="1:42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68"/>
      <c r="J13" s="68"/>
      <c r="K13" s="68"/>
      <c r="L13" s="69"/>
      <c r="M13" s="69"/>
      <c r="N13" s="69"/>
      <c r="O13" s="69"/>
      <c r="P13" s="69"/>
      <c r="Q13" s="69"/>
      <c r="R13" s="69"/>
      <c r="S13" s="69"/>
      <c r="T13" s="69"/>
      <c r="U13" s="68"/>
      <c r="V13" s="68"/>
      <c r="W13" s="68"/>
      <c r="X13" s="68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17"/>
    </row>
    <row r="14" spans="1:42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68"/>
      <c r="J14" s="68"/>
      <c r="K14" s="68"/>
      <c r="L14" s="69"/>
      <c r="M14" s="69"/>
      <c r="N14" s="69"/>
      <c r="O14" s="69"/>
      <c r="P14" s="69"/>
      <c r="Q14" s="69"/>
      <c r="R14" s="69"/>
      <c r="S14" s="69"/>
      <c r="T14" s="69"/>
      <c r="U14" s="68"/>
      <c r="V14" s="68"/>
      <c r="W14" s="68"/>
      <c r="X14" s="68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17"/>
    </row>
    <row r="15" spans="1:42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68"/>
      <c r="J15" s="68"/>
      <c r="K15" s="68"/>
      <c r="L15" s="69"/>
      <c r="M15" s="69"/>
      <c r="N15" s="69"/>
      <c r="O15" s="69"/>
      <c r="P15" s="69"/>
      <c r="Q15" s="69"/>
      <c r="R15" s="69"/>
      <c r="S15" s="69"/>
      <c r="T15" s="69"/>
      <c r="U15" s="68"/>
      <c r="V15" s="68"/>
      <c r="W15" s="68"/>
      <c r="X15" s="68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17"/>
    </row>
    <row r="16" spans="1:42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68"/>
      <c r="J16" s="68"/>
      <c r="K16" s="68"/>
      <c r="L16" s="69"/>
      <c r="M16" s="69"/>
      <c r="N16" s="69"/>
      <c r="O16" s="69"/>
      <c r="P16" s="69"/>
      <c r="Q16" s="69"/>
      <c r="R16" s="69"/>
      <c r="S16" s="69"/>
      <c r="T16" s="69"/>
      <c r="U16" s="68"/>
      <c r="V16" s="68"/>
      <c r="W16" s="68"/>
      <c r="X16" s="68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17"/>
    </row>
    <row r="17" spans="1:42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68"/>
      <c r="J17" s="68"/>
      <c r="K17" s="68"/>
      <c r="L17" s="69"/>
      <c r="M17" s="69"/>
      <c r="N17" s="69"/>
      <c r="O17" s="69"/>
      <c r="P17" s="69"/>
      <c r="Q17" s="69"/>
      <c r="R17" s="69"/>
      <c r="S17" s="73">
        <v>5858.27</v>
      </c>
      <c r="T17" s="69"/>
      <c r="U17" s="68"/>
      <c r="V17" s="68"/>
      <c r="W17" s="68"/>
      <c r="X17" s="68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17"/>
    </row>
    <row r="18" ht="15.15" spans="1:42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68"/>
      <c r="J18" s="68"/>
      <c r="K18" s="68"/>
      <c r="L18" s="69"/>
      <c r="M18" s="69"/>
      <c r="N18" s="69"/>
      <c r="O18" s="69"/>
      <c r="P18" s="69"/>
      <c r="Q18" s="69"/>
      <c r="R18" s="69"/>
      <c r="S18" s="69"/>
      <c r="T18" s="69"/>
      <c r="U18" s="68"/>
      <c r="V18" s="68"/>
      <c r="W18" s="68"/>
      <c r="X18" s="68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17"/>
    </row>
    <row r="19" ht="15.15" spans="1:42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70"/>
      <c r="J19" s="70"/>
      <c r="K19" s="70"/>
      <c r="L19" s="70"/>
      <c r="M19" s="70"/>
      <c r="N19" s="70"/>
      <c r="O19" s="70"/>
      <c r="P19" s="70"/>
      <c r="Q19" s="7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17"/>
    </row>
    <row r="20" spans="1:42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17"/>
    </row>
    <row r="21" ht="15.15" spans="1:42">
      <c r="A21" s="22" t="s">
        <v>89</v>
      </c>
      <c r="B21" s="22"/>
      <c r="C21" s="23">
        <v>2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17"/>
    </row>
    <row r="22" ht="56.7" spans="1:65">
      <c r="A22" s="64" t="s">
        <v>48</v>
      </c>
      <c r="B22" s="64" t="s">
        <v>49</v>
      </c>
      <c r="C22" s="65" t="s">
        <v>50</v>
      </c>
      <c r="D22" s="64" t="s">
        <v>51</v>
      </c>
      <c r="E22" s="64" t="s">
        <v>52</v>
      </c>
      <c r="F22" s="66" t="s">
        <v>96</v>
      </c>
      <c r="G22" s="64" t="s">
        <v>54</v>
      </c>
      <c r="H22" s="64" t="s">
        <v>55</v>
      </c>
      <c r="I22" s="71" t="s">
        <v>97</v>
      </c>
      <c r="J22" s="71" t="s">
        <v>98</v>
      </c>
      <c r="K22" s="71" t="s">
        <v>99</v>
      </c>
      <c r="L22" s="72" t="s">
        <v>100</v>
      </c>
      <c r="M22" s="72" t="s">
        <v>101</v>
      </c>
      <c r="N22" s="72" t="s">
        <v>102</v>
      </c>
      <c r="O22" s="72" t="s">
        <v>103</v>
      </c>
      <c r="P22" s="72" t="s">
        <v>104</v>
      </c>
      <c r="Q22" s="72" t="s">
        <v>105</v>
      </c>
      <c r="R22" s="71" t="s">
        <v>106</v>
      </c>
      <c r="S22" s="64" t="s">
        <v>107</v>
      </c>
      <c r="T22" s="64" t="s">
        <v>108</v>
      </c>
      <c r="U22" s="74" t="s">
        <v>109</v>
      </c>
      <c r="V22" s="74" t="s">
        <v>110</v>
      </c>
      <c r="W22" s="74" t="s">
        <v>111</v>
      </c>
      <c r="X22" s="74" t="s">
        <v>112</v>
      </c>
      <c r="Y22" s="74" t="s">
        <v>113</v>
      </c>
      <c r="Z22" s="76" t="s">
        <v>114</v>
      </c>
      <c r="AA22" s="76" t="s">
        <v>115</v>
      </c>
      <c r="AB22" s="77" t="s">
        <v>116</v>
      </c>
      <c r="AC22" s="77" t="s">
        <v>117</v>
      </c>
      <c r="AD22" s="77" t="s">
        <v>118</v>
      </c>
      <c r="AE22" s="76" t="s">
        <v>119</v>
      </c>
      <c r="AF22" s="76" t="s">
        <v>120</v>
      </c>
      <c r="AG22" s="77" t="s">
        <v>121</v>
      </c>
      <c r="AH22" s="77" t="s">
        <v>122</v>
      </c>
      <c r="AI22" s="76" t="s">
        <v>123</v>
      </c>
      <c r="AJ22" s="76" t="s">
        <v>124</v>
      </c>
      <c r="AK22" s="77" t="s">
        <v>125</v>
      </c>
      <c r="AL22" s="77" t="s">
        <v>126</v>
      </c>
      <c r="AM22" s="77" t="s">
        <v>127</v>
      </c>
      <c r="AN22" s="76" t="s">
        <v>128</v>
      </c>
      <c r="AO22" s="78" t="s">
        <v>129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287</v>
      </c>
      <c r="C23" s="26" t="s">
        <v>57</v>
      </c>
      <c r="D23" s="26" t="s">
        <v>58</v>
      </c>
      <c r="E23" s="26" t="s">
        <v>58</v>
      </c>
      <c r="F23" s="27">
        <v>2</v>
      </c>
      <c r="G23" t="s">
        <v>288</v>
      </c>
      <c r="H23" s="27">
        <f>F23*G23</f>
        <v>911.34</v>
      </c>
      <c r="I23" t="s">
        <v>259</v>
      </c>
      <c r="J23" s="27">
        <v>1.79</v>
      </c>
      <c r="K23" s="27">
        <v>2.5</v>
      </c>
      <c r="L23" s="27">
        <f>H23</f>
        <v>911.34</v>
      </c>
      <c r="M23" s="27">
        <f>ROUND(L23*I23%,2)</f>
        <v>9.11</v>
      </c>
      <c r="N23" s="27">
        <f>H23-M23</f>
        <v>902.23</v>
      </c>
      <c r="O23" s="27">
        <f>ROUND(N23*J23%,2)</f>
        <v>16.15</v>
      </c>
      <c r="P23" s="27">
        <f>ROUND(N23-O23,2)</f>
        <v>886.08</v>
      </c>
      <c r="Q23" s="27">
        <f>ROUND(P23*K23%,2)</f>
        <v>22.15</v>
      </c>
      <c r="R23" s="27">
        <f>M23+O23+Q23</f>
        <v>47.41</v>
      </c>
      <c r="S23" s="27">
        <f>(H23-R23)</f>
        <v>863.93</v>
      </c>
      <c r="T23" s="27" t="s">
        <v>146</v>
      </c>
      <c r="U23" s="27">
        <v>0.18</v>
      </c>
      <c r="V23" s="27">
        <f>IF($C$21=1,ROUND(((S23*U23)/2),2),0)</f>
        <v>0</v>
      </c>
      <c r="W23" s="27">
        <f>IF($C$21=1,ROUND(((S23*U23)/2),2),0)</f>
        <v>0</v>
      </c>
      <c r="X23" s="27">
        <f>IF($C$21=2,ROUND(((S23*U23)),2),0)</f>
        <v>155.51</v>
      </c>
      <c r="Y23" s="27">
        <f>V23+W23+X23</f>
        <v>155.51</v>
      </c>
      <c r="Z23" s="27">
        <f t="shared" ref="Z23:Z24" si="1">S23+Y23</f>
        <v>1019.44</v>
      </c>
      <c r="AA23" s="27">
        <v>120</v>
      </c>
      <c r="AB23" s="27">
        <f>IF($P$21=1,(S23/$S$25)*$E$36,AA23/$AA$25*$E$36)</f>
        <v>0</v>
      </c>
      <c r="AC23" s="27"/>
      <c r="AD23" s="27">
        <f>IF($P$21=1,(S23/$S$25)*$E$38,AA23/$AA$25*$E$38)</f>
        <v>0</v>
      </c>
      <c r="AE23" s="27">
        <f>IF($P$21=1,(S23/$S$25)*$E$38,AA23/$AA$25*$E$38)</f>
        <v>0</v>
      </c>
      <c r="AF23" s="27">
        <f t="shared" ref="AF23:AF24" si="2">S23*$M$21</f>
        <v>863.93</v>
      </c>
      <c r="AG23" s="27">
        <f t="shared" ref="AG23:AG24" si="3">IF($C$21=3,0,AD23+AE23)</f>
        <v>0</v>
      </c>
      <c r="AH23" s="27">
        <f t="shared" ref="AH23:AH24" si="4">IF($C$21=3,AB23+AD23+AE23,0)</f>
        <v>0</v>
      </c>
      <c r="AI23" s="27">
        <v>1</v>
      </c>
      <c r="AJ23" s="27">
        <f t="shared" ref="AJ23:AJ24" si="5">F23/AI23</f>
        <v>2</v>
      </c>
      <c r="AK23" s="27">
        <f>AF23/AJ23</f>
        <v>431.965</v>
      </c>
      <c r="AL23" s="27">
        <f>AG23/AJ23</f>
        <v>0</v>
      </c>
      <c r="AM23" s="27">
        <f>AH23/AJ23</f>
        <v>0</v>
      </c>
      <c r="AN23" s="27" t="s">
        <v>58</v>
      </c>
      <c r="AO23" s="27">
        <f>AK23+AL23+AM23</f>
        <v>431.965</v>
      </c>
      <c r="AP23" s="54" t="s">
        <v>272</v>
      </c>
      <c r="AQ23" s="54" t="s">
        <v>58</v>
      </c>
      <c r="AR23" t="s">
        <v>218</v>
      </c>
      <c r="AS23" t="s">
        <v>289</v>
      </c>
      <c r="AT23" s="54">
        <f>AJ23</f>
        <v>2</v>
      </c>
      <c r="AU23" s="54">
        <f>AO23</f>
        <v>431.965</v>
      </c>
      <c r="AV23" s="54">
        <f>AR23+AT23</f>
        <v>2</v>
      </c>
      <c r="AW23" s="54">
        <f>ROUND(((AR23*AS23)+(AT23*AU23))/(AR23+AT23),5)</f>
        <v>431.965</v>
      </c>
      <c r="AX23" s="79"/>
      <c r="AY23" s="79" t="s">
        <v>149</v>
      </c>
      <c r="AZ23" s="80" t="s">
        <v>38</v>
      </c>
      <c r="BA23" s="80" t="s">
        <v>30</v>
      </c>
      <c r="BB23" s="80" t="s">
        <v>39</v>
      </c>
      <c r="BC23" s="79"/>
      <c r="BD23" s="79"/>
      <c r="BE23" s="79"/>
      <c r="BF23" s="54"/>
      <c r="BG23" s="54"/>
      <c r="BH23" s="54"/>
      <c r="BI23" s="82" t="s">
        <v>275</v>
      </c>
      <c r="BJ23" t="s">
        <v>289</v>
      </c>
      <c r="BK23" t="s">
        <v>290</v>
      </c>
      <c r="BL23" s="54">
        <f>ROUND((((AT23*AW23)+(BK23*BJ23))/(AT23+BK23)),5)</f>
        <v>451.02606</v>
      </c>
      <c r="BM23" s="60">
        <f>BK23+AT23</f>
        <v>439</v>
      </c>
    </row>
    <row r="24" ht="15.15" spans="1:65">
      <c r="A24" s="26">
        <v>2</v>
      </c>
      <c r="B24" s="26" t="s">
        <v>291</v>
      </c>
      <c r="C24" s="26" t="s">
        <v>60</v>
      </c>
      <c r="D24" s="26" t="s">
        <v>58</v>
      </c>
      <c r="E24" s="26" t="s">
        <v>58</v>
      </c>
      <c r="F24" s="27">
        <v>3</v>
      </c>
      <c r="G24" t="s">
        <v>292</v>
      </c>
      <c r="H24" s="27">
        <f t="shared" ref="H24" si="6">F24*G24</f>
        <v>1035</v>
      </c>
      <c r="I24" t="s">
        <v>228</v>
      </c>
      <c r="J24" s="27">
        <v>1.68</v>
      </c>
      <c r="K24" s="27">
        <v>2.5</v>
      </c>
      <c r="L24" s="27">
        <f>H24</f>
        <v>1035</v>
      </c>
      <c r="M24" s="27">
        <f>ROUND(L24*I24%,2)</f>
        <v>20.7</v>
      </c>
      <c r="N24" s="27">
        <f t="shared" ref="N24" si="7">H24-M24</f>
        <v>1014.3</v>
      </c>
      <c r="O24" s="27">
        <f t="shared" ref="O24" si="8">ROUND(N24*J24%,2)</f>
        <v>17.04</v>
      </c>
      <c r="P24" s="27">
        <f t="shared" ref="P24" si="9">ROUND(N24-O24,2)</f>
        <v>997.26</v>
      </c>
      <c r="Q24" s="27">
        <f t="shared" ref="Q24" si="10">ROUND(P24*K24%,2)</f>
        <v>24.93</v>
      </c>
      <c r="R24" s="27">
        <f t="shared" ref="R24" si="11">M24+O24+Q24</f>
        <v>62.67</v>
      </c>
      <c r="S24" s="27">
        <f t="shared" ref="S24" si="12">(H24-R24)</f>
        <v>972.33</v>
      </c>
      <c r="T24" s="27" t="s">
        <v>146</v>
      </c>
      <c r="U24" s="27">
        <v>0.18</v>
      </c>
      <c r="V24" s="27">
        <f t="shared" ref="V24" si="13">IF($C$21=1,ROUND(((S24*U24)/2),2),0)</f>
        <v>0</v>
      </c>
      <c r="W24" s="27">
        <f t="shared" ref="W24" si="14">IF($C$21=1,ROUND(((S24*U24)/2),2),0)</f>
        <v>0</v>
      </c>
      <c r="X24" s="27">
        <f t="shared" ref="X24" si="15">IF($C$21=2,ROUND(((S24*U24)),2),0)</f>
        <v>175.02</v>
      </c>
      <c r="Y24" s="27">
        <f t="shared" ref="Y24" si="16">V24+W24+X24</f>
        <v>175.02</v>
      </c>
      <c r="Z24" s="27">
        <f t="shared" si="1"/>
        <v>1147.35</v>
      </c>
      <c r="AA24" s="27">
        <v>200</v>
      </c>
      <c r="AB24" s="27">
        <f>IF($P$21=1,(S24/$S$25)*$E$36,AA24/$AA$25*$E$36)</f>
        <v>0</v>
      </c>
      <c r="AC24" s="27"/>
      <c r="AD24" s="27">
        <f>IF($P$21=1,(S24/$S$25)*$E$38,AA24/$AA$25*$E$38)</f>
        <v>0</v>
      </c>
      <c r="AE24" s="27">
        <f>IF($P$21=1,(S24/$S$25)*$E$38,AA24/$AA$25*$E$38)</f>
        <v>0</v>
      </c>
      <c r="AF24" s="27">
        <f t="shared" si="2"/>
        <v>972.33</v>
      </c>
      <c r="AG24" s="27">
        <f t="shared" si="3"/>
        <v>0</v>
      </c>
      <c r="AH24" s="27">
        <f t="shared" si="4"/>
        <v>0</v>
      </c>
      <c r="AI24" s="27">
        <v>1</v>
      </c>
      <c r="AJ24" s="27">
        <f t="shared" si="5"/>
        <v>3</v>
      </c>
      <c r="AK24" s="27">
        <f t="shared" ref="AK24" si="17">AF24/AJ24</f>
        <v>324.11</v>
      </c>
      <c r="AL24" s="27">
        <f t="shared" ref="AL24" si="18">AG24/AJ24</f>
        <v>0</v>
      </c>
      <c r="AM24" s="27">
        <f t="shared" ref="AM24" si="19">AH24/AJ24</f>
        <v>0</v>
      </c>
      <c r="AN24" s="27" t="s">
        <v>58</v>
      </c>
      <c r="AO24" s="27">
        <f t="shared" ref="AO24" si="20">AK24+AL24+AM24</f>
        <v>324.11</v>
      </c>
      <c r="AP24" s="54" t="s">
        <v>272</v>
      </c>
      <c r="AQ24" s="54" t="s">
        <v>58</v>
      </c>
      <c r="AR24" t="s">
        <v>218</v>
      </c>
      <c r="AS24" t="s">
        <v>293</v>
      </c>
      <c r="AT24" s="54">
        <f t="shared" ref="AT24" si="21">AJ24</f>
        <v>3</v>
      </c>
      <c r="AU24" s="54">
        <f>AO24</f>
        <v>324.11</v>
      </c>
      <c r="AV24" s="54">
        <f t="shared" ref="AV24" si="22">AR24+AT24</f>
        <v>3</v>
      </c>
      <c r="AW24" s="54">
        <f>ROUND(((AR24*AS24)+(AT24*AU24))/(AR24+AT24),5)</f>
        <v>324.11</v>
      </c>
      <c r="AX24" s="79"/>
      <c r="AY24" s="79"/>
      <c r="AZ24" s="80" t="s">
        <v>38</v>
      </c>
      <c r="BA24" s="81" t="s">
        <v>223</v>
      </c>
      <c r="BB24" s="81"/>
      <c r="BC24" s="79"/>
      <c r="BD24" s="79"/>
      <c r="BE24" s="79"/>
      <c r="BF24" s="54"/>
      <c r="BG24" s="54"/>
      <c r="BH24" s="54"/>
      <c r="BI24" s="82" t="s">
        <v>275</v>
      </c>
      <c r="BJ24" t="s">
        <v>293</v>
      </c>
      <c r="BK24" t="s">
        <v>294</v>
      </c>
      <c r="BL24" s="54">
        <f>ROUND((((AT24*AW24)+(BK24*BJ24))/(AT24+BK24)),5)</f>
        <v>338.04535</v>
      </c>
      <c r="BM24" s="60">
        <f t="shared" ref="BM24" si="23">BK24+AT24</f>
        <v>768</v>
      </c>
    </row>
    <row r="25" ht="15.15" spans="1:41">
      <c r="A25" s="17"/>
      <c r="B25" s="67"/>
      <c r="C25" s="67"/>
      <c r="D25" s="29" t="s">
        <v>87</v>
      </c>
      <c r="E25" s="29"/>
      <c r="F25" s="29"/>
      <c r="G25" s="30"/>
      <c r="H25" s="31">
        <f>SUM(H23:H24)</f>
        <v>1946.34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110.08</v>
      </c>
      <c r="S25" s="47">
        <f>SUM(S23:S24)</f>
        <v>1836.26</v>
      </c>
      <c r="T25" s="31"/>
      <c r="U25" s="31"/>
      <c r="V25" s="75">
        <f t="shared" ref="V25:AB25" si="24">SUM(V23:V24)</f>
        <v>0</v>
      </c>
      <c r="W25" s="75">
        <f t="shared" si="24"/>
        <v>0</v>
      </c>
      <c r="X25" s="75">
        <f t="shared" si="24"/>
        <v>330.53</v>
      </c>
      <c r="Y25" s="31">
        <f t="shared" si="24"/>
        <v>330.53</v>
      </c>
      <c r="Z25" s="50">
        <f t="shared" si="24"/>
        <v>2166.79</v>
      </c>
      <c r="AA25" s="51">
        <f t="shared" si="24"/>
        <v>320</v>
      </c>
      <c r="AB25" s="51">
        <f t="shared" si="24"/>
        <v>0</v>
      </c>
      <c r="AC25" s="50"/>
      <c r="AD25" s="51">
        <f>SUM(AD23:AD24)</f>
        <v>0</v>
      </c>
      <c r="AE25" s="51">
        <f>SUM(AE23:AE24)</f>
        <v>0</v>
      </c>
      <c r="AF25" s="51">
        <f>SUM(AF23:AF24)</f>
        <v>1836.26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40"/>
  <sheetViews>
    <sheetView topLeftCell="A16" workbookViewId="0">
      <selection activeCell="A24" sqref="A24"/>
    </sheetView>
  </sheetViews>
  <sheetFormatPr defaultColWidth="9" defaultRowHeight="14.4"/>
  <cols>
    <col min="2" max="2" width="23.5740740740741" customWidth="1"/>
    <col min="11" max="11" width="6.13888888888889" customWidth="1"/>
    <col min="32" max="32" width="14.287037037037" customWidth="1"/>
    <col min="33" max="33" width="17.5740740740741" customWidth="1"/>
    <col min="42" max="42" width="9.42592592592593" customWidth="1"/>
    <col min="44" max="44" width="15.287037037037" customWidth="1"/>
    <col min="45" max="45" width="20.287037037037" customWidth="1"/>
    <col min="48" max="48" width="13.8518518518519" customWidth="1"/>
    <col min="49" max="49" width="18.8518518518519" customWidth="1"/>
    <col min="51" max="54" width="21.712962962963" customWidth="1"/>
    <col min="55" max="55" width="16.5740740740741" customWidth="1"/>
    <col min="56" max="56" width="13.712962962963" customWidth="1"/>
    <col min="57" max="57" width="12.4259259259259" customWidth="1"/>
    <col min="60" max="60" width="30.5740740740741" customWidth="1"/>
    <col min="62" max="62" width="41.1388888888889" customWidth="1"/>
    <col min="63" max="63" width="37" customWidth="1"/>
    <col min="64" max="64" width="18.8518518518519" customWidth="1"/>
    <col min="65" max="65" width="34.4259259259259" customWidth="1"/>
  </cols>
  <sheetData>
    <row r="1" ht="18.15" spans="1:64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</row>
    <row r="2" ht="18.15" spans="1:64">
      <c r="A2" s="2" t="s">
        <v>47</v>
      </c>
      <c r="B2" s="2"/>
      <c r="C2" s="2"/>
      <c r="D2" s="2"/>
      <c r="E2" s="2"/>
      <c r="F2" s="2"/>
      <c r="G2" s="2"/>
      <c r="H2" s="2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</row>
    <row r="3" ht="15.15" spans="1:64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</row>
    <row r="4" spans="1:64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</row>
    <row r="5" spans="1:64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</row>
    <row r="6" spans="1:64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</row>
    <row r="7" spans="1:64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</row>
    <row r="8" spans="1:64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</row>
    <row r="9" spans="1:64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</row>
    <row r="10" spans="1:64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</row>
    <row r="11" spans="1:64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</row>
    <row r="12" spans="1:64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</row>
    <row r="13" spans="1:64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</row>
    <row r="14" spans="1:64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</row>
    <row r="15" spans="1:64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</row>
    <row r="16" spans="1:64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</row>
    <row r="17" spans="1:64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</row>
    <row r="18" ht="15.15" spans="1:64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</row>
    <row r="19" ht="15.15" spans="1:64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</row>
    <row r="20" spans="1:64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</row>
    <row r="21" ht="15.15" spans="1:64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20"/>
      <c r="S21" s="20"/>
      <c r="T21" s="20"/>
      <c r="U21" s="20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</row>
    <row r="22" ht="42.9" spans="1:65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25" t="s">
        <v>108</v>
      </c>
      <c r="U22" s="44" t="s">
        <v>159</v>
      </c>
      <c r="V22" s="44" t="s">
        <v>110</v>
      </c>
      <c r="W22" s="44" t="s">
        <v>111</v>
      </c>
      <c r="X22" s="44" t="s">
        <v>112</v>
      </c>
      <c r="Y22" s="44" t="s">
        <v>113</v>
      </c>
      <c r="Z22" s="49" t="s">
        <v>114</v>
      </c>
      <c r="AA22" s="49" t="s">
        <v>115</v>
      </c>
      <c r="AB22" s="49" t="s">
        <v>116</v>
      </c>
      <c r="AC22" s="49" t="s">
        <v>117</v>
      </c>
      <c r="AD22" s="49" t="s">
        <v>118</v>
      </c>
      <c r="AE22" s="49" t="s">
        <v>119</v>
      </c>
      <c r="AF22" s="49" t="s">
        <v>120</v>
      </c>
      <c r="AG22" s="49" t="s">
        <v>121</v>
      </c>
      <c r="AH22" s="49" t="s">
        <v>122</v>
      </c>
      <c r="AI22" s="49" t="s">
        <v>123</v>
      </c>
      <c r="AJ22" s="49" t="s">
        <v>124</v>
      </c>
      <c r="AK22" s="49" t="s">
        <v>125</v>
      </c>
      <c r="AL22" s="49" t="s">
        <v>126</v>
      </c>
      <c r="AM22" s="49" t="s">
        <v>127</v>
      </c>
      <c r="AN22" s="49" t="s">
        <v>128</v>
      </c>
      <c r="AO22" s="52" t="s">
        <v>160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295</v>
      </c>
      <c r="C23" s="26" t="s">
        <v>162</v>
      </c>
      <c r="D23" s="26" t="s">
        <v>58</v>
      </c>
      <c r="E23" s="26" t="s">
        <v>163</v>
      </c>
      <c r="F23" s="27">
        <v>25</v>
      </c>
      <c r="G23" s="27">
        <v>257.63</v>
      </c>
      <c r="H23" s="27">
        <f>F23*G23</f>
        <v>6440.75</v>
      </c>
      <c r="I23" s="27">
        <v>1</v>
      </c>
      <c r="J23" s="27">
        <v>2</v>
      </c>
      <c r="K23" s="27">
        <v>2.5</v>
      </c>
      <c r="L23" s="27">
        <f>H23</f>
        <v>6440.75</v>
      </c>
      <c r="M23" s="27">
        <f>ROUND(L23*I23%,2)</f>
        <v>64.41</v>
      </c>
      <c r="N23" s="27">
        <f>H23-M23</f>
        <v>6376.34</v>
      </c>
      <c r="O23" s="27">
        <f>ROUND(N23*J23%,2)</f>
        <v>127.53</v>
      </c>
      <c r="P23" s="27">
        <f>ROUND(N23-O23,2)</f>
        <v>6248.81</v>
      </c>
      <c r="Q23" s="27">
        <f>ROUND(P23*K23%,2)</f>
        <v>156.22</v>
      </c>
      <c r="R23" s="27">
        <f>ROUND((M23+O23+Q23),2)</f>
        <v>348.16</v>
      </c>
      <c r="S23" s="27">
        <f>ROUND((H23-R23),2)</f>
        <v>6092.59</v>
      </c>
      <c r="T23" s="45" t="s">
        <v>146</v>
      </c>
      <c r="U23" s="46">
        <v>0.18</v>
      </c>
      <c r="V23" s="27">
        <f>IF($C$21=1,ROUND(((S23*U23)/2),2),0)</f>
        <v>548.33</v>
      </c>
      <c r="W23" s="27">
        <f>IF($C$21=1,ROUND(((S23*U23)/2),2),0)</f>
        <v>548.33</v>
      </c>
      <c r="X23" s="27">
        <f>IF($C$21=2,ROUND(((S23*U23)),2),0)</f>
        <v>0</v>
      </c>
      <c r="Y23" s="26">
        <f>ROUND((S23*18%),2)</f>
        <v>1096.67</v>
      </c>
      <c r="Z23" s="26">
        <f>S23+Y23</f>
        <v>7189.26</v>
      </c>
      <c r="AA23" s="45">
        <v>120</v>
      </c>
      <c r="AB23" s="45">
        <f>IF($P$21=1,(S23/$S$26)*$E$37,AA23/$AA$26*$E$37)</f>
        <v>0</v>
      </c>
      <c r="AC23" s="45"/>
      <c r="AD23" s="45">
        <f>IF($P$21=1,(S23/$S$26)*$E$39,AA23/$AA$26*$E$39)</f>
        <v>0</v>
      </c>
      <c r="AE23" s="45">
        <f>IF($P$21=1,(S23/$S$26)*$E$40,AA23/$AA$26*$E$40)</f>
        <v>0</v>
      </c>
      <c r="AF23" s="45">
        <f t="shared" ref="AF23:AF25" si="1">S23*$M$21</f>
        <v>6092.59</v>
      </c>
      <c r="AG23" s="45">
        <f>IF($C$21=3,0,AD23+AE23)</f>
        <v>0</v>
      </c>
      <c r="AH23" s="45">
        <f t="shared" ref="AH23:AH25" si="2">IF($C$21=3,AB23+AD23+AE23,0)</f>
        <v>0</v>
      </c>
      <c r="AI23" s="61">
        <v>2</v>
      </c>
      <c r="AJ23" s="45">
        <f t="shared" ref="AJ23:AJ25" si="3">F23/AI23</f>
        <v>12.5</v>
      </c>
      <c r="AK23" s="45">
        <f>ROUND(AF23/AJ23,5)</f>
        <v>487.4072</v>
      </c>
      <c r="AL23" s="45">
        <f>AG23/AJ23</f>
        <v>0</v>
      </c>
      <c r="AM23" s="45">
        <f>AH23/AJ23</f>
        <v>0</v>
      </c>
      <c r="AN23" s="45" t="s">
        <v>58</v>
      </c>
      <c r="AO23" s="45">
        <f>ROUND(AK23+AL23+AM23,5)</f>
        <v>487.4072</v>
      </c>
      <c r="AP23" s="8" t="s">
        <v>217</v>
      </c>
      <c r="AQ23" s="8" t="s">
        <v>58</v>
      </c>
      <c r="AR23" t="s">
        <v>218</v>
      </c>
      <c r="AS23" t="s">
        <v>296</v>
      </c>
      <c r="AT23" s="54">
        <f>AJ23</f>
        <v>12.5</v>
      </c>
      <c r="AU23" s="10">
        <f>AO23</f>
        <v>487.4072</v>
      </c>
      <c r="AV23" s="54">
        <f>AR23+AT23</f>
        <v>12.5</v>
      </c>
      <c r="AW23" s="8">
        <f>ROUND(((AR23*AS23)+(AT23*AU23))/(AR23+AT23),5)</f>
        <v>487.4072</v>
      </c>
      <c r="AX23" s="56"/>
      <c r="AY23" s="56" t="s">
        <v>149</v>
      </c>
      <c r="AZ23" s="62" t="s">
        <v>38</v>
      </c>
      <c r="BA23" s="62" t="s">
        <v>30</v>
      </c>
      <c r="BB23" s="62" t="s">
        <v>39</v>
      </c>
      <c r="BC23" s="56"/>
      <c r="BD23" s="56"/>
      <c r="BE23" s="56"/>
      <c r="BF23" s="8"/>
      <c r="BG23" s="8"/>
      <c r="BH23" s="8"/>
      <c r="BI23" s="8" t="s">
        <v>297</v>
      </c>
      <c r="BJ23" t="s">
        <v>296</v>
      </c>
      <c r="BK23" t="s">
        <v>298</v>
      </c>
      <c r="BL23" s="8">
        <f>ROUND((((AT23*AW23)+(BK23*BJ23))/(AT23+BK23)),5)</f>
        <v>487.4072</v>
      </c>
      <c r="BM23" s="60">
        <f>BK23+AT23</f>
        <v>125</v>
      </c>
    </row>
    <row r="24" ht="15.15" spans="1:65">
      <c r="A24" s="26">
        <v>2</v>
      </c>
      <c r="B24" s="26" t="s">
        <v>299</v>
      </c>
      <c r="C24" s="26" t="s">
        <v>175</v>
      </c>
      <c r="D24" s="26" t="s">
        <v>58</v>
      </c>
      <c r="E24" s="26" t="s">
        <v>176</v>
      </c>
      <c r="F24" s="27">
        <v>28</v>
      </c>
      <c r="G24" s="27">
        <v>150.5</v>
      </c>
      <c r="H24" s="27">
        <f t="shared" ref="H24:H25" si="4">F24*G24</f>
        <v>4214</v>
      </c>
      <c r="I24" s="27">
        <v>1</v>
      </c>
      <c r="J24" s="27">
        <v>2</v>
      </c>
      <c r="K24" s="27">
        <v>2.5</v>
      </c>
      <c r="L24" s="27">
        <f t="shared" ref="L24:L25" si="5">H24</f>
        <v>4214</v>
      </c>
      <c r="M24" s="27">
        <f t="shared" ref="M24:M25" si="6">ROUND(L24*I24%,2)</f>
        <v>42.14</v>
      </c>
      <c r="N24" s="27">
        <f t="shared" ref="N24:N25" si="7">H24-M24</f>
        <v>4171.86</v>
      </c>
      <c r="O24" s="27">
        <f t="shared" ref="O24:O25" si="8">ROUND(N24*J24%,2)</f>
        <v>83.44</v>
      </c>
      <c r="P24" s="27">
        <f t="shared" ref="P24:P25" si="9">ROUND(N24-O24,2)</f>
        <v>4088.42</v>
      </c>
      <c r="Q24" s="27">
        <f t="shared" ref="Q24:Q25" si="10">ROUND(P24*K24%,2)</f>
        <v>102.21</v>
      </c>
      <c r="R24" s="27">
        <f t="shared" ref="R24:R25" si="11">ROUND((M24+O24+Q24),2)</f>
        <v>227.79</v>
      </c>
      <c r="S24" s="27">
        <f t="shared" ref="S24:S25" si="12">ROUND((H24-R24),2)</f>
        <v>3986.21</v>
      </c>
      <c r="T24" s="45" t="s">
        <v>300</v>
      </c>
      <c r="U24" s="46">
        <v>0.18</v>
      </c>
      <c r="V24" s="27">
        <f t="shared" ref="V24:V25" si="13">IF($C$21=1,ROUND(((S24*U24)/2),2),0)</f>
        <v>358.76</v>
      </c>
      <c r="W24" s="27">
        <f t="shared" ref="W24:W25" si="14">IF($C$21=1,ROUND(((S24*U24)/2),2),0)</f>
        <v>358.76</v>
      </c>
      <c r="X24" s="27">
        <f t="shared" ref="X24:X25" si="15">IF($C$21=2,ROUND(((S24*U24)),2),0)</f>
        <v>0</v>
      </c>
      <c r="Y24" s="26">
        <f t="shared" ref="Y24:Y25" si="16">ROUND((S24*18%),2)</f>
        <v>717.52</v>
      </c>
      <c r="Z24" s="26">
        <f t="shared" ref="Z24:Z25" si="17">S24+Y24</f>
        <v>4703.73</v>
      </c>
      <c r="AA24" s="45">
        <v>350</v>
      </c>
      <c r="AB24" s="45">
        <f>IF($P$21=1,(S24/$S$26)*$E$37,AA24/$AA$26*$E$37)</f>
        <v>0</v>
      </c>
      <c r="AC24" s="45"/>
      <c r="AD24" s="45">
        <f>IF($P$21=1,(S24/$S$26)*$E$39,AA24/$AA$26*$E$39)</f>
        <v>0</v>
      </c>
      <c r="AE24" s="45">
        <f>IF($P$21=1,(S24/$S$26)*$E$40,AA24/$AA$26*$E$40)</f>
        <v>0</v>
      </c>
      <c r="AF24" s="45">
        <f t="shared" si="1"/>
        <v>3986.21</v>
      </c>
      <c r="AG24" s="45">
        <f t="shared" ref="AG24:AG25" si="18">IF($C$21=3,0,AD24+AE24)</f>
        <v>0</v>
      </c>
      <c r="AH24" s="45">
        <f t="shared" si="2"/>
        <v>0</v>
      </c>
      <c r="AI24" s="61">
        <v>2.5</v>
      </c>
      <c r="AJ24" s="45">
        <f t="shared" si="3"/>
        <v>11.2</v>
      </c>
      <c r="AK24" s="45">
        <f t="shared" ref="AK24:AK25" si="19">ROUND(AF24/AJ24,5)</f>
        <v>355.91161</v>
      </c>
      <c r="AL24" s="45">
        <f t="shared" ref="AL24:AL25" si="20">AG24/AJ24</f>
        <v>0</v>
      </c>
      <c r="AM24" s="45">
        <f t="shared" ref="AM24:AM25" si="21">AH24/AJ24</f>
        <v>0</v>
      </c>
      <c r="AN24" s="45" t="s">
        <v>58</v>
      </c>
      <c r="AO24" s="45">
        <f t="shared" ref="AO24:AO25" si="22">ROUND(AK24+AL24+AM24,5)</f>
        <v>355.91161</v>
      </c>
      <c r="AP24" s="8" t="s">
        <v>217</v>
      </c>
      <c r="AQ24" s="8" t="s">
        <v>58</v>
      </c>
      <c r="AR24" t="s">
        <v>218</v>
      </c>
      <c r="AS24" t="s">
        <v>301</v>
      </c>
      <c r="AT24" s="54">
        <f t="shared" ref="AT24:AT25" si="23">AJ24</f>
        <v>11.2</v>
      </c>
      <c r="AU24" s="10">
        <f>AO24</f>
        <v>355.91161</v>
      </c>
      <c r="AV24" s="54">
        <f t="shared" ref="AV24:AV25" si="24">AR24+AT24</f>
        <v>11.2</v>
      </c>
      <c r="AW24" s="8">
        <f>ROUND(((AR24*AS24)+(AT24*AU24))/(AR24+AT24),5)</f>
        <v>355.91161</v>
      </c>
      <c r="AX24" s="56"/>
      <c r="AY24" s="56"/>
      <c r="AZ24" s="62" t="s">
        <v>38</v>
      </c>
      <c r="BA24" s="63" t="s">
        <v>223</v>
      </c>
      <c r="BB24" s="63"/>
      <c r="BC24" s="56"/>
      <c r="BD24" s="56"/>
      <c r="BE24" s="56"/>
      <c r="BF24" s="8"/>
      <c r="BG24" s="8"/>
      <c r="BH24" s="8"/>
      <c r="BI24" s="8" t="s">
        <v>297</v>
      </c>
      <c r="BJ24" t="s">
        <v>301</v>
      </c>
      <c r="BK24" t="s">
        <v>302</v>
      </c>
      <c r="BL24" s="8">
        <f t="shared" ref="BL24:BL25" si="25">ROUND((((AT24*AW24)+(BK24*BJ24))/(AT24+BK24)),5)</f>
        <v>355.91161</v>
      </c>
      <c r="BM24" s="60">
        <f t="shared" ref="BM24:BM25" si="26">BK24+AT24</f>
        <v>112</v>
      </c>
    </row>
    <row r="25" ht="15.15" spans="1:65">
      <c r="A25" s="26">
        <v>3</v>
      </c>
      <c r="B25" s="26" t="s">
        <v>303</v>
      </c>
      <c r="C25" s="26" t="s">
        <v>184</v>
      </c>
      <c r="D25" s="26" t="s">
        <v>163</v>
      </c>
      <c r="E25" s="26" t="s">
        <v>185</v>
      </c>
      <c r="F25" s="27">
        <v>37</v>
      </c>
      <c r="G25" s="27">
        <v>89.54</v>
      </c>
      <c r="H25" s="27">
        <f t="shared" si="4"/>
        <v>3312.98</v>
      </c>
      <c r="I25" s="27">
        <v>1</v>
      </c>
      <c r="J25" s="27">
        <v>2</v>
      </c>
      <c r="K25" s="27">
        <v>2.5</v>
      </c>
      <c r="L25" s="27">
        <f t="shared" si="5"/>
        <v>3312.98</v>
      </c>
      <c r="M25" s="27">
        <f t="shared" si="6"/>
        <v>33.13</v>
      </c>
      <c r="N25" s="27">
        <f t="shared" si="7"/>
        <v>3279.85</v>
      </c>
      <c r="O25" s="27">
        <f t="shared" si="8"/>
        <v>65.6</v>
      </c>
      <c r="P25" s="27">
        <f t="shared" si="9"/>
        <v>3214.25</v>
      </c>
      <c r="Q25" s="27">
        <f t="shared" si="10"/>
        <v>80.36</v>
      </c>
      <c r="R25" s="27">
        <f t="shared" si="11"/>
        <v>179.09</v>
      </c>
      <c r="S25" s="27">
        <f t="shared" si="12"/>
        <v>3133.89</v>
      </c>
      <c r="T25" s="45" t="s">
        <v>304</v>
      </c>
      <c r="U25" s="46">
        <v>0.18</v>
      </c>
      <c r="V25" s="27">
        <f t="shared" si="13"/>
        <v>282.05</v>
      </c>
      <c r="W25" s="27">
        <f t="shared" si="14"/>
        <v>282.05</v>
      </c>
      <c r="X25" s="27">
        <f t="shared" si="15"/>
        <v>0</v>
      </c>
      <c r="Y25" s="26">
        <f t="shared" si="16"/>
        <v>564.1</v>
      </c>
      <c r="Z25" s="26">
        <f t="shared" si="17"/>
        <v>3697.99</v>
      </c>
      <c r="AA25" s="45">
        <v>220</v>
      </c>
      <c r="AB25" s="45">
        <f>IF($P$21=1,(S25/$S$26)*$E$37,AA25/$AA$26*$E$37)</f>
        <v>0</v>
      </c>
      <c r="AC25" s="45"/>
      <c r="AD25" s="45">
        <f>IF($P$21=1,(S25/$S$26)*$E$39,AA25/$AA$26*$E$39)</f>
        <v>0</v>
      </c>
      <c r="AE25" s="45">
        <f>IF($P$21=1,(S25/$S$26)*$E$40,AA25/$AA$26*$E$40)</f>
        <v>0</v>
      </c>
      <c r="AF25" s="45">
        <f t="shared" si="1"/>
        <v>3133.89</v>
      </c>
      <c r="AG25" s="45">
        <f t="shared" si="18"/>
        <v>0</v>
      </c>
      <c r="AH25" s="45">
        <f t="shared" si="2"/>
        <v>0</v>
      </c>
      <c r="AI25" s="26">
        <v>0.001</v>
      </c>
      <c r="AJ25" s="45">
        <f t="shared" si="3"/>
        <v>37000</v>
      </c>
      <c r="AK25" s="45">
        <f t="shared" si="19"/>
        <v>0.0847</v>
      </c>
      <c r="AL25" s="45">
        <f t="shared" si="20"/>
        <v>0</v>
      </c>
      <c r="AM25" s="45">
        <f t="shared" si="21"/>
        <v>0</v>
      </c>
      <c r="AN25" s="45" t="s">
        <v>58</v>
      </c>
      <c r="AO25" s="45">
        <f t="shared" si="22"/>
        <v>0.0847</v>
      </c>
      <c r="AP25" s="8" t="s">
        <v>217</v>
      </c>
      <c r="AQ25" s="8" t="s">
        <v>58</v>
      </c>
      <c r="AR25" t="s">
        <v>218</v>
      </c>
      <c r="AS25" t="s">
        <v>305</v>
      </c>
      <c r="AT25" s="54">
        <f t="shared" si="23"/>
        <v>37000</v>
      </c>
      <c r="AU25" s="10">
        <f t="shared" ref="AU25" si="27">AO25</f>
        <v>0.0847</v>
      </c>
      <c r="AV25" s="54">
        <f t="shared" si="24"/>
        <v>37000</v>
      </c>
      <c r="AW25" s="8">
        <f t="shared" ref="AW25" si="28">ROUND(((AR25*AS25)+(AT25*AU25))/(AR25+AT25),5)</f>
        <v>0.0847</v>
      </c>
      <c r="AX25" s="8"/>
      <c r="AY25" s="8"/>
      <c r="AZ25" s="62" t="s">
        <v>38</v>
      </c>
      <c r="BA25" s="63" t="s">
        <v>306</v>
      </c>
      <c r="BB25" s="8"/>
      <c r="BC25" s="8"/>
      <c r="BD25" s="8"/>
      <c r="BE25" s="8"/>
      <c r="BF25" s="8"/>
      <c r="BG25" s="8"/>
      <c r="BH25" s="8"/>
      <c r="BI25" s="8" t="s">
        <v>297</v>
      </c>
      <c r="BJ25" t="s">
        <v>305</v>
      </c>
      <c r="BK25" t="s">
        <v>307</v>
      </c>
      <c r="BL25" s="8">
        <f t="shared" si="25"/>
        <v>0.0847</v>
      </c>
      <c r="BM25" s="60">
        <f t="shared" si="26"/>
        <v>370000</v>
      </c>
    </row>
    <row r="26" ht="15.15" spans="1:64">
      <c r="A26" s="17"/>
      <c r="C26" s="28" t="s">
        <v>87</v>
      </c>
      <c r="D26" s="29"/>
      <c r="E26" s="29"/>
      <c r="F26" s="29"/>
      <c r="G26" s="30"/>
      <c r="H26" s="31">
        <f>SUM(H23:H25)</f>
        <v>13967.73</v>
      </c>
      <c r="I26" s="26"/>
      <c r="J26" s="26"/>
      <c r="K26" s="26"/>
      <c r="L26" s="26"/>
      <c r="M26" s="26"/>
      <c r="N26" s="26"/>
      <c r="O26" s="26"/>
      <c r="P26" s="26"/>
      <c r="Q26" s="26"/>
      <c r="R26" s="31">
        <f>SUM(R23:R25)</f>
        <v>755.04</v>
      </c>
      <c r="S26" s="31">
        <f>SUM(S23:S25)</f>
        <v>13212.69</v>
      </c>
      <c r="T26" s="31"/>
      <c r="U26" s="31"/>
      <c r="V26" s="47">
        <f t="shared" ref="V26:AB26" si="29">SUM(V23:V25)</f>
        <v>1189.14</v>
      </c>
      <c r="W26" s="47">
        <f t="shared" si="29"/>
        <v>1189.14</v>
      </c>
      <c r="X26" s="47">
        <f t="shared" si="29"/>
        <v>0</v>
      </c>
      <c r="Y26" s="31">
        <f t="shared" si="29"/>
        <v>2378.29</v>
      </c>
      <c r="Z26" s="50">
        <f t="shared" si="29"/>
        <v>15590.98</v>
      </c>
      <c r="AA26" s="51">
        <f t="shared" si="29"/>
        <v>690</v>
      </c>
      <c r="AB26" s="51">
        <f t="shared" si="29"/>
        <v>0</v>
      </c>
      <c r="AC26" s="50"/>
      <c r="AD26" s="51">
        <f>SUM(AD23:AD25)</f>
        <v>0</v>
      </c>
      <c r="AE26" s="51">
        <f>IF($P$21=1,(S26/$S$26)*$E$40,AA26/$AA$26*$E$40)</f>
        <v>0</v>
      </c>
      <c r="AF26" s="51">
        <f>SUM(AF23:AF25)</f>
        <v>13212.69</v>
      </c>
      <c r="AG26" s="51">
        <f>SUM(AG23:AG25)</f>
        <v>0</v>
      </c>
      <c r="AH26" s="51">
        <f>SUM(AH23:AH25)</f>
        <v>0</v>
      </c>
      <c r="AI26" s="50"/>
      <c r="AJ26" s="50"/>
      <c r="AK26" s="50"/>
      <c r="AL26" s="50"/>
      <c r="AM26" s="50"/>
      <c r="AN26" s="50"/>
      <c r="AO26" s="50"/>
      <c r="AP26" s="17"/>
      <c r="AQ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</row>
    <row r="27" ht="15.15" spans="1:64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</row>
    <row r="28" ht="15.15" spans="1:64">
      <c r="A28" s="17"/>
      <c r="B28" s="17"/>
      <c r="C28" s="17"/>
      <c r="D28" s="17"/>
      <c r="E28" s="17"/>
      <c r="F28" s="17"/>
      <c r="G28" s="32" t="s">
        <v>194</v>
      </c>
      <c r="H28" s="33"/>
      <c r="I28" s="37">
        <f>H26</f>
        <v>13967.73</v>
      </c>
      <c r="J28" s="37"/>
      <c r="K28" s="38"/>
      <c r="L28" s="17"/>
      <c r="M28" s="39" t="s">
        <v>195</v>
      </c>
      <c r="N28" s="40"/>
      <c r="O28" s="40"/>
      <c r="P28" s="41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 t="s">
        <v>308</v>
      </c>
      <c r="BF28" s="115" t="s">
        <v>309</v>
      </c>
      <c r="BG28" s="17"/>
      <c r="BH28" s="17"/>
      <c r="BI28" s="17"/>
      <c r="BJ28" s="17"/>
      <c r="BK28" s="17"/>
      <c r="BL28" s="17"/>
    </row>
    <row r="29" ht="15.15" spans="1:64">
      <c r="A29" s="17"/>
      <c r="B29" s="17"/>
      <c r="C29" s="17"/>
      <c r="D29" s="17"/>
      <c r="E29" s="17"/>
      <c r="F29" s="17"/>
      <c r="G29" s="32" t="s">
        <v>196</v>
      </c>
      <c r="H29" s="33"/>
      <c r="I29" s="37">
        <f>R26</f>
        <v>755.04</v>
      </c>
      <c r="J29" s="37"/>
      <c r="K29" s="17"/>
      <c r="L29" s="17"/>
      <c r="M29" s="42">
        <v>1</v>
      </c>
      <c r="N29" s="42" t="s">
        <v>58</v>
      </c>
      <c r="O29" s="42">
        <v>2</v>
      </c>
      <c r="P29" s="42" t="s">
        <v>163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 t="s">
        <v>310</v>
      </c>
      <c r="BF29" s="115" t="s">
        <v>311</v>
      </c>
      <c r="BG29" s="17"/>
      <c r="BH29" s="17"/>
      <c r="BI29" s="17"/>
      <c r="BJ29" s="17"/>
      <c r="BK29" s="17"/>
      <c r="BL29" s="17"/>
    </row>
    <row r="30" ht="15.15" spans="1:64">
      <c r="A30" s="17"/>
      <c r="B30" s="17"/>
      <c r="C30" s="17"/>
      <c r="D30" s="17"/>
      <c r="E30" s="17"/>
      <c r="F30" s="17"/>
      <c r="G30" s="32" t="s">
        <v>197</v>
      </c>
      <c r="H30" s="33"/>
      <c r="I30" s="37">
        <f>S26</f>
        <v>13212.69</v>
      </c>
      <c r="J30" s="37"/>
      <c r="K30" s="17"/>
      <c r="L30" s="17"/>
      <c r="M30" s="26">
        <v>1</v>
      </c>
      <c r="N30" s="26" t="s">
        <v>58</v>
      </c>
      <c r="O30" s="26">
        <v>2.5</v>
      </c>
      <c r="P30" s="26" t="s">
        <v>176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</row>
    <row r="31" ht="15.15" spans="1:64">
      <c r="A31" s="17"/>
      <c r="B31" s="17"/>
      <c r="C31" s="17"/>
      <c r="D31" s="17"/>
      <c r="E31" s="17"/>
      <c r="F31" s="17"/>
      <c r="G31" s="32" t="s">
        <v>198</v>
      </c>
      <c r="H31" s="33"/>
      <c r="I31" s="37">
        <f>Y26</f>
        <v>2378.29</v>
      </c>
      <c r="J31" s="37"/>
      <c r="K31" s="17"/>
      <c r="L31" s="17"/>
      <c r="M31" s="26">
        <v>1</v>
      </c>
      <c r="N31" s="26" t="s">
        <v>163</v>
      </c>
      <c r="O31" s="26">
        <v>0.001</v>
      </c>
      <c r="P31" s="26" t="s">
        <v>185</v>
      </c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</row>
    <row r="32" ht="15.15" spans="1:64">
      <c r="A32" s="17"/>
      <c r="B32" s="17"/>
      <c r="C32" s="17"/>
      <c r="D32" s="17"/>
      <c r="E32" s="17"/>
      <c r="F32" s="17"/>
      <c r="G32" s="32" t="s">
        <v>199</v>
      </c>
      <c r="H32" s="33"/>
      <c r="I32" s="43">
        <f>I30+I31</f>
        <v>15590.98</v>
      </c>
      <c r="J32" s="43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</row>
    <row r="33" spans="1:6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 t="s">
        <v>312</v>
      </c>
      <c r="BK33" s="17" t="s">
        <v>313</v>
      </c>
      <c r="BL33" s="17"/>
    </row>
    <row r="34" spans="1:6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 t="s">
        <v>314</v>
      </c>
      <c r="BI34" s="17">
        <v>12.5</v>
      </c>
      <c r="BJ34" s="17">
        <f>BI36*BI37</f>
        <v>18277.77</v>
      </c>
      <c r="BK34" s="17">
        <f>BI34*BI35</f>
        <v>6092.59</v>
      </c>
      <c r="BL34" s="17"/>
    </row>
    <row r="35" spans="1:64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 t="s">
        <v>315</v>
      </c>
      <c r="BI35" s="17">
        <v>487.4072</v>
      </c>
      <c r="BJ35" s="17">
        <f>BI34+BI36</f>
        <v>50</v>
      </c>
      <c r="BK35" s="17"/>
      <c r="BL35" s="17"/>
    </row>
    <row r="36" spans="1:64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 t="s">
        <v>316</v>
      </c>
      <c r="BI36" s="17">
        <v>37.5</v>
      </c>
      <c r="BJ36" s="17"/>
      <c r="BK36" s="17"/>
      <c r="BL36" s="17"/>
    </row>
    <row r="37" spans="1:64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 t="s">
        <v>317</v>
      </c>
      <c r="BI37" s="17">
        <v>487.4072</v>
      </c>
      <c r="BJ37" s="17"/>
      <c r="BK37" s="17"/>
      <c r="BL37" s="17"/>
    </row>
    <row r="38" spans="1:64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>
        <f>BJ34+BK34</f>
        <v>24370.36</v>
      </c>
      <c r="BK38" s="17">
        <f>BJ38/BJ35</f>
        <v>487.4072</v>
      </c>
      <c r="BL38" s="17"/>
    </row>
    <row r="39" spans="1:64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</row>
    <row r="40" spans="1:64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</row>
  </sheetData>
  <mergeCells count="14">
    <mergeCell ref="A1:Z1"/>
    <mergeCell ref="B19:G19"/>
    <mergeCell ref="A21:B21"/>
    <mergeCell ref="G28:H28"/>
    <mergeCell ref="I28:J28"/>
    <mergeCell ref="M28:P28"/>
    <mergeCell ref="G29:H29"/>
    <mergeCell ref="I29:J29"/>
    <mergeCell ref="G30:H30"/>
    <mergeCell ref="I30:J30"/>
    <mergeCell ref="G31:H31"/>
    <mergeCell ref="I31:J31"/>
    <mergeCell ref="G32:H32"/>
    <mergeCell ref="I32:J32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workbookViewId="0">
      <selection activeCell="I17" sqref="I17"/>
    </sheetView>
  </sheetViews>
  <sheetFormatPr defaultColWidth="9" defaultRowHeight="14.4"/>
  <cols>
    <col min="2" max="2" width="23.5740740740741" customWidth="1"/>
    <col min="32" max="32" width="14.287037037037" customWidth="1"/>
    <col min="62" max="62" width="41.1388888888889" customWidth="1"/>
    <col min="64" max="64" width="18.8518518518519" customWidth="1"/>
    <col min="65" max="65" width="34.4259259259259" customWidth="1"/>
  </cols>
  <sheetData>
    <row r="1" ht="18.15" spans="1:64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</row>
    <row r="2" ht="18.15" spans="1:64">
      <c r="A2" s="2" t="s">
        <v>47</v>
      </c>
      <c r="B2" s="2"/>
      <c r="C2" s="2"/>
      <c r="D2" s="2"/>
      <c r="E2" s="2"/>
      <c r="F2" s="2"/>
      <c r="G2" s="2"/>
      <c r="H2" s="2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</row>
    <row r="3" ht="15.15" spans="1:64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</row>
    <row r="4" spans="1:64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</row>
    <row r="5" spans="1:64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</row>
    <row r="6" spans="1:64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</row>
    <row r="7" spans="1:64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</row>
    <row r="8" spans="1:64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</row>
    <row r="9" spans="1:64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</row>
    <row r="10" spans="1:64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</row>
    <row r="11" spans="1:64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</row>
    <row r="12" spans="1:64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</row>
    <row r="13" spans="1:64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</row>
    <row r="14" spans="1:64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</row>
    <row r="15" spans="1:64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</row>
    <row r="16" spans="1:64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</row>
    <row r="17" spans="1:64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</row>
    <row r="18" ht="15.15" spans="1:64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</row>
    <row r="19" ht="15.15" spans="1:64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</row>
    <row r="20" spans="1:64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</row>
    <row r="21" ht="15.15" spans="1:64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20"/>
      <c r="S21" s="20"/>
      <c r="T21" s="20"/>
      <c r="U21" s="20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</row>
    <row r="22" ht="42.9" spans="1:65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25" t="s">
        <v>108</v>
      </c>
      <c r="U22" s="44" t="s">
        <v>159</v>
      </c>
      <c r="V22" s="44" t="s">
        <v>110</v>
      </c>
      <c r="W22" s="44" t="s">
        <v>111</v>
      </c>
      <c r="X22" s="44" t="s">
        <v>112</v>
      </c>
      <c r="Y22" s="44" t="s">
        <v>113</v>
      </c>
      <c r="Z22" s="49" t="s">
        <v>114</v>
      </c>
      <c r="AA22" s="49" t="s">
        <v>115</v>
      </c>
      <c r="AB22" s="49" t="s">
        <v>116</v>
      </c>
      <c r="AC22" s="49" t="s">
        <v>117</v>
      </c>
      <c r="AD22" s="49" t="s">
        <v>118</v>
      </c>
      <c r="AE22" s="49" t="s">
        <v>119</v>
      </c>
      <c r="AF22" s="49" t="s">
        <v>120</v>
      </c>
      <c r="AG22" s="49" t="s">
        <v>121</v>
      </c>
      <c r="AH22" s="49" t="s">
        <v>122</v>
      </c>
      <c r="AI22" s="49" t="s">
        <v>123</v>
      </c>
      <c r="AJ22" s="49" t="s">
        <v>124</v>
      </c>
      <c r="AK22" s="49" t="s">
        <v>125</v>
      </c>
      <c r="AL22" s="49" t="s">
        <v>126</v>
      </c>
      <c r="AM22" s="49" t="s">
        <v>127</v>
      </c>
      <c r="AN22" s="49" t="s">
        <v>128</v>
      </c>
      <c r="AO22" s="52" t="s">
        <v>160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318</v>
      </c>
      <c r="C23" s="26" t="s">
        <v>162</v>
      </c>
      <c r="D23" s="26" t="s">
        <v>58</v>
      </c>
      <c r="E23" s="26" t="s">
        <v>163</v>
      </c>
      <c r="F23" s="27">
        <v>25</v>
      </c>
      <c r="G23" s="27">
        <v>257.63</v>
      </c>
      <c r="H23" s="27">
        <f>F23*G23</f>
        <v>6440.75</v>
      </c>
      <c r="I23" s="27">
        <v>1</v>
      </c>
      <c r="J23" s="27">
        <v>2</v>
      </c>
      <c r="K23" s="27">
        <v>2.5</v>
      </c>
      <c r="L23" s="27">
        <f>H23</f>
        <v>6440.75</v>
      </c>
      <c r="M23" s="27">
        <f>ROUND(L23*I23%,2)</f>
        <v>64.41</v>
      </c>
      <c r="N23" s="27">
        <f>H23-M23</f>
        <v>6376.34</v>
      </c>
      <c r="O23" s="27">
        <f>ROUND(N23*J23%,2)</f>
        <v>127.53</v>
      </c>
      <c r="P23" s="27">
        <f>ROUND(N23-O23,2)</f>
        <v>6248.81</v>
      </c>
      <c r="Q23" s="27">
        <f>ROUND(P23*K23%,2)</f>
        <v>156.22</v>
      </c>
      <c r="R23" s="27">
        <f>ROUND((M23+O23+Q23),2)</f>
        <v>348.16</v>
      </c>
      <c r="S23" s="27">
        <f>ROUND((H23-R23),2)</f>
        <v>6092.59</v>
      </c>
      <c r="T23" s="45" t="s">
        <v>146</v>
      </c>
      <c r="U23" s="46">
        <v>0.18</v>
      </c>
      <c r="V23" s="27">
        <f>IF($C$21=1,ROUND(((S23*U23)/2),2),0)</f>
        <v>548.33</v>
      </c>
      <c r="W23" s="27">
        <f>IF($C$21=1,ROUND(((S23*U23)/2),2),0)</f>
        <v>548.33</v>
      </c>
      <c r="X23" s="27">
        <f>IF($C$21=2,ROUND(((S23*U23)),2),0)</f>
        <v>0</v>
      </c>
      <c r="Y23" s="26">
        <f>ROUND((S23*18%),2)</f>
        <v>1096.67</v>
      </c>
      <c r="Z23" s="26">
        <f>S23+Y23</f>
        <v>7189.26</v>
      </c>
      <c r="AA23" s="45">
        <v>120</v>
      </c>
      <c r="AB23" s="45">
        <f>IF($P$21=1,(S23/$S$25)*$E$36,AA23/$AA$25*$E$36)</f>
        <v>0</v>
      </c>
      <c r="AC23" s="45"/>
      <c r="AD23" s="45">
        <f>IF($P$21=1,(S23/$S$25)*$E$38,AA23/$AA$25*$E$38)</f>
        <v>0</v>
      </c>
      <c r="AE23" s="45">
        <f>IF($P$21=1,(S23/$S$25)*$E$39,AA23/$AA$25*$E$39)</f>
        <v>0</v>
      </c>
      <c r="AF23" s="45">
        <f t="shared" ref="AF23:AF24" si="1">S23*$M$21</f>
        <v>6092.59</v>
      </c>
      <c r="AG23" s="45">
        <f>IF($C$21=3,0,AD23+AE23)</f>
        <v>0</v>
      </c>
      <c r="AH23" s="45">
        <f t="shared" ref="AH23:AH24" si="2">IF($C$21=3,AB23+AD23+AE23,0)</f>
        <v>0</v>
      </c>
      <c r="AI23" s="27">
        <v>2</v>
      </c>
      <c r="AJ23" s="45">
        <f t="shared" ref="AJ23:AJ24" si="3">F23/AI23</f>
        <v>12.5</v>
      </c>
      <c r="AK23" s="45">
        <f>ROUND(AF23/AJ23,5)</f>
        <v>487.4072</v>
      </c>
      <c r="AL23" s="45">
        <f>AG23/AJ23</f>
        <v>0</v>
      </c>
      <c r="AM23" s="45">
        <f>AH23/AJ23</f>
        <v>0</v>
      </c>
      <c r="AN23" s="45" t="s">
        <v>58</v>
      </c>
      <c r="AO23" s="45">
        <f>ROUND(AK23+AL23+AM23,5)</f>
        <v>487.4072</v>
      </c>
      <c r="AP23" s="8" t="s">
        <v>217</v>
      </c>
      <c r="AQ23" s="8" t="s">
        <v>58</v>
      </c>
      <c r="AR23" t="s">
        <v>218</v>
      </c>
      <c r="AS23" t="s">
        <v>296</v>
      </c>
      <c r="AT23" s="54">
        <f>AJ23</f>
        <v>12.5</v>
      </c>
      <c r="AU23" s="10">
        <f>AO23</f>
        <v>487.4072</v>
      </c>
      <c r="AV23" s="54">
        <f>AR23+AT23</f>
        <v>12.5</v>
      </c>
      <c r="AW23" s="8">
        <f>ROUND(((AR23*AS23)+(AT23*AU23))/(AR23+AT23),5)</f>
        <v>487.4072</v>
      </c>
      <c r="AX23" s="56"/>
      <c r="AY23" s="56" t="s">
        <v>149</v>
      </c>
      <c r="AZ23" s="57" t="s">
        <v>38</v>
      </c>
      <c r="BA23" s="57" t="s">
        <v>319</v>
      </c>
      <c r="BB23" s="57" t="s">
        <v>320</v>
      </c>
      <c r="BC23" s="56"/>
      <c r="BD23" s="56"/>
      <c r="BE23" s="56"/>
      <c r="BF23" s="8"/>
      <c r="BG23" s="8"/>
      <c r="BH23" s="8"/>
      <c r="BI23" s="8" t="s">
        <v>297</v>
      </c>
      <c r="BJ23" t="s">
        <v>296</v>
      </c>
      <c r="BK23" t="s">
        <v>321</v>
      </c>
      <c r="BL23" s="8">
        <f>ROUND((((AT23*AW23)+(BK23*BJ23))/(AT23+BK23)),5)</f>
        <v>487.4072</v>
      </c>
      <c r="BM23" s="60">
        <f>BK23+AT23</f>
        <v>112.5</v>
      </c>
    </row>
    <row r="24" ht="15.15" spans="1:65">
      <c r="A24" s="26">
        <v>2</v>
      </c>
      <c r="B24" s="26" t="s">
        <v>322</v>
      </c>
      <c r="C24" s="26" t="s">
        <v>175</v>
      </c>
      <c r="D24" s="26" t="s">
        <v>58</v>
      </c>
      <c r="E24" s="26" t="s">
        <v>163</v>
      </c>
      <c r="F24" s="27">
        <v>28</v>
      </c>
      <c r="G24" s="27">
        <v>150.5</v>
      </c>
      <c r="H24" s="27">
        <f t="shared" ref="H24" si="4">F24*G24</f>
        <v>4214</v>
      </c>
      <c r="I24" s="27">
        <v>1</v>
      </c>
      <c r="J24" s="27">
        <v>2</v>
      </c>
      <c r="K24" s="27">
        <v>2.5</v>
      </c>
      <c r="L24" s="27">
        <f t="shared" ref="L24" si="5">H24</f>
        <v>4214</v>
      </c>
      <c r="M24" s="27">
        <f t="shared" ref="M24" si="6">ROUND(L24*I24%,2)</f>
        <v>42.14</v>
      </c>
      <c r="N24" s="27">
        <f t="shared" ref="N24" si="7">H24-M24</f>
        <v>4171.86</v>
      </c>
      <c r="O24" s="27">
        <f t="shared" ref="O24" si="8">ROUND(N24*J24%,2)</f>
        <v>83.44</v>
      </c>
      <c r="P24" s="27">
        <f t="shared" ref="P24" si="9">ROUND(N24-O24,2)</f>
        <v>4088.42</v>
      </c>
      <c r="Q24" s="27">
        <f t="shared" ref="Q24" si="10">ROUND(P24*K24%,2)</f>
        <v>102.21</v>
      </c>
      <c r="R24" s="27">
        <f t="shared" ref="R24" si="11">ROUND((M24+O24+Q24),2)</f>
        <v>227.79</v>
      </c>
      <c r="S24" s="27">
        <f t="shared" ref="S24" si="12">ROUND((H24-R24),2)</f>
        <v>3986.21</v>
      </c>
      <c r="T24" s="45" t="s">
        <v>300</v>
      </c>
      <c r="U24" s="46">
        <v>0.18</v>
      </c>
      <c r="V24" s="27">
        <f t="shared" ref="V24" si="13">IF($C$21=1,ROUND(((S24*U24)/2),2),0)</f>
        <v>358.76</v>
      </c>
      <c r="W24" s="27">
        <f t="shared" ref="W24" si="14">IF($C$21=1,ROUND(((S24*U24)/2),2),0)</f>
        <v>358.76</v>
      </c>
      <c r="X24" s="27">
        <f t="shared" ref="X24" si="15">IF($C$21=2,ROUND(((S24*U24)),2),0)</f>
        <v>0</v>
      </c>
      <c r="Y24" s="26">
        <f t="shared" ref="Y24" si="16">ROUND((S24*18%),2)</f>
        <v>717.52</v>
      </c>
      <c r="Z24" s="26">
        <f t="shared" ref="Z24" si="17">S24+Y24</f>
        <v>4703.73</v>
      </c>
      <c r="AA24" s="45">
        <v>350</v>
      </c>
      <c r="AB24" s="45">
        <f>IF($P$21=1,(S24/$S$25)*$E$36,AA24/$AA$25*$E$36)</f>
        <v>0</v>
      </c>
      <c r="AC24" s="45"/>
      <c r="AD24" s="45">
        <f>IF($P$21=1,(S24/$S$25)*$E$38,AA24/$AA$25*$E$38)</f>
        <v>0</v>
      </c>
      <c r="AE24" s="45">
        <f>IF($P$21=1,(S24/$S$25)*$E$39,AA24/$AA$25*$E$39)</f>
        <v>0</v>
      </c>
      <c r="AF24" s="45">
        <f t="shared" si="1"/>
        <v>3986.21</v>
      </c>
      <c r="AG24" s="45">
        <f t="shared" ref="AG24" si="18">IF($C$21=3,0,AD24+AE24)</f>
        <v>0</v>
      </c>
      <c r="AH24" s="45">
        <f t="shared" si="2"/>
        <v>0</v>
      </c>
      <c r="AI24" s="27">
        <v>2</v>
      </c>
      <c r="AJ24" s="45">
        <f t="shared" si="3"/>
        <v>14</v>
      </c>
      <c r="AK24" s="45">
        <f t="shared" ref="AK24" si="19">ROUND(AF24/AJ24,5)</f>
        <v>284.72929</v>
      </c>
      <c r="AL24" s="45">
        <f t="shared" ref="AL24" si="20">AG24/AJ24</f>
        <v>0</v>
      </c>
      <c r="AM24" s="45">
        <f t="shared" ref="AM24" si="21">AH24/AJ24</f>
        <v>0</v>
      </c>
      <c r="AN24" s="45" t="s">
        <v>58</v>
      </c>
      <c r="AO24" s="45">
        <f t="shared" ref="AO24" si="22">ROUND(AK24+AL24+AM24,5)</f>
        <v>284.72929</v>
      </c>
      <c r="AP24" s="8" t="s">
        <v>217</v>
      </c>
      <c r="AQ24" s="8" t="s">
        <v>58</v>
      </c>
      <c r="AR24" t="s">
        <v>218</v>
      </c>
      <c r="AS24" t="s">
        <v>301</v>
      </c>
      <c r="AT24" s="54">
        <f t="shared" ref="AT24" si="23">AJ24</f>
        <v>14</v>
      </c>
      <c r="AU24" s="10">
        <f>AO24</f>
        <v>284.72929</v>
      </c>
      <c r="AV24" s="54">
        <f t="shared" ref="AV24" si="24">AR24+AT24</f>
        <v>14</v>
      </c>
      <c r="AW24" s="8">
        <f>ROUND(((AR24*AS24)+(AT24*AU24))/(AR24+AT24),5)</f>
        <v>284.72929</v>
      </c>
      <c r="AX24" s="56"/>
      <c r="AY24" s="56"/>
      <c r="AZ24" s="57" t="s">
        <v>38</v>
      </c>
      <c r="BA24" s="57" t="s">
        <v>323</v>
      </c>
      <c r="BB24" s="57" t="s">
        <v>320</v>
      </c>
      <c r="BC24" s="56"/>
      <c r="BD24" s="56"/>
      <c r="BE24" s="56"/>
      <c r="BF24" s="8"/>
      <c r="BG24" s="8"/>
      <c r="BH24" s="8"/>
      <c r="BI24" s="8" t="s">
        <v>297</v>
      </c>
      <c r="BJ24" t="s">
        <v>301</v>
      </c>
      <c r="BK24" t="s">
        <v>324</v>
      </c>
      <c r="BL24" s="8">
        <f t="shared" ref="BL24" si="25">ROUND((((AT24*AW24)+(BK24*BJ24))/(AT24+BK24)),5)</f>
        <v>346.29238</v>
      </c>
      <c r="BM24" s="60">
        <f t="shared" ref="BM24" si="26">BK24+AT24</f>
        <v>103.6</v>
      </c>
    </row>
    <row r="25" ht="15.15" spans="1:64">
      <c r="A25" s="17"/>
      <c r="C25" s="28" t="s">
        <v>87</v>
      </c>
      <c r="D25" s="29"/>
      <c r="E25" s="29"/>
      <c r="F25" s="29"/>
      <c r="G25" s="30"/>
      <c r="H25" s="31">
        <f>SUM(H23:H24)</f>
        <v>10654.75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575.95</v>
      </c>
      <c r="S25" s="31">
        <f>SUM(S23:S24)</f>
        <v>10078.8</v>
      </c>
      <c r="T25" s="31"/>
      <c r="U25" s="31"/>
      <c r="V25" s="47">
        <f t="shared" ref="V25:AB25" si="27">SUM(V23:V24)</f>
        <v>907.09</v>
      </c>
      <c r="W25" s="47">
        <f t="shared" si="27"/>
        <v>907.09</v>
      </c>
      <c r="X25" s="47">
        <f t="shared" si="27"/>
        <v>0</v>
      </c>
      <c r="Y25" s="31">
        <f t="shared" si="27"/>
        <v>1814.19</v>
      </c>
      <c r="Z25" s="50">
        <f t="shared" si="27"/>
        <v>11892.99</v>
      </c>
      <c r="AA25" s="51">
        <f t="shared" si="27"/>
        <v>470</v>
      </c>
      <c r="AB25" s="51">
        <f t="shared" si="27"/>
        <v>0</v>
      </c>
      <c r="AC25" s="50"/>
      <c r="AD25" s="51">
        <f>SUM(AD23:AD24)</f>
        <v>0</v>
      </c>
      <c r="AE25" s="51">
        <f>IF($P$21=1,(S25/$S$25)*$E$39,AA25/$AA$25*$E$39)</f>
        <v>0</v>
      </c>
      <c r="AF25" s="51">
        <f>SUM(AF23:AF24)</f>
        <v>10078.8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  <c r="AQ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</row>
    <row r="26" ht="15.15" spans="1:6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</row>
    <row r="27" ht="15.15" spans="1:64">
      <c r="A27" s="17"/>
      <c r="B27" s="17"/>
      <c r="C27" s="17"/>
      <c r="D27" s="17"/>
      <c r="E27" s="17"/>
      <c r="F27" s="17"/>
      <c r="G27" s="32" t="s">
        <v>194</v>
      </c>
      <c r="H27" s="33"/>
      <c r="I27" s="37">
        <f>H25</f>
        <v>10654.75</v>
      </c>
      <c r="J27" s="37"/>
      <c r="K27" s="38"/>
      <c r="L27" s="17"/>
      <c r="M27" s="39" t="s">
        <v>195</v>
      </c>
      <c r="N27" s="40"/>
      <c r="O27" s="40"/>
      <c r="P27" s="41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 t="s">
        <v>308</v>
      </c>
      <c r="BF27" s="115" t="s">
        <v>309</v>
      </c>
      <c r="BG27" s="17"/>
      <c r="BH27" s="17"/>
      <c r="BI27" s="17"/>
      <c r="BJ27" s="17"/>
      <c r="BK27" s="17"/>
      <c r="BL27" s="17"/>
    </row>
    <row r="28" ht="15.15" spans="1:64">
      <c r="A28" s="17"/>
      <c r="B28" s="17"/>
      <c r="C28" s="17"/>
      <c r="D28" s="17"/>
      <c r="E28" s="17"/>
      <c r="F28" s="17"/>
      <c r="G28" s="32" t="s">
        <v>196</v>
      </c>
      <c r="H28" s="33"/>
      <c r="I28" s="37">
        <f>R25</f>
        <v>575.95</v>
      </c>
      <c r="J28" s="37"/>
      <c r="K28" s="17"/>
      <c r="L28" s="17"/>
      <c r="M28" s="42">
        <v>1</v>
      </c>
      <c r="N28" s="42" t="s">
        <v>58</v>
      </c>
      <c r="O28" s="42">
        <v>2</v>
      </c>
      <c r="P28" s="42" t="s">
        <v>163</v>
      </c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 t="s">
        <v>310</v>
      </c>
      <c r="BF28" s="115" t="s">
        <v>311</v>
      </c>
      <c r="BG28" s="17"/>
      <c r="BH28" s="17"/>
      <c r="BI28" s="17"/>
      <c r="BJ28" s="17"/>
      <c r="BK28" s="17"/>
      <c r="BL28" s="17"/>
    </row>
    <row r="29" ht="15.15" spans="1:64">
      <c r="A29" s="17"/>
      <c r="B29" s="17"/>
      <c r="C29" s="17"/>
      <c r="D29" s="17"/>
      <c r="E29" s="17"/>
      <c r="F29" s="17"/>
      <c r="G29" s="32" t="s">
        <v>197</v>
      </c>
      <c r="H29" s="33"/>
      <c r="I29" s="37">
        <f>S25</f>
        <v>10078.8</v>
      </c>
      <c r="J29" s="37"/>
      <c r="K29" s="17"/>
      <c r="L29" s="17"/>
      <c r="M29" s="26">
        <v>1</v>
      </c>
      <c r="N29" s="26" t="s">
        <v>58</v>
      </c>
      <c r="O29" s="26">
        <v>2.5</v>
      </c>
      <c r="P29" s="26" t="s">
        <v>176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</row>
    <row r="30" ht="15.15" spans="1:64">
      <c r="A30" s="17"/>
      <c r="B30" s="17"/>
      <c r="C30" s="17"/>
      <c r="D30" s="17"/>
      <c r="E30" s="17"/>
      <c r="F30" s="17"/>
      <c r="G30" s="32" t="s">
        <v>198</v>
      </c>
      <c r="H30" s="33"/>
      <c r="I30" s="37">
        <f>Y25</f>
        <v>1814.19</v>
      </c>
      <c r="J30" s="37"/>
      <c r="K30" s="17"/>
      <c r="L30" s="17"/>
      <c r="M30" s="26">
        <v>1</v>
      </c>
      <c r="N30" s="26" t="s">
        <v>163</v>
      </c>
      <c r="O30" s="26">
        <v>0.001</v>
      </c>
      <c r="P30" s="26" t="s">
        <v>185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</row>
    <row r="31" ht="15.15" spans="1:64">
      <c r="A31" s="17"/>
      <c r="B31" s="17"/>
      <c r="C31" s="17"/>
      <c r="D31" s="17"/>
      <c r="E31" s="17"/>
      <c r="F31" s="17"/>
      <c r="G31" s="32" t="s">
        <v>199</v>
      </c>
      <c r="H31" s="33"/>
      <c r="I31" s="43">
        <f>I29+I30</f>
        <v>11892.99</v>
      </c>
      <c r="J31" s="43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</row>
    <row r="32" spans="1:6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 t="s">
        <v>312</v>
      </c>
      <c r="BK32" s="17" t="s">
        <v>313</v>
      </c>
      <c r="BL32" s="17"/>
    </row>
    <row r="33" spans="1:6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 t="s">
        <v>314</v>
      </c>
      <c r="BI33" s="17">
        <v>12.5</v>
      </c>
      <c r="BJ33" s="17">
        <f>BI35*BI36</f>
        <v>0</v>
      </c>
      <c r="BK33" s="17">
        <f>BI33*BI34</f>
        <v>6092.59</v>
      </c>
      <c r="BL33" s="17"/>
    </row>
    <row r="34" spans="1:6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 t="s">
        <v>315</v>
      </c>
      <c r="BI34" s="17">
        <v>487.4072</v>
      </c>
      <c r="BJ34" s="17">
        <f>BI33+BI35</f>
        <v>12.5</v>
      </c>
      <c r="BK34" s="17"/>
      <c r="BL34" s="17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7" workbookViewId="0">
      <selection activeCell="BI23" sqref="BI23:BI24"/>
    </sheetView>
  </sheetViews>
  <sheetFormatPr defaultColWidth="9" defaultRowHeight="14.4"/>
  <cols>
    <col min="2" max="2" width="16.287037037037" customWidth="1"/>
  </cols>
  <sheetData>
    <row r="1" ht="18.15" spans="1:64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</row>
    <row r="2" ht="18.15" spans="1:64">
      <c r="A2" s="2" t="s">
        <v>47</v>
      </c>
      <c r="B2" s="2"/>
      <c r="C2" s="2"/>
      <c r="D2" s="2"/>
      <c r="E2" s="2"/>
      <c r="F2" s="2"/>
      <c r="G2" s="2"/>
      <c r="H2" s="2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</row>
    <row r="3" ht="15.15" spans="1:64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</row>
    <row r="4" spans="1:64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</row>
    <row r="5" spans="1:64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</row>
    <row r="6" spans="1:64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</row>
    <row r="7" spans="1:64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</row>
    <row r="8" spans="1:64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</row>
    <row r="9" spans="1:64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</row>
    <row r="10" spans="1:64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</row>
    <row r="11" spans="1:64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</row>
    <row r="12" spans="1:64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</row>
    <row r="13" spans="1:64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</row>
    <row r="14" spans="1:64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</row>
    <row r="15" spans="1:64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</row>
    <row r="16" spans="1:64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</row>
    <row r="17" spans="1:64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</row>
    <row r="18" ht="15.15" spans="1:64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</row>
    <row r="19" ht="15.15" spans="1:64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</row>
    <row r="20" spans="1:64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</row>
    <row r="21" ht="15.15" spans="1:64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20"/>
      <c r="S21" s="20"/>
      <c r="T21" s="20"/>
      <c r="U21" s="20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</row>
    <row r="22" ht="42.9" spans="1:65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25" t="s">
        <v>108</v>
      </c>
      <c r="U22" s="44" t="s">
        <v>159</v>
      </c>
      <c r="V22" s="44" t="s">
        <v>110</v>
      </c>
      <c r="W22" s="44" t="s">
        <v>111</v>
      </c>
      <c r="X22" s="44" t="s">
        <v>112</v>
      </c>
      <c r="Y22" s="44" t="s">
        <v>113</v>
      </c>
      <c r="Z22" s="49" t="s">
        <v>114</v>
      </c>
      <c r="AA22" s="49" t="s">
        <v>115</v>
      </c>
      <c r="AB22" s="49" t="s">
        <v>116</v>
      </c>
      <c r="AC22" s="49" t="s">
        <v>117</v>
      </c>
      <c r="AD22" s="49" t="s">
        <v>118</v>
      </c>
      <c r="AE22" s="49" t="s">
        <v>119</v>
      </c>
      <c r="AF22" s="49" t="s">
        <v>120</v>
      </c>
      <c r="AG22" s="49" t="s">
        <v>121</v>
      </c>
      <c r="AH22" s="49" t="s">
        <v>122</v>
      </c>
      <c r="AI22" s="49" t="s">
        <v>123</v>
      </c>
      <c r="AJ22" s="49" t="s">
        <v>124</v>
      </c>
      <c r="AK22" s="49" t="s">
        <v>125</v>
      </c>
      <c r="AL22" s="49" t="s">
        <v>126</v>
      </c>
      <c r="AM22" s="49" t="s">
        <v>127</v>
      </c>
      <c r="AN22" s="49" t="s">
        <v>128</v>
      </c>
      <c r="AO22" s="52" t="s">
        <v>160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325</v>
      </c>
      <c r="C23" s="26" t="s">
        <v>162</v>
      </c>
      <c r="D23" s="26" t="s">
        <v>58</v>
      </c>
      <c r="E23" s="26" t="s">
        <v>163</v>
      </c>
      <c r="F23" s="27">
        <v>25</v>
      </c>
      <c r="G23" s="27">
        <v>257.63</v>
      </c>
      <c r="H23" s="27">
        <f>F23*G23</f>
        <v>6440.75</v>
      </c>
      <c r="I23" s="27">
        <v>1</v>
      </c>
      <c r="J23" s="27">
        <v>2</v>
      </c>
      <c r="K23" s="27">
        <v>2.5</v>
      </c>
      <c r="L23" s="27">
        <f>H23</f>
        <v>6440.75</v>
      </c>
      <c r="M23" s="27">
        <f>ROUND(L23*I23%,2)</f>
        <v>64.41</v>
      </c>
      <c r="N23" s="27">
        <f>H23-M23</f>
        <v>6376.34</v>
      </c>
      <c r="O23" s="27">
        <f>ROUND(N23*J23%,2)</f>
        <v>127.53</v>
      </c>
      <c r="P23" s="27">
        <f>ROUND(N23-O23,2)</f>
        <v>6248.81</v>
      </c>
      <c r="Q23" s="27">
        <f>ROUND(P23*K23%,2)</f>
        <v>156.22</v>
      </c>
      <c r="R23" s="27">
        <f>ROUND((M23+O23+Q23),2)</f>
        <v>348.16</v>
      </c>
      <c r="S23" s="27">
        <f>ROUND((H23-R23),2)</f>
        <v>6092.59</v>
      </c>
      <c r="T23" s="45" t="s">
        <v>146</v>
      </c>
      <c r="U23" s="46">
        <v>0.18</v>
      </c>
      <c r="V23" s="27">
        <f>IF($C$21=1,ROUND(((S23*U23)/2),2),0)</f>
        <v>548.33</v>
      </c>
      <c r="W23" s="27">
        <f>IF($C$21=1,ROUND(((S23*U23)/2),2),0)</f>
        <v>548.33</v>
      </c>
      <c r="X23" s="27">
        <f>IF($C$21=2,ROUND(((S23*U23)),2),0)</f>
        <v>0</v>
      </c>
      <c r="Y23" s="26">
        <f>ROUND((S23*18%),2)</f>
        <v>1096.67</v>
      </c>
      <c r="Z23" s="26">
        <f>S23+Y23</f>
        <v>7189.26</v>
      </c>
      <c r="AA23" s="45">
        <v>120</v>
      </c>
      <c r="AB23" s="45">
        <f>IF($P$21=1,(S23/$S$25)*$E$36,AA23/$AA$25*$E$36)</f>
        <v>0</v>
      </c>
      <c r="AC23" s="45"/>
      <c r="AD23" s="45">
        <f>IF($P$21=1,(S23/$S$25)*$E$38,AA23/$AA$25*$E$38)</f>
        <v>0</v>
      </c>
      <c r="AE23" s="45">
        <f>IF($P$21=1,(S23/$S$25)*$E$39,AA23/$AA$25*$E$39)</f>
        <v>0</v>
      </c>
      <c r="AF23" s="45">
        <f t="shared" ref="AF23:AF24" si="1">S23*$M$21</f>
        <v>6092.59</v>
      </c>
      <c r="AG23" s="45">
        <f>IF($C$21=3,0,AD23+AE23)</f>
        <v>0</v>
      </c>
      <c r="AH23" s="45">
        <f t="shared" ref="AH23:AH24" si="2">IF($C$21=3,AB23+AD23+AE23,0)</f>
        <v>0</v>
      </c>
      <c r="AI23" s="61">
        <v>2</v>
      </c>
      <c r="AJ23" s="45">
        <f t="shared" ref="AJ23:AJ24" si="3">F23/AI23</f>
        <v>12.5</v>
      </c>
      <c r="AK23" s="45">
        <f>ROUND(AF23/AJ23,5)</f>
        <v>487.4072</v>
      </c>
      <c r="AL23" s="45">
        <f>AG23/AJ23</f>
        <v>0</v>
      </c>
      <c r="AM23" s="45">
        <f>AH23/AJ23</f>
        <v>0</v>
      </c>
      <c r="AN23" s="45" t="s">
        <v>58</v>
      </c>
      <c r="AO23" s="45">
        <f>ROUND(AK23+AL23+AM23,5)</f>
        <v>487.4072</v>
      </c>
      <c r="AP23" s="8" t="s">
        <v>217</v>
      </c>
      <c r="AQ23" s="8" t="s">
        <v>58</v>
      </c>
      <c r="AR23" t="s">
        <v>218</v>
      </c>
      <c r="AS23" t="s">
        <v>296</v>
      </c>
      <c r="AT23" s="54">
        <f>AJ23</f>
        <v>12.5</v>
      </c>
      <c r="AU23" s="10">
        <f>AO23</f>
        <v>487.4072</v>
      </c>
      <c r="AV23" s="54">
        <f>AR23+AT23</f>
        <v>12.5</v>
      </c>
      <c r="AW23" s="8">
        <f>ROUND(((AR23*AS23)+(AT23*AU23))/(AR23+AT23),5)</f>
        <v>487.4072</v>
      </c>
      <c r="AX23" s="56"/>
      <c r="AY23" s="56" t="s">
        <v>149</v>
      </c>
      <c r="AZ23" s="57" t="s">
        <v>38</v>
      </c>
      <c r="BA23" s="57" t="s">
        <v>319</v>
      </c>
      <c r="BB23" s="57" t="s">
        <v>320</v>
      </c>
      <c r="BC23" s="56"/>
      <c r="BD23" s="56"/>
      <c r="BE23" s="56"/>
      <c r="BF23" s="8"/>
      <c r="BG23" s="8"/>
      <c r="BH23" s="8"/>
      <c r="BI23" s="8" t="s">
        <v>275</v>
      </c>
      <c r="BJ23" t="s">
        <v>296</v>
      </c>
      <c r="BK23" t="s">
        <v>321</v>
      </c>
      <c r="BL23" s="8">
        <f>ROUND((((AT23*AW23)+(BK23*BJ23))/(AT23+BK23)),5)</f>
        <v>487.4072</v>
      </c>
      <c r="BM23" s="60">
        <f>BK23+AT23</f>
        <v>112.5</v>
      </c>
    </row>
    <row r="24" ht="15.15" spans="1:65">
      <c r="A24" s="26">
        <v>2</v>
      </c>
      <c r="B24" s="26" t="s">
        <v>326</v>
      </c>
      <c r="C24" s="26" t="s">
        <v>175</v>
      </c>
      <c r="D24" s="26" t="s">
        <v>58</v>
      </c>
      <c r="E24" s="26" t="s">
        <v>163</v>
      </c>
      <c r="F24" s="27">
        <v>28</v>
      </c>
      <c r="G24" s="27">
        <v>150.5</v>
      </c>
      <c r="H24" s="27">
        <f t="shared" ref="H24" si="4">F24*G24</f>
        <v>4214</v>
      </c>
      <c r="I24" s="27">
        <v>1</v>
      </c>
      <c r="J24" s="27">
        <v>2</v>
      </c>
      <c r="K24" s="27">
        <v>2.5</v>
      </c>
      <c r="L24" s="27">
        <f t="shared" ref="L24" si="5">H24</f>
        <v>4214</v>
      </c>
      <c r="M24" s="27">
        <f t="shared" ref="M24" si="6">ROUND(L24*I24%,2)</f>
        <v>42.14</v>
      </c>
      <c r="N24" s="27">
        <f t="shared" ref="N24" si="7">H24-M24</f>
        <v>4171.86</v>
      </c>
      <c r="O24" s="27">
        <f t="shared" ref="O24" si="8">ROUND(N24*J24%,2)</f>
        <v>83.44</v>
      </c>
      <c r="P24" s="27">
        <f t="shared" ref="P24" si="9">ROUND(N24-O24,2)</f>
        <v>4088.42</v>
      </c>
      <c r="Q24" s="27">
        <f t="shared" ref="Q24" si="10">ROUND(P24*K24%,2)</f>
        <v>102.21</v>
      </c>
      <c r="R24" s="27">
        <f t="shared" ref="R24" si="11">ROUND((M24+O24+Q24),2)</f>
        <v>227.79</v>
      </c>
      <c r="S24" s="27">
        <f t="shared" ref="S24" si="12">ROUND((H24-R24),2)</f>
        <v>3986.21</v>
      </c>
      <c r="T24" s="45" t="s">
        <v>300</v>
      </c>
      <c r="U24" s="46">
        <v>0.18</v>
      </c>
      <c r="V24" s="27">
        <f t="shared" ref="V24" si="13">IF($C$21=1,ROUND(((S24*U24)/2),2),0)</f>
        <v>358.76</v>
      </c>
      <c r="W24" s="27">
        <f t="shared" ref="W24" si="14">IF($C$21=1,ROUND(((S24*U24)/2),2),0)</f>
        <v>358.76</v>
      </c>
      <c r="X24" s="27">
        <f t="shared" ref="X24" si="15">IF($C$21=2,ROUND(((S24*U24)),2),0)</f>
        <v>0</v>
      </c>
      <c r="Y24" s="26">
        <f t="shared" ref="Y24" si="16">ROUND((S24*18%),2)</f>
        <v>717.52</v>
      </c>
      <c r="Z24" s="26">
        <f t="shared" ref="Z24" si="17">S24+Y24</f>
        <v>4703.73</v>
      </c>
      <c r="AA24" s="45">
        <v>350</v>
      </c>
      <c r="AB24" s="45">
        <f>IF($P$21=1,(S24/$S$25)*$E$36,AA24/$AA$25*$E$36)</f>
        <v>0</v>
      </c>
      <c r="AC24" s="45"/>
      <c r="AD24" s="45">
        <f>IF($P$21=1,(S24/$S$25)*$E$38,AA24/$AA$25*$E$38)</f>
        <v>0</v>
      </c>
      <c r="AE24" s="45">
        <f>IF($P$21=1,(S24/$S$25)*$E$39,AA24/$AA$25*$E$39)</f>
        <v>0</v>
      </c>
      <c r="AF24" s="45">
        <f t="shared" si="1"/>
        <v>3986.21</v>
      </c>
      <c r="AG24" s="45">
        <f t="shared" ref="AG24" si="18">IF($C$21=3,0,AD24+AE24)</f>
        <v>0</v>
      </c>
      <c r="AH24" s="45">
        <f t="shared" si="2"/>
        <v>0</v>
      </c>
      <c r="AI24" s="61">
        <v>2.5</v>
      </c>
      <c r="AJ24" s="45">
        <f t="shared" si="3"/>
        <v>11.2</v>
      </c>
      <c r="AK24" s="45">
        <f t="shared" ref="AK24" si="19">ROUND(AF24/AJ24,5)</f>
        <v>355.91161</v>
      </c>
      <c r="AL24" s="45">
        <f t="shared" ref="AL24" si="20">AG24/AJ24</f>
        <v>0</v>
      </c>
      <c r="AM24" s="45">
        <f t="shared" ref="AM24" si="21">AH24/AJ24</f>
        <v>0</v>
      </c>
      <c r="AN24" s="45" t="s">
        <v>58</v>
      </c>
      <c r="AO24" s="45">
        <f t="shared" ref="AO24" si="22">ROUND(AK24+AL24+AM24,5)</f>
        <v>355.91161</v>
      </c>
      <c r="AP24" s="8" t="s">
        <v>217</v>
      </c>
      <c r="AQ24" s="8" t="s">
        <v>58</v>
      </c>
      <c r="AR24" t="s">
        <v>218</v>
      </c>
      <c r="AS24" t="s">
        <v>301</v>
      </c>
      <c r="AT24" s="54">
        <f t="shared" ref="AT24" si="23">AJ24</f>
        <v>11.2</v>
      </c>
      <c r="AU24" s="10">
        <f>AO24</f>
        <v>355.91161</v>
      </c>
      <c r="AV24" s="54">
        <f t="shared" ref="AV24" si="24">AR24+AT24</f>
        <v>11.2</v>
      </c>
      <c r="AW24" s="8">
        <f>ROUND(((AR24*AS24)+(AT24*AU24))/(AR24+AT24),5)</f>
        <v>355.91161</v>
      </c>
      <c r="AX24" s="56"/>
      <c r="AY24" s="56"/>
      <c r="AZ24" s="57" t="s">
        <v>38</v>
      </c>
      <c r="BA24" s="57" t="s">
        <v>323</v>
      </c>
      <c r="BB24" s="57" t="s">
        <v>320</v>
      </c>
      <c r="BC24" s="56"/>
      <c r="BD24" s="56"/>
      <c r="BE24" s="56"/>
      <c r="BF24" s="8"/>
      <c r="BG24" s="8"/>
      <c r="BH24" s="8"/>
      <c r="BI24" s="8" t="s">
        <v>275</v>
      </c>
      <c r="BJ24" t="s">
        <v>301</v>
      </c>
      <c r="BK24" t="s">
        <v>324</v>
      </c>
      <c r="BL24" s="8">
        <f t="shared" ref="BL24" si="25">ROUND((((AT24*AW24)+(BK24*BJ24))/(AT24+BK24)),5)</f>
        <v>355.91161</v>
      </c>
      <c r="BM24" s="60">
        <f t="shared" ref="BM24" si="26">BK24+AT24</f>
        <v>100.8</v>
      </c>
    </row>
    <row r="25" ht="15.15" spans="1:64">
      <c r="A25" s="17"/>
      <c r="C25" s="28" t="s">
        <v>87</v>
      </c>
      <c r="D25" s="29"/>
      <c r="E25" s="29"/>
      <c r="F25" s="29"/>
      <c r="G25" s="30"/>
      <c r="H25" s="31">
        <f>SUM(H23:H24)</f>
        <v>10654.75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575.95</v>
      </c>
      <c r="S25" s="31">
        <f>SUM(S23:S24)</f>
        <v>10078.8</v>
      </c>
      <c r="T25" s="31"/>
      <c r="U25" s="31"/>
      <c r="V25" s="47">
        <f t="shared" ref="V25:AB25" si="27">SUM(V23:V24)</f>
        <v>907.09</v>
      </c>
      <c r="W25" s="47">
        <f t="shared" si="27"/>
        <v>907.09</v>
      </c>
      <c r="X25" s="47">
        <f t="shared" si="27"/>
        <v>0</v>
      </c>
      <c r="Y25" s="31">
        <f t="shared" si="27"/>
        <v>1814.19</v>
      </c>
      <c r="Z25" s="50">
        <f t="shared" si="27"/>
        <v>11892.99</v>
      </c>
      <c r="AA25" s="51">
        <f t="shared" si="27"/>
        <v>470</v>
      </c>
      <c r="AB25" s="51">
        <f t="shared" si="27"/>
        <v>0</v>
      </c>
      <c r="AC25" s="50"/>
      <c r="AD25" s="51">
        <f>SUM(AD23:AD24)</f>
        <v>0</v>
      </c>
      <c r="AE25" s="51">
        <f>IF($P$21=1,(S25/$S$25)*$E$39,AA25/$AA$25*$E$39)</f>
        <v>0</v>
      </c>
      <c r="AF25" s="51">
        <f>SUM(AF23:AF24)</f>
        <v>10078.8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  <c r="AQ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</row>
    <row r="26" ht="15.15" spans="1:6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</row>
    <row r="27" ht="15.15" spans="1:64">
      <c r="A27" s="17"/>
      <c r="B27" s="17"/>
      <c r="C27" s="17"/>
      <c r="D27" s="17"/>
      <c r="E27" s="17"/>
      <c r="F27" s="17"/>
      <c r="G27" s="32" t="s">
        <v>194</v>
      </c>
      <c r="H27" s="33"/>
      <c r="I27" s="37">
        <f>H25</f>
        <v>10654.75</v>
      </c>
      <c r="J27" s="37"/>
      <c r="K27" s="38"/>
      <c r="L27" s="17"/>
      <c r="M27" s="39" t="s">
        <v>195</v>
      </c>
      <c r="N27" s="40"/>
      <c r="O27" s="40"/>
      <c r="P27" s="41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 t="s">
        <v>308</v>
      </c>
      <c r="BF27" s="115" t="s">
        <v>309</v>
      </c>
      <c r="BG27" s="17"/>
      <c r="BH27" s="17"/>
      <c r="BI27" s="17"/>
      <c r="BJ27" s="17"/>
      <c r="BK27" s="17"/>
      <c r="BL27" s="17"/>
    </row>
    <row r="28" ht="15.15" spans="1:64">
      <c r="A28" s="17"/>
      <c r="B28" s="17"/>
      <c r="C28" s="17"/>
      <c r="D28" s="17"/>
      <c r="E28" s="17"/>
      <c r="F28" s="17"/>
      <c r="G28" s="32" t="s">
        <v>196</v>
      </c>
      <c r="H28" s="33"/>
      <c r="I28" s="37">
        <f>R25</f>
        <v>575.95</v>
      </c>
      <c r="J28" s="37"/>
      <c r="K28" s="17"/>
      <c r="L28" s="17"/>
      <c r="M28" s="42">
        <v>1</v>
      </c>
      <c r="N28" s="42" t="s">
        <v>58</v>
      </c>
      <c r="O28" s="42">
        <v>2</v>
      </c>
      <c r="P28" s="42" t="s">
        <v>163</v>
      </c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 t="s">
        <v>310</v>
      </c>
      <c r="BF28" s="115" t="s">
        <v>311</v>
      </c>
      <c r="BG28" s="17"/>
      <c r="BH28" s="17"/>
      <c r="BI28" s="17"/>
      <c r="BJ28" s="17"/>
      <c r="BK28" s="17"/>
      <c r="BL28" s="17"/>
    </row>
    <row r="29" ht="15.15" spans="1:64">
      <c r="A29" s="17"/>
      <c r="B29" s="17"/>
      <c r="C29" s="17"/>
      <c r="D29" s="17"/>
      <c r="E29" s="17"/>
      <c r="F29" s="17"/>
      <c r="G29" s="32" t="s">
        <v>197</v>
      </c>
      <c r="H29" s="33"/>
      <c r="I29" s="37">
        <f>S25</f>
        <v>10078.8</v>
      </c>
      <c r="J29" s="37"/>
      <c r="K29" s="17"/>
      <c r="L29" s="17"/>
      <c r="M29" s="26">
        <v>1</v>
      </c>
      <c r="N29" s="26" t="s">
        <v>58</v>
      </c>
      <c r="O29" s="26">
        <v>2.5</v>
      </c>
      <c r="P29" s="26" t="s">
        <v>176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</row>
    <row r="30" ht="15.15" spans="1:64">
      <c r="A30" s="17"/>
      <c r="B30" s="17"/>
      <c r="C30" s="17"/>
      <c r="D30" s="17"/>
      <c r="E30" s="17"/>
      <c r="F30" s="17"/>
      <c r="G30" s="32" t="s">
        <v>198</v>
      </c>
      <c r="H30" s="33"/>
      <c r="I30" s="37">
        <f>Y25</f>
        <v>1814.19</v>
      </c>
      <c r="J30" s="37"/>
      <c r="K30" s="17"/>
      <c r="L30" s="17"/>
      <c r="M30" s="26">
        <v>1</v>
      </c>
      <c r="N30" s="26" t="s">
        <v>163</v>
      </c>
      <c r="O30" s="26">
        <v>0.001</v>
      </c>
      <c r="P30" s="26" t="s">
        <v>185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</row>
    <row r="31" ht="15.15" spans="1:64">
      <c r="A31" s="17"/>
      <c r="B31" s="17"/>
      <c r="C31" s="17"/>
      <c r="D31" s="17"/>
      <c r="E31" s="17"/>
      <c r="F31" s="17"/>
      <c r="G31" s="32" t="s">
        <v>199</v>
      </c>
      <c r="H31" s="33"/>
      <c r="I31" s="43">
        <f>I29+I30</f>
        <v>11892.99</v>
      </c>
      <c r="J31" s="43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</row>
    <row r="32" spans="1:6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 t="s">
        <v>312</v>
      </c>
      <c r="BK32" s="17" t="s">
        <v>313</v>
      </c>
      <c r="BL32" s="17"/>
    </row>
    <row r="33" spans="1:6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 t="s">
        <v>314</v>
      </c>
      <c r="BI33" s="17">
        <v>12.5</v>
      </c>
      <c r="BJ33" s="17">
        <f>BI35*BI36</f>
        <v>0</v>
      </c>
      <c r="BK33" s="17">
        <f>BI33*BI34</f>
        <v>6092.59</v>
      </c>
      <c r="BL33" s="17"/>
    </row>
    <row r="34" spans="1:6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 t="s">
        <v>315</v>
      </c>
      <c r="BI34" s="17">
        <v>487.4072</v>
      </c>
      <c r="BJ34" s="17">
        <f>BI33+BI35</f>
        <v>12.5</v>
      </c>
      <c r="BK34" s="17"/>
      <c r="BL34" s="17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abSelected="1" workbookViewId="0">
      <selection activeCell="K12" sqref="K12"/>
    </sheetView>
  </sheetViews>
  <sheetFormatPr defaultColWidth="9" defaultRowHeight="14.4"/>
  <cols>
    <col min="2" max="2" width="16.287037037037" customWidth="1"/>
  </cols>
  <sheetData>
    <row r="1" ht="18.15" spans="1:64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</row>
    <row r="2" ht="18.15" spans="1:64">
      <c r="A2" s="2" t="s">
        <v>47</v>
      </c>
      <c r="B2" s="2"/>
      <c r="C2" s="2"/>
      <c r="D2" s="2"/>
      <c r="E2" s="2"/>
      <c r="F2" s="2"/>
      <c r="G2" s="2"/>
      <c r="H2" s="2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</row>
    <row r="3" ht="15.15" spans="1:64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</row>
    <row r="4" spans="1:64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</row>
    <row r="5" spans="1:64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</row>
    <row r="6" spans="1:64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</row>
    <row r="7" spans="1:64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</row>
    <row r="8" spans="1:64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</row>
    <row r="9" spans="1:64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</row>
    <row r="10" spans="1:64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</row>
    <row r="11" spans="1:64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</row>
    <row r="12" spans="1:64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</row>
    <row r="13" spans="1:64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</row>
    <row r="14" spans="1:64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</row>
    <row r="15" spans="1:64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</row>
    <row r="16" spans="1:64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</row>
    <row r="17" spans="1:64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</row>
    <row r="18" ht="15.15" spans="1:64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</row>
    <row r="19" ht="15.15" spans="1:64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</row>
    <row r="20" spans="1:64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</row>
    <row r="21" ht="15.15" spans="1:64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20"/>
      <c r="S21" s="20"/>
      <c r="T21" s="20"/>
      <c r="U21" s="20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</row>
    <row r="22" ht="42.9" spans="1:65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25" t="s">
        <v>108</v>
      </c>
      <c r="U22" s="44" t="s">
        <v>159</v>
      </c>
      <c r="V22" s="44" t="s">
        <v>110</v>
      </c>
      <c r="W22" s="44" t="s">
        <v>111</v>
      </c>
      <c r="X22" s="44" t="s">
        <v>112</v>
      </c>
      <c r="Y22" s="44" t="s">
        <v>113</v>
      </c>
      <c r="Z22" s="49" t="s">
        <v>114</v>
      </c>
      <c r="AA22" s="49" t="s">
        <v>115</v>
      </c>
      <c r="AB22" s="49" t="s">
        <v>116</v>
      </c>
      <c r="AC22" s="49" t="s">
        <v>117</v>
      </c>
      <c r="AD22" s="49" t="s">
        <v>118</v>
      </c>
      <c r="AE22" s="49" t="s">
        <v>119</v>
      </c>
      <c r="AF22" s="49" t="s">
        <v>120</v>
      </c>
      <c r="AG22" s="49" t="s">
        <v>121</v>
      </c>
      <c r="AH22" s="49" t="s">
        <v>122</v>
      </c>
      <c r="AI22" s="49" t="s">
        <v>123</v>
      </c>
      <c r="AJ22" s="49" t="s">
        <v>124</v>
      </c>
      <c r="AK22" s="49" t="s">
        <v>125</v>
      </c>
      <c r="AL22" s="49" t="s">
        <v>126</v>
      </c>
      <c r="AM22" s="49" t="s">
        <v>127</v>
      </c>
      <c r="AN22" s="49" t="s">
        <v>128</v>
      </c>
      <c r="AO22" s="52" t="s">
        <v>160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327</v>
      </c>
      <c r="C23" s="26" t="s">
        <v>162</v>
      </c>
      <c r="D23" s="26" t="s">
        <v>58</v>
      </c>
      <c r="E23" s="26" t="s">
        <v>163</v>
      </c>
      <c r="F23" s="27">
        <v>25</v>
      </c>
      <c r="G23" s="27">
        <v>257.63</v>
      </c>
      <c r="H23" s="27">
        <f>F23*G23</f>
        <v>6440.75</v>
      </c>
      <c r="I23" s="27">
        <v>1</v>
      </c>
      <c r="J23" s="27">
        <v>2</v>
      </c>
      <c r="K23" s="27">
        <v>2.5</v>
      </c>
      <c r="L23" s="27">
        <f>H23</f>
        <v>6440.75</v>
      </c>
      <c r="M23" s="27">
        <f>ROUND(L23*I23%,2)</f>
        <v>64.41</v>
      </c>
      <c r="N23" s="27">
        <f>H23-M23</f>
        <v>6376.34</v>
      </c>
      <c r="O23" s="27">
        <f>ROUND(N23*J23%,2)</f>
        <v>127.53</v>
      </c>
      <c r="P23" s="27">
        <f>ROUND(N23-O23,2)</f>
        <v>6248.81</v>
      </c>
      <c r="Q23" s="27">
        <f>ROUND(P23*K23%,2)</f>
        <v>156.22</v>
      </c>
      <c r="R23" s="27">
        <f>ROUND((M23+O23+Q23),2)</f>
        <v>348.16</v>
      </c>
      <c r="S23" s="27">
        <f>ROUND((H23-R23),2)</f>
        <v>6092.59</v>
      </c>
      <c r="T23" s="45" t="s">
        <v>146</v>
      </c>
      <c r="U23" s="46">
        <v>0.18</v>
      </c>
      <c r="V23" s="27">
        <f>IF($C$21=1,ROUND(((S23*U23)/2),2),0)</f>
        <v>548.33</v>
      </c>
      <c r="W23" s="27">
        <f>IF($C$21=1,ROUND(((S23*U23)/2),2),0)</f>
        <v>548.33</v>
      </c>
      <c r="X23" s="27">
        <f>IF($C$21=2,ROUND(((S23*U23)),2),0)</f>
        <v>0</v>
      </c>
      <c r="Y23" s="26">
        <f>ROUND((S23*18%),2)</f>
        <v>1096.67</v>
      </c>
      <c r="Z23" s="26">
        <f>S23+Y23</f>
        <v>7189.26</v>
      </c>
      <c r="AA23" s="45">
        <v>120</v>
      </c>
      <c r="AB23" s="45">
        <f>IF($P$21=1,(S23/$S$25)*$E$36,AA23/$AA$25*$E$36)</f>
        <v>0</v>
      </c>
      <c r="AC23" s="45"/>
      <c r="AD23" s="45">
        <f>IF($P$21=1,(S23/$S$25)*$E$38,AA23/$AA$25*$E$38)</f>
        <v>0</v>
      </c>
      <c r="AE23" s="45">
        <f>IF($P$21=1,(S23/$S$25)*$E$39,AA23/$AA$25*$E$39)</f>
        <v>0</v>
      </c>
      <c r="AF23" s="45">
        <f t="shared" ref="AF23:AF24" si="1">S23*$M$21</f>
        <v>6092.59</v>
      </c>
      <c r="AG23" s="45">
        <f>IF($C$21=3,0,AD23+AE23)</f>
        <v>0</v>
      </c>
      <c r="AH23" s="45">
        <f t="shared" ref="AH23:AH24" si="2">IF($C$21=3,AB23+AD23+AE23,0)</f>
        <v>0</v>
      </c>
      <c r="AI23" s="27">
        <v>2</v>
      </c>
      <c r="AJ23" s="45">
        <f t="shared" ref="AJ23:AJ24" si="3">F23/AI23</f>
        <v>12.5</v>
      </c>
      <c r="AK23" s="45">
        <f>ROUND(AF23/AJ23,5)</f>
        <v>487.4072</v>
      </c>
      <c r="AL23" s="45">
        <f>AG23/AJ23</f>
        <v>0</v>
      </c>
      <c r="AM23" s="45">
        <f>AH23/AJ23</f>
        <v>0</v>
      </c>
      <c r="AN23" s="45" t="s">
        <v>58</v>
      </c>
      <c r="AO23" s="45">
        <f>ROUND(AK23+AL23+AM23,5)</f>
        <v>487.4072</v>
      </c>
      <c r="AP23" s="8" t="s">
        <v>217</v>
      </c>
      <c r="AQ23" s="8" t="s">
        <v>58</v>
      </c>
      <c r="AR23" t="s">
        <v>218</v>
      </c>
      <c r="AS23" t="s">
        <v>296</v>
      </c>
      <c r="AT23" s="54">
        <f>AJ23</f>
        <v>12.5</v>
      </c>
      <c r="AU23" s="10">
        <f>AO23</f>
        <v>487.4072</v>
      </c>
      <c r="AV23" s="54">
        <f>AR23+AT23</f>
        <v>12.5</v>
      </c>
      <c r="AW23" s="8">
        <f>ROUND(((AR23*AS23)+(AT23*AU23))/(AR23+AT23),5)</f>
        <v>487.4072</v>
      </c>
      <c r="AX23" s="56"/>
      <c r="AY23" s="56" t="s">
        <v>149</v>
      </c>
      <c r="AZ23" s="57" t="s">
        <v>38</v>
      </c>
      <c r="BA23" s="57" t="s">
        <v>319</v>
      </c>
      <c r="BB23" s="57" t="s">
        <v>320</v>
      </c>
      <c r="BC23" s="56"/>
      <c r="BD23" s="56"/>
      <c r="BE23" s="56"/>
      <c r="BF23" s="8"/>
      <c r="BG23" s="8"/>
      <c r="BH23" s="8"/>
      <c r="BI23" s="8" t="s">
        <v>297</v>
      </c>
      <c r="BJ23" t="s">
        <v>296</v>
      </c>
      <c r="BK23" t="s">
        <v>321</v>
      </c>
      <c r="BL23" s="8">
        <f>ROUND((((AT23*AW23)+(BK23*BJ23))/(AT23+BK23)),5)</f>
        <v>487.4072</v>
      </c>
      <c r="BM23" s="60">
        <f>BK23+AT23</f>
        <v>112.5</v>
      </c>
    </row>
    <row r="24" ht="15.15" spans="1:65">
      <c r="A24" s="26">
        <v>2</v>
      </c>
      <c r="B24" s="26" t="s">
        <v>328</v>
      </c>
      <c r="C24" s="26" t="s">
        <v>175</v>
      </c>
      <c r="D24" s="26" t="s">
        <v>58</v>
      </c>
      <c r="E24" s="26" t="s">
        <v>163</v>
      </c>
      <c r="F24" s="27">
        <v>28</v>
      </c>
      <c r="G24" s="27">
        <v>150.5</v>
      </c>
      <c r="H24" s="27">
        <f t="shared" ref="H24" si="4">F24*G24</f>
        <v>4214</v>
      </c>
      <c r="I24" s="27">
        <v>1</v>
      </c>
      <c r="J24" s="27">
        <v>2</v>
      </c>
      <c r="K24" s="27">
        <v>2.5</v>
      </c>
      <c r="L24" s="27">
        <f t="shared" ref="L24" si="5">H24</f>
        <v>4214</v>
      </c>
      <c r="M24" s="27">
        <f t="shared" ref="M24" si="6">ROUND(L24*I24%,2)</f>
        <v>42.14</v>
      </c>
      <c r="N24" s="27">
        <f t="shared" ref="N24" si="7">H24-M24</f>
        <v>4171.86</v>
      </c>
      <c r="O24" s="27">
        <f t="shared" ref="O24" si="8">ROUND(N24*J24%,2)</f>
        <v>83.44</v>
      </c>
      <c r="P24" s="27">
        <f t="shared" ref="P24" si="9">ROUND(N24-O24,2)</f>
        <v>4088.42</v>
      </c>
      <c r="Q24" s="27">
        <f t="shared" ref="Q24" si="10">ROUND(P24*K24%,2)</f>
        <v>102.21</v>
      </c>
      <c r="R24" s="27">
        <f t="shared" ref="R24" si="11">ROUND((M24+O24+Q24),2)</f>
        <v>227.79</v>
      </c>
      <c r="S24" s="27">
        <f t="shared" ref="S24" si="12">ROUND((H24-R24),2)</f>
        <v>3986.21</v>
      </c>
      <c r="T24" s="45" t="s">
        <v>300</v>
      </c>
      <c r="U24" s="46">
        <v>0.18</v>
      </c>
      <c r="V24" s="27">
        <f t="shared" ref="V24" si="13">IF($C$21=1,ROUND(((S24*U24)/2),2),0)</f>
        <v>358.76</v>
      </c>
      <c r="W24" s="27">
        <f t="shared" ref="W24" si="14">IF($C$21=1,ROUND(((S24*U24)/2),2),0)</f>
        <v>358.76</v>
      </c>
      <c r="X24" s="27">
        <f t="shared" ref="X24" si="15">IF($C$21=2,ROUND(((S24*U24)),2),0)</f>
        <v>0</v>
      </c>
      <c r="Y24" s="26">
        <f t="shared" ref="Y24" si="16">ROUND((S24*18%),2)</f>
        <v>717.52</v>
      </c>
      <c r="Z24" s="26">
        <f t="shared" ref="Z24" si="17">S24+Y24</f>
        <v>4703.73</v>
      </c>
      <c r="AA24" s="45">
        <v>350</v>
      </c>
      <c r="AB24" s="45">
        <f>IF($P$21=1,(S24/$S$25)*$E$36,AA24/$AA$25*$E$36)</f>
        <v>0</v>
      </c>
      <c r="AC24" s="45"/>
      <c r="AD24" s="45">
        <f>IF($P$21=1,(S24/$S$25)*$E$38,AA24/$AA$25*$E$38)</f>
        <v>0</v>
      </c>
      <c r="AE24" s="45">
        <f>IF($P$21=1,(S24/$S$25)*$E$39,AA24/$AA$25*$E$39)</f>
        <v>0</v>
      </c>
      <c r="AF24" s="45">
        <f t="shared" si="1"/>
        <v>3986.21</v>
      </c>
      <c r="AG24" s="45">
        <f t="shared" ref="AG24" si="18">IF($C$21=3,0,AD24+AE24)</f>
        <v>0</v>
      </c>
      <c r="AH24" s="45">
        <f t="shared" si="2"/>
        <v>0</v>
      </c>
      <c r="AI24" s="27">
        <v>2</v>
      </c>
      <c r="AJ24" s="45">
        <f t="shared" si="3"/>
        <v>14</v>
      </c>
      <c r="AK24" s="45">
        <f t="shared" ref="AK24" si="19">ROUND(AF24/AJ24,5)</f>
        <v>284.72929</v>
      </c>
      <c r="AL24" s="45">
        <f t="shared" ref="AL24" si="20">AG24/AJ24</f>
        <v>0</v>
      </c>
      <c r="AM24" s="45">
        <f t="shared" ref="AM24" si="21">AH24/AJ24</f>
        <v>0</v>
      </c>
      <c r="AN24" s="45" t="s">
        <v>58</v>
      </c>
      <c r="AO24" s="45">
        <f t="shared" ref="AO24" si="22">ROUND(AK24+AL24+AM24,5)</f>
        <v>284.72929</v>
      </c>
      <c r="AP24" s="8" t="s">
        <v>217</v>
      </c>
      <c r="AQ24" s="8" t="s">
        <v>58</v>
      </c>
      <c r="AR24" t="s">
        <v>218</v>
      </c>
      <c r="AS24" t="s">
        <v>301</v>
      </c>
      <c r="AT24" s="54">
        <f t="shared" ref="AT24" si="23">AJ24</f>
        <v>14</v>
      </c>
      <c r="AU24" s="10">
        <f>AO24</f>
        <v>284.72929</v>
      </c>
      <c r="AV24" s="54">
        <f t="shared" ref="AV24" si="24">AR24+AT24</f>
        <v>14</v>
      </c>
      <c r="AW24" s="8">
        <f>ROUND(((AR24*AS24)+(AT24*AU24))/(AR24+AT24),5)</f>
        <v>284.72929</v>
      </c>
      <c r="AX24" s="56"/>
      <c r="AY24" s="56"/>
      <c r="AZ24" s="57" t="s">
        <v>38</v>
      </c>
      <c r="BA24" s="57" t="s">
        <v>323</v>
      </c>
      <c r="BB24" s="57" t="s">
        <v>320</v>
      </c>
      <c r="BC24" s="56"/>
      <c r="BD24" s="56"/>
      <c r="BE24" s="56"/>
      <c r="BF24" s="8"/>
      <c r="BG24" s="8"/>
      <c r="BH24" s="8"/>
      <c r="BI24" s="8" t="s">
        <v>297</v>
      </c>
      <c r="BJ24" t="s">
        <v>301</v>
      </c>
      <c r="BK24" t="s">
        <v>324</v>
      </c>
      <c r="BL24" s="8">
        <f t="shared" ref="BL24" si="25">ROUND((((AT24*AW24)+(BK24*BJ24))/(AT24+BK24)),5)</f>
        <v>346.29238</v>
      </c>
      <c r="BM24" s="60">
        <f t="shared" ref="BM24" si="26">BK24+AT24</f>
        <v>103.6</v>
      </c>
    </row>
    <row r="25" ht="15.15" spans="1:64">
      <c r="A25" s="17"/>
      <c r="C25" s="28" t="s">
        <v>87</v>
      </c>
      <c r="D25" s="29"/>
      <c r="E25" s="29"/>
      <c r="F25" s="29"/>
      <c r="G25" s="30"/>
      <c r="H25" s="31">
        <f>SUM(H23:H24)</f>
        <v>10654.75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575.95</v>
      </c>
      <c r="S25" s="31">
        <f>SUM(S23:S24)</f>
        <v>10078.8</v>
      </c>
      <c r="T25" s="31"/>
      <c r="U25" s="31"/>
      <c r="V25" s="47">
        <f t="shared" ref="V25:AB25" si="27">SUM(V23:V24)</f>
        <v>907.09</v>
      </c>
      <c r="W25" s="47">
        <f t="shared" si="27"/>
        <v>907.09</v>
      </c>
      <c r="X25" s="47">
        <f t="shared" si="27"/>
        <v>0</v>
      </c>
      <c r="Y25" s="31">
        <f t="shared" si="27"/>
        <v>1814.19</v>
      </c>
      <c r="Z25" s="50">
        <f t="shared" si="27"/>
        <v>11892.99</v>
      </c>
      <c r="AA25" s="51">
        <f t="shared" si="27"/>
        <v>470</v>
      </c>
      <c r="AB25" s="51">
        <f t="shared" si="27"/>
        <v>0</v>
      </c>
      <c r="AC25" s="50"/>
      <c r="AD25" s="51">
        <f>SUM(AD23:AD24)</f>
        <v>0</v>
      </c>
      <c r="AE25" s="51">
        <f>IF($P$21=1,(S25/$S$25)*$E$39,AA25/$AA$25*$E$39)</f>
        <v>0</v>
      </c>
      <c r="AF25" s="51">
        <f>SUM(AF23:AF24)</f>
        <v>10078.8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  <c r="AQ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</row>
    <row r="26" ht="15.15" spans="1:6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</row>
    <row r="27" ht="15.15" spans="1:64">
      <c r="A27" s="17"/>
      <c r="B27" s="17"/>
      <c r="C27" s="17"/>
      <c r="D27" s="17"/>
      <c r="E27" s="17"/>
      <c r="F27" s="17"/>
      <c r="G27" s="32" t="s">
        <v>194</v>
      </c>
      <c r="H27" s="33"/>
      <c r="I27" s="37">
        <f>H25</f>
        <v>10654.75</v>
      </c>
      <c r="J27" s="37"/>
      <c r="K27" s="38"/>
      <c r="L27" s="17"/>
      <c r="M27" s="39" t="s">
        <v>195</v>
      </c>
      <c r="N27" s="40"/>
      <c r="O27" s="40"/>
      <c r="P27" s="41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 t="s">
        <v>308</v>
      </c>
      <c r="BF27" s="115" t="s">
        <v>309</v>
      </c>
      <c r="BG27" s="17"/>
      <c r="BH27" s="17"/>
      <c r="BI27" s="17"/>
      <c r="BJ27" s="17"/>
      <c r="BK27" s="17"/>
      <c r="BL27" s="17"/>
    </row>
    <row r="28" ht="15.15" spans="1:64">
      <c r="A28" s="17"/>
      <c r="B28" s="17"/>
      <c r="C28" s="17"/>
      <c r="D28" s="17"/>
      <c r="E28" s="17"/>
      <c r="F28" s="17"/>
      <c r="G28" s="32" t="s">
        <v>196</v>
      </c>
      <c r="H28" s="33"/>
      <c r="I28" s="37">
        <f>R25</f>
        <v>575.95</v>
      </c>
      <c r="J28" s="37"/>
      <c r="K28" s="17"/>
      <c r="L28" s="17"/>
      <c r="M28" s="42">
        <v>1</v>
      </c>
      <c r="N28" s="42" t="s">
        <v>58</v>
      </c>
      <c r="O28" s="42">
        <v>2</v>
      </c>
      <c r="P28" s="42" t="s">
        <v>163</v>
      </c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 t="s">
        <v>310</v>
      </c>
      <c r="BF28" s="115" t="s">
        <v>311</v>
      </c>
      <c r="BG28" s="17"/>
      <c r="BH28" s="17"/>
      <c r="BI28" s="17"/>
      <c r="BJ28" s="17"/>
      <c r="BK28" s="17"/>
      <c r="BL28" s="17"/>
    </row>
    <row r="29" ht="15.15" spans="1:64">
      <c r="A29" s="17"/>
      <c r="B29" s="17"/>
      <c r="C29" s="17"/>
      <c r="D29" s="17"/>
      <c r="E29" s="17"/>
      <c r="F29" s="17"/>
      <c r="G29" s="32" t="s">
        <v>197</v>
      </c>
      <c r="H29" s="33"/>
      <c r="I29" s="37">
        <f>S25</f>
        <v>10078.8</v>
      </c>
      <c r="J29" s="37"/>
      <c r="K29" s="17"/>
      <c r="L29" s="17"/>
      <c r="M29" s="26">
        <v>1</v>
      </c>
      <c r="N29" s="26" t="s">
        <v>58</v>
      </c>
      <c r="O29" s="26">
        <v>2.5</v>
      </c>
      <c r="P29" s="26" t="s">
        <v>176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</row>
    <row r="30" ht="15.15" spans="1:64">
      <c r="A30" s="17"/>
      <c r="B30" s="17"/>
      <c r="C30" s="17"/>
      <c r="D30" s="17"/>
      <c r="E30" s="17"/>
      <c r="F30" s="17"/>
      <c r="G30" s="32" t="s">
        <v>198</v>
      </c>
      <c r="H30" s="33"/>
      <c r="I30" s="37">
        <f>Y25</f>
        <v>1814.19</v>
      </c>
      <c r="J30" s="37"/>
      <c r="K30" s="17"/>
      <c r="L30" s="17"/>
      <c r="M30" s="26">
        <v>1</v>
      </c>
      <c r="N30" s="26" t="s">
        <v>163</v>
      </c>
      <c r="O30" s="26">
        <v>0.001</v>
      </c>
      <c r="P30" s="26" t="s">
        <v>185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</row>
    <row r="31" ht="15.15" spans="1:64">
      <c r="A31" s="17"/>
      <c r="B31" s="17"/>
      <c r="C31" s="17"/>
      <c r="D31" s="17"/>
      <c r="E31" s="17"/>
      <c r="F31" s="17"/>
      <c r="G31" s="32" t="s">
        <v>199</v>
      </c>
      <c r="H31" s="33"/>
      <c r="I31" s="43">
        <f>I29+I30</f>
        <v>11892.99</v>
      </c>
      <c r="J31" s="43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</row>
    <row r="32" spans="1:6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 t="s">
        <v>312</v>
      </c>
      <c r="BK32" s="17" t="s">
        <v>313</v>
      </c>
      <c r="BL32" s="17"/>
    </row>
    <row r="33" spans="1:6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 t="s">
        <v>314</v>
      </c>
      <c r="BI33" s="17">
        <v>12.5</v>
      </c>
      <c r="BJ33" s="17">
        <f>BI35*BI36</f>
        <v>0</v>
      </c>
      <c r="BK33" s="17">
        <f>BI33*BI34</f>
        <v>6092.59</v>
      </c>
      <c r="BL33" s="17"/>
    </row>
    <row r="34" spans="1:6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 t="s">
        <v>315</v>
      </c>
      <c r="BI34" s="17">
        <v>487.4072</v>
      </c>
      <c r="BJ34" s="17">
        <f>BI33+BI35</f>
        <v>12.5</v>
      </c>
      <c r="BK34" s="17"/>
      <c r="BL34" s="17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AW23" sqref="AW23"/>
    </sheetView>
  </sheetViews>
  <sheetFormatPr defaultColWidth="9" defaultRowHeight="14.4"/>
  <cols>
    <col min="2" max="2" width="16.287037037037" customWidth="1"/>
    <col min="35" max="35" width="13.5740740740741" customWidth="1"/>
    <col min="36" max="36" width="15.5740740740741" customWidth="1"/>
    <col min="44" max="44" width="15.287037037037" customWidth="1"/>
    <col min="45" max="45" width="20.287037037037" customWidth="1"/>
    <col min="46" max="46" width="11.4259259259259" customWidth="1"/>
    <col min="47" max="47" width="16.287037037037" customWidth="1"/>
    <col min="48" max="48" width="13.8518518518519" customWidth="1"/>
    <col min="49" max="49" width="18.8518518518519" customWidth="1"/>
    <col min="51" max="51" width="21.712962962963" customWidth="1"/>
    <col min="65" max="65" width="34.4259259259259" customWidth="1"/>
  </cols>
  <sheetData>
    <row r="1" ht="18.15" spans="1:64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</row>
    <row r="2" ht="18.15" spans="1:64">
      <c r="A2" s="2" t="s">
        <v>47</v>
      </c>
      <c r="B2" s="2"/>
      <c r="C2" s="2"/>
      <c r="D2" s="2"/>
      <c r="E2" s="2"/>
      <c r="F2" s="2"/>
      <c r="G2" s="2"/>
      <c r="H2" s="2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</row>
    <row r="3" ht="15.15" spans="1:64">
      <c r="A3" s="3" t="s">
        <v>48</v>
      </c>
      <c r="B3" s="4" t="s">
        <v>49</v>
      </c>
      <c r="C3" s="5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6" t="s">
        <v>55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</row>
    <row r="4" spans="1:64">
      <c r="A4" s="7">
        <v>1</v>
      </c>
      <c r="B4" s="8" t="s">
        <v>56</v>
      </c>
      <c r="C4" s="8" t="s">
        <v>57</v>
      </c>
      <c r="D4" s="8" t="s">
        <v>58</v>
      </c>
      <c r="E4" s="8" t="s">
        <v>58</v>
      </c>
      <c r="F4" s="9">
        <v>25</v>
      </c>
      <c r="G4" s="10">
        <v>257.63</v>
      </c>
      <c r="H4" s="11">
        <f>F4*G4</f>
        <v>6440.75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</row>
    <row r="5" spans="1:64">
      <c r="A5" s="7">
        <v>2</v>
      </c>
      <c r="B5" s="8" t="s">
        <v>59</v>
      </c>
      <c r="C5" s="8" t="s">
        <v>60</v>
      </c>
      <c r="D5" s="8" t="s">
        <v>58</v>
      </c>
      <c r="E5" s="8" t="s">
        <v>58</v>
      </c>
      <c r="F5" s="9">
        <v>35</v>
      </c>
      <c r="G5" s="10">
        <v>125.45</v>
      </c>
      <c r="H5" s="11">
        <f>F5*G5</f>
        <v>4390.75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</row>
    <row r="6" spans="1:64">
      <c r="A6" s="7">
        <v>3</v>
      </c>
      <c r="B6" s="8" t="s">
        <v>61</v>
      </c>
      <c r="C6" s="8" t="s">
        <v>62</v>
      </c>
      <c r="D6" s="8" t="s">
        <v>58</v>
      </c>
      <c r="E6" s="8" t="s">
        <v>58</v>
      </c>
      <c r="F6" s="9">
        <v>45</v>
      </c>
      <c r="G6" s="10">
        <v>125.36</v>
      </c>
      <c r="H6" s="11">
        <f>F6*G6</f>
        <v>5641.2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</row>
    <row r="7" spans="1:64">
      <c r="A7" s="7">
        <v>4</v>
      </c>
      <c r="B7" s="8" t="s">
        <v>63</v>
      </c>
      <c r="C7" s="8" t="s">
        <v>64</v>
      </c>
      <c r="D7" s="8" t="s">
        <v>58</v>
      </c>
      <c r="E7" s="8" t="s">
        <v>58</v>
      </c>
      <c r="F7" s="9">
        <v>55</v>
      </c>
      <c r="G7" s="10">
        <v>45.25</v>
      </c>
      <c r="H7" s="11">
        <f t="shared" ref="H7:H18" si="0">F7*G7</f>
        <v>2488.75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</row>
    <row r="8" spans="1:64">
      <c r="A8" s="7">
        <v>5</v>
      </c>
      <c r="B8" s="8" t="s">
        <v>65</v>
      </c>
      <c r="C8" s="8" t="s">
        <v>66</v>
      </c>
      <c r="D8" s="8" t="s">
        <v>58</v>
      </c>
      <c r="E8" s="8" t="s">
        <v>58</v>
      </c>
      <c r="F8" s="9">
        <v>60</v>
      </c>
      <c r="G8" s="10">
        <v>45.5</v>
      </c>
      <c r="H8" s="11">
        <f t="shared" si="0"/>
        <v>2730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</row>
    <row r="9" spans="1:64">
      <c r="A9" s="7">
        <v>6</v>
      </c>
      <c r="B9" s="8" t="s">
        <v>67</v>
      </c>
      <c r="C9" s="8" t="s">
        <v>68</v>
      </c>
      <c r="D9" s="8" t="s">
        <v>58</v>
      </c>
      <c r="E9" s="8" t="s">
        <v>58</v>
      </c>
      <c r="F9" s="9">
        <v>75</v>
      </c>
      <c r="G9" s="10">
        <v>125.25</v>
      </c>
      <c r="H9" s="11">
        <f t="shared" si="0"/>
        <v>9393.75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</row>
    <row r="10" spans="1:64">
      <c r="A10" s="7">
        <v>7</v>
      </c>
      <c r="B10" s="8" t="s">
        <v>69</v>
      </c>
      <c r="C10" s="8" t="s">
        <v>70</v>
      </c>
      <c r="D10" s="8" t="s">
        <v>58</v>
      </c>
      <c r="E10" s="8" t="s">
        <v>58</v>
      </c>
      <c r="F10" s="9">
        <v>28</v>
      </c>
      <c r="G10" s="10">
        <v>150.5</v>
      </c>
      <c r="H10" s="11">
        <f t="shared" si="0"/>
        <v>4214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</row>
    <row r="11" spans="1:64">
      <c r="A11" s="7">
        <v>8</v>
      </c>
      <c r="B11" s="8" t="s">
        <v>71</v>
      </c>
      <c r="C11" s="8" t="s">
        <v>72</v>
      </c>
      <c r="D11" s="8" t="s">
        <v>58</v>
      </c>
      <c r="E11" s="8" t="s">
        <v>58</v>
      </c>
      <c r="F11" s="9">
        <v>30</v>
      </c>
      <c r="G11" s="10">
        <v>65.32</v>
      </c>
      <c r="H11" s="11">
        <f t="shared" si="0"/>
        <v>1959.6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7"/>
      <c r="BI11" s="17"/>
      <c r="BJ11" s="17"/>
      <c r="BK11" s="17"/>
      <c r="BL11" s="17"/>
    </row>
    <row r="12" spans="1:64">
      <c r="A12" s="7">
        <v>9</v>
      </c>
      <c r="B12" s="8" t="s">
        <v>73</v>
      </c>
      <c r="C12" s="8" t="s">
        <v>74</v>
      </c>
      <c r="D12" s="8" t="s">
        <v>58</v>
      </c>
      <c r="E12" s="8" t="s">
        <v>58</v>
      </c>
      <c r="F12" s="9">
        <v>25</v>
      </c>
      <c r="G12" s="10">
        <v>74.89</v>
      </c>
      <c r="H12" s="11">
        <f t="shared" si="0"/>
        <v>1872.25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</row>
    <row r="13" spans="1:64">
      <c r="A13" s="7">
        <v>10</v>
      </c>
      <c r="B13" s="8" t="s">
        <v>75</v>
      </c>
      <c r="C13" s="8" t="s">
        <v>76</v>
      </c>
      <c r="D13" s="8" t="s">
        <v>58</v>
      </c>
      <c r="E13" s="8" t="s">
        <v>58</v>
      </c>
      <c r="F13" s="9">
        <v>28</v>
      </c>
      <c r="G13" s="10">
        <v>89.56</v>
      </c>
      <c r="H13" s="11">
        <f t="shared" si="0"/>
        <v>2507.68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</row>
    <row r="14" spans="1:64">
      <c r="A14" s="7">
        <v>11</v>
      </c>
      <c r="B14" s="8" t="s">
        <v>77</v>
      </c>
      <c r="C14" s="8" t="s">
        <v>78</v>
      </c>
      <c r="D14" s="8" t="s">
        <v>58</v>
      </c>
      <c r="E14" s="8" t="s">
        <v>58</v>
      </c>
      <c r="F14" s="9">
        <v>37</v>
      </c>
      <c r="G14" s="10">
        <v>89.54</v>
      </c>
      <c r="H14" s="11">
        <f t="shared" si="0"/>
        <v>3312.98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</row>
    <row r="15" spans="1:64">
      <c r="A15" s="7">
        <v>12</v>
      </c>
      <c r="B15" s="8" t="s">
        <v>79</v>
      </c>
      <c r="C15" s="8" t="s">
        <v>80</v>
      </c>
      <c r="D15" s="8" t="s">
        <v>58</v>
      </c>
      <c r="E15" s="8" t="s">
        <v>58</v>
      </c>
      <c r="F15" s="9">
        <v>39</v>
      </c>
      <c r="G15" s="10">
        <v>98.25</v>
      </c>
      <c r="H15" s="11">
        <f t="shared" si="0"/>
        <v>3831.75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</row>
    <row r="16" spans="1:64">
      <c r="A16" s="7">
        <v>13</v>
      </c>
      <c r="B16" s="8" t="s">
        <v>81</v>
      </c>
      <c r="C16" s="8" t="s">
        <v>82</v>
      </c>
      <c r="D16" s="8" t="s">
        <v>58</v>
      </c>
      <c r="E16" s="8" t="s">
        <v>58</v>
      </c>
      <c r="F16" s="9">
        <v>70</v>
      </c>
      <c r="G16" s="10">
        <v>102.25</v>
      </c>
      <c r="H16" s="11">
        <f t="shared" si="0"/>
        <v>7157.5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</row>
    <row r="17" spans="1:64">
      <c r="A17" s="7">
        <v>14</v>
      </c>
      <c r="B17" s="8" t="s">
        <v>83</v>
      </c>
      <c r="C17" s="8" t="s">
        <v>84</v>
      </c>
      <c r="D17" s="8" t="s">
        <v>58</v>
      </c>
      <c r="E17" s="8" t="s">
        <v>58</v>
      </c>
      <c r="F17" s="9">
        <v>100</v>
      </c>
      <c r="G17" s="10">
        <v>103.5</v>
      </c>
      <c r="H17" s="11">
        <f t="shared" si="0"/>
        <v>10350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</row>
    <row r="18" ht="15.15" spans="1:64">
      <c r="A18" s="12">
        <v>15</v>
      </c>
      <c r="B18" s="13" t="s">
        <v>85</v>
      </c>
      <c r="C18" s="13" t="s">
        <v>86</v>
      </c>
      <c r="D18" s="13" t="s">
        <v>58</v>
      </c>
      <c r="E18" s="13" t="s">
        <v>58</v>
      </c>
      <c r="F18" s="14">
        <v>85</v>
      </c>
      <c r="G18" s="15">
        <v>65.48</v>
      </c>
      <c r="H18" s="16">
        <f t="shared" si="0"/>
        <v>5565.8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</row>
    <row r="19" ht="15.15" spans="1:64">
      <c r="A19" s="17"/>
      <c r="B19" s="18" t="s">
        <v>87</v>
      </c>
      <c r="C19" s="18"/>
      <c r="D19" s="18"/>
      <c r="E19" s="18"/>
      <c r="F19" s="18"/>
      <c r="G19" s="18"/>
      <c r="H19" s="19">
        <f>SUM(H4:H18)</f>
        <v>71856.76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</row>
    <row r="20" spans="1:64">
      <c r="A20" s="20" t="s">
        <v>88</v>
      </c>
      <c r="B20" s="21"/>
      <c r="C20" s="21"/>
      <c r="D20" s="21"/>
      <c r="E20" s="21"/>
      <c r="F20" s="21"/>
      <c r="G20" s="21"/>
      <c r="H20" s="20"/>
      <c r="I20" s="34"/>
      <c r="J20" s="34"/>
      <c r="K20" s="34"/>
      <c r="L20" s="34"/>
      <c r="M20" s="34"/>
      <c r="N20" s="34"/>
      <c r="O20" s="34"/>
      <c r="P20" s="34"/>
      <c r="Q20" s="34"/>
      <c r="R20" s="20"/>
      <c r="S20" s="20"/>
      <c r="T20" s="20"/>
      <c r="U20" s="20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</row>
    <row r="21" ht="15.15" spans="1:64">
      <c r="A21" s="22" t="s">
        <v>89</v>
      </c>
      <c r="B21" s="22"/>
      <c r="C21" s="23">
        <v>1</v>
      </c>
      <c r="D21" s="24" t="s">
        <v>90</v>
      </c>
      <c r="E21" s="21"/>
      <c r="F21" s="21"/>
      <c r="G21" s="21"/>
      <c r="H21" s="20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20"/>
      <c r="S21" s="20"/>
      <c r="T21" s="20"/>
      <c r="U21" s="20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</row>
    <row r="22" ht="42.9" spans="1:65">
      <c r="A22" s="25" t="s">
        <v>155</v>
      </c>
      <c r="B22" s="25" t="s">
        <v>49</v>
      </c>
      <c r="C22" s="25" t="s">
        <v>156</v>
      </c>
      <c r="D22" s="25" t="s">
        <v>51</v>
      </c>
      <c r="E22" s="25" t="s">
        <v>52</v>
      </c>
      <c r="F22" s="25" t="s">
        <v>53</v>
      </c>
      <c r="G22" s="25" t="s">
        <v>54</v>
      </c>
      <c r="H22" s="25" t="s">
        <v>55</v>
      </c>
      <c r="I22" s="35" t="s">
        <v>97</v>
      </c>
      <c r="J22" s="35" t="s">
        <v>99</v>
      </c>
      <c r="K22" s="35" t="s">
        <v>98</v>
      </c>
      <c r="L22" s="36" t="s">
        <v>100</v>
      </c>
      <c r="M22" s="36" t="s">
        <v>101</v>
      </c>
      <c r="N22" s="36" t="s">
        <v>104</v>
      </c>
      <c r="O22" s="36" t="s">
        <v>105</v>
      </c>
      <c r="P22" s="36" t="s">
        <v>157</v>
      </c>
      <c r="Q22" s="36" t="s">
        <v>103</v>
      </c>
      <c r="R22" s="35" t="s">
        <v>106</v>
      </c>
      <c r="S22" s="25" t="s">
        <v>158</v>
      </c>
      <c r="T22" s="25" t="s">
        <v>108</v>
      </c>
      <c r="U22" s="44" t="s">
        <v>159</v>
      </c>
      <c r="V22" s="44" t="s">
        <v>110</v>
      </c>
      <c r="W22" s="44" t="s">
        <v>111</v>
      </c>
      <c r="X22" s="44" t="s">
        <v>112</v>
      </c>
      <c r="Y22" s="44" t="s">
        <v>113</v>
      </c>
      <c r="Z22" s="49" t="s">
        <v>114</v>
      </c>
      <c r="AA22" s="49" t="s">
        <v>115</v>
      </c>
      <c r="AB22" s="49" t="s">
        <v>116</v>
      </c>
      <c r="AC22" s="49" t="s">
        <v>117</v>
      </c>
      <c r="AD22" s="49" t="s">
        <v>118</v>
      </c>
      <c r="AE22" s="49" t="s">
        <v>119</v>
      </c>
      <c r="AF22" s="49" t="s">
        <v>120</v>
      </c>
      <c r="AG22" s="49" t="s">
        <v>121</v>
      </c>
      <c r="AH22" s="49" t="s">
        <v>122</v>
      </c>
      <c r="AI22" s="49" t="s">
        <v>123</v>
      </c>
      <c r="AJ22" s="49" t="s">
        <v>124</v>
      </c>
      <c r="AK22" s="49" t="s">
        <v>125</v>
      </c>
      <c r="AL22" s="49" t="s">
        <v>126</v>
      </c>
      <c r="AM22" s="49" t="s">
        <v>127</v>
      </c>
      <c r="AN22" s="49" t="s">
        <v>128</v>
      </c>
      <c r="AO22" s="52" t="s">
        <v>160</v>
      </c>
      <c r="AP22" s="4" t="s">
        <v>211</v>
      </c>
      <c r="AQ22" s="4" t="s">
        <v>128</v>
      </c>
      <c r="AR22" s="53" t="s">
        <v>131</v>
      </c>
      <c r="AS22" s="53" t="s">
        <v>132</v>
      </c>
      <c r="AT22" s="53" t="s">
        <v>133</v>
      </c>
      <c r="AU22" s="53" t="s">
        <v>134</v>
      </c>
      <c r="AV22" s="53" t="s">
        <v>135</v>
      </c>
      <c r="AW22" s="53" t="s">
        <v>136</v>
      </c>
      <c r="AX22" s="53" t="s">
        <v>137</v>
      </c>
      <c r="AY22" s="53" t="s">
        <v>138</v>
      </c>
      <c r="AZ22" s="55" t="s">
        <v>139</v>
      </c>
      <c r="BA22" s="55" t="s">
        <v>8</v>
      </c>
      <c r="BB22" s="55" t="s">
        <v>9</v>
      </c>
      <c r="BC22" s="53" t="s">
        <v>212</v>
      </c>
      <c r="BD22" s="53" t="s">
        <v>140</v>
      </c>
      <c r="BE22" s="53" t="s">
        <v>141</v>
      </c>
      <c r="BF22" s="53" t="s">
        <v>142</v>
      </c>
      <c r="BG22" s="53" t="s">
        <v>143</v>
      </c>
      <c r="BH22" s="53" t="s">
        <v>144</v>
      </c>
      <c r="BI22" s="53" t="s">
        <v>213</v>
      </c>
      <c r="BJ22" s="58" t="s">
        <v>214</v>
      </c>
      <c r="BK22" s="53" t="s">
        <v>215</v>
      </c>
      <c r="BL22" s="53" t="s">
        <v>136</v>
      </c>
      <c r="BM22" s="59" t="s">
        <v>216</v>
      </c>
    </row>
    <row r="23" ht="15.15" spans="1:65">
      <c r="A23" s="26">
        <v>1</v>
      </c>
      <c r="B23" s="26" t="s">
        <v>329</v>
      </c>
      <c r="C23" s="26" t="s">
        <v>162</v>
      </c>
      <c r="D23" s="26" t="s">
        <v>58</v>
      </c>
      <c r="E23" s="26" t="s">
        <v>163</v>
      </c>
      <c r="F23" s="27">
        <v>25</v>
      </c>
      <c r="G23" t="s">
        <v>330</v>
      </c>
      <c r="H23" s="27">
        <f>F23*G23</f>
        <v>1967.5</v>
      </c>
      <c r="I23" t="s">
        <v>228</v>
      </c>
      <c r="J23" s="27">
        <v>2</v>
      </c>
      <c r="K23" s="27">
        <v>2.5</v>
      </c>
      <c r="L23" s="27">
        <f>H23</f>
        <v>1967.5</v>
      </c>
      <c r="M23" s="27">
        <f>ROUND(L23*I23%,2)</f>
        <v>39.35</v>
      </c>
      <c r="N23" s="27">
        <f>H23-M23</f>
        <v>1928.15</v>
      </c>
      <c r="O23" s="27">
        <f>ROUND(N23*J23%,2)</f>
        <v>38.56</v>
      </c>
      <c r="P23" s="27">
        <f>ROUND(N23-O23,2)</f>
        <v>1889.59</v>
      </c>
      <c r="Q23" s="27">
        <f>ROUND(P23*K23%,2)</f>
        <v>47.24</v>
      </c>
      <c r="R23" s="27">
        <f>ROUND((M23+O23+Q23),2)</f>
        <v>125.15</v>
      </c>
      <c r="S23" s="27">
        <f>ROUND((H23-R23),2)</f>
        <v>1842.35</v>
      </c>
      <c r="T23" s="45" t="s">
        <v>146</v>
      </c>
      <c r="U23" s="46">
        <v>0.18</v>
      </c>
      <c r="V23" s="27">
        <f>IF($C$21=1,ROUND(((S23*U23)/2),2),0)</f>
        <v>165.81</v>
      </c>
      <c r="W23" s="27">
        <f>IF($C$21=1,ROUND(((S23*U23)/2),2),0)</f>
        <v>165.81</v>
      </c>
      <c r="X23" s="27">
        <f>IF($C$21=2,ROUND(((S23*U23)),2),0)</f>
        <v>0</v>
      </c>
      <c r="Y23" s="26">
        <f>ROUND((S23*18%),2)</f>
        <v>331.62</v>
      </c>
      <c r="Z23" s="26">
        <f>S23+Y23</f>
        <v>2173.97</v>
      </c>
      <c r="AA23" s="45">
        <v>120</v>
      </c>
      <c r="AB23" s="45">
        <f>IF($P$21=1,(S23/$S$25)*$E$36,AA23/$AA$25*$E$36)</f>
        <v>0</v>
      </c>
      <c r="AC23" s="45"/>
      <c r="AD23" s="45">
        <f>IF($P$21=1,(S23/$S$25)*$E$38,AA23/$AA$25*$E$38)</f>
        <v>0</v>
      </c>
      <c r="AE23" s="45">
        <f>IF($P$21=1,(S23/$S$25)*$E$39,AA23/$AA$25*$E$39)</f>
        <v>0</v>
      </c>
      <c r="AF23" s="45">
        <f t="shared" ref="AF23:AF24" si="1">S23*$M$21</f>
        <v>1842.35</v>
      </c>
      <c r="AG23" s="45">
        <f>IF($C$21=3,0,AD23+AE23)</f>
        <v>0</v>
      </c>
      <c r="AH23" s="45">
        <f t="shared" ref="AH23:AH24" si="2">IF($C$21=3,AB23+AD23+AE23,0)</f>
        <v>0</v>
      </c>
      <c r="AI23" s="27">
        <v>2</v>
      </c>
      <c r="AJ23" s="45">
        <f t="shared" ref="AJ23:AJ24" si="3">F23/AI23</f>
        <v>12.5</v>
      </c>
      <c r="AK23" s="45">
        <f>ROUND(AF23/AJ23,5)</f>
        <v>147.388</v>
      </c>
      <c r="AL23" s="45">
        <f>AG23/AJ23</f>
        <v>0</v>
      </c>
      <c r="AM23" s="45">
        <f>AH23/AJ23</f>
        <v>0</v>
      </c>
      <c r="AN23" s="45" t="s">
        <v>58</v>
      </c>
      <c r="AO23" s="45">
        <f>ROUND(AK23+AL23+AM23,5)</f>
        <v>147.388</v>
      </c>
      <c r="AP23" s="8" t="s">
        <v>217</v>
      </c>
      <c r="AQ23" s="8" t="s">
        <v>58</v>
      </c>
      <c r="AR23" t="s">
        <v>331</v>
      </c>
      <c r="AS23" t="s">
        <v>332</v>
      </c>
      <c r="AT23" s="10">
        <f>AJ23</f>
        <v>12.5</v>
      </c>
      <c r="AU23" s="10">
        <f>AO23</f>
        <v>147.388</v>
      </c>
      <c r="AV23" s="54">
        <f>AR23+AT23</f>
        <v>25</v>
      </c>
      <c r="AW23" s="8">
        <f>ROUND(((AR23*AS23)+(AT23*AU23))/(AR23+AT23),5)</f>
        <v>147.388</v>
      </c>
      <c r="AX23" s="56"/>
      <c r="AY23" s="56" t="s">
        <v>149</v>
      </c>
      <c r="AZ23" s="57" t="s">
        <v>38</v>
      </c>
      <c r="BA23" s="57" t="s">
        <v>319</v>
      </c>
      <c r="BB23" s="57" t="s">
        <v>320</v>
      </c>
      <c r="BC23" s="56"/>
      <c r="BD23" s="56"/>
      <c r="BE23" s="56"/>
      <c r="BF23" s="8"/>
      <c r="BG23" s="8"/>
      <c r="BH23" s="8"/>
      <c r="BI23" s="8" t="s">
        <v>297</v>
      </c>
      <c r="BJ23" t="s">
        <v>218</v>
      </c>
      <c r="BK23" t="s">
        <v>218</v>
      </c>
      <c r="BL23" s="8">
        <f>ROUND((((AT23*AW23)+(BK23*BJ23))/(AT23+BK23)),5)</f>
        <v>147.388</v>
      </c>
      <c r="BM23" s="60">
        <f>BK23+AT23</f>
        <v>12.5</v>
      </c>
    </row>
    <row r="24" ht="15.15" spans="1:65">
      <c r="A24" s="26">
        <v>2</v>
      </c>
      <c r="B24" s="26" t="s">
        <v>333</v>
      </c>
      <c r="C24" s="26" t="s">
        <v>175</v>
      </c>
      <c r="D24" s="26" t="s">
        <v>58</v>
      </c>
      <c r="E24" s="26" t="s">
        <v>163</v>
      </c>
      <c r="F24" s="27">
        <v>28</v>
      </c>
      <c r="G24" t="s">
        <v>334</v>
      </c>
      <c r="H24" s="27">
        <f t="shared" ref="H24" si="4">F24*G24</f>
        <v>2380</v>
      </c>
      <c r="I24" t="s">
        <v>335</v>
      </c>
      <c r="J24" s="27">
        <v>2</v>
      </c>
      <c r="K24" s="27">
        <v>2.5</v>
      </c>
      <c r="L24" s="27">
        <f t="shared" ref="L24" si="5">H24</f>
        <v>2380</v>
      </c>
      <c r="M24" s="27">
        <f t="shared" ref="M24" si="6">ROUND(L24*I24%,2)</f>
        <v>71.4</v>
      </c>
      <c r="N24" s="27">
        <f t="shared" ref="N24" si="7">H24-M24</f>
        <v>2308.6</v>
      </c>
      <c r="O24" s="27">
        <f t="shared" ref="O24" si="8">ROUND(N24*J24%,2)</f>
        <v>46.17</v>
      </c>
      <c r="P24" s="27">
        <f t="shared" ref="P24" si="9">ROUND(N24-O24,2)</f>
        <v>2262.43</v>
      </c>
      <c r="Q24" s="27">
        <f t="shared" ref="Q24" si="10">ROUND(P24*K24%,2)</f>
        <v>56.56</v>
      </c>
      <c r="R24" s="27">
        <f t="shared" ref="R24" si="11">ROUND((M24+O24+Q24),2)</f>
        <v>174.13</v>
      </c>
      <c r="S24" s="27">
        <f t="shared" ref="S24" si="12">ROUND((H24-R24),2)</f>
        <v>2205.87</v>
      </c>
      <c r="T24" s="45" t="s">
        <v>300</v>
      </c>
      <c r="U24" s="46">
        <v>0.18</v>
      </c>
      <c r="V24" s="27">
        <f t="shared" ref="V24" si="13">IF($C$21=1,ROUND(((S24*U24)/2),2),0)</f>
        <v>198.53</v>
      </c>
      <c r="W24" s="27">
        <f t="shared" ref="W24" si="14">IF($C$21=1,ROUND(((S24*U24)/2),2),0)</f>
        <v>198.53</v>
      </c>
      <c r="X24" s="27">
        <f t="shared" ref="X24" si="15">IF($C$21=2,ROUND(((S24*U24)),2),0)</f>
        <v>0</v>
      </c>
      <c r="Y24" s="26">
        <f t="shared" ref="Y24" si="16">ROUND((S24*18%),2)</f>
        <v>397.06</v>
      </c>
      <c r="Z24" s="26">
        <f t="shared" ref="Z24" si="17">S24+Y24</f>
        <v>2602.93</v>
      </c>
      <c r="AA24" s="45">
        <v>350</v>
      </c>
      <c r="AB24" s="45">
        <f>IF($P$21=1,(S24/$S$25)*$E$36,AA24/$AA$25*$E$36)</f>
        <v>0</v>
      </c>
      <c r="AC24" s="45"/>
      <c r="AD24" s="45">
        <f>IF($P$21=1,(S24/$S$25)*$E$38,AA24/$AA$25*$E$38)</f>
        <v>0</v>
      </c>
      <c r="AE24" s="45">
        <f>IF($P$21=1,(S24/$S$25)*$E$39,AA24/$AA$25*$E$39)</f>
        <v>0</v>
      </c>
      <c r="AF24" s="45">
        <f t="shared" si="1"/>
        <v>2205.87</v>
      </c>
      <c r="AG24" s="45">
        <f t="shared" ref="AG24" si="18">IF($C$21=3,0,AD24+AE24)</f>
        <v>0</v>
      </c>
      <c r="AH24" s="45">
        <f t="shared" si="2"/>
        <v>0</v>
      </c>
      <c r="AI24" s="27">
        <v>2</v>
      </c>
      <c r="AJ24" s="45">
        <f t="shared" si="3"/>
        <v>14</v>
      </c>
      <c r="AK24" s="45">
        <f t="shared" ref="AK24" si="19">ROUND(AF24/AJ24,5)</f>
        <v>157.56214</v>
      </c>
      <c r="AL24" s="45">
        <f t="shared" ref="AL24" si="20">AG24/AJ24</f>
        <v>0</v>
      </c>
      <c r="AM24" s="45">
        <f t="shared" ref="AM24" si="21">AH24/AJ24</f>
        <v>0</v>
      </c>
      <c r="AN24" s="45" t="s">
        <v>58</v>
      </c>
      <c r="AO24" s="45">
        <f t="shared" ref="AO24" si="22">ROUND(AK24+AL24+AM24,5)</f>
        <v>157.56214</v>
      </c>
      <c r="AP24" s="8" t="s">
        <v>217</v>
      </c>
      <c r="AQ24" s="8" t="s">
        <v>58</v>
      </c>
      <c r="AR24" t="s">
        <v>336</v>
      </c>
      <c r="AS24" t="s">
        <v>337</v>
      </c>
      <c r="AT24" s="10">
        <f>AJ24</f>
        <v>14</v>
      </c>
      <c r="AU24" s="10">
        <f>AO24</f>
        <v>157.56214</v>
      </c>
      <c r="AV24" s="54">
        <f t="shared" ref="AV24" si="23">AR24+AT24</f>
        <v>28</v>
      </c>
      <c r="AW24" s="8">
        <f>ROUND(((AR24*AS24)+(AT24*AU24))/(AR24+AT24),5)</f>
        <v>157.56214</v>
      </c>
      <c r="AX24" s="56"/>
      <c r="AY24" s="56"/>
      <c r="AZ24" s="57" t="s">
        <v>38</v>
      </c>
      <c r="BA24" s="57" t="s">
        <v>323</v>
      </c>
      <c r="BB24" s="57" t="s">
        <v>320</v>
      </c>
      <c r="BC24" s="56"/>
      <c r="BD24" s="56"/>
      <c r="BE24" s="56"/>
      <c r="BF24" s="8"/>
      <c r="BG24" s="8"/>
      <c r="BH24" s="8"/>
      <c r="BI24" s="8" t="s">
        <v>297</v>
      </c>
      <c r="BJ24" t="s">
        <v>218</v>
      </c>
      <c r="BK24" t="s">
        <v>218</v>
      </c>
      <c r="BL24" s="8">
        <f t="shared" ref="BL24" si="24">ROUND((((AT24*AW24)+(BK24*BJ24))/(AT24+BK24)),5)</f>
        <v>157.56214</v>
      </c>
      <c r="BM24" s="60">
        <f t="shared" ref="BM24" si="25">BK24+AT24</f>
        <v>14</v>
      </c>
    </row>
    <row r="25" ht="15.15" spans="1:64">
      <c r="A25" s="17"/>
      <c r="C25" s="28" t="s">
        <v>87</v>
      </c>
      <c r="D25" s="29"/>
      <c r="E25" s="29"/>
      <c r="F25" s="29"/>
      <c r="G25" s="30"/>
      <c r="H25" s="31">
        <f>SUM(H23:H24)</f>
        <v>4347.5</v>
      </c>
      <c r="I25" s="26"/>
      <c r="J25" s="26"/>
      <c r="K25" s="26"/>
      <c r="L25" s="26"/>
      <c r="M25" s="26"/>
      <c r="N25" s="26"/>
      <c r="O25" s="26"/>
      <c r="P25" s="26"/>
      <c r="Q25" s="26"/>
      <c r="R25" s="31">
        <f>SUM(R23:R24)</f>
        <v>299.28</v>
      </c>
      <c r="S25" s="31">
        <f>SUM(S23:S24)</f>
        <v>4048.22</v>
      </c>
      <c r="T25" s="31"/>
      <c r="U25" s="31"/>
      <c r="V25" s="47">
        <f t="shared" ref="V25:AB25" si="26">SUM(V23:V24)</f>
        <v>364.34</v>
      </c>
      <c r="W25" s="47">
        <f t="shared" si="26"/>
        <v>364.34</v>
      </c>
      <c r="X25" s="47">
        <f t="shared" si="26"/>
        <v>0</v>
      </c>
      <c r="Y25" s="31">
        <f t="shared" si="26"/>
        <v>728.68</v>
      </c>
      <c r="Z25" s="50">
        <f t="shared" si="26"/>
        <v>4776.9</v>
      </c>
      <c r="AA25" s="51">
        <f t="shared" si="26"/>
        <v>470</v>
      </c>
      <c r="AB25" s="51">
        <f t="shared" si="26"/>
        <v>0</v>
      </c>
      <c r="AC25" s="50"/>
      <c r="AD25" s="51">
        <f>SUM(AD23:AD24)</f>
        <v>0</v>
      </c>
      <c r="AE25" s="51">
        <f>IF($P$21=1,(S25/$S$25)*$E$39,AA25/$AA$25*$E$39)</f>
        <v>0</v>
      </c>
      <c r="AF25" s="51">
        <f>SUM(AF23:AF24)</f>
        <v>4048.22</v>
      </c>
      <c r="AG25" s="51">
        <f>SUM(AG23:AG24)</f>
        <v>0</v>
      </c>
      <c r="AH25" s="51">
        <f>SUM(AH23:AH24)</f>
        <v>0</v>
      </c>
      <c r="AI25" s="50"/>
      <c r="AJ25" s="50"/>
      <c r="AK25" s="50"/>
      <c r="AL25" s="50"/>
      <c r="AM25" s="50"/>
      <c r="AN25" s="50"/>
      <c r="AO25" s="50"/>
      <c r="AP25" s="17"/>
      <c r="AQ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</row>
    <row r="26" ht="15.15" spans="1:6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</row>
    <row r="27" ht="15.15" spans="1:64">
      <c r="A27" s="17"/>
      <c r="B27" s="17"/>
      <c r="C27" s="17"/>
      <c r="D27" s="17"/>
      <c r="E27" s="17"/>
      <c r="F27" s="17"/>
      <c r="G27" s="32" t="s">
        <v>194</v>
      </c>
      <c r="H27" s="33"/>
      <c r="I27" s="37">
        <f>H25</f>
        <v>4347.5</v>
      </c>
      <c r="J27" s="37"/>
      <c r="K27" s="38"/>
      <c r="L27" s="17"/>
      <c r="M27" s="39" t="s">
        <v>195</v>
      </c>
      <c r="N27" s="40"/>
      <c r="O27" s="40"/>
      <c r="P27" s="41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 t="s">
        <v>308</v>
      </c>
      <c r="BF27" s="115" t="s">
        <v>309</v>
      </c>
      <c r="BG27" s="17"/>
      <c r="BH27" s="17"/>
      <c r="BI27" s="17"/>
      <c r="BJ27" s="17"/>
      <c r="BK27" s="17"/>
      <c r="BL27" s="17"/>
    </row>
    <row r="28" ht="15.15" spans="1:64">
      <c r="A28" s="17"/>
      <c r="B28" s="17"/>
      <c r="C28" s="17"/>
      <c r="D28" s="17"/>
      <c r="E28" s="17"/>
      <c r="F28" s="17"/>
      <c r="G28" s="32" t="s">
        <v>196</v>
      </c>
      <c r="H28" s="33"/>
      <c r="I28" s="37">
        <f>R25</f>
        <v>299.28</v>
      </c>
      <c r="J28" s="37"/>
      <c r="K28" s="17"/>
      <c r="L28" s="17"/>
      <c r="M28" s="42">
        <v>1</v>
      </c>
      <c r="N28" s="42" t="s">
        <v>58</v>
      </c>
      <c r="O28" s="42">
        <v>2</v>
      </c>
      <c r="P28" s="42" t="s">
        <v>163</v>
      </c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 t="s">
        <v>310</v>
      </c>
      <c r="BF28" s="115" t="s">
        <v>311</v>
      </c>
      <c r="BG28" s="17"/>
      <c r="BH28" s="17"/>
      <c r="BI28" s="17"/>
      <c r="BJ28" s="17"/>
      <c r="BK28" s="17"/>
      <c r="BL28" s="17"/>
    </row>
    <row r="29" ht="15.15" spans="1:64">
      <c r="A29" s="17"/>
      <c r="B29" s="17"/>
      <c r="C29" s="17"/>
      <c r="D29" s="17"/>
      <c r="E29" s="17"/>
      <c r="F29" s="17"/>
      <c r="G29" s="32" t="s">
        <v>197</v>
      </c>
      <c r="H29" s="33"/>
      <c r="I29" s="37">
        <f>S25</f>
        <v>4048.22</v>
      </c>
      <c r="J29" s="37"/>
      <c r="K29" s="17"/>
      <c r="L29" s="17"/>
      <c r="M29" s="26">
        <v>1</v>
      </c>
      <c r="N29" s="26" t="s">
        <v>58</v>
      </c>
      <c r="O29" s="26">
        <v>2.5</v>
      </c>
      <c r="P29" s="26" t="s">
        <v>176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</row>
    <row r="30" ht="15.15" spans="1:64">
      <c r="A30" s="17"/>
      <c r="B30" s="17"/>
      <c r="C30" s="17"/>
      <c r="D30" s="17"/>
      <c r="E30" s="17"/>
      <c r="F30" s="17"/>
      <c r="G30" s="32" t="s">
        <v>198</v>
      </c>
      <c r="H30" s="33"/>
      <c r="I30" s="37">
        <f>Y25</f>
        <v>728.68</v>
      </c>
      <c r="J30" s="37"/>
      <c r="K30" s="17"/>
      <c r="L30" s="17"/>
      <c r="M30" s="26">
        <v>1</v>
      </c>
      <c r="N30" s="26" t="s">
        <v>163</v>
      </c>
      <c r="O30" s="26">
        <v>0.001</v>
      </c>
      <c r="P30" s="26" t="s">
        <v>185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</row>
    <row r="31" ht="15.15" spans="1:64">
      <c r="A31" s="17"/>
      <c r="B31" s="17"/>
      <c r="C31" s="17"/>
      <c r="D31" s="17"/>
      <c r="E31" s="17"/>
      <c r="F31" s="17"/>
      <c r="G31" s="32" t="s">
        <v>199</v>
      </c>
      <c r="H31" s="33"/>
      <c r="I31" s="43">
        <f>I29+I30</f>
        <v>4776.9</v>
      </c>
      <c r="J31" s="43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</row>
    <row r="32" spans="1:6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 t="s">
        <v>312</v>
      </c>
      <c r="BK32" s="17" t="s">
        <v>313</v>
      </c>
      <c r="BL32" s="17"/>
    </row>
    <row r="33" spans="1:6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 t="s">
        <v>314</v>
      </c>
      <c r="BI33" s="17">
        <v>12.5</v>
      </c>
      <c r="BJ33" s="17">
        <f>BI35*BI36</f>
        <v>0</v>
      </c>
      <c r="BK33" s="17">
        <f>BI33*BI34</f>
        <v>6092.59</v>
      </c>
      <c r="BL33" s="17"/>
    </row>
    <row r="34" spans="1:6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 t="s">
        <v>315</v>
      </c>
      <c r="BI34" s="17">
        <v>487.4072</v>
      </c>
      <c r="BJ34" s="17">
        <f>BI33+BI35</f>
        <v>12.5</v>
      </c>
      <c r="BK34" s="17"/>
      <c r="BL34" s="17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test</vt:lpstr>
      <vt:lpstr>DBDetails2</vt:lpstr>
      <vt:lpstr>Sheet3</vt:lpstr>
      <vt:lpstr>Sheet1</vt:lpstr>
      <vt:lpstr>Sheet4</vt:lpstr>
      <vt:lpstr>POSER</vt:lpstr>
      <vt:lpstr>POGENUD</vt:lpstr>
      <vt:lpstr>POWithRateContractGen</vt:lpstr>
      <vt:lpstr>POwithRateContractMat</vt:lpstr>
      <vt:lpstr>POMATUD</vt:lpstr>
      <vt:lpstr>RateContractSer</vt:lpstr>
      <vt:lpstr>PriceListItemGen</vt:lpstr>
      <vt:lpstr>STRateContract</vt:lpstr>
      <vt:lpstr>StockTransferItemGeneralType</vt:lpstr>
      <vt:lpstr>PriceListItemSer</vt:lpstr>
      <vt:lpstr>StockTransferPriceList</vt:lpstr>
      <vt:lpstr>DifferentUOMUD</vt:lpstr>
      <vt:lpstr>DifferentUOMMATUD</vt:lpstr>
      <vt:lpstr>DifferentUOMStocktransferUD</vt:lpstr>
      <vt:lpstr>DifferentUOMRateGen</vt:lpstr>
      <vt:lpstr>DifferentUOMRateMat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Galaxy</cp:lastModifiedBy>
  <dcterms:created xsi:type="dcterms:W3CDTF">2024-08-28T12:59:00Z</dcterms:created>
  <dcterms:modified xsi:type="dcterms:W3CDTF">2025-05-12T13:31:05Z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1033-12.2.0.20795</vt:lpwstr>
  </property>
</Properties>
</file>