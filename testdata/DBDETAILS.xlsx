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0" activeTab="9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  <sheet name="LandedCostDB" sheetId="81" r:id="rId77"/>
    <sheet name="LandedCostWTDS" sheetId="82" r:id="rId78"/>
    <sheet name="LandedCostWTDSandESI" sheetId="83" r:id="rId79"/>
    <sheet name="LandedCostHSNCHanged" sheetId="84" r:id="rId80"/>
    <sheet name="LandedCostAdditem" sheetId="85" r:id="rId81"/>
    <sheet name="LandedCostAddition" sheetId="86" r:id="rId82"/>
    <sheet name="LandedCostDeduction" sheetId="87" r:id="rId83"/>
    <sheet name="RoundOFValue" sheetId="88" r:id="rId84"/>
    <sheet name="StocktransferAddItem" sheetId="89" r:id="rId85"/>
    <sheet name="StockTransferAddLocalRCM" sheetId="90" r:id="rId86"/>
    <sheet name="StockTransferAddLocalEXToIGST" sheetId="91" r:id="rId87"/>
    <sheet name="StockTransferAddIterstateEXWRCM" sheetId="92" r:id="rId88"/>
    <sheet name="StockTransferAddIterstateEX" sheetId="93" r:id="rId89"/>
    <sheet name="StockTransferAddLocalEX" sheetId="94" r:id="rId90"/>
    <sheet name="StocktransferInterstate" sheetId="95" r:id="rId91"/>
    <sheet name="StocktransferISForRCM" sheetId="96" r:id="rId92"/>
    <sheet name="StocktransferLCRCM" sheetId="99" r:id="rId93"/>
    <sheet name="StocktransferLC" sheetId="97" r:id="rId94"/>
    <sheet name="StocktransferAddItemWithEx" sheetId="98" r:id="rId95"/>
  </sheets>
  <externalReferences>
    <externalReference r:id="rId96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6" i="99"/>
  <c r="BM36"/>
  <c r="BM33"/>
  <c r="BN32"/>
  <c r="BM32"/>
  <c r="AD24"/>
  <c r="AH24" s="1"/>
  <c r="Z24"/>
  <c r="AM23"/>
  <c r="AW23" s="1"/>
  <c r="AK23"/>
  <c r="AP23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98"/>
  <c r="BN32"/>
  <c r="BM32"/>
  <c r="AH24"/>
  <c r="AD24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Y23" i="99" l="1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J23" s="1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CX24"/>
  <c r="L23"/>
  <c r="M23" s="1"/>
  <c r="N23" s="1"/>
  <c r="BP23"/>
  <c r="DB24"/>
  <c r="EM23" i="88"/>
  <c r="DV23"/>
  <c r="AY23"/>
  <c r="CI23"/>
  <c r="CJ23" s="1"/>
  <c r="CK23" s="1"/>
  <c r="DM23"/>
  <c r="N23" i="87"/>
  <c r="DE23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AG24" i="99" l="1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O23" i="95"/>
  <c r="AJ24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4" i="86"/>
  <c r="AJ28" i="92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O23" i="99" l="1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P23" i="99" l="1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R24" i="99" l="1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C23" i="99" l="1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B23" i="99" l="1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EU23" i="87" l="1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J24" i="75" l="1"/>
  <c r="AD24"/>
  <c r="AM23"/>
  <c r="AW23" s="1"/>
  <c r="AJ23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K24" i="65"/>
  <c r="AD24"/>
  <c r="AM23"/>
  <c r="AW23" s="1"/>
  <c r="AK23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25" s="1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AB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P24" i="51" l="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O23" i="69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AB23" i="66"/>
  <c r="AB24" s="1"/>
  <c r="V24"/>
  <c r="O24" i="8"/>
  <c r="P24" s="1"/>
  <c r="Q24" s="1"/>
  <c r="AI24" i="65"/>
  <c r="AN23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N23" i="66" l="1"/>
  <c r="AB23" i="65"/>
  <c r="AB24" s="1"/>
  <c r="AG23" i="45"/>
  <c r="AG24" s="1"/>
  <c r="AJ23" i="65"/>
  <c r="S24" i="58"/>
  <c r="AE23" s="1"/>
  <c r="AE24" s="1"/>
  <c r="AE23" i="77"/>
  <c r="AG23" i="43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G24" i="43"/>
  <c r="AO23" i="65"/>
  <c r="AR23" s="1"/>
  <c r="AX23" s="1"/>
  <c r="AZ23" s="1"/>
  <c r="BO23" s="1"/>
  <c r="AJ24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K23" s="1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4" i="64" l="1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J24" s="1"/>
  <c r="AO24" s="1"/>
  <c r="AR24" s="1"/>
  <c r="AX24" s="1"/>
  <c r="AZ24" s="1"/>
  <c r="BO24" s="1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K24" i="78"/>
  <c r="AP23"/>
  <c r="AR23" s="1"/>
  <c r="AX23" s="1"/>
  <c r="AZ23" s="1"/>
  <c r="BO23" s="1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E23" i="13"/>
  <c r="AE25" s="1"/>
  <c r="AG24" i="54"/>
  <c r="AE24"/>
  <c r="AH24"/>
  <c r="AD26" i="2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AP23" i="71"/>
  <c r="AR23" s="1"/>
  <c r="AX23" s="1"/>
  <c r="AZ23" s="1"/>
  <c r="BO23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AG25" i="39"/>
  <c r="AJ23"/>
  <c r="V24" i="31"/>
  <c r="W24"/>
  <c r="W25" s="1"/>
  <c r="AI24"/>
  <c r="AA24"/>
  <c r="AA25" s="1"/>
  <c r="AC24"/>
  <c r="S25"/>
  <c r="I29" s="1"/>
  <c r="AC23"/>
  <c r="AN23" i="13"/>
  <c r="AK23" i="80" l="1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K24" i="72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O23" i="27"/>
  <c r="AR23" s="1"/>
  <c r="AX23" s="1"/>
  <c r="AZ23" s="1"/>
  <c r="BO23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J24" i="6" l="1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J25" i="56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12" l="1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<sst xmlns="http://schemas.openxmlformats.org/spreadsheetml/2006/main" count="19225" uniqueCount="576">
  <si>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</si>
  <si>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</si>
  <si>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</si>
  <si>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</si>
  <si>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</si>
  <si>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</si>
  <si>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</si>
  <si>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</si>
  <si>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</si>
  <si>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</si>
  <si>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</si>
  <si>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</si>
  <si>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</si>
  <si>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</si>
  <si>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</si>
  <si>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</si>
  <si>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</si>
  <si>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</si>
  <si>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</si>
  <si>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</si>
  <si>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</si>
  <si>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</si>
  <si>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</si>
  <si>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</si>
  <si>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</si>
  <si>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</si>
  <si>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</si>
  <si>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</si>
  <si>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</si>
  <si>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</si>
  <si>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</si>
  <si>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</si>
  <si>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</si>
  <si>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</si>
  <si>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</si>
  <si>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</si>
  <si>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</si>
  <si>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</si>
  <si>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</si>
  <si>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</si>
  <si>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</si>
  <si>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</si>
  <si>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</si>
  <si>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</si>
  <si>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</si>
  <si>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</si>
  <si>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</si>
  <si>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</si>
  <si>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</si>
  <si>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</si>
  <si>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</si>
  <si>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</si>
  <si>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</si>
  <si>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</si>
  <si>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</si>
  <si>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</si>
  <si>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</si>
  <si>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</si>
  <si>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</si>
  <si>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</si>
  <si>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</si>
  <si>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</si>
  <si>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</si>
  <si>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</si>
  <si>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</si>
  <si>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</si>
  <si>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</si>
  <si>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</si>
  <si>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</si>
  <si>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</si>
  <si>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</si>
  <si>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</si>
  <si>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</si>
  <si>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</si>
  <si>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</si>
  <si>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</si>
  <si>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</si>
  <si>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</si>
  <si>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</si>
  <si>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</si>
  <si>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</si>
  <si>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</si>
  <si>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</si>
  <si>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</si>
  <si>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</si>
  <si>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</si>
  <si>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</si>
  <si>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</si>
  <si>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</si>
  <si>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</si>
  <si>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</si>
  <si>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</si>
  <si>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</si>
  <si>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</si>
  <si>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</si>
  <si>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</si>
  <si>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</si>
  <si>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</si>
  <si>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</si>
  <si>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</si>
  <si>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</si>
  <si>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</si>
  <si>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</si>
  <si>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</si>
  <si>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</si>
  <si>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</si>
  <si>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</si>
  <si>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</si>
  <si>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</si>
  <si>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</si>
  <si>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</si>
  <si>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</si>
  <si>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</si>
  <si>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</si>
  <si>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</si>
  <si>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</si>
  <si>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</si>
  <si>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</si>
  <si>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</si>
  <si>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</si>
  <si>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</si>
  <si>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</si>
  <si>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</si>
  <si>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</si>
  <si>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</si>
  <si>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</si>
  <si>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</si>
  <si>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</si>
  <si>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</si>
  <si>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</si>
  <si>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</si>
  <si>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</si>
  <si>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</si>
  <si>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</si>
  <si>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</si>
  <si>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</si>
  <si>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</si>
  <si>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</si>
  <si>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</si>
  <si>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</si>
  <si>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</si>
  <si>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</si>
  <si>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</si>
  <si>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</si>
  <si>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</si>
  <si>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</si>
  <si>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</si>
  <si>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</si>
  <si>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</si>
  <si>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</si>
  <si>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</si>
  <si>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</si>
  <si>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</si>
  <si>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</si>
  <si>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</si>
  <si>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</si>
  <si>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</si>
  <si>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</si>
  <si>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</si>
  <si>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</si>
  <si>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</si>
  <si>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</si>
  <si>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</si>
  <si>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</si>
  <si>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</si>
  <si>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</si>
  <si>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</si>
  <si>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</si>
  <si>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</si>
  <si>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</si>
  <si>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</si>
  <si>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</si>
  <si>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</si>
  <si>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</si>
  <si>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</si>
  <si>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</si>
  <si>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</si>
  <si>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</si>
  <si>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</si>
  <si>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</si>
  <si>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</si>
  <si>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</si>
  <si>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</si>
  <si>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</si>
  <si>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</si>
  <si>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</si>
  <si>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</si>
  <si>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</si>
  <si>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</si>
  <si>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</si>
  <si>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</si>
  <si>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</si>
  <si>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</si>
  <si>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</si>
  <si>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</si>
  <si>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</si>
  <si>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</si>
  <si>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</si>
  <si>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</si>
  <si>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</si>
  <si>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</si>
  <si>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</si>
  <si>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</si>
  <si>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</si>
  <si>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</si>
  <si>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</si>
  <si>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</si>
  <si>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</si>
  <si>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</si>
  <si>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</si>
  <si>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</si>
  <si>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</si>
  <si>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</si>
  <si>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</si>
  <si>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</si>
  <si>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</si>
  <si>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</si>
  <si>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</si>
  <si>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</si>
  <si>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</si>
  <si>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</si>
  <si>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</si>
  <si>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</si>
  <si>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</si>
  <si>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</si>
  <si>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</si>
  <si>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</si>
  <si>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</si>
  <si>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</si>
  <si>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</si>
  <si>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</si>
  <si>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</si>
  <si>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</si>
  <si>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</si>
  <si>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</si>
  <si>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</si>
  <si>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</si>
  <si>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</si>
  <si>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</si>
  <si>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</si>
  <si>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</si>
  <si>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</si>
  <si>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</si>
  <si>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</si>
  <si>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</si>
  <si>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</si>
  <si>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</si>
  <si>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</si>
  <si>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</si>
  <si>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</si>
  <si>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</si>
  <si>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</si>
  <si>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</si>
  <si>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</si>
  <si>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</si>
  <si>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</si>
  <si>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</si>
  <si>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</si>
  <si>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</si>
  <si>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</si>
  <si>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</si>
  <si>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</si>
  <si>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</si>
  <si>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</si>
  <si>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</si>
  <si>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</si>
  <si>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</si>
  <si>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</si>
  <si>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</si>
  <si>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</si>
  <si>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</si>
  <si>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</si>
  <si>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</si>
  <si>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</si>
  <si>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</si>
  <si>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</si>
  <si>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</si>
  <si>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</si>
  <si>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</si>
  <si>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</si>
  <si>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</si>
  <si>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</si>
  <si>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</si>
  <si>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</si>
  <si>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</si>
  <si>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</si>
  <si>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</si>
  <si>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</si>
  <si>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</si>
  <si>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</si>
  <si>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</si>
  <si>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</si>
  <si>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</si>
  <si>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</si>
  <si>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</si>
  <si>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</si>
  <si>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</si>
  <si>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</si>
  <si>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</si>
  <si>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</si>
  <si>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</si>
  <si>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</si>
  <si>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</si>
  <si>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</si>
  <si>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</si>
  <si>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</si>
  <si>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</si>
  <si>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</si>
  <si>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</si>
  <si>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</si>
  <si>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</si>
  <si>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</si>
  <si>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</si>
  <si>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</si>
  <si>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</si>
  <si>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</si>
  <si>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</si>
  <si>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</si>
  <si>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</si>
  <si>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</si>
  <si>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</si>
  <si>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</si>
  <si>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</si>
  <si>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</si>
  <si>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</si>
  <si>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</si>
  <si>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</si>
  <si>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</si>
  <si>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</si>
  <si>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</si>
  <si>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</si>
  <si>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</si>
  <si>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</si>
  <si>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</si>
  <si>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</si>
  <si>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</si>
  <si>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</si>
  <si>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</si>
  <si>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</si>
  <si>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</si>
  <si>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</si>
  <si>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</si>
  <si>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</si>
  <si>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</si>
  <si>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</si>
  <si>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</si>
  <si>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</si>
  <si>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</si>
  <si>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</si>
  <si>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</si>
  <si>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</si>
  <si>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</si>
  <si>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</si>
  <si>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</si>
  <si>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</si>
  <si>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</si>
  <si>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</si>
  <si>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</si>
  <si>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</si>
  <si>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</si>
  <si>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</si>
  <si>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</si>
  <si>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</si>
  <si>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</si>
  <si>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</si>
  <si>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</si>
  <si>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</si>
  <si>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</si>
  <si>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</si>
  <si>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</si>
  <si>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</si>
  <si>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</si>
  <si>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</si>
  <si>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</si>
  <si>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</si>
  <si>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</si>
  <si>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</si>
  <si>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</si>
  <si>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</si>
  <si>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</si>
  <si>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</si>
  <si>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</si>
  <si>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</si>
  <si>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</si>
  <si>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</si>
  <si>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</si>
  <si>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</si>
  <si>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</si>
  <si>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</si>
  <si>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</si>
  <si>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</si>
  <si>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</si>
  <si>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</si>
  <si>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</si>
  <si>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</si>
  <si>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</si>
  <si>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</si>
  <si>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</si>
  <si>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</si>
  <si>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</si>
  <si>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</si>
  <si>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</si>
  <si>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</si>
  <si>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</si>
  <si>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</si>
  <si>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</si>
  <si>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</si>
  <si>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</si>
  <si>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</si>
  <si>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</si>
  <si>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</si>
  <si>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</si>
  <si>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</si>
  <si>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</si>
  <si>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</si>
  <si>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</si>
  <si>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</si>
  <si>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</si>
  <si>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</si>
  <si>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</si>
  <si>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</si>
  <si>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</si>
  <si>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</si>
  <si>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</si>
  <si>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</si>
  <si>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</si>
  <si>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</si>
  <si>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</si>
  <si>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</si>
  <si>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</si>
  <si>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</si>
  <si>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</si>
  <si>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</si>
  <si>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</si>
  <si>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</si>
  <si>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</si>
  <si>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</si>
  <si>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</si>
  <si>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</si>
  <si>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</si>
  <si>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</si>
  <si>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</si>
  <si>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</si>
  <si>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</si>
  <si>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</si>
  <si>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</si>
  <si>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</si>
  <si>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</si>
  <si>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</si>
  <si>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</si>
  <si>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</si>
  <si>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</si>
  <si>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</si>
  <si>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</si>
  <si>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</si>
  <si>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</si>
  <si>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</si>
  <si>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</si>
  <si>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</si>
  <si>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</si>
  <si>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</si>
  <si>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</si>
  <si>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</si>
  <si>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</si>
  <si>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</si>
  <si>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</si>
  <si>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</si>
  <si>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</si>
  <si>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</si>
  <si>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</si>
  <si>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</si>
  <si>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</si>
  <si>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</si>
  <si>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</si>
  <si>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</si>
  <si>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</si>
  <si>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</si>
  <si>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</si>
  <si>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</si>
  <si>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</si>
  <si>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</si>
  <si>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</si>
  <si>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</si>
  <si>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</si>
  <si>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</si>
  <si>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</si>
  <si>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</si>
  <si>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</si>
  <si>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</si>
  <si>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</si>
  <si>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</si>
  <si>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</si>
  <si>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</si>
  <si>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</si>
  <si>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</si>
  <si>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</si>
  <si>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</si>
  <si>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</si>
  <si>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</si>
  <si>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</si>
  <si>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</si>
  <si>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</si>
  <si>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</si>
  <si>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</si>
  <si>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</si>
  <si>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</si>
  <si>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</si>
  <si>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</si>
  <si>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</si>
  <si>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</si>
  <si>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</si>
  <si>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</si>
  <si>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</si>
  <si>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</si>
  <si>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</si>
  <si>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</si>
  <si>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</si>
  <si>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</si>
  <si>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</si>
  <si>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</si>
  <si>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</si>
  <si>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</si>
  <si>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</si>
  <si>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</si>
  <si>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</si>
  <si>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</si>
  <si>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</si>
  <si>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</si>
  <si>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</si>
  <si>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</si>
  <si>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</si>
  <si>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</si>
  <si>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</si>
  <si>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</si>
  <si>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</si>
  <si>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</si>
  <si>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</si>
  <si>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</si>
  <si>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</si>
  <si>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</si>
  <si>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</si>
  <si>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</si>
  <si>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</si>
  <si>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</si>
  <si>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</si>
  <si>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</si>
  <si>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</si>
  <si>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</si>
  <si>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</si>
  <si>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</si>
  <si>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</si>
  <si>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</si>
  <si>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</si>
  <si>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</si>
  <si>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</si>
  <si>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</si>
  <si>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</si>
  <si>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</si>
  <si>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</si>
  <si>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</si>
  <si>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</si>
  <si>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</si>
  <si>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</si>
  <si>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</si>
  <si>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3881.2</t>
  </si>
  <si>
    <t>281</t>
  </si>
  <si>
    <t>1232.35627</t>
  </si>
  <si>
    <t>4100</t>
  </si>
  <si>
    <t>3978.23</t>
  </si>
  <si>
    <t>284</t>
  </si>
  <si>
    <t>1261.02032</t>
  </si>
  <si>
    <t>4300</t>
  </si>
  <si>
    <t>137</t>
  </si>
  <si>
    <t>571.84774</t>
  </si>
  <si>
    <t>142</t>
  </si>
  <si>
    <t>572.0045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</si>
</sst>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3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4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0" borderId="13" xfId="0" applyFont="1" applyBorder="1" applyAlignment="1">
      <alignment horizontal="right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07"/>
      <c r="J33" s="207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07"/>
      <c r="J34" s="207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07"/>
      <c r="J35" s="207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08"/>
      <c r="H36" s="208"/>
      <c r="I36" s="207"/>
      <c r="J36" s="207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08"/>
      <c r="H37" s="208"/>
      <c r="I37" s="207"/>
      <c r="J37" s="207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09" t="s">
        <v>154</v>
      </c>
      <c r="B21" s="209"/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10" t="s">
        <v>87</v>
      </c>
      <c r="C38" s="210"/>
      <c r="D38" s="210"/>
      <c r="E38" s="210"/>
      <c r="F38" s="210"/>
      <c r="G38" s="210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11" t="s">
        <v>194</v>
      </c>
      <c r="H40" s="212"/>
      <c r="I40" s="213">
        <f>H38</f>
        <v>75435.260000000009</v>
      </c>
      <c r="J40" s="213"/>
      <c r="K40" s="100"/>
      <c r="L40" s="66"/>
      <c r="M40" s="214" t="s">
        <v>195</v>
      </c>
      <c r="N40" s="215"/>
      <c r="O40" s="215"/>
      <c r="P40" s="216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11" t="s">
        <v>196</v>
      </c>
      <c r="H41" s="212"/>
      <c r="I41" s="213">
        <f>R38</f>
        <v>4077.7</v>
      </c>
      <c r="J41" s="213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11" t="s">
        <v>197</v>
      </c>
      <c r="H42" s="212"/>
      <c r="I42" s="213">
        <f>S38</f>
        <v>71357.56</v>
      </c>
      <c r="J42" s="213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11" t="s">
        <v>198</v>
      </c>
      <c r="H43" s="212"/>
      <c r="I43" s="213">
        <f>U38</f>
        <v>12844.370000000004</v>
      </c>
      <c r="J43" s="213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11" t="s">
        <v>199</v>
      </c>
      <c r="H44" s="212"/>
      <c r="I44" s="217">
        <f>I42+I43</f>
        <v>84201.930000000008</v>
      </c>
      <c r="J44" s="217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09" t="s">
        <v>200</v>
      </c>
      <c r="B4" s="209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  <c r="P4" s="209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10" t="s">
        <v>87</v>
      </c>
      <c r="C21" s="210"/>
      <c r="D21" s="210"/>
      <c r="E21" s="210"/>
      <c r="F21" s="210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18" t="s">
        <v>206</v>
      </c>
      <c r="G23" s="218"/>
      <c r="H23" s="218"/>
      <c r="I23" s="218"/>
      <c r="J23" s="66"/>
      <c r="K23" s="218" t="s">
        <v>207</v>
      </c>
      <c r="L23" s="218"/>
      <c r="M23" s="218"/>
      <c r="N23" s="218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11" t="s">
        <v>194</v>
      </c>
      <c r="G24" s="212"/>
      <c r="H24" s="219">
        <f>G21</f>
        <v>71856.759999999995</v>
      </c>
      <c r="I24" s="219"/>
      <c r="J24" s="100"/>
      <c r="K24" s="211" t="s">
        <v>194</v>
      </c>
      <c r="L24" s="212"/>
      <c r="M24" s="219">
        <f>H24*$T$4</f>
        <v>5958362.5391999995</v>
      </c>
      <c r="N24" s="219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11" t="s">
        <v>196</v>
      </c>
      <c r="G25" s="212"/>
      <c r="H25" s="219">
        <f>Q21</f>
        <v>3884.27</v>
      </c>
      <c r="I25" s="219"/>
      <c r="J25" s="66"/>
      <c r="K25" s="211" t="s">
        <v>196</v>
      </c>
      <c r="L25" s="212"/>
      <c r="M25" s="219">
        <f t="shared" ref="M25:M28" si="14">H25*$T$4</f>
        <v>322083.66840000002</v>
      </c>
      <c r="N25" s="219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11" t="s">
        <v>197</v>
      </c>
      <c r="G26" s="212"/>
      <c r="H26" s="219">
        <f>R21</f>
        <v>67972.490000000005</v>
      </c>
      <c r="I26" s="219"/>
      <c r="J26" s="66"/>
      <c r="K26" s="211" t="s">
        <v>197</v>
      </c>
      <c r="L26" s="212"/>
      <c r="M26" s="219">
        <f t="shared" si="14"/>
        <v>5636278.8708000006</v>
      </c>
      <c r="N26" s="219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11" t="s">
        <v>198</v>
      </c>
      <c r="G27" s="212"/>
      <c r="H27" s="219">
        <f>T21</f>
        <v>12235.060000000003</v>
      </c>
      <c r="I27" s="219"/>
      <c r="J27" s="66"/>
      <c r="K27" s="211" t="s">
        <v>198</v>
      </c>
      <c r="L27" s="212"/>
      <c r="M27" s="219">
        <f t="shared" si="14"/>
        <v>1014531.1752000003</v>
      </c>
      <c r="N27" s="219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11" t="s">
        <v>199</v>
      </c>
      <c r="G28" s="212"/>
      <c r="H28" s="220">
        <f>H26+H27</f>
        <v>80207.55</v>
      </c>
      <c r="I28" s="220"/>
      <c r="J28" s="66"/>
      <c r="K28" s="211" t="s">
        <v>199</v>
      </c>
      <c r="L28" s="212"/>
      <c r="M28" s="220">
        <f t="shared" si="14"/>
        <v>6650810.0460000001</v>
      </c>
      <c r="N28" s="220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09" t="s">
        <v>208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10" t="s">
        <v>87</v>
      </c>
      <c r="C18" s="210"/>
      <c r="D18" s="210"/>
      <c r="E18" s="210"/>
      <c r="F18" s="210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18" t="s">
        <v>206</v>
      </c>
      <c r="G20" s="218"/>
      <c r="H20" s="218"/>
      <c r="I20" s="218"/>
      <c r="J20" s="66"/>
      <c r="K20" s="218" t="s">
        <v>207</v>
      </c>
      <c r="L20" s="218"/>
      <c r="M20" s="218"/>
      <c r="N20" s="218"/>
      <c r="O20" s="66"/>
      <c r="P20" s="66"/>
      <c r="Q20" s="214" t="s">
        <v>195</v>
      </c>
      <c r="R20" s="215"/>
      <c r="S20" s="215"/>
      <c r="T20" s="216"/>
      <c r="U20" s="66"/>
      <c r="V20" s="66"/>
      <c r="W20" s="66"/>
    </row>
    <row r="21" spans="1:23">
      <c r="A21" s="66"/>
      <c r="B21" s="66"/>
      <c r="C21" s="66"/>
      <c r="D21" s="66"/>
      <c r="E21" s="66"/>
      <c r="F21" s="211" t="s">
        <v>194</v>
      </c>
      <c r="G21" s="212"/>
      <c r="H21" s="219">
        <f>G18</f>
        <v>71570.810000000012</v>
      </c>
      <c r="I21" s="219"/>
      <c r="J21" s="100"/>
      <c r="K21" s="211" t="s">
        <v>194</v>
      </c>
      <c r="L21" s="212"/>
      <c r="M21" s="219">
        <f>H21*$T$1</f>
        <v>5934651.565200001</v>
      </c>
      <c r="N21" s="219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11" t="s">
        <v>196</v>
      </c>
      <c r="G22" s="212"/>
      <c r="H22" s="219">
        <f>Q18</f>
        <v>3868.82</v>
      </c>
      <c r="I22" s="219"/>
      <c r="J22" s="66"/>
      <c r="K22" s="211" t="s">
        <v>196</v>
      </c>
      <c r="L22" s="212"/>
      <c r="M22" s="219">
        <f t="shared" ref="M22:M25" si="14">H22*$T$1</f>
        <v>320802.55440000002</v>
      </c>
      <c r="N22" s="219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11" t="s">
        <v>197</v>
      </c>
      <c r="G23" s="212"/>
      <c r="H23" s="219">
        <f>R18</f>
        <v>67701.989999999991</v>
      </c>
      <c r="I23" s="219"/>
      <c r="J23" s="66"/>
      <c r="K23" s="211" t="s">
        <v>197</v>
      </c>
      <c r="L23" s="212"/>
      <c r="M23" s="219">
        <f t="shared" si="14"/>
        <v>5613849.0107999993</v>
      </c>
      <c r="N23" s="219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11" t="s">
        <v>198</v>
      </c>
      <c r="G24" s="212"/>
      <c r="H24" s="219">
        <f>T18</f>
        <v>12186.370000000004</v>
      </c>
      <c r="I24" s="219"/>
      <c r="J24" s="66"/>
      <c r="K24" s="211" t="s">
        <v>198</v>
      </c>
      <c r="L24" s="212"/>
      <c r="M24" s="219">
        <f t="shared" si="14"/>
        <v>1010493.8004000004</v>
      </c>
      <c r="N24" s="219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11" t="s">
        <v>199</v>
      </c>
      <c r="G25" s="212"/>
      <c r="H25" s="220">
        <f>H23+H24</f>
        <v>79888.36</v>
      </c>
      <c r="I25" s="220"/>
      <c r="J25" s="66"/>
      <c r="K25" s="211" t="s">
        <v>199</v>
      </c>
      <c r="L25" s="212"/>
      <c r="M25" s="220">
        <f t="shared" si="14"/>
        <v>6624342.8112000003</v>
      </c>
      <c r="N25" s="220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560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562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262</v>
      </c>
      <c r="H24" s="69">
        <f>F24*G24</f>
        <v>486</v>
      </c>
      <c r="I24" t="s">
        <v>263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264</v>
      </c>
      <c r="AV24" t="s">
        <v>265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266</v>
      </c>
      <c r="BN24" t="s">
        <v>267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271</v>
      </c>
      <c r="AV23" t="s">
        <v>272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273</v>
      </c>
      <c r="BN23" t="s">
        <v>274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277</v>
      </c>
      <c r="AV24" t="s">
        <v>278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279</v>
      </c>
      <c r="BN24" t="s">
        <v>280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282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283</v>
      </c>
      <c r="AS23" t="s">
        <v>284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285</v>
      </c>
      <c r="BK23" t="s">
        <v>286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287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288</v>
      </c>
      <c r="H24" s="69">
        <f>F24*G24</f>
        <v>696</v>
      </c>
      <c r="I24" t="s">
        <v>289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290</v>
      </c>
      <c r="AS24" t="s">
        <v>291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293</v>
      </c>
      <c r="BK24" t="s">
        <v>294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295</v>
      </c>
      <c r="AT27" t="s">
        <v>296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297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299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299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300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301</v>
      </c>
      <c r="H24" s="69">
        <f>F24*G24</f>
        <v>468</v>
      </c>
      <c r="I24" t="s">
        <v>302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303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304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306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307</v>
      </c>
      <c r="BN23" t="s">
        <v>308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309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310</v>
      </c>
      <c r="AT23" s="83" t="s">
        <v>58</v>
      </c>
      <c r="AU23" t="s">
        <v>223</v>
      </c>
      <c r="AV23" t="s">
        <v>311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311</v>
      </c>
      <c r="BN23" t="s">
        <v>302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310</v>
      </c>
      <c r="AT24" s="83" t="s">
        <v>58</v>
      </c>
      <c r="AU24" t="s">
        <v>302</v>
      </c>
      <c r="AV24" t="s">
        <v>313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313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314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310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300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310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313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317</v>
      </c>
      <c r="BN23" t="s">
        <v>318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302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320</v>
      </c>
      <c r="AV23" t="s">
        <v>321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322</v>
      </c>
      <c r="BN23" t="s">
        <v>308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316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264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267</v>
      </c>
      <c r="AV23" t="s">
        <v>325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326</v>
      </c>
      <c r="BN23" t="s">
        <v>308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302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302</v>
      </c>
      <c r="AV24" t="s">
        <v>328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328</v>
      </c>
      <c r="BN24" t="s">
        <v>308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333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336</v>
      </c>
      <c r="BN24" t="s">
        <v>267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337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337</v>
      </c>
      <c r="BN23" t="s">
        <v>338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261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339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339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341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330</v>
      </c>
      <c r="AT23" s="83" t="s">
        <v>58</v>
      </c>
      <c r="AU23" t="s">
        <v>239</v>
      </c>
      <c r="AV23" t="s">
        <v>342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342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344</v>
      </c>
      <c r="H24" s="69">
        <f>F24*G24</f>
        <v>688</v>
      </c>
      <c r="I24" t="s">
        <v>264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330</v>
      </c>
      <c r="AT24" s="83" t="s">
        <v>58</v>
      </c>
      <c r="AU24" t="s">
        <v>239</v>
      </c>
      <c r="AV24" t="s">
        <v>345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346</v>
      </c>
      <c r="BN24" t="s">
        <v>267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348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349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269</v>
      </c>
      <c r="H23" s="69">
        <f>F23*G23</f>
        <v>2460</v>
      </c>
      <c r="I23" t="s">
        <v>270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351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276</v>
      </c>
      <c r="H24" s="69">
        <f>F24*G24</f>
        <v>506</v>
      </c>
      <c r="I24" t="s">
        <v>270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353</v>
      </c>
      <c r="BN24" t="s">
        <v>338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341</v>
      </c>
      <c r="H23" s="69">
        <f>F23*G23</f>
        <v>488</v>
      </c>
      <c r="I23" t="s">
        <v>355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330</v>
      </c>
      <c r="AT23" s="83" t="s">
        <v>58</v>
      </c>
      <c r="AU23" t="s">
        <v>239</v>
      </c>
      <c r="AV23" t="s">
        <v>331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332</v>
      </c>
      <c r="BM23" t="s">
        <v>351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301</v>
      </c>
      <c r="H24" s="69">
        <f>F24*G24</f>
        <v>468</v>
      </c>
      <c r="I24" t="s">
        <v>357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330</v>
      </c>
      <c r="AT24" s="83" t="s">
        <v>58</v>
      </c>
      <c r="AU24" t="s">
        <v>239</v>
      </c>
      <c r="AV24" t="s">
        <v>335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332</v>
      </c>
      <c r="BM24" t="s">
        <v>353</v>
      </c>
      <c r="BN24" t="s">
        <v>338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358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310</v>
      </c>
      <c r="AT23" s="83" t="s">
        <v>58</v>
      </c>
      <c r="AU23" t="s">
        <v>239</v>
      </c>
      <c r="AV23" t="s">
        <v>309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312</v>
      </c>
      <c r="BM23" t="s">
        <v>359</v>
      </c>
      <c r="BN23" t="s">
        <v>360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361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310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312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911.34</v>
      </c>
      <c r="I23" t="s">
        <v>270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310</v>
      </c>
      <c r="AT23" s="83" t="s">
        <v>58</v>
      </c>
      <c r="AU23" t="s">
        <v>239</v>
      </c>
      <c r="AV23" t="s">
        <v>364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364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367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310</v>
      </c>
      <c r="AT24" s="83" t="s">
        <v>58</v>
      </c>
      <c r="AU24" t="s">
        <v>239</v>
      </c>
      <c r="AV24" t="s">
        <v>368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368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348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349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370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371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371</v>
      </c>
      <c r="BN23" t="s">
        <v>264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372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373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374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374</v>
      </c>
      <c r="BN24" t="s">
        <v>264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3673.17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198.56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3474.6099999999997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625.44000000000005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4100.0499999999993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385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361</v>
      </c>
      <c r="H23" s="69">
        <f>F23*G23</f>
        <v>14400</v>
      </c>
      <c r="I23" t="s">
        <v>302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386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11" t="s">
        <v>194</v>
      </c>
      <c r="H26" s="212"/>
      <c r="I26" s="213">
        <f>H24</f>
        <v>14400</v>
      </c>
      <c r="J26" s="213"/>
      <c r="K26" s="100"/>
      <c r="L26" s="66"/>
      <c r="M26" s="214" t="s">
        <v>195</v>
      </c>
      <c r="N26" s="215"/>
      <c r="O26" s="215"/>
      <c r="P26" s="21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375</v>
      </c>
      <c r="BI26" s="135" t="s">
        <v>376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196</v>
      </c>
      <c r="H27" s="212"/>
      <c r="I27" s="213">
        <f>R24</f>
        <v>1123.43</v>
      </c>
      <c r="J27" s="213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197</v>
      </c>
      <c r="H28" s="212"/>
      <c r="I28" s="213">
        <f>S24</f>
        <v>13276.57</v>
      </c>
      <c r="J28" s="213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198</v>
      </c>
      <c r="H29" s="212"/>
      <c r="I29" s="213">
        <f>AB24</f>
        <v>2389.7800000000002</v>
      </c>
      <c r="J29" s="213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199</v>
      </c>
      <c r="H30" s="212"/>
      <c r="I30" s="217">
        <f>I28+I29</f>
        <v>15666.35</v>
      </c>
      <c r="J30" s="217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379</v>
      </c>
      <c r="BN31" s="66" t="s">
        <v>380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381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382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383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384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389</v>
      </c>
      <c r="BN23" t="s">
        <v>390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11" t="s">
        <v>194</v>
      </c>
      <c r="H26" s="212"/>
      <c r="I26" s="213">
        <f>H24</f>
        <v>7500</v>
      </c>
      <c r="J26" s="213"/>
      <c r="K26" s="100"/>
      <c r="L26" s="66"/>
      <c r="M26" s="214" t="s">
        <v>195</v>
      </c>
      <c r="N26" s="215"/>
      <c r="O26" s="215"/>
      <c r="P26" s="21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375</v>
      </c>
      <c r="BI26" s="135" t="s">
        <v>376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196</v>
      </c>
      <c r="H27" s="212"/>
      <c r="I27" s="213">
        <f>R24</f>
        <v>441.06</v>
      </c>
      <c r="J27" s="213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197</v>
      </c>
      <c r="H28" s="212"/>
      <c r="I28" s="213">
        <f>S24</f>
        <v>7058.94</v>
      </c>
      <c r="J28" s="213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198</v>
      </c>
      <c r="H29" s="212"/>
      <c r="I29" s="213">
        <f>AB24</f>
        <v>1270.5999999999999</v>
      </c>
      <c r="J29" s="213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199</v>
      </c>
      <c r="H30" s="212"/>
      <c r="I30" s="217">
        <f>I28+I29</f>
        <v>8329.5399999999991</v>
      </c>
      <c r="J30" s="217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379</v>
      </c>
      <c r="BN31" s="66" t="s">
        <v>380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381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382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383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384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391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392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393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274</v>
      </c>
      <c r="H24" s="69">
        <f t="shared" ref="H24" si="3">F24*G24</f>
        <v>6608</v>
      </c>
      <c r="I24" t="s">
        <v>395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373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396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12358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842.29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11515.71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2072.8200000000002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13588.529999999999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361</v>
      </c>
      <c r="H23" s="69">
        <f>F23*G23</f>
        <v>10800</v>
      </c>
      <c r="I23" t="s">
        <v>264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310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312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310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312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21300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1458.09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19841.91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3571.55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23413.46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399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344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400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400</v>
      </c>
      <c r="BN23" t="s">
        <v>401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402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301</v>
      </c>
      <c r="H24" s="69">
        <f t="shared" ref="H24" si="3">F24*G24</f>
        <v>6552</v>
      </c>
      <c r="I24" t="s">
        <v>403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373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404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404</v>
      </c>
      <c r="BN24" t="s">
        <v>405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15152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944.18000000000006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14207.82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2557.4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16765.22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361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310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312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407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310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312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24000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1526.6399999999999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22473.360000000001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4045.2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26518.560000000001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312</v>
      </c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408</v>
      </c>
      <c r="H23" s="69">
        <f>F23*G23</f>
        <v>3555</v>
      </c>
      <c r="I23" t="s">
        <v>409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410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410</v>
      </c>
      <c r="BN23" t="s">
        <v>411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412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413</v>
      </c>
      <c r="H24" s="69">
        <f t="shared" ref="H24" si="3">F24*G24</f>
        <v>10944</v>
      </c>
      <c r="I24" t="s">
        <v>357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373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414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415</v>
      </c>
      <c r="BN24" t="s">
        <v>416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14499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1001.74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13497.26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2429.5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15926.76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417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418</v>
      </c>
      <c r="BN23" t="s">
        <v>419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420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264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373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422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422</v>
      </c>
      <c r="BN24" t="s">
        <v>423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9000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615.49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8384.51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1509.22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9893.73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424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425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425</v>
      </c>
      <c r="BN23" t="s">
        <v>426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427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373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428</v>
      </c>
      <c r="BN24" t="s">
        <v>429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6443.34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348.28999999999996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6095.05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1097.0999999999999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7192.15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430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431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431</v>
      </c>
      <c r="BN23" t="s">
        <v>411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367</v>
      </c>
      <c r="H24" s="69">
        <f t="shared" ref="H24" si="3">F24*G24</f>
        <v>4140</v>
      </c>
      <c r="I24" t="s">
        <v>264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373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432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432</v>
      </c>
      <c r="BN24" t="s">
        <v>433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4545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328.67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4216.33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758.93999999999994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4975.2699999999995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264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310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365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435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310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365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9300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637.44000000000005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8662.5600000000013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1559.27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10221.830000000002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264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310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365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421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310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365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9300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637.44000000000005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8662.5600000000013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1559.27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10221.830000000002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439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310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312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440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264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310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312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10076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710.49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9365.51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1685.79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11051.3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309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441</v>
      </c>
      <c r="AV23" t="s">
        <v>442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442</v>
      </c>
      <c r="BN23" t="s">
        <v>443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309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373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444</v>
      </c>
      <c r="AV24" t="s">
        <v>445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445</v>
      </c>
      <c r="BN24" t="s">
        <v>446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2700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171.75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2528.25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455.08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2983.33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372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310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312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370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373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310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312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5349.0599999999995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375</v>
      </c>
      <c r="BI27" s="135" t="s">
        <v>376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289.16000000000003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377</v>
      </c>
      <c r="BI28" s="135" t="s">
        <v>378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5059.8999999999996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910.78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5970.6799999999994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379</v>
      </c>
      <c r="BN32" s="66" t="s">
        <v>380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384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448</v>
      </c>
      <c r="AS23" t="s">
        <v>449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452</v>
      </c>
      <c r="BK23" t="s">
        <v>453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373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455</v>
      </c>
      <c r="AS24" t="s">
        <v>456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458</v>
      </c>
      <c r="BK24" t="s">
        <v>459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10654.75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575.95000000000005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10078.799999999999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1814.19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11892.99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425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349</v>
      </c>
      <c r="BJ23" t="s">
        <v>425</v>
      </c>
      <c r="BK23" t="s">
        <v>309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373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462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349</v>
      </c>
      <c r="BJ24" t="s">
        <v>462</v>
      </c>
      <c r="BK24" t="s">
        <v>463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10654.75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575.95000000000005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10078.799999999999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1814.19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11892.99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466</v>
      </c>
      <c r="AS23" t="s">
        <v>467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450</v>
      </c>
      <c r="BB23" s="107" t="s">
        <v>451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469</v>
      </c>
      <c r="H24" s="69">
        <f t="shared" ref="H24" si="4">F24*G24</f>
        <v>2380</v>
      </c>
      <c r="I24" t="s">
        <v>264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373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470</v>
      </c>
      <c r="AS24" t="s">
        <v>471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457</v>
      </c>
      <c r="BB24" s="107" t="s">
        <v>451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4347.5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375</v>
      </c>
      <c r="BF27" s="135" t="s">
        <v>376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299.27999999999997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377</v>
      </c>
      <c r="BF28" s="135" t="s">
        <v>378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4048.22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728.68000000000006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4776.8999999999996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379</v>
      </c>
      <c r="BK32" s="66" t="s">
        <v>380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381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382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474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474</v>
      </c>
      <c r="BK24" t="s">
        <v>264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476</v>
      </c>
      <c r="H23" s="69">
        <f>F23*G23</f>
        <v>1572</v>
      </c>
      <c r="I23" t="s">
        <v>314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479</v>
      </c>
      <c r="H24" s="69">
        <f t="shared" ref="H24" si="6">F24*G24</f>
        <v>1305</v>
      </c>
      <c r="I24" t="s">
        <v>355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480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480</v>
      </c>
      <c r="BK24" t="s">
        <v>264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361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310</v>
      </c>
      <c r="AT23" s="83" t="s">
        <v>58</v>
      </c>
      <c r="AU23" t="s">
        <v>239</v>
      </c>
      <c r="AV23" t="s">
        <v>482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482</v>
      </c>
      <c r="BN23" t="s">
        <v>302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310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256</v>
      </c>
      <c r="BN24" t="s">
        <v>302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361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310</v>
      </c>
      <c r="AT23" s="83" t="s">
        <v>58</v>
      </c>
      <c r="AU23" t="s">
        <v>239</v>
      </c>
      <c r="AV23" t="s">
        <v>482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365</v>
      </c>
      <c r="BM23" t="s">
        <v>482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486</v>
      </c>
      <c r="H24" s="69">
        <f>F24*G24</f>
        <v>1400</v>
      </c>
      <c r="I24" t="s">
        <v>264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310</v>
      </c>
      <c r="AT24" s="83" t="s">
        <v>58</v>
      </c>
      <c r="AU24" t="s">
        <v>239</v>
      </c>
      <c r="AV24" t="s">
        <v>487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365</v>
      </c>
      <c r="BM24" t="s">
        <v>487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06" t="s">
        <v>89</v>
      </c>
      <c r="B21" s="206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489</v>
      </c>
      <c r="H23" s="69">
        <f>F23*G23</f>
        <v>86325</v>
      </c>
      <c r="I23" t="s">
        <v>264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348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349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490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491</v>
      </c>
      <c r="BK23" t="s">
        <v>492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494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292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495</v>
      </c>
      <c r="BK24" t="s">
        <v>496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5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491</v>
      </c>
      <c r="BN23" t="s">
        <v>492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500</v>
      </c>
      <c r="BN23" t="s">
        <v>267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320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498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500</v>
      </c>
      <c r="BN23" t="s">
        <v>267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315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316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313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317</v>
      </c>
      <c r="BN23" s="27" t="s">
        <v>318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313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317</v>
      </c>
      <c r="BN23" s="27" t="s">
        <v>318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302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511</v>
      </c>
      <c r="C23" s="25" t="s">
        <v>511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320</v>
      </c>
      <c r="AV23" s="27" t="s">
        <v>321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322</v>
      </c>
      <c r="BN23" s="27" t="s">
        <v>308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</row>
    <row r="23" spans="1:150" ht="15.75" thickBot="1">
      <c r="A23" s="170">
        <v>1</v>
      </c>
      <c r="B23" s="170" t="s">
        <v>518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518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512</v>
      </c>
      <c r="EN22" s="167" t="s">
        <v>513</v>
      </c>
      <c r="EO22" s="167" t="s">
        <v>514</v>
      </c>
      <c r="EP22" s="167" t="s">
        <v>515</v>
      </c>
      <c r="EQ22" s="167" t="s">
        <v>516</v>
      </c>
      <c r="ER22" s="167" t="s">
        <v>517</v>
      </c>
    </row>
    <row r="23" spans="1:148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373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523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373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310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312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523</v>
      </c>
      <c r="EN23" s="85" t="s">
        <v>520</v>
      </c>
      <c r="EO23" s="85" t="s">
        <v>521</v>
      </c>
      <c r="EP23" s="85" t="s">
        <v>522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30" t="s">
        <v>194</v>
      </c>
      <c r="CC26" s="231"/>
      <c r="CD26" s="233">
        <f>CC24</f>
        <v>1000</v>
      </c>
      <c r="CE26" s="233"/>
      <c r="CF26" s="186"/>
      <c r="CG26" s="137"/>
      <c r="CH26" s="237" t="s">
        <v>195</v>
      </c>
      <c r="CI26" s="238"/>
      <c r="CJ26" s="238"/>
      <c r="CK26" s="239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375</v>
      </c>
      <c r="ED26" s="187" t="s">
        <v>376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30" t="s">
        <v>196</v>
      </c>
      <c r="CC27" s="231"/>
      <c r="CD27" s="233">
        <f>CM24</f>
        <v>0</v>
      </c>
      <c r="CE27" s="233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377</v>
      </c>
      <c r="ED27" s="187" t="s">
        <v>378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30" t="s">
        <v>197</v>
      </c>
      <c r="CC28" s="231"/>
      <c r="CD28" s="233">
        <f>CN24</f>
        <v>1000</v>
      </c>
      <c r="CE28" s="233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30" t="s">
        <v>198</v>
      </c>
      <c r="CC29" s="231"/>
      <c r="CD29" s="233">
        <f>CW24</f>
        <v>180</v>
      </c>
      <c r="CE29" s="233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30" t="s">
        <v>199</v>
      </c>
      <c r="CC30" s="231"/>
      <c r="CD30" s="232">
        <f>CD28+CD29</f>
        <v>1180</v>
      </c>
      <c r="CE30" s="232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379</v>
      </c>
      <c r="EI31" s="137" t="s">
        <v>380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381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382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383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384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</row>
    <row r="23" spans="1:75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373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524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</row>
    <row r="23" spans="1:150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373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518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280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1280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</row>
    <row r="23" spans="1:151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373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96" t="s">
        <v>527</v>
      </c>
    </row>
    <row r="23" spans="1:152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373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1800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1800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324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2124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96" t="s">
        <v>527</v>
      </c>
    </row>
    <row r="23" spans="1:152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529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373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519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1500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1500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270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1770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512</v>
      </c>
      <c r="BS22" s="167" t="s">
        <v>513</v>
      </c>
      <c r="BT22" s="167" t="s">
        <v>514</v>
      </c>
      <c r="BU22" s="167" t="s">
        <v>515</v>
      </c>
      <c r="BV22" s="167" t="s">
        <v>516</v>
      </c>
      <c r="BW22" s="167" t="s">
        <v>517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512</v>
      </c>
      <c r="EP22" s="167" t="s">
        <v>513</v>
      </c>
      <c r="EQ22" s="167" t="s">
        <v>514</v>
      </c>
      <c r="ER22" s="167" t="s">
        <v>515</v>
      </c>
      <c r="ES22" s="167" t="s">
        <v>516</v>
      </c>
      <c r="ET22" s="167" t="s">
        <v>517</v>
      </c>
      <c r="EU22" s="167" t="s">
        <v>525</v>
      </c>
      <c r="EV22" s="167" t="s">
        <v>527</v>
      </c>
      <c r="EW22" s="167" t="s">
        <v>530</v>
      </c>
      <c r="EX22" s="167" t="s">
        <v>531</v>
      </c>
    </row>
    <row r="23" spans="1:154" ht="15.75" thickBot="1">
      <c r="A23" s="170">
        <v>1</v>
      </c>
      <c r="B23" s="170" t="s">
        <v>518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373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310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312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532</v>
      </c>
      <c r="BS23" s="85" t="s">
        <v>520</v>
      </c>
      <c r="BT23" s="85" t="s">
        <v>521</v>
      </c>
      <c r="BU23" s="85" t="s">
        <v>522</v>
      </c>
      <c r="BV23" s="85">
        <f>BQ23+100</f>
        <v>88363322</v>
      </c>
      <c r="BW23" s="85">
        <v>34</v>
      </c>
      <c r="BX23" s="170">
        <v>1</v>
      </c>
      <c r="BY23" s="170" t="s">
        <v>526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373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310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312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519</v>
      </c>
      <c r="EP23" s="85" t="s">
        <v>520</v>
      </c>
      <c r="EQ23" s="85" t="s">
        <v>521</v>
      </c>
      <c r="ER23" s="85" t="s">
        <v>522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150.27000000000001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375</v>
      </c>
      <c r="EF26" s="187" t="s">
        <v>376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377</v>
      </c>
      <c r="EF27" s="187" t="s">
        <v>378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150.27000000000001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27.04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177.31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379</v>
      </c>
      <c r="EK31" s="137" t="s">
        <v>380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381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382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383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384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34" t="s">
        <v>154</v>
      </c>
      <c r="BS1" s="234"/>
      <c r="BT1" s="234"/>
      <c r="BU1" s="234"/>
      <c r="BV1" s="234"/>
      <c r="BW1" s="234"/>
      <c r="BX1" s="234"/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35" t="s">
        <v>87</v>
      </c>
      <c r="BT19" s="235"/>
      <c r="BU19" s="235"/>
      <c r="BV19" s="235"/>
      <c r="BW19" s="235"/>
      <c r="BX19" s="235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36" t="s">
        <v>89</v>
      </c>
      <c r="BS21" s="236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533</v>
      </c>
      <c r="EJ22" s="197" t="s">
        <v>512</v>
      </c>
      <c r="EK22" s="197" t="s">
        <v>534</v>
      </c>
      <c r="EL22" s="197" t="s">
        <v>535</v>
      </c>
      <c r="EM22" s="197" t="s">
        <v>513</v>
      </c>
      <c r="EN22" s="197" t="s">
        <v>514</v>
      </c>
      <c r="EO22" s="197" t="s">
        <v>515</v>
      </c>
      <c r="EP22" s="197" t="s">
        <v>516</v>
      </c>
      <c r="EQ22" s="197" t="s">
        <v>536</v>
      </c>
      <c r="ER22" s="198" t="s">
        <v>53</v>
      </c>
    </row>
    <row r="23" spans="1:148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361</v>
      </c>
      <c r="H23" s="171">
        <f>F23*G23</f>
        <v>7200</v>
      </c>
      <c r="I23" t="s">
        <v>264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538</v>
      </c>
      <c r="AT23" s="176" t="s">
        <v>58</v>
      </c>
      <c r="AU23" t="s">
        <v>239</v>
      </c>
      <c r="AV23" t="s">
        <v>539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541</v>
      </c>
      <c r="BN23" t="s">
        <v>542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537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264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538</v>
      </c>
      <c r="DK23" s="176" t="s">
        <v>58</v>
      </c>
      <c r="DL23" t="s">
        <v>239</v>
      </c>
      <c r="DM23" t="s">
        <v>543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540</v>
      </c>
      <c r="ED23" t="s">
        <v>544</v>
      </c>
      <c r="EE23" t="s">
        <v>470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545</v>
      </c>
      <c r="EJ23" s="199" t="s">
        <v>519</v>
      </c>
      <c r="EK23" s="199">
        <v>10100</v>
      </c>
      <c r="EL23" s="199" t="s">
        <v>546</v>
      </c>
      <c r="EM23" s="200" t="s">
        <v>547</v>
      </c>
      <c r="EN23" s="199" t="s">
        <v>521</v>
      </c>
      <c r="EO23" s="201" t="s">
        <v>548</v>
      </c>
      <c r="EP23" s="199">
        <v>450</v>
      </c>
      <c r="EQ23" s="199" t="s">
        <v>549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7200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30" t="s">
        <v>194</v>
      </c>
      <c r="BY26" s="231"/>
      <c r="BZ26" s="233">
        <f>BY24</f>
        <v>13200</v>
      </c>
      <c r="CA26" s="233"/>
      <c r="CB26" s="186"/>
      <c r="CC26" s="137"/>
      <c r="CD26" s="237" t="s">
        <v>195</v>
      </c>
      <c r="CE26" s="238"/>
      <c r="CF26" s="238"/>
      <c r="CG26" s="239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375</v>
      </c>
      <c r="DZ26" s="187" t="s">
        <v>376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526.79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30" t="s">
        <v>196</v>
      </c>
      <c r="BY27" s="231"/>
      <c r="BZ27" s="233">
        <f>CI24</f>
        <v>965.78</v>
      </c>
      <c r="CA27" s="233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377</v>
      </c>
      <c r="DZ27" s="187" t="s">
        <v>378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6673.21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30" t="s">
        <v>197</v>
      </c>
      <c r="BY28" s="231"/>
      <c r="BZ28" s="233">
        <f>CJ24</f>
        <v>12234.22</v>
      </c>
      <c r="CA28" s="233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1201.18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30" t="s">
        <v>198</v>
      </c>
      <c r="BY29" s="231"/>
      <c r="BZ29" s="233">
        <f>CS24</f>
        <v>2202.16</v>
      </c>
      <c r="CA29" s="233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7874.39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30" t="s">
        <v>199</v>
      </c>
      <c r="BY30" s="231"/>
      <c r="BZ30" s="232">
        <f>BZ28+BZ29</f>
        <v>14436.38</v>
      </c>
      <c r="CA30" s="232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379</v>
      </c>
      <c r="EE31" s="137" t="s">
        <v>380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381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382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383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384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571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716.08</v>
      </c>
      <c r="AC23" s="170">
        <f>IF($V21=1,S23+AB23,S23)</f>
        <v>3978.23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538</v>
      </c>
      <c r="AT23" s="176" t="s">
        <v>58</v>
      </c>
      <c r="AU23" t="s">
        <v>239</v>
      </c>
      <c r="AV23" t="s">
        <v>550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551</v>
      </c>
      <c r="BN23" t="s">
        <v>552</v>
      </c>
      <c r="BO23" s="176">
        <f>ROUND((((AW23*AZ23)+(BN23*BM23))/(AW23+BN23)),5)</f>
        <v>491.36716999999999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553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571</v>
      </c>
      <c r="H24" s="171">
        <f>F24*G24</f>
        <v>4100</v>
      </c>
      <c r="I24">
        <v>0</v>
      </c>
      <c r="J24" s="171">
        <v>0</v>
      </c>
      <c r="K24" s="171">
        <v>0</v>
      </c>
      <c r="L24" s="171">
        <f>H24</f>
        <v>4100</v>
      </c>
      <c r="M24" s="171">
        <f>ROUND(L24*I24%,2)</f>
        <v>0</v>
      </c>
      <c r="N24" s="171">
        <f>H24-M24</f>
        <v>4100</v>
      </c>
      <c r="O24" s="171">
        <f>ROUND(N24*J24%,2)</f>
        <v>0</v>
      </c>
      <c r="P24" s="171">
        <f>ROUND(N24-O24,2)</f>
        <v>4100</v>
      </c>
      <c r="Q24" s="171">
        <f>ROUND(P24*K24%,2)</f>
        <v>0</v>
      </c>
      <c r="R24" s="171">
        <f>ROUND((M24+O24+Q24),2)</f>
        <v>0</v>
      </c>
      <c r="S24" s="171">
        <f>ROUND((H24-R24),2)</f>
        <v>4100</v>
      </c>
      <c r="T24" s="172" t="s">
        <v>146</v>
      </c>
      <c r="U24" s="173">
        <v>0.18</v>
      </c>
      <c r="V24" s="171">
        <f>IF(OR($C$21=1,$C$21=4),ROUND(((S24*U24)/2),2),0)</f>
        <v>369</v>
      </c>
      <c r="W24" s="171">
        <f>IF($C$21=1,ROUND(((S24*U24)/2),2),0)</f>
        <v>369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738</v>
      </c>
      <c r="AC24" s="170">
        <f>IF($V21=1,S24+AB24,S24)</f>
        <v>4100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4100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4100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4100</v>
      </c>
      <c r="AS24" s="176" t="s">
        <v>538</v>
      </c>
      <c r="AT24" s="176" t="s">
        <v>58</v>
      </c>
      <c r="AU24" t="s">
        <v>239</v>
      </c>
      <c r="AV24" t="s">
        <v>550</v>
      </c>
      <c r="AW24" s="176">
        <f>AM24</f>
        <v>1</v>
      </c>
      <c r="AX24" s="176">
        <f>AR24</f>
        <v>4100</v>
      </c>
      <c r="AY24" s="176">
        <f>AU24+AW24</f>
        <v>1</v>
      </c>
      <c r="AZ24" s="176">
        <f>ROUND(((AU24*AV24)+(AW24*AX24))/(AU24+AW24),5)</f>
        <v>4100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551</v>
      </c>
      <c r="BN24" t="s">
        <v>552</v>
      </c>
      <c r="BO24" s="176">
        <f>ROUND((((AW24*AZ24)+(BN24*BM24))/(AW24+BN24)),5)</f>
        <v>492.02184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553</v>
      </c>
      <c r="CA24" s="202">
        <v>70</v>
      </c>
    </row>
    <row r="25" spans="1:79" ht="15.75" thickBot="1">
      <c r="A25" s="170">
        <v>1</v>
      </c>
      <c r="B25" s="170" t="s">
        <v>554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551</v>
      </c>
      <c r="BN25" t="s">
        <v>552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555</v>
      </c>
      <c r="BS25" s="199" t="s">
        <v>556</v>
      </c>
      <c r="BT25" s="199">
        <v>10101</v>
      </c>
      <c r="BU25" s="199" t="s">
        <v>557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553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551</v>
      </c>
      <c r="BN26" t="s">
        <v>552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555</v>
      </c>
      <c r="BS26" s="199" t="s">
        <v>556</v>
      </c>
      <c r="BT26" s="199">
        <v>10101</v>
      </c>
      <c r="BU26" s="199" t="s">
        <v>557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553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551</v>
      </c>
      <c r="BN27" t="s">
        <v>552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555</v>
      </c>
      <c r="BS27" s="199" t="s">
        <v>556</v>
      </c>
      <c r="BT27" s="199">
        <v>10101</v>
      </c>
      <c r="BU27" s="199" t="s">
        <v>557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2588.08</v>
      </c>
      <c r="AC28" s="184">
        <f>SUM(AC23:AC27)</f>
        <v>14378.23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14378</v>
      </c>
      <c r="AU28">
        <f>AT28-AC28</f>
        <v>-0.22999999999956344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2588.08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4688.08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C21" sqref="C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563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538</v>
      </c>
      <c r="AT23" s="176" t="s">
        <v>58</v>
      </c>
      <c r="AU23" t="s">
        <v>239</v>
      </c>
      <c r="AV23" t="s">
        <v>550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551</v>
      </c>
      <c r="BN23" t="s">
        <v>552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553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563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538</v>
      </c>
      <c r="AT24" s="176" t="s">
        <v>58</v>
      </c>
      <c r="AU24" t="s">
        <v>239</v>
      </c>
      <c r="AV24" t="s">
        <v>550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551</v>
      </c>
      <c r="BN24" t="s">
        <v>552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553</v>
      </c>
      <c r="CA24" s="202">
        <v>70</v>
      </c>
    </row>
    <row r="25" spans="1:79" ht="15.75" thickBot="1">
      <c r="A25" s="170">
        <v>1</v>
      </c>
      <c r="B25" s="170" t="s">
        <v>554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551</v>
      </c>
      <c r="BN25" t="s">
        <v>552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555</v>
      </c>
      <c r="BS25" s="199" t="s">
        <v>556</v>
      </c>
      <c r="BT25" s="199">
        <v>10101</v>
      </c>
      <c r="BU25" s="199" t="s">
        <v>557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553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551</v>
      </c>
      <c r="BN26" t="s">
        <v>552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555</v>
      </c>
      <c r="BS26" s="199" t="s">
        <v>556</v>
      </c>
      <c r="BT26" s="199">
        <v>10101</v>
      </c>
      <c r="BU26" s="199" t="s">
        <v>557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553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551</v>
      </c>
      <c r="BN27" t="s">
        <v>552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555</v>
      </c>
      <c r="BS27" s="199" t="s">
        <v>556</v>
      </c>
      <c r="BT27" s="199">
        <v>10101</v>
      </c>
      <c r="BU27" s="199" t="s">
        <v>557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13984.17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2517.16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16501.330000000002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P19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270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361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680.03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538</v>
      </c>
      <c r="AT23" s="176" t="s">
        <v>58</v>
      </c>
      <c r="AU23" t="s">
        <v>239</v>
      </c>
      <c r="AV23" t="s">
        <v>550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551</v>
      </c>
      <c r="BN23" t="s">
        <v>552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553</v>
      </c>
      <c r="CA23" s="202">
        <v>60</v>
      </c>
    </row>
    <row r="24" spans="1:79" ht="15.75" thickBot="1">
      <c r="A24" s="170">
        <v>1</v>
      </c>
      <c r="B24" s="170" t="s">
        <v>481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361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538</v>
      </c>
      <c r="AT24" s="176" t="s">
        <v>58</v>
      </c>
      <c r="AU24" t="s">
        <v>239</v>
      </c>
      <c r="AV24" t="s">
        <v>550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551</v>
      </c>
      <c r="BN24" t="s">
        <v>552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553</v>
      </c>
      <c r="CA24" s="202">
        <v>70</v>
      </c>
    </row>
    <row r="25" spans="1:79" ht="15.75" thickBot="1">
      <c r="A25" s="170">
        <v>1</v>
      </c>
      <c r="B25" s="170" t="s">
        <v>554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551</v>
      </c>
      <c r="BN25" t="s">
        <v>552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555</v>
      </c>
      <c r="BS25" s="199" t="s">
        <v>556</v>
      </c>
      <c r="BT25" s="199">
        <v>10101</v>
      </c>
      <c r="BU25" s="199" t="s">
        <v>557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553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551</v>
      </c>
      <c r="BN26" t="s">
        <v>552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555</v>
      </c>
      <c r="BS26" s="199" t="s">
        <v>556</v>
      </c>
      <c r="BT26" s="199">
        <v>10101</v>
      </c>
      <c r="BU26" s="199" t="s">
        <v>557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553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551</v>
      </c>
      <c r="BN27" t="s">
        <v>552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555</v>
      </c>
      <c r="BS27" s="199" t="s">
        <v>556</v>
      </c>
      <c r="BT27" s="199">
        <v>10101</v>
      </c>
      <c r="BU27" s="199" t="s">
        <v>557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8822.0299999999988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8822</v>
      </c>
      <c r="AU28">
        <f>AT28-AC28</f>
        <v>-2.9999999998835847E-2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1345.73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3445.73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Q19" workbookViewId="0">
      <selection activeCell="F24" sqref="F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361</v>
      </c>
      <c r="H23" s="171">
        <f>F23*G23</f>
        <v>1400</v>
      </c>
      <c r="I23">
        <v>2</v>
      </c>
      <c r="J23" s="171">
        <v>1</v>
      </c>
      <c r="K23" s="171">
        <v>1</v>
      </c>
      <c r="L23" s="171">
        <f>H23</f>
        <v>1400</v>
      </c>
      <c r="M23" s="171">
        <f>ROUND(L23*I23%,2)</f>
        <v>28</v>
      </c>
      <c r="N23" s="171">
        <f>H23-M23</f>
        <v>1372</v>
      </c>
      <c r="O23" s="171">
        <f>ROUND(N23*J23%,2)</f>
        <v>13.72</v>
      </c>
      <c r="P23" s="171">
        <f>ROUND(N23-O23,2)</f>
        <v>1358.28</v>
      </c>
      <c r="Q23" s="171">
        <f>ROUND(P23*K23%,2)</f>
        <v>13.58</v>
      </c>
      <c r="R23" s="171">
        <f>ROUND((M23+O23+Q23),2)</f>
        <v>55.3</v>
      </c>
      <c r="S23" s="171">
        <f>ROUND((H23-R23),2)</f>
        <v>1344.7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242.05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242.05</v>
      </c>
      <c r="AC23" s="170">
        <f>IF($V21=1,S23+AB23,S23)</f>
        <v>1586.75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1344.7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672.35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672.35</v>
      </c>
      <c r="AS23" s="176" t="s">
        <v>538</v>
      </c>
      <c r="AT23" s="176" t="s">
        <v>58</v>
      </c>
      <c r="AU23" t="s">
        <v>239</v>
      </c>
      <c r="AV23" t="s">
        <v>550</v>
      </c>
      <c r="AW23" s="176">
        <f>AM23</f>
        <v>2</v>
      </c>
      <c r="AX23" s="176">
        <f>AR23</f>
        <v>672.35</v>
      </c>
      <c r="AY23" s="176">
        <f>AU23+AW23</f>
        <v>2</v>
      </c>
      <c r="AZ23" s="176">
        <f>ROUND(((AU23*AV23)+(AW23*AX23))/(AU23+AW23),5)</f>
        <v>672.35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551</v>
      </c>
      <c r="BN23" t="s">
        <v>552</v>
      </c>
      <c r="BO23" s="176">
        <f>ROUND((((AW23*AZ23)+(BN23*BM23))/(AW23+BN23)),5)</f>
        <v>474.65649000000002</v>
      </c>
      <c r="BP23" s="87">
        <f>BN23+AW23</f>
        <v>187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553</v>
      </c>
      <c r="CA23" s="202">
        <v>60</v>
      </c>
    </row>
    <row r="24" spans="1:79" ht="15.75" thickBot="1">
      <c r="A24" s="170">
        <v>1</v>
      </c>
      <c r="B24" s="170" t="s">
        <v>481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361</v>
      </c>
      <c r="H24" s="171">
        <f>F24*G24</f>
        <v>700</v>
      </c>
      <c r="I24">
        <v>0</v>
      </c>
      <c r="J24" s="171">
        <v>0</v>
      </c>
      <c r="K24" s="171">
        <v>0</v>
      </c>
      <c r="L24" s="171">
        <f>H24</f>
        <v>700</v>
      </c>
      <c r="M24" s="171">
        <f>ROUND(L24*I24%,2)</f>
        <v>0</v>
      </c>
      <c r="N24" s="171">
        <f>H24-M24</f>
        <v>700</v>
      </c>
      <c r="O24" s="171">
        <f>ROUND(N24*J24%,2)</f>
        <v>0</v>
      </c>
      <c r="P24" s="171">
        <f>ROUND(N24-O24,2)</f>
        <v>700</v>
      </c>
      <c r="Q24" s="171">
        <f>ROUND(P24*K24%,2)</f>
        <v>0</v>
      </c>
      <c r="R24" s="171">
        <f>ROUND((M24+O24+Q24),2)</f>
        <v>0</v>
      </c>
      <c r="S24" s="171">
        <f>ROUND((H24-R24),2)</f>
        <v>700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126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126</v>
      </c>
      <c r="AC24" s="170">
        <f>IF($V21=1,S24+AB24,S24)</f>
        <v>826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700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700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700</v>
      </c>
      <c r="AS24" s="176" t="s">
        <v>538</v>
      </c>
      <c r="AT24" s="176" t="s">
        <v>58</v>
      </c>
      <c r="AU24" t="s">
        <v>239</v>
      </c>
      <c r="AV24" t="s">
        <v>550</v>
      </c>
      <c r="AW24" s="176">
        <f>AM24</f>
        <v>1</v>
      </c>
      <c r="AX24" s="176">
        <f>AR24</f>
        <v>700</v>
      </c>
      <c r="AY24" s="176">
        <f>AU24+AW24</f>
        <v>1</v>
      </c>
      <c r="AZ24" s="176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551</v>
      </c>
      <c r="BN24" t="s">
        <v>552</v>
      </c>
      <c r="BO24" s="176">
        <f>ROUND((((AW24*AZ24)+(BN24*BM24))/(AW24+BN24)),5)</f>
        <v>473.74227000000002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553</v>
      </c>
      <c r="CA24" s="202">
        <v>70</v>
      </c>
    </row>
    <row r="25" spans="1:79" ht="15.75" thickBot="1">
      <c r="A25" s="170">
        <v>1</v>
      </c>
      <c r="B25" s="170" t="s">
        <v>554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551</v>
      </c>
      <c r="BN25" t="s">
        <v>552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555</v>
      </c>
      <c r="BS25" s="199" t="s">
        <v>556</v>
      </c>
      <c r="BT25" s="199">
        <v>10101</v>
      </c>
      <c r="BU25" s="199" t="s">
        <v>557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553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551</v>
      </c>
      <c r="BN26" t="s">
        <v>552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555</v>
      </c>
      <c r="BS26" s="199" t="s">
        <v>556</v>
      </c>
      <c r="BT26" s="199">
        <v>10101</v>
      </c>
      <c r="BU26" s="199" t="s">
        <v>557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553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551</v>
      </c>
      <c r="BN27" t="s">
        <v>552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555</v>
      </c>
      <c r="BS27" s="199" t="s">
        <v>556</v>
      </c>
      <c r="BT27" s="199">
        <v>10101</v>
      </c>
      <c r="BU27" s="199" t="s">
        <v>557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1502.05</v>
      </c>
      <c r="AC28" s="184">
        <f>SUM(AC23:AC27)</f>
        <v>9846.75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8344.7000000000007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9847</v>
      </c>
      <c r="AU28">
        <f>AT28-AC28</f>
        <v>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1502.05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3602.05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529</v>
      </c>
      <c r="H23" s="171">
        <f>F23*G23</f>
        <v>1500</v>
      </c>
      <c r="I23">
        <v>1</v>
      </c>
      <c r="J23" s="171">
        <v>1</v>
      </c>
      <c r="K23" s="171">
        <v>1</v>
      </c>
      <c r="L23" s="171">
        <f>H23</f>
        <v>1500</v>
      </c>
      <c r="M23" s="171">
        <f>ROUND(L23*I23%,2)</f>
        <v>15</v>
      </c>
      <c r="N23" s="171">
        <f>H23-M23</f>
        <v>1485</v>
      </c>
      <c r="O23" s="171">
        <f>ROUND(N23*J23%,2)</f>
        <v>14.85</v>
      </c>
      <c r="P23" s="171">
        <f>ROUND(N23-O23,2)</f>
        <v>1470.15</v>
      </c>
      <c r="Q23" s="171">
        <f>ROUND(P23*K23%,2)</f>
        <v>14.7</v>
      </c>
      <c r="R23" s="171">
        <f>ROUND((M23+O23+Q23),2)</f>
        <v>44.55</v>
      </c>
      <c r="S23" s="171">
        <f>ROUND((H23-R23),2)</f>
        <v>1455.45</v>
      </c>
      <c r="T23" s="172" t="s">
        <v>146</v>
      </c>
      <c r="U23" s="173">
        <v>0.18</v>
      </c>
      <c r="V23" s="171">
        <f>IF(OR($C$21=1,$C$21=4),ROUND(((S23*U23)/2),2),0)</f>
        <v>130.99</v>
      </c>
      <c r="W23" s="171">
        <f>IF($C$21=1,ROUND(((S23*U23)/2),2),0)</f>
        <v>130.99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261.98</v>
      </c>
      <c r="AC23" s="170">
        <f>IF($V21=1,S23+AB23,S23)</f>
        <v>1717.43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1455.45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1455.45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1455.45</v>
      </c>
      <c r="AS23" s="176" t="s">
        <v>538</v>
      </c>
      <c r="AT23" s="176" t="s">
        <v>58</v>
      </c>
      <c r="AU23" t="s">
        <v>239</v>
      </c>
      <c r="AV23" t="s">
        <v>550</v>
      </c>
      <c r="AW23" s="176">
        <f>AM23</f>
        <v>1</v>
      </c>
      <c r="AX23" s="176">
        <f>AR23</f>
        <v>1455.45</v>
      </c>
      <c r="AY23" s="176">
        <f>AU23+AW23</f>
        <v>1</v>
      </c>
      <c r="AZ23" s="176">
        <f>ROUND(((AU23*AV23)+(AW23*AX23))/(AU23+AW23),5)</f>
        <v>1455.45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551</v>
      </c>
      <c r="BN23" t="s">
        <v>552</v>
      </c>
      <c r="BO23" s="176">
        <f>ROUND((((AW23*AZ23)+(BN23*BM23))/(AW23+BN23)),5)</f>
        <v>477.80383</v>
      </c>
      <c r="BP23" s="87">
        <f>BN23+AW23</f>
        <v>186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553</v>
      </c>
      <c r="CA23" s="202">
        <v>60</v>
      </c>
    </row>
    <row r="24" spans="1:79" ht="15.75" thickBot="1">
      <c r="A24" s="170">
        <v>1</v>
      </c>
      <c r="B24" s="170" t="s">
        <v>537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529</v>
      </c>
      <c r="H24" s="171">
        <f>F24*G24</f>
        <v>1500</v>
      </c>
      <c r="I24">
        <v>0</v>
      </c>
      <c r="J24" s="171">
        <v>0</v>
      </c>
      <c r="K24" s="171">
        <v>0</v>
      </c>
      <c r="L24" s="171">
        <f>H24</f>
        <v>1500</v>
      </c>
      <c r="M24" s="171">
        <f>ROUND(L24*I24%,2)</f>
        <v>0</v>
      </c>
      <c r="N24" s="171">
        <f>H24-M24</f>
        <v>1500</v>
      </c>
      <c r="O24" s="171">
        <f>ROUND(N24*J24%,2)</f>
        <v>0</v>
      </c>
      <c r="P24" s="171">
        <f>ROUND(N24-O24,2)</f>
        <v>1500</v>
      </c>
      <c r="Q24" s="171">
        <f>ROUND(P24*K24%,2)</f>
        <v>0</v>
      </c>
      <c r="R24" s="171">
        <f>ROUND((M24+O24+Q24),2)</f>
        <v>0</v>
      </c>
      <c r="S24" s="171">
        <f>ROUND((H24-R24),2)</f>
        <v>1500</v>
      </c>
      <c r="T24" s="172" t="s">
        <v>146</v>
      </c>
      <c r="U24" s="173">
        <v>0.18</v>
      </c>
      <c r="V24" s="171">
        <f>IF(OR($C$21=1,$C$21=4),ROUND(((S24*U24)/2),2),0)</f>
        <v>135</v>
      </c>
      <c r="W24" s="171">
        <f>IF($C$21=1,ROUND(((S24*U24)/2),2),0)</f>
        <v>135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270</v>
      </c>
      <c r="AC24" s="170">
        <f>IF($V21=1,S24+AB24,S24)</f>
        <v>1770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1500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1500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1500</v>
      </c>
      <c r="AS24" s="176" t="s">
        <v>538</v>
      </c>
      <c r="AT24" s="176" t="s">
        <v>58</v>
      </c>
      <c r="AU24" t="s">
        <v>239</v>
      </c>
      <c r="AV24" t="s">
        <v>550</v>
      </c>
      <c r="AW24" s="176">
        <f>AM24</f>
        <v>1</v>
      </c>
      <c r="AX24" s="176">
        <f>AR24</f>
        <v>1500</v>
      </c>
      <c r="AY24" s="176">
        <f>AU24+AW24</f>
        <v>1</v>
      </c>
      <c r="AZ24" s="176">
        <f>ROUND(((AU24*AV24)+(AW24*AX24))/(AU24+AW24),5)</f>
        <v>1500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540</v>
      </c>
      <c r="BM24" t="s">
        <v>551</v>
      </c>
      <c r="BN24" t="s">
        <v>552</v>
      </c>
      <c r="BO24" s="176">
        <f>ROUND((((AW24*AZ24)+(BN24*BM24))/(AW24+BN24)),5)</f>
        <v>478.04334999999998</v>
      </c>
      <c r="BP24" s="87">
        <f>BN24+AW24</f>
        <v>186</v>
      </c>
      <c r="BQ24" s="88">
        <v>88363222</v>
      </c>
      <c r="BR24" s="199" t="s">
        <v>545</v>
      </c>
      <c r="BS24" s="199" t="s">
        <v>519</v>
      </c>
      <c r="BT24" s="199">
        <v>10100</v>
      </c>
      <c r="BU24" s="199" t="s">
        <v>546</v>
      </c>
      <c r="BV24" s="200" t="s">
        <v>547</v>
      </c>
      <c r="BW24" s="199" t="s">
        <v>521</v>
      </c>
      <c r="BX24" s="201" t="s">
        <v>548</v>
      </c>
      <c r="BY24" s="199">
        <v>800</v>
      </c>
      <c r="BZ24" s="199" t="s">
        <v>553</v>
      </c>
      <c r="CA24" s="202">
        <v>70</v>
      </c>
    </row>
    <row r="25" spans="1:79" ht="15.75" thickBot="1">
      <c r="A25" s="170">
        <v>1</v>
      </c>
      <c r="B25" s="170" t="s">
        <v>554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538</v>
      </c>
      <c r="AT25" s="176" t="s">
        <v>58</v>
      </c>
      <c r="AU25" t="s">
        <v>239</v>
      </c>
      <c r="AV25" t="s">
        <v>550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540</v>
      </c>
      <c r="BM25" t="s">
        <v>551</v>
      </c>
      <c r="BN25" t="s">
        <v>552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555</v>
      </c>
      <c r="BS25" s="199" t="s">
        <v>556</v>
      </c>
      <c r="BT25" s="199">
        <v>10101</v>
      </c>
      <c r="BU25" s="199" t="s">
        <v>557</v>
      </c>
      <c r="BV25" s="200" t="s">
        <v>547</v>
      </c>
      <c r="BW25" s="199" t="s">
        <v>521</v>
      </c>
      <c r="BX25" s="203" t="s">
        <v>49</v>
      </c>
      <c r="BY25" s="199">
        <v>400</v>
      </c>
      <c r="BZ25" s="199" t="s">
        <v>553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538</v>
      </c>
      <c r="AT26" s="176" t="s">
        <v>58</v>
      </c>
      <c r="AU26" t="s">
        <v>239</v>
      </c>
      <c r="AV26" t="s">
        <v>550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540</v>
      </c>
      <c r="BM26" t="s">
        <v>551</v>
      </c>
      <c r="BN26" t="s">
        <v>552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555</v>
      </c>
      <c r="BS26" s="199" t="s">
        <v>556</v>
      </c>
      <c r="BT26" s="199">
        <v>10101</v>
      </c>
      <c r="BU26" s="199" t="s">
        <v>557</v>
      </c>
      <c r="BV26" s="200" t="s">
        <v>547</v>
      </c>
      <c r="BW26" s="199" t="s">
        <v>521</v>
      </c>
      <c r="BX26" s="203" t="s">
        <v>49</v>
      </c>
      <c r="BY26" s="199">
        <v>400</v>
      </c>
      <c r="BZ26" s="199" t="s">
        <v>553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538</v>
      </c>
      <c r="AT27" s="176" t="s">
        <v>58</v>
      </c>
      <c r="AU27">
        <v>0</v>
      </c>
      <c r="AV27" t="s">
        <v>550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540</v>
      </c>
      <c r="BM27" t="s">
        <v>551</v>
      </c>
      <c r="BN27" t="s">
        <v>552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555</v>
      </c>
      <c r="BS27" s="199" t="s">
        <v>556</v>
      </c>
      <c r="BT27" s="199">
        <v>10101</v>
      </c>
      <c r="BU27" s="199" t="s">
        <v>557</v>
      </c>
      <c r="BV27" s="200" t="s">
        <v>547</v>
      </c>
      <c r="BW27" s="199" t="s">
        <v>521</v>
      </c>
      <c r="BX27" s="203" t="s">
        <v>49</v>
      </c>
      <c r="BY27" s="199">
        <v>400</v>
      </c>
      <c r="BZ27" s="199" t="s">
        <v>553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1665.98</v>
      </c>
      <c r="AC28" s="184">
        <f>SUM(AC23:AC27)</f>
        <v>10921.43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10921</v>
      </c>
      <c r="AU28">
        <f>AT28-AC28</f>
        <v>-0.43000000000029104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375</v>
      </c>
      <c r="BI30" s="187" t="s">
        <v>376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377</v>
      </c>
      <c r="BI31" s="187" t="s">
        <v>378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1665.98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3765.98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379</v>
      </c>
      <c r="BN35" s="137" t="s">
        <v>380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381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382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383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384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361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310</v>
      </c>
      <c r="AT23" s="176" t="s">
        <v>58</v>
      </c>
      <c r="AU23" t="s">
        <v>239</v>
      </c>
      <c r="AV23" t="s">
        <v>558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365</v>
      </c>
      <c r="BM23" t="s">
        <v>573</v>
      </c>
      <c r="BN23" t="s">
        <v>572</v>
      </c>
      <c r="BO23" s="176">
        <f>ROUND((((AW23*AZ23)+(BN23*BM23))/(AW23+BN23)),5)</f>
        <v>571.52639999999997</v>
      </c>
      <c r="BP23" s="87">
        <f>BN23+AW23</f>
        <v>50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1200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47.4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1152.5999999999999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207.47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1360.07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270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361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310</v>
      </c>
      <c r="AT23" s="176" t="s">
        <v>58</v>
      </c>
      <c r="AU23" t="s">
        <v>239</v>
      </c>
      <c r="AV23" t="s">
        <v>558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365</v>
      </c>
      <c r="BM23" t="s">
        <v>575</v>
      </c>
      <c r="BN23" t="s">
        <v>574</v>
      </c>
      <c r="BO23" s="176">
        <f>ROUND((((AW23*AZ23)+(BN23*BM23))/(AW23+BN23)),5)</f>
        <v>571.60799999999995</v>
      </c>
      <c r="BP23" s="87">
        <f>BN23+AW23</f>
        <v>130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600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23.7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576.29999999999995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103.73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680.03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R16" workbookViewId="0">
      <selection activeCell="Y30" sqref="Y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571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538</v>
      </c>
      <c r="AT23" s="176" t="s">
        <v>58</v>
      </c>
      <c r="AU23" t="s">
        <v>239</v>
      </c>
      <c r="AV23" t="s">
        <v>568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570</v>
      </c>
      <c r="BN23" t="s">
        <v>569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4100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121.77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3978.23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716.08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4694.3100000000004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N13" workbookViewId="0">
      <selection activeCell="U28" sqref="U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567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538</v>
      </c>
      <c r="AT23" s="176" t="s">
        <v>58</v>
      </c>
      <c r="AU23" t="s">
        <v>239</v>
      </c>
      <c r="AV23" t="s">
        <v>564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566</v>
      </c>
      <c r="BN23" t="s">
        <v>565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4100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121.77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3978.23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716.08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4694.3100000000004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A38"/>
  <sheetViews>
    <sheetView topLeftCell="AJ13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533</v>
      </c>
      <c r="BS22" s="197" t="s">
        <v>512</v>
      </c>
      <c r="BT22" s="197" t="s">
        <v>534</v>
      </c>
      <c r="BU22" s="197" t="s">
        <v>535</v>
      </c>
      <c r="BV22" s="197" t="s">
        <v>513</v>
      </c>
      <c r="BW22" s="197" t="s">
        <v>514</v>
      </c>
      <c r="BX22" s="197" t="s">
        <v>515</v>
      </c>
      <c r="BY22" s="197" t="s">
        <v>516</v>
      </c>
      <c r="BZ22" s="197" t="s">
        <v>536</v>
      </c>
      <c r="CA22" s="198" t="s">
        <v>53</v>
      </c>
    </row>
    <row r="23" spans="1:79" ht="15.75" thickBot="1">
      <c r="A23" s="170">
        <v>1</v>
      </c>
      <c r="B23" s="170" t="s">
        <v>537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264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538</v>
      </c>
      <c r="AT23" s="176" t="s">
        <v>58</v>
      </c>
      <c r="AU23" t="s">
        <v>239</v>
      </c>
      <c r="AV23" t="s">
        <v>543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540</v>
      </c>
      <c r="BM23" t="s">
        <v>544</v>
      </c>
      <c r="BN23" t="s">
        <v>470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545</v>
      </c>
      <c r="BS23" s="199" t="s">
        <v>519</v>
      </c>
      <c r="BT23" s="199">
        <v>10100</v>
      </c>
      <c r="BU23" s="199" t="s">
        <v>546</v>
      </c>
      <c r="BV23" s="200" t="s">
        <v>547</v>
      </c>
      <c r="BW23" s="199" t="s">
        <v>521</v>
      </c>
      <c r="BX23" s="201" t="s">
        <v>548</v>
      </c>
      <c r="BY23" s="199">
        <v>450</v>
      </c>
      <c r="BZ23" s="199" t="s">
        <v>549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45600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375</v>
      </c>
      <c r="BI26" s="187" t="s">
        <v>376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3336.32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377</v>
      </c>
      <c r="BI27" s="187" t="s">
        <v>378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42263.68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7607.46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49871.14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379</v>
      </c>
      <c r="BN31" s="137" t="s">
        <v>380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381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382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383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384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2025-12-29T14:01:42Z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