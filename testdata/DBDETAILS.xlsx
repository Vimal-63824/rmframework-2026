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13" activeTab="16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48"/>
  <c r="BN32"/>
  <c r="BM32"/>
  <c r="BM36" s="1"/>
  <c r="BN36" s="1"/>
  <c r="AH24"/>
  <c r="AG24"/>
  <c r="AD24"/>
  <c r="Z24"/>
  <c r="Y24"/>
  <c r="X24"/>
  <c r="AM23"/>
  <c r="AW23" s="1"/>
  <c r="AK23"/>
  <c r="AP23" s="1"/>
  <c r="AH23"/>
  <c r="AG23"/>
  <c r="AJ23" s="1"/>
  <c r="AE23"/>
  <c r="AE24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P23" i="47"/>
  <c r="BM33"/>
  <c r="BN32"/>
  <c r="BM32"/>
  <c r="AH24"/>
  <c r="AD24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4"/>
  <c r="AD24"/>
  <c r="X24"/>
  <c r="AM23"/>
  <c r="AW23" s="1"/>
  <c r="AK23"/>
  <c r="AP23" s="1"/>
  <c r="Y23"/>
  <c r="X23"/>
  <c r="L23"/>
  <c r="M23" s="1"/>
  <c r="H23"/>
  <c r="H18"/>
  <c r="H17"/>
  <c r="H16"/>
  <c r="H15"/>
  <c r="H14"/>
  <c r="H13"/>
  <c r="H12"/>
  <c r="H11"/>
  <c r="H19" s="1"/>
  <c r="H10"/>
  <c r="H9"/>
  <c r="H8"/>
  <c r="H7"/>
  <c r="H6"/>
  <c r="H5"/>
  <c r="H4"/>
  <c r="AY23" i="43"/>
  <c r="AK24"/>
  <c r="AD24"/>
  <c r="H24"/>
  <c r="AP23"/>
  <c r="AM23"/>
  <c r="AW23" s="1"/>
  <c r="AK23"/>
  <c r="Y23"/>
  <c r="Y24" s="1"/>
  <c r="W23"/>
  <c r="W24" s="1"/>
  <c r="V23"/>
  <c r="V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I23" i="27"/>
  <c r="H4" i="23"/>
  <c r="H5"/>
  <c r="H19" s="1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M23"/>
  <c r="AP23"/>
  <c r="AW23"/>
  <c r="AY23"/>
  <c r="H24"/>
  <c r="X24"/>
  <c r="Y24"/>
  <c r="AK24"/>
  <c r="AP24" s="1"/>
  <c r="AM24"/>
  <c r="AW24" s="1"/>
  <c r="H25"/>
  <c r="AD25"/>
  <c r="AK25"/>
  <c r="AD24" i="42"/>
  <c r="AW23"/>
  <c r="AY23" s="1"/>
  <c r="AM23"/>
  <c r="AK23"/>
  <c r="AK24" s="1"/>
  <c r="Y23"/>
  <c r="Y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0"/>
  <c r="BN33"/>
  <c r="BM37" s="1"/>
  <c r="BN37" s="1"/>
  <c r="BM33"/>
  <c r="AH25"/>
  <c r="AD25"/>
  <c r="Z25"/>
  <c r="H25"/>
  <c r="I27" s="1"/>
  <c r="AM24"/>
  <c r="AK24"/>
  <c r="AH24"/>
  <c r="AG24"/>
  <c r="AG25" s="1"/>
  <c r="AE24"/>
  <c r="Y24"/>
  <c r="W24"/>
  <c r="V24"/>
  <c r="L24"/>
  <c r="M24" s="1"/>
  <c r="H24"/>
  <c r="AM23"/>
  <c r="AW23" s="1"/>
  <c r="AK23"/>
  <c r="AP23" s="1"/>
  <c r="AH23"/>
  <c r="AG23"/>
  <c r="AJ23" s="1"/>
  <c r="AE23"/>
  <c r="AE25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3" i="53"/>
  <c r="BN32"/>
  <c r="BM32"/>
  <c r="AH24"/>
  <c r="AD24"/>
  <c r="Z24"/>
  <c r="AM23"/>
  <c r="AW23" s="1"/>
  <c r="BP23" s="1"/>
  <c r="AK23"/>
  <c r="AK24" s="1"/>
  <c r="AH23"/>
  <c r="AG23"/>
  <c r="AG24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AH24"/>
  <c r="AJ24" s="1"/>
  <c r="AO24" s="1"/>
  <c r="AG24"/>
  <c r="Y24"/>
  <c r="X24"/>
  <c r="H24"/>
  <c r="AM23"/>
  <c r="AW23" s="1"/>
  <c r="AK23"/>
  <c r="AK25" s="1"/>
  <c r="AG23"/>
  <c r="AG25" s="1"/>
  <c r="AE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19" s="1"/>
  <c r="H8"/>
  <c r="H7"/>
  <c r="H6"/>
  <c r="H5"/>
  <c r="H4"/>
  <c r="AD25" i="38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V25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W25"/>
  <c r="AY24"/>
  <c r="AW24"/>
  <c r="AM24"/>
  <c r="AK24"/>
  <c r="AP24" s="1"/>
  <c r="Y24"/>
  <c r="W24"/>
  <c r="V24"/>
  <c r="H24"/>
  <c r="AM23"/>
  <c r="AW23" s="1"/>
  <c r="AK23"/>
  <c r="AK25" s="1"/>
  <c r="Y23"/>
  <c r="Y25" s="1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4"/>
  <c r="AW24"/>
  <c r="AY24" s="1"/>
  <c r="AM24"/>
  <c r="AK24"/>
  <c r="AP24" s="1"/>
  <c r="Y24"/>
  <c r="X24"/>
  <c r="H24"/>
  <c r="AP23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Y24"/>
  <c r="AW24"/>
  <c r="AM24"/>
  <c r="AK24"/>
  <c r="AP24" s="1"/>
  <c r="Y24"/>
  <c r="W24"/>
  <c r="V24"/>
  <c r="H24"/>
  <c r="AP23"/>
  <c r="AM23"/>
  <c r="AW23" s="1"/>
  <c r="AK23"/>
  <c r="AK25" s="1"/>
  <c r="Y23"/>
  <c r="Y25" s="1"/>
  <c r="W23"/>
  <c r="W25" s="1"/>
  <c r="V23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7" s="1"/>
  <c r="BN33"/>
  <c r="BM33"/>
  <c r="AH25"/>
  <c r="AG25"/>
  <c r="AD25"/>
  <c r="Z25"/>
  <c r="Y25"/>
  <c r="AM24"/>
  <c r="AW24" s="1"/>
  <c r="AK24"/>
  <c r="AP24" s="1"/>
  <c r="AH24"/>
  <c r="AG24"/>
  <c r="AJ24" s="1"/>
  <c r="AO24" s="1"/>
  <c r="AE24"/>
  <c r="Y24"/>
  <c r="W24"/>
  <c r="W25" s="1"/>
  <c r="V24"/>
  <c r="H24"/>
  <c r="AM23"/>
  <c r="AP23" s="1"/>
  <c r="AK23"/>
  <c r="AH23"/>
  <c r="AG23"/>
  <c r="AJ23" s="1"/>
  <c r="AE23"/>
  <c r="AE25" s="1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L24"/>
  <c r="M24" s="1"/>
  <c r="H24"/>
  <c r="AW23"/>
  <c r="AM23"/>
  <c r="AK23"/>
  <c r="AP23" s="1"/>
  <c r="AH23"/>
  <c r="AJ23" s="1"/>
  <c r="AG23"/>
  <c r="AE23"/>
  <c r="AE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AK23"/>
  <c r="AP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BM37" i="32"/>
  <c r="BN37" s="1"/>
  <c r="BM34"/>
  <c r="BN33"/>
  <c r="BM33"/>
  <c r="AK25"/>
  <c r="AH25"/>
  <c r="AG25"/>
  <c r="AD25"/>
  <c r="Z25"/>
  <c r="Y25"/>
  <c r="AW24"/>
  <c r="AY24" s="1"/>
  <c r="AM24"/>
  <c r="AP24" s="1"/>
  <c r="AK24"/>
  <c r="AH24"/>
  <c r="AG24"/>
  <c r="AJ24" s="1"/>
  <c r="AO24" s="1"/>
  <c r="AE24"/>
  <c r="Y24"/>
  <c r="X24"/>
  <c r="N24"/>
  <c r="M24"/>
  <c r="L24"/>
  <c r="H24"/>
  <c r="BP23"/>
  <c r="AW23"/>
  <c r="AO23"/>
  <c r="AM23"/>
  <c r="AP23" s="1"/>
  <c r="AK23"/>
  <c r="AJ23"/>
  <c r="AH23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31"/>
  <c r="BN33"/>
  <c r="BM37" s="1"/>
  <c r="BN37" s="1"/>
  <c r="BM33"/>
  <c r="AK25"/>
  <c r="AH25"/>
  <c r="AG25"/>
  <c r="AD25"/>
  <c r="Z25"/>
  <c r="Y25"/>
  <c r="AM24"/>
  <c r="AP24" s="1"/>
  <c r="AK24"/>
  <c r="AH24"/>
  <c r="AG24"/>
  <c r="AJ24" s="1"/>
  <c r="AO24" s="1"/>
  <c r="AE24"/>
  <c r="Y24"/>
  <c r="X24"/>
  <c r="M24"/>
  <c r="L24"/>
  <c r="H24"/>
  <c r="AW23"/>
  <c r="AM23"/>
  <c r="AK23"/>
  <c r="AP23" s="1"/>
  <c r="AH23"/>
  <c r="AJ23" s="1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19" s="1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X25" s="1"/>
  <c r="Y23"/>
  <c r="AK23"/>
  <c r="AP23" s="1"/>
  <c r="AM23"/>
  <c r="AW23" s="1"/>
  <c r="H24"/>
  <c r="X24"/>
  <c r="Y24"/>
  <c r="AK24"/>
  <c r="AM24"/>
  <c r="AW24" s="1"/>
  <c r="Y25"/>
  <c r="Z25"/>
  <c r="AD25"/>
  <c r="BM33"/>
  <c r="BM37" s="1"/>
  <c r="BN37" s="1"/>
  <c r="BN33"/>
  <c r="BM34"/>
  <c r="AD25" i="27"/>
  <c r="H25"/>
  <c r="AP24"/>
  <c r="AM24"/>
  <c r="AW24" s="1"/>
  <c r="AK24"/>
  <c r="Y24"/>
  <c r="X24"/>
  <c r="L24"/>
  <c r="M24" s="1"/>
  <c r="H24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W24"/>
  <c r="AY24" s="1"/>
  <c r="AM24"/>
  <c r="AK24"/>
  <c r="AP24" s="1"/>
  <c r="Y24"/>
  <c r="X24"/>
  <c r="H24"/>
  <c r="BP23"/>
  <c r="AY23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9"/>
  <c r="BN37" s="1"/>
  <c r="BM34"/>
  <c r="BN33"/>
  <c r="BM33"/>
  <c r="AK25"/>
  <c r="AD25"/>
  <c r="AH25" s="1"/>
  <c r="Z25"/>
  <c r="AM24"/>
  <c r="AW24" s="1"/>
  <c r="AK24"/>
  <c r="AP24" s="1"/>
  <c r="AH24"/>
  <c r="Y24"/>
  <c r="X24"/>
  <c r="H24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19" s="1"/>
  <c r="H6"/>
  <c r="H5"/>
  <c r="H4"/>
  <c r="AD25" i="28"/>
  <c r="AM24"/>
  <c r="AW24" s="1"/>
  <c r="AK24"/>
  <c r="AP24" s="1"/>
  <c r="Y24"/>
  <c r="X24"/>
  <c r="H24"/>
  <c r="BP23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1"/>
  <c r="BN37" s="1"/>
  <c r="BM34"/>
  <c r="BN33"/>
  <c r="BM33"/>
  <c r="AH25"/>
  <c r="AG25"/>
  <c r="AE25"/>
  <c r="AD25"/>
  <c r="Z25"/>
  <c r="AM24"/>
  <c r="AW24" s="1"/>
  <c r="AK24"/>
  <c r="AP24" s="1"/>
  <c r="AH24"/>
  <c r="AG24"/>
  <c r="AJ24" s="1"/>
  <c r="AO24" s="1"/>
  <c r="AE24"/>
  <c r="Y24"/>
  <c r="W24"/>
  <c r="V24"/>
  <c r="H24"/>
  <c r="AM23"/>
  <c r="AK23"/>
  <c r="AK25" s="1"/>
  <c r="AJ23"/>
  <c r="AO23" s="1"/>
  <c r="AH23"/>
  <c r="AG23"/>
  <c r="AE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19" s="1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X24"/>
  <c r="H24"/>
  <c r="L24" s="1"/>
  <c r="M24" s="1"/>
  <c r="AW23"/>
  <c r="AM23"/>
  <c r="AK23"/>
  <c r="AK25" s="1"/>
  <c r="AH23"/>
  <c r="AG23"/>
  <c r="AE23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BP25" i="18"/>
  <c r="BO25"/>
  <c r="AZ25"/>
  <c r="AY25"/>
  <c r="AX25"/>
  <c r="AW25"/>
  <c r="BP24"/>
  <c r="AY24"/>
  <c r="AX24"/>
  <c r="AZ24" s="1"/>
  <c r="BO24" s="1"/>
  <c r="AW24"/>
  <c r="BP23"/>
  <c r="AY23"/>
  <c r="AX23"/>
  <c r="AW23"/>
  <c r="AZ23" s="1"/>
  <c r="BO23" s="1"/>
  <c r="Z26"/>
  <c r="AI24"/>
  <c r="AI25"/>
  <c r="AC24"/>
  <c r="AA24"/>
  <c r="AA25"/>
  <c r="Y24"/>
  <c r="Y25"/>
  <c r="X24"/>
  <c r="X25"/>
  <c r="W24"/>
  <c r="W25"/>
  <c r="V24"/>
  <c r="V25"/>
  <c r="AA23"/>
  <c r="AA26" s="1"/>
  <c r="Y23"/>
  <c r="Y26" s="1"/>
  <c r="X23"/>
  <c r="W23"/>
  <c r="V23"/>
  <c r="AC25" s="1"/>
  <c r="V23" i="12"/>
  <c r="AK25" i="16"/>
  <c r="AD25"/>
  <c r="Y25"/>
  <c r="H25"/>
  <c r="AP24"/>
  <c r="AM24"/>
  <c r="AW24" s="1"/>
  <c r="AK24"/>
  <c r="Y24"/>
  <c r="W24"/>
  <c r="V24"/>
  <c r="L24"/>
  <c r="M24" s="1"/>
  <c r="H24"/>
  <c r="N24" s="1"/>
  <c r="AP23"/>
  <c r="AM23"/>
  <c r="AW23" s="1"/>
  <c r="AK23"/>
  <c r="Y23"/>
  <c r="W23"/>
  <c r="W25" s="1"/>
  <c r="V23"/>
  <c r="V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14"/>
  <c r="AW24"/>
  <c r="AY24" s="1"/>
  <c r="AM24"/>
  <c r="AK24"/>
  <c r="AP24" s="1"/>
  <c r="Y24"/>
  <c r="Y25" s="1"/>
  <c r="W24"/>
  <c r="V24"/>
  <c r="V25" s="1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5" i="13"/>
  <c r="AW24"/>
  <c r="AY24" s="1"/>
  <c r="AM24"/>
  <c r="AK24"/>
  <c r="AP24" s="1"/>
  <c r="Y24"/>
  <c r="X24"/>
  <c r="H24"/>
  <c r="AP23"/>
  <c r="AM23"/>
  <c r="AW23" s="1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H24" i="12"/>
  <c r="L24" s="1"/>
  <c r="M24" s="1"/>
  <c r="H23"/>
  <c r="X23"/>
  <c r="Y23"/>
  <c r="AK23"/>
  <c r="AK25" s="1"/>
  <c r="AM23"/>
  <c r="AW23" s="1"/>
  <c r="X24"/>
  <c r="Y24"/>
  <c r="Y25" s="1"/>
  <c r="AK24"/>
  <c r="AP24" s="1"/>
  <c r="AM24"/>
  <c r="AW24" s="1"/>
  <c r="X25"/>
  <c r="AD25"/>
  <c r="H18"/>
  <c r="H17"/>
  <c r="H16"/>
  <c r="H15"/>
  <c r="H14"/>
  <c r="H13"/>
  <c r="H12"/>
  <c r="H11"/>
  <c r="H10"/>
  <c r="H9"/>
  <c r="H8"/>
  <c r="H7"/>
  <c r="H6"/>
  <c r="H5"/>
  <c r="H4"/>
  <c r="H19" s="1"/>
  <c r="AK24" i="37"/>
  <c r="AD24"/>
  <c r="Y24"/>
  <c r="AM23"/>
  <c r="AW23" s="1"/>
  <c r="AK23"/>
  <c r="AP23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K24" i="11"/>
  <c r="AD24"/>
  <c r="BP23"/>
  <c r="AW23"/>
  <c r="AY23" s="1"/>
  <c r="AM23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4" i="10"/>
  <c r="AA23"/>
  <c r="AK25"/>
  <c r="AD25"/>
  <c r="AW24"/>
  <c r="AY24" s="1"/>
  <c r="AP24"/>
  <c r="AM24"/>
  <c r="AK24"/>
  <c r="Y24"/>
  <c r="X24"/>
  <c r="X25" s="1"/>
  <c r="L24"/>
  <c r="M24" s="1"/>
  <c r="H24"/>
  <c r="AM23"/>
  <c r="AW23" s="1"/>
  <c r="AK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Y24" i="8"/>
  <c r="AW24"/>
  <c r="AY23"/>
  <c r="H25"/>
  <c r="AD25"/>
  <c r="AM24"/>
  <c r="AK24"/>
  <c r="AP24" s="1"/>
  <c r="Y24"/>
  <c r="X24"/>
  <c r="L24"/>
  <c r="M24" s="1"/>
  <c r="H24"/>
  <c r="AM23"/>
  <c r="AW23" s="1"/>
  <c r="AK23"/>
  <c r="AK25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I24" i="7"/>
  <c r="AM24"/>
  <c r="AW24" s="1"/>
  <c r="AK24"/>
  <c r="AP24" s="1"/>
  <c r="Y24"/>
  <c r="X24"/>
  <c r="M24"/>
  <c r="L24"/>
  <c r="H24"/>
  <c r="N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AJ23"/>
  <c r="AJ24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6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5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M35" i="18"/>
  <c r="BN34"/>
  <c r="BM34"/>
  <c r="BM38" s="1"/>
  <c r="BN38" s="1"/>
  <c r="AD26"/>
  <c r="AH26" s="1"/>
  <c r="AM25"/>
  <c r="AK25"/>
  <c r="H25"/>
  <c r="L25" s="1"/>
  <c r="M25" s="1"/>
  <c r="AM24"/>
  <c r="AK24"/>
  <c r="AE24"/>
  <c r="H24"/>
  <c r="L24" s="1"/>
  <c r="M24" s="1"/>
  <c r="AM23"/>
  <c r="AK23"/>
  <c r="AE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Y23" i="48" l="1"/>
  <c r="BP23"/>
  <c r="AO23"/>
  <c r="AJ24"/>
  <c r="N23"/>
  <c r="AK24"/>
  <c r="L23"/>
  <c r="M23" s="1"/>
  <c r="H24"/>
  <c r="I26" s="1"/>
  <c r="AP23" i="47"/>
  <c r="BM36"/>
  <c r="BN36" s="1"/>
  <c r="AJ23"/>
  <c r="AO23" s="1"/>
  <c r="Y24"/>
  <c r="H19"/>
  <c r="N23"/>
  <c r="AW23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AP23" i="40"/>
  <c r="H19"/>
  <c r="AY23"/>
  <c r="BP23"/>
  <c r="AK24"/>
  <c r="N23"/>
  <c r="H24"/>
  <c r="N23" i="23"/>
  <c r="AY24"/>
  <c r="BP24"/>
  <c r="BP23"/>
  <c r="L24"/>
  <c r="M24" s="1"/>
  <c r="N23" i="42"/>
  <c r="AP23"/>
  <c r="H24"/>
  <c r="BP23"/>
  <c r="AK25" i="50"/>
  <c r="AP24"/>
  <c r="BP23"/>
  <c r="AY23"/>
  <c r="AO23"/>
  <c r="AJ24"/>
  <c r="AO24" s="1"/>
  <c r="V25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E24"/>
  <c r="AE25" s="1"/>
  <c r="Y25"/>
  <c r="AY24"/>
  <c r="AY23"/>
  <c r="AJ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N23"/>
  <c r="L24"/>
  <c r="M24" s="1"/>
  <c r="H25"/>
  <c r="AK25"/>
  <c r="L23"/>
  <c r="M23" s="1"/>
  <c r="BP24"/>
  <c r="AY23" i="36"/>
  <c r="BP23"/>
  <c r="N23"/>
  <c r="L24"/>
  <c r="M24" s="1"/>
  <c r="H25"/>
  <c r="AK25"/>
  <c r="L23"/>
  <c r="M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X25" i="34"/>
  <c r="Y25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K24"/>
  <c r="AP23" i="33"/>
  <c r="H19"/>
  <c r="AY23"/>
  <c r="BP23"/>
  <c r="O23"/>
  <c r="P23" s="1"/>
  <c r="Q23" s="1"/>
  <c r="R23" s="1"/>
  <c r="AK24"/>
  <c r="P24" i="32"/>
  <c r="Q24" s="1"/>
  <c r="AJ25"/>
  <c r="AY23"/>
  <c r="O24"/>
  <c r="H25"/>
  <c r="I27" s="1"/>
  <c r="L23"/>
  <c r="M23" s="1"/>
  <c r="N23" s="1"/>
  <c r="BP24"/>
  <c r="AO23" i="31"/>
  <c r="AJ25"/>
  <c r="AY23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N23"/>
  <c r="AW23"/>
  <c r="L24"/>
  <c r="M24" s="1"/>
  <c r="H25"/>
  <c r="I27" s="1"/>
  <c r="AJ25"/>
  <c r="L23"/>
  <c r="M23" s="1"/>
  <c r="AO24" i="67"/>
  <c r="AE25"/>
  <c r="BM37"/>
  <c r="BN37" s="1"/>
  <c r="H19"/>
  <c r="AP23"/>
  <c r="AG25"/>
  <c r="N23"/>
  <c r="AY24"/>
  <c r="AY23"/>
  <c r="AJ23"/>
  <c r="N24"/>
  <c r="H25"/>
  <c r="I27" s="1"/>
  <c r="BP23"/>
  <c r="AB23" i="18"/>
  <c r="AB26" s="1"/>
  <c r="AB24"/>
  <c r="AB25"/>
  <c r="AK26"/>
  <c r="AP25"/>
  <c r="H19"/>
  <c r="X26"/>
  <c r="AP24"/>
  <c r="AG25"/>
  <c r="AE25"/>
  <c r="AE26" s="1"/>
  <c r="AH23"/>
  <c r="AH24"/>
  <c r="H26"/>
  <c r="I28" s="1"/>
  <c r="AG23"/>
  <c r="AG24"/>
  <c r="AH25"/>
  <c r="N25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AO23" i="6"/>
  <c r="AB23"/>
  <c r="AB24" s="1"/>
  <c r="N23"/>
  <c r="AW23"/>
  <c r="H24"/>
  <c r="P23" i="48" l="1"/>
  <c r="Q23" s="1"/>
  <c r="O23"/>
  <c r="R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40"/>
  <c r="P23" s="1"/>
  <c r="Q23" s="1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R24" s="1"/>
  <c r="S24" s="1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3" s="1"/>
  <c r="P23"/>
  <c r="Q23" s="1"/>
  <c r="R24"/>
  <c r="S24" s="1"/>
  <c r="P24" i="31"/>
  <c r="Q24" s="1"/>
  <c r="O24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R24" s="1"/>
  <c r="S24" s="1"/>
  <c r="P24"/>
  <c r="Q24" s="1"/>
  <c r="O23"/>
  <c r="AG25" i="29"/>
  <c r="AJ23"/>
  <c r="AE25"/>
  <c r="O23"/>
  <c r="P23" s="1"/>
  <c r="Q23" s="1"/>
  <c r="N24"/>
  <c r="O23" i="28"/>
  <c r="N24"/>
  <c r="O23" i="21"/>
  <c r="P23"/>
  <c r="Q23" s="1"/>
  <c r="R23" s="1"/>
  <c r="BP23"/>
  <c r="AY23"/>
  <c r="N24"/>
  <c r="O24" i="67"/>
  <c r="AO23"/>
  <c r="AJ25"/>
  <c r="O23"/>
  <c r="P23" s="1"/>
  <c r="Q23" s="1"/>
  <c r="AC23" i="18"/>
  <c r="AC26" s="1"/>
  <c r="AG26"/>
  <c r="AJ24"/>
  <c r="AO24" s="1"/>
  <c r="AJ25"/>
  <c r="AO25" s="1"/>
  <c r="AJ23"/>
  <c r="O24"/>
  <c r="P24" s="1"/>
  <c r="Q24" s="1"/>
  <c r="O25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P24"/>
  <c r="Q24" s="1"/>
  <c r="O23"/>
  <c r="O23" i="6"/>
  <c r="BP23"/>
  <c r="AY23"/>
  <c r="R24" i="48" l="1"/>
  <c r="I27" s="1"/>
  <c r="S23"/>
  <c r="R23" i="47"/>
  <c r="R23" i="46"/>
  <c r="R23" i="45"/>
  <c r="R23" i="44"/>
  <c r="AI23" i="43"/>
  <c r="X23"/>
  <c r="AA23"/>
  <c r="R23" i="40"/>
  <c r="O24" i="23"/>
  <c r="P24" s="1"/>
  <c r="Q24" s="1"/>
  <c r="R23"/>
  <c r="P23" i="42"/>
  <c r="Q23" s="1"/>
  <c r="R23" s="1"/>
  <c r="S23" i="50"/>
  <c r="R24"/>
  <c r="S24" s="1"/>
  <c r="R23" i="53"/>
  <c r="S23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R24" i="39"/>
  <c r="S24" s="1"/>
  <c r="O23"/>
  <c r="P24"/>
  <c r="Q24" s="1"/>
  <c r="R23" i="38"/>
  <c r="O24"/>
  <c r="P23"/>
  <c r="Q23" s="1"/>
  <c r="R23" i="36"/>
  <c r="O24"/>
  <c r="P23"/>
  <c r="Q23" s="1"/>
  <c r="R23" i="57"/>
  <c r="S23" i="35"/>
  <c r="O24"/>
  <c r="P24" s="1"/>
  <c r="Q24" s="1"/>
  <c r="O24" i="34"/>
  <c r="P24"/>
  <c r="Q24" s="1"/>
  <c r="O23"/>
  <c r="AI24" i="54"/>
  <c r="AN24" s="1"/>
  <c r="X24"/>
  <c r="AB24" s="1"/>
  <c r="AA24"/>
  <c r="AC24"/>
  <c r="R23"/>
  <c r="AI23" i="59"/>
  <c r="X23"/>
  <c r="AA23"/>
  <c r="R24" i="52"/>
  <c r="S24" s="1"/>
  <c r="R23"/>
  <c r="P23"/>
  <c r="Q23" s="1"/>
  <c r="P24"/>
  <c r="Q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R25" i="32"/>
  <c r="I28" s="1"/>
  <c r="S23"/>
  <c r="AA24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AB24" s="1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P24"/>
  <c r="Q24" s="1"/>
  <c r="O24"/>
  <c r="R23" i="67"/>
  <c r="R24"/>
  <c r="S24" s="1"/>
  <c r="P24"/>
  <c r="Q24" s="1"/>
  <c r="AO23" i="18"/>
  <c r="AJ26"/>
  <c r="R24"/>
  <c r="S24" s="1"/>
  <c r="P25"/>
  <c r="Q25" s="1"/>
  <c r="R25" s="1"/>
  <c r="S25" s="1"/>
  <c r="P23"/>
  <c r="Q23" s="1"/>
  <c r="R23" s="1"/>
  <c r="AI24" i="16"/>
  <c r="AN24" s="1"/>
  <c r="X24"/>
  <c r="AB24" s="1"/>
  <c r="AA24"/>
  <c r="AC24"/>
  <c r="R25"/>
  <c r="S23"/>
  <c r="P23" i="15"/>
  <c r="Q23" s="1"/>
  <c r="R23" s="1"/>
  <c r="R23" i="14"/>
  <c r="P23"/>
  <c r="Q23" s="1"/>
  <c r="R24"/>
  <c r="S24" s="1"/>
  <c r="P24"/>
  <c r="Q24" s="1"/>
  <c r="O23" i="13"/>
  <c r="R24"/>
  <c r="S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R23" i="8"/>
  <c r="R25" s="1"/>
  <c r="R24"/>
  <c r="S24" s="1"/>
  <c r="P24"/>
  <c r="Q24" s="1"/>
  <c r="AG24" i="7"/>
  <c r="AJ24" s="1"/>
  <c r="AO24" s="1"/>
  <c r="V24"/>
  <c r="AB24" s="1"/>
  <c r="AH24"/>
  <c r="W24"/>
  <c r="AN24"/>
  <c r="AA24"/>
  <c r="AC24"/>
  <c r="AE24"/>
  <c r="R23"/>
  <c r="P23"/>
  <c r="Q23" s="1"/>
  <c r="R23" i="6"/>
  <c r="P23"/>
  <c r="Q23" s="1"/>
  <c r="AA23" i="48" l="1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4" i="40"/>
  <c r="S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AB24" s="1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AC24"/>
  <c r="V24"/>
  <c r="W24"/>
  <c r="AI24"/>
  <c r="AN24" s="1"/>
  <c r="AR24" s="1"/>
  <c r="AX24" s="1"/>
  <c r="AZ24" s="1"/>
  <c r="BO24" s="1"/>
  <c r="AA24"/>
  <c r="AN24" i="18"/>
  <c r="AR24" s="1"/>
  <c r="R26"/>
  <c r="I29" s="1"/>
  <c r="S23"/>
  <c r="AN25"/>
  <c r="AR25" s="1"/>
  <c r="AI23" i="16"/>
  <c r="X23"/>
  <c r="S25"/>
  <c r="AA23"/>
  <c r="AA25" s="1"/>
  <c r="AG23"/>
  <c r="AE23"/>
  <c r="AE25" s="1"/>
  <c r="R24" i="15"/>
  <c r="S23"/>
  <c r="AI24" i="14"/>
  <c r="AN24" s="1"/>
  <c r="X24"/>
  <c r="AA24"/>
  <c r="AC24"/>
  <c r="R25"/>
  <c r="S23"/>
  <c r="W24" i="13"/>
  <c r="AI24"/>
  <c r="AN24" s="1"/>
  <c r="AA24"/>
  <c r="AC24"/>
  <c r="V24"/>
  <c r="R23"/>
  <c r="P23"/>
  <c r="Q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V24" i="8"/>
  <c r="W24"/>
  <c r="AC24"/>
  <c r="AI24"/>
  <c r="AN24" s="1"/>
  <c r="AA24"/>
  <c r="S23"/>
  <c r="S25" s="1"/>
  <c r="AR24" i="7"/>
  <c r="AX24" s="1"/>
  <c r="AZ24" s="1"/>
  <c r="BO24" s="1"/>
  <c r="R25"/>
  <c r="S23"/>
  <c r="R24" i="6"/>
  <c r="S23"/>
  <c r="AB23" i="48" l="1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AH23" i="45"/>
  <c r="AH24" s="1"/>
  <c r="W23"/>
  <c r="W24" s="1"/>
  <c r="S24"/>
  <c r="AE23" s="1"/>
  <c r="AE24" s="1"/>
  <c r="AI23"/>
  <c r="V23"/>
  <c r="AA23"/>
  <c r="AA24" s="1"/>
  <c r="AE23" i="44"/>
  <c r="AE24" s="1"/>
  <c r="AG23"/>
  <c r="V23"/>
  <c r="AH23"/>
  <c r="AH24" s="1"/>
  <c r="W23"/>
  <c r="W24" s="1"/>
  <c r="S24"/>
  <c r="AI23"/>
  <c r="AA23"/>
  <c r="AA24" i="43"/>
  <c r="S24"/>
  <c r="AC23"/>
  <c r="AC24" s="1"/>
  <c r="V23" i="42"/>
  <c r="V24" s="1"/>
  <c r="W23"/>
  <c r="W24" s="1"/>
  <c r="V23" i="40"/>
  <c r="W23"/>
  <c r="W24" s="1"/>
  <c r="AI23"/>
  <c r="S24"/>
  <c r="AE23" s="1"/>
  <c r="AE24" s="1"/>
  <c r="AA23"/>
  <c r="AA24" i="23"/>
  <c r="AI24"/>
  <c r="AN24" s="1"/>
  <c r="W24"/>
  <c r="V24"/>
  <c r="AC24"/>
  <c r="AA23"/>
  <c r="S25"/>
  <c r="AE24" s="1"/>
  <c r="AI23"/>
  <c r="W23"/>
  <c r="W25" s="1"/>
  <c r="V23"/>
  <c r="AG23"/>
  <c r="AH23" i="42"/>
  <c r="AH24" s="1"/>
  <c r="S24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A23"/>
  <c r="AE23"/>
  <c r="AE25" s="1"/>
  <c r="AG23"/>
  <c r="AH23"/>
  <c r="AH25" s="1"/>
  <c r="AH24"/>
  <c r="AI24"/>
  <c r="AN24" s="1"/>
  <c r="X24"/>
  <c r="AB24" s="1"/>
  <c r="AA24"/>
  <c r="AC24"/>
  <c r="AE24"/>
  <c r="AG24"/>
  <c r="AJ24" s="1"/>
  <c r="AO24" s="1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A23"/>
  <c r="AA25" s="1"/>
  <c r="AG23"/>
  <c r="V23"/>
  <c r="AH23"/>
  <c r="AH25" s="1"/>
  <c r="W23"/>
  <c r="W25" s="1"/>
  <c r="V23" i="29"/>
  <c r="W23"/>
  <c r="AI23"/>
  <c r="S25"/>
  <c r="I29" s="1"/>
  <c r="AA23"/>
  <c r="AA25" s="1"/>
  <c r="R25"/>
  <c r="I28" s="1"/>
  <c r="AA24"/>
  <c r="AC24"/>
  <c r="V24"/>
  <c r="AB24" s="1"/>
  <c r="W24"/>
  <c r="AI24"/>
  <c r="AN24" s="1"/>
  <c r="AR24" s="1"/>
  <c r="AX24" s="1"/>
  <c r="AZ24" s="1"/>
  <c r="BO24" s="1"/>
  <c r="S24" i="28"/>
  <c r="R25"/>
  <c r="AI23"/>
  <c r="S25"/>
  <c r="AA23"/>
  <c r="AE23"/>
  <c r="AE25" s="1"/>
  <c r="AG23"/>
  <c r="V23"/>
  <c r="AH23"/>
  <c r="AH25" s="1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W26"/>
  <c r="S26"/>
  <c r="I30" s="1"/>
  <c r="I31"/>
  <c r="V26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AH23" i="15"/>
  <c r="AH24" s="1"/>
  <c r="W23"/>
  <c r="W24" s="1"/>
  <c r="S24"/>
  <c r="AG23" s="1"/>
  <c r="AI23"/>
  <c r="V23"/>
  <c r="AA23"/>
  <c r="AA24" s="1"/>
  <c r="AE23"/>
  <c r="AE24" s="1"/>
  <c r="AB24" i="14"/>
  <c r="AI23"/>
  <c r="X23"/>
  <c r="S25"/>
  <c r="AE23" s="1"/>
  <c r="AE25" s="1"/>
  <c r="AA23"/>
  <c r="AA25" s="1"/>
  <c r="AH23"/>
  <c r="AH25" s="1"/>
  <c r="AB24" i="13"/>
  <c r="R25"/>
  <c r="S23"/>
  <c r="R25" i="12"/>
  <c r="S23"/>
  <c r="AB24"/>
  <c r="AE23" i="37"/>
  <c r="AE24" s="1"/>
  <c r="AJ23"/>
  <c r="AG24"/>
  <c r="AI24"/>
  <c r="AN23"/>
  <c r="V24"/>
  <c r="AB23"/>
  <c r="AI23" i="11"/>
  <c r="S24"/>
  <c r="AE23" s="1"/>
  <c r="AE24" s="1"/>
  <c r="AH23"/>
  <c r="AH24" s="1"/>
  <c r="AA23"/>
  <c r="AA24" s="1"/>
  <c r="W23"/>
  <c r="W24" s="1"/>
  <c r="AG23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H23" s="1"/>
  <c r="AH25" s="1"/>
  <c r="AI23"/>
  <c r="AA23"/>
  <c r="AE23" i="6"/>
  <c r="AG23"/>
  <c r="AG24" s="1"/>
  <c r="AH23"/>
  <c r="AH24" s="1"/>
  <c r="S24"/>
  <c r="AI23"/>
  <c r="AC23"/>
  <c r="AC24" s="1"/>
  <c r="AB24" i="48" l="1"/>
  <c r="I29" s="1"/>
  <c r="I30" s="1"/>
  <c r="AC23"/>
  <c r="AC24" s="1"/>
  <c r="W24" i="47"/>
  <c r="AB23"/>
  <c r="V24"/>
  <c r="AI24"/>
  <c r="AN23"/>
  <c r="AR23" s="1"/>
  <c r="AX23" s="1"/>
  <c r="AZ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G23" i="40"/>
  <c r="AJ23" s="1"/>
  <c r="AH23"/>
  <c r="AH24" s="1"/>
  <c r="AB23"/>
  <c r="V24"/>
  <c r="AI24"/>
  <c r="AN23"/>
  <c r="AG25" i="23"/>
  <c r="AE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E23"/>
  <c r="AE25" s="1"/>
  <c r="AI24" i="38"/>
  <c r="AN24" s="1"/>
  <c r="X24"/>
  <c r="AB24" s="1"/>
  <c r="AA24"/>
  <c r="AC24"/>
  <c r="AG24"/>
  <c r="AA25"/>
  <c r="AN23"/>
  <c r="AI25"/>
  <c r="X25"/>
  <c r="AB23"/>
  <c r="S25"/>
  <c r="AH24" s="1"/>
  <c r="X25" i="36"/>
  <c r="AB23"/>
  <c r="AR24"/>
  <c r="AX24" s="1"/>
  <c r="AZ24" s="1"/>
  <c r="BO24" s="1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AE24"/>
  <c r="AG24"/>
  <c r="S25"/>
  <c r="AC23"/>
  <c r="AB24" i="34"/>
  <c r="AI23"/>
  <c r="AG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J24" s="1"/>
  <c r="AO24" s="1"/>
  <c r="AR24" s="1"/>
  <c r="AX24" s="1"/>
  <c r="AZ24" s="1"/>
  <c r="BO24" s="1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AJ24" s="1"/>
  <c r="AO24" s="1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I32" i="18"/>
  <c r="AN23"/>
  <c r="AR23" s="1"/>
  <c r="AI26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5"/>
  <c r="AG24"/>
  <c r="AJ24" s="1"/>
  <c r="AO24" s="1"/>
  <c r="AR24" s="1"/>
  <c r="AX24" s="1"/>
  <c r="AZ24" s="1"/>
  <c r="BO24" s="1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B24" i="47" l="1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R23" i="44"/>
  <c r="AX23" s="1"/>
  <c r="AZ23" s="1"/>
  <c r="BO23" s="1"/>
  <c r="AB24"/>
  <c r="AC23"/>
  <c r="AC24" s="1"/>
  <c r="AO23"/>
  <c r="AJ24"/>
  <c r="AJ23" i="43"/>
  <c r="AG24"/>
  <c r="AG24" i="40"/>
  <c r="AJ24"/>
  <c r="AO23"/>
  <c r="AR23" s="1"/>
  <c r="AX23" s="1"/>
  <c r="AZ23" s="1"/>
  <c r="BO23" s="1"/>
  <c r="AB24"/>
  <c r="AC23"/>
  <c r="AC24" s="1"/>
  <c r="AB25" i="23"/>
  <c r="AC23"/>
  <c r="AC25" s="1"/>
  <c r="AJ23"/>
  <c r="AJ24"/>
  <c r="AO24" s="1"/>
  <c r="AR24" s="1"/>
  <c r="AX24" s="1"/>
  <c r="AZ24" s="1"/>
  <c r="BO24" s="1"/>
  <c r="AR23" i="42"/>
  <c r="AX23" s="1"/>
  <c r="AZ23" s="1"/>
  <c r="BO23" s="1"/>
  <c r="AJ24"/>
  <c r="AO23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J24" i="38"/>
  <c r="AO24" s="1"/>
  <c r="AR24" s="1"/>
  <c r="AX24" s="1"/>
  <c r="AZ24" s="1"/>
  <c r="BO24" s="1"/>
  <c r="AB25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E24" s="1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J25"/>
  <c r="AR24"/>
  <c r="AX24" s="1"/>
  <c r="AZ24" s="1"/>
  <c r="BO24" s="1"/>
  <c r="AC23"/>
  <c r="AC25" s="1"/>
  <c r="AB24"/>
  <c r="AB25" s="1"/>
  <c r="AR23"/>
  <c r="AX23" s="1"/>
  <c r="AZ23" s="1"/>
  <c r="BO23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R23"/>
  <c r="AX23" s="1"/>
  <c r="AZ23" s="1"/>
  <c r="BO23" s="1"/>
  <c r="AO23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J23" s="1"/>
  <c r="AG24"/>
  <c r="AH24"/>
  <c r="AE24"/>
  <c r="AB23"/>
  <c r="V25"/>
  <c r="AN23"/>
  <c r="AI25"/>
  <c r="AH23"/>
  <c r="AH25" s="1"/>
  <c r="AR23" i="11"/>
  <c r="AX23" s="1"/>
  <c r="AZ23" s="1"/>
  <c r="BO23" s="1"/>
  <c r="AB24"/>
  <c r="AC23"/>
  <c r="AC24" s="1"/>
  <c r="AO23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J24" i="46" l="1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O23"/>
  <c r="AR23" s="1"/>
  <c r="AX23" s="1"/>
  <c r="AZ23" s="1"/>
  <c r="BO23" s="1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O23" i="39" l="1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<sst xmlns="http://schemas.openxmlformats.org/spreadsheetml/2006/main" count="11616" uniqueCount="555">
  <si>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</si>
  <si>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</si>
  <si>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</si>
  <si>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</si>
  <si>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</si>
  <si>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</si>
  <si>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</si>
  <si>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</si>
  <si>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</si>
  <si>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</si>
  <si>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</si>
  <si>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</si>
  <si>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</si>
  <si>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</si>
  <si>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</si>
  <si>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</si>
  <si>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</si>
  <si>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</si>
  <si>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</si>
  <si>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</si>
  <si>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</si>
  <si>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</si>
  <si>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</si>
  <si>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</si>
  <si>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</si>
  <si>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</si>
  <si>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</si>
  <si>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</si>
  <si>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</si>
  <si>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</si>
  <si>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</si>
  <si>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</si>
  <si>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</si>
  <si>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</si>
  <si>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</si>
  <si>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</si>
  <si>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</si>
  <si>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</si>
  <si>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</si>
  <si>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</si>
  <si>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</si>
  <si>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</si>
  <si>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</si>
  <si>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</si>
  <si>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</si>
  <si>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</si>
  <si>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</si>
  <si>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</si>
  <si>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</si>
  <si>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</si>
  <si>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</si>
  <si>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</si>
  <si>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</si>
  <si>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</si>
  <si>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</si>
  <si>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</si>
  <si>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</si>
  <si>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</si>
  <si>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</si>
  <si>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</si>
  <si>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</si>
  <si>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</si>
  <si>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</si>
  <si>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</si>
  <si>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</si>
  <si>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</si>
  <si>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</si>
  <si>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</si>
  <si>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</si>
  <si>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</si>
  <si>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</si>
  <si>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</si>
  <si>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</si>
  <si>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</si>
  <si>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</si>
  <si>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</si>
  <si>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</si>
  <si>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</si>
  <si>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</si>
  <si>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</si>
  <si>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</si>
  <si>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</si>
  <si>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</si>
  <si>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</si>
  <si>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</si>
  <si>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</si>
  <si>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</si>
  <si>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</si>
  <si>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</si>
  <si>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</si>
  <si>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</si>
  <si>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</si>
  <si>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</si>
  <si>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</si>
  <si>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</si>
  <si>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</si>
  <si>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</si>
  <si>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</si>
  <si>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</si>
  <si>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</si>
  <si>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</si>
  <si>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</si>
  <si>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</si>
  <si>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</si>
  <si>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</si>
  <si>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</si>
  <si>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</si>
  <si>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</si>
  <si>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</si>
  <si>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</si>
  <si>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</si>
  <si>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</si>
  <si>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</si>
  <si>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</si>
  <si>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</si>
  <si>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</si>
  <si>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</si>
  <si>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</si>
  <si>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</si>
  <si>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</si>
  <si>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</si>
  <si>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</si>
  <si>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</si>
  <si>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</si>
  <si>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</si>
  <si>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</si>
  <si>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</si>
  <si>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</si>
  <si>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</si>
  <si>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</si>
  <si>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</si>
  <si>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</si>
  <si>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</si>
  <si>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</si>
  <si>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</si>
  <si>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</si>
  <si>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</si>
  <si>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</si>
  <si>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</si>
  <si>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</si>
  <si>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</si>
  <si>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</si>
  <si>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</si>
  <si>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</si>
  <si>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</si>
  <si>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</si>
  <si>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</si>
  <si>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</si>
  <si>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</si>
  <si>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</si>
  <si>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</si>
  <si>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</si>
  <si>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</si>
  <si>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</si>
  <si>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</si>
  <si>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</si>
  <si>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</si>
  <si>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</si>
  <si>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</si>
  <si>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</si>
  <si>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</si>
  <si>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</si>
  <si>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</si>
  <si>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</si>
  <si>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</si>
  <si>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</si>
  <si>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</si>
  <si>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</si>
  <si>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</si>
  <si>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</si>
  <si>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</si>
  <si>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</si>
  <si>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</si>
  <si>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</si>
  <si>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</si>
  <si>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</si>
  <si>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</si>
  <si>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</si>
  <si>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</si>
  <si>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</si>
  <si>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</si>
  <si>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</si>
  <si>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</si>
  <si>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</si>
  <si>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</si>
  <si>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</si>
  <si>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</si>
  <si>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</si>
  <si>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</si>
  <si>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</si>
  <si>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</si>
  <si>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</si>
  <si>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</si>
  <si>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</si>
  <si>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</si>
  <si>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</si>
  <si>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</si>
  <si>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</si>
  <si>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</si>
  <si>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</si>
  <si>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</si>
  <si>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</si>
  <si>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</si>
  <si>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</si>
  <si>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</si>
  <si>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</si>
  <si>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</si>
  <si>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</si>
  <si>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</si>
  <si>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</si>
  <si>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GWL_SERVICES_02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</si>
  <si>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</si>
  <si>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</si>
  <si>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</si>
  <si>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</si>
  <si>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</si>
  <si>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</si>
  <si>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</si>
  <si>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</si>
  <si>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</si>
  <si>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</si>
  <si>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</si>
  <si>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</si>
  <si>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</si>
  <si>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</si>
  <si>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</si>
  <si>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</si>
  <si>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</si>
  <si>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</si>
  <si>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</si>
  <si>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</si>
  <si>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</si>
  <si>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</si>
  <si>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</si>
  <si>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</si>
  <si>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</si>
  <si>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</si>
  <si>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</si>
  <si>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</si>
  <si>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TVS-SIM-204686</t>
  </si>
  <si>
    <t>234.33</t>
  </si>
  <si>
    <t>TVS-SIM-293931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</si>
  <si>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</si>
  <si>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</si>
  <si>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</si>
  <si>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</si>
  <si>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</si>
  <si>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</si>
  <si>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</si>
  <si>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</si>
  <si>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</si>
  <si>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</si>
  <si>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</si>
  <si>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</si>
  <si>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</si>
  <si>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</si>
  <si>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</si>
  <si>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</si>
  <si>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</si>
  <si>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TVS-SER-10005</t>
  </si>
  <si>
    <t>TVS-SIM-599803</t>
  </si>
  <si>
    <t>TVS-SIM-050035</t>
  </si>
  <si>
    <t>345</t>
  </si>
  <si>
    <t>TVS-RM-KDConvers-222</t>
  </si>
  <si>
    <t>487.4072</t>
  </si>
  <si>
    <t>RM KD</t>
  </si>
  <si>
    <t>TVS-RM-KDConvers-223</t>
  </si>
  <si>
    <t>HSN2</t>
  </si>
  <si>
    <t>355.91161</t>
  </si>
  <si>
    <t>TVS-RM-KDConvers-224</t>
  </si>
  <si>
    <t>HSN3</t>
  </si>
  <si>
    <t>RMN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</si>
  <si>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</si>
  <si>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</si>
  <si>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</si>
  <si>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</si>
  <si>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</si>
  <si>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</si>
  <si>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</si>
  <si>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</si>
  <si>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</si>
  <si>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</si>
  <si>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</si>
  <si>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</si>
  <si>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</si>
  <si>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</si>
  <si>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</si>
  <si>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</si>
  <si>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</si>
  <si>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</si>
  <si>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</si>
  <si>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</si>
  <si>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</si>
  <si>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</si>
  <si>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</si>
  <si>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</si>
  <si>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</si>
  <si>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</si>
  <si>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KD-DISS-989200</t>
  </si>
  <si>
    <t>12.5</t>
  </si>
  <si>
    <t>KD-DISS-989201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</si>
  <si>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</si>
  <si>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</si>
  <si>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</si>
  <si>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</si>
  <si>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</si>
  <si>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</si>
  <si>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</si>
  <si>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</si>
  <si>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</si>
  <si>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TVS-SIM-135256</t>
  </si>
  <si>
    <t>10</t>
  </si>
  <si>
    <t>TVS-SIM-135400</t>
  </si>
  <si>
    <t>235.26667</t>
  </si>
  <si>
    <t>TVS-SIM-135410</t>
  </si>
  <si>
    <t>2.34</t>
  </si>
  <si>
    <t>TVS-SIM-135411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</si>
  <si>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</si>
  <si>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</si>
  <si>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</si>
  <si>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</si>
  <si>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</si>
  <si>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</si>
  <si>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</si>
  <si>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</si>
  <si>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TVS-SIM-135431</t>
  </si>
  <si>
    <t>TVS-SIM-135432</t>
  </si>
  <si>
    <t>TVS-DIS-632351</t>
  </si>
  <si>
    <t>187.2776</t>
  </si>
  <si>
    <t>TVS-DIS-051586</t>
  </si>
  <si>
    <t>28</t>
  </si>
  <si>
    <t>187.27786</t>
  </si>
  <si>
    <t>KD-DISS-126600</t>
  </si>
  <si>
    <t>KD-DISS-126601</t>
  </si>
  <si>
    <t>KD-DISS-126640</t>
  </si>
  <si>
    <t>KD-DISS-126641</t>
  </si>
  <si>
    <t>2.5</t>
  </si>
  <si>
    <t>KD-DISS-126700</t>
  </si>
  <si>
    <t>KD-DISS-126701</t>
  </si>
  <si>
    <t>TVS-SIM-799722</t>
  </si>
  <si>
    <t>TVS-SIM-741823</t>
  </si>
  <si>
    <t>INS.WH7</t>
  </si>
  <si>
    <t>RM7</t>
  </si>
  <si>
    <t>TVS-SIM-743669</t>
  </si>
  <si>
    <t>TVS-SIM-975953</t>
  </si>
  <si>
    <t>TVS-SIM-003386</t>
  </si>
  <si>
    <t>TVS-SIM-446217</t>
  </si>
  <si>
    <t>TVS-SIM-059311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</si>
  <si>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</si>
  <si>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</si>
  <si>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</si>
  <si>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</si>
  <si>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</si>
  <si>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</si>
  <si>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</si>
  <si>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</si>
  <si>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</si>
  <si>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</si>
  <si>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</si>
  <si>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</si>
  <si>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</si>
  <si>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</si>
  <si>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</si>
  <si>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</si>
  <si>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</si>
  <si>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</si>
  <si>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</si>
  <si>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</si>
  <si>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</si>
  <si>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</si>
  <si>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</si>
  <si>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</si>
  <si>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</si>
  <si>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</si>
  <si>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</si>
  <si>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</si>
  <si>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</si>
  <si>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</si>
  <si>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</si>
  <si>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</si>
  <si>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</si>
  <si>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</si>
  <si>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</si>
  <si>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</si>
  <si>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</si>
  <si>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</si>
  <si>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</si>
  <si>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</si>
  <si>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</si>
  <si>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</si>
  <si>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</si>
  <si>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</si>
  <si>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</si>
  <si>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</si>
  <si>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PK-SER-MAC-50001</t>
  </si>
  <si>
    <t>PK-NA-MAC-50001</t>
  </si>
  <si>
    <t>250</t>
  </si>
  <si>
    <t>234.6</t>
  </si>
  <si>
    <t>215.105</t>
  </si>
  <si>
    <t>30</t>
  </si>
  <si>
    <t>330.98625</t>
  </si>
  <si>
    <t>24</t>
  </si>
  <si>
    <t>269.19614</t>
  </si>
  <si>
    <t>TVS-SIM-976756</t>
  </si>
  <si>
    <t>3.2</t>
  </si>
  <si>
    <t>455</t>
  </si>
  <si>
    <t>1243</t>
  </si>
  <si>
    <t>74</t>
  </si>
  <si>
    <t>1142</t>
  </si>
  <si>
    <t>104</t>
  </si>
  <si>
    <t>52</t>
  </si>
  <si>
    <t>675</t>
  </si>
  <si>
    <t>1.34</t>
  </si>
  <si>
    <t>323.75</t>
  </si>
  <si>
    <t>455.67</t>
  </si>
  <si>
    <t>0.0847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</si>
  <si>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</si>
  <si>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</si>
  <si>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</si>
  <si>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</si>
  <si>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</si>
  <si>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</si>
  <si>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</si>
  <si>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</si>
  <si>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</si>
  <si>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</si>
  <si>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</si>
  <si>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</si>
  <si>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</si>
  <si>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</si>
  <si>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</si>
  <si>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</si>
  <si>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</si>
  <si>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</si>
  <si>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</si>
  <si>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</si>
  <si>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</si>
  <si>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</si>
  <si>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</si>
  <si>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</si>
  <si>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</si>
  <si>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</si>
  <si>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</si>
  <si>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</si>
  <si>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</si>
  <si>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</si>
  <si>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</si>
  <si>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</si>
  <si>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</si>
  <si>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</si>
  <si>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</si>
  <si>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</si>
  <si>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</si>
  <si>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</si>
  <si>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</si>
  <si>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</si>
  <si>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</si>
  <si>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</si>
  <si>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</si>
  <si>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</si>
  <si>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</si>
  <si>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</si>
  <si>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</si>
  <si>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</si>
  <si>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</si>
  <si>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</si>
  <si>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</si>
  <si>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</si>
  <si>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282.79313</t>
  </si>
  <si>
    <t>144.38898</t>
  </si>
  <si>
    <t>26</t>
  </si>
  <si>
    <t>270.24206</t>
  </si>
  <si>
    <t>338</t>
  </si>
  <si>
    <t>123.62281</t>
  </si>
  <si>
    <t>56</t>
  </si>
  <si>
    <t>75</t>
  </si>
  <si>
    <t>84</t>
  </si>
  <si>
    <t>87.5</t>
  </si>
  <si>
    <t>98</t>
  </si>
  <si>
    <t>22</t>
  </si>
  <si>
    <t>319.51</t>
  </si>
  <si>
    <t>319.81167</t>
  </si>
  <si>
    <t>236</t>
  </si>
  <si>
    <t>2.89</t>
  </si>
  <si>
    <t>453</t>
  </si>
  <si>
    <t>293</t>
  </si>
  <si>
    <t>3453</t>
  </si>
  <si>
    <t>215.10475</t>
  </si>
  <si>
    <t>1186.97214</t>
  </si>
  <si>
    <t>248.17418</t>
  </si>
  <si>
    <t>1162.36484</t>
  </si>
  <si>
    <t>355</t>
  </si>
  <si>
    <t>247.59173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</si>
  <si>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</si>
  <si>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</si>
  <si>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</si>
  <si>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</si>
  <si>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</si>
  <si>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</si>
  <si>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</si>
  <si>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</si>
  <si>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</si>
  <si>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</si>
  <si>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</si>
  <si>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</si>
  <si>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</si>
  <si>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</si>
  <si>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</si>
  <si>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337.5</t>
  </si>
  <si>
    <t>302.4</t>
  </si>
  <si>
    <t>999000</t>
  </si>
  <si>
    <t>1186.87507</t>
  </si>
  <si>
    <t>248.12541</t>
  </si>
  <si>
    <t>1162.57255</t>
  </si>
  <si>
    <t>357</t>
  </si>
  <si>
    <t>247.59472</t>
  </si>
  <si>
    <t>112.5</t>
  </si>
  <si>
    <t>126</t>
  </si>
  <si>
    <t>35</t>
  </si>
  <si>
    <t>200.08971</t>
  </si>
  <si>
    <t>224.82864</t>
  </si>
  <si>
    <t>224.94784</t>
  </si>
  <si>
    <t>214.89615</t>
  </si>
  <si>
    <t>88.667</t>
  </si>
  <si>
    <t>939.07079</t>
  </si>
  <si>
    <t>793.335</t>
  </si>
  <si>
    <t>181.56917</t>
  </si>
  <si>
    <t>TVS-RM-KDK-20</t>
  </si>
  <si>
    <t>14090</t>
  </si>
  <si>
    <t>121.18128</t>
  </si>
  <si>
    <t>687</t>
  </si>
  <si>
    <t>147.00901</t>
  </si>
  <si>
    <t>TVS-RM-KDK-20 RateContract</t>
  </si>
  <si>
    <t>200</t>
  </si>
  <si>
    <t>177</t>
  </si>
  <si>
    <t>1.25</t>
  </si>
  <si>
    <t>TVS-RM-KDK-20 PriceList</t>
  </si>
  <si>
    <t>185.81481</t>
  </si>
  <si>
    <t>184.66239</t>
  </si>
  <si>
    <t>KD-DISS-UOM-10001-Rate Contract</t>
  </si>
  <si>
    <t>56.472</t>
  </si>
  <si>
    <t>KD-DISS-UOM-10001-PriceList</t>
  </si>
  <si>
    <t>121.34054</t>
  </si>
  <si>
    <t>705</t>
  </si>
  <si>
    <t>146.35194</t>
  </si>
  <si>
    <t>187.7348</t>
  </si>
  <si>
    <t>41</t>
  </si>
  <si>
    <t>188.18532</t>
  </si>
  <si>
    <t>185.20249</t>
  </si>
  <si>
    <t>186.89419</t>
  </si>
  <si>
    <t>171.667</t>
  </si>
  <si>
    <t>56.8465</t>
  </si>
  <si>
    <t>57.048</t>
  </si>
  <si>
    <t>42</t>
  </si>
  <si>
    <t>57.04095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</si>
</sst>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0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9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6" fillId="0" borderId="0">
      <alignment vertical="center"/>
    </xf>
    <xf numFmtId="0" fontId="6" fillId="0" borderId="0">
      <alignment vertical="center"/>
    </xf>
  </cellStyleXfs>
  <cellXfs count="17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3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18" xfId="0" applyFont="1" applyFill="1" applyBorder="1"/>
    <xf numFmtId="0" fontId="3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19" xfId="0" applyFont="1" applyFill="1" applyBorder="1"/>
    <xf numFmtId="0" fontId="5" fillId="10" borderId="19" xfId="0" applyFont="1" applyFill="1" applyBorder="1"/>
    <xf numFmtId="0" fontId="2" fillId="2" borderId="13" xfId="0" applyFont="1" applyFill="1" applyBorder="1" applyAlignment="1">
      <alignment horizontal="center" vertical="center"/>
    </xf>
    <xf numFmtId="0" fontId="2" fillId="3" borderId="21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3" fillId="0" borderId="13" xfId="0" applyNumberFormat="1" applyFont="1" applyBorder="1"/>
    <xf numFmtId="0" fontId="6" fillId="0" borderId="17" xfId="0" applyFont="1" applyBorder="1"/>
    <xf numFmtId="0" fontId="0" fillId="0" borderId="17" xfId="0" applyBorder="1"/>
    <xf numFmtId="0" fontId="0" fillId="0" borderId="17" xfId="0" applyFont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2" xfId="0" applyFont="1" applyBorder="1"/>
    <xf numFmtId="0" fontId="0" fillId="0" borderId="22" xfId="0" applyBorder="1"/>
    <xf numFmtId="0" fontId="3" fillId="0" borderId="3" xfId="0" applyFont="1" applyBorder="1"/>
    <xf numFmtId="0" fontId="3" fillId="0" borderId="6" xfId="0" applyFont="1" applyBorder="1"/>
    <xf numFmtId="9" fontId="3" fillId="0" borderId="13" xfId="0" applyNumberFormat="1" applyFont="1" applyBorder="1"/>
    <xf numFmtId="0" fontId="7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8" fillId="0" borderId="0" xfId="0" applyNumberFormat="1" applyFont="1" applyFill="1" applyBorder="1"/>
    <xf numFmtId="0" fontId="8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3" fillId="0" borderId="0" xfId="0" quotePrefix="1" applyFont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9" fillId="10" borderId="19" xfId="0" applyFont="1" applyFill="1" applyBorder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9" fontId="2" fillId="3" borderId="13" xfId="0" applyNumberFormat="1" applyFont="1" applyFill="1" applyBorder="1"/>
    <xf numFmtId="0" fontId="1" fillId="0" borderId="0" xfId="0" applyFont="1" applyBorder="1" applyAlignment="1">
      <alignment horizontal="left" vertical="top"/>
    </xf>
    <xf numFmtId="0" fontId="3" fillId="0" borderId="5" xfId="1" applyFont="1" applyBorder="1" applyAlignment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0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1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1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 vertical="top"/>
    </xf>
    <xf numFmtId="0" fontId="2" fillId="3" borderId="24" xfId="0" applyFont="1" applyFill="1" applyBorder="1" applyAlignment="1">
      <alignment horizontal="center" vertical="top"/>
    </xf>
    <xf numFmtId="0" fontId="2" fillId="3" borderId="25" xfId="0" applyFont="1" applyFill="1" applyBorder="1" applyAlignment="1">
      <alignment horizontal="center" vertical="top"/>
    </xf>
    <xf numFmtId="0" fontId="3" fillId="0" borderId="20" xfId="0" applyFont="1" applyFill="1" applyBorder="1" applyAlignment="1">
      <alignment horizontal="left" vertical="center"/>
    </xf>
    <xf numFmtId="0" fontId="2" fillId="0" borderId="21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1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6" t="s">
        <v>0</v>
      </c>
      <c r="B1" s="96" t="s">
        <v>1</v>
      </c>
      <c r="C1" s="96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7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 t="s">
        <v>14</v>
      </c>
      <c r="P1" s="97" t="s">
        <v>15</v>
      </c>
      <c r="Q1" s="97" t="s">
        <v>16</v>
      </c>
      <c r="R1" s="97" t="s">
        <v>17</v>
      </c>
      <c r="S1" s="97" t="s">
        <v>18</v>
      </c>
      <c r="T1" s="97" t="s">
        <v>19</v>
      </c>
      <c r="U1" s="97" t="s">
        <v>20</v>
      </c>
      <c r="V1" s="97" t="s">
        <v>21</v>
      </c>
      <c r="W1" s="99" t="s">
        <v>22</v>
      </c>
      <c r="X1" s="99" t="s">
        <v>23</v>
      </c>
      <c r="Y1" s="99" t="s">
        <v>24</v>
      </c>
      <c r="Z1" s="99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8" t="s">
        <v>32</v>
      </c>
      <c r="X2" s="78" t="s">
        <v>33</v>
      </c>
      <c r="Y2" s="78">
        <v>5</v>
      </c>
      <c r="Z2" s="78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8" t="s">
        <v>40</v>
      </c>
      <c r="X3" s="78" t="s">
        <v>41</v>
      </c>
      <c r="Y3" s="78">
        <v>100</v>
      </c>
      <c r="Z3" s="78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8"/>
      <c r="B5" s="98"/>
      <c r="C5" s="98"/>
    </row>
    <row r="6" spans="1:26">
      <c r="A6" s="98"/>
      <c r="B6" s="98"/>
      <c r="C6" s="98"/>
    </row>
    <row r="7" spans="1:26">
      <c r="A7" s="98"/>
      <c r="B7" s="98"/>
      <c r="C7" s="98"/>
    </row>
    <row r="8" spans="1:26">
      <c r="A8" s="98"/>
      <c r="B8" s="98"/>
      <c r="C8" s="98"/>
    </row>
    <row r="9" spans="1:26">
      <c r="A9" s="98"/>
      <c r="B9" s="98"/>
      <c r="C9" s="98"/>
    </row>
    <row r="10" spans="1:26">
      <c r="A10" s="98"/>
      <c r="B10" s="98"/>
      <c r="C10" s="98"/>
    </row>
    <row r="11" spans="1:26">
      <c r="A11" s="98"/>
      <c r="B11" s="98"/>
      <c r="C11" s="98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9" t="s">
        <v>133</v>
      </c>
      <c r="AU22" s="79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9" t="s">
        <v>142</v>
      </c>
      <c r="BF22" s="79" t="s">
        <v>143</v>
      </c>
      <c r="BG22" s="79" t="s">
        <v>144</v>
      </c>
      <c r="BH22" s="81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80"/>
      <c r="BD23" s="71"/>
      <c r="BE23" s="7"/>
      <c r="BF23" s="7"/>
      <c r="BG23" s="7"/>
      <c r="BH23" s="82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80"/>
      <c r="BD24" s="71"/>
      <c r="BE24" s="7"/>
      <c r="BF24" s="7"/>
      <c r="BG24" s="7"/>
      <c r="BH24" s="82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80"/>
      <c r="BD25" s="71"/>
      <c r="BE25" s="7"/>
      <c r="BF25" s="7"/>
      <c r="BG25" s="7"/>
      <c r="BH25" s="82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1"/>
      <c r="C30" s="92"/>
      <c r="D30" s="93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1"/>
      <c r="C31" s="92"/>
      <c r="D31" s="93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1"/>
      <c r="C32" s="92"/>
      <c r="D32" s="93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1"/>
      <c r="C33" s="92"/>
      <c r="D33" s="93"/>
      <c r="E33" s="16"/>
      <c r="F33" s="16"/>
      <c r="G33" s="16"/>
      <c r="H33" s="94"/>
      <c r="I33" s="150"/>
      <c r="J33" s="150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1"/>
      <c r="C34" s="53"/>
      <c r="D34" s="95"/>
      <c r="E34" s="16"/>
      <c r="F34" s="16"/>
      <c r="G34" s="16"/>
      <c r="H34" s="94"/>
      <c r="I34" s="150"/>
      <c r="J34" s="150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4"/>
      <c r="I35" s="150"/>
      <c r="J35" s="150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1"/>
      <c r="H36" s="151"/>
      <c r="I36" s="150"/>
      <c r="J36" s="150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1"/>
      <c r="H37" s="151"/>
      <c r="I37" s="150"/>
      <c r="J37" s="150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2" t="s">
        <v>154</v>
      </c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9" t="s">
        <v>133</v>
      </c>
      <c r="AC22" s="79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9" t="s">
        <v>142</v>
      </c>
      <c r="AN22" s="79" t="s">
        <v>143</v>
      </c>
      <c r="AO22" s="79" t="s">
        <v>144</v>
      </c>
      <c r="AP22" s="81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1709.64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80"/>
      <c r="AL23" s="71"/>
      <c r="AM23" s="7"/>
      <c r="AN23" s="7"/>
      <c r="AO23" s="7"/>
      <c r="AP23" s="82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4901.01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104.76964657962699</v>
      </c>
      <c r="AF24" s="71"/>
      <c r="AG24" s="71"/>
      <c r="AH24" s="76" t="s">
        <v>38</v>
      </c>
      <c r="AI24" s="71" t="s">
        <v>152</v>
      </c>
      <c r="AJ24" s="71"/>
      <c r="AK24" s="80"/>
      <c r="AL24" s="71"/>
      <c r="AM24" s="7"/>
      <c r="AN24" s="7"/>
      <c r="AO24" s="7"/>
      <c r="AP24" s="82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262.10845232486002</v>
      </c>
      <c r="AF25" s="71"/>
      <c r="AG25" s="71"/>
      <c r="AH25" s="76" t="s">
        <v>45</v>
      </c>
      <c r="AI25" s="71"/>
      <c r="AJ25" s="71" t="s">
        <v>39</v>
      </c>
      <c r="AK25" s="80"/>
      <c r="AL25" s="71"/>
      <c r="AM25" s="7"/>
      <c r="AN25" s="7"/>
      <c r="AO25" s="7"/>
      <c r="AP25" s="82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2777.98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10485.43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2507.6799999999998</v>
      </c>
      <c r="I32" s="26">
        <v>1</v>
      </c>
      <c r="J32" s="26">
        <v>2</v>
      </c>
      <c r="K32" s="26">
        <v>2.5</v>
      </c>
      <c r="L32" s="26">
        <f t="shared" si="7"/>
        <v>2507.6799999999998</v>
      </c>
      <c r="M32" s="26">
        <f t="shared" si="1"/>
        <v>25.08</v>
      </c>
      <c r="N32" s="26">
        <f t="shared" si="8"/>
        <v>2482.6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</v>
      </c>
      <c r="I34" s="26">
        <v>1</v>
      </c>
      <c r="J34" s="26">
        <v>2</v>
      </c>
      <c r="K34" s="26">
        <v>2.5</v>
      </c>
      <c r="L34" s="26">
        <f t="shared" si="7"/>
        <v>1372.8</v>
      </c>
      <c r="M34" s="26">
        <f t="shared" si="1"/>
        <v>13.73</v>
      </c>
      <c r="N34" s="26">
        <f t="shared" si="8"/>
        <v>1359.07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13978.35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6212.63</v>
      </c>
      <c r="W37" s="26">
        <f>ROUND(G37*$O$43,2)</f>
        <v>7.0000000000000007E-2</v>
      </c>
    </row>
    <row r="38" spans="1:23">
      <c r="A38" s="16"/>
      <c r="B38" s="153" t="s">
        <v>87</v>
      </c>
      <c r="C38" s="153"/>
      <c r="D38" s="153"/>
      <c r="E38" s="153"/>
      <c r="F38" s="153"/>
      <c r="G38" s="153"/>
      <c r="H38" s="30">
        <f>SUM(H23:H37)</f>
        <v>75435.259999999995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</v>
      </c>
      <c r="V38" s="90">
        <f t="shared" ref="V38" si="14">SUM(V23:V37)</f>
        <v>84201.93</v>
      </c>
      <c r="W38" s="90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4" t="s">
        <v>194</v>
      </c>
      <c r="H40" s="155"/>
      <c r="I40" s="156">
        <f>H38</f>
        <v>75435.259999999995</v>
      </c>
      <c r="J40" s="156"/>
      <c r="K40" s="65"/>
      <c r="L40" s="16"/>
      <c r="M40" s="157" t="s">
        <v>195</v>
      </c>
      <c r="N40" s="158"/>
      <c r="O40" s="158"/>
      <c r="P40" s="159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4" t="s">
        <v>196</v>
      </c>
      <c r="H41" s="155"/>
      <c r="I41" s="156">
        <f>R38</f>
        <v>4077.7</v>
      </c>
      <c r="J41" s="156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4" t="s">
        <v>197</v>
      </c>
      <c r="H42" s="155"/>
      <c r="I42" s="156">
        <f>S38</f>
        <v>71357.56</v>
      </c>
      <c r="J42" s="156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4" t="s">
        <v>198</v>
      </c>
      <c r="H43" s="155"/>
      <c r="I43" s="156">
        <f>U38</f>
        <v>12844.37</v>
      </c>
      <c r="J43" s="156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4" t="s">
        <v>199</v>
      </c>
      <c r="H44" s="155"/>
      <c r="I44" s="160">
        <f>I42+I43</f>
        <v>84201.93</v>
      </c>
      <c r="J44" s="160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2" t="s">
        <v>200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84" t="s">
        <v>201</v>
      </c>
      <c r="R4" s="84" t="s">
        <v>202</v>
      </c>
      <c r="S4" s="85"/>
      <c r="T4" s="84">
        <v>82.92</v>
      </c>
      <c r="U4" s="86"/>
      <c r="V4" s="87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3">
        <v>0.01</v>
      </c>
      <c r="I6" s="83">
        <v>0.02</v>
      </c>
      <c r="J6" s="89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3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3">
        <v>0.01</v>
      </c>
      <c r="I7" s="83">
        <v>0.02</v>
      </c>
      <c r="J7" s="89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3">
        <v>0.18</v>
      </c>
      <c r="T7" s="25">
        <f>ROUND((R7*18%),2)</f>
        <v>747.61</v>
      </c>
      <c r="U7" s="25">
        <f>R7+T7</f>
        <v>4901.01</v>
      </c>
      <c r="V7" s="25">
        <f t="shared" ref="V7:V20" si="0">U7*$T$4</f>
        <v>406391.74920000002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3">
        <v>0.01</v>
      </c>
      <c r="I8" s="83">
        <v>0.02</v>
      </c>
      <c r="J8" s="89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3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10394.851199999999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3">
        <v>0.01</v>
      </c>
      <c r="I9" s="83">
        <v>0.02</v>
      </c>
      <c r="J9" s="89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3">
        <v>0.18</v>
      </c>
      <c r="T9" s="25">
        <f t="shared" ref="T9:T20" si="11">ROUND((R9*18%),2)</f>
        <v>423.76</v>
      </c>
      <c r="U9" s="25">
        <f t="shared" ref="U9:U20" si="12">R9+T9</f>
        <v>2777.98</v>
      </c>
      <c r="V9" s="25">
        <f t="shared" si="0"/>
        <v>230350.10159999999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3">
        <v>0.01</v>
      </c>
      <c r="I10" s="83">
        <v>0.02</v>
      </c>
      <c r="J10" s="89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3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252679.62839999999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3">
        <v>0.01</v>
      </c>
      <c r="I11" s="83">
        <v>0.02</v>
      </c>
      <c r="J11" s="89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3">
        <v>0.18</v>
      </c>
      <c r="T11" s="25">
        <f t="shared" si="11"/>
        <v>1599.47</v>
      </c>
      <c r="U11" s="25">
        <f t="shared" si="12"/>
        <v>10485.43</v>
      </c>
      <c r="V11" s="25">
        <f t="shared" si="0"/>
        <v>869451.85560000001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3">
        <v>0.01</v>
      </c>
      <c r="I12" s="83">
        <v>0.02</v>
      </c>
      <c r="J12" s="89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3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3">
        <v>0.01</v>
      </c>
      <c r="I13" s="83">
        <v>0.02</v>
      </c>
      <c r="J13" s="89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3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3">
        <v>0.01</v>
      </c>
      <c r="I14" s="83">
        <v>0.02</v>
      </c>
      <c r="J14" s="89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3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173289.53279999999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2507.6799999999998</v>
      </c>
      <c r="H15" s="83">
        <v>0.01</v>
      </c>
      <c r="I15" s="83">
        <v>0.02</v>
      </c>
      <c r="J15" s="89">
        <v>2.5000000000000001E-2</v>
      </c>
      <c r="K15" s="25">
        <f t="shared" si="3"/>
        <v>2507.6799999999998</v>
      </c>
      <c r="L15" s="25">
        <f t="shared" si="4"/>
        <v>25.08</v>
      </c>
      <c r="M15" s="25">
        <f t="shared" si="5"/>
        <v>2482.6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3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3">
        <v>0.01</v>
      </c>
      <c r="I16" s="83">
        <v>0.02</v>
      </c>
      <c r="J16" s="89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3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7424.6567999999997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3">
        <v>0.01</v>
      </c>
      <c r="I17" s="83">
        <v>0.02</v>
      </c>
      <c r="J17" s="89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3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354652.98599999998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3">
        <v>0.01</v>
      </c>
      <c r="I18" s="83">
        <v>0.02</v>
      </c>
      <c r="J18" s="89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3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3">
        <v>0.01</v>
      </c>
      <c r="I19" s="83">
        <v>0.02</v>
      </c>
      <c r="J19" s="89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3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3">
        <v>0.01</v>
      </c>
      <c r="I20" s="83">
        <v>0.02</v>
      </c>
      <c r="J20" s="89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3">
        <v>0.18</v>
      </c>
      <c r="T20" s="25">
        <f t="shared" si="11"/>
        <v>947.69</v>
      </c>
      <c r="U20" s="25">
        <f t="shared" si="12"/>
        <v>6212.63</v>
      </c>
      <c r="V20" s="25">
        <f t="shared" si="0"/>
        <v>515151.27960000001</v>
      </c>
      <c r="W20" s="25">
        <f t="shared" si="1"/>
        <v>5429.6016</v>
      </c>
    </row>
    <row r="21" spans="1:23">
      <c r="A21" s="16"/>
      <c r="B21" s="153" t="s">
        <v>87</v>
      </c>
      <c r="C21" s="153"/>
      <c r="D21" s="153"/>
      <c r="E21" s="153"/>
      <c r="F21" s="153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1" t="s">
        <v>206</v>
      </c>
      <c r="G23" s="161"/>
      <c r="H23" s="161"/>
      <c r="I23" s="161"/>
      <c r="J23" s="16"/>
      <c r="K23" s="161" t="s">
        <v>207</v>
      </c>
      <c r="L23" s="161"/>
      <c r="M23" s="161"/>
      <c r="N23" s="161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4" t="s">
        <v>194</v>
      </c>
      <c r="G24" s="155"/>
      <c r="H24" s="162">
        <f>G21</f>
        <v>71856.759999999995</v>
      </c>
      <c r="I24" s="162"/>
      <c r="J24" s="65"/>
      <c r="K24" s="154" t="s">
        <v>194</v>
      </c>
      <c r="L24" s="155"/>
      <c r="M24" s="162">
        <f>H24*$T$4</f>
        <v>5958362.5392000005</v>
      </c>
      <c r="N24" s="162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4" t="s">
        <v>196</v>
      </c>
      <c r="G25" s="155"/>
      <c r="H25" s="162">
        <f>Q21</f>
        <v>3884.27</v>
      </c>
      <c r="I25" s="162"/>
      <c r="J25" s="16"/>
      <c r="K25" s="154" t="s">
        <v>196</v>
      </c>
      <c r="L25" s="155"/>
      <c r="M25" s="162">
        <f t="shared" ref="M25:M28" si="14">H25*$T$4</f>
        <v>322083.66840000002</v>
      </c>
      <c r="N25" s="162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4" t="s">
        <v>197</v>
      </c>
      <c r="G26" s="155"/>
      <c r="H26" s="162">
        <f>R21</f>
        <v>67972.490000000005</v>
      </c>
      <c r="I26" s="162"/>
      <c r="J26" s="16"/>
      <c r="K26" s="154" t="s">
        <v>197</v>
      </c>
      <c r="L26" s="155"/>
      <c r="M26" s="162">
        <f t="shared" si="14"/>
        <v>5636278.8707999997</v>
      </c>
      <c r="N26" s="162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4" t="s">
        <v>198</v>
      </c>
      <c r="G27" s="155"/>
      <c r="H27" s="162">
        <f>T21</f>
        <v>12235.06</v>
      </c>
      <c r="I27" s="162"/>
      <c r="J27" s="16"/>
      <c r="K27" s="154" t="s">
        <v>198</v>
      </c>
      <c r="L27" s="155"/>
      <c r="M27" s="162">
        <f t="shared" si="14"/>
        <v>1014531.1752000001</v>
      </c>
      <c r="N27" s="162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4" t="s">
        <v>199</v>
      </c>
      <c r="G28" s="155"/>
      <c r="H28" s="163">
        <f>H26+H27</f>
        <v>80207.55</v>
      </c>
      <c r="I28" s="163"/>
      <c r="J28" s="16"/>
      <c r="K28" s="154" t="s">
        <v>199</v>
      </c>
      <c r="L28" s="155"/>
      <c r="M28" s="163">
        <f t="shared" si="14"/>
        <v>6650810.0460000001</v>
      </c>
      <c r="N28" s="163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2" t="s">
        <v>208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84" t="s">
        <v>201</v>
      </c>
      <c r="R1" s="84" t="s">
        <v>202</v>
      </c>
      <c r="S1" s="85"/>
      <c r="T1" s="84">
        <v>82.92</v>
      </c>
      <c r="U1" s="86"/>
      <c r="V1" s="87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8" t="s">
        <v>209</v>
      </c>
      <c r="V2" s="88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3">
        <v>0.01</v>
      </c>
      <c r="I3" s="83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3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3">
        <v>0.01</v>
      </c>
      <c r="I4" s="83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3">
        <v>0.18</v>
      </c>
      <c r="T4" s="25">
        <f>ROUND((R4*18%),2)</f>
        <v>747.61</v>
      </c>
      <c r="U4" s="25">
        <f>R4+T4</f>
        <v>4901.01</v>
      </c>
      <c r="V4" s="25">
        <f t="shared" ref="V4:V17" si="1">U4*$T$1</f>
        <v>406391.74920000002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3">
        <v>0.01</v>
      </c>
      <c r="I5" s="83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3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3">
        <v>0.01</v>
      </c>
      <c r="I6" s="83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3">
        <v>0.18</v>
      </c>
      <c r="T6" s="25">
        <f t="shared" ref="T6:T17" si="11">ROUND((R6*18%),2)</f>
        <v>423.76</v>
      </c>
      <c r="U6" s="25">
        <f t="shared" ref="U6:U17" si="12">R6+T6</f>
        <v>2777.98</v>
      </c>
      <c r="V6" s="25">
        <f t="shared" si="1"/>
        <v>230350.10159999999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3">
        <v>0.01</v>
      </c>
      <c r="I7" s="83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3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252679.62839999999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3">
        <v>0.01</v>
      </c>
      <c r="I8" s="83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3">
        <v>0.18</v>
      </c>
      <c r="T8" s="25">
        <f t="shared" si="11"/>
        <v>1599.47</v>
      </c>
      <c r="U8" s="25">
        <f t="shared" si="12"/>
        <v>10485.43</v>
      </c>
      <c r="V8" s="25">
        <f t="shared" si="1"/>
        <v>869451.85560000001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3">
        <v>0.01</v>
      </c>
      <c r="I9" s="83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3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3">
        <v>0.01</v>
      </c>
      <c r="I10" s="83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3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3">
        <v>0.01</v>
      </c>
      <c r="I11" s="83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3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173289.53279999999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2507.6799999999998</v>
      </c>
      <c r="H12" s="83">
        <v>0.01</v>
      </c>
      <c r="I12" s="83">
        <v>0.02</v>
      </c>
      <c r="J12" s="43">
        <v>2.5000000000000001E-2</v>
      </c>
      <c r="K12" s="25">
        <f t="shared" si="3"/>
        <v>2507.6799999999998</v>
      </c>
      <c r="L12" s="25">
        <f t="shared" si="4"/>
        <v>25.08</v>
      </c>
      <c r="M12" s="25">
        <f t="shared" si="5"/>
        <v>2482.6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3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3">
        <v>0.01</v>
      </c>
      <c r="I13" s="83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3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</v>
      </c>
      <c r="H14" s="83">
        <v>0.01</v>
      </c>
      <c r="I14" s="83">
        <v>0.02</v>
      </c>
      <c r="J14" s="43">
        <v>2.5000000000000001E-2</v>
      </c>
      <c r="K14" s="25">
        <f t="shared" si="3"/>
        <v>1372.8</v>
      </c>
      <c r="L14" s="25">
        <f t="shared" si="4"/>
        <v>13.73</v>
      </c>
      <c r="M14" s="25">
        <f t="shared" si="5"/>
        <v>1359.07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3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127061.63280000001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3">
        <v>0.01</v>
      </c>
      <c r="I15" s="83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3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3">
        <v>0.01</v>
      </c>
      <c r="I16" s="83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3">
        <v>0.18</v>
      </c>
      <c r="T16" s="25">
        <f t="shared" si="11"/>
        <v>2132.29</v>
      </c>
      <c r="U16" s="25">
        <f t="shared" si="12"/>
        <v>13978.35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3">
        <v>0.01</v>
      </c>
      <c r="I17" s="83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3">
        <v>0.18</v>
      </c>
      <c r="T17" s="25">
        <f t="shared" si="11"/>
        <v>947.69</v>
      </c>
      <c r="U17" s="25">
        <f t="shared" si="12"/>
        <v>6212.63</v>
      </c>
      <c r="V17" s="25">
        <f t="shared" si="1"/>
        <v>515151.27960000001</v>
      </c>
      <c r="W17" s="25">
        <f>ROUND(F17*$S$23*$T$1,2)</f>
        <v>5.43</v>
      </c>
    </row>
    <row r="18" spans="1:23">
      <c r="A18" s="16"/>
      <c r="B18" s="153" t="s">
        <v>87</v>
      </c>
      <c r="C18" s="153"/>
      <c r="D18" s="153"/>
      <c r="E18" s="153"/>
      <c r="F18" s="153"/>
      <c r="G18" s="30">
        <f>SUM(G3:G17)</f>
        <v>71570.81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67701.990000000005</v>
      </c>
      <c r="S18" s="30"/>
      <c r="T18" s="30">
        <f>SUM(T3:T17)</f>
        <v>12186.37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1" t="s">
        <v>206</v>
      </c>
      <c r="G20" s="161"/>
      <c r="H20" s="161"/>
      <c r="I20" s="161"/>
      <c r="J20" s="16"/>
      <c r="K20" s="161" t="s">
        <v>207</v>
      </c>
      <c r="L20" s="161"/>
      <c r="M20" s="161"/>
      <c r="N20" s="161"/>
      <c r="O20" s="16"/>
      <c r="P20" s="16"/>
      <c r="Q20" s="157" t="s">
        <v>195</v>
      </c>
      <c r="R20" s="158"/>
      <c r="S20" s="158"/>
      <c r="T20" s="159"/>
      <c r="U20" s="16"/>
      <c r="V20" s="16"/>
      <c r="W20" s="16"/>
    </row>
    <row r="21" spans="1:23">
      <c r="A21" s="16"/>
      <c r="B21" s="16"/>
      <c r="C21" s="16"/>
      <c r="D21" s="16"/>
      <c r="E21" s="16"/>
      <c r="F21" s="154" t="s">
        <v>194</v>
      </c>
      <c r="G21" s="155"/>
      <c r="H21" s="162">
        <f>G18</f>
        <v>71570.81</v>
      </c>
      <c r="I21" s="162"/>
      <c r="J21" s="65"/>
      <c r="K21" s="154" t="s">
        <v>194</v>
      </c>
      <c r="L21" s="155"/>
      <c r="M21" s="162">
        <f>H21*$T$1</f>
        <v>5934651.5652000001</v>
      </c>
      <c r="N21" s="162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4" t="s">
        <v>196</v>
      </c>
      <c r="G22" s="155"/>
      <c r="H22" s="162">
        <f>Q18</f>
        <v>3868.82</v>
      </c>
      <c r="I22" s="162"/>
      <c r="J22" s="16"/>
      <c r="K22" s="154" t="s">
        <v>196</v>
      </c>
      <c r="L22" s="155"/>
      <c r="M22" s="162">
        <f t="shared" ref="M22:M25" si="14">H22*$T$1</f>
        <v>320802.55440000002</v>
      </c>
      <c r="N22" s="162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4" t="s">
        <v>197</v>
      </c>
      <c r="G23" s="155"/>
      <c r="H23" s="162">
        <f>R18</f>
        <v>67701.990000000005</v>
      </c>
      <c r="I23" s="162"/>
      <c r="J23" s="16"/>
      <c r="K23" s="154" t="s">
        <v>197</v>
      </c>
      <c r="L23" s="155"/>
      <c r="M23" s="162">
        <f t="shared" si="14"/>
        <v>5613849.0108000003</v>
      </c>
      <c r="N23" s="162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4" t="s">
        <v>198</v>
      </c>
      <c r="G24" s="155"/>
      <c r="H24" s="162">
        <f>T18</f>
        <v>12186.37</v>
      </c>
      <c r="I24" s="162"/>
      <c r="J24" s="16"/>
      <c r="K24" s="154" t="s">
        <v>198</v>
      </c>
      <c r="L24" s="155"/>
      <c r="M24" s="162">
        <f t="shared" si="14"/>
        <v>1010493.8003999999</v>
      </c>
      <c r="N24" s="162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4" t="s">
        <v>199</v>
      </c>
      <c r="G25" s="155"/>
      <c r="H25" s="163">
        <f>H23+H24</f>
        <v>79888.36</v>
      </c>
      <c r="I25" s="163"/>
      <c r="J25" s="16"/>
      <c r="K25" s="154" t="s">
        <v>199</v>
      </c>
      <c r="L25" s="155"/>
      <c r="M25" s="163">
        <f t="shared" si="14"/>
        <v>6624342.8112000003</v>
      </c>
      <c r="N25" s="163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210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>
        <v>224</v>
      </c>
      <c r="AV23" t="s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390</v>
      </c>
      <c r="BN23" t="s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6"/>
      <c r="AS1" s="16"/>
    </row>
    <row r="2" spans="1:45" ht="18.75" thickBot="1">
      <c r="A2" s="102" t="s">
        <v>47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>
        <v>224</v>
      </c>
      <c r="AV23" t="s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390</v>
      </c>
      <c r="BN23" t="s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217</v>
      </c>
      <c r="AT24" s="48" t="s">
        <v>58</v>
      </c>
      <c r="AU24" t="s">
        <v>224</v>
      </c>
      <c r="AV24" t="s">
        <v>240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390</v>
      </c>
      <c r="BN24" t="s">
        <v>311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18.75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339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>
        <v>224</v>
      </c>
      <c r="AV23" t="s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390</v>
      </c>
      <c r="BN23" t="s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527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217</v>
      </c>
      <c r="AT23" s="48" t="s">
        <v>58</v>
      </c>
      <c r="AU23" t="s">
        <v>528</v>
      </c>
      <c r="AV23" t="s">
        <v>542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121.18128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>
        <v>544</v>
      </c>
      <c r="BN23" t="s">
        <v>543</v>
      </c>
      <c r="BO23" s="48">
        <f>ROUND((((AW23*AZ23)+(BN23*BM23))/(AW23+BN23)),5)</f>
        <v>121.18128</v>
      </c>
      <c r="BP23" s="53">
        <f>BN23+AW23</f>
        <v>24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534</v>
      </c>
      <c r="H23" s="26">
        <f>F23*G23</f>
        <v>500.5</v>
      </c>
      <c r="I23" t="s">
        <v>535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217</v>
      </c>
      <c r="AT23" s="48" t="s">
        <v>58</v>
      </c>
      <c r="AU23" t="s">
        <v>528</v>
      </c>
      <c r="AV23" t="s">
        <v>529</v>
      </c>
      <c r="AW23" s="48">
        <f>AM23</f>
        <v>2</v>
      </c>
      <c r="AX23" s="48">
        <f>AR23</f>
        <v>235.535</v>
      </c>
      <c r="AY23" s="48">
        <f>AU23+AW23</f>
        <v>14092</v>
      </c>
      <c r="AZ23" s="48">
        <f>ROUND(((AU23*AV23)+(AW23*AX23))/(AU23+AW23),5)</f>
        <v>121.19750999999999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>
        <v>531</v>
      </c>
      <c r="BN23" t="s">
        <v>530</v>
      </c>
      <c r="BO23" s="48">
        <f>ROUND((((AW23*AZ23)+(BN23*BM23))/(AW23+BN23)),5)</f>
        <v>146.93409</v>
      </c>
      <c r="BP23" s="53">
        <f>BN23+AW23</f>
        <v>689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1" sqref="D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309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468.66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>
        <v>219</v>
      </c>
      <c r="AV23" t="s">
        <v>240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240</v>
      </c>
      <c r="BN23" t="s">
        <v>479</v>
      </c>
      <c r="BO23" s="48">
        <f>ROUND((((AW23*AZ23)+(BN23*BM23))/(AW23+BN23)),5)</f>
        <v>234.33</v>
      </c>
      <c r="BP23" s="53">
        <f>BN23+AW23</f>
        <v>24</v>
      </c>
      <c r="BQ23" s="54">
        <v>123562</v>
      </c>
      <c r="BR23" s="53"/>
    </row>
    <row r="24" spans="1:70" ht="15.75" thickBot="1">
      <c r="A24" s="25">
        <v>2</v>
      </c>
      <c r="B24" s="25" t="s">
        <v>310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>
        <v>219</v>
      </c>
      <c r="AV24" t="s">
        <v>240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519</v>
      </c>
      <c r="BN24" t="s">
        <v>518</v>
      </c>
      <c r="BO24" s="48">
        <f>ROUND((((AW24*AZ24)+(BN24*BM24))/(AW24+BN24)),5)</f>
        <v>201.94054</v>
      </c>
      <c r="BP24" s="53">
        <f>BN24+AW24</f>
        <v>37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K16" workbookViewId="0">
      <selection activeCell="AY23" sqref="AY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6"/>
      <c r="AS1" s="16"/>
    </row>
    <row r="2" spans="1:45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325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427</v>
      </c>
      <c r="H23" s="26">
        <f>F23*G23</f>
        <v>500.5</v>
      </c>
      <c r="I23" t="s">
        <v>428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468.66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>
        <v>219</v>
      </c>
      <c r="AV23" t="s">
        <v>426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426</v>
      </c>
      <c r="BN23" t="s">
        <v>431</v>
      </c>
      <c r="BO23" s="48">
        <f>ROUND((((AW23*AZ23)+(BN23*BM23))/(AW23+BN23)),5)</f>
        <v>234.33</v>
      </c>
      <c r="BP23" s="53">
        <f>BN23+AW23</f>
        <v>16</v>
      </c>
      <c r="BQ23" s="54">
        <v>123562</v>
      </c>
      <c r="BR23" s="53"/>
    </row>
    <row r="24" spans="1:70" ht="15.75" thickBot="1">
      <c r="A24" s="25">
        <v>2</v>
      </c>
      <c r="B24" s="25" t="s">
        <v>326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227</v>
      </c>
      <c r="H24" s="26">
        <f>F24*G24</f>
        <v>500.5</v>
      </c>
      <c r="I24" t="s">
        <v>429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468.66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>
        <v>219</v>
      </c>
      <c r="AV24" t="s">
        <v>430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522</v>
      </c>
      <c r="BN24" t="s">
        <v>470</v>
      </c>
      <c r="BO24" s="48">
        <f>ROUND((((AW24*AZ24)+(BN24*BM24))/(AW24+BN24)),5)</f>
        <v>193.00550999999999</v>
      </c>
      <c r="BP24" s="53">
        <f>BN24+AW24</f>
        <v>29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1" workbookViewId="0">
      <selection activeCell="B26" sqref="B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6"/>
      <c r="AS1" s="16"/>
    </row>
    <row r="2" spans="1:45" ht="18.75" thickBot="1">
      <c r="A2" s="102" t="s">
        <v>47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394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396</v>
      </c>
      <c r="H23" s="26">
        <f>F23*G23</f>
        <v>500.5</v>
      </c>
      <c r="I23" t="s">
        <v>224</v>
      </c>
      <c r="J23" s="26">
        <v>1.79</v>
      </c>
      <c r="K23" s="26">
        <v>2.5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8.7799999999999994</v>
      </c>
      <c r="P23" s="26">
        <f>ROUND(N23-O23,2)</f>
        <v>481.71</v>
      </c>
      <c r="Q23" s="26">
        <f>ROUND(P23*K23%,2)</f>
        <v>12.04</v>
      </c>
      <c r="R23" s="26">
        <f>M23+O23+Q23</f>
        <v>30.83</v>
      </c>
      <c r="S23" s="26">
        <f>(H23-R23)</f>
        <v>469.67</v>
      </c>
      <c r="T23" s="26" t="s">
        <v>146</v>
      </c>
      <c r="U23" s="26">
        <v>0.18</v>
      </c>
      <c r="V23" s="26">
        <f>IF(OR($C$21=1,$C$21=4),ROUND(((S23*U23)/2),2),0)</f>
        <v>42.27</v>
      </c>
      <c r="W23" s="26">
        <f>IF($C$21=1,ROUND(((S23*U23)/2),2),0)</f>
        <v>42.27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84.54</v>
      </c>
      <c r="AC23" s="26">
        <f>IF($V21=1,S23+AB23,S23)</f>
        <v>554.21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469.67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234.83500000000001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234.83500000000001</v>
      </c>
      <c r="AS23" s="48" t="s">
        <v>217</v>
      </c>
      <c r="AT23" s="48" t="s">
        <v>58</v>
      </c>
      <c r="AU23" t="s">
        <v>218</v>
      </c>
      <c r="AV23" t="s">
        <v>397</v>
      </c>
      <c r="AW23" s="48">
        <f>AM23</f>
        <v>2</v>
      </c>
      <c r="AX23" s="48">
        <f>AR23</f>
        <v>234.83500000000001</v>
      </c>
      <c r="AY23" s="48">
        <f>AU23+AW23</f>
        <v>2</v>
      </c>
      <c r="AZ23" s="48">
        <f>ROUND(((AU23*AV23)+(AW23*AX23))/(AU23+AW23),5)</f>
        <v>234.83500000000001</v>
      </c>
      <c r="BA23" s="50"/>
      <c r="BB23" s="50" t="s">
        <v>149</v>
      </c>
      <c r="BC23" s="73" t="s">
        <v>45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265</v>
      </c>
      <c r="BM23" t="s">
        <v>397</v>
      </c>
      <c r="BN23" t="s">
        <v>311</v>
      </c>
      <c r="BO23" s="48">
        <f>ROUND((((AW23*AZ23)+(BN23*BM23))/(AW23+BN23)),5)</f>
        <v>234.7175</v>
      </c>
      <c r="BP23" s="53">
        <f>BN23+AW23</f>
        <v>4</v>
      </c>
      <c r="BQ23" s="54">
        <v>123562</v>
      </c>
      <c r="BR23" s="53"/>
    </row>
    <row r="24" spans="1:70" ht="15.75" thickBot="1">
      <c r="A24" s="25">
        <v>2</v>
      </c>
      <c r="B24" s="25" t="s">
        <v>395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355</v>
      </c>
      <c r="H24" s="26">
        <f>F24*G24</f>
        <v>500.5</v>
      </c>
      <c r="I24" t="s">
        <v>218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>
        <v>224</v>
      </c>
      <c r="AV24" t="s">
        <v>398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8" t="s">
        <v>29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265</v>
      </c>
      <c r="BM24" t="s">
        <v>487</v>
      </c>
      <c r="BN24" t="s">
        <v>387</v>
      </c>
      <c r="BO24" s="48">
        <f>ROUND((((AW24*AZ24)+(BN24*BM24))/(AW24+BN24)),5)</f>
        <v>224.7175</v>
      </c>
      <c r="BP24" s="53">
        <f>BN24+AW24</f>
        <v>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62.67</v>
      </c>
      <c r="S25" s="39">
        <f>SUM(S23:S24)</f>
        <v>938.33</v>
      </c>
      <c r="T25" s="30"/>
      <c r="U25" s="30"/>
      <c r="V25" s="40">
        <f>SUM(V23:V24)</f>
        <v>84.45</v>
      </c>
      <c r="W25" s="40">
        <f>SUM(W23:W24)</f>
        <v>84.45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168.9</v>
      </c>
      <c r="AC25" s="44">
        <f>SUM(AC23:AC24)</f>
        <v>1022.8700000000001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938.33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R16" workbookViewId="0">
      <selection activeCell="T25" sqref="T25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424</v>
      </c>
      <c r="H23" s="26">
        <f>F23*G23</f>
        <v>500</v>
      </c>
      <c r="I23" t="s">
        <v>315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219</v>
      </c>
      <c r="AV23" t="s">
        <v>423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31</v>
      </c>
      <c r="BM23" t="s">
        <v>423</v>
      </c>
      <c r="BN23" t="s">
        <v>311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316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425</v>
      </c>
      <c r="H24" s="26">
        <f>F24*G24</f>
        <v>468</v>
      </c>
      <c r="I24" t="s">
        <v>317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>
        <v>301</v>
      </c>
      <c r="AV24" t="s">
        <v>520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31</v>
      </c>
      <c r="BM24" t="s">
        <v>521</v>
      </c>
      <c r="BN24" t="s">
        <v>387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6"/>
      <c r="AS1" s="16"/>
    </row>
    <row r="2" spans="1:45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500</v>
      </c>
      <c r="I23" t="s">
        <v>245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246</v>
      </c>
      <c r="AV23" t="s">
        <v>511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31</v>
      </c>
      <c r="BM23" t="s">
        <v>513</v>
      </c>
      <c r="BN23" t="s">
        <v>482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248</v>
      </c>
      <c r="H24" s="26">
        <f>F24*G24</f>
        <v>468</v>
      </c>
      <c r="I24" t="s">
        <v>245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0.05</v>
      </c>
      <c r="V24" s="26">
        <f>IF(OR($C$21=1,$C$21=4),ROUND(((S24*U24)/2),2),0)</f>
        <v>10.76</v>
      </c>
      <c r="W24" s="26">
        <f>IF($C$21=1,ROUND(((S24*U24)/2),2),0)</f>
        <v>10.76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21.52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>
        <v>249</v>
      </c>
      <c r="AV24" t="s">
        <v>512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31</v>
      </c>
      <c r="BM24" t="s">
        <v>515</v>
      </c>
      <c r="BN24" t="s">
        <v>514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52.989999999999995</v>
      </c>
      <c r="W25" s="40">
        <f>SUM(W23:W24)</f>
        <v>52.989999999999995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105.97999999999999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6">
      <c r="A23" s="25">
        <v>1</v>
      </c>
      <c r="B23" s="25" t="s">
        <v>222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223</v>
      </c>
      <c r="H23" s="26">
        <f>F23*G23</f>
        <v>1048</v>
      </c>
      <c r="I23" t="s">
        <v>224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217</v>
      </c>
      <c r="AQ23" s="48" t="s">
        <v>58</v>
      </c>
      <c r="AR23" t="s">
        <v>225</v>
      </c>
      <c r="AS23" t="s">
        <v>233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234</v>
      </c>
      <c r="BK23" t="s">
        <v>235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226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227</v>
      </c>
      <c r="H24" s="26">
        <f>F24*G24</f>
        <v>696</v>
      </c>
      <c r="I24" t="s">
        <v>228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217</v>
      </c>
      <c r="AQ24" s="48" t="s">
        <v>58</v>
      </c>
      <c r="AR24" t="s">
        <v>229</v>
      </c>
      <c r="AS24" t="s">
        <v>236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237</v>
      </c>
      <c r="BK24" t="s">
        <v>238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230</v>
      </c>
      <c r="AT27" t="s">
        <v>231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232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abSelected="1" topLeftCell="H10" workbookViewId="0">
      <selection activeCell="Z23" sqref="Z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396</v>
      </c>
      <c r="H23" s="26">
        <f>F23*G23</f>
        <v>500</v>
      </c>
      <c r="I23" t="s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224</v>
      </c>
      <c r="AV23" t="s">
        <v>468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471</v>
      </c>
      <c r="BN23" t="s">
        <v>470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355</v>
      </c>
      <c r="H24" s="26">
        <f>F24*G24</f>
        <v>468</v>
      </c>
      <c r="I24" t="s">
        <v>218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>
        <v>399</v>
      </c>
      <c r="AV24" t="s">
        <v>469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473</v>
      </c>
      <c r="BN24" t="s">
        <v>472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6"/>
      <c r="AS1" s="16"/>
    </row>
    <row r="2" spans="1:45" ht="27.75" customHeight="1" thickBot="1">
      <c r="A2" s="124" t="s">
        <v>47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3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396</v>
      </c>
      <c r="H23" s="26">
        <f>F23*G23</f>
        <v>500</v>
      </c>
      <c r="I23" t="s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217</v>
      </c>
      <c r="AT23" s="48" t="s">
        <v>58</v>
      </c>
      <c r="AU23" t="s">
        <v>224</v>
      </c>
      <c r="AV23" t="s">
        <v>444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446</v>
      </c>
      <c r="BN23" t="s">
        <v>445</v>
      </c>
      <c r="BO23" s="48">
        <f>ROUND((((AW23*AZ23)+(BN23*BM23))/(AW23+BN23)),5)</f>
        <v>3121.1477500000001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500</v>
      </c>
      <c r="I23" t="s">
        <v>251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84.46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252</v>
      </c>
      <c r="AT23" s="48" t="s">
        <v>58</v>
      </c>
      <c r="AU23" t="s">
        <v>407</v>
      </c>
      <c r="AV23" t="s">
        <v>493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496</v>
      </c>
      <c r="BN23" t="s">
        <v>495</v>
      </c>
      <c r="BO23" s="48">
        <f>ROUND((((AW23*AZ23)+(BN23*BM23))/(AW23+BN23)),5)</f>
        <v>1200.30663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254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406</v>
      </c>
      <c r="H24" s="26">
        <f>F24*G24</f>
        <v>468</v>
      </c>
      <c r="I24" t="s">
        <v>224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77.44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252</v>
      </c>
      <c r="AT24" s="48" t="s">
        <v>58</v>
      </c>
      <c r="AU24" t="s">
        <v>408</v>
      </c>
      <c r="AV24" t="s">
        <v>494</v>
      </c>
      <c r="AW24" s="48">
        <f>AM24</f>
        <v>2</v>
      </c>
      <c r="AX24" s="48">
        <f>AR24</f>
        <v>215.10499999999999</v>
      </c>
      <c r="AY24" s="48">
        <f>AU24+AW24</f>
        <v>32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>
        <v>497</v>
      </c>
      <c r="BN24" t="s">
        <v>410</v>
      </c>
      <c r="BO24" s="48">
        <f>ROUND((((AW24*AZ24)+(BN24*BM24))/(AW24+BN24)),5)</f>
        <v>1177.8868399999999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161.89999999999998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2460</v>
      </c>
      <c r="I23" t="s">
        <v>251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252</v>
      </c>
      <c r="AT23" s="48" t="s">
        <v>58</v>
      </c>
      <c r="AU23" t="s">
        <v>409</v>
      </c>
      <c r="AV23" t="s">
        <v>498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115.60767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500</v>
      </c>
      <c r="BN23" t="s">
        <v>474</v>
      </c>
      <c r="BO23" s="48">
        <f>ROUND((((AW23*AZ23)+(BN23*BM23))/(AW23+BN23)),5)</f>
        <v>37.913170000000001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258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252</v>
      </c>
      <c r="AT24" s="48" t="s">
        <v>58</v>
      </c>
      <c r="AU24" t="s">
        <v>407</v>
      </c>
      <c r="AV24" t="s">
        <v>499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145.94893999999999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>
        <v>502</v>
      </c>
      <c r="BN24" t="s">
        <v>501</v>
      </c>
      <c r="BO24" s="48">
        <f>ROUND((((AW24*AZ24)+(BN24*BM24))/(AW24+BN24)),5)</f>
        <v>32.512779999999999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403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405</v>
      </c>
      <c r="H23" s="26">
        <f>F23*G23</f>
        <v>910</v>
      </c>
      <c r="I23" t="s">
        <v>404</v>
      </c>
      <c r="J23" s="26">
        <v>1.79</v>
      </c>
      <c r="K23" s="26">
        <v>2.5</v>
      </c>
      <c r="L23" s="26">
        <f>H23</f>
        <v>910</v>
      </c>
      <c r="M23" s="26">
        <f>ROUND(L23*I23%,2)</f>
        <v>29.12</v>
      </c>
      <c r="N23" s="26">
        <f>H23-M23</f>
        <v>880.88</v>
      </c>
      <c r="O23" s="26">
        <f>ROUND(N23*J23%,2)</f>
        <v>15.77</v>
      </c>
      <c r="P23" s="26">
        <f>ROUND(N23-O23,2)</f>
        <v>865.11</v>
      </c>
      <c r="Q23" s="26">
        <f>ROUND(P23*K23%,2)</f>
        <v>21.63</v>
      </c>
      <c r="R23" s="26">
        <f>M23+O23+Q23</f>
        <v>66.52</v>
      </c>
      <c r="S23" s="26">
        <f>(H23-R23)</f>
        <v>843.48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151.83000000000001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151.83000000000001</v>
      </c>
      <c r="AC23" s="26">
        <f>IF($V21=1,S23+AB23,S23)</f>
        <v>995.31000000000006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843.48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421.74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421.74</v>
      </c>
      <c r="AS23" s="48" t="s">
        <v>217</v>
      </c>
      <c r="AT23" s="48" t="s">
        <v>58</v>
      </c>
      <c r="AU23" t="s">
        <v>224</v>
      </c>
      <c r="AV23" t="s">
        <v>400</v>
      </c>
      <c r="AW23" s="48">
        <f>AM23</f>
        <v>2</v>
      </c>
      <c r="AX23" s="48">
        <f>AR23</f>
        <v>421.74</v>
      </c>
      <c r="AY23" s="48">
        <f>AU23+AW23</f>
        <v>4</v>
      </c>
      <c r="AZ23" s="48">
        <f>ROUND(((AU23*AV23)+(AW23*AX23))/(AU23+AW23),5)</f>
        <v>376.36313000000001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402</v>
      </c>
      <c r="BN23" t="s">
        <v>401</v>
      </c>
      <c r="BO23" s="48">
        <f>ROUND((((AW23*AZ23)+(BN23*BM23))/(AW23+BN23)),5)</f>
        <v>277.43975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66.52</v>
      </c>
      <c r="S24" s="39">
        <f>SUM(S23:S23)</f>
        <v>843.48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151.83000000000001</v>
      </c>
      <c r="Y24" s="40">
        <f>SUM(Y23:Y23)</f>
        <v>0</v>
      </c>
      <c r="Z24" s="40"/>
      <c r="AA24" s="40">
        <f>SUM(AA23:AA23)</f>
        <v>0</v>
      </c>
      <c r="AB24" s="30">
        <f>SUM(AB23:AB23)</f>
        <v>151.83000000000001</v>
      </c>
      <c r="AC24" s="44">
        <f>SUM(AC23:AC23)</f>
        <v>995.31000000000006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843.48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405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217</v>
      </c>
      <c r="AT23" s="48" t="s">
        <v>58</v>
      </c>
      <c r="AU23" t="s">
        <v>224</v>
      </c>
      <c r="AV23" t="s">
        <v>400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402</v>
      </c>
      <c r="BN23" t="s">
        <v>401</v>
      </c>
      <c r="BO23" s="48">
        <f>ROUND((((AW23*AZ23)+(BN23*BM23))/(AW23+BN23)),5)</f>
        <v>277.52168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532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533</v>
      </c>
      <c r="H23" s="26">
        <f>F23*G23</f>
        <v>2460</v>
      </c>
      <c r="I23" t="s">
        <v>224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217</v>
      </c>
      <c r="AT23" s="48" t="s">
        <v>58</v>
      </c>
      <c r="AU23" t="s">
        <v>458</v>
      </c>
      <c r="AV23" t="s">
        <v>545</v>
      </c>
      <c r="AW23" s="48">
        <f>AM23</f>
        <v>2</v>
      </c>
      <c r="AX23" s="48">
        <f>AR23</f>
        <v>1166.0050000000001</v>
      </c>
      <c r="AY23" s="48">
        <f>AU23+AW23</f>
        <v>35</v>
      </c>
      <c r="AZ23" s="48">
        <f>ROUND(((AU23*AV23)+(AW23*AX23))/(AU23+AW23),5)</f>
        <v>243.71806000000001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>
        <v>547</v>
      </c>
      <c r="BN23" t="s">
        <v>546</v>
      </c>
      <c r="BO23" s="48">
        <f>ROUND((((AW23*AZ23)+(BN23*BM23))/(AW23+BN23)),5)</f>
        <v>203.74879999999999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209.88</v>
      </c>
      <c r="W24" s="40">
        <f>SUM(W23:W23)</f>
        <v>209.88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C1" workbookViewId="0">
      <selection activeCell="C1"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6"/>
      <c r="AS1" s="16"/>
    </row>
    <row r="2" spans="1:45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536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533</v>
      </c>
      <c r="H23" s="26">
        <f>F23*G23</f>
        <v>400</v>
      </c>
      <c r="I23" t="s">
        <v>224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217</v>
      </c>
      <c r="AT23" s="48" t="s">
        <v>58</v>
      </c>
      <c r="AU23" t="s">
        <v>393</v>
      </c>
      <c r="AV23" t="s">
        <v>549</v>
      </c>
      <c r="AW23" s="48">
        <f>AM23</f>
        <v>2</v>
      </c>
      <c r="AX23" s="48">
        <f>AR23</f>
        <v>188.24</v>
      </c>
      <c r="AY23" s="48">
        <f>AU23+AW23</f>
        <v>35</v>
      </c>
      <c r="AZ23" s="48">
        <f>ROUND(((AU23*AV23)+(AW23*AX23))/(AU23+AW23),5)</f>
        <v>185.51166000000001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>
        <v>548</v>
      </c>
      <c r="BN23" t="s">
        <v>470</v>
      </c>
      <c r="BO23" s="48">
        <f>ROUND((((AW23*AZ23)+(BN23*BM23))/(AW23+BN23)),5)</f>
        <v>184.51833999999999</v>
      </c>
      <c r="BP23" s="53">
        <f>BN23+AW23</f>
        <v>10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2" sqref="D1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6"/>
      <c r="AS1" s="16"/>
    </row>
    <row r="2" spans="1:45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L2" s="144"/>
      <c r="AM2" s="144"/>
      <c r="AN2" s="144"/>
      <c r="AO2" s="144"/>
      <c r="AP2" s="144"/>
      <c r="AQ2" s="14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352</v>
      </c>
      <c r="H23" s="26">
        <f>F23*G23</f>
        <v>400</v>
      </c>
      <c r="I23" t="s">
        <v>315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217</v>
      </c>
      <c r="AT23" s="48" t="s">
        <v>58</v>
      </c>
      <c r="AU23" t="s">
        <v>393</v>
      </c>
      <c r="AV23" t="s">
        <v>537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>
        <v>538</v>
      </c>
      <c r="BN23" t="s">
        <v>445</v>
      </c>
      <c r="BO23" s="48">
        <f>ROUND((((AW23*AZ23)+(BN23*BM23))/(AW23+BN23)),5)</f>
        <v>184.80457999999999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396</v>
      </c>
      <c r="H23" s="26">
        <f>F23*G23</f>
        <v>500</v>
      </c>
      <c r="I23" t="s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224</v>
      </c>
      <c r="AV23" t="s">
        <v>400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402</v>
      </c>
      <c r="BN23" t="s">
        <v>401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8" sqref="D28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500</v>
      </c>
      <c r="I23" t="s">
        <v>245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246</v>
      </c>
      <c r="AV23" t="s">
        <v>488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1182.9540099999999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490</v>
      </c>
      <c r="BN23" t="s">
        <v>355</v>
      </c>
      <c r="BO23" s="48">
        <f>ROUND((((AW23*AZ23)+(BN23*BM23))/(AW23+BN23)),5)</f>
        <v>1161.67688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247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248</v>
      </c>
      <c r="H24" s="26">
        <f>F24*G24</f>
        <v>506</v>
      </c>
      <c r="I24" t="s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217</v>
      </c>
      <c r="AT24" s="48" t="s">
        <v>58</v>
      </c>
      <c r="AU24" t="s">
        <v>249</v>
      </c>
      <c r="AV24" t="s">
        <v>489</v>
      </c>
      <c r="AW24" s="48">
        <f>AM24</f>
        <v>2</v>
      </c>
      <c r="AX24" s="48">
        <f>AR24</f>
        <v>239.83500000000001</v>
      </c>
      <c r="AY24" s="48">
        <f>AU24+AW24</f>
        <v>32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492</v>
      </c>
      <c r="BN24" t="s">
        <v>491</v>
      </c>
      <c r="BO24" s="48">
        <f>ROUND((((AW24*AZ24)+(BN24*BM24))/(AW24+BN24)),5)</f>
        <v>247.58087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57.129999999999995</v>
      </c>
      <c r="S25" s="39">
        <f>SUM(S23:S24)</f>
        <v>948.87</v>
      </c>
      <c r="T25" s="30"/>
      <c r="U25" s="30"/>
      <c r="V25" s="40">
        <f>SUM(V23:V24)</f>
        <v>54.22</v>
      </c>
      <c r="W25" s="40">
        <f>SUM(W23:W24)</f>
        <v>54.22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108.44</v>
      </c>
      <c r="AC25" s="44">
        <f>SUM(AC23:AC24)</f>
        <v>1033.33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948.87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2460</v>
      </c>
      <c r="I23" t="s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>
        <v>219</v>
      </c>
      <c r="AV23" t="s">
        <v>455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1187.2660699999999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>
        <v>525</v>
      </c>
      <c r="BN23" t="s">
        <v>311</v>
      </c>
      <c r="BO23" s="48">
        <f>ROUND((((AW23*AZ23)+(BN23*BM23))/(AW23+BN23)),5)</f>
        <v>1161.71471</v>
      </c>
      <c r="BP23" s="53">
        <f>BN23+AW23</f>
        <v>228</v>
      </c>
      <c r="BQ23" s="54">
        <v>123562</v>
      </c>
      <c r="BR23" s="53"/>
    </row>
    <row r="24" spans="1:70" ht="15.75" thickBot="1">
      <c r="A24" s="25">
        <v>2</v>
      </c>
      <c r="B24" s="25" t="s">
        <v>343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248</v>
      </c>
      <c r="H24" s="26">
        <f>F24*G24</f>
        <v>506</v>
      </c>
      <c r="I24" t="s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>
        <v>219</v>
      </c>
      <c r="AV24" t="s">
        <v>456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>
        <v>526</v>
      </c>
      <c r="BN24" t="s">
        <v>387</v>
      </c>
      <c r="BO24" s="48">
        <f>ROUND((((AW24*AZ24)+(BN24*BM24))/(AW24+BN24)),5)</f>
        <v>247.58087</v>
      </c>
      <c r="BP24" s="53">
        <f>BN24+AW24</f>
        <v>349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zoomScale="115" zoomScaleNormal="115"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2460</v>
      </c>
      <c r="I23" t="s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>
        <v>219</v>
      </c>
      <c r="AV23" t="s">
        <v>460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>
        <v>460</v>
      </c>
      <c r="BN23" t="s">
        <v>458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347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248</v>
      </c>
      <c r="H24" s="26">
        <f>F24*G24</f>
        <v>506</v>
      </c>
      <c r="I24" t="s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>
        <v>219</v>
      </c>
      <c r="AV24" t="s">
        <v>461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>
        <v>461</v>
      </c>
      <c r="BN24" t="s">
        <v>311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349</v>
      </c>
      <c r="H23" s="26">
        <f>F23*G23</f>
        <v>2460</v>
      </c>
      <c r="I23" t="s">
        <v>224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>
        <v>219</v>
      </c>
      <c r="AV23" t="s">
        <v>350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>
        <v>350</v>
      </c>
      <c r="BN23" t="s">
        <v>311</v>
      </c>
      <c r="BO23" s="48">
        <f>ROUND((((AW23*AZ23)+(BN23*BM23))/(AW23+BN23)),5)</f>
        <v>567.67899999999997</v>
      </c>
      <c r="BP23" s="53">
        <f>BN23+AW23</f>
        <v>10</v>
      </c>
      <c r="BQ23" s="54">
        <v>123562</v>
      </c>
      <c r="BR23" s="53"/>
    </row>
    <row r="24" spans="1:70" ht="15.75" thickBot="1">
      <c r="A24" s="25">
        <v>2</v>
      </c>
      <c r="B24" s="25" t="s">
        <v>351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352</v>
      </c>
      <c r="H24" s="26">
        <f>F24*G24</f>
        <v>506</v>
      </c>
      <c r="I24" t="s">
        <v>301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>
        <v>219</v>
      </c>
      <c r="AV24" t="s">
        <v>480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>
        <v>481</v>
      </c>
      <c r="BN24" t="s">
        <v>387</v>
      </c>
      <c r="BO24" s="48">
        <f>ROUND((((AW24*AZ24)+(BN24*BM24))/(AW24+BN24)),5)</f>
        <v>305.25749999999999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374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2460</v>
      </c>
      <c r="I23" t="s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252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219</v>
      </c>
      <c r="BN23" t="s">
        <v>219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244</v>
      </c>
      <c r="H23" s="26">
        <f>F23*G23</f>
        <v>2460</v>
      </c>
      <c r="I23" t="s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>
        <v>219</v>
      </c>
      <c r="AV23" t="s">
        <v>455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>
        <v>457</v>
      </c>
      <c r="BN23" t="s">
        <v>384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345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248</v>
      </c>
      <c r="H24" s="26">
        <f>F24*G24</f>
        <v>506</v>
      </c>
      <c r="I24" t="s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>
        <v>219</v>
      </c>
      <c r="AV24" t="s">
        <v>456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>
        <v>459</v>
      </c>
      <c r="BN24" t="s">
        <v>458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6"/>
      <c r="AS1" s="16"/>
    </row>
    <row r="2" spans="1:45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353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349</v>
      </c>
      <c r="H23" s="26">
        <f>F23*G23</f>
        <v>2460</v>
      </c>
      <c r="I23" t="s">
        <v>323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>
        <v>219</v>
      </c>
      <c r="AV23" t="s">
        <v>455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>
        <v>457</v>
      </c>
      <c r="BN23" t="s">
        <v>384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354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355</v>
      </c>
      <c r="H24" s="26">
        <f>F24*G24</f>
        <v>506</v>
      </c>
      <c r="I24" t="s">
        <v>336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>
        <v>219</v>
      </c>
      <c r="AV24" t="s">
        <v>456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>
        <v>459</v>
      </c>
      <c r="BN24" t="s">
        <v>458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P13" workbookViewId="0">
      <selection activeCell="AZ23" sqref="AZ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411</v>
      </c>
      <c r="H23" s="26">
        <f>F23*G23</f>
        <v>500</v>
      </c>
      <c r="I23" t="s">
        <v>412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>
        <v>224</v>
      </c>
      <c r="AV23" t="s">
        <v>400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402</v>
      </c>
      <c r="BN23" t="s">
        <v>401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6"/>
      <c r="AS1" s="16"/>
    </row>
    <row r="2" spans="1:45" ht="18.75" thickBot="1">
      <c r="A2" s="111" t="s">
        <v>47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260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414</v>
      </c>
      <c r="H23" s="26">
        <f>F23*G23</f>
        <v>2460</v>
      </c>
      <c r="I23" t="s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252</v>
      </c>
      <c r="AT23" s="48" t="s">
        <v>58</v>
      </c>
      <c r="AU23" t="s">
        <v>224</v>
      </c>
      <c r="AV23" t="s">
        <v>503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1190.44831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505</v>
      </c>
      <c r="BN23" t="s">
        <v>504</v>
      </c>
      <c r="BO23" s="48">
        <f>ROUND((((AW23*AZ23)+(BN23*BM23))/(AW23+BN23)),5)</f>
        <v>1203.9971700000001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261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262</v>
      </c>
      <c r="H24" s="26">
        <f>F24*G24</f>
        <v>2486</v>
      </c>
      <c r="I24" t="s">
        <v>224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252</v>
      </c>
      <c r="AT24" s="48" t="s">
        <v>58</v>
      </c>
      <c r="AU24" t="s">
        <v>219</v>
      </c>
      <c r="AV24" t="s">
        <v>413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1216.8588099999999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>
        <v>507</v>
      </c>
      <c r="BN24" t="s">
        <v>506</v>
      </c>
      <c r="BO24" s="48">
        <f>ROUND((((AW24*AZ24)+(BN24*BM24))/(AW24+BN24)),5)</f>
        <v>1217.9569899999999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R22" sqref="AR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367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414</v>
      </c>
      <c r="H23" s="26">
        <f>F23*G23</f>
        <v>911.34</v>
      </c>
      <c r="I23" t="s">
        <v>245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252</v>
      </c>
      <c r="AT23" s="48" t="s">
        <v>58</v>
      </c>
      <c r="AU23" t="s">
        <v>224</v>
      </c>
      <c r="AV23" t="s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219</v>
      </c>
      <c r="BN23" t="s">
        <v>219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25">
        <v>2</v>
      </c>
      <c r="B24" s="25" t="s">
        <v>368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262</v>
      </c>
      <c r="H24" s="26">
        <f>F24*G24</f>
        <v>690</v>
      </c>
      <c r="I24" t="s">
        <v>224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252</v>
      </c>
      <c r="AT24" s="48" t="s">
        <v>58</v>
      </c>
      <c r="AU24" t="s">
        <v>224</v>
      </c>
      <c r="AV24" t="s">
        <v>413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>
        <v>219</v>
      </c>
      <c r="BN24" t="s">
        <v>219</v>
      </c>
      <c r="BO24" s="48">
        <f>ROUND((((AW24*AZ24)+(BN24*BM24))/(AW24+BN24)),5)</f>
        <v>337.97127999999998</v>
      </c>
      <c r="BP24" s="53">
        <f>BN24+AW24</f>
        <v>772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452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453</v>
      </c>
      <c r="H23" s="26">
        <f>F23*G23</f>
        <v>911.34</v>
      </c>
      <c r="I23" t="s">
        <v>224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863.93000000000006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252</v>
      </c>
      <c r="AT23" s="48" t="s">
        <v>58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>
        <v>219</v>
      </c>
      <c r="BN23" t="s">
        <v>219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911.34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47.41</v>
      </c>
      <c r="S24" s="39">
        <f>SUM(S23:S23)</f>
        <v>863.93000000000006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155.51</v>
      </c>
      <c r="Y24" s="40">
        <f>SUM(Y23:Y23)</f>
        <v>0</v>
      </c>
      <c r="Z24" s="40"/>
      <c r="AA24" s="40">
        <f>SUM(AA23:AA23)</f>
        <v>0</v>
      </c>
      <c r="AB24" s="30">
        <f>SUM(AB23:AB23)</f>
        <v>155.51</v>
      </c>
      <c r="AC24" s="44">
        <f>SUM(AC23:AC23)</f>
        <v>1019.44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863.93000000000006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40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263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IF($P$21=1,(S23/$S$26)*$E$37,AD23/$AD$26*$E$37)</f>
        <v>0</v>
      </c>
      <c r="AF23" s="55"/>
      <c r="AG23" s="55">
        <f>IF($P$21=1,(S23/$S$26)*$E$39,AD23/$AD$26*$E$39)</f>
        <v>0</v>
      </c>
      <c r="AH23" s="55">
        <f>IF($P$21=1,(S23/$S$26)*$E$40,AD23/$AD$26*$E$40)</f>
        <v>0</v>
      </c>
      <c r="AI23" s="55">
        <f t="shared" ref="AI23:AI25" si="1">S23*$M$21</f>
        <v>6092.59</v>
      </c>
      <c r="AJ23" s="55">
        <f>IF($C$21=3,0,AG23+AH23)</f>
        <v>0</v>
      </c>
      <c r="AK23" s="55">
        <f t="shared" ref="AK23:AK25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219</v>
      </c>
      <c r="AV23" t="s">
        <v>264</v>
      </c>
      <c r="AW23" s="48">
        <f>AM23</f>
        <v>12.5</v>
      </c>
      <c r="AX23" s="48">
        <f>AR23</f>
        <v>487.40719999999999</v>
      </c>
      <c r="AY23" s="48">
        <f>AU23+AW23</f>
        <v>442.5</v>
      </c>
      <c r="AZ23" s="48">
        <f>ROUND(((AU23*AV23)+(AW23*AX23))/(AU23+AW23),5)</f>
        <v>1167.59214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264</v>
      </c>
      <c r="BN23" t="s">
        <v>508</v>
      </c>
      <c r="BO23" s="48">
        <f>ROUND((((AW23*AZ23)+(BN23*BM23))/(AW23+BN23)),5)</f>
        <v>1161.8084799999999</v>
      </c>
      <c r="BP23" s="53">
        <f>BN23+AW23</f>
        <v>238.5</v>
      </c>
      <c r="BQ23" s="54">
        <v>123562</v>
      </c>
    </row>
    <row r="24" spans="1:69" ht="15.75" thickBot="1">
      <c r="A24" s="25">
        <v>2</v>
      </c>
      <c r="B24" s="25" t="s">
        <v>266</v>
      </c>
      <c r="C24" s="25" t="s">
        <v>175</v>
      </c>
      <c r="D24" s="25" t="s">
        <v>58</v>
      </c>
      <c r="E24" s="25" t="s">
        <v>176</v>
      </c>
      <c r="F24" s="26">
        <v>28</v>
      </c>
      <c r="G24" s="26">
        <v>150.5</v>
      </c>
      <c r="H24" s="26">
        <f t="shared" ref="H24:H25" si="3">F24*G24</f>
        <v>4214</v>
      </c>
      <c r="I24" s="26">
        <v>1</v>
      </c>
      <c r="J24" s="26">
        <v>2</v>
      </c>
      <c r="K24" s="26">
        <v>2.5</v>
      </c>
      <c r="L24" s="26">
        <f t="shared" ref="L24:L25" si="4">H24</f>
        <v>4214</v>
      </c>
      <c r="M24" s="26">
        <f t="shared" ref="M24:M25" si="5">ROUND(L24*I24%,2)</f>
        <v>42.14</v>
      </c>
      <c r="N24" s="26">
        <f t="shared" ref="N24:N25" si="6">H24-M24</f>
        <v>4171.8599999999997</v>
      </c>
      <c r="O24" s="26">
        <f t="shared" ref="O24:O25" si="7">ROUND(N24*J24%,2)</f>
        <v>83.44</v>
      </c>
      <c r="P24" s="26">
        <f t="shared" ref="P24:P25" si="8">ROUND(N24-O24,2)</f>
        <v>4088.42</v>
      </c>
      <c r="Q24" s="26">
        <f t="shared" ref="Q24:Q25" si="9">ROUND(P24*K24%,2)</f>
        <v>102.21</v>
      </c>
      <c r="R24" s="26">
        <f t="shared" ref="R24:R25" si="10">ROUND((M24+O24+Q24),2)</f>
        <v>227.79</v>
      </c>
      <c r="S24" s="26">
        <f t="shared" ref="S24:S25" si="11">ROUND((H24-R24),2)</f>
        <v>3986.21</v>
      </c>
      <c r="T24" s="55" t="s">
        <v>267</v>
      </c>
      <c r="U24" s="43">
        <v>0.18</v>
      </c>
      <c r="V24" s="26">
        <f t="shared" ref="V24:V25" si="12">IF(OR($C$21=1,$C$21=4),ROUND(((S24*U24)/2),2),0)</f>
        <v>358.76</v>
      </c>
      <c r="W24" s="26">
        <f t="shared" ref="W24:W25" si="13">IF($C$21=1,ROUND(((S24*U24)/2),2),0)</f>
        <v>358.76</v>
      </c>
      <c r="X24" s="26">
        <f t="shared" ref="X24:X25" si="14">IF($C$21=2,ROUND(((S24*U24)),2),0)</f>
        <v>0</v>
      </c>
      <c r="Y24" s="26">
        <f t="shared" ref="Y24:Y25" si="15">IF($C$21=4,ROUND(((S24*U24)/2),2),0)</f>
        <v>0</v>
      </c>
      <c r="Z24" s="83">
        <v>0</v>
      </c>
      <c r="AA24" s="26">
        <f t="shared" ref="AA24:AA25" si="16">IF($C22=3, 0, ROUND(S24*Z24, 2))</f>
        <v>0</v>
      </c>
      <c r="AB24" s="25">
        <f t="shared" ref="AB24:AB25" si="17">V24+W24+X24+Y24+AA24</f>
        <v>717.52</v>
      </c>
      <c r="AC24" s="25">
        <f t="shared" ref="AC24:AC25" si="18">IF($V22=1,S24+AB24,S24)</f>
        <v>3986.21</v>
      </c>
      <c r="AD24" s="55">
        <v>350</v>
      </c>
      <c r="AE24" s="55">
        <f>IF($P$21=1,(S24/$S$26)*$E$37,AD24/$AD$26*$E$37)</f>
        <v>0</v>
      </c>
      <c r="AF24" s="55"/>
      <c r="AG24" s="55">
        <f>IF($P$21=1,(S24/$S$26)*$E$39,AD24/$AD$26*$E$39)</f>
        <v>0</v>
      </c>
      <c r="AH24" s="55">
        <f>IF($P$21=1,(S24/$S$26)*$E$40,AD24/$AD$26*$E$40)</f>
        <v>0</v>
      </c>
      <c r="AI24" s="55">
        <f t="shared" si="1"/>
        <v>3986.21</v>
      </c>
      <c r="AJ24" s="55">
        <f t="shared" ref="AJ24:AJ25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:AN25" si="20">ROUND(AI24/AM24,5)</f>
        <v>355.91161</v>
      </c>
      <c r="AO24" s="55">
        <f t="shared" ref="AO24:AO25" si="21">AJ24/AM24</f>
        <v>0</v>
      </c>
      <c r="AP24" s="55">
        <f t="shared" ref="AP24:AP25" si="22">AK24/AM24</f>
        <v>0</v>
      </c>
      <c r="AQ24" s="55" t="s">
        <v>58</v>
      </c>
      <c r="AR24" s="55">
        <f t="shared" ref="AR24:AR25" si="23">ROUND(AN24+AO24+AP24,5)</f>
        <v>355.91161</v>
      </c>
      <c r="AS24" s="48" t="s">
        <v>217</v>
      </c>
      <c r="AT24" s="48" t="s">
        <v>58</v>
      </c>
      <c r="AU24" t="s">
        <v>219</v>
      </c>
      <c r="AV24" t="s">
        <v>268</v>
      </c>
      <c r="AW24" s="48">
        <f>AM24</f>
        <v>11.2</v>
      </c>
      <c r="AX24" s="48">
        <f>AR24</f>
        <v>355.91161</v>
      </c>
      <c r="AY24" s="48">
        <f>AU24+AW24</f>
        <v>351.2</v>
      </c>
      <c r="AZ24" s="48">
        <f>ROUND(((AU24*AV24)+(AW24*AX24))/(AU24+AW24),5)</f>
        <v>251.80162999999999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>
        <v>268</v>
      </c>
      <c r="BN24" t="s">
        <v>509</v>
      </c>
      <c r="BO24" s="48">
        <f>ROUND((((AW24*AZ24)+(BN24*BM24))/(AW24+BN24)),5)</f>
        <v>247.70871</v>
      </c>
      <c r="BP24" s="53">
        <f>BN24+AW24</f>
        <v>358.2</v>
      </c>
      <c r="BQ24" s="54">
        <v>123562</v>
      </c>
    </row>
    <row r="25" spans="1:69" ht="15.75" thickBot="1">
      <c r="A25" s="25">
        <v>3</v>
      </c>
      <c r="B25" s="25" t="s">
        <v>269</v>
      </c>
      <c r="C25" s="25" t="s">
        <v>184</v>
      </c>
      <c r="D25" s="25" t="s">
        <v>163</v>
      </c>
      <c r="E25" s="25" t="s">
        <v>185</v>
      </c>
      <c r="F25" s="26">
        <v>37</v>
      </c>
      <c r="G25" s="26">
        <v>89.54</v>
      </c>
      <c r="H25" s="26">
        <f t="shared" si="3"/>
        <v>3312.98</v>
      </c>
      <c r="I25" s="26">
        <v>1</v>
      </c>
      <c r="J25" s="26">
        <v>2</v>
      </c>
      <c r="K25" s="26">
        <v>2.5</v>
      </c>
      <c r="L25" s="26">
        <f t="shared" si="4"/>
        <v>3312.98</v>
      </c>
      <c r="M25" s="26">
        <f t="shared" si="5"/>
        <v>33.130000000000003</v>
      </c>
      <c r="N25" s="26">
        <f t="shared" si="6"/>
        <v>3279.85</v>
      </c>
      <c r="O25" s="26">
        <f t="shared" si="7"/>
        <v>65.599999999999994</v>
      </c>
      <c r="P25" s="26">
        <f t="shared" si="8"/>
        <v>3214.25</v>
      </c>
      <c r="Q25" s="26">
        <f t="shared" si="9"/>
        <v>80.36</v>
      </c>
      <c r="R25" s="26">
        <f t="shared" si="10"/>
        <v>179.09</v>
      </c>
      <c r="S25" s="26">
        <f t="shared" si="11"/>
        <v>3133.89</v>
      </c>
      <c r="T25" s="55" t="s">
        <v>270</v>
      </c>
      <c r="U25" s="43">
        <v>0.18</v>
      </c>
      <c r="V25" s="26">
        <f t="shared" si="12"/>
        <v>282.05</v>
      </c>
      <c r="W25" s="26">
        <f t="shared" si="13"/>
        <v>282.05</v>
      </c>
      <c r="X25" s="26">
        <f t="shared" si="14"/>
        <v>0</v>
      </c>
      <c r="Y25" s="26">
        <f t="shared" si="15"/>
        <v>0</v>
      </c>
      <c r="Z25" s="83">
        <v>0</v>
      </c>
      <c r="AA25" s="26">
        <f t="shared" si="16"/>
        <v>0</v>
      </c>
      <c r="AB25" s="25">
        <f t="shared" si="17"/>
        <v>564.1</v>
      </c>
      <c r="AC25" s="25">
        <f t="shared" si="18"/>
        <v>3133.89</v>
      </c>
      <c r="AD25" s="55">
        <v>220</v>
      </c>
      <c r="AE25" s="55">
        <f>IF($P$21=1,(S25/$S$26)*$E$37,AD25/$AD$26*$E$37)</f>
        <v>0</v>
      </c>
      <c r="AF25" s="55"/>
      <c r="AG25" s="55">
        <f>IF($P$21=1,(S25/$S$26)*$E$39,AD25/$AD$26*$E$39)</f>
        <v>0</v>
      </c>
      <c r="AH25" s="55">
        <f>IF($P$21=1,(S25/$S$26)*$E$40,AD25/$AD$26*$E$40)</f>
        <v>0</v>
      </c>
      <c r="AI25" s="55">
        <f t="shared" si="1"/>
        <v>3133.89</v>
      </c>
      <c r="AJ25" s="55">
        <f t="shared" si="19"/>
        <v>0</v>
      </c>
      <c r="AK25" s="55">
        <f t="shared" si="2"/>
        <v>0</v>
      </c>
      <c r="AL25" s="25">
        <v>1E-3</v>
      </c>
      <c r="AM25" s="55">
        <f>F25/AL25</f>
        <v>37000</v>
      </c>
      <c r="AN25" s="55">
        <f t="shared" si="20"/>
        <v>8.4699999999999998E-2</v>
      </c>
      <c r="AO25" s="55">
        <f t="shared" si="21"/>
        <v>0</v>
      </c>
      <c r="AP25" s="55">
        <f t="shared" si="22"/>
        <v>0</v>
      </c>
      <c r="AQ25" s="55" t="s">
        <v>58</v>
      </c>
      <c r="AR25" s="55">
        <f t="shared" si="23"/>
        <v>8.4699999999999998E-2</v>
      </c>
      <c r="AS25" s="7" t="s">
        <v>217</v>
      </c>
      <c r="AT25" s="7" t="s">
        <v>58</v>
      </c>
      <c r="AU25" t="s">
        <v>219</v>
      </c>
      <c r="AV25" t="s">
        <v>415</v>
      </c>
      <c r="AW25" s="48">
        <f>AM25</f>
        <v>37000</v>
      </c>
      <c r="AX25" s="48">
        <f>AR25</f>
        <v>8.4699999999999998E-2</v>
      </c>
      <c r="AY25" s="48">
        <f>AU25+AW25</f>
        <v>37341</v>
      </c>
      <c r="AZ25" s="48">
        <f>ROUND(((AU25*AV25)+(AW25*AX25))/(AU25+AW25),5)</f>
        <v>2.3520699999999999</v>
      </c>
      <c r="BA25" s="7"/>
      <c r="BB25" s="7"/>
      <c r="BC25" s="77" t="s">
        <v>38</v>
      </c>
      <c r="BD25" s="78" t="s">
        <v>271</v>
      </c>
      <c r="BE25" s="7"/>
      <c r="BF25" s="7"/>
      <c r="BG25" s="7"/>
      <c r="BH25" s="7"/>
      <c r="BI25" s="7"/>
      <c r="BJ25" s="7"/>
      <c r="BK25" s="7"/>
      <c r="BL25" s="7" t="s">
        <v>265</v>
      </c>
      <c r="BM25" t="s">
        <v>415</v>
      </c>
      <c r="BN25" t="s">
        <v>510</v>
      </c>
      <c r="BO25" s="48">
        <f>ROUND((((AW25*AZ25)+(BN25*BM25))/(AW25+BN25)),5)</f>
        <v>4.6370199999999997</v>
      </c>
      <c r="BP25" s="53">
        <f>BN25+AW25</f>
        <v>37348</v>
      </c>
      <c r="BQ25" s="54">
        <v>123562</v>
      </c>
    </row>
    <row r="26" spans="1:69" ht="15.75" thickBot="1">
      <c r="A26" s="16"/>
      <c r="C26" s="62" t="s">
        <v>87</v>
      </c>
      <c r="D26" s="28"/>
      <c r="E26" s="28"/>
      <c r="F26" s="28"/>
      <c r="G26" s="29"/>
      <c r="H26" s="30">
        <f>SUM(H23:H25)</f>
        <v>13967.73</v>
      </c>
      <c r="I26" s="25"/>
      <c r="J26" s="25"/>
      <c r="K26" s="25"/>
      <c r="L26" s="25"/>
      <c r="M26" s="25"/>
      <c r="N26" s="25"/>
      <c r="O26" s="25"/>
      <c r="P26" s="25"/>
      <c r="Q26" s="25"/>
      <c r="R26" s="30">
        <f>SUM(R23:R25)</f>
        <v>755.04000000000008</v>
      </c>
      <c r="S26" s="30">
        <f>SUM(S23:S25)</f>
        <v>13212.689999999999</v>
      </c>
      <c r="T26" s="30"/>
      <c r="U26" s="30"/>
      <c r="V26" s="39">
        <f t="shared" ref="V26:AE26" si="24">SUM(V23:V25)</f>
        <v>1189.1400000000001</v>
      </c>
      <c r="W26" s="39">
        <f t="shared" si="24"/>
        <v>1189.1400000000001</v>
      </c>
      <c r="X26" s="39">
        <f t="shared" si="24"/>
        <v>0</v>
      </c>
      <c r="Y26" s="39">
        <f>SUM(Y23:Y25)</f>
        <v>0</v>
      </c>
      <c r="Z26" s="112">
        <f>SUM(Z23:Z25)</f>
        <v>0</v>
      </c>
      <c r="AA26" s="39">
        <f>SUM(AA23:AA25)</f>
        <v>0</v>
      </c>
      <c r="AB26" s="30">
        <f>SUM(AB23:AB25)</f>
        <v>2378.2800000000002</v>
      </c>
      <c r="AC26" s="44">
        <f>SUM(AC23:AC25)</f>
        <v>14309.349999999999</v>
      </c>
      <c r="AD26" s="45">
        <f t="shared" si="24"/>
        <v>690</v>
      </c>
      <c r="AE26" s="45">
        <f t="shared" si="24"/>
        <v>0</v>
      </c>
      <c r="AF26" s="44"/>
      <c r="AG26" s="45">
        <f>SUM(AG23:AG25)</f>
        <v>0</v>
      </c>
      <c r="AH26" s="45">
        <f>IF($P$21=1,(S26/$S$26)*$E$40,AD26/$AD$26*$E$40)</f>
        <v>0</v>
      </c>
      <c r="AI26" s="45">
        <f>SUM(AI23:AI25)</f>
        <v>13212.689999999999</v>
      </c>
      <c r="AJ26" s="45">
        <f>SUM(AJ23:AJ25)</f>
        <v>0</v>
      </c>
      <c r="AK26" s="45">
        <f>SUM(AK23:AK25)</f>
        <v>0</v>
      </c>
      <c r="AL26" s="44"/>
      <c r="AM26" s="44"/>
      <c r="AN26" s="44"/>
      <c r="AO26" s="44"/>
      <c r="AP26" s="44"/>
      <c r="AQ26" s="44"/>
      <c r="AR26" s="44"/>
      <c r="AS26" s="16"/>
      <c r="AT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194</v>
      </c>
      <c r="H28" s="155"/>
      <c r="I28" s="156">
        <f>H26</f>
        <v>13967.73</v>
      </c>
      <c r="J28" s="156"/>
      <c r="K28" s="65"/>
      <c r="L28" s="16"/>
      <c r="M28" s="157" t="s">
        <v>195</v>
      </c>
      <c r="N28" s="158"/>
      <c r="O28" s="158"/>
      <c r="P28" s="159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272</v>
      </c>
      <c r="BI28" s="100" t="s">
        <v>273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196</v>
      </c>
      <c r="H29" s="155"/>
      <c r="I29" s="156">
        <f>R26</f>
        <v>755.04000000000008</v>
      </c>
      <c r="J29" s="156"/>
      <c r="K29" s="16"/>
      <c r="L29" s="16"/>
      <c r="M29" s="66">
        <v>1</v>
      </c>
      <c r="N29" s="66" t="s">
        <v>58</v>
      </c>
      <c r="O29" s="66">
        <v>2</v>
      </c>
      <c r="P29" s="66" t="s">
        <v>163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 t="s">
        <v>274</v>
      </c>
      <c r="BI29" s="100" t="s">
        <v>275</v>
      </c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197</v>
      </c>
      <c r="H30" s="155"/>
      <c r="I30" s="156">
        <f>S26</f>
        <v>13212.689999999999</v>
      </c>
      <c r="J30" s="156"/>
      <c r="K30" s="16"/>
      <c r="L30" s="16"/>
      <c r="M30" s="25">
        <v>1</v>
      </c>
      <c r="N30" s="25" t="s">
        <v>58</v>
      </c>
      <c r="O30" s="25">
        <v>2.5</v>
      </c>
      <c r="P30" s="25" t="s">
        <v>176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198</v>
      </c>
      <c r="H31" s="155"/>
      <c r="I31" s="156">
        <f>AB26</f>
        <v>2378.2800000000002</v>
      </c>
      <c r="J31" s="156"/>
      <c r="K31" s="16"/>
      <c r="L31" s="16"/>
      <c r="M31" s="25">
        <v>1</v>
      </c>
      <c r="N31" s="25" t="s">
        <v>163</v>
      </c>
      <c r="O31" s="25">
        <v>1E-3</v>
      </c>
      <c r="P31" s="25" t="s">
        <v>185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 ht="15.75" thickBot="1">
      <c r="A32" s="16"/>
      <c r="B32" s="16"/>
      <c r="C32" s="16"/>
      <c r="D32" s="16"/>
      <c r="E32" s="16"/>
      <c r="F32" s="16"/>
      <c r="G32" s="154" t="s">
        <v>199</v>
      </c>
      <c r="H32" s="155"/>
      <c r="I32" s="160">
        <f>I30+I31</f>
        <v>15590.97</v>
      </c>
      <c r="J32" s="160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 t="s">
        <v>276</v>
      </c>
      <c r="BN33" s="16" t="s">
        <v>277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278</v>
      </c>
      <c r="BL34" s="16">
        <v>12.5</v>
      </c>
      <c r="BM34" s="16">
        <f>BL36*BL37</f>
        <v>18277.77</v>
      </c>
      <c r="BN34" s="16">
        <f>BL34*BL35</f>
        <v>6092.59</v>
      </c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279</v>
      </c>
      <c r="BL35" s="16">
        <v>487.40719999999999</v>
      </c>
      <c r="BM35" s="16">
        <f>BL34+BL36</f>
        <v>50</v>
      </c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280</v>
      </c>
      <c r="BL36" s="16">
        <v>37.5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281</v>
      </c>
      <c r="BL37" s="16">
        <v>487.40719999999999</v>
      </c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>
        <f>BM34+BN34</f>
        <v>24370.36</v>
      </c>
      <c r="BN38" s="16">
        <f>BM38/BM35</f>
        <v>487.40719999999999</v>
      </c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</row>
  </sheetData>
  <mergeCells count="14">
    <mergeCell ref="G32:H32"/>
    <mergeCell ref="I32:J32"/>
    <mergeCell ref="G29:H29"/>
    <mergeCell ref="I29:J29"/>
    <mergeCell ref="G30:H30"/>
    <mergeCell ref="I30:J30"/>
    <mergeCell ref="G31:H31"/>
    <mergeCell ref="I31:J31"/>
    <mergeCell ref="A1:AC1"/>
    <mergeCell ref="B19:G19"/>
    <mergeCell ref="A21:B21"/>
    <mergeCell ref="G28:H28"/>
    <mergeCell ref="I28:J28"/>
    <mergeCell ref="M28:P28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5" t="s">
        <v>47</v>
      </c>
      <c r="B2" s="145"/>
      <c r="C2" s="145"/>
      <c r="D2" s="145"/>
      <c r="E2" s="145"/>
      <c r="F2" s="145"/>
      <c r="G2" s="145"/>
      <c r="H2" s="14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539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431</v>
      </c>
      <c r="H23" s="26">
        <f>F23*G23</f>
        <v>6440.75</v>
      </c>
      <c r="I23" t="s">
        <v>224</v>
      </c>
      <c r="J23" s="26">
        <v>2</v>
      </c>
      <c r="K23" s="26">
        <v>2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124.98</v>
      </c>
      <c r="R23" s="26">
        <f>ROUND((M23+O23+Q23),2)</f>
        <v>316.92</v>
      </c>
      <c r="S23" s="26">
        <f>ROUND((H23-R23),2)</f>
        <v>6123.83</v>
      </c>
      <c r="T23" s="55" t="s">
        <v>146</v>
      </c>
      <c r="U23" s="43">
        <v>0.18</v>
      </c>
      <c r="V23" s="26">
        <f>IF(OR($C$21=1,$C$21=4),ROUND(((S23*U23)/2),2),0)</f>
        <v>551.14</v>
      </c>
      <c r="W23" s="26">
        <f>IF($C$21=1,ROUND(((S23*U23)/2),2),0)</f>
        <v>551.14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1102.28</v>
      </c>
      <c r="AC23" s="25">
        <f>IF($V21=1,S23+AB23,S23)</f>
        <v>7226.11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6123.83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8.3333333333333339</v>
      </c>
      <c r="AN23" s="55">
        <f>ROUND(AI23/AM23,5)</f>
        <v>734.8596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734.8596</v>
      </c>
      <c r="AS23" s="48" t="s">
        <v>217</v>
      </c>
      <c r="AT23" s="48" t="s">
        <v>58</v>
      </c>
      <c r="AU23" t="s">
        <v>219</v>
      </c>
      <c r="AV23" t="s">
        <v>540</v>
      </c>
      <c r="AW23" s="48">
        <f>AM23</f>
        <v>8.3333333333333339</v>
      </c>
      <c r="AX23" s="48">
        <f>AR23</f>
        <v>734.8596</v>
      </c>
      <c r="AY23" s="48">
        <f>AU23+AW23</f>
        <v>8.3333333333333339</v>
      </c>
      <c r="AZ23" s="48">
        <f>ROUND(((AU23*AV23)+(AW23*AX23))/(AU23+AW23),5)</f>
        <v>734.8596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551</v>
      </c>
      <c r="BN23" t="s">
        <v>550</v>
      </c>
      <c r="BO23" s="48">
        <f>ROUND((((AW23*AZ23)+(BN23*BM23))/(AW23+BN23)),5)</f>
        <v>97.802869999999999</v>
      </c>
      <c r="BP23" s="53">
        <f>ROUND(BN23+AW23,3)</f>
        <v>138.33500000000001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6440.75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316.92</v>
      </c>
      <c r="S24" s="30">
        <f>SUM(S23:S23)</f>
        <v>6123.83</v>
      </c>
      <c r="T24" s="30"/>
      <c r="U24" s="30"/>
      <c r="V24" s="39">
        <f t="shared" ref="V24:AE24" si="3">SUM(V23:V23)</f>
        <v>551.14</v>
      </c>
      <c r="W24" s="39">
        <f t="shared" si="3"/>
        <v>551.14</v>
      </c>
      <c r="X24" s="39">
        <f t="shared" si="3"/>
        <v>0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1102.28</v>
      </c>
      <c r="AC24" s="44">
        <f t="shared" si="3"/>
        <v>7226.11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6123.83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6">
        <f>H24</f>
        <v>6440.75</v>
      </c>
      <c r="J26" s="156"/>
      <c r="K26" s="65"/>
      <c r="L26" s="16"/>
      <c r="M26" s="157" t="s">
        <v>195</v>
      </c>
      <c r="N26" s="158"/>
      <c r="O26" s="158"/>
      <c r="P26" s="159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6">
        <f>R24</f>
        <v>316.92</v>
      </c>
      <c r="J27" s="156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6">
        <f>S24</f>
        <v>6123.83</v>
      </c>
      <c r="J28" s="156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6">
        <f>AB24</f>
        <v>1102.28</v>
      </c>
      <c r="J29" s="156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60">
        <f>I28+I29</f>
        <v>7226.11</v>
      </c>
      <c r="J30" s="16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B23" sqref="B23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6" t="s">
        <v>47</v>
      </c>
      <c r="B2" s="146"/>
      <c r="C2" s="146"/>
      <c r="D2" s="146"/>
      <c r="E2" s="146"/>
      <c r="F2" s="146"/>
      <c r="G2" s="146"/>
      <c r="H2" s="14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541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431</v>
      </c>
      <c r="H23" s="26">
        <f>F23*G23</f>
        <v>500</v>
      </c>
      <c r="I23" t="s">
        <v>245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ROUND((M23+O23+Q23),2)</f>
        <v>29.4</v>
      </c>
      <c r="S23" s="26">
        <f>ROUND((H23-R23),2)</f>
        <v>470.6</v>
      </c>
      <c r="T23" s="55" t="s">
        <v>146</v>
      </c>
      <c r="U23" s="43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84.7</v>
      </c>
      <c r="AC23" s="25">
        <f>IF($V21=1,S23+AB23,S23)</f>
        <v>555.30000000000007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470.6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8.3333333333333339</v>
      </c>
      <c r="AN23" s="55">
        <f>ROUND(AI23/AM23,5)</f>
        <v>56.472000000000001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56.472000000000001</v>
      </c>
      <c r="AS23" s="48" t="s">
        <v>217</v>
      </c>
      <c r="AT23" s="48" t="s">
        <v>58</v>
      </c>
      <c r="AU23" t="s">
        <v>219</v>
      </c>
      <c r="AV23" t="s">
        <v>552</v>
      </c>
      <c r="AW23" s="48">
        <f>AM23</f>
        <v>8.3333333333333339</v>
      </c>
      <c r="AX23" s="48">
        <f>AR23</f>
        <v>56.472000000000001</v>
      </c>
      <c r="AY23" s="48">
        <f>AU23+AW23</f>
        <v>8.3333333333333339</v>
      </c>
      <c r="AZ23" s="48">
        <f>ROUND(((AU23*AV23)+(AW23*AX23))/(AU23+AW23),5)</f>
        <v>56.472000000000001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554</v>
      </c>
      <c r="BN23" t="s">
        <v>553</v>
      </c>
      <c r="BO23" s="48">
        <f>ROUND((((AW23*AZ23)+(BN23*BM23))/(AW23+BN23)),5)</f>
        <v>56.865609999999997</v>
      </c>
      <c r="BP23" s="53">
        <f>ROUND(BN23+AW23,3)</f>
        <v>163.334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0">
        <f>SUM(S23:S23)</f>
        <v>470.6</v>
      </c>
      <c r="T24" s="30"/>
      <c r="U24" s="30"/>
      <c r="V24" s="39">
        <f t="shared" ref="V24:AE24" si="3">SUM(V23:V23)</f>
        <v>42.35</v>
      </c>
      <c r="W24" s="39">
        <f t="shared" si="3"/>
        <v>42.35</v>
      </c>
      <c r="X24" s="39">
        <f t="shared" si="3"/>
        <v>0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84.7</v>
      </c>
      <c r="AC24" s="44">
        <f t="shared" si="3"/>
        <v>555.30000000000007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6">
        <f>H24</f>
        <v>500</v>
      </c>
      <c r="J26" s="156"/>
      <c r="K26" s="65"/>
      <c r="L26" s="16"/>
      <c r="M26" s="157" t="s">
        <v>195</v>
      </c>
      <c r="N26" s="158"/>
      <c r="O26" s="158"/>
      <c r="P26" s="159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6">
        <f>R24</f>
        <v>29.4</v>
      </c>
      <c r="J27" s="156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6">
        <f>S24</f>
        <v>470.6</v>
      </c>
      <c r="J28" s="156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6">
        <f>AB24</f>
        <v>84.7</v>
      </c>
      <c r="J29" s="156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60">
        <f>I28+I29</f>
        <v>555.30000000000007</v>
      </c>
      <c r="J30" s="16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A1:AC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464</v>
      </c>
      <c r="H23" s="26">
        <f>F23*G23</f>
        <v>6440.75</v>
      </c>
      <c r="I23" t="s">
        <v>224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219</v>
      </c>
      <c r="AV23" t="s">
        <v>462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363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482</v>
      </c>
      <c r="H24" s="26">
        <f t="shared" ref="H24" si="3">F24*G24</f>
        <v>4214</v>
      </c>
      <c r="I24" t="s">
        <v>483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>
        <v>219</v>
      </c>
      <c r="AV24" t="s">
        <v>463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219</v>
      </c>
      <c r="BN24" t="s">
        <v>219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10654.75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575.95000000000005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10078.799999999999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1814.18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11892.98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447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355</v>
      </c>
      <c r="H23" s="26">
        <f>F23*G23</f>
        <v>10875</v>
      </c>
      <c r="I23" t="s">
        <v>224</v>
      </c>
      <c r="J23" s="26">
        <v>2</v>
      </c>
      <c r="K23" s="26">
        <v>2.5</v>
      </c>
      <c r="L23" s="26">
        <f>H23</f>
        <v>10875</v>
      </c>
      <c r="M23" s="26">
        <f>ROUND(L23*I23%,2)</f>
        <v>435</v>
      </c>
      <c r="N23" s="26">
        <f>H23-M23</f>
        <v>10440</v>
      </c>
      <c r="O23" s="26">
        <f>ROUND(N23*J23%,2)</f>
        <v>208.8</v>
      </c>
      <c r="P23" s="26">
        <f>ROUND(N23-O23,2)</f>
        <v>10231.200000000001</v>
      </c>
      <c r="Q23" s="26">
        <f>ROUND(P23*K23%,2)</f>
        <v>255.78</v>
      </c>
      <c r="R23" s="26">
        <f>ROUND((M23+O23+Q23),2)</f>
        <v>899.58</v>
      </c>
      <c r="S23" s="26">
        <f>ROUND((H23-R23),2)</f>
        <v>9975.42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1795.58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1795.58</v>
      </c>
      <c r="AC23" s="25">
        <f>IF($V21=1,S23+AB23,S23)</f>
        <v>11771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9975.42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798.03359999999998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798.03359999999998</v>
      </c>
      <c r="AS23" s="48" t="s">
        <v>252</v>
      </c>
      <c r="AT23" s="48" t="s">
        <v>58</v>
      </c>
      <c r="AW23" s="48">
        <f>AM23</f>
        <v>12.5</v>
      </c>
      <c r="AX23" s="48">
        <f>AR23</f>
        <v>798.03359999999998</v>
      </c>
      <c r="AY23" s="48">
        <f>AU23+AW23</f>
        <v>12.5</v>
      </c>
      <c r="AZ23" s="48">
        <f>ROUND(((AU23*AV23)+(AW23*AX23))/(AU23+AW23),5)</f>
        <v>798.03359999999998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253</v>
      </c>
      <c r="BM23" t="s">
        <v>219</v>
      </c>
      <c r="BN23" t="s">
        <v>219</v>
      </c>
      <c r="BO23" s="48">
        <f>ROUND((((AW23*AZ23)+(BN23*BM23))/(AW23+BN23)),5)</f>
        <v>798.03359999999998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448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352</v>
      </c>
      <c r="H24" s="26">
        <f t="shared" ref="H24" si="3">F24*G24</f>
        <v>4214</v>
      </c>
      <c r="I24" t="s">
        <v>224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355.91161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355.91161</v>
      </c>
      <c r="AS24" s="48" t="s">
        <v>252</v>
      </c>
      <c r="AT24" s="48" t="s">
        <v>58</v>
      </c>
      <c r="AW24" s="48">
        <f>AM24</f>
        <v>11.2</v>
      </c>
      <c r="AX24" s="48">
        <f>AR24</f>
        <v>355.91161</v>
      </c>
      <c r="AY24" s="48">
        <f>AU24+AW24</f>
        <v>11.2</v>
      </c>
      <c r="AZ24" s="48">
        <f>ROUND(((AU24*AV24)+(AW24*AX24))/(AU24+AW24),5)</f>
        <v>355.91161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253</v>
      </c>
      <c r="BM24" t="s">
        <v>219</v>
      </c>
      <c r="BN24" t="s">
        <v>219</v>
      </c>
      <c r="BO24" s="48">
        <f>ROUND((((AW24*AZ24)+(BN24*BM24))/(AW24+BN24)),5)</f>
        <v>355.91161</v>
      </c>
      <c r="BP24" s="53">
        <f>BN24+AW24</f>
        <v>268.8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15089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1127.3700000000001</v>
      </c>
      <c r="S25" s="30">
        <f>SUM(S23:S24)</f>
        <v>13961.630000000001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2513.1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2513.1</v>
      </c>
      <c r="AC25" s="44">
        <f t="shared" si="24"/>
        <v>15757.21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13961.630000000001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15089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1127.3700000000001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13961.630000000001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2513.1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16474.73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364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352</v>
      </c>
      <c r="H23" s="26">
        <f>F23*G23</f>
        <v>5850</v>
      </c>
      <c r="I23" t="s">
        <v>315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493.01</v>
      </c>
      <c r="W23" s="26">
        <f>IF($C$21=1,ROUND(((S23*U23)/2),2),0)</f>
        <v>493.01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217</v>
      </c>
      <c r="AT23" s="48" t="s">
        <v>58</v>
      </c>
      <c r="AU23" t="s">
        <v>219</v>
      </c>
      <c r="AV23" t="s">
        <v>466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466</v>
      </c>
      <c r="BN23" t="s">
        <v>421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365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355</v>
      </c>
      <c r="H24" s="26">
        <f t="shared" ref="H24" si="3">F24*G24</f>
        <v>9632</v>
      </c>
      <c r="I24" t="s">
        <v>465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267</v>
      </c>
      <c r="U24" s="43">
        <v>0.18</v>
      </c>
      <c r="V24" s="26">
        <f t="shared" ref="V24" si="12">IF(OR($C$21=1,$C$21=4),ROUND(((S24*U24)/2),2),0)</f>
        <v>811.74</v>
      </c>
      <c r="W24" s="26">
        <f t="shared" ref="W24" si="13">IF($C$21=1,ROUND(((S24*U24)/2),2),0)</f>
        <v>811.74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644.23643000000004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644.23643000000004</v>
      </c>
      <c r="AS24" s="48" t="s">
        <v>217</v>
      </c>
      <c r="AT24" s="48" t="s">
        <v>58</v>
      </c>
      <c r="AU24" t="s">
        <v>219</v>
      </c>
      <c r="AV24" t="s">
        <v>467</v>
      </c>
      <c r="AW24" s="48">
        <f>AM24</f>
        <v>14</v>
      </c>
      <c r="AX24" s="48">
        <f>AR24</f>
        <v>644.23643000000004</v>
      </c>
      <c r="AY24" s="48">
        <f>AU24+AW24</f>
        <v>14</v>
      </c>
      <c r="AZ24" s="48">
        <f>ROUND(((AU24*AV24)+(AW24*AX24))/(AU24+AW24),5)</f>
        <v>644.23643000000004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467</v>
      </c>
      <c r="BN24" t="s">
        <v>422</v>
      </c>
      <c r="BO24" s="48">
        <f>ROUND((((AW24*AZ24)+(BN24*BM24))/(AW24+BN24)),5)</f>
        <v>644.23643000000004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1304.75</v>
      </c>
      <c r="W25" s="39">
        <f t="shared" si="24"/>
        <v>1304.75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15482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984.81000000000006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14497.189999999999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2609.5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17106.689999999999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449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262</v>
      </c>
      <c r="H23" s="26">
        <f>F23*G23</f>
        <v>5850</v>
      </c>
      <c r="I23" t="s">
        <v>224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252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253</v>
      </c>
      <c r="BM23" t="s">
        <v>219</v>
      </c>
      <c r="BN23" t="s">
        <v>219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450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451</v>
      </c>
      <c r="H24" s="26">
        <f t="shared" ref="H24" si="3">F24*G24</f>
        <v>9632</v>
      </c>
      <c r="I24" t="s">
        <v>224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252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253</v>
      </c>
      <c r="BM24" t="s">
        <v>219</v>
      </c>
      <c r="BN24" t="s">
        <v>219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15482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984.81000000000006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14497.189999999999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2609.5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17106.689999999999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7" t="s">
        <v>89</v>
      </c>
      <c r="B21" s="167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334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435</v>
      </c>
      <c r="H23" s="26">
        <f>F23*G23</f>
        <v>6440.75</v>
      </c>
      <c r="I23" t="s">
        <v>436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219</v>
      </c>
      <c r="AV23" t="s">
        <v>433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433</v>
      </c>
      <c r="BN23" t="s">
        <v>477</v>
      </c>
      <c r="BO23" s="48">
        <f>ROUND((((AW23*AZ23)+(BN23*BM23))/(AW23+BN23)),5)</f>
        <v>487.40719999999999</v>
      </c>
      <c r="BP23" s="53">
        <f>BN23+AW23</f>
        <v>50</v>
      </c>
      <c r="BQ23" s="54">
        <v>123562</v>
      </c>
    </row>
    <row r="24" spans="1:69" ht="15.75" thickBot="1">
      <c r="A24" s="25">
        <v>2</v>
      </c>
      <c r="B24" s="25" t="s">
        <v>335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437</v>
      </c>
      <c r="H24" s="26">
        <f t="shared" ref="H24" si="3">F24*G24</f>
        <v>4214</v>
      </c>
      <c r="I24" t="s">
        <v>336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>
        <v>219</v>
      </c>
      <c r="AV24" t="s">
        <v>434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>
        <v>524</v>
      </c>
      <c r="BN24" t="s">
        <v>523</v>
      </c>
      <c r="BO24" s="48">
        <f>ROUND((((AW24*AZ24)+(BN24*BM24))/(AW24+BN24)),5)</f>
        <v>284.72928999999999</v>
      </c>
      <c r="BP24" s="53">
        <f>BN24+AW24</f>
        <v>56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68">
        <f>H25</f>
        <v>10654.75</v>
      </c>
      <c r="J27" s="169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68">
        <f>R25</f>
        <v>575.95000000000005</v>
      </c>
      <c r="J28" s="169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68">
        <f>S25</f>
        <v>10078.799999999999</v>
      </c>
      <c r="J29" s="169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68">
        <f>AB25</f>
        <v>1814.18</v>
      </c>
      <c r="J30" s="169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70">
        <f>I29+I30</f>
        <v>11892.98</v>
      </c>
      <c r="J31" s="171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activeCell="D14" sqref="D1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7" t="s">
        <v>89</v>
      </c>
      <c r="B21" s="167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440</v>
      </c>
      <c r="H23" s="26">
        <f>F23*G23</f>
        <v>5925</v>
      </c>
      <c r="I23" t="s">
        <v>441</v>
      </c>
      <c r="J23" s="26">
        <v>2</v>
      </c>
      <c r="K23" s="26">
        <v>2.5</v>
      </c>
      <c r="L23" s="26">
        <f>H23</f>
        <v>5925</v>
      </c>
      <c r="M23" s="26">
        <f>ROUND(L23*I23%,2)</f>
        <v>165.9</v>
      </c>
      <c r="N23" s="26">
        <f>H23-M23</f>
        <v>5759.1</v>
      </c>
      <c r="O23" s="26">
        <f>ROUND(N23*J23%,2)</f>
        <v>115.18</v>
      </c>
      <c r="P23" s="26">
        <f>ROUND(N23-O23,2)</f>
        <v>5643.92</v>
      </c>
      <c r="Q23" s="26">
        <f>ROUND(P23*K23%,2)</f>
        <v>141.1</v>
      </c>
      <c r="R23" s="26">
        <f>ROUND((M23+O23+Q23),2)</f>
        <v>422.18</v>
      </c>
      <c r="S23" s="26">
        <f>ROUND((H23-R23),2)</f>
        <v>5502.82</v>
      </c>
      <c r="T23" s="55" t="s">
        <v>146</v>
      </c>
      <c r="U23" s="43">
        <v>0.18</v>
      </c>
      <c r="V23" s="26">
        <f>IF(OR($C$21=1,$C$21=4),ROUND(((S23*U23)/2),2),0)</f>
        <v>495.25</v>
      </c>
      <c r="W23" s="26">
        <f>IF($C$21=1,ROUND(((S23*U23)/2),2),0)</f>
        <v>495.25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990.5</v>
      </c>
      <c r="AC23" s="25">
        <f>IF($V21=1,S23+AB23,S23)</f>
        <v>6493.32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5502.82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440.22559999999999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440.22559999999999</v>
      </c>
      <c r="AS23" s="48" t="s">
        <v>217</v>
      </c>
      <c r="AT23" s="48" t="s">
        <v>58</v>
      </c>
      <c r="AU23" t="s">
        <v>219</v>
      </c>
      <c r="AV23" t="s">
        <v>438</v>
      </c>
      <c r="AW23" s="48">
        <f>AM23</f>
        <v>12.5</v>
      </c>
      <c r="AX23" s="48">
        <f>AR23</f>
        <v>440.22559999999999</v>
      </c>
      <c r="AY23" s="48">
        <f>AU23+AW23</f>
        <v>12.5</v>
      </c>
      <c r="AZ23" s="48">
        <f>ROUND(((AU23*AV23)+(AW23*AX23))/(AU23+AW23),5)</f>
        <v>440.22559999999999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438</v>
      </c>
      <c r="BN23" t="s">
        <v>475</v>
      </c>
      <c r="BO23" s="48">
        <f>ROUND((((AW23*AZ23)+(BN23*BM23))/(AW23+BN23)),5)</f>
        <v>440.22559999999999</v>
      </c>
      <c r="BP23" s="53">
        <f>BN23+AW23</f>
        <v>62.5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442</v>
      </c>
      <c r="H24" s="26">
        <f t="shared" ref="H24" si="3">F24*G24</f>
        <v>12768</v>
      </c>
      <c r="I24" t="s">
        <v>443</v>
      </c>
      <c r="J24" s="26">
        <v>2</v>
      </c>
      <c r="K24" s="26">
        <v>2.5</v>
      </c>
      <c r="L24" s="26">
        <f t="shared" ref="L24" si="4">H24</f>
        <v>12768</v>
      </c>
      <c r="M24" s="26">
        <f t="shared" ref="M24" si="5">ROUND(L24*I24%,2)</f>
        <v>319.2</v>
      </c>
      <c r="N24" s="26">
        <f t="shared" ref="N24" si="6">H24-M24</f>
        <v>12448.8</v>
      </c>
      <c r="O24" s="26">
        <f t="shared" ref="O24" si="7">ROUND(N24*J24%,2)</f>
        <v>248.98</v>
      </c>
      <c r="P24" s="26">
        <f t="shared" ref="P24" si="8">ROUND(N24-O24,2)</f>
        <v>12199.82</v>
      </c>
      <c r="Q24" s="26">
        <f t="shared" ref="Q24" si="9">ROUND(P24*K24%,2)</f>
        <v>305</v>
      </c>
      <c r="R24" s="26">
        <f t="shared" ref="R24" si="10">ROUND((M24+O24+Q24),2)</f>
        <v>873.18</v>
      </c>
      <c r="S24" s="26">
        <f t="shared" ref="S24" si="11">ROUND((H24-R24),2)</f>
        <v>11894.82</v>
      </c>
      <c r="T24" s="55" t="s">
        <v>267</v>
      </c>
      <c r="U24" s="43">
        <v>0.18</v>
      </c>
      <c r="V24" s="26">
        <f t="shared" ref="V24" si="12">IF(OR($C$21=1,$C$21=4),ROUND(((S24*U24)/2),2),0)</f>
        <v>1070.53</v>
      </c>
      <c r="W24" s="26">
        <f t="shared" ref="W24" si="13">IF($C$21=1,ROUND(((S24*U24)/2),2),0)</f>
        <v>1070.53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2141.06</v>
      </c>
      <c r="AC24" s="25">
        <f t="shared" ref="AC24" si="18">IF($V22=1,S24+AB24,S24)</f>
        <v>11894.82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11894.82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849.63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849.63</v>
      </c>
      <c r="AS24" s="48" t="s">
        <v>217</v>
      </c>
      <c r="AT24" s="48" t="s">
        <v>58</v>
      </c>
      <c r="AU24" t="s">
        <v>219</v>
      </c>
      <c r="AV24" t="s">
        <v>439</v>
      </c>
      <c r="AW24" s="48">
        <f>AM24</f>
        <v>14</v>
      </c>
      <c r="AX24" s="48">
        <f>AR24</f>
        <v>849.63</v>
      </c>
      <c r="AY24" s="48">
        <f>AU24+AW24</f>
        <v>14</v>
      </c>
      <c r="AZ24" s="48">
        <f>ROUND(((AU24*AV24)+(AW24*AX24))/(AU24+AW24),5)</f>
        <v>849.63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>
        <v>439</v>
      </c>
      <c r="BN24" t="s">
        <v>476</v>
      </c>
      <c r="BO24" s="48">
        <f>ROUND((((AW24*AZ24)+(BN24*BM24))/(AW24+BN24)),5)</f>
        <v>980.35091999999997</v>
      </c>
      <c r="BP24" s="53">
        <f>BN24+AW24</f>
        <v>60.667000000000002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18693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1295.3599999999999</v>
      </c>
      <c r="S25" s="30">
        <f>SUM(S23:S24)</f>
        <v>17397.64</v>
      </c>
      <c r="T25" s="30"/>
      <c r="U25" s="30"/>
      <c r="V25" s="39">
        <f t="shared" ref="V25:AE25" si="24">SUM(V23:V24)</f>
        <v>1565.78</v>
      </c>
      <c r="W25" s="39">
        <f t="shared" si="24"/>
        <v>1565.78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3131.56</v>
      </c>
      <c r="AC25" s="44">
        <f t="shared" si="24"/>
        <v>18388.14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17397.64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68">
        <f>H25</f>
        <v>18693</v>
      </c>
      <c r="J27" s="169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68">
        <f>R25</f>
        <v>1295.3599999999999</v>
      </c>
      <c r="J28" s="169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68">
        <f>S25</f>
        <v>17397.64</v>
      </c>
      <c r="J29" s="169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68">
        <f>AB25</f>
        <v>3131.56</v>
      </c>
      <c r="J30" s="169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70">
        <f>I29+I30</f>
        <v>20529.2</v>
      </c>
      <c r="J31" s="171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M1" workbookViewId="0">
      <selection activeCell="BA1" sqref="BA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7" t="s">
        <v>89</v>
      </c>
      <c r="B21" s="167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332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219</v>
      </c>
      <c r="AV23" t="s">
        <v>264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>
        <v>264</v>
      </c>
      <c r="BN23" t="s">
        <v>475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333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>
        <v>219</v>
      </c>
      <c r="AV24" t="s">
        <v>432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>
        <v>432</v>
      </c>
      <c r="BN24" t="s">
        <v>476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68">
        <f>H25</f>
        <v>10654.75</v>
      </c>
      <c r="J27" s="169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68">
        <f>R25</f>
        <v>575.95000000000005</v>
      </c>
      <c r="J28" s="169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68">
        <f>S25</f>
        <v>10078.799999999999</v>
      </c>
      <c r="J29" s="169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68">
        <f>AB25</f>
        <v>1814.18</v>
      </c>
      <c r="J30" s="169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70">
        <f>I29+I30</f>
        <v>11892.98</v>
      </c>
      <c r="J31" s="171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298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420</v>
      </c>
      <c r="H23" s="26">
        <f>F23*G23</f>
        <v>6440.75</v>
      </c>
      <c r="I23" t="s">
        <v>224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219</v>
      </c>
      <c r="AV23" t="s">
        <v>418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265</v>
      </c>
      <c r="BM23" t="s">
        <v>418</v>
      </c>
      <c r="BN23" t="s">
        <v>477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300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262</v>
      </c>
      <c r="H24" s="26">
        <f t="shared" ref="H24" si="3">F24*G24</f>
        <v>4214</v>
      </c>
      <c r="I24" t="s">
        <v>301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>
        <v>219</v>
      </c>
      <c r="AV24" t="s">
        <v>419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265</v>
      </c>
      <c r="BM24" t="s">
        <v>419</v>
      </c>
      <c r="BN24" t="s">
        <v>478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10654.75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575.95000000000005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10078.799999999999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1814.18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11892.98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366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484</v>
      </c>
      <c r="H23" s="26">
        <f>F23*G23</f>
        <v>1125</v>
      </c>
      <c r="I23" t="s">
        <v>301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189.62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1053.44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217</v>
      </c>
      <c r="AT23" s="48" t="s">
        <v>58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253</v>
      </c>
      <c r="BM23" t="s">
        <v>219</v>
      </c>
      <c r="BN23" t="s">
        <v>219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71.56</v>
      </c>
      <c r="S24" s="30">
        <f>SUM(S23:S23)</f>
        <v>1053.44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189.62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189.62</v>
      </c>
      <c r="AC24" s="44">
        <f t="shared" si="3"/>
        <v>1243.06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1053.44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6">
        <f>H24</f>
        <v>1125</v>
      </c>
      <c r="J26" s="156"/>
      <c r="K26" s="65"/>
      <c r="L26" s="16"/>
      <c r="M26" s="157" t="s">
        <v>195</v>
      </c>
      <c r="N26" s="158"/>
      <c r="O26" s="158"/>
      <c r="P26" s="159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6">
        <f>R24</f>
        <v>71.56</v>
      </c>
      <c r="J27" s="156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6">
        <f>S24</f>
        <v>1053.44</v>
      </c>
      <c r="J28" s="156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6">
        <f>AB24</f>
        <v>189.62</v>
      </c>
      <c r="J29" s="156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60">
        <f>I28+I29</f>
        <v>1243.06</v>
      </c>
      <c r="J30" s="16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R13" workbookViewId="0">
      <selection activeCell="AA23" sqref="AA23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327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256</v>
      </c>
      <c r="H23" s="26">
        <f>F23*G23</f>
        <v>1125</v>
      </c>
      <c r="I23" t="s">
        <v>224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94.81</v>
      </c>
      <c r="W23" s="26">
        <f>IF($C$21=1,ROUND(((S23*U23)/2),2),0)</f>
        <v>94.81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1053.44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217</v>
      </c>
      <c r="AT23" s="48" t="s">
        <v>58</v>
      </c>
      <c r="AU23" t="s">
        <v>257</v>
      </c>
      <c r="AV23" t="s">
        <v>328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31</v>
      </c>
      <c r="BM23" t="s">
        <v>328</v>
      </c>
      <c r="BN23" t="s">
        <v>516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25">
        <v>2</v>
      </c>
      <c r="B24" s="25" t="s">
        <v>329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256</v>
      </c>
      <c r="H24" s="26">
        <f t="shared" ref="H24" si="3">F24*G24</f>
        <v>9660</v>
      </c>
      <c r="I24" t="s">
        <v>224</v>
      </c>
      <c r="J24" s="26">
        <v>2</v>
      </c>
      <c r="K24" s="26">
        <v>2.5</v>
      </c>
      <c r="L24" s="26">
        <f t="shared" ref="L24" si="4">H24</f>
        <v>9660</v>
      </c>
      <c r="M24" s="26">
        <f t="shared" ref="M24" si="5">ROUND(L24*I24%,2)</f>
        <v>289.8</v>
      </c>
      <c r="N24" s="26">
        <f t="shared" ref="N24" si="6">H24-M24</f>
        <v>9370.2000000000007</v>
      </c>
      <c r="O24" s="26">
        <f t="shared" ref="O24" si="7">ROUND(N24*J24%,2)</f>
        <v>187.4</v>
      </c>
      <c r="P24" s="26">
        <f t="shared" ref="P24" si="8">ROUND(N24-O24,2)</f>
        <v>9182.7999999999993</v>
      </c>
      <c r="Q24" s="26">
        <f t="shared" ref="Q24" si="9">ROUND(P24*K24%,2)</f>
        <v>229.57</v>
      </c>
      <c r="R24" s="26">
        <f t="shared" ref="R24" si="10">ROUND((M24+O24+Q24),2)</f>
        <v>706.77</v>
      </c>
      <c r="S24" s="26">
        <f t="shared" ref="S24" si="11">ROUND((H24-R24),2)</f>
        <v>8953.23</v>
      </c>
      <c r="T24" s="55" t="s">
        <v>267</v>
      </c>
      <c r="U24" s="43">
        <v>0.18</v>
      </c>
      <c r="V24" s="26">
        <f t="shared" ref="V24" si="12">IF(OR($C$21=1,$C$21=4),ROUND(((S24*U24)/2),2),0)</f>
        <v>805.79</v>
      </c>
      <c r="W24" s="26">
        <f t="shared" ref="W24" si="13">IF($C$21=1,ROUND(((S24*U24)/2),2),0)</f>
        <v>805.79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1611.58</v>
      </c>
      <c r="AC24" s="25">
        <f t="shared" ref="AC24" si="18">IF($V22=1,S24+AB24,S24)</f>
        <v>8953.23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8953.23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639.51643000000001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639.51643000000001</v>
      </c>
      <c r="AS24" s="48" t="s">
        <v>217</v>
      </c>
      <c r="AT24" s="48" t="s">
        <v>58</v>
      </c>
      <c r="AU24" t="s">
        <v>330</v>
      </c>
      <c r="AV24" t="s">
        <v>331</v>
      </c>
      <c r="AW24" s="48">
        <f>AM24</f>
        <v>14</v>
      </c>
      <c r="AX24" s="48">
        <f>AR24</f>
        <v>639.51643000000001</v>
      </c>
      <c r="AY24" s="48">
        <f>AU24+AW24</f>
        <v>14</v>
      </c>
      <c r="AZ24" s="48">
        <f>ROUND(((AU24*AV24)+(AW24*AX24))/(AU24+AW24),5)</f>
        <v>639.51643000000001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31</v>
      </c>
      <c r="BM24" t="s">
        <v>331</v>
      </c>
      <c r="BN24" t="s">
        <v>517</v>
      </c>
      <c r="BO24" s="48">
        <f>ROUND((((AW24*AZ24)+(BN24*BM24))/(AW24+BN24)),5)</f>
        <v>639.51643000000001</v>
      </c>
      <c r="BP24" s="53">
        <f>BN24+AW24</f>
        <v>56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10785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778.32999999999993</v>
      </c>
      <c r="S25" s="30">
        <f>SUM(S23:S24)</f>
        <v>10006.67</v>
      </c>
      <c r="T25" s="30"/>
      <c r="U25" s="30"/>
      <c r="V25" s="39">
        <f t="shared" ref="V25:AE25" si="24">SUM(V23:V24)</f>
        <v>900.59999999999991</v>
      </c>
      <c r="W25" s="39">
        <f t="shared" si="24"/>
        <v>900.59999999999991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1801.1999999999998</v>
      </c>
      <c r="AC25" s="44">
        <f t="shared" si="24"/>
        <v>10196.289999999999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10006.67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10785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778.32999999999993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10006.67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1801.1999999999998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11807.869999999999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3" t="s">
        <v>47</v>
      </c>
      <c r="B2" s="113"/>
      <c r="C2" s="113"/>
      <c r="D2" s="113"/>
      <c r="E2" s="113"/>
      <c r="F2" s="113"/>
      <c r="G2" s="113"/>
      <c r="H2" s="11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49" t="s">
        <v>89</v>
      </c>
      <c r="B21" s="149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295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>
        <v>360</v>
      </c>
      <c r="AV23" t="s">
        <v>416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253</v>
      </c>
      <c r="BM23" t="s">
        <v>219</v>
      </c>
      <c r="BN23" t="s">
        <v>219</v>
      </c>
      <c r="BO23" s="48">
        <f>ROUND((((AW23*AZ23)+(BN23*BM23))/(AW23+BN23)),5)</f>
        <v>1220.52478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296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>
        <v>361</v>
      </c>
      <c r="AV24" t="s">
        <v>417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253</v>
      </c>
      <c r="BM24" t="s">
        <v>219</v>
      </c>
      <c r="BN24" t="s">
        <v>219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10654.75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575.95000000000005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10078.799999999999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AB25</f>
        <v>1814.19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11892.99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282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217</v>
      </c>
      <c r="AQ23" s="7" t="s">
        <v>58</v>
      </c>
      <c r="AR23" t="s">
        <v>283</v>
      </c>
      <c r="AS23" t="s">
        <v>284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265</v>
      </c>
      <c r="BJ23" t="s">
        <v>287</v>
      </c>
      <c r="BK23" t="s">
        <v>288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289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267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217</v>
      </c>
      <c r="AQ24" s="7" t="s">
        <v>58</v>
      </c>
      <c r="AR24" t="s">
        <v>290</v>
      </c>
      <c r="AS24" t="s">
        <v>291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265</v>
      </c>
      <c r="BJ24" t="s">
        <v>293</v>
      </c>
      <c r="BK24" t="s">
        <v>294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10654.75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575.95000000000005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10078.799999999999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Y25</f>
        <v>1814.19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11892.99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295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217</v>
      </c>
      <c r="AQ23" s="7" t="s">
        <v>58</v>
      </c>
      <c r="AR23" t="s">
        <v>219</v>
      </c>
      <c r="AS23" t="s">
        <v>264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253</v>
      </c>
      <c r="BJ23" t="s">
        <v>264</v>
      </c>
      <c r="BK23" t="s">
        <v>256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296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267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217</v>
      </c>
      <c r="AQ24" s="7" t="s">
        <v>58</v>
      </c>
      <c r="AR24" t="s">
        <v>219</v>
      </c>
      <c r="AS24" t="s">
        <v>268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253</v>
      </c>
      <c r="BJ24" t="s">
        <v>268</v>
      </c>
      <c r="BK24" t="s">
        <v>297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10654.75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575.95000000000005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10078.799999999999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Y25</f>
        <v>1814.19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11892.99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2" t="s">
        <v>154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303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304</v>
      </c>
      <c r="H23" s="26">
        <f>F23*G23</f>
        <v>1967.5</v>
      </c>
      <c r="I23" t="s">
        <v>224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217</v>
      </c>
      <c r="AQ23" s="7" t="s">
        <v>58</v>
      </c>
      <c r="AR23" t="s">
        <v>299</v>
      </c>
      <c r="AS23" t="s">
        <v>305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265</v>
      </c>
      <c r="BJ23" t="s">
        <v>219</v>
      </c>
      <c r="BK23" t="s">
        <v>219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306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307</v>
      </c>
      <c r="H24" s="26">
        <f t="shared" ref="H24" si="4">F24*G24</f>
        <v>2380</v>
      </c>
      <c r="I24" t="s">
        <v>301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267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217</v>
      </c>
      <c r="AQ24" s="7" t="s">
        <v>58</v>
      </c>
      <c r="AR24" t="s">
        <v>302</v>
      </c>
      <c r="AS24" t="s">
        <v>308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265</v>
      </c>
      <c r="BJ24" t="s">
        <v>219</v>
      </c>
      <c r="BK24" t="s">
        <v>219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</v>
      </c>
      <c r="W25" s="39">
        <f t="shared" si="26"/>
        <v>364.34</v>
      </c>
      <c r="X25" s="39">
        <f t="shared" si="26"/>
        <v>0</v>
      </c>
      <c r="Y25" s="30">
        <f t="shared" si="26"/>
        <v>728.68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6">
        <f>H25</f>
        <v>4347.5</v>
      </c>
      <c r="J27" s="156"/>
      <c r="K27" s="65"/>
      <c r="L27" s="16"/>
      <c r="M27" s="157" t="s">
        <v>195</v>
      </c>
      <c r="N27" s="158"/>
      <c r="O27" s="158"/>
      <c r="P27" s="159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6">
        <f>R25</f>
        <v>299.27999999999997</v>
      </c>
      <c r="J28" s="156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6">
        <f>S25</f>
        <v>4048.22</v>
      </c>
      <c r="J29" s="156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6">
        <f>Y25</f>
        <v>728.68</v>
      </c>
      <c r="J30" s="156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60">
        <f>I29+I30</f>
        <v>4776.8999999999996</v>
      </c>
      <c r="J31" s="16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7">
      <c r="A23" s="25">
        <v>1</v>
      </c>
      <c r="B23" s="25" t="s">
        <v>309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217</v>
      </c>
      <c r="AQ23" s="48" t="s">
        <v>58</v>
      </c>
      <c r="AR23" t="s">
        <v>219</v>
      </c>
      <c r="AS23" t="s">
        <v>240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240</v>
      </c>
      <c r="BK23" t="s">
        <v>311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312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832.84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235.26666666666699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235.26666666666699</v>
      </c>
      <c r="AP24" s="48" t="s">
        <v>217</v>
      </c>
      <c r="AQ24" s="48" t="s">
        <v>58</v>
      </c>
      <c r="AR24" t="s">
        <v>219</v>
      </c>
      <c r="AS24" t="s">
        <v>313</v>
      </c>
      <c r="AT24" s="48">
        <f t="shared" ref="AT24" si="23">AJ24</f>
        <v>3</v>
      </c>
      <c r="AU24" s="48">
        <f t="shared" ref="AU24" si="24">AO24</f>
        <v>235.26666666666699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313</v>
      </c>
      <c r="BK24" t="s">
        <v>301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7">
      <c r="A23" s="25">
        <v>1</v>
      </c>
      <c r="B23" s="25" t="s">
        <v>318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319</v>
      </c>
      <c r="H23" s="26">
        <f>F23*G23</f>
        <v>1572</v>
      </c>
      <c r="I23" t="s">
        <v>251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217</v>
      </c>
      <c r="AQ23" s="48" t="s">
        <v>58</v>
      </c>
      <c r="AR23" t="s">
        <v>219</v>
      </c>
      <c r="AS23" t="s">
        <v>320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320</v>
      </c>
      <c r="BK23" t="s">
        <v>224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321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322</v>
      </c>
      <c r="H24" s="26">
        <f t="shared" ref="H24" si="6">F24*G24</f>
        <v>1305</v>
      </c>
      <c r="I24" t="s">
        <v>323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407.40666666666698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407.40666666666698</v>
      </c>
      <c r="AP24" s="48" t="s">
        <v>217</v>
      </c>
      <c r="AQ24" s="48" t="s">
        <v>58</v>
      </c>
      <c r="AR24" t="s">
        <v>219</v>
      </c>
      <c r="AS24" t="s">
        <v>324</v>
      </c>
      <c r="AT24" s="48">
        <f t="shared" ref="AT24" si="18">AJ24</f>
        <v>3</v>
      </c>
      <c r="AU24" s="48">
        <f>AO24</f>
        <v>407.40666666666698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324</v>
      </c>
      <c r="BK24" t="s">
        <v>301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49" t="s">
        <v>89</v>
      </c>
      <c r="B21" s="149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369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485</v>
      </c>
      <c r="H23" s="26">
        <f>F23*G23</f>
        <v>850</v>
      </c>
      <c r="I23" t="s">
        <v>224</v>
      </c>
      <c r="J23" s="26">
        <v>1.79</v>
      </c>
      <c r="K23" s="26">
        <v>2.5</v>
      </c>
      <c r="L23" s="26">
        <f>H23</f>
        <v>850</v>
      </c>
      <c r="M23" s="26">
        <f>ROUND(L23*I23%,2)</f>
        <v>18.79</v>
      </c>
      <c r="N23" s="26">
        <f>H23-M23</f>
        <v>831.21</v>
      </c>
      <c r="O23" s="26">
        <f>ROUND(N23*J23%,2)</f>
        <v>14.88</v>
      </c>
      <c r="P23" s="26">
        <f>ROUND(N23-O23,2)</f>
        <v>816.33</v>
      </c>
      <c r="Q23" s="26">
        <f>ROUND(P23*K23%,2)</f>
        <v>20.41</v>
      </c>
      <c r="R23" s="26">
        <f>M23+O23+Q23</f>
        <v>54.08</v>
      </c>
      <c r="S23" s="26">
        <f>(H23-R23)</f>
        <v>795.92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143.27000000000001</v>
      </c>
      <c r="Y23" s="26">
        <f>V23+W23+X23</f>
        <v>143.27000000000001</v>
      </c>
      <c r="Z23" s="26">
        <f t="shared" ref="Z23:Z24" si="1">S23+Y23</f>
        <v>939.19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795.92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31.8368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31.8368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31.8368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>
        <v>219</v>
      </c>
      <c r="BK23" t="s">
        <v>219</v>
      </c>
      <c r="BL23" s="48">
        <f>ROUND((((AT23*AW23)+(BK23*BJ23))/(AT23+BK23)),5)</f>
        <v>31.8368</v>
      </c>
    </row>
    <row r="24" spans="1:65">
      <c r="A24" s="25">
        <v>2</v>
      </c>
      <c r="B24" s="25" t="s">
        <v>370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1172.8699999999999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</v>
      </c>
      <c r="AP24" s="48" t="s">
        <v>252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28.398859999999999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253</v>
      </c>
      <c r="BJ24" t="s">
        <v>219</v>
      </c>
      <c r="BK24" t="s">
        <v>219</v>
      </c>
      <c r="BL24" s="48">
        <f>ROUND((((AT24*AW24)+(BK24*BJ24))/(AT24+BK24)),5)</f>
        <v>28.398859999999999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110.12</v>
      </c>
      <c r="S25" s="39">
        <f>SUM(S23:S24)</f>
        <v>1789.88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322.18</v>
      </c>
      <c r="Y25" s="30">
        <f t="shared" si="22"/>
        <v>322.18</v>
      </c>
      <c r="Z25" s="44">
        <f t="shared" si="22"/>
        <v>2112.06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1789.88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49" t="s">
        <v>89</v>
      </c>
      <c r="B21" s="149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371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372</v>
      </c>
      <c r="H23" s="26">
        <f>F23*G23</f>
        <v>17200</v>
      </c>
      <c r="I23" t="s">
        <v>224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>
        <v>219</v>
      </c>
      <c r="BK23" t="s">
        <v>219</v>
      </c>
      <c r="BL23" s="48">
        <f>ROUND((((AT23*AW23)+(BK23*BJ23))/(AT23+BK23)),5)</f>
        <v>645.61680000000001</v>
      </c>
    </row>
    <row r="24" spans="1:65">
      <c r="A24" s="25">
        <v>2</v>
      </c>
      <c r="B24" s="25" t="s">
        <v>373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322</v>
      </c>
      <c r="H24" s="26">
        <f t="shared" ref="H24" si="6">F24*G24</f>
        <v>15225</v>
      </c>
      <c r="I24" t="s">
        <v>218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400.31971428571399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400.31971428571399</v>
      </c>
      <c r="AP24" s="48" t="s">
        <v>252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400.31970999999999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253</v>
      </c>
      <c r="BJ24" t="s">
        <v>219</v>
      </c>
      <c r="BK24" t="s">
        <v>219</v>
      </c>
      <c r="BL24" s="48">
        <f>ROUND((((AT24*AW24)+(BK24*BJ24))/(AT24+BK24)),5)</f>
        <v>400.31970999999999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</v>
      </c>
      <c r="Y25" s="30">
        <f t="shared" si="22"/>
        <v>5427.29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49" t="s">
        <v>89</v>
      </c>
      <c r="B21" s="149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375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486</v>
      </c>
      <c r="H23" s="26">
        <f>F23*G23</f>
        <v>17200</v>
      </c>
      <c r="I23" t="s">
        <v>301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" si="1">S23+Y23</f>
        <v>19045.7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16140.42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>
        <v>219</v>
      </c>
      <c r="BK23" t="s">
        <v>219</v>
      </c>
      <c r="BL23" s="48">
        <f>ROUND((((AT23*AW23)+(BK23*BJ23))/(AT23+BK23)),5)</f>
        <v>645.61680000000001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17200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1059.58</v>
      </c>
      <c r="S24" s="39">
        <f>SUM(S23:S23)</f>
        <v>16140.42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2905.28</v>
      </c>
      <c r="Y24" s="30">
        <f t="shared" si="6"/>
        <v>2905.28</v>
      </c>
      <c r="Z24" s="44">
        <f t="shared" si="6"/>
        <v>19045.7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16140.42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49" t="s">
        <v>89</v>
      </c>
      <c r="B21" s="149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  <c r="BN22" s="57" t="s">
        <v>108</v>
      </c>
    </row>
    <row r="23" spans="1:67">
      <c r="A23" s="25">
        <v>1</v>
      </c>
      <c r="B23" s="25" t="s">
        <v>376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217</v>
      </c>
      <c r="AQ23" s="48" t="s">
        <v>58</v>
      </c>
      <c r="AR23" t="s">
        <v>219</v>
      </c>
      <c r="AS23" t="s">
        <v>240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356</v>
      </c>
      <c r="BK23" t="s">
        <v>357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377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</v>
      </c>
      <c r="AP24" s="48" t="s">
        <v>217</v>
      </c>
      <c r="AQ24" s="48" t="s">
        <v>58</v>
      </c>
      <c r="AR24" t="s">
        <v>219</v>
      </c>
      <c r="AS24" t="s">
        <v>220</v>
      </c>
      <c r="AT24" s="48">
        <f t="shared" ref="AT24" si="21">AJ24</f>
        <v>3</v>
      </c>
      <c r="AU24" s="48">
        <f>AO24</f>
        <v>123.303333333333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358</v>
      </c>
      <c r="BK24" t="s">
        <v>359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49" t="s">
        <v>89</v>
      </c>
      <c r="B21" s="149"/>
      <c r="C21" s="20">
        <v>5</v>
      </c>
      <c r="D21" s="21" t="s">
        <v>378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56" t="s">
        <v>216</v>
      </c>
      <c r="BQ22" s="57" t="s">
        <v>108</v>
      </c>
    </row>
    <row r="23" spans="1:70">
      <c r="A23" s="25">
        <v>1</v>
      </c>
      <c r="B23" s="25" t="s">
        <v>377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>
        <v>219</v>
      </c>
      <c r="AV23" t="s">
        <v>240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356</v>
      </c>
      <c r="BN23" t="s">
        <v>357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49" t="s">
        <v>89</v>
      </c>
      <c r="B21" s="149"/>
      <c r="C21" s="20">
        <v>1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>
        <v>224</v>
      </c>
      <c r="AV23" t="s">
        <v>385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386</v>
      </c>
      <c r="BN23" t="s">
        <v>387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49" t="s">
        <v>89</v>
      </c>
      <c r="B21" s="149"/>
      <c r="C21" s="20">
        <v>3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>
        <v>224</v>
      </c>
      <c r="AV23" t="s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390</v>
      </c>
      <c r="BN23" t="s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49" t="s">
        <v>89</v>
      </c>
      <c r="B21" s="149"/>
      <c r="C21" s="20">
        <v>1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95.105000000000004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217</v>
      </c>
      <c r="AT23" s="48" t="s">
        <v>58</v>
      </c>
      <c r="AU23" t="s">
        <v>224</v>
      </c>
      <c r="AV23" t="s">
        <v>391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392</v>
      </c>
      <c r="BN23" t="s">
        <v>393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95.105000000000004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7" t="s">
        <v>46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48" t="s">
        <v>87</v>
      </c>
      <c r="C19" s="148"/>
      <c r="D19" s="148"/>
      <c r="E19" s="148"/>
      <c r="F19" s="148"/>
      <c r="G19" s="14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49" t="s">
        <v>89</v>
      </c>
      <c r="B21" s="149"/>
      <c r="C21" s="20">
        <v>2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217</v>
      </c>
      <c r="AT23" s="48" t="s">
        <v>58</v>
      </c>
      <c r="AU23" t="s">
        <v>224</v>
      </c>
      <c r="AV23" t="s">
        <v>240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386</v>
      </c>
      <c r="BN23" t="s">
        <v>387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2025-10-30T13:44:26Z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