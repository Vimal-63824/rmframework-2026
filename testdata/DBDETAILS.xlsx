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89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69.xml" ContentType="application/vnd.openxmlformats-officedocument.spreadsheetml.worksheet+xml"/>
  <Override PartName="/xl/worksheets/sheet78.xml" ContentType="application/vnd.openxmlformats-officedocument.spreadsheetml.worksheet+xml"/>
  <Override PartName="/xl/worksheets/sheet87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7.xml" ContentType="application/vnd.openxmlformats-officedocument.spreadsheetml.worksheet+xml"/>
  <Override PartName="/xl/worksheets/sheet76.xml" ContentType="application/vnd.openxmlformats-officedocument.spreadsheetml.worksheet+xml"/>
  <Override PartName="/xl/worksheets/sheet85.xml" ContentType="application/vnd.openxmlformats-officedocument.spreadsheetml.worksheet+xml"/>
  <Override PartName="/xl/worksheets/sheet94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4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65.xml" ContentType="application/vnd.openxmlformats-officedocument.spreadsheetml.worksheet+xml"/>
  <Override PartName="/xl/worksheets/sheet74.xml" ContentType="application/vnd.openxmlformats-officedocument.spreadsheetml.worksheet+xml"/>
  <Override PartName="/xl/worksheets/sheet83.xml" ContentType="application/vnd.openxmlformats-officedocument.spreadsheetml.worksheet+xml"/>
  <Override PartName="/xl/worksheets/sheet92.xml" ContentType="application/vnd.openxmlformats-officedocument.spreadsheetml.worksheet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72.xml" ContentType="application/vnd.openxmlformats-officedocument.spreadsheetml.worksheet+xml"/>
  <Override PartName="/xl/worksheets/sheet81.xml" ContentType="application/vnd.openxmlformats-officedocument.spreadsheetml.worksheet+xml"/>
  <Override PartName="/xl/worksheets/sheet90.xml" ContentType="application/vnd.openxmlformats-officedocument.spreadsheetml.worksheet+xml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28" activeTab="28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UDFreePass" sheetId="69" r:id="rId49"/>
    <sheet name="StockTransferRCFreePass" sheetId="68" r:id="rId50"/>
    <sheet name="StockTransferPricelistFreePass" sheetId="53" r:id="rId51"/>
    <sheet name="DifferentUOMPriceListGen" sheetId="29" r:id="rId52"/>
    <sheet name="StockTransferUDDifferentUOM" sheetId="67" r:id="rId53"/>
    <sheet name="DifferentUOMMATUD" sheetId="19" r:id="rId54"/>
    <sheet name="DifferentUOMStocktransferUD" sheetId="20" r:id="rId55"/>
    <sheet name="DifferentUOMRateMat" sheetId="22" r:id="rId56"/>
    <sheet name="POwithGrnWithoutQEMaterial" sheetId="24" r:id="rId57"/>
    <sheet name="POwithoutQualityRateMat" sheetId="26" r:id="rId58"/>
    <sheet name="StockTransferPORateContract" sheetId="55" r:id="rId59"/>
    <sheet name="StockTransferPOpriceList" sheetId="56" r:id="rId60"/>
    <sheet name="StocktransferPriceListPO" sheetId="58" r:id="rId61"/>
    <sheet name="TvsMrvApplicationControl" sheetId="60" r:id="rId62"/>
    <sheet name="MrvLineWiseCancel" sheetId="61" r:id="rId63"/>
    <sheet name="LocalUnregisterSuplier" sheetId="63" r:id="rId64"/>
    <sheet name="InterstateSupplierUnregister" sheetId="64" r:id="rId65"/>
    <sheet name="CESS" sheetId="66" r:id="rId66"/>
    <sheet name="WithoutDiscount" sheetId="65" r:id="rId67"/>
    <sheet name="ImportDirectGRNUDGeneralSameUOM" sheetId="70" r:id="rId68"/>
    <sheet name="ImportDirectGRNUDGeneralDiffUOM" sheetId="80" r:id="rId69"/>
    <sheet name="ImportDirectGRNUDServiceSameUOM" sheetId="71" r:id="rId70"/>
    <sheet name="ImportDirectGRNRCGeneralSameUOM" sheetId="72" r:id="rId71"/>
    <sheet name="ImportDirectGRNRCGeneralDiffUOM" sheetId="77" r:id="rId72"/>
    <sheet name="ImportDirectGRNRCServiceSameUOM" sheetId="73" r:id="rId73"/>
    <sheet name="ImportDirectGRNPLGeneralSameUOM" sheetId="74" r:id="rId74"/>
    <sheet name="ImportDirectGRNPLGeneralDiffUOM" sheetId="78" r:id="rId75"/>
    <sheet name="ImportDirectGRNPLServiceSameUOM" sheetId="75" r:id="rId76"/>
    <sheet name="LandedCostDB" sheetId="81" r:id="rId77"/>
    <sheet name="LandedCostWTDS" sheetId="82" r:id="rId78"/>
    <sheet name="LandedCostWTDSandESI" sheetId="83" r:id="rId79"/>
    <sheet name="LandedCostHSNCHanged" sheetId="84" r:id="rId80"/>
    <sheet name="LandedCostAdditem" sheetId="85" r:id="rId81"/>
    <sheet name="LandedCostAddition" sheetId="86" r:id="rId82"/>
    <sheet name="LandedCostDeduction" sheetId="87" r:id="rId83"/>
    <sheet name="RoundOFValue" sheetId="88" r:id="rId84"/>
    <sheet name="StocktransferAddItem" sheetId="89" r:id="rId85"/>
    <sheet name="StockTransferAddLocalRCM" sheetId="90" r:id="rId86"/>
    <sheet name="StockTransferAddLocalEXToIGST" sheetId="91" r:id="rId87"/>
    <sheet name="StockTransferAddIterstateEXWRCM" sheetId="92" r:id="rId88"/>
    <sheet name="StockTransferAddIterstateEX" sheetId="93" r:id="rId89"/>
    <sheet name="StockTransferAddLocalEX" sheetId="94" r:id="rId90"/>
    <sheet name="StocktransferInterstate" sheetId="95" r:id="rId91"/>
    <sheet name="StocktransferISForRCM" sheetId="96" r:id="rId92"/>
    <sheet name="StocktransferLCRCM" sheetId="99" r:id="rId93"/>
    <sheet name="StocktransferLC" sheetId="97" r:id="rId94"/>
    <sheet name="StocktransferAddItemWithEx" sheetId="98" r:id="rId95"/>
  </sheets>
  <externalReferences>
    <externalReference r:id="rId96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36" i="99"/>
  <c r="BM36"/>
  <c r="BM33"/>
  <c r="BN32"/>
  <c r="BM32"/>
  <c r="AD24"/>
  <c r="AH24" s="1"/>
  <c r="Z24"/>
  <c r="AM23"/>
  <c r="AW23" s="1"/>
  <c r="AK23"/>
  <c r="AP23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BM33" i="98"/>
  <c r="BN32"/>
  <c r="BM32"/>
  <c r="AH24"/>
  <c r="AD24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3"/>
  <c r="BN36"/>
  <c r="BM36"/>
  <c r="AD28"/>
  <c r="AG27" s="1"/>
  <c r="Z28"/>
  <c r="AM27"/>
  <c r="AW27" s="1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W25" s="1"/>
  <c r="AK25"/>
  <c r="Y25"/>
  <c r="W25"/>
  <c r="V25"/>
  <c r="H25"/>
  <c r="L25" s="1"/>
  <c r="M25" s="1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3" s="1"/>
  <c r="Z28"/>
  <c r="AM27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K25"/>
  <c r="Y25"/>
  <c r="W25"/>
  <c r="V25"/>
  <c r="H25"/>
  <c r="L25" s="1"/>
  <c r="M25" s="1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Y28" s="1"/>
  <c r="X27"/>
  <c r="X28" s="1"/>
  <c r="H27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L24" s="1"/>
  <c r="M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EJ33" i="88"/>
  <c r="BM33"/>
  <c r="EK32"/>
  <c r="EJ32"/>
  <c r="BN32"/>
  <c r="BM32"/>
  <c r="DA24"/>
  <c r="CW24"/>
  <c r="AD24"/>
  <c r="DE23" s="1"/>
  <c r="Z24"/>
  <c r="EV23"/>
  <c r="ES23"/>
  <c r="DJ23"/>
  <c r="DT23" s="1"/>
  <c r="DH23"/>
  <c r="DH24" s="1"/>
  <c r="CV23"/>
  <c r="CV24" s="1"/>
  <c r="CU23"/>
  <c r="CU24" s="1"/>
  <c r="CE23"/>
  <c r="CE24" s="1"/>
  <c r="CF26" s="1"/>
  <c r="BV23"/>
  <c r="AM23"/>
  <c r="AW23" s="1"/>
  <c r="BP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7"/>
  <c r="BM33"/>
  <c r="EK32"/>
  <c r="EJ32"/>
  <c r="BN32"/>
  <c r="BM32"/>
  <c r="DA24"/>
  <c r="CW24"/>
  <c r="AD24"/>
  <c r="AE23" s="1"/>
  <c r="AE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6"/>
  <c r="BM33"/>
  <c r="EK32"/>
  <c r="EJ32"/>
  <c r="BN32"/>
  <c r="BM32"/>
  <c r="DA24"/>
  <c r="CW24"/>
  <c r="AD24"/>
  <c r="DB23" s="1"/>
  <c r="DB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5"/>
  <c r="BM33"/>
  <c r="EK32"/>
  <c r="EJ32"/>
  <c r="BN32"/>
  <c r="BM32"/>
  <c r="DA24"/>
  <c r="CW24"/>
  <c r="AD24"/>
  <c r="AG23" s="1"/>
  <c r="Z24"/>
  <c r="ES23"/>
  <c r="DJ23"/>
  <c r="DT23" s="1"/>
  <c r="DH23"/>
  <c r="CV23"/>
  <c r="CV24" s="1"/>
  <c r="CU23"/>
  <c r="CU24" s="1"/>
  <c r="CE23"/>
  <c r="CI23" s="1"/>
  <c r="CJ23" s="1"/>
  <c r="BV23"/>
  <c r="AM23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4"/>
  <c r="BM33"/>
  <c r="EK32"/>
  <c r="EJ32"/>
  <c r="BN32"/>
  <c r="BM32"/>
  <c r="DA24"/>
  <c r="CW24"/>
  <c r="AD24"/>
  <c r="DD23" s="1"/>
  <c r="Z24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BM33" i="83"/>
  <c r="BN32"/>
  <c r="BM32"/>
  <c r="AD24"/>
  <c r="AH24" s="1"/>
  <c r="Z24"/>
  <c r="BV23"/>
  <c r="AM23"/>
  <c r="AW23" s="1"/>
  <c r="AY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H33" i="82"/>
  <c r="BM33"/>
  <c r="EI32"/>
  <c r="EH32"/>
  <c r="BN32"/>
  <c r="BM32"/>
  <c r="CY24"/>
  <c r="CU24"/>
  <c r="AD24"/>
  <c r="DC23" s="1"/>
  <c r="Z24"/>
  <c r="EQ23"/>
  <c r="DH23"/>
  <c r="DR23" s="1"/>
  <c r="DT23" s="1"/>
  <c r="DF23"/>
  <c r="DF24" s="1"/>
  <c r="CT23"/>
  <c r="CT24" s="1"/>
  <c r="CS23"/>
  <c r="CS24" s="1"/>
  <c r="CC23"/>
  <c r="CC24" s="1"/>
  <c r="CD26" s="1"/>
  <c r="BV23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1"/>
  <c r="EK32"/>
  <c r="EJ32"/>
  <c r="BN32"/>
  <c r="BM32"/>
  <c r="DA24"/>
  <c r="CW24"/>
  <c r="AD24"/>
  <c r="DE23" s="1"/>
  <c r="Z24"/>
  <c r="ES23"/>
  <c r="DJ23"/>
  <c r="DT23" s="1"/>
  <c r="DH23"/>
  <c r="CV23"/>
  <c r="CV24" s="1"/>
  <c r="CU23"/>
  <c r="CU24" s="1"/>
  <c r="CE23"/>
  <c r="CE24" s="1"/>
  <c r="CF26" s="1"/>
  <c r="BV2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Y23" i="99" l="1"/>
  <c r="BP23"/>
  <c r="AH23"/>
  <c r="AK24"/>
  <c r="L23"/>
  <c r="M23" s="1"/>
  <c r="AG23"/>
  <c r="H24"/>
  <c r="I26" s="1"/>
  <c r="AE23"/>
  <c r="AE24" s="1"/>
  <c r="AH24" i="96"/>
  <c r="DB23" i="85"/>
  <c r="DB24" s="1"/>
  <c r="AE27" i="92"/>
  <c r="AE28" s="1"/>
  <c r="AH25" i="91"/>
  <c r="AG23" i="95"/>
  <c r="AG24" s="1"/>
  <c r="AH24" i="92"/>
  <c r="AG25"/>
  <c r="AE25"/>
  <c r="AH26"/>
  <c r="AH28"/>
  <c r="BM36" i="97"/>
  <c r="BN36" s="1"/>
  <c r="AP23" i="98"/>
  <c r="AG23" i="91"/>
  <c r="BM36" i="83"/>
  <c r="BN36" s="1"/>
  <c r="BM36" i="89"/>
  <c r="BN36" s="1"/>
  <c r="AP25" i="93"/>
  <c r="AH23" i="86"/>
  <c r="AP23" i="96"/>
  <c r="AE23" i="86"/>
  <c r="AE24" s="1"/>
  <c r="AE23" i="96"/>
  <c r="AE24" s="1"/>
  <c r="AP23" i="90"/>
  <c r="AH23" i="95"/>
  <c r="AJ23" s="1"/>
  <c r="AE23"/>
  <c r="AE24" s="1"/>
  <c r="AH24" i="81"/>
  <c r="L23" i="82"/>
  <c r="M23" s="1"/>
  <c r="N23" s="1"/>
  <c r="AP25" i="91"/>
  <c r="AP23" i="94"/>
  <c r="AG26" i="93"/>
  <c r="AE23" i="94"/>
  <c r="CG23" i="82"/>
  <c r="CH23" s="1"/>
  <c r="CI23" s="1"/>
  <c r="DM23" i="85"/>
  <c r="AG23" i="86"/>
  <c r="DD23"/>
  <c r="DD24" s="1"/>
  <c r="DE24"/>
  <c r="AH24" i="91"/>
  <c r="AG25"/>
  <c r="AJ25" s="1"/>
  <c r="AO25" s="1"/>
  <c r="AH26"/>
  <c r="AH25" i="92"/>
  <c r="AH27"/>
  <c r="BM36" i="95"/>
  <c r="BN36" s="1"/>
  <c r="AH23" i="91"/>
  <c r="AG24"/>
  <c r="AE25"/>
  <c r="AG27" i="92"/>
  <c r="AG28" s="1"/>
  <c r="AE24" i="91"/>
  <c r="AH24" i="85"/>
  <c r="AP24" i="90"/>
  <c r="AG23" i="93"/>
  <c r="BM36" i="88"/>
  <c r="BN36" s="1"/>
  <c r="AE23" i="93"/>
  <c r="AG25" i="94"/>
  <c r="EJ36" i="88"/>
  <c r="EK36" s="1"/>
  <c r="AP26" i="90"/>
  <c r="BM40" i="94"/>
  <c r="BN40" s="1"/>
  <c r="EJ36" i="85"/>
  <c r="EK36" s="1"/>
  <c r="DE23" i="86"/>
  <c r="AH24"/>
  <c r="L23" i="87"/>
  <c r="M23" s="1"/>
  <c r="AP23" i="89"/>
  <c r="AE23" i="91"/>
  <c r="AH23" i="89"/>
  <c r="BM40" i="91"/>
  <c r="BN40" s="1"/>
  <c r="BM36" i="98"/>
  <c r="BN36" s="1"/>
  <c r="BM36" i="85"/>
  <c r="BN36" s="1"/>
  <c r="DD23" i="88"/>
  <c r="DD24" s="1"/>
  <c r="AG23" i="89"/>
  <c r="AG24" s="1"/>
  <c r="AE23" i="90"/>
  <c r="AP23" i="85"/>
  <c r="AP25" i="92"/>
  <c r="AP27"/>
  <c r="AP24" i="94"/>
  <c r="DD23" i="81"/>
  <c r="DD24" s="1"/>
  <c r="DE23" i="85"/>
  <c r="DB23" i="81"/>
  <c r="DB24" s="1"/>
  <c r="AE23" i="85"/>
  <c r="AE24" s="1"/>
  <c r="DD23"/>
  <c r="DD24" s="1"/>
  <c r="CI23" i="86"/>
  <c r="CJ23" s="1"/>
  <c r="CK23" s="1"/>
  <c r="AH25" i="90"/>
  <c r="AP24" i="92"/>
  <c r="AH24" i="90"/>
  <c r="AG25"/>
  <c r="AG26"/>
  <c r="DB23" i="88"/>
  <c r="DB24" s="1"/>
  <c r="AH24"/>
  <c r="CY24" i="89"/>
  <c r="AG24" i="90"/>
  <c r="AE25"/>
  <c r="AE26"/>
  <c r="AE27"/>
  <c r="AE28" s="1"/>
  <c r="BM40"/>
  <c r="BN40" s="1"/>
  <c r="AP27" i="91"/>
  <c r="AP26" i="92"/>
  <c r="AP24" i="93"/>
  <c r="AW24" i="94"/>
  <c r="AY24" s="1"/>
  <c r="AH23" i="90"/>
  <c r="AW25" i="92"/>
  <c r="DM23" i="84"/>
  <c r="CE19" i="85"/>
  <c r="CI23" i="87"/>
  <c r="CJ23" s="1"/>
  <c r="CK23" s="1"/>
  <c r="EJ36"/>
  <c r="EK36" s="1"/>
  <c r="AG23" i="90"/>
  <c r="AH28"/>
  <c r="AH25" i="94"/>
  <c r="H19" i="97"/>
  <c r="H19" i="90"/>
  <c r="AP23" i="81"/>
  <c r="L23" i="85"/>
  <c r="M23" s="1"/>
  <c r="N23" s="1"/>
  <c r="EJ36" i="86"/>
  <c r="EK36" s="1"/>
  <c r="AP26" i="93"/>
  <c r="AE25" i="94"/>
  <c r="AH23" i="96"/>
  <c r="AJ23" s="1"/>
  <c r="AE23" i="84"/>
  <c r="AE24" s="1"/>
  <c r="AG24" i="85"/>
  <c r="AH23" i="81"/>
  <c r="AG23" i="87"/>
  <c r="AG24" s="1"/>
  <c r="AH23" i="88"/>
  <c r="AP25" i="90"/>
  <c r="H19" i="91"/>
  <c r="H19" i="92"/>
  <c r="H19" i="93"/>
  <c r="AG23" i="81"/>
  <c r="BM36"/>
  <c r="BN36" s="1"/>
  <c r="H19" i="82"/>
  <c r="AG23"/>
  <c r="AG24" s="1"/>
  <c r="CE19" i="84"/>
  <c r="CE19" i="87"/>
  <c r="AG23" i="88"/>
  <c r="DE24"/>
  <c r="AE23" i="89"/>
  <c r="AE24" s="1"/>
  <c r="AP27" i="90"/>
  <c r="AP24" i="91"/>
  <c r="AH25" i="93"/>
  <c r="AE26"/>
  <c r="BM36" i="96"/>
  <c r="BN36" s="1"/>
  <c r="AE23" i="81"/>
  <c r="AE24" s="1"/>
  <c r="DE24"/>
  <c r="BM36" i="82"/>
  <c r="BN36" s="1"/>
  <c r="DH24" i="85"/>
  <c r="H19" i="87"/>
  <c r="BM36"/>
  <c r="BN36" s="1"/>
  <c r="AE23" i="88"/>
  <c r="AE24" s="1"/>
  <c r="H19" i="89"/>
  <c r="AP23" i="91"/>
  <c r="AP23" i="92"/>
  <c r="AG24"/>
  <c r="AG26"/>
  <c r="AG25" i="93"/>
  <c r="H19" i="94"/>
  <c r="AH24"/>
  <c r="AK24" i="96"/>
  <c r="AP23" i="97"/>
  <c r="DM23" i="81"/>
  <c r="DE24" i="84"/>
  <c r="H19" i="86"/>
  <c r="DE24" i="87"/>
  <c r="BY19" i="89"/>
  <c r="DG23"/>
  <c r="AH23" i="92"/>
  <c r="AE24"/>
  <c r="AE26"/>
  <c r="AH24" i="93"/>
  <c r="AE25"/>
  <c r="N23" i="94"/>
  <c r="O23" s="1"/>
  <c r="AG24"/>
  <c r="H19" i="95"/>
  <c r="AH23" i="97"/>
  <c r="H19" i="98"/>
  <c r="H19" i="81"/>
  <c r="DC24" i="82"/>
  <c r="H19" i="83"/>
  <c r="H19" i="84"/>
  <c r="EJ36"/>
  <c r="EK36" s="1"/>
  <c r="H19" i="85"/>
  <c r="AH23"/>
  <c r="AJ23" s="1"/>
  <c r="DE24"/>
  <c r="AG24" i="86"/>
  <c r="H19" i="88"/>
  <c r="CY23" i="89"/>
  <c r="AG23" i="92"/>
  <c r="AG24" i="93"/>
  <c r="AP27"/>
  <c r="AH23" i="94"/>
  <c r="AE24"/>
  <c r="AP25"/>
  <c r="AP26"/>
  <c r="AG23" i="97"/>
  <c r="AG24" s="1"/>
  <c r="DK23" i="82"/>
  <c r="CI23" i="84"/>
  <c r="CJ23" s="1"/>
  <c r="CK23" s="1"/>
  <c r="BM36"/>
  <c r="BN36" s="1"/>
  <c r="AP23" i="87"/>
  <c r="CE19" i="88"/>
  <c r="L23"/>
  <c r="M23" s="1"/>
  <c r="N23" s="1"/>
  <c r="AP23"/>
  <c r="CX23" i="89"/>
  <c r="AH24"/>
  <c r="ED36"/>
  <c r="EE36" s="1"/>
  <c r="BM40" i="92"/>
  <c r="BN40" s="1"/>
  <c r="AH23" i="93"/>
  <c r="AE24"/>
  <c r="AH27"/>
  <c r="AJ27" s="1"/>
  <c r="BM40"/>
  <c r="BN40" s="1"/>
  <c r="AG23" i="94"/>
  <c r="AH26"/>
  <c r="AP27"/>
  <c r="AP23" i="95"/>
  <c r="H19" i="96"/>
  <c r="AE23" i="97"/>
  <c r="AE24" s="1"/>
  <c r="AE27" i="93"/>
  <c r="AE28" s="1"/>
  <c r="CK23" i="85"/>
  <c r="CL23" s="1"/>
  <c r="CM23" s="1"/>
  <c r="CN23" s="1"/>
  <c r="CO23" s="1"/>
  <c r="AP26" i="91"/>
  <c r="AH26" i="93"/>
  <c r="AH28"/>
  <c r="L24" i="94"/>
  <c r="M24" s="1"/>
  <c r="N24" s="1"/>
  <c r="O24" s="1"/>
  <c r="P24" s="1"/>
  <c r="Q24" s="1"/>
  <c r="R24" s="1"/>
  <c r="S24" s="1"/>
  <c r="CE19" i="86"/>
  <c r="EH36" i="82"/>
  <c r="EI36" s="1"/>
  <c r="AP23" i="83"/>
  <c r="DB23" i="82"/>
  <c r="DE23" s="1"/>
  <c r="DJ23" s="1"/>
  <c r="BM36" i="86"/>
  <c r="BN36" s="1"/>
  <c r="N23" i="91"/>
  <c r="O23" s="1"/>
  <c r="P23" s="1"/>
  <c r="Q23" s="1"/>
  <c r="AY23" i="98"/>
  <c r="BP23"/>
  <c r="H24"/>
  <c r="I26" s="1"/>
  <c r="L23"/>
  <c r="M23" s="1"/>
  <c r="AJ23"/>
  <c r="AK24"/>
  <c r="AY23" i="97"/>
  <c r="BP23"/>
  <c r="AK24"/>
  <c r="L23"/>
  <c r="M23" s="1"/>
  <c r="H24"/>
  <c r="I26" s="1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3"/>
  <c r="AY27"/>
  <c r="AY25"/>
  <c r="BP25"/>
  <c r="AY23"/>
  <c r="BP23"/>
  <c r="AG28"/>
  <c r="N24"/>
  <c r="AY24"/>
  <c r="BP24"/>
  <c r="L23"/>
  <c r="M23" s="1"/>
  <c r="AP23"/>
  <c r="AY26"/>
  <c r="N26"/>
  <c r="N25"/>
  <c r="L27"/>
  <c r="M27" s="1"/>
  <c r="N27" s="1"/>
  <c r="H28"/>
  <c r="I30" s="1"/>
  <c r="N24" i="92"/>
  <c r="N26"/>
  <c r="AY23"/>
  <c r="BP23"/>
  <c r="L23"/>
  <c r="M23" s="1"/>
  <c r="BP24"/>
  <c r="AY26"/>
  <c r="AW27"/>
  <c r="N25"/>
  <c r="L27"/>
  <c r="M27" s="1"/>
  <c r="N27" s="1"/>
  <c r="H28"/>
  <c r="I30" s="1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AG28" i="90"/>
  <c r="N24"/>
  <c r="BP25"/>
  <c r="AY25"/>
  <c r="BP26"/>
  <c r="AY26"/>
  <c r="AY24"/>
  <c r="BP24"/>
  <c r="BP27"/>
  <c r="AY27"/>
  <c r="L23"/>
  <c r="M23" s="1"/>
  <c r="N23" s="1"/>
  <c r="AE24"/>
  <c r="BP23"/>
  <c r="N26"/>
  <c r="AH27"/>
  <c r="AJ27" s="1"/>
  <c r="AK28"/>
  <c r="N25"/>
  <c r="AH26"/>
  <c r="L27"/>
  <c r="M27" s="1"/>
  <c r="N27" s="1"/>
  <c r="H28"/>
  <c r="I30" s="1"/>
  <c r="DP23" i="89"/>
  <c r="EG23"/>
  <c r="CC23"/>
  <c r="CD23" s="1"/>
  <c r="BY24"/>
  <c r="BZ26" s="1"/>
  <c r="CX24"/>
  <c r="L23"/>
  <c r="M23" s="1"/>
  <c r="N23" s="1"/>
  <c r="BP23"/>
  <c r="DB24"/>
  <c r="EM23" i="88"/>
  <c r="DV23"/>
  <c r="AY23"/>
  <c r="CI23"/>
  <c r="CJ23" s="1"/>
  <c r="CK23" s="1"/>
  <c r="DM23"/>
  <c r="N23" i="87"/>
  <c r="DE23"/>
  <c r="AH24"/>
  <c r="DD23"/>
  <c r="DM23"/>
  <c r="AH23"/>
  <c r="DB23"/>
  <c r="DB24" s="1"/>
  <c r="EM23"/>
  <c r="BP23"/>
  <c r="DM23" i="86"/>
  <c r="EM23"/>
  <c r="L23"/>
  <c r="M23" s="1"/>
  <c r="N23" s="1"/>
  <c r="AP23"/>
  <c r="BP23"/>
  <c r="DV23" i="85"/>
  <c r="EM23"/>
  <c r="AW23"/>
  <c r="CE24"/>
  <c r="CF26" s="1"/>
  <c r="AH23" i="84"/>
  <c r="DB23"/>
  <c r="DB24" s="1"/>
  <c r="EM23"/>
  <c r="AH24"/>
  <c r="L23"/>
  <c r="M23" s="1"/>
  <c r="AG23"/>
  <c r="AP23"/>
  <c r="BP23"/>
  <c r="DD24"/>
  <c r="DE23"/>
  <c r="DG23" s="1"/>
  <c r="N23" i="83"/>
  <c r="AK24"/>
  <c r="AH23"/>
  <c r="H24"/>
  <c r="I26" s="1"/>
  <c r="AG23"/>
  <c r="AE23"/>
  <c r="AE24" s="1"/>
  <c r="BP23"/>
  <c r="AH23" i="82"/>
  <c r="CZ23"/>
  <c r="CZ24" s="1"/>
  <c r="EK23"/>
  <c r="AH24"/>
  <c r="AP23"/>
  <c r="AE23"/>
  <c r="AE24" s="1"/>
  <c r="BP23"/>
  <c r="AY23" i="81"/>
  <c r="BP23"/>
  <c r="EM23"/>
  <c r="DV23"/>
  <c r="DH24"/>
  <c r="AK24"/>
  <c r="H24"/>
  <c r="I26" s="1"/>
  <c r="N23"/>
  <c r="CI23"/>
  <c r="CJ23" s="1"/>
  <c r="AG24" i="99" l="1"/>
  <c r="AJ23"/>
  <c r="N23"/>
  <c r="AJ26" i="92"/>
  <c r="AO26" s="1"/>
  <c r="AJ25"/>
  <c r="AO25" s="1"/>
  <c r="AJ23" i="86"/>
  <c r="AO23" s="1"/>
  <c r="AJ25" i="94"/>
  <c r="AO25" s="1"/>
  <c r="AJ24" i="92"/>
  <c r="AO24" s="1"/>
  <c r="AJ26" i="93"/>
  <c r="AO26" s="1"/>
  <c r="AJ27" i="92"/>
  <c r="AO27" s="1"/>
  <c r="AJ23" i="91"/>
  <c r="AO23" s="1"/>
  <c r="AJ25" i="90"/>
  <c r="AO25" s="1"/>
  <c r="AJ23" i="93"/>
  <c r="AO23" s="1"/>
  <c r="AO23" i="95"/>
  <c r="AJ24"/>
  <c r="AJ26" i="91"/>
  <c r="AO26" s="1"/>
  <c r="AJ24"/>
  <c r="AO24" s="1"/>
  <c r="DG23" i="88"/>
  <c r="DG23" i="81"/>
  <c r="AJ23" i="87"/>
  <c r="AO23" s="1"/>
  <c r="AJ24" i="90"/>
  <c r="AO24" s="1"/>
  <c r="DG23" i="86"/>
  <c r="DL23" s="1"/>
  <c r="DE24" i="82"/>
  <c r="BP24" i="94"/>
  <c r="AJ26" i="90"/>
  <c r="AO26" s="1"/>
  <c r="AJ23" i="88"/>
  <c r="AO23" s="1"/>
  <c r="AJ23" i="82"/>
  <c r="AO23" s="1"/>
  <c r="DG23" i="85"/>
  <c r="AJ23" i="89"/>
  <c r="AG24" i="88"/>
  <c r="AJ23" i="97"/>
  <c r="AJ24" s="1"/>
  <c r="AJ24" i="94"/>
  <c r="AO24" s="1"/>
  <c r="AJ23" i="90"/>
  <c r="AO23" s="1"/>
  <c r="AY25" i="92"/>
  <c r="BP25"/>
  <c r="DA23" i="89"/>
  <c r="AJ24" i="85"/>
  <c r="AO23"/>
  <c r="AJ24" i="86"/>
  <c r="AJ28" i="92"/>
  <c r="AJ25" i="93"/>
  <c r="AO25" s="1"/>
  <c r="AG24" i="81"/>
  <c r="AJ23"/>
  <c r="AJ26" i="94"/>
  <c r="AO26" s="1"/>
  <c r="DB24" i="82"/>
  <c r="AJ23" i="94"/>
  <c r="AO23" s="1"/>
  <c r="AJ24" i="93"/>
  <c r="AO24" s="1"/>
  <c r="AJ23" i="92"/>
  <c r="AO23" s="1"/>
  <c r="AO23" i="98"/>
  <c r="AJ24"/>
  <c r="N23"/>
  <c r="N23" i="97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6" i="93"/>
  <c r="P26" s="1"/>
  <c r="Q26" s="1"/>
  <c r="O25"/>
  <c r="O24"/>
  <c r="AO27"/>
  <c r="AJ28"/>
  <c r="O27"/>
  <c r="N23"/>
  <c r="O27" i="92"/>
  <c r="P27" s="1"/>
  <c r="Q27" s="1"/>
  <c r="R27" s="1"/>
  <c r="N23"/>
  <c r="O25"/>
  <c r="BP27"/>
  <c r="AY27"/>
  <c r="O24"/>
  <c r="O26"/>
  <c r="O27" i="91"/>
  <c r="P27" s="1"/>
  <c r="Q27" s="1"/>
  <c r="O24"/>
  <c r="P24" s="1"/>
  <c r="Q24" s="1"/>
  <c r="O26"/>
  <c r="R23"/>
  <c r="S23" s="1"/>
  <c r="O25"/>
  <c r="AJ27"/>
  <c r="AG28"/>
  <c r="AO27" i="90"/>
  <c r="AJ28"/>
  <c r="O27"/>
  <c r="O23"/>
  <c r="P23" s="1"/>
  <c r="Q23" s="1"/>
  <c r="R23" s="1"/>
  <c r="S23" s="1"/>
  <c r="O26"/>
  <c r="O24"/>
  <c r="O25"/>
  <c r="P25" s="1"/>
  <c r="Q25" s="1"/>
  <c r="O23" i="89"/>
  <c r="CE23"/>
  <c r="CL23" i="88"/>
  <c r="O23"/>
  <c r="DG23" i="87"/>
  <c r="DD24"/>
  <c r="CL23"/>
  <c r="O23"/>
  <c r="P23" s="1"/>
  <c r="Q23" s="1"/>
  <c r="CL23" i="86"/>
  <c r="CM23" s="1"/>
  <c r="CN23" s="1"/>
  <c r="O23"/>
  <c r="P23" s="1"/>
  <c r="Q23" s="1"/>
  <c r="CO24" i="85"/>
  <c r="CF27" s="1"/>
  <c r="CP23"/>
  <c r="O23"/>
  <c r="P23" s="1"/>
  <c r="Q23" s="1"/>
  <c r="AY23"/>
  <c r="BP23"/>
  <c r="N23" i="84"/>
  <c r="DG24"/>
  <c r="DL23"/>
  <c r="AJ23"/>
  <c r="AG24"/>
  <c r="CL23"/>
  <c r="CM23" s="1"/>
  <c r="CN23" s="1"/>
  <c r="O23" i="83"/>
  <c r="AG24"/>
  <c r="AJ23"/>
  <c r="O23" i="82"/>
  <c r="P23" s="1"/>
  <c r="Q23" s="1"/>
  <c r="CJ23"/>
  <c r="O23" i="81"/>
  <c r="P23" s="1"/>
  <c r="Q23" s="1"/>
  <c r="CK23"/>
  <c r="O23" i="99" l="1"/>
  <c r="AO23"/>
  <c r="AJ24"/>
  <c r="AJ24" i="82"/>
  <c r="V23" i="91"/>
  <c r="W23"/>
  <c r="AJ24" i="87"/>
  <c r="DG24" i="88"/>
  <c r="DL23"/>
  <c r="DL23" i="81"/>
  <c r="DG24"/>
  <c r="AJ24" i="88"/>
  <c r="DG24" i="86"/>
  <c r="AJ24" i="89"/>
  <c r="AO23"/>
  <c r="DL23" i="85"/>
  <c r="DG24"/>
  <c r="AO23" i="97"/>
  <c r="DF23" i="89"/>
  <c r="DA24"/>
  <c r="P27" i="93"/>
  <c r="Q27" s="1"/>
  <c r="R27" s="1"/>
  <c r="AR24" i="94"/>
  <c r="AX24" s="1"/>
  <c r="AZ24" s="1"/>
  <c r="BO24" s="1"/>
  <c r="AJ24" i="81"/>
  <c r="AO23"/>
  <c r="O23" i="98"/>
  <c r="P23" s="1"/>
  <c r="Q23" s="1"/>
  <c r="O23" i="97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O23" i="93"/>
  <c r="P25"/>
  <c r="Q25" s="1"/>
  <c r="R25" s="1"/>
  <c r="S25" s="1"/>
  <c r="R26"/>
  <c r="S26" s="1"/>
  <c r="P24"/>
  <c r="Q24" s="1"/>
  <c r="R24" s="1"/>
  <c r="S24" s="1"/>
  <c r="R28" i="92"/>
  <c r="I31" s="1"/>
  <c r="S27"/>
  <c r="O23"/>
  <c r="P23" s="1"/>
  <c r="Q23" s="1"/>
  <c r="P24"/>
  <c r="Q24" s="1"/>
  <c r="R24" s="1"/>
  <c r="S24" s="1"/>
  <c r="P26"/>
  <c r="Q26" s="1"/>
  <c r="R26" s="1"/>
  <c r="S26" s="1"/>
  <c r="P25"/>
  <c r="Q25" s="1"/>
  <c r="R25" s="1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AI23" i="90"/>
  <c r="AN23" s="1"/>
  <c r="AR23" s="1"/>
  <c r="AX23" s="1"/>
  <c r="AZ23" s="1"/>
  <c r="BO23" s="1"/>
  <c r="AA23"/>
  <c r="AC23"/>
  <c r="W23"/>
  <c r="V23"/>
  <c r="P24"/>
  <c r="Q24" s="1"/>
  <c r="R24" s="1"/>
  <c r="S24" s="1"/>
  <c r="P26"/>
  <c r="Q26" s="1"/>
  <c r="R26" s="1"/>
  <c r="S26" s="1"/>
  <c r="R25"/>
  <c r="S25" s="1"/>
  <c r="P27"/>
  <c r="Q27" s="1"/>
  <c r="R27" s="1"/>
  <c r="P23" i="89"/>
  <c r="Q23" s="1"/>
  <c r="R23" s="1"/>
  <c r="CF23"/>
  <c r="CM23" i="88"/>
  <c r="CN23" s="1"/>
  <c r="CO23" s="1"/>
  <c r="P23"/>
  <c r="Q23" s="1"/>
  <c r="R23" s="1"/>
  <c r="DG24" i="87"/>
  <c r="DL23"/>
  <c r="CM23"/>
  <c r="CN23" s="1"/>
  <c r="CO23" s="1"/>
  <c r="R23"/>
  <c r="R23" i="86"/>
  <c r="CO23"/>
  <c r="R23" i="85"/>
  <c r="DF23"/>
  <c r="CX23"/>
  <c r="CX24" s="1"/>
  <c r="CP24"/>
  <c r="CF28" s="1"/>
  <c r="CT23"/>
  <c r="CT24" s="1"/>
  <c r="CS23"/>
  <c r="O23" i="84"/>
  <c r="P23" s="1"/>
  <c r="Q23" s="1"/>
  <c r="AJ24"/>
  <c r="AO23"/>
  <c r="CO23"/>
  <c r="AO23" i="83"/>
  <c r="AJ24"/>
  <c r="P23"/>
  <c r="Q23" s="1"/>
  <c r="R23" s="1"/>
  <c r="R23" i="82"/>
  <c r="CK23"/>
  <c r="CL23" s="1"/>
  <c r="CM23" s="1"/>
  <c r="CL23" i="81"/>
  <c r="R23"/>
  <c r="P23" i="99" l="1"/>
  <c r="Q23" s="1"/>
  <c r="R23" s="1"/>
  <c r="V26" i="91"/>
  <c r="W26"/>
  <c r="W25"/>
  <c r="V25"/>
  <c r="V24"/>
  <c r="W24"/>
  <c r="R28" i="93"/>
  <c r="I31" s="1"/>
  <c r="S27"/>
  <c r="AA27" s="1"/>
  <c r="AA28" s="1"/>
  <c r="AB23" i="91"/>
  <c r="AC23" s="1"/>
  <c r="R23" i="98"/>
  <c r="R23" i="97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3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AI26"/>
  <c r="AN26" s="1"/>
  <c r="AR26" s="1"/>
  <c r="AX26" s="1"/>
  <c r="AZ26" s="1"/>
  <c r="BO26" s="1"/>
  <c r="X26"/>
  <c r="AA26"/>
  <c r="P23"/>
  <c r="Q23" s="1"/>
  <c r="R23" s="1"/>
  <c r="S23" s="1"/>
  <c r="AI24" i="92"/>
  <c r="AN24" s="1"/>
  <c r="AR24" s="1"/>
  <c r="AX24" s="1"/>
  <c r="AZ24" s="1"/>
  <c r="BO24" s="1"/>
  <c r="X24"/>
  <c r="AA24"/>
  <c r="AC24"/>
  <c r="AC26"/>
  <c r="AI26"/>
  <c r="AN26" s="1"/>
  <c r="AR26" s="1"/>
  <c r="AX26" s="1"/>
  <c r="AZ26" s="1"/>
  <c r="BO26" s="1"/>
  <c r="X26"/>
  <c r="AA26"/>
  <c r="AI25"/>
  <c r="AN25" s="1"/>
  <c r="AR25" s="1"/>
  <c r="AX25" s="1"/>
  <c r="AZ25" s="1"/>
  <c r="BO25" s="1"/>
  <c r="X25"/>
  <c r="AA25"/>
  <c r="AC25"/>
  <c r="AC27"/>
  <c r="S28"/>
  <c r="I32" s="1"/>
  <c r="AI27"/>
  <c r="AN27" s="1"/>
  <c r="AR27" s="1"/>
  <c r="AX27" s="1"/>
  <c r="AZ27" s="1"/>
  <c r="BO27" s="1"/>
  <c r="X27"/>
  <c r="AA27"/>
  <c r="AA28" s="1"/>
  <c r="R23"/>
  <c r="S23" s="1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W24" i="90"/>
  <c r="AI24"/>
  <c r="AN24" s="1"/>
  <c r="AR24" s="1"/>
  <c r="AX24" s="1"/>
  <c r="AZ24" s="1"/>
  <c r="BO24" s="1"/>
  <c r="AA24"/>
  <c r="AC24"/>
  <c r="V24"/>
  <c r="R28"/>
  <c r="I31" s="1"/>
  <c r="S27"/>
  <c r="V26"/>
  <c r="W26"/>
  <c r="AI26"/>
  <c r="AN26" s="1"/>
  <c r="AR26" s="1"/>
  <c r="AX26" s="1"/>
  <c r="AZ26" s="1"/>
  <c r="BO26" s="1"/>
  <c r="AA26"/>
  <c r="AC26"/>
  <c r="V25"/>
  <c r="W25"/>
  <c r="AI25"/>
  <c r="AN25" s="1"/>
  <c r="AR25" s="1"/>
  <c r="AX25" s="1"/>
  <c r="AZ25" s="1"/>
  <c r="BO25" s="1"/>
  <c r="AA25"/>
  <c r="AC25"/>
  <c r="AB23"/>
  <c r="R24" i="89"/>
  <c r="I27" s="1"/>
  <c r="S23"/>
  <c r="CG23"/>
  <c r="CH23" s="1"/>
  <c r="CI23" s="1"/>
  <c r="R24" i="88"/>
  <c r="I27" s="1"/>
  <c r="S23"/>
  <c r="CO24"/>
  <c r="CF27" s="1"/>
  <c r="CP23"/>
  <c r="R24" i="87"/>
  <c r="I27" s="1"/>
  <c r="S23"/>
  <c r="CO24"/>
  <c r="CF27" s="1"/>
  <c r="CP23"/>
  <c r="R24" i="86"/>
  <c r="I27" s="1"/>
  <c r="S23"/>
  <c r="CO24"/>
  <c r="CF27" s="1"/>
  <c r="CP23"/>
  <c r="R24" i="85"/>
  <c r="I27" s="1"/>
  <c r="S23"/>
  <c r="DF24"/>
  <c r="DK23"/>
  <c r="DO23" s="1"/>
  <c r="DU23" s="1"/>
  <c r="DW23" s="1"/>
  <c r="EL23" s="1"/>
  <c r="CY23"/>
  <c r="CS24"/>
  <c r="R23" i="84"/>
  <c r="CO24"/>
  <c r="CF27" s="1"/>
  <c r="CP23"/>
  <c r="R24" i="83"/>
  <c r="I27" s="1"/>
  <c r="S23"/>
  <c r="CM24" i="82"/>
  <c r="CD27" s="1"/>
  <c r="CN23"/>
  <c r="R24"/>
  <c r="I27" s="1"/>
  <c r="S23"/>
  <c r="CM23" i="81"/>
  <c r="CN23" s="1"/>
  <c r="CO23" s="1"/>
  <c r="R24"/>
  <c r="I27" s="1"/>
  <c r="S23"/>
  <c r="R24" i="99" l="1"/>
  <c r="I27" s="1"/>
  <c r="S23"/>
  <c r="AB25" i="93"/>
  <c r="AC25" s="1"/>
  <c r="S28" i="91"/>
  <c r="I32" s="1"/>
  <c r="V27"/>
  <c r="V28" s="1"/>
  <c r="W27"/>
  <c r="W28" s="1"/>
  <c r="S28" i="93"/>
  <c r="I32" s="1"/>
  <c r="AI27"/>
  <c r="AN27" s="1"/>
  <c r="AR27" s="1"/>
  <c r="AX27" s="1"/>
  <c r="AZ27" s="1"/>
  <c r="BO27" s="1"/>
  <c r="AB25" i="94"/>
  <c r="AC25" s="1"/>
  <c r="X27" i="93"/>
  <c r="X28" s="1"/>
  <c r="AB26" i="91"/>
  <c r="AC26" s="1"/>
  <c r="AB25"/>
  <c r="AC25" s="1"/>
  <c r="AB24" i="93"/>
  <c r="AC24" s="1"/>
  <c r="AB26" i="94"/>
  <c r="AC26" s="1"/>
  <c r="AB26" i="90"/>
  <c r="AB26" i="92"/>
  <c r="AB24" i="91"/>
  <c r="AC24" s="1"/>
  <c r="R24" i="98"/>
  <c r="I27" s="1"/>
  <c r="S23"/>
  <c r="R24" i="97"/>
  <c r="I27" s="1"/>
  <c r="S23"/>
  <c r="X23" s="1"/>
  <c r="X24" s="1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3" i="93"/>
  <c r="X23"/>
  <c r="AA23"/>
  <c r="AB26"/>
  <c r="AC26" s="1"/>
  <c r="AI23" i="92"/>
  <c r="X23"/>
  <c r="AA23"/>
  <c r="AC23"/>
  <c r="AC28" s="1"/>
  <c r="AT28" s="1"/>
  <c r="AU28" s="1"/>
  <c r="AB25"/>
  <c r="AB24"/>
  <c r="X28"/>
  <c r="AB27"/>
  <c r="AI27" i="91"/>
  <c r="X27"/>
  <c r="AA27"/>
  <c r="AA28" s="1"/>
  <c r="AB25" i="90"/>
  <c r="AB24"/>
  <c r="AC27"/>
  <c r="AC28" s="1"/>
  <c r="AT28" s="1"/>
  <c r="AU28" s="1"/>
  <c r="V27"/>
  <c r="W27"/>
  <c r="W28" s="1"/>
  <c r="S28"/>
  <c r="I32" s="1"/>
  <c r="AI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V23" i="88"/>
  <c r="S24"/>
  <c r="I28" s="1"/>
  <c r="W23"/>
  <c r="W24" s="1"/>
  <c r="AI23"/>
  <c r="AC23"/>
  <c r="AC24" s="1"/>
  <c r="AA23"/>
  <c r="AA24" s="1"/>
  <c r="CX23"/>
  <c r="CX24" s="1"/>
  <c r="CZ23"/>
  <c r="CZ24" s="1"/>
  <c r="CS23"/>
  <c r="CP24"/>
  <c r="CF28" s="1"/>
  <c r="CT23"/>
  <c r="CT24" s="1"/>
  <c r="DF23"/>
  <c r="S24" i="87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S24" i="86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AA23" i="85"/>
  <c r="AA24" s="1"/>
  <c r="S24"/>
  <c r="I28" s="1"/>
  <c r="V23"/>
  <c r="W23"/>
  <c r="W24" s="1"/>
  <c r="AI23"/>
  <c r="CY24"/>
  <c r="CF29" s="1"/>
  <c r="CF30" s="1"/>
  <c r="CZ23"/>
  <c r="CZ24" s="1"/>
  <c r="CT23" i="84"/>
  <c r="CT24" s="1"/>
  <c r="DF23"/>
  <c r="CS23"/>
  <c r="CX23"/>
  <c r="CX24" s="1"/>
  <c r="CP24"/>
  <c r="CF28" s="1"/>
  <c r="R24"/>
  <c r="I27" s="1"/>
  <c r="S23"/>
  <c r="V23" i="83"/>
  <c r="W23"/>
  <c r="W24" s="1"/>
  <c r="AI23"/>
  <c r="S24"/>
  <c r="I28" s="1"/>
  <c r="AA23"/>
  <c r="AA24" s="1"/>
  <c r="CR23" i="82"/>
  <c r="CR24" s="1"/>
  <c r="DD23"/>
  <c r="CQ23"/>
  <c r="CV23"/>
  <c r="CV24" s="1"/>
  <c r="CN24"/>
  <c r="CD28" s="1"/>
  <c r="AA23"/>
  <c r="AA24" s="1"/>
  <c r="AI23"/>
  <c r="S24"/>
  <c r="I28" s="1"/>
  <c r="V23"/>
  <c r="W23"/>
  <c r="W24" s="1"/>
  <c r="CO24" i="81"/>
  <c r="CF27" s="1"/>
  <c r="CP23"/>
  <c r="V23"/>
  <c r="W23"/>
  <c r="W24" s="1"/>
  <c r="AI23"/>
  <c r="AA23"/>
  <c r="AA24" s="1"/>
  <c r="S24"/>
  <c r="I28" s="1"/>
  <c r="AC23" i="99" l="1"/>
  <c r="AC24" s="1"/>
  <c r="AT24" s="1"/>
  <c r="V23"/>
  <c r="W23"/>
  <c r="W24" s="1"/>
  <c r="AA23"/>
  <c r="AA24" s="1"/>
  <c r="S24"/>
  <c r="I28" s="1"/>
  <c r="AI23"/>
  <c r="AB23" i="92"/>
  <c r="AB28" s="1"/>
  <c r="I33" s="1"/>
  <c r="I34" s="1"/>
  <c r="AB23" i="93"/>
  <c r="AC23" s="1"/>
  <c r="AB27"/>
  <c r="AC27" s="1"/>
  <c r="AA23" i="98"/>
  <c r="AA24" s="1"/>
  <c r="AC23"/>
  <c r="AC24" s="1"/>
  <c r="V23"/>
  <c r="W23"/>
  <c r="W24" s="1"/>
  <c r="S24"/>
  <c r="I28" s="1"/>
  <c r="AI23"/>
  <c r="AA23" i="97"/>
  <c r="AA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I28" i="93"/>
  <c r="AN23"/>
  <c r="AR23" s="1"/>
  <c r="AX23" s="1"/>
  <c r="AZ23" s="1"/>
  <c r="BO23" s="1"/>
  <c r="AI28" i="92"/>
  <c r="AN23"/>
  <c r="AR23" s="1"/>
  <c r="AX23" s="1"/>
  <c r="AZ23" s="1"/>
  <c r="BO23" s="1"/>
  <c r="AN27" i="91"/>
  <c r="AR27" s="1"/>
  <c r="AX27" s="1"/>
  <c r="AZ27" s="1"/>
  <c r="BO27" s="1"/>
  <c r="AI28"/>
  <c r="X28"/>
  <c r="AB27"/>
  <c r="AB27" i="90"/>
  <c r="AB28" s="1"/>
  <c r="I33" s="1"/>
  <c r="I34" s="1"/>
  <c r="V28"/>
  <c r="AN27"/>
  <c r="AR27" s="1"/>
  <c r="AX27" s="1"/>
  <c r="AZ27" s="1"/>
  <c r="BO27" s="1"/>
  <c r="AI28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EU23" i="88"/>
  <c r="EW23"/>
  <c r="EX23" s="1"/>
  <c r="CY23"/>
  <c r="CY24" s="1"/>
  <c r="CF29" s="1"/>
  <c r="CF30" s="1"/>
  <c r="CS24"/>
  <c r="V24"/>
  <c r="AB23"/>
  <c r="AB24" s="1"/>
  <c r="I29" s="1"/>
  <c r="I30" s="1"/>
  <c r="DF24"/>
  <c r="DK23"/>
  <c r="DO23" s="1"/>
  <c r="DU23" s="1"/>
  <c r="DW23" s="1"/>
  <c r="EL23" s="1"/>
  <c r="AI24"/>
  <c r="AN23"/>
  <c r="AR23" s="1"/>
  <c r="AX23" s="1"/>
  <c r="AZ23" s="1"/>
  <c r="BO23" s="1"/>
  <c r="CY23" i="87"/>
  <c r="CS24"/>
  <c r="AB23"/>
  <c r="V24"/>
  <c r="AN23"/>
  <c r="AR23" s="1"/>
  <c r="AX23" s="1"/>
  <c r="AZ23" s="1"/>
  <c r="BO23" s="1"/>
  <c r="AI24"/>
  <c r="DF24"/>
  <c r="DK23"/>
  <c r="DO23" s="1"/>
  <c r="DU23" s="1"/>
  <c r="DW23" s="1"/>
  <c r="EL23" s="1"/>
  <c r="CY23" i="86"/>
  <c r="CS24"/>
  <c r="AB23"/>
  <c r="V24"/>
  <c r="DF24"/>
  <c r="DK23"/>
  <c r="DO23" s="1"/>
  <c r="DU23" s="1"/>
  <c r="DW23" s="1"/>
  <c r="EL23" s="1"/>
  <c r="AN23"/>
  <c r="AR23" s="1"/>
  <c r="AX23" s="1"/>
  <c r="AZ23" s="1"/>
  <c r="BO23" s="1"/>
  <c r="AI24"/>
  <c r="AB23" i="85"/>
  <c r="V24"/>
  <c r="AN23"/>
  <c r="AR23" s="1"/>
  <c r="AX23" s="1"/>
  <c r="AZ23" s="1"/>
  <c r="BO23" s="1"/>
  <c r="AI24"/>
  <c r="DF24" i="84"/>
  <c r="DK23"/>
  <c r="DO23" s="1"/>
  <c r="DU23" s="1"/>
  <c r="DW23" s="1"/>
  <c r="EL23" s="1"/>
  <c r="CY23"/>
  <c r="CS24"/>
  <c r="AA23"/>
  <c r="AA24" s="1"/>
  <c r="S24"/>
  <c r="I28" s="1"/>
  <c r="AI23"/>
  <c r="V23"/>
  <c r="W23"/>
  <c r="W24" s="1"/>
  <c r="AB23" i="83"/>
  <c r="V24"/>
  <c r="AN23"/>
  <c r="AR23" s="1"/>
  <c r="AX23" s="1"/>
  <c r="AZ23" s="1"/>
  <c r="BO23" s="1"/>
  <c r="AI24"/>
  <c r="AN23" i="82"/>
  <c r="AR23" s="1"/>
  <c r="AX23" s="1"/>
  <c r="AZ23" s="1"/>
  <c r="BO23" s="1"/>
  <c r="AI24"/>
  <c r="DD24"/>
  <c r="DI23"/>
  <c r="DM23" s="1"/>
  <c r="DS23" s="1"/>
  <c r="DU23" s="1"/>
  <c r="EJ23" s="1"/>
  <c r="CW23"/>
  <c r="CQ24"/>
  <c r="AB23"/>
  <c r="V24"/>
  <c r="CS23" i="81"/>
  <c r="CT23"/>
  <c r="CT24" s="1"/>
  <c r="DF23"/>
  <c r="CX23"/>
  <c r="CX24" s="1"/>
  <c r="CP24"/>
  <c r="CF28" s="1"/>
  <c r="AI24"/>
  <c r="AN23"/>
  <c r="AR23" s="1"/>
  <c r="AX23" s="1"/>
  <c r="AZ23" s="1"/>
  <c r="BO23" s="1"/>
  <c r="AB23"/>
  <c r="V24"/>
  <c r="AB23" i="99" l="1"/>
  <c r="AB24" s="1"/>
  <c r="I29" s="1"/>
  <c r="I30" s="1"/>
  <c r="V24"/>
  <c r="AN23"/>
  <c r="AR23" s="1"/>
  <c r="AX23" s="1"/>
  <c r="AZ23" s="1"/>
  <c r="BO23" s="1"/>
  <c r="AI24"/>
  <c r="AC28" i="93"/>
  <c r="AT28" s="1"/>
  <c r="AU28" s="1"/>
  <c r="AB28"/>
  <c r="I33" s="1"/>
  <c r="I34" s="1"/>
  <c r="AB23" i="98"/>
  <c r="AB24" s="1"/>
  <c r="I29" s="1"/>
  <c r="I30" s="1"/>
  <c r="V24"/>
  <c r="AN23"/>
  <c r="AR23" s="1"/>
  <c r="AX23" s="1"/>
  <c r="AZ23" s="1"/>
  <c r="BO23" s="1"/>
  <c r="AI24"/>
  <c r="AB23" i="97"/>
  <c r="V24"/>
  <c r="AN23"/>
  <c r="AR23" s="1"/>
  <c r="AX23" s="1"/>
  <c r="AZ23" s="1"/>
  <c r="BO23" s="1"/>
  <c r="AI24"/>
  <c r="I30" i="96"/>
  <c r="AN23"/>
  <c r="AR23" s="1"/>
  <c r="AX23" s="1"/>
  <c r="AZ23" s="1"/>
  <c r="BO23" s="1"/>
  <c r="AI24"/>
  <c r="AB23"/>
  <c r="AB24" s="1"/>
  <c r="I29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B24" i="87"/>
  <c r="I29" s="1"/>
  <c r="I30" s="1"/>
  <c r="AC23"/>
  <c r="AC24" s="1"/>
  <c r="CY24"/>
  <c r="CF29" s="1"/>
  <c r="CF30" s="1"/>
  <c r="CZ23"/>
  <c r="CZ24" s="1"/>
  <c r="CY24" i="86"/>
  <c r="CF29" s="1"/>
  <c r="CF30" s="1"/>
  <c r="CZ23"/>
  <c r="CZ24" s="1"/>
  <c r="AB24"/>
  <c r="I29" s="1"/>
  <c r="I30" s="1"/>
  <c r="AC23"/>
  <c r="AC24" s="1"/>
  <c r="AB24" i="85"/>
  <c r="I29" s="1"/>
  <c r="I30" s="1"/>
  <c r="AC23"/>
  <c r="AC24" s="1"/>
  <c r="EU23" s="1"/>
  <c r="CY24" i="84"/>
  <c r="CF29" s="1"/>
  <c r="CF30" s="1"/>
  <c r="CZ23"/>
  <c r="CZ24" s="1"/>
  <c r="AB23"/>
  <c r="V24"/>
  <c r="AN23"/>
  <c r="AR23" s="1"/>
  <c r="AX23" s="1"/>
  <c r="AZ23" s="1"/>
  <c r="BO23" s="1"/>
  <c r="AI24"/>
  <c r="AB24" i="83"/>
  <c r="I29" s="1"/>
  <c r="I30" s="1"/>
  <c r="AC23"/>
  <c r="AC24" s="1"/>
  <c r="AB24" i="82"/>
  <c r="I29" s="1"/>
  <c r="I30" s="1"/>
  <c r="AC23"/>
  <c r="AC24" s="1"/>
  <c r="CW24"/>
  <c r="CD29" s="1"/>
  <c r="CD30" s="1"/>
  <c r="CX23"/>
  <c r="CX24" s="1"/>
  <c r="AB24" i="81"/>
  <c r="I29" s="1"/>
  <c r="I30" s="1"/>
  <c r="AC23"/>
  <c r="AC24" s="1"/>
  <c r="CS24"/>
  <c r="CY23"/>
  <c r="DK23"/>
  <c r="DO23" s="1"/>
  <c r="DU23" s="1"/>
  <c r="DW23" s="1"/>
  <c r="EL23" s="1"/>
  <c r="DF24"/>
  <c r="EU23" i="87" l="1"/>
  <c r="AT28" i="91"/>
  <c r="AU28" s="1"/>
  <c r="AB24" i="97"/>
  <c r="I29" s="1"/>
  <c r="I30" s="1"/>
  <c r="AC23"/>
  <c r="AC24" s="1"/>
  <c r="AT24" s="1"/>
  <c r="EU23" i="86"/>
  <c r="AB24" i="84"/>
  <c r="I29" s="1"/>
  <c r="I30" s="1"/>
  <c r="AC23"/>
  <c r="AC24" s="1"/>
  <c r="CY24" i="81"/>
  <c r="CF29" s="1"/>
  <c r="CF30" s="1"/>
  <c r="CZ23"/>
  <c r="CZ24" s="1"/>
  <c r="AJ24" i="75" l="1"/>
  <c r="AD24"/>
  <c r="AM23"/>
  <c r="AW23" s="1"/>
  <c r="AJ23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J24" i="78"/>
  <c r="AD24"/>
  <c r="AM23"/>
  <c r="AW23" s="1"/>
  <c r="AJ23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K24" i="65"/>
  <c r="AD24"/>
  <c r="AM23"/>
  <c r="AW23" s="1"/>
  <c r="AK23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25" s="1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AB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X26" s="1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AP24" i="51" l="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AB25" s="1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O24" i="19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J23" i="50" l="1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O23" i="69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S24" i="66"/>
  <c r="AH23" s="1"/>
  <c r="AH24" s="1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AJ24" i="47" l="1"/>
  <c r="AI23" i="66"/>
  <c r="AI24" s="1"/>
  <c r="AA23"/>
  <c r="AJ25" i="51"/>
  <c r="AJ25" i="68"/>
  <c r="X23" i="65"/>
  <c r="X24" s="1"/>
  <c r="AO23" i="51"/>
  <c r="AI23" i="65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AE23" i="66"/>
  <c r="AE24" s="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AG23" i="66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AB23" i="66"/>
  <c r="AB24" s="1"/>
  <c r="V24"/>
  <c r="O24" i="8"/>
  <c r="P24" s="1"/>
  <c r="Q24" s="1"/>
  <c r="AI24" i="65"/>
  <c r="AN23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N23" i="66" l="1"/>
  <c r="AB23" i="65"/>
  <c r="AB24" s="1"/>
  <c r="AG23" i="45"/>
  <c r="AG24" s="1"/>
  <c r="AJ23" i="65"/>
  <c r="S24" i="58"/>
  <c r="AE23" s="1"/>
  <c r="AE24" s="1"/>
  <c r="AE23" i="77"/>
  <c r="AG23" i="43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4" i="66"/>
  <c r="AJ23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G24" i="43"/>
  <c r="AO23" i="65"/>
  <c r="AR23" s="1"/>
  <c r="AX23" s="1"/>
  <c r="AZ23" s="1"/>
  <c r="BO23" s="1"/>
  <c r="AJ24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K23" i="58" l="1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K23" s="1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AG23" s="1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K24" i="64" l="1"/>
  <c r="AJ24" i="45"/>
  <c r="AG23" i="9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J24" s="1"/>
  <c r="AO24" s="1"/>
  <c r="AR24" s="1"/>
  <c r="AX24" s="1"/>
  <c r="AZ24" s="1"/>
  <c r="BO24" s="1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R23" s="1"/>
  <c r="AX23" s="1"/>
  <c r="AZ23" s="1"/>
  <c r="BO23" s="1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K24" i="78"/>
  <c r="AP23"/>
  <c r="AR23" s="1"/>
  <c r="AX23" s="1"/>
  <c r="AZ23" s="1"/>
  <c r="BO23" s="1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E23" i="13"/>
  <c r="AE25" s="1"/>
  <c r="AG24" i="54"/>
  <c r="AE24"/>
  <c r="AH24"/>
  <c r="AD26" i="2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G25" i="9"/>
  <c r="AL23"/>
  <c r="AO23" s="1"/>
  <c r="AU23" s="1"/>
  <c r="AW23" s="1"/>
  <c r="BL23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AP23" i="71"/>
  <c r="AR23" s="1"/>
  <c r="AX23" s="1"/>
  <c r="AZ23" s="1"/>
  <c r="BO23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AL23" i="60"/>
  <c r="AO23" s="1"/>
  <c r="AU23" s="1"/>
  <c r="AW23" s="1"/>
  <c r="BL23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R23" s="1"/>
  <c r="AX23" s="1"/>
  <c r="AZ23" s="1"/>
  <c r="BO23" s="1"/>
  <c r="AI24"/>
  <c r="S24" i="70"/>
  <c r="AH23" s="1"/>
  <c r="AH24" s="1"/>
  <c r="AI23"/>
  <c r="AC23"/>
  <c r="AC24" s="1"/>
  <c r="V24" i="6"/>
  <c r="AB23"/>
  <c r="AG25" i="39"/>
  <c r="AJ23"/>
  <c r="V24" i="31"/>
  <c r="W24"/>
  <c r="W25" s="1"/>
  <c r="AI24"/>
  <c r="AA24"/>
  <c r="AA25" s="1"/>
  <c r="AC24"/>
  <c r="S25"/>
  <c r="I29" s="1"/>
  <c r="AC23"/>
  <c r="AN23" i="13"/>
  <c r="AK23" i="80" l="1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K24" i="72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O23" i="27"/>
  <c r="AR23" s="1"/>
  <c r="AX23" s="1"/>
  <c r="AZ23" s="1"/>
  <c r="BO23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J24" i="6" l="1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X23" s="1"/>
  <c r="AZ23" s="1"/>
  <c r="BO23" s="1"/>
  <c r="AB25" i="34"/>
  <c r="AC23"/>
  <c r="AC25" s="1"/>
  <c r="AB25" i="28"/>
  <c r="AC23"/>
  <c r="AC25" s="1"/>
  <c r="AJ25" i="56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J25" i="12" l="1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<sst xmlns="http://schemas.openxmlformats.org/spreadsheetml/2006/main" count="19225" uniqueCount="577">
  <si>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</si>
  <si>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</si>
  <si>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</si>
  <si>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</si>
  <si>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</si>
  <si>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</si>
  <si>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</si>
  <si>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</si>
  <si>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</si>
  <si>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</si>
  <si>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</si>
  <si>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</si>
  <si>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</si>
  <si>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</si>
  <si>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</si>
  <si>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</si>
  <si>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</si>
  <si>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</si>
  <si>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</si>
  <si>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</si>
  <si>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</si>
  <si>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</si>
  <si>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</si>
  <si>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</si>
  <si>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</si>
  <si>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</si>
  <si>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</si>
  <si>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</si>
  <si>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</si>
  <si>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</si>
  <si>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</si>
  <si>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</si>
  <si>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</si>
  <si>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</si>
  <si>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</si>
  <si>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</si>
  <si>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</si>
  <si>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</si>
  <si>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</si>
  <si>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</si>
  <si>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</si>
  <si>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</si>
  <si>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</si>
  <si>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</si>
  <si>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</si>
  <si>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</si>
  <si>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</si>
  <si>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</si>
  <si>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</si>
  <si>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</si>
  <si>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</si>
  <si>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</si>
  <si>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</si>
  <si>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</si>
  <si>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</si>
  <si>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</si>
  <si>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</si>
  <si>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</si>
  <si>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</si>
  <si>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</si>
  <si>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</si>
  <si>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</si>
  <si>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</si>
  <si>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</si>
  <si>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</si>
  <si>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</si>
  <si>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</si>
  <si>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</si>
  <si>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</si>
  <si>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</si>
  <si>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</si>
  <si>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</si>
  <si>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</si>
  <si>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</si>
  <si>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</si>
  <si>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</si>
  <si>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</si>
  <si>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</si>
  <si>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</si>
  <si>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</si>
  <si>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</si>
  <si>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</si>
  <si>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</si>
  <si>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</si>
  <si>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</si>
  <si>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</si>
  <si>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</si>
  <si>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</si>
  <si>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</si>
  <si>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</si>
  <si>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</si>
  <si>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</si>
  <si>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</si>
  <si>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</si>
  <si>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</si>
  <si>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</si>
  <si>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</si>
  <si>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</si>
  <si>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</si>
  <si>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</si>
  <si>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</si>
  <si>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</si>
  <si>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</si>
  <si>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</si>
  <si>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</si>
  <si>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</si>
  <si>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</si>
  <si>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</si>
  <si>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</si>
  <si>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</si>
  <si>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</si>
  <si>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</si>
  <si>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</si>
  <si>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</si>
  <si>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</si>
  <si>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</si>
  <si>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</si>
  <si>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</si>
  <si>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</si>
  <si>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</si>
  <si>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</si>
  <si>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</si>
  <si>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</si>
  <si>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</si>
  <si>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</si>
  <si>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</si>
  <si>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</si>
  <si>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</si>
  <si>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</si>
  <si>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</si>
  <si>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</si>
  <si>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</si>
  <si>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</si>
  <si>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</si>
  <si>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</si>
  <si>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</si>
  <si>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</si>
  <si>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</si>
  <si>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</si>
  <si>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</si>
  <si>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</si>
  <si>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</si>
  <si>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</si>
  <si>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</si>
  <si>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</si>
  <si>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</si>
  <si>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</si>
  <si>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</si>
  <si>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</si>
  <si>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</si>
  <si>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</si>
  <si>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</si>
  <si>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</si>
  <si>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</si>
  <si>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</si>
  <si>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</si>
  <si>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</si>
  <si>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</si>
  <si>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</si>
  <si>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</si>
  <si>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</si>
  <si>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</si>
  <si>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</si>
  <si>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</si>
  <si>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</si>
  <si>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</si>
  <si>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</si>
  <si>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</si>
  <si>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</si>
  <si>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</si>
  <si>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</si>
  <si>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</si>
  <si>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</si>
  <si>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</si>
  <si>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</si>
  <si>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</si>
  <si>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</si>
  <si>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</si>
  <si>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</si>
  <si>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</si>
  <si>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</si>
  <si>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</si>
  <si>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</si>
  <si>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</si>
  <si>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</si>
  <si>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</si>
  <si>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</si>
  <si>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</si>
  <si>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</si>
  <si>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</si>
  <si>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</si>
  <si>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</si>
  <si>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</si>
  <si>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</si>
  <si>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</si>
  <si>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</si>
  <si>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</si>
  <si>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</si>
  <si>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</si>
  <si>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</si>
  <si>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</si>
  <si>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</si>
  <si>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</si>
  <si>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</si>
  <si>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</si>
  <si>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</si>
  <si>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</si>
  <si>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</si>
  <si>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</si>
  <si>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</si>
  <si>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</si>
  <si>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</si>
  <si>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</si>
  <si>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</si>
  <si>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</si>
  <si>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</si>
  <si>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</si>
  <si>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</si>
  <si>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</si>
  <si>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</si>
  <si>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</si>
  <si>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</si>
  <si>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</si>
  <si>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</si>
  <si>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</si>
  <si>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</si>
  <si>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</si>
  <si>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</si>
  <si>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</si>
  <si>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</si>
  <si>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</si>
  <si>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</si>
  <si>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</si>
  <si>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</si>
  <si>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</si>
  <si>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</si>
  <si>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</si>
  <si>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</si>
  <si>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</si>
  <si>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</si>
  <si>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</si>
  <si>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</si>
  <si>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</si>
  <si>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</si>
  <si>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</si>
  <si>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</si>
  <si>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</si>
  <si>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</si>
  <si>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</si>
  <si>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</si>
  <si>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</si>
  <si>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</si>
  <si>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</si>
  <si>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</si>
  <si>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</si>
  <si>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</si>
  <si>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</si>
  <si>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</si>
  <si>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</si>
  <si>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</si>
  <si>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</si>
  <si>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</si>
  <si>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</si>
  <si>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</si>
  <si>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</si>
  <si>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</si>
  <si>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</si>
  <si>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</si>
  <si>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</si>
  <si>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</si>
  <si>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</si>
  <si>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</si>
  <si>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</si>
  <si>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</si>
  <si>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</si>
  <si>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</si>
  <si>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</si>
  <si>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</si>
  <si>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</si>
  <si>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</si>
  <si>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</si>
  <si>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</si>
  <si>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</si>
  <si>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</si>
  <si>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</si>
  <si>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</si>
  <si>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</si>
  <si>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</si>
  <si>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</si>
  <si>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</si>
  <si>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</si>
  <si>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</si>
  <si>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</si>
  <si>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</si>
  <si>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</si>
  <si>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</si>
  <si>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</si>
  <si>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</si>
  <si>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</si>
  <si>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</si>
  <si>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</si>
  <si>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</si>
  <si>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</si>
  <si>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</si>
  <si>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</si>
  <si>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</si>
  <si>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</si>
  <si>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</si>
  <si>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</si>
  <si>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</si>
  <si>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</si>
  <si>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</si>
  <si>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</si>
  <si>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</si>
  <si>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</si>
  <si>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</si>
  <si>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</si>
  <si>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</si>
  <si>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</si>
  <si>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</si>
  <si>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</si>
  <si>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</si>
  <si>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</si>
  <si>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</si>
  <si>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</si>
  <si>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</si>
  <si>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</si>
  <si>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</si>
  <si>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</si>
  <si>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</si>
  <si>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</si>
  <si>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</si>
  <si>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</si>
  <si>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</si>
  <si>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</si>
  <si>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</si>
  <si>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</si>
  <si>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</si>
  <si>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</si>
  <si>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</si>
  <si>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</si>
  <si>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</si>
  <si>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</si>
  <si>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</si>
  <si>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</si>
  <si>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</si>
  <si>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</si>
  <si>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</si>
  <si>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</si>
  <si>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</si>
  <si>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</si>
  <si>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</si>
  <si>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</si>
  <si>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</si>
  <si>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</si>
  <si>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</si>
  <si>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</si>
  <si>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</si>
  <si>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</si>
  <si>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</si>
  <si>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</si>
  <si>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</si>
  <si>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</si>
  <si>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</si>
  <si>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</si>
  <si>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</si>
  <si>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</si>
  <si>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</si>
  <si>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</si>
  <si>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</si>
  <si>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</si>
  <si>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</si>
  <si>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</si>
  <si>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</si>
  <si>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</si>
  <si>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</si>
  <si>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</si>
  <si>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</si>
  <si>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</si>
  <si>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</si>
  <si>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</si>
  <si>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</si>
  <si>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</si>
  <si>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</si>
  <si>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</si>
  <si>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</si>
  <si>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</si>
  <si>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</si>
  <si>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</si>
  <si>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</si>
  <si>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</si>
  <si>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</si>
  <si>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</si>
  <si>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</si>
  <si>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</si>
  <si>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</si>
  <si>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</si>
  <si>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</si>
  <si>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</si>
  <si>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</si>
  <si>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</si>
  <si>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</si>
  <si>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</si>
  <si>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</si>
  <si>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</si>
  <si>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</si>
  <si>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</si>
  <si>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</si>
  <si>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</si>
  <si>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</si>
  <si>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</si>
  <si>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</si>
  <si>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</si>
  <si>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</si>
  <si>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</si>
  <si>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</si>
  <si>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</si>
  <si>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</si>
  <si>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</si>
  <si>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</si>
  <si>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</si>
  <si>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</si>
  <si>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</si>
  <si>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</si>
  <si>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</si>
  <si>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</si>
  <si>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</si>
  <si>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</si>
  <si>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</si>
  <si>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</si>
  <si>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</si>
  <si>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</si>
  <si>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</si>
  <si>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</si>
  <si>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</si>
  <si>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</si>
  <si>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</si>
  <si>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</si>
  <si>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</si>
  <si>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</si>
  <si>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25</t>
  </si>
  <si>
    <t>187.2776</t>
  </si>
  <si>
    <t>112.5</t>
  </si>
  <si>
    <t>28</t>
  </si>
  <si>
    <t>187.27786</t>
  </si>
  <si>
    <t>126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</si>
  <si>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</si>
  <si>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</si>
  <si>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</si>
  <si>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</si>
  <si>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</si>
  <si>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</si>
  <si>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</si>
  <si>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</si>
  <si>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</si>
  <si>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</si>
  <si>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</si>
  <si>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</si>
  <si>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</si>
  <si>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</si>
  <si>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</si>
  <si>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</si>
  <si>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</si>
  <si>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</si>
  <si>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</si>
  <si>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</si>
  <si>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</si>
  <si>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</si>
  <si>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</si>
  <si>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</si>
  <si>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</si>
  <si>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</si>
  <si>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</si>
  <si>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</si>
  <si>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</si>
  <si>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</si>
  <si>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</si>
  <si>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</si>
  <si>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</si>
  <si>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</si>
  <si>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</si>
  <si>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</si>
  <si>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</si>
  <si>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</si>
  <si>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</si>
  <si>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</si>
  <si>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</si>
  <si>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</si>
  <si>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</si>
  <si>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</si>
  <si>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</si>
  <si>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</si>
  <si>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</si>
  <si>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</si>
  <si>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</si>
  <si>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</si>
  <si>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</si>
  <si>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</si>
  <si>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</si>
  <si>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</si>
  <si>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</si>
  <si>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</si>
  <si>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</si>
  <si>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</si>
  <si>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</si>
  <si>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</si>
  <si>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</si>
  <si>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</si>
  <si>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</si>
  <si>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</si>
  <si>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</si>
  <si>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</si>
  <si>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</si>
  <si>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</si>
  <si>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</si>
  <si>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</si>
  <si>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StateCode</t>
  </si>
  <si>
    <t>TVS-CH-00011</t>
  </si>
  <si>
    <t>SUP00124</t>
  </si>
  <si>
    <t>Y</t>
  </si>
  <si>
    <t>G</t>
  </si>
  <si>
    <t>LC</t>
  </si>
  <si>
    <t>SUP00004</t>
  </si>
  <si>
    <t>SUP-001</t>
  </si>
  <si>
    <t>Header Amount</t>
  </si>
  <si>
    <t>ROAU-SIM-337897</t>
  </si>
  <si>
    <t>Deviation Amount</t>
  </si>
  <si>
    <t>1800</t>
  </si>
  <si>
    <t>1500</t>
  </si>
  <si>
    <t>After Round Off Amount</t>
  </si>
  <si>
    <t>Round OF Value</t>
  </si>
  <si>
    <t>SUP-35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</si>
  <si>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</si>
  <si>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</si>
  <si>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</si>
  <si>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</si>
  <si>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</si>
  <si>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</si>
  <si>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</si>
  <si>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</si>
  <si>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</si>
  <si>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</si>
  <si>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</si>
  <si>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</si>
  <si>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</si>
  <si>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</si>
  <si>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</si>
  <si>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</si>
  <si>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</si>
  <si>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</si>
  <si>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</si>
  <si>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</si>
  <si>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</si>
  <si>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</si>
  <si>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</si>
  <si>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</si>
  <si>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</si>
  <si>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</si>
  <si>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</si>
  <si>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</si>
  <si>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</si>
  <si>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</si>
  <si>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</si>
  <si>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3881.2</t>
  </si>
  <si>
    <t>281</t>
  </si>
  <si>
    <t>1232.35627</t>
  </si>
  <si>
    <t>4100</t>
  </si>
  <si>
    <t>3978.23</t>
  </si>
  <si>
    <t>284</t>
  </si>
  <si>
    <t>1261.02032</t>
  </si>
  <si>
    <t>4300</t>
  </si>
  <si>
    <t>137</t>
  </si>
  <si>
    <t>571.84774</t>
  </si>
  <si>
    <t>142</t>
  </si>
  <si>
    <t>572.0045</t>
  </si>
  <si>
    <t>ROAU-RM-KPK-WOQE-RC-05</t>
  </si>
  <si>
    <t>ROAU-RM-KPK-WOQE-RC-04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</si>
</sst>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3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3">
    <xf numFmtId="0" fontId="0" fillId="0" borderId="0"/>
    <xf numFmtId="0" fontId="8" fillId="0" borderId="0">
      <alignment vertical="center"/>
    </xf>
    <xf numFmtId="0" fontId="8" fillId="0" borderId="0">
      <alignment vertical="center"/>
    </xf>
  </cellStyleXfs>
  <cellXfs count="240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1" fillId="0" borderId="0" xfId="0" applyFont="1" applyBorder="1" applyAlignment="1">
      <alignment horizontal="left" vertical="top"/>
    </xf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0" borderId="0" xfId="0" applyFont="1" applyFill="1" applyBorder="1"/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4" fillId="0" borderId="0" xfId="0" applyFont="1"/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3" fillId="0" borderId="13" xfId="0" applyNumberFormat="1" applyFont="1" applyBorder="1"/>
    <xf numFmtId="0" fontId="3" fillId="2" borderId="21" xfId="0" applyFont="1" applyFill="1" applyBorder="1"/>
    <xf numFmtId="0" fontId="3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5" fillId="9" borderId="22" xfId="0" applyFont="1" applyFill="1" applyBorder="1"/>
    <xf numFmtId="0" fontId="5" fillId="10" borderId="22" xfId="0" applyFont="1" applyFill="1" applyBorder="1"/>
    <xf numFmtId="0" fontId="0" fillId="0" borderId="17" xfId="0" applyNumberFormat="1" applyBorder="1"/>
    <xf numFmtId="0" fontId="2" fillId="2" borderId="13" xfId="0" applyFont="1" applyFill="1" applyBorder="1" applyAlignment="1">
      <alignment horizontal="center" vertical="center"/>
    </xf>
    <xf numFmtId="0" fontId="2" fillId="3" borderId="24" xfId="0" applyFont="1" applyFill="1" applyBorder="1" applyAlignment="1"/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12" xfId="0" applyFont="1" applyBorder="1"/>
    <xf numFmtId="0" fontId="2" fillId="6" borderId="13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3" fillId="0" borderId="13" xfId="0" applyNumberFormat="1" applyFont="1" applyBorder="1"/>
    <xf numFmtId="9" fontId="3" fillId="0" borderId="13" xfId="0" applyNumberFormat="1" applyFont="1" applyBorder="1"/>
    <xf numFmtId="9" fontId="2" fillId="3" borderId="13" xfId="0" applyNumberFormat="1" applyFont="1" applyFill="1" applyBorder="1"/>
    <xf numFmtId="0" fontId="3" fillId="0" borderId="5" xfId="1" applyFont="1" applyBorder="1" applyAlignment="1"/>
    <xf numFmtId="0" fontId="6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65" fontId="3" fillId="0" borderId="13" xfId="0" applyNumberFormat="1" applyFont="1" applyBorder="1"/>
    <xf numFmtId="0" fontId="2" fillId="7" borderId="13" xfId="0" applyNumberFormat="1" applyFont="1" applyFill="1" applyBorder="1"/>
    <xf numFmtId="0" fontId="3" fillId="0" borderId="2" xfId="0" applyFont="1" applyBorder="1"/>
    <xf numFmtId="0" fontId="0" fillId="0" borderId="17" xfId="0" applyBorder="1"/>
    <xf numFmtId="0" fontId="0" fillId="0" borderId="25" xfId="0" applyBorder="1"/>
    <xf numFmtId="0" fontId="3" fillId="0" borderId="3" xfId="0" applyFont="1" applyBorder="1"/>
    <xf numFmtId="0" fontId="3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7" fillId="0" borderId="0" xfId="0" applyNumberFormat="1" applyFont="1" applyFill="1" applyBorder="1"/>
    <xf numFmtId="0" fontId="7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0" xfId="0" quotePrefix="1" applyFont="1"/>
    <xf numFmtId="0" fontId="9" fillId="0" borderId="0" xfId="0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Border="1" applyAlignment="1">
      <alignment horizontal="left" vertical="top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3" xfId="0" applyFont="1" applyFill="1" applyBorder="1" applyAlignment="1">
      <alignment horizontal="center" vertical="center"/>
    </xf>
    <xf numFmtId="0" fontId="10" fillId="0" borderId="4" xfId="0" applyFont="1" applyBorder="1"/>
    <xf numFmtId="0" fontId="10" fillId="0" borderId="5" xfId="0" applyFont="1" applyBorder="1"/>
    <xf numFmtId="164" fontId="10" fillId="0" borderId="5" xfId="0" applyNumberFormat="1" applyFont="1" applyBorder="1"/>
    <xf numFmtId="2" fontId="10" fillId="0" borderId="5" xfId="0" applyNumberFormat="1" applyFont="1" applyBorder="1"/>
    <xf numFmtId="2" fontId="10" fillId="0" borderId="6" xfId="0" applyNumberFormat="1" applyFont="1" applyBorder="1"/>
    <xf numFmtId="0" fontId="10" fillId="0" borderId="7" xfId="0" applyFont="1" applyBorder="1"/>
    <xf numFmtId="0" fontId="10" fillId="0" borderId="8" xfId="0" applyFont="1" applyBorder="1"/>
    <xf numFmtId="164" fontId="10" fillId="0" borderId="8" xfId="0" applyNumberFormat="1" applyFont="1" applyBorder="1"/>
    <xf numFmtId="2" fontId="10" fillId="0" borderId="8" xfId="0" applyNumberFormat="1" applyFont="1" applyBorder="1"/>
    <xf numFmtId="2" fontId="10" fillId="0" borderId="9" xfId="0" applyNumberFormat="1" applyFont="1" applyBorder="1"/>
    <xf numFmtId="0" fontId="11" fillId="3" borderId="11" xfId="0" applyFont="1" applyFill="1" applyBorder="1" applyAlignment="1">
      <alignment vertical="top"/>
    </xf>
    <xf numFmtId="0" fontId="11" fillId="0" borderId="0" xfId="0" applyFont="1" applyFill="1" applyBorder="1"/>
    <xf numFmtId="0" fontId="11" fillId="0" borderId="0" xfId="0" applyFont="1" applyFill="1" applyBorder="1" applyAlignment="1">
      <alignment horizontal="center"/>
    </xf>
    <xf numFmtId="0" fontId="10" fillId="0" borderId="0" xfId="0" applyFont="1" applyFill="1" applyBorder="1"/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left" vertical="center"/>
    </xf>
    <xf numFmtId="0" fontId="11" fillId="2" borderId="13" xfId="0" applyFont="1" applyFill="1" applyBorder="1" applyAlignment="1">
      <alignment horizontal="center" vertical="center"/>
    </xf>
    <xf numFmtId="0" fontId="11" fillId="4" borderId="13" xfId="0" applyFont="1" applyFill="1" applyBorder="1" applyAlignment="1">
      <alignment horizontal="center" vertical="center"/>
    </xf>
    <xf numFmtId="0" fontId="11" fillId="13" borderId="13" xfId="0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0" fontId="11" fillId="8" borderId="13" xfId="0" applyFont="1" applyFill="1" applyBorder="1" applyAlignment="1">
      <alignment horizontal="center" vertical="center" wrapText="1"/>
    </xf>
    <xf numFmtId="0" fontId="10" fillId="2" borderId="2" xfId="0" applyFont="1" applyFill="1" applyBorder="1"/>
    <xf numFmtId="0" fontId="10" fillId="2" borderId="16" xfId="0" applyFont="1" applyFill="1" applyBorder="1"/>
    <xf numFmtId="0" fontId="10" fillId="2" borderId="2" xfId="0" applyFont="1" applyFill="1" applyBorder="1" applyAlignment="1"/>
    <xf numFmtId="0" fontId="10" fillId="0" borderId="13" xfId="0" applyFont="1" applyBorder="1"/>
    <xf numFmtId="0" fontId="10" fillId="0" borderId="13" xfId="0" applyNumberFormat="1" applyFont="1" applyBorder="1"/>
    <xf numFmtId="2" fontId="10" fillId="0" borderId="13" xfId="0" applyNumberFormat="1" applyFont="1" applyBorder="1"/>
    <xf numFmtId="10" fontId="10" fillId="0" borderId="13" xfId="0" applyNumberFormat="1" applyFont="1" applyBorder="1"/>
    <xf numFmtId="9" fontId="10" fillId="0" borderId="13" xfId="0" applyNumberFormat="1" applyFont="1" applyBorder="1"/>
    <xf numFmtId="164" fontId="10" fillId="0" borderId="13" xfId="0" applyNumberFormat="1" applyFont="1" applyBorder="1"/>
    <xf numFmtId="0" fontId="10" fillId="0" borderId="5" xfId="0" applyNumberFormat="1" applyFont="1" applyBorder="1"/>
    <xf numFmtId="0" fontId="10" fillId="0" borderId="5" xfId="1" applyFont="1" applyBorder="1" applyAlignment="1"/>
    <xf numFmtId="0" fontId="11" fillId="3" borderId="24" xfId="0" applyFont="1" applyFill="1" applyBorder="1" applyAlignment="1"/>
    <xf numFmtId="0" fontId="11" fillId="3" borderId="14" xfId="0" applyFont="1" applyFill="1" applyBorder="1" applyAlignment="1"/>
    <xf numFmtId="0" fontId="11" fillId="3" borderId="15" xfId="0" applyFont="1" applyFill="1" applyBorder="1" applyAlignment="1"/>
    <xf numFmtId="0" fontId="11" fillId="3" borderId="13" xfId="0" applyFont="1" applyFill="1" applyBorder="1"/>
    <xf numFmtId="0" fontId="11" fillId="3" borderId="13" xfId="0" applyNumberFormat="1" applyFont="1" applyFill="1" applyBorder="1"/>
    <xf numFmtId="9" fontId="11" fillId="3" borderId="13" xfId="0" applyNumberFormat="1" applyFont="1" applyFill="1" applyBorder="1"/>
    <xf numFmtId="0" fontId="11" fillId="7" borderId="13" xfId="0" applyFont="1" applyFill="1" applyBorder="1"/>
    <xf numFmtId="2" fontId="11" fillId="7" borderId="13" xfId="0" applyNumberFormat="1" applyFont="1" applyFill="1" applyBorder="1"/>
    <xf numFmtId="0" fontId="10" fillId="0" borderId="0" xfId="0" applyFont="1" applyAlignment="1"/>
    <xf numFmtId="0" fontId="10" fillId="0" borderId="0" xfId="0" quotePrefix="1" applyFont="1"/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0" borderId="13" xfId="0" applyFont="1" applyBorder="1" applyAlignment="1">
      <alignment horizontal="right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10" fillId="0" borderId="12" xfId="0" applyFont="1" applyBorder="1"/>
    <xf numFmtId="0" fontId="11" fillId="7" borderId="13" xfId="0" applyFont="1" applyFill="1" applyBorder="1" applyAlignment="1">
      <alignment horizontal="right"/>
    </xf>
    <xf numFmtId="0" fontId="10" fillId="2" borderId="21" xfId="0" applyFont="1" applyFill="1" applyBorder="1"/>
    <xf numFmtId="0" fontId="10" fillId="2" borderId="2" xfId="1" applyFont="1" applyFill="1" applyBorder="1" applyAlignment="1"/>
    <xf numFmtId="0" fontId="10" fillId="2" borderId="21" xfId="1" applyFont="1" applyFill="1" applyBorder="1" applyAlignment="1"/>
    <xf numFmtId="0" fontId="8" fillId="0" borderId="0" xfId="1" applyFont="1" applyAlignment="1">
      <alignment vertical="center"/>
    </xf>
    <xf numFmtId="49" fontId="8" fillId="0" borderId="0" xfId="1" applyNumberFormat="1" applyFont="1" applyAlignment="1">
      <alignment horizontal="left"/>
    </xf>
    <xf numFmtId="0" fontId="12" fillId="0" borderId="0" xfId="1" applyFont="1" applyAlignment="1">
      <alignment vertical="center"/>
    </xf>
    <xf numFmtId="0" fontId="8" fillId="0" borderId="0" xfId="1" applyFont="1" applyAlignment="1"/>
    <xf numFmtId="0" fontId="12" fillId="0" borderId="0" xfId="1" applyFont="1" applyAlignment="1"/>
    <xf numFmtId="2" fontId="2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/>
    </xf>
    <xf numFmtId="0" fontId="1" fillId="0" borderId="0" xfId="0" applyFont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0" fontId="3" fillId="0" borderId="24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7" borderId="13" xfId="0" applyFont="1" applyFill="1" applyBorder="1" applyAlignment="1">
      <alignment horizontal="right"/>
    </xf>
    <xf numFmtId="0" fontId="2" fillId="0" borderId="13" xfId="0" applyFont="1" applyBorder="1" applyAlignment="1">
      <alignment horizontal="right"/>
    </xf>
    <xf numFmtId="0" fontId="1" fillId="0" borderId="23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/>
    </xf>
    <xf numFmtId="0" fontId="2" fillId="11" borderId="2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12" borderId="13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2" fillId="7" borderId="24" xfId="0" applyFont="1" applyFill="1" applyBorder="1" applyAlignment="1">
      <alignment horizontal="right"/>
    </xf>
    <xf numFmtId="0" fontId="2" fillId="7" borderId="15" xfId="0" applyFont="1" applyFill="1" applyBorder="1" applyAlignment="1">
      <alignment horizontal="right"/>
    </xf>
    <xf numFmtId="0" fontId="2" fillId="0" borderId="24" xfId="0" applyFont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3" fillId="0" borderId="23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top"/>
    </xf>
    <xf numFmtId="0" fontId="9" fillId="0" borderId="23" xfId="0" applyFon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0" fillId="0" borderId="0" xfId="0" applyFont="1" applyFill="1" applyBorder="1" applyAlignment="1">
      <alignment horizontal="left" vertical="center"/>
    </xf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0" borderId="13" xfId="0" applyFont="1" applyBorder="1" applyAlignment="1">
      <alignment horizontal="right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11" fillId="7" borderId="13" xfId="0" applyFont="1" applyFill="1" applyBorder="1" applyAlignment="1">
      <alignment horizontal="right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6" Type="http://schemas.openxmlformats.org/officeDocument/2006/relationships/worksheet" Target="worksheets/sheet76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remkumar.K/Desktop/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04"/>
      <c r="J33" s="204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04"/>
      <c r="J34" s="204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04"/>
      <c r="J35" s="204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05"/>
      <c r="H36" s="205"/>
      <c r="I36" s="204"/>
      <c r="J36" s="204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05"/>
      <c r="H37" s="205"/>
      <c r="I37" s="204"/>
      <c r="J37" s="204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13" t="s">
        <v>154</v>
      </c>
      <c r="B21" s="213"/>
      <c r="C21" s="213"/>
      <c r="D21" s="213"/>
      <c r="E21" s="213"/>
      <c r="F21" s="213"/>
      <c r="G21" s="213"/>
      <c r="H21" s="213"/>
      <c r="I21" s="213"/>
      <c r="J21" s="213"/>
      <c r="K21" s="213"/>
      <c r="L21" s="213"/>
      <c r="M21" s="213"/>
      <c r="N21" s="213"/>
      <c r="O21" s="213"/>
      <c r="P21" s="213"/>
      <c r="Q21" s="213"/>
      <c r="R21" s="213"/>
      <c r="S21" s="213"/>
      <c r="T21" s="213"/>
      <c r="U21" s="213"/>
      <c r="V21" s="213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14" t="s">
        <v>87</v>
      </c>
      <c r="C38" s="214"/>
      <c r="D38" s="214"/>
      <c r="E38" s="214"/>
      <c r="F38" s="214"/>
      <c r="G38" s="214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09" t="s">
        <v>194</v>
      </c>
      <c r="H40" s="210"/>
      <c r="I40" s="212">
        <f>H38</f>
        <v>75435.260000000009</v>
      </c>
      <c r="J40" s="212"/>
      <c r="K40" s="100"/>
      <c r="L40" s="66"/>
      <c r="M40" s="215" t="s">
        <v>195</v>
      </c>
      <c r="N40" s="216"/>
      <c r="O40" s="216"/>
      <c r="P40" s="217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09" t="s">
        <v>196</v>
      </c>
      <c r="H41" s="210"/>
      <c r="I41" s="212">
        <f>R38</f>
        <v>4077.7</v>
      </c>
      <c r="J41" s="212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09" t="s">
        <v>197</v>
      </c>
      <c r="H42" s="210"/>
      <c r="I42" s="212">
        <f>S38</f>
        <v>71357.56</v>
      </c>
      <c r="J42" s="212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09" t="s">
        <v>198</v>
      </c>
      <c r="H43" s="210"/>
      <c r="I43" s="212">
        <f>U38</f>
        <v>12844.370000000004</v>
      </c>
      <c r="J43" s="212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09" t="s">
        <v>199</v>
      </c>
      <c r="H44" s="210"/>
      <c r="I44" s="211">
        <f>I42+I43</f>
        <v>84201.930000000008</v>
      </c>
      <c r="J44" s="211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A21:V21"/>
    <mergeCell ref="B38:G38"/>
    <mergeCell ref="G40:H40"/>
    <mergeCell ref="I40:J40"/>
    <mergeCell ref="M40:P40"/>
    <mergeCell ref="G44:H44"/>
    <mergeCell ref="I44:J44"/>
    <mergeCell ref="G41:H41"/>
    <mergeCell ref="I41:J41"/>
    <mergeCell ref="G42:H42"/>
    <mergeCell ref="I42:J42"/>
    <mergeCell ref="G43:H43"/>
    <mergeCell ref="I43:J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13" t="s">
        <v>200</v>
      </c>
      <c r="B4" s="213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3"/>
      <c r="P4" s="213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14" t="s">
        <v>87</v>
      </c>
      <c r="C21" s="214"/>
      <c r="D21" s="214"/>
      <c r="E21" s="214"/>
      <c r="F21" s="214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20" t="s">
        <v>206</v>
      </c>
      <c r="G23" s="220"/>
      <c r="H23" s="220"/>
      <c r="I23" s="220"/>
      <c r="J23" s="66"/>
      <c r="K23" s="220" t="s">
        <v>207</v>
      </c>
      <c r="L23" s="220"/>
      <c r="M23" s="220"/>
      <c r="N23" s="220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09" t="s">
        <v>194</v>
      </c>
      <c r="G24" s="210"/>
      <c r="H24" s="218">
        <f>G21</f>
        <v>71856.759999999995</v>
      </c>
      <c r="I24" s="218"/>
      <c r="J24" s="100"/>
      <c r="K24" s="209" t="s">
        <v>194</v>
      </c>
      <c r="L24" s="210"/>
      <c r="M24" s="218">
        <f>H24*$T$4</f>
        <v>5958362.5391999995</v>
      </c>
      <c r="N24" s="218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09" t="s">
        <v>196</v>
      </c>
      <c r="G25" s="210"/>
      <c r="H25" s="218">
        <f>Q21</f>
        <v>3884.27</v>
      </c>
      <c r="I25" s="218"/>
      <c r="J25" s="66"/>
      <c r="K25" s="209" t="s">
        <v>196</v>
      </c>
      <c r="L25" s="210"/>
      <c r="M25" s="218">
        <f t="shared" ref="M25:M28" si="14">H25*$T$4</f>
        <v>322083.66840000002</v>
      </c>
      <c r="N25" s="218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09" t="s">
        <v>197</v>
      </c>
      <c r="G26" s="210"/>
      <c r="H26" s="218">
        <f>R21</f>
        <v>67972.490000000005</v>
      </c>
      <c r="I26" s="218"/>
      <c r="J26" s="66"/>
      <c r="K26" s="209" t="s">
        <v>197</v>
      </c>
      <c r="L26" s="210"/>
      <c r="M26" s="218">
        <f t="shared" si="14"/>
        <v>5636278.8708000006</v>
      </c>
      <c r="N26" s="218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09" t="s">
        <v>198</v>
      </c>
      <c r="G27" s="210"/>
      <c r="H27" s="218">
        <f>T21</f>
        <v>12235.060000000003</v>
      </c>
      <c r="I27" s="218"/>
      <c r="J27" s="66"/>
      <c r="K27" s="209" t="s">
        <v>198</v>
      </c>
      <c r="L27" s="210"/>
      <c r="M27" s="218">
        <f t="shared" si="14"/>
        <v>1014531.1752000003</v>
      </c>
      <c r="N27" s="218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09" t="s">
        <v>199</v>
      </c>
      <c r="G28" s="210"/>
      <c r="H28" s="219">
        <f>H26+H27</f>
        <v>80207.55</v>
      </c>
      <c r="I28" s="219"/>
      <c r="J28" s="66"/>
      <c r="K28" s="209" t="s">
        <v>199</v>
      </c>
      <c r="L28" s="210"/>
      <c r="M28" s="219">
        <f t="shared" si="14"/>
        <v>6650810.0460000001</v>
      </c>
      <c r="N28" s="219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13" t="s">
        <v>208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14" t="s">
        <v>87</v>
      </c>
      <c r="C18" s="214"/>
      <c r="D18" s="214"/>
      <c r="E18" s="214"/>
      <c r="F18" s="214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20" t="s">
        <v>206</v>
      </c>
      <c r="G20" s="220"/>
      <c r="H20" s="220"/>
      <c r="I20" s="220"/>
      <c r="J20" s="66"/>
      <c r="K20" s="220" t="s">
        <v>207</v>
      </c>
      <c r="L20" s="220"/>
      <c r="M20" s="220"/>
      <c r="N20" s="220"/>
      <c r="O20" s="66"/>
      <c r="P20" s="66"/>
      <c r="Q20" s="215" t="s">
        <v>195</v>
      </c>
      <c r="R20" s="216"/>
      <c r="S20" s="216"/>
      <c r="T20" s="217"/>
      <c r="U20" s="66"/>
      <c r="V20" s="66"/>
      <c r="W20" s="66"/>
    </row>
    <row r="21" spans="1:23">
      <c r="A21" s="66"/>
      <c r="B21" s="66"/>
      <c r="C21" s="66"/>
      <c r="D21" s="66"/>
      <c r="E21" s="66"/>
      <c r="F21" s="209" t="s">
        <v>194</v>
      </c>
      <c r="G21" s="210"/>
      <c r="H21" s="218">
        <f>G18</f>
        <v>71570.810000000012</v>
      </c>
      <c r="I21" s="218"/>
      <c r="J21" s="100"/>
      <c r="K21" s="209" t="s">
        <v>194</v>
      </c>
      <c r="L21" s="210"/>
      <c r="M21" s="218">
        <f>H21*$T$1</f>
        <v>5934651.565200001</v>
      </c>
      <c r="N21" s="218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09" t="s">
        <v>196</v>
      </c>
      <c r="G22" s="210"/>
      <c r="H22" s="218">
        <f>Q18</f>
        <v>3868.82</v>
      </c>
      <c r="I22" s="218"/>
      <c r="J22" s="66"/>
      <c r="K22" s="209" t="s">
        <v>196</v>
      </c>
      <c r="L22" s="210"/>
      <c r="M22" s="218">
        <f t="shared" ref="M22:M25" si="14">H22*$T$1</f>
        <v>320802.55440000002</v>
      </c>
      <c r="N22" s="218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09" t="s">
        <v>197</v>
      </c>
      <c r="G23" s="210"/>
      <c r="H23" s="218">
        <f>R18</f>
        <v>67701.989999999991</v>
      </c>
      <c r="I23" s="218"/>
      <c r="J23" s="66"/>
      <c r="K23" s="209" t="s">
        <v>197</v>
      </c>
      <c r="L23" s="210"/>
      <c r="M23" s="218">
        <f t="shared" si="14"/>
        <v>5613849.0107999993</v>
      </c>
      <c r="N23" s="218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09" t="s">
        <v>198</v>
      </c>
      <c r="G24" s="210"/>
      <c r="H24" s="218">
        <f>T18</f>
        <v>12186.370000000004</v>
      </c>
      <c r="I24" s="218"/>
      <c r="J24" s="66"/>
      <c r="K24" s="209" t="s">
        <v>198</v>
      </c>
      <c r="L24" s="210"/>
      <c r="M24" s="218">
        <f t="shared" si="14"/>
        <v>1010493.8004000004</v>
      </c>
      <c r="N24" s="218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09" t="s">
        <v>199</v>
      </c>
      <c r="G25" s="210"/>
      <c r="H25" s="219">
        <f>H23+H24</f>
        <v>79888.36</v>
      </c>
      <c r="I25" s="219"/>
      <c r="J25" s="66"/>
      <c r="K25" s="209" t="s">
        <v>199</v>
      </c>
      <c r="L25" s="210"/>
      <c r="M25" s="219">
        <f t="shared" si="14"/>
        <v>6624342.8112000003</v>
      </c>
      <c r="N25" s="219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558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559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223</v>
      </c>
      <c r="AV23" t="s">
        <v>252</v>
      </c>
      <c r="AW23" s="83">
        <f>AM23</f>
        <v>2</v>
      </c>
      <c r="AX23" s="83">
        <f>AR23</f>
        <v>426.97</v>
      </c>
      <c r="AY23" s="83">
        <f>AU23+AW23</f>
        <v>4</v>
      </c>
      <c r="AZ23" s="83">
        <f>ROUND(((AU23*AV23)+(AW23*AX23))/(AU23+AW23),5)</f>
        <v>426.97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223</v>
      </c>
      <c r="BO23" s="83">
        <f>ROUND((((AW23*AZ23)+(BN23*BM23))/(AW23+BN23)),5)</f>
        <v>426.97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255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8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223</v>
      </c>
      <c r="BO24" s="83">
        <f>ROUND((((AW24*AZ24)+(BN24*BM24))/(AW24+BN24)),5)</f>
        <v>469.2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560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561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261</v>
      </c>
      <c r="H24" s="69">
        <f>F24*G24</f>
        <v>486</v>
      </c>
      <c r="I24" t="s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263</v>
      </c>
      <c r="AV24" t="s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265</v>
      </c>
      <c r="BN24" t="s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270</v>
      </c>
      <c r="AV23" t="s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272</v>
      </c>
      <c r="BN23" t="s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276</v>
      </c>
      <c r="AV24" t="s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278</v>
      </c>
      <c r="BN24" t="s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281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282</v>
      </c>
      <c r="AS23" t="s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284</v>
      </c>
      <c r="BK23" t="s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287</v>
      </c>
      <c r="H24" s="69">
        <f>F24*G24</f>
        <v>696</v>
      </c>
      <c r="I24" t="s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289</v>
      </c>
      <c r="AS24" t="s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292</v>
      </c>
      <c r="BK24" t="s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294</v>
      </c>
      <c r="AT27" t="s">
        <v>295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296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298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303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306</v>
      </c>
      <c r="BN23" t="s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308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>
        <v>223</v>
      </c>
      <c r="AV23" t="s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310</v>
      </c>
      <c r="BN23" t="s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>
        <v>301</v>
      </c>
      <c r="AV24" t="s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312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319</v>
      </c>
      <c r="AV23" t="s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321</v>
      </c>
      <c r="BN23" t="s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266</v>
      </c>
      <c r="AV23" t="s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325</v>
      </c>
      <c r="BN23" t="s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301</v>
      </c>
      <c r="AV24" t="s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327</v>
      </c>
      <c r="BN24" t="s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332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335</v>
      </c>
      <c r="BN24" t="s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abSelected="1" topLeftCell="A16" zoomScale="115" zoomScaleNormal="115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575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336</v>
      </c>
      <c r="BN23" t="s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576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338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>
        <v>239</v>
      </c>
      <c r="AV23" t="s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341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343</v>
      </c>
      <c r="H24" s="69">
        <f>F24*G24</f>
        <v>688</v>
      </c>
      <c r="I24" t="s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>
        <v>239</v>
      </c>
      <c r="AV24" t="s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345</v>
      </c>
      <c r="BN24" t="s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>
        <v>239</v>
      </c>
      <c r="AV23" t="s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358</v>
      </c>
      <c r="BN23" t="s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360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362</v>
      </c>
      <c r="H23" s="69">
        <f>F23*G23</f>
        <v>911.34</v>
      </c>
      <c r="I23" t="s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>
        <v>239</v>
      </c>
      <c r="AV23" t="s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363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366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>
        <v>239</v>
      </c>
      <c r="AV24" t="s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367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370</v>
      </c>
      <c r="BN23" t="s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373</v>
      </c>
      <c r="BN24" t="s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3673.17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198.56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3474.6099999999997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625.44000000000005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4100.0499999999993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opLeftCell="AP13" workbookViewId="0">
      <selection activeCell="AS28" sqref="AS28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360</v>
      </c>
      <c r="H23" s="69">
        <f>F23*G23</f>
        <v>14400</v>
      </c>
      <c r="I23" t="s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1659.57125</v>
      </c>
      <c r="AS23" s="83" t="s">
        <v>229</v>
      </c>
      <c r="AT23" s="83" t="s">
        <v>58</v>
      </c>
      <c r="AU23" t="s">
        <v>239</v>
      </c>
      <c r="AV23" t="s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ROUND(((AU23*AV23)+(AW23*AX23))/(AU23+AW23),1)</f>
        <v>1659.6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1659.6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09" t="s">
        <v>194</v>
      </c>
      <c r="H26" s="210"/>
      <c r="I26" s="212">
        <f>H24</f>
        <v>14400</v>
      </c>
      <c r="J26" s="212"/>
      <c r="K26" s="100"/>
      <c r="L26" s="66"/>
      <c r="M26" s="215" t="s">
        <v>195</v>
      </c>
      <c r="N26" s="216"/>
      <c r="O26" s="216"/>
      <c r="P26" s="21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196</v>
      </c>
      <c r="H27" s="210"/>
      <c r="I27" s="212">
        <f>R24</f>
        <v>1123.43</v>
      </c>
      <c r="J27" s="21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197</v>
      </c>
      <c r="H28" s="210"/>
      <c r="I28" s="212">
        <f>S24</f>
        <v>13276.57</v>
      </c>
      <c r="J28" s="21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198</v>
      </c>
      <c r="H29" s="210"/>
      <c r="I29" s="212">
        <f>AB24</f>
        <v>2389.7800000000002</v>
      </c>
      <c r="J29" s="21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199</v>
      </c>
      <c r="H30" s="210"/>
      <c r="I30" s="211">
        <f>I28+I29</f>
        <v>15666.35</v>
      </c>
      <c r="J30" s="21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E10" workbookViewId="0">
      <selection activeCell="AS23" sqref="AS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254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1411.788</v>
      </c>
      <c r="AS23" s="83" t="s">
        <v>229</v>
      </c>
      <c r="AT23" s="83" t="s">
        <v>58</v>
      </c>
      <c r="AU23" t="s">
        <v>239</v>
      </c>
      <c r="AV23" t="s">
        <v>387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ROUND(((AU23*AV23)+(AW23*AX23))/(AU23+AW23),1)</f>
        <v>1411.8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388</v>
      </c>
      <c r="BN23" t="s">
        <v>389</v>
      </c>
      <c r="BO23" s="83">
        <f>ROUND((((AW23*AZ23)+(BN23*BM23))/(AW23+BN23)),5)</f>
        <v>1407.6939600000001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09" t="s">
        <v>194</v>
      </c>
      <c r="H26" s="210"/>
      <c r="I26" s="212">
        <f>H24</f>
        <v>7500</v>
      </c>
      <c r="J26" s="212"/>
      <c r="K26" s="100"/>
      <c r="L26" s="66"/>
      <c r="M26" s="215" t="s">
        <v>195</v>
      </c>
      <c r="N26" s="216"/>
      <c r="O26" s="216"/>
      <c r="P26" s="21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196</v>
      </c>
      <c r="H27" s="210"/>
      <c r="I27" s="212">
        <f>R24</f>
        <v>441.06</v>
      </c>
      <c r="J27" s="212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197</v>
      </c>
      <c r="H28" s="210"/>
      <c r="I28" s="212">
        <f>S24</f>
        <v>7058.94</v>
      </c>
      <c r="J28" s="212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198</v>
      </c>
      <c r="H29" s="210"/>
      <c r="I29" s="212">
        <f>AB24</f>
        <v>1270.5999999999999</v>
      </c>
      <c r="J29" s="212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199</v>
      </c>
      <c r="H30" s="210"/>
      <c r="I30" s="211">
        <f>I28+I29</f>
        <v>8329.5399999999991</v>
      </c>
      <c r="J30" s="21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390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391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392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273</v>
      </c>
      <c r="H24" s="69">
        <f t="shared" ref="H24" si="3">F24*G24</f>
        <v>6608</v>
      </c>
      <c r="I24" t="s">
        <v>394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395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12358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842.29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11515.71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2072.8200000000002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13588.529999999999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396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360</v>
      </c>
      <c r="H23" s="69">
        <f>F23*G23</f>
        <v>10800</v>
      </c>
      <c r="I23" t="s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397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21300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1458.09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19841.91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3571.55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23413.46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398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343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399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399</v>
      </c>
      <c r="BN23" t="s">
        <v>400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401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300</v>
      </c>
      <c r="H24" s="69">
        <f t="shared" ref="H24" si="3">F24*G24</f>
        <v>6552</v>
      </c>
      <c r="I24" t="s">
        <v>402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403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403</v>
      </c>
      <c r="BN24" t="s">
        <v>404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15152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944.18000000000006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14207.82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2557.4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16765.22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405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360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406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24000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1526.6399999999999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22473.360000000001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4045.2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26518.560000000001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23" sqref="B23:B24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8" t="s">
        <v>89</v>
      </c>
      <c r="B21" s="22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407</v>
      </c>
      <c r="H23" s="69">
        <f>F23*G23</f>
        <v>3555</v>
      </c>
      <c r="I23" t="s">
        <v>408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409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409</v>
      </c>
      <c r="BN23" t="s">
        <v>410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411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412</v>
      </c>
      <c r="H24" s="69">
        <f t="shared" ref="H24" si="3">F24*G24</f>
        <v>10944</v>
      </c>
      <c r="I24" t="s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413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414</v>
      </c>
      <c r="BN24" t="s">
        <v>415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26">
        <f>H25</f>
        <v>14499</v>
      </c>
      <c r="J27" s="227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26">
        <f>R25</f>
        <v>1001.74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26">
        <f>S25</f>
        <v>13497.26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26">
        <f>AB25</f>
        <v>2429.5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24">
        <f>I29+I30</f>
        <v>15926.76</v>
      </c>
      <c r="J31" s="225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8" t="s">
        <v>89</v>
      </c>
      <c r="B21" s="22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416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417</v>
      </c>
      <c r="BN23" t="s">
        <v>418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419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421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421</v>
      </c>
      <c r="BN24" t="s">
        <v>422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26">
        <f>H25</f>
        <v>9000</v>
      </c>
      <c r="J27" s="227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26">
        <f>R25</f>
        <v>615.49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26">
        <f>S25</f>
        <v>8384.51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26">
        <f>AB25</f>
        <v>1509.22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24">
        <f>I29+I30</f>
        <v>9893.73</v>
      </c>
      <c r="J31" s="225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8" t="s">
        <v>89</v>
      </c>
      <c r="B21" s="22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423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424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424</v>
      </c>
      <c r="BN23" t="s">
        <v>425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426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427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427</v>
      </c>
      <c r="BN24" t="s">
        <v>428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26">
        <f>H25</f>
        <v>6443.34</v>
      </c>
      <c r="J27" s="227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26">
        <f>R25</f>
        <v>348.28999999999996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26">
        <f>S25</f>
        <v>6095.05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26">
        <f>AB25</f>
        <v>1097.0999999999999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24">
        <f>I29+I30</f>
        <v>7192.15</v>
      </c>
      <c r="J31" s="225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397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429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430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430</v>
      </c>
      <c r="BN23" t="s">
        <v>410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396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366</v>
      </c>
      <c r="H24" s="69">
        <f t="shared" ref="H24" si="3">F24*G24</f>
        <v>4140</v>
      </c>
      <c r="I24" t="s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431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431</v>
      </c>
      <c r="BN24" t="s">
        <v>432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4545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328.67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4216.33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758.93999999999994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4975.2699999999995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433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434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9300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637.44000000000005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8662.5600000000013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1559.27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10221.830000000002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435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9300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637.44000000000005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8662.5600000000013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1559.27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10221.830000000002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438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439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10076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710.49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9365.51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1685.79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11051.3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405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308</v>
      </c>
      <c r="H23" s="69">
        <f>F23*G23</f>
        <v>1200</v>
      </c>
      <c r="I23" t="s">
        <v>223</v>
      </c>
      <c r="J23" s="69">
        <v>2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23.52</v>
      </c>
      <c r="P23" s="69">
        <f>ROUND(N23-O23,2)</f>
        <v>1152.48</v>
      </c>
      <c r="Q23" s="69">
        <f>ROUND(P23*K23%,2)</f>
        <v>28.81</v>
      </c>
      <c r="R23" s="69">
        <f>ROUND((M23+O23+Q23),2)</f>
        <v>76.33</v>
      </c>
      <c r="S23" s="69">
        <f>ROUND((H23-R23),2)</f>
        <v>1123.67</v>
      </c>
      <c r="T23" s="89" t="s">
        <v>146</v>
      </c>
      <c r="U23" s="79">
        <v>0.18</v>
      </c>
      <c r="V23" s="69">
        <f>IF(OR($C$21=1,$C$21=4),ROUND(((S23*U23)/2),2),0)</f>
        <v>101.13</v>
      </c>
      <c r="W23" s="69">
        <f>IF($C$21=1,ROUND(((S23*U23)/2),2),0)</f>
        <v>101.13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202.26</v>
      </c>
      <c r="AC23" s="68">
        <f>IF($V21=1,S23+AB23,S23)</f>
        <v>1325.93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1123.67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280.91750000000002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280.91750000000002</v>
      </c>
      <c r="AS23" s="83" t="s">
        <v>229</v>
      </c>
      <c r="AT23" s="83" t="s">
        <v>58</v>
      </c>
      <c r="AU23" t="s">
        <v>440</v>
      </c>
      <c r="AV23" t="s">
        <v>441</v>
      </c>
      <c r="AW23" s="83">
        <f>AM23</f>
        <v>4</v>
      </c>
      <c r="AX23" s="83">
        <f>AR23</f>
        <v>280.91750000000002</v>
      </c>
      <c r="AY23" s="83">
        <f>AU23+AW23</f>
        <v>29</v>
      </c>
      <c r="AZ23" s="83">
        <f>ROUND(((AU23*AV23)+(AW23*AX23))/(AU23+AW23),5)</f>
        <v>200.19345000000001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441</v>
      </c>
      <c r="BN23" t="s">
        <v>442</v>
      </c>
      <c r="BO23" s="83">
        <f>ROUND((((AW23*AZ23)+(BN23*BM23))/(AW23+BN23)),5)</f>
        <v>187.72105999999999</v>
      </c>
      <c r="BP23" s="87">
        <f>BN23+AW23</f>
        <v>116.5</v>
      </c>
      <c r="BQ23" s="88">
        <v>88363222</v>
      </c>
    </row>
    <row r="24" spans="1:69">
      <c r="A24" s="68">
        <v>2</v>
      </c>
      <c r="B24" s="68" t="s">
        <v>406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308</v>
      </c>
      <c r="H24" s="69">
        <f t="shared" ref="H24" si="3">F24*G24</f>
        <v>1500</v>
      </c>
      <c r="I24" t="s">
        <v>223</v>
      </c>
      <c r="J24" s="69">
        <v>2</v>
      </c>
      <c r="K24" s="69">
        <v>2.5</v>
      </c>
      <c r="L24" s="69">
        <f t="shared" ref="L24" si="4">H24</f>
        <v>1500</v>
      </c>
      <c r="M24" s="69">
        <f t="shared" ref="M24" si="5">ROUND(L24*I24%,2)</f>
        <v>30</v>
      </c>
      <c r="N24" s="69">
        <f t="shared" ref="N24" si="6">H24-M24</f>
        <v>1470</v>
      </c>
      <c r="O24" s="69">
        <f t="shared" ref="O24" si="7">ROUND(N24*J24%,2)</f>
        <v>29.4</v>
      </c>
      <c r="P24" s="69">
        <f t="shared" ref="P24" si="8">ROUND(N24-O24,2)</f>
        <v>1440.6</v>
      </c>
      <c r="Q24" s="69">
        <f t="shared" ref="Q24" si="9">ROUND(P24*K24%,2)</f>
        <v>36.020000000000003</v>
      </c>
      <c r="R24" s="69">
        <f t="shared" ref="R24" si="10">ROUND((M24+O24+Q24),2)</f>
        <v>95.42</v>
      </c>
      <c r="S24" s="69">
        <f t="shared" ref="S24" si="11">ROUND((H24-R24),2)</f>
        <v>1404.58</v>
      </c>
      <c r="T24" s="89" t="s">
        <v>372</v>
      </c>
      <c r="U24" s="79">
        <v>0.18</v>
      </c>
      <c r="V24" s="69">
        <f t="shared" ref="V24" si="12">IF(OR($C$21=1,$C$21=4),ROUND(((S24*U24)/2),2),0)</f>
        <v>126.41</v>
      </c>
      <c r="W24" s="69">
        <f t="shared" ref="W24" si="13">IF($C$21=1,ROUND(((S24*U24)/2),2),0)</f>
        <v>126.41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252.82</v>
      </c>
      <c r="AC24" s="68">
        <f t="shared" ref="AC24" si="18">IF($V22=1,S24+AB24,S24)</f>
        <v>1404.58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1404.58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280.916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280.916</v>
      </c>
      <c r="AS24" s="83" t="s">
        <v>229</v>
      </c>
      <c r="AT24" s="83" t="s">
        <v>58</v>
      </c>
      <c r="AU24" t="s">
        <v>443</v>
      </c>
      <c r="AV24" t="s">
        <v>444</v>
      </c>
      <c r="AW24" s="83">
        <f>AM24</f>
        <v>5</v>
      </c>
      <c r="AX24" s="83">
        <f>AR24</f>
        <v>280.916</v>
      </c>
      <c r="AY24" s="83">
        <f>AU24+AW24</f>
        <v>33</v>
      </c>
      <c r="AZ24" s="83">
        <f>ROUND(((AU24*AV24)+(AW24*AX24))/(AU24+AW24),5)</f>
        <v>201.46546000000001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444</v>
      </c>
      <c r="BN24" t="s">
        <v>445</v>
      </c>
      <c r="BO24" s="83">
        <f>ROUND((((AW24*AZ24)+(BN24*BM24))/(AW24+BN24)),5)</f>
        <v>187.81936999999999</v>
      </c>
      <c r="BP24" s="87">
        <f>BN24+AW24</f>
        <v>131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2700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171.75</v>
      </c>
      <c r="S25" s="71">
        <f>SUM(S23:S24)</f>
        <v>2528.25</v>
      </c>
      <c r="T25" s="71"/>
      <c r="U25" s="71"/>
      <c r="V25" s="77">
        <f t="shared" ref="V25:AE25" si="24">SUM(V23:V24)</f>
        <v>227.54</v>
      </c>
      <c r="W25" s="77">
        <f t="shared" si="24"/>
        <v>227.54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455.08</v>
      </c>
      <c r="AC25" s="80">
        <f t="shared" si="24"/>
        <v>2730.51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2528.25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2700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171.75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2528.25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455.08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2983.33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5349.0599999999995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289.16000000000003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5059.8999999999996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AB25</f>
        <v>910.78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5970.6799999999994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446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447</v>
      </c>
      <c r="AS23" t="s">
        <v>448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449</v>
      </c>
      <c r="BB23" s="107" t="s">
        <v>450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451</v>
      </c>
      <c r="BK23" t="s">
        <v>452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453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454</v>
      </c>
      <c r="AS24" t="s">
        <v>455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456</v>
      </c>
      <c r="BB24" s="107" t="s">
        <v>450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457</v>
      </c>
      <c r="BK24" t="s">
        <v>458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10654.75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575.95000000000005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10078.799999999999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Y25</f>
        <v>1814.19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11892.99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459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424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449</v>
      </c>
      <c r="BB23" s="107" t="s">
        <v>450</v>
      </c>
      <c r="BC23" s="106"/>
      <c r="BD23" s="106"/>
      <c r="BE23" s="106"/>
      <c r="BF23" s="57"/>
      <c r="BG23" s="57"/>
      <c r="BH23" s="57"/>
      <c r="BI23" s="57" t="s">
        <v>348</v>
      </c>
      <c r="BJ23" t="s">
        <v>424</v>
      </c>
      <c r="BK23" t="s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460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461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456</v>
      </c>
      <c r="BB24" s="107" t="s">
        <v>450</v>
      </c>
      <c r="BC24" s="106"/>
      <c r="BD24" s="106"/>
      <c r="BE24" s="106"/>
      <c r="BF24" s="57"/>
      <c r="BG24" s="57"/>
      <c r="BH24" s="57"/>
      <c r="BI24" s="57" t="s">
        <v>348</v>
      </c>
      <c r="BJ24" t="s">
        <v>461</v>
      </c>
      <c r="BK24" t="s">
        <v>462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10654.75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575.95000000000005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10078.799999999999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Y25</f>
        <v>1814.19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11892.99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13" t="s">
        <v>154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463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464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465</v>
      </c>
      <c r="AS23" t="s">
        <v>466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449</v>
      </c>
      <c r="BB23" s="107" t="s">
        <v>450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467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468</v>
      </c>
      <c r="H24" s="69">
        <f t="shared" ref="H24" si="4">F24*G24</f>
        <v>2380</v>
      </c>
      <c r="I24" t="s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469</v>
      </c>
      <c r="AS24" t="s">
        <v>470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456</v>
      </c>
      <c r="BB24" s="107" t="s">
        <v>450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09" t="s">
        <v>194</v>
      </c>
      <c r="H27" s="210"/>
      <c r="I27" s="212">
        <f>H25</f>
        <v>4347.5</v>
      </c>
      <c r="J27" s="212"/>
      <c r="K27" s="100"/>
      <c r="L27" s="66"/>
      <c r="M27" s="215" t="s">
        <v>195</v>
      </c>
      <c r="N27" s="216"/>
      <c r="O27" s="216"/>
      <c r="P27" s="21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09" t="s">
        <v>196</v>
      </c>
      <c r="H28" s="210"/>
      <c r="I28" s="212">
        <f>R25</f>
        <v>299.27999999999997</v>
      </c>
      <c r="J28" s="212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09" t="s">
        <v>197</v>
      </c>
      <c r="H29" s="210"/>
      <c r="I29" s="212">
        <f>S25</f>
        <v>4048.22</v>
      </c>
      <c r="J29" s="212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09" t="s">
        <v>198</v>
      </c>
      <c r="H30" s="210"/>
      <c r="I30" s="212">
        <f>Y25</f>
        <v>728.68000000000006</v>
      </c>
      <c r="J30" s="212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09" t="s">
        <v>199</v>
      </c>
      <c r="H31" s="210"/>
      <c r="I31" s="211">
        <f>I29+I30</f>
        <v>4776.8999999999996</v>
      </c>
      <c r="J31" s="21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471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472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473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473</v>
      </c>
      <c r="BK24" t="s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475</v>
      </c>
      <c r="H23" s="69">
        <f>F23*G23</f>
        <v>1572</v>
      </c>
      <c r="I23" t="s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476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476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477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478</v>
      </c>
      <c r="H24" s="69">
        <f t="shared" ref="H24" si="6">F24*G24</f>
        <v>1305</v>
      </c>
      <c r="I24" t="s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479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479</v>
      </c>
      <c r="BK24" t="s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481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481</v>
      </c>
      <c r="BN23" t="s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482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256</v>
      </c>
      <c r="BN24" t="s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481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481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484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485</v>
      </c>
      <c r="H24" s="69">
        <f>F24*G24</f>
        <v>1400</v>
      </c>
      <c r="I24" t="s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>
        <v>239</v>
      </c>
      <c r="AV24" t="s">
        <v>486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486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08" t="s">
        <v>89</v>
      </c>
      <c r="B21" s="208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487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488</v>
      </c>
      <c r="H23" s="69">
        <f>F23*G23</f>
        <v>86325</v>
      </c>
      <c r="I23" t="s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08" t="s">
        <v>89</v>
      </c>
      <c r="B21" s="20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490</v>
      </c>
      <c r="BK23" t="s">
        <v>491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492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493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494</v>
      </c>
      <c r="BK24" t="s">
        <v>495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5</v>
      </c>
      <c r="D21" s="21" t="s">
        <v>496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492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491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497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498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499</v>
      </c>
      <c r="BN23" t="s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1</v>
      </c>
      <c r="D21" s="21" t="s">
        <v>497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500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501</v>
      </c>
      <c r="BN23" t="s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6" t="s">
        <v>46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8" t="s">
        <v>89</v>
      </c>
      <c r="B21" s="208"/>
      <c r="C21" s="20">
        <v>2</v>
      </c>
      <c r="D21" s="21" t="s">
        <v>497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499</v>
      </c>
      <c r="BN23" t="s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Q24"/>
  <sheetViews>
    <sheetView topLeftCell="A6" workbookViewId="0">
      <selection activeCell="J18" sqref="J18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502</v>
      </c>
      <c r="C23" s="25" t="s">
        <v>502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503</v>
      </c>
      <c r="C23" s="25" t="s">
        <v>503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504</v>
      </c>
      <c r="C23" s="25" t="s">
        <v>504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505</v>
      </c>
      <c r="C23" s="25" t="s">
        <v>505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506</v>
      </c>
      <c r="C23" s="25" t="s">
        <v>506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507</v>
      </c>
      <c r="C23" s="25" t="s">
        <v>507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508</v>
      </c>
      <c r="C23" s="25" t="s">
        <v>508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509</v>
      </c>
      <c r="C23" s="25" t="s">
        <v>509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7" t="s">
        <v>87</v>
      </c>
      <c r="C19" s="207"/>
      <c r="D19" s="207"/>
      <c r="E19" s="207"/>
      <c r="F19" s="207"/>
      <c r="G19" s="20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8" t="s">
        <v>89</v>
      </c>
      <c r="B21" s="20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510</v>
      </c>
      <c r="C23" s="25" t="s">
        <v>510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12" max="12" width="9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23.85546875" bestFit="1" customWidth="1"/>
    <col min="78" max="78" width="14.42578125" bestFit="1" customWidth="1"/>
    <col min="87" max="87" width="13.85546875" bestFit="1" customWidth="1"/>
    <col min="110" max="111" width="14.28515625" bestFit="1" customWidth="1"/>
    <col min="144" max="144" width="34.42578125" bestFit="1" customWidth="1"/>
    <col min="146" max="146" width="18.57031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50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9" t="s">
        <v>89</v>
      </c>
      <c r="BY21" s="15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511</v>
      </c>
      <c r="EP22" s="167" t="s">
        <v>512</v>
      </c>
      <c r="EQ22" s="167" t="s">
        <v>513</v>
      </c>
      <c r="ER22" s="167" t="s">
        <v>514</v>
      </c>
      <c r="ES22" s="167" t="s">
        <v>515</v>
      </c>
      <c r="ET22" s="167" t="s">
        <v>516</v>
      </c>
    </row>
    <row r="23" spans="1:150" ht="15.75" thickBot="1">
      <c r="A23" s="170">
        <v>1</v>
      </c>
      <c r="B23" s="170" t="s">
        <v>517</v>
      </c>
      <c r="C23" s="170" t="s">
        <v>162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>F23*G23</f>
        <v>1000</v>
      </c>
      <c r="I23">
        <v>0</v>
      </c>
      <c r="J23" s="171">
        <v>0</v>
      </c>
      <c r="K23" s="171">
        <v>0</v>
      </c>
      <c r="L23" s="171">
        <f>H23</f>
        <v>1000</v>
      </c>
      <c r="M23" s="171">
        <f>ROUND(L23*I23%,2)</f>
        <v>0</v>
      </c>
      <c r="N23" s="171">
        <f>H23-M23</f>
        <v>1000</v>
      </c>
      <c r="O23" s="171">
        <f>ROUND(N23*J23%,2)</f>
        <v>0</v>
      </c>
      <c r="P23" s="171">
        <f>ROUND(N23-O23,2)</f>
        <v>1000</v>
      </c>
      <c r="Q23" s="171">
        <f>ROUND(P23*K23%,2)</f>
        <v>0</v>
      </c>
      <c r="R23" s="171">
        <f>ROUND((M23+O23+Q23),2)</f>
        <v>0</v>
      </c>
      <c r="S23" s="171">
        <f>ROUND((H23-R23),2)</f>
        <v>1000</v>
      </c>
      <c r="T23" s="172" t="s">
        <v>146</v>
      </c>
      <c r="U23" s="173">
        <v>0.18</v>
      </c>
      <c r="V23" s="171">
        <f>IF(OR($C$21=1,$C$21=4),ROUND(((S23*U23)/2),2),0)</f>
        <v>90</v>
      </c>
      <c r="W23" s="171">
        <f>IF($C$21=1,ROUND(((S23*U23)/2),2),0)</f>
        <v>90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IF($C21=3, 0, ROUND(S23*Z23, 2))</f>
        <v>0</v>
      </c>
      <c r="AB23" s="170">
        <f>V23+W23+X23+Y23+AA23</f>
        <v>180</v>
      </c>
      <c r="AC23" s="170">
        <f>IF($V21=1,S23+AB23,S23)</f>
        <v>1180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">S23*$M$21</f>
        <v>1000</v>
      </c>
      <c r="AJ23" s="172">
        <f>IF($C$21=3,0,AG23+AH23)</f>
        <v>0</v>
      </c>
      <c r="AK23" s="172">
        <f t="shared" ref="AK23" si="2">IF($C$21=3,AE23+AG23+AH23,0)</f>
        <v>0</v>
      </c>
      <c r="AL23" s="175">
        <v>3</v>
      </c>
      <c r="AM23" s="172">
        <f>F23/AL23</f>
        <v>0.33333333333333331</v>
      </c>
      <c r="AN23" s="172">
        <f>ROUND(AI23/AM23,5)</f>
        <v>3000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518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>
        <v>1</v>
      </c>
      <c r="BY23" s="170" t="s">
        <v>517</v>
      </c>
      <c r="BZ23" s="170" t="s">
        <v>162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>CC23*CD23</f>
        <v>1000</v>
      </c>
      <c r="CF23">
        <v>0</v>
      </c>
      <c r="CG23" s="171">
        <v>0</v>
      </c>
      <c r="CH23" s="171">
        <v>0</v>
      </c>
      <c r="CI23" s="171">
        <f>CE23</f>
        <v>1000</v>
      </c>
      <c r="CJ23" s="171">
        <f>ROUND(CI23*CF23%,2)</f>
        <v>0</v>
      </c>
      <c r="CK23" s="171">
        <f>CE23-CJ23</f>
        <v>1000</v>
      </c>
      <c r="CL23" s="171">
        <f>ROUND(CK23*CG23%,2)</f>
        <v>0</v>
      </c>
      <c r="CM23" s="171">
        <f>ROUND(CK23-CL23,2)</f>
        <v>1000</v>
      </c>
      <c r="CN23" s="171">
        <f>ROUND(CM23*CH23%,2)</f>
        <v>0</v>
      </c>
      <c r="CO23" s="171">
        <f>ROUND((CJ23+CL23+CN23),2)</f>
        <v>0</v>
      </c>
      <c r="CP23" s="171">
        <f>ROUND((CE23-CO23),2)</f>
        <v>1000</v>
      </c>
      <c r="CQ23" s="172" t="s">
        <v>146</v>
      </c>
      <c r="CR23" s="173">
        <v>0.28000000000000003</v>
      </c>
      <c r="CS23" s="171">
        <f>IF(OR($C$21=1,$C$21=4),ROUND(((CP23*CR23)/2),2),0)</f>
        <v>140</v>
      </c>
      <c r="CT23" s="171">
        <f>IF($C$21=1,ROUND(((CP23*CR23)/2),2),0)</f>
        <v>140</v>
      </c>
      <c r="CU23" s="171">
        <f>IF($C$21=2,ROUND(((CP23*CR23)),2),0)</f>
        <v>0</v>
      </c>
      <c r="CV23" s="171">
        <f>IF($C$21=4,ROUND(((CP23*CR23)/2),2),0)</f>
        <v>0</v>
      </c>
      <c r="CW23" s="174">
        <v>0</v>
      </c>
      <c r="CX23" s="171">
        <f>IF($C21=3, 0, ROUND(CP23*CW23, 2))</f>
        <v>0</v>
      </c>
      <c r="CY23" s="170">
        <f>CS23+CT23+CU23+CV23+CX23</f>
        <v>280</v>
      </c>
      <c r="CZ23" s="170">
        <f>IF($V21=1,CP23+CY23,CP23)</f>
        <v>1280</v>
      </c>
      <c r="DA23" s="172">
        <v>120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">CP23*$M$21</f>
        <v>1000</v>
      </c>
      <c r="DG23" s="172">
        <f>IF($C$21=3,0,DD23+DE23)</f>
        <v>0</v>
      </c>
      <c r="DH23" s="172">
        <f t="shared" ref="DH23" si="4">IF($C$21=3,DB23+DD23+DE23,0)</f>
        <v>0</v>
      </c>
      <c r="DI23" s="175">
        <v>3</v>
      </c>
      <c r="DJ23" s="172">
        <f>CC23/DI23</f>
        <v>0.33333333333333331</v>
      </c>
      <c r="DK23" s="172">
        <f>ROUND(DF23/DJ23,5)</f>
        <v>3000</v>
      </c>
      <c r="DL23" s="172">
        <f>DG23/DJ23</f>
        <v>0</v>
      </c>
      <c r="DM23" s="172">
        <f>DH23/DJ23</f>
        <v>0</v>
      </c>
      <c r="DN23" s="172" t="s">
        <v>58</v>
      </c>
      <c r="DO23" s="172">
        <f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518</v>
      </c>
      <c r="EP23" s="85" t="s">
        <v>519</v>
      </c>
      <c r="EQ23" s="85" t="s">
        <v>520</v>
      </c>
      <c r="ER23" s="85" t="s">
        <v>521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5">SUM(V23:V23)</f>
        <v>90</v>
      </c>
      <c r="W24" s="182">
        <f t="shared" si="5"/>
        <v>90</v>
      </c>
      <c r="X24" s="182">
        <f t="shared" si="5"/>
        <v>0</v>
      </c>
      <c r="Y24" s="182">
        <f t="shared" si="5"/>
        <v>0</v>
      </c>
      <c r="Z24" s="183">
        <f t="shared" si="5"/>
        <v>0</v>
      </c>
      <c r="AA24" s="182">
        <f t="shared" si="5"/>
        <v>0</v>
      </c>
      <c r="AB24" s="181">
        <f t="shared" si="5"/>
        <v>180</v>
      </c>
      <c r="AC24" s="184">
        <f t="shared" si="5"/>
        <v>1180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6">SUM(CS23:CS23)</f>
        <v>140</v>
      </c>
      <c r="CT24" s="182">
        <f t="shared" si="6"/>
        <v>140</v>
      </c>
      <c r="CU24" s="182">
        <f t="shared" si="6"/>
        <v>0</v>
      </c>
      <c r="CV24" s="182">
        <f t="shared" si="6"/>
        <v>0</v>
      </c>
      <c r="CW24" s="183">
        <f t="shared" si="6"/>
        <v>0</v>
      </c>
      <c r="CX24" s="182">
        <f t="shared" si="6"/>
        <v>0</v>
      </c>
      <c r="CY24" s="181">
        <f t="shared" si="6"/>
        <v>280</v>
      </c>
      <c r="CZ24" s="184">
        <f t="shared" si="6"/>
        <v>1280</v>
      </c>
      <c r="DA24" s="185">
        <f t="shared" si="6"/>
        <v>120</v>
      </c>
      <c r="DB24" s="185">
        <f t="shared" si="6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1000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188" t="s">
        <v>194</v>
      </c>
      <c r="CE26" s="189"/>
      <c r="CF26" s="190">
        <f>CE24</f>
        <v>1000</v>
      </c>
      <c r="CG26" s="190"/>
      <c r="CH26" s="186"/>
      <c r="CI26" s="137"/>
      <c r="CJ26" s="191" t="s">
        <v>195</v>
      </c>
      <c r="CK26" s="192"/>
      <c r="CL26" s="192"/>
      <c r="CM26" s="19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188" t="s">
        <v>196</v>
      </c>
      <c r="CE27" s="189"/>
      <c r="CF27" s="190">
        <f>CO24</f>
        <v>0</v>
      </c>
      <c r="CG27" s="19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1000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188" t="s">
        <v>197</v>
      </c>
      <c r="CE28" s="189"/>
      <c r="CF28" s="190">
        <f>CP24</f>
        <v>1000</v>
      </c>
      <c r="CG28" s="19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180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188" t="s">
        <v>198</v>
      </c>
      <c r="CE29" s="189"/>
      <c r="CF29" s="190">
        <f>CY24</f>
        <v>280</v>
      </c>
      <c r="CG29" s="19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1180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188" t="s">
        <v>199</v>
      </c>
      <c r="CE30" s="189"/>
      <c r="CF30" s="195">
        <f>CF28+CF29</f>
        <v>1280</v>
      </c>
      <c r="CG30" s="19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EI34*EJ35</f>
        <v>0</v>
      </c>
      <c r="EK32" s="137">
        <f>EI32*EI33</f>
        <v>0</v>
      </c>
      <c r="EL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48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48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7">
        <v>1</v>
      </c>
      <c r="BY21" s="158" t="s">
        <v>210</v>
      </c>
      <c r="BZ21" s="155"/>
      <c r="CA21" s="155"/>
      <c r="CB21" s="155"/>
      <c r="CC21" s="154"/>
      <c r="CD21" s="156" t="s">
        <v>91</v>
      </c>
      <c r="CE21" s="156" t="s">
        <v>92</v>
      </c>
      <c r="CF21" s="156"/>
      <c r="CG21" s="156" t="s">
        <v>93</v>
      </c>
      <c r="CH21" s="156">
        <v>1</v>
      </c>
      <c r="CI21" s="156"/>
      <c r="CJ21" s="156" t="s">
        <v>94</v>
      </c>
      <c r="CK21" s="156">
        <v>2</v>
      </c>
      <c r="CL21" s="156" t="s">
        <v>95</v>
      </c>
      <c r="CM21" s="154"/>
      <c r="CN21" s="154"/>
      <c r="CO21" s="154"/>
      <c r="CP21" s="154"/>
      <c r="CQ21" s="154">
        <v>1</v>
      </c>
      <c r="CR21" s="154" t="s">
        <v>211</v>
      </c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156</v>
      </c>
      <c r="BY22" s="160" t="s">
        <v>51</v>
      </c>
      <c r="BZ22" s="160" t="s">
        <v>52</v>
      </c>
      <c r="CA22" s="160" t="s">
        <v>53</v>
      </c>
      <c r="CB22" s="160" t="s">
        <v>54</v>
      </c>
      <c r="CC22" s="160" t="s">
        <v>55</v>
      </c>
      <c r="CD22" s="161" t="s">
        <v>97</v>
      </c>
      <c r="CE22" s="161" t="s">
        <v>99</v>
      </c>
      <c r="CF22" s="161" t="s">
        <v>98</v>
      </c>
      <c r="CG22" s="162" t="s">
        <v>100</v>
      </c>
      <c r="CH22" s="162" t="s">
        <v>101</v>
      </c>
      <c r="CI22" s="162" t="s">
        <v>104</v>
      </c>
      <c r="CJ22" s="162" t="s">
        <v>105</v>
      </c>
      <c r="CK22" s="162" t="s">
        <v>157</v>
      </c>
      <c r="CL22" s="162" t="s">
        <v>103</v>
      </c>
      <c r="CM22" s="161" t="s">
        <v>106</v>
      </c>
      <c r="CN22" s="160" t="s">
        <v>158</v>
      </c>
      <c r="CO22" s="160" t="s">
        <v>108</v>
      </c>
      <c r="CP22" s="163" t="s">
        <v>159</v>
      </c>
      <c r="CQ22" s="163" t="s">
        <v>110</v>
      </c>
      <c r="CR22" s="163" t="s">
        <v>111</v>
      </c>
      <c r="CS22" s="163" t="s">
        <v>112</v>
      </c>
      <c r="CT22" s="164" t="s">
        <v>212</v>
      </c>
      <c r="CU22" s="164" t="s">
        <v>213</v>
      </c>
      <c r="CV22" s="164" t="s">
        <v>214</v>
      </c>
      <c r="CW22" s="164" t="s">
        <v>113</v>
      </c>
      <c r="CX22" s="165" t="s">
        <v>114</v>
      </c>
      <c r="CY22" s="165" t="s">
        <v>115</v>
      </c>
      <c r="CZ22" s="165" t="s">
        <v>116</v>
      </c>
      <c r="DA22" s="165" t="s">
        <v>117</v>
      </c>
      <c r="DB22" s="165" t="s">
        <v>118</v>
      </c>
      <c r="DC22" s="165" t="s">
        <v>119</v>
      </c>
      <c r="DD22" s="165" t="s">
        <v>120</v>
      </c>
      <c r="DE22" s="165" t="s">
        <v>121</v>
      </c>
      <c r="DF22" s="165" t="s">
        <v>122</v>
      </c>
      <c r="DG22" s="165" t="s">
        <v>123</v>
      </c>
      <c r="DH22" s="165" t="s">
        <v>124</v>
      </c>
      <c r="DI22" s="165" t="s">
        <v>125</v>
      </c>
      <c r="DJ22" s="165" t="s">
        <v>126</v>
      </c>
      <c r="DK22" s="165" t="s">
        <v>127</v>
      </c>
      <c r="DL22" s="165" t="s">
        <v>128</v>
      </c>
      <c r="DM22" s="166" t="s">
        <v>160</v>
      </c>
      <c r="DN22" s="140" t="s">
        <v>215</v>
      </c>
      <c r="DO22" s="140" t="s">
        <v>128</v>
      </c>
      <c r="DP22" s="167" t="s">
        <v>131</v>
      </c>
      <c r="DQ22" s="167" t="s">
        <v>132</v>
      </c>
      <c r="DR22" s="167" t="s">
        <v>133</v>
      </c>
      <c r="DS22" s="167" t="s">
        <v>134</v>
      </c>
      <c r="DT22" s="167" t="s">
        <v>135</v>
      </c>
      <c r="DU22" s="167" t="s">
        <v>136</v>
      </c>
      <c r="DV22" s="167" t="s">
        <v>137</v>
      </c>
      <c r="DW22" s="167" t="s">
        <v>138</v>
      </c>
      <c r="DX22" s="168" t="s">
        <v>139</v>
      </c>
      <c r="DY22" s="168" t="s">
        <v>8</v>
      </c>
      <c r="DZ22" s="168" t="s">
        <v>9</v>
      </c>
      <c r="EA22" s="167" t="s">
        <v>216</v>
      </c>
      <c r="EB22" s="167" t="s">
        <v>140</v>
      </c>
      <c r="EC22" s="167" t="s">
        <v>141</v>
      </c>
      <c r="ED22" s="167" t="s">
        <v>142</v>
      </c>
      <c r="EE22" s="167" t="s">
        <v>143</v>
      </c>
      <c r="EF22" s="167" t="s">
        <v>144</v>
      </c>
      <c r="EG22" s="167" t="s">
        <v>217</v>
      </c>
      <c r="EH22" s="169" t="s">
        <v>218</v>
      </c>
      <c r="EI22" s="167" t="s">
        <v>219</v>
      </c>
      <c r="EJ22" s="167" t="s">
        <v>136</v>
      </c>
      <c r="EK22" s="167" t="s">
        <v>220</v>
      </c>
      <c r="EL22" s="167" t="s">
        <v>108</v>
      </c>
      <c r="EM22" s="167" t="s">
        <v>511</v>
      </c>
      <c r="EN22" s="167" t="s">
        <v>512</v>
      </c>
      <c r="EO22" s="167" t="s">
        <v>513</v>
      </c>
      <c r="EP22" s="167" t="s">
        <v>514</v>
      </c>
      <c r="EQ22" s="167" t="s">
        <v>515</v>
      </c>
      <c r="ER22" s="167" t="s">
        <v>516</v>
      </c>
    </row>
    <row r="23" spans="1:148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372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522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 t="s">
        <v>175</v>
      </c>
      <c r="BY23" s="170" t="s">
        <v>58</v>
      </c>
      <c r="BZ23" s="170" t="s">
        <v>163</v>
      </c>
      <c r="CA23" s="171">
        <v>1</v>
      </c>
      <c r="CB23" s="171">
        <v>1000</v>
      </c>
      <c r="CC23" s="171">
        <f t="shared" ref="CC23" si="22">CA23*CB23</f>
        <v>1000</v>
      </c>
      <c r="CD23">
        <v>0</v>
      </c>
      <c r="CE23" s="171">
        <v>0</v>
      </c>
      <c r="CF23" s="171">
        <v>0</v>
      </c>
      <c r="CG23" s="171">
        <f t="shared" ref="CG23" si="23">CC23</f>
        <v>1000</v>
      </c>
      <c r="CH23" s="171">
        <f t="shared" ref="CH23" si="24">ROUND(CG23*CD23%,2)</f>
        <v>0</v>
      </c>
      <c r="CI23" s="171">
        <f t="shared" ref="CI23" si="25">CC23-CH23</f>
        <v>1000</v>
      </c>
      <c r="CJ23" s="171">
        <f t="shared" ref="CJ23" si="26">ROUND(CI23*CE23%,2)</f>
        <v>0</v>
      </c>
      <c r="CK23" s="171">
        <f t="shared" ref="CK23" si="27">ROUND(CI23-CJ23,2)</f>
        <v>1000</v>
      </c>
      <c r="CL23" s="171">
        <f t="shared" ref="CL23" si="28">ROUND(CK23*CF23%,2)</f>
        <v>0</v>
      </c>
      <c r="CM23" s="171">
        <f t="shared" ref="CM23" si="29">ROUND((CH23+CJ23+CL23),2)</f>
        <v>0</v>
      </c>
      <c r="CN23" s="171">
        <f t="shared" ref="CN23" si="30">ROUND((CC23-CM23),2)</f>
        <v>1000</v>
      </c>
      <c r="CO23" s="172" t="s">
        <v>372</v>
      </c>
      <c r="CP23" s="173">
        <v>0.18</v>
      </c>
      <c r="CQ23" s="171">
        <f t="shared" ref="CQ23" si="31">IF(OR($C$21=1,$C$21=4),ROUND(((CN23*CP23)/2),2),0)</f>
        <v>90</v>
      </c>
      <c r="CR23" s="171">
        <f t="shared" ref="CR23" si="32">IF($C$21=1,ROUND(((CN23*CP23)/2),2),0)</f>
        <v>90</v>
      </c>
      <c r="CS23" s="171">
        <f t="shared" ref="CS23" si="33">IF($C$21=2,ROUND(((CN23*CP23)),2),0)</f>
        <v>0</v>
      </c>
      <c r="CT23" s="171">
        <f t="shared" ref="CT23" si="34">IF($C$21=4,ROUND(((CN23*CP23)/2),2),0)</f>
        <v>0</v>
      </c>
      <c r="CU23" s="174">
        <v>0</v>
      </c>
      <c r="CV23" s="171">
        <f>IF($C22=3, 0, ROUND(CN23*CU23, 2))</f>
        <v>0</v>
      </c>
      <c r="CW23" s="170">
        <f t="shared" ref="CW23" si="35">CQ23+CR23+CS23+CT23+CV23</f>
        <v>180</v>
      </c>
      <c r="CX23" s="170">
        <f>IF($V21=1,CN23+CW23,CN23)</f>
        <v>1180</v>
      </c>
      <c r="CY23" s="172">
        <v>350</v>
      </c>
      <c r="CZ23" s="172">
        <f>IF($P$21=1,(CN23/$S$24)*$E$35,CY23/$AD$24*$E$35)</f>
        <v>0</v>
      </c>
      <c r="DA23" s="172"/>
      <c r="DB23" s="172">
        <f>IF($P$21=1,(CN23/$S$24)*$E$37,CY23/$AD$24*$E$37)</f>
        <v>0</v>
      </c>
      <c r="DC23" s="172">
        <f>IF($P$21=1,(CN23/$S$24)*$E$38,CY23/$AD$24*$E$38)</f>
        <v>0</v>
      </c>
      <c r="DD23" s="172">
        <f t="shared" ref="DD23" si="36">CN23*$M$21</f>
        <v>1000</v>
      </c>
      <c r="DE23" s="172">
        <f t="shared" ref="DE23" si="37">IF($C$21=3,0,DB23+DC23)</f>
        <v>0</v>
      </c>
      <c r="DF23" s="172">
        <f t="shared" ref="DF23" si="38">IF($C$21=3,CZ23+DB23+DC23,0)</f>
        <v>0</v>
      </c>
      <c r="DG23" s="175">
        <v>3</v>
      </c>
      <c r="DH23" s="172">
        <f>CA23/DG23</f>
        <v>0.33333333333333331</v>
      </c>
      <c r="DI23" s="172">
        <f t="shared" ref="DI23" si="39">ROUND(DD23/DH23,5)</f>
        <v>3000</v>
      </c>
      <c r="DJ23" s="172">
        <f t="shared" ref="DJ23" si="40">DE23/DH23</f>
        <v>0</v>
      </c>
      <c r="DK23" s="172">
        <f t="shared" ref="DK23" si="41">DF23/DH23</f>
        <v>0</v>
      </c>
      <c r="DL23" s="172" t="s">
        <v>58</v>
      </c>
      <c r="DM23" s="172">
        <f t="shared" ref="DM23" si="42">ROUND(DI23+DJ23+DK23,5)</f>
        <v>3000</v>
      </c>
      <c r="DN23" s="176" t="s">
        <v>309</v>
      </c>
      <c r="DO23" s="176" t="s">
        <v>58</v>
      </c>
      <c r="DR23" s="176">
        <f>DH23</f>
        <v>0.33333333333333331</v>
      </c>
      <c r="DS23" s="176">
        <f>DM23</f>
        <v>3000</v>
      </c>
      <c r="DT23" s="176">
        <f>DP23+DR23</f>
        <v>0.33333333333333331</v>
      </c>
      <c r="DU23" s="176">
        <f>ROUND(((DP23*DQ23)+(DR23*DS23))/(DP23+DR23),5)</f>
        <v>3000</v>
      </c>
      <c r="DV23" s="85"/>
      <c r="DW23" s="85" t="s">
        <v>149</v>
      </c>
      <c r="DX23" s="95" t="s">
        <v>38</v>
      </c>
      <c r="DY23" s="86" t="s">
        <v>30</v>
      </c>
      <c r="DZ23" s="86" t="s">
        <v>39</v>
      </c>
      <c r="EA23" s="85"/>
      <c r="EB23" s="85"/>
      <c r="EC23" s="85"/>
      <c r="ED23" s="176"/>
      <c r="EE23" s="176"/>
      <c r="EF23" s="176"/>
      <c r="EG23" s="177" t="s">
        <v>311</v>
      </c>
      <c r="EJ23" s="176">
        <f>ROUND((((DR23*DU23)+(EI23*EH23))/(DR23+EI23)),5)</f>
        <v>3000</v>
      </c>
      <c r="EK23" s="85">
        <f>EI23+DR23</f>
        <v>0.33333333333333331</v>
      </c>
      <c r="EL23" s="85">
        <v>88363222</v>
      </c>
      <c r="EM23" s="85" t="s">
        <v>522</v>
      </c>
      <c r="EN23" s="85" t="s">
        <v>519</v>
      </c>
      <c r="EO23" s="85" t="s">
        <v>520</v>
      </c>
      <c r="EP23" s="85" t="s">
        <v>521</v>
      </c>
      <c r="EQ23" s="85">
        <f>EL23+100</f>
        <v>88363322</v>
      </c>
      <c r="ER23" s="85">
        <v>34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3">SUM(V23:V23)</f>
        <v>90</v>
      </c>
      <c r="W24" s="182">
        <f t="shared" si="43"/>
        <v>90</v>
      </c>
      <c r="X24" s="182">
        <f t="shared" si="43"/>
        <v>0</v>
      </c>
      <c r="Y24" s="182">
        <f t="shared" si="43"/>
        <v>0</v>
      </c>
      <c r="Z24" s="183">
        <f t="shared" si="43"/>
        <v>0</v>
      </c>
      <c r="AA24" s="182">
        <f t="shared" si="43"/>
        <v>0</v>
      </c>
      <c r="AB24" s="181">
        <f t="shared" si="43"/>
        <v>180</v>
      </c>
      <c r="AC24" s="184">
        <f t="shared" si="43"/>
        <v>1180</v>
      </c>
      <c r="AD24" s="185">
        <f t="shared" si="43"/>
        <v>350</v>
      </c>
      <c r="AE24" s="185">
        <f t="shared" si="43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78" t="s">
        <v>87</v>
      </c>
      <c r="BY24" s="179"/>
      <c r="BZ24" s="179"/>
      <c r="CA24" s="179"/>
      <c r="CB24" s="180"/>
      <c r="CC24" s="181">
        <f>SUM(CC23:CC23)</f>
        <v>1000</v>
      </c>
      <c r="CD24" s="170"/>
      <c r="CE24" s="170"/>
      <c r="CF24" s="170"/>
      <c r="CG24" s="170"/>
      <c r="CH24" s="170"/>
      <c r="CI24" s="170"/>
      <c r="CJ24" s="170"/>
      <c r="CK24" s="170"/>
      <c r="CL24" s="170"/>
      <c r="CM24" s="181">
        <f>SUM(CM23:CM23)</f>
        <v>0</v>
      </c>
      <c r="CN24" s="181">
        <f>SUM(CN23:CN23)</f>
        <v>1000</v>
      </c>
      <c r="CO24" s="181"/>
      <c r="CP24" s="181"/>
      <c r="CQ24" s="182">
        <f t="shared" ref="CQ24:CZ24" si="44">SUM(CQ23:CQ23)</f>
        <v>90</v>
      </c>
      <c r="CR24" s="182">
        <f t="shared" si="44"/>
        <v>90</v>
      </c>
      <c r="CS24" s="182">
        <f t="shared" si="44"/>
        <v>0</v>
      </c>
      <c r="CT24" s="182">
        <f t="shared" si="44"/>
        <v>0</v>
      </c>
      <c r="CU24" s="183">
        <f t="shared" si="44"/>
        <v>0</v>
      </c>
      <c r="CV24" s="182">
        <f t="shared" si="44"/>
        <v>0</v>
      </c>
      <c r="CW24" s="181">
        <f t="shared" si="44"/>
        <v>180</v>
      </c>
      <c r="CX24" s="184">
        <f t="shared" si="44"/>
        <v>1180</v>
      </c>
      <c r="CY24" s="185">
        <f t="shared" si="44"/>
        <v>350</v>
      </c>
      <c r="CZ24" s="185">
        <f t="shared" si="44"/>
        <v>0</v>
      </c>
      <c r="DA24" s="184"/>
      <c r="DB24" s="185">
        <f>SUM(DB23:DB23)</f>
        <v>0</v>
      </c>
      <c r="DC24" s="185">
        <f>IF($P$21=1,(CN24/$S$24)*$E$38,CY24/$AD$24*$E$38)</f>
        <v>0</v>
      </c>
      <c r="DD24" s="185">
        <f>SUM(DD23:DD23)</f>
        <v>1000</v>
      </c>
      <c r="DE24" s="185">
        <f>SUM(DE23:DE23)</f>
        <v>0</v>
      </c>
      <c r="DF24" s="185">
        <f>SUM(DF23:DF23)</f>
        <v>0</v>
      </c>
      <c r="DG24" s="184"/>
      <c r="DH24" s="184"/>
      <c r="DI24" s="184"/>
      <c r="DJ24" s="184"/>
      <c r="DK24" s="184"/>
      <c r="DL24" s="184"/>
      <c r="DM24" s="184"/>
      <c r="DN24" s="137"/>
      <c r="DO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</row>
    <row r="26" spans="1:148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1000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233" t="s">
        <v>194</v>
      </c>
      <c r="CC26" s="234"/>
      <c r="CD26" s="235">
        <f>CC24</f>
        <v>1000</v>
      </c>
      <c r="CE26" s="235"/>
      <c r="CF26" s="186"/>
      <c r="CG26" s="137"/>
      <c r="CH26" s="236" t="s">
        <v>195</v>
      </c>
      <c r="CI26" s="237"/>
      <c r="CJ26" s="237"/>
      <c r="CK26" s="238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 t="s">
        <v>374</v>
      </c>
      <c r="ED26" s="187" t="s">
        <v>375</v>
      </c>
      <c r="EE26" s="137"/>
      <c r="EF26" s="137"/>
      <c r="EG26" s="137"/>
      <c r="EH26" s="137"/>
      <c r="EI26" s="137"/>
      <c r="EJ26" s="137"/>
    </row>
    <row r="27" spans="1:148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233" t="s">
        <v>196</v>
      </c>
      <c r="CC27" s="234"/>
      <c r="CD27" s="235">
        <f>CM24</f>
        <v>0</v>
      </c>
      <c r="CE27" s="235"/>
      <c r="CF27" s="137"/>
      <c r="CG27" s="137"/>
      <c r="CH27" s="194">
        <v>1</v>
      </c>
      <c r="CI27" s="194" t="s">
        <v>58</v>
      </c>
      <c r="CJ27" s="194">
        <v>2</v>
      </c>
      <c r="CK27" s="194" t="s">
        <v>163</v>
      </c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 t="s">
        <v>376</v>
      </c>
      <c r="ED27" s="187" t="s">
        <v>377</v>
      </c>
      <c r="EE27" s="137"/>
      <c r="EF27" s="137"/>
      <c r="EG27" s="137"/>
      <c r="EH27" s="137"/>
      <c r="EI27" s="137"/>
      <c r="EJ27" s="137"/>
    </row>
    <row r="28" spans="1:148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1000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233" t="s">
        <v>197</v>
      </c>
      <c r="CC28" s="234"/>
      <c r="CD28" s="235">
        <f>CN24</f>
        <v>1000</v>
      </c>
      <c r="CE28" s="235"/>
      <c r="CF28" s="137"/>
      <c r="CG28" s="137"/>
      <c r="CH28" s="170">
        <v>1</v>
      </c>
      <c r="CI28" s="170" t="s">
        <v>58</v>
      </c>
      <c r="CJ28" s="170">
        <v>2.5</v>
      </c>
      <c r="CK28" s="170" t="s">
        <v>176</v>
      </c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</row>
    <row r="29" spans="1:148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180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233" t="s">
        <v>198</v>
      </c>
      <c r="CC29" s="234"/>
      <c r="CD29" s="235">
        <f>CW24</f>
        <v>180</v>
      </c>
      <c r="CE29" s="235"/>
      <c r="CF29" s="137"/>
      <c r="CG29" s="137"/>
      <c r="CH29" s="170">
        <v>1</v>
      </c>
      <c r="CI29" s="170" t="s">
        <v>163</v>
      </c>
      <c r="CJ29" s="170">
        <v>1E-3</v>
      </c>
      <c r="CK29" s="170" t="s">
        <v>185</v>
      </c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</row>
    <row r="30" spans="1:148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1180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233" t="s">
        <v>199</v>
      </c>
      <c r="CC30" s="234"/>
      <c r="CD30" s="239">
        <f>CD28+CD29</f>
        <v>1180</v>
      </c>
      <c r="CE30" s="239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 t="s">
        <v>378</v>
      </c>
      <c r="EI31" s="137" t="s">
        <v>379</v>
      </c>
      <c r="EJ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 t="s">
        <v>380</v>
      </c>
      <c r="EG32" s="137">
        <v>12.5</v>
      </c>
      <c r="EH32" s="137">
        <f>EG34*EG35</f>
        <v>18277.77</v>
      </c>
      <c r="EI32" s="137">
        <f>EG32*EG33</f>
        <v>6092.59</v>
      </c>
      <c r="EJ32" s="137"/>
    </row>
    <row r="33" spans="1:140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 t="s">
        <v>381</v>
      </c>
      <c r="EG33" s="137">
        <v>487.40719999999999</v>
      </c>
      <c r="EH33" s="137">
        <f>EG32+EG34</f>
        <v>50</v>
      </c>
      <c r="EI33" s="137"/>
      <c r="EJ33" s="137"/>
    </row>
    <row r="34" spans="1:140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 t="s">
        <v>382</v>
      </c>
      <c r="EG34" s="137">
        <v>37.5</v>
      </c>
      <c r="EH34" s="137"/>
      <c r="EI34" s="137"/>
      <c r="EJ34" s="137"/>
    </row>
    <row r="35" spans="1:140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 t="s">
        <v>383</v>
      </c>
      <c r="EG35" s="137">
        <v>487.40719999999999</v>
      </c>
      <c r="EH35" s="137"/>
      <c r="EI35" s="137"/>
      <c r="EJ35" s="137"/>
    </row>
    <row r="36" spans="1:140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>
        <f>EH32+EI32</f>
        <v>24370.36</v>
      </c>
      <c r="EI36" s="137">
        <f>EH36/EH33</f>
        <v>487.40719999999999</v>
      </c>
      <c r="EJ36" s="137"/>
    </row>
    <row r="37" spans="1:140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0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5">
    <mergeCell ref="G30:H30"/>
    <mergeCell ref="I30:J30"/>
    <mergeCell ref="CB30:CC30"/>
    <mergeCell ref="CD30:CE30"/>
    <mergeCell ref="G28:H28"/>
    <mergeCell ref="I28:J28"/>
    <mergeCell ref="CB28:CC28"/>
    <mergeCell ref="CD28:CE28"/>
    <mergeCell ref="G29:H29"/>
    <mergeCell ref="I29:J29"/>
    <mergeCell ref="CB29:CC29"/>
    <mergeCell ref="CD29:CE29"/>
    <mergeCell ref="CB26:CC26"/>
    <mergeCell ref="CD26:CE26"/>
    <mergeCell ref="CH26:CK26"/>
    <mergeCell ref="G27:H27"/>
    <mergeCell ref="I27:J27"/>
    <mergeCell ref="CB27:CC27"/>
    <mergeCell ref="CD27:CE27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BW38"/>
  <sheetViews>
    <sheetView topLeftCell="A7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5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5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5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5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5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5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</row>
    <row r="23" spans="1:75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372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523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</row>
    <row r="24" spans="1:75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22">SUM(V23:V23)</f>
        <v>90</v>
      </c>
      <c r="W24" s="182">
        <f t="shared" si="22"/>
        <v>90</v>
      </c>
      <c r="X24" s="182">
        <f t="shared" si="22"/>
        <v>0</v>
      </c>
      <c r="Y24" s="182">
        <f t="shared" si="22"/>
        <v>0</v>
      </c>
      <c r="Z24" s="183">
        <f t="shared" si="22"/>
        <v>0</v>
      </c>
      <c r="AA24" s="182">
        <f t="shared" si="22"/>
        <v>0</v>
      </c>
      <c r="AB24" s="181">
        <f t="shared" si="22"/>
        <v>180</v>
      </c>
      <c r="AC24" s="184">
        <f t="shared" si="22"/>
        <v>1180</v>
      </c>
      <c r="AD24" s="185">
        <f t="shared" si="22"/>
        <v>350</v>
      </c>
      <c r="AE24" s="185">
        <f t="shared" si="22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75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5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1000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75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75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1000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5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180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5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1180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5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5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6" sqref="D26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</cols>
  <sheetData>
    <row r="1" spans="1:142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0" t="s">
        <v>154</v>
      </c>
      <c r="BY1" s="230"/>
      <c r="BZ1" s="230"/>
      <c r="CA1" s="230"/>
      <c r="CB1" s="230"/>
      <c r="CC1" s="230"/>
      <c r="CD1" s="230"/>
      <c r="CE1" s="230"/>
      <c r="CF1" s="230"/>
      <c r="CG1" s="230"/>
      <c r="CH1" s="230"/>
      <c r="CI1" s="230"/>
      <c r="CJ1" s="230"/>
      <c r="CK1" s="230"/>
      <c r="CL1" s="230"/>
      <c r="CM1" s="230"/>
      <c r="CN1" s="230"/>
      <c r="CO1" s="230"/>
      <c r="CP1" s="230"/>
      <c r="CQ1" s="230"/>
      <c r="CR1" s="230"/>
      <c r="CS1" s="230"/>
      <c r="CT1" s="230"/>
      <c r="CU1" s="230"/>
      <c r="CV1" s="230"/>
      <c r="CW1" s="230"/>
      <c r="CX1" s="230"/>
      <c r="CY1" s="230"/>
      <c r="CZ1" s="230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0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1" t="s">
        <v>87</v>
      </c>
      <c r="BZ19" s="231"/>
      <c r="CA19" s="231"/>
      <c r="CB19" s="231"/>
      <c r="CC19" s="231"/>
      <c r="CD19" s="231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2" t="s">
        <v>89</v>
      </c>
      <c r="BY21" s="232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511</v>
      </c>
      <c r="EP22" s="167" t="s">
        <v>512</v>
      </c>
      <c r="EQ22" s="167" t="s">
        <v>513</v>
      </c>
      <c r="ER22" s="167" t="s">
        <v>514</v>
      </c>
      <c r="ES22" s="167" t="s">
        <v>515</v>
      </c>
      <c r="ET22" s="167" t="s">
        <v>516</v>
      </c>
    </row>
    <row r="23" spans="1:150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372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518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>
        <v>1</v>
      </c>
      <c r="BY23" s="170" t="s">
        <v>517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0.28000000000000003</v>
      </c>
      <c r="CS23" s="171">
        <f>IF(OR($BZ$21=1,$C$21=4),ROUND(((CP23*CR23)/2),2),0)</f>
        <v>140</v>
      </c>
      <c r="CT23" s="171">
        <f>IF($BZ$21=1,ROUND(((CP23*CR23)/2),2),0)</f>
        <v>140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280</v>
      </c>
      <c r="CZ23" s="170">
        <f>IF($V21=1,CP23+CY23,CP23)</f>
        <v>1280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518</v>
      </c>
      <c r="EP23" s="85" t="s">
        <v>519</v>
      </c>
      <c r="EQ23" s="85" t="s">
        <v>520</v>
      </c>
      <c r="ER23" s="85" t="s">
        <v>521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140</v>
      </c>
      <c r="CT24" s="182">
        <f t="shared" si="41"/>
        <v>140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280</v>
      </c>
      <c r="CZ24" s="184">
        <f t="shared" si="41"/>
        <v>1280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1000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3" t="s">
        <v>194</v>
      </c>
      <c r="CE26" s="234"/>
      <c r="CF26" s="235">
        <f>CE24</f>
        <v>1000</v>
      </c>
      <c r="CG26" s="235"/>
      <c r="CH26" s="186"/>
      <c r="CI26" s="137"/>
      <c r="CJ26" s="236" t="s">
        <v>195</v>
      </c>
      <c r="CK26" s="237"/>
      <c r="CL26" s="237"/>
      <c r="CM26" s="238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3" t="s">
        <v>196</v>
      </c>
      <c r="CE27" s="234"/>
      <c r="CF27" s="235">
        <f>CO24</f>
        <v>0</v>
      </c>
      <c r="CG27" s="23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1000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3" t="s">
        <v>197</v>
      </c>
      <c r="CE28" s="234"/>
      <c r="CF28" s="235">
        <f>CP24</f>
        <v>1000</v>
      </c>
      <c r="CG28" s="23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180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3" t="s">
        <v>198</v>
      </c>
      <c r="CE29" s="234"/>
      <c r="CF29" s="235">
        <f>CY24</f>
        <v>280</v>
      </c>
      <c r="CG29" s="23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1180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3" t="s">
        <v>199</v>
      </c>
      <c r="CE30" s="234"/>
      <c r="CF30" s="239">
        <f>CF28+CF29</f>
        <v>1280</v>
      </c>
      <c r="CG30" s="239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EU38"/>
  <sheetViews>
    <sheetView topLeftCell="A7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</cols>
  <sheetData>
    <row r="1" spans="1:142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0" t="s">
        <v>154</v>
      </c>
      <c r="BY1" s="230"/>
      <c r="BZ1" s="230"/>
      <c r="CA1" s="230"/>
      <c r="CB1" s="230"/>
      <c r="CC1" s="230"/>
      <c r="CD1" s="230"/>
      <c r="CE1" s="230"/>
      <c r="CF1" s="230"/>
      <c r="CG1" s="230"/>
      <c r="CH1" s="230"/>
      <c r="CI1" s="230"/>
      <c r="CJ1" s="230"/>
      <c r="CK1" s="230"/>
      <c r="CL1" s="230"/>
      <c r="CM1" s="230"/>
      <c r="CN1" s="230"/>
      <c r="CO1" s="230"/>
      <c r="CP1" s="230"/>
      <c r="CQ1" s="230"/>
      <c r="CR1" s="230"/>
      <c r="CS1" s="230"/>
      <c r="CT1" s="230"/>
      <c r="CU1" s="230"/>
      <c r="CV1" s="230"/>
      <c r="CW1" s="230"/>
      <c r="CX1" s="230"/>
      <c r="CY1" s="230"/>
      <c r="CZ1" s="230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1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1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1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1" t="s">
        <v>87</v>
      </c>
      <c r="BZ19" s="231"/>
      <c r="CA19" s="231"/>
      <c r="CB19" s="231"/>
      <c r="CC19" s="231"/>
      <c r="CD19" s="231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1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1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2" t="s">
        <v>89</v>
      </c>
      <c r="BY21" s="232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1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511</v>
      </c>
      <c r="EP22" s="167" t="s">
        <v>512</v>
      </c>
      <c r="EQ22" s="167" t="s">
        <v>513</v>
      </c>
      <c r="ER22" s="167" t="s">
        <v>514</v>
      </c>
      <c r="ES22" s="167" t="s">
        <v>515</v>
      </c>
      <c r="ET22" s="167" t="s">
        <v>516</v>
      </c>
      <c r="EU22" s="167" t="s">
        <v>524</v>
      </c>
    </row>
    <row r="23" spans="1:151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372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518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>
        <v>1</v>
      </c>
      <c r="BY23" s="170" t="s">
        <v>525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518</v>
      </c>
      <c r="EP23" s="85" t="s">
        <v>519</v>
      </c>
      <c r="EQ23" s="85" t="s">
        <v>520</v>
      </c>
      <c r="ER23" s="85" t="s">
        <v>521</v>
      </c>
      <c r="ES23" s="85">
        <f>EN23+100</f>
        <v>88363322</v>
      </c>
      <c r="ET23" s="85">
        <v>34</v>
      </c>
      <c r="EU23">
        <f>AC24+CZ24</f>
        <v>2360</v>
      </c>
    </row>
    <row r="24" spans="1:151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1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1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1000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3" t="s">
        <v>194</v>
      </c>
      <c r="CE26" s="234"/>
      <c r="CF26" s="235">
        <f>CE24</f>
        <v>1000</v>
      </c>
      <c r="CG26" s="235"/>
      <c r="CH26" s="186"/>
      <c r="CI26" s="137"/>
      <c r="CJ26" s="236" t="s">
        <v>195</v>
      </c>
      <c r="CK26" s="237"/>
      <c r="CL26" s="237"/>
      <c r="CM26" s="238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1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3" t="s">
        <v>196</v>
      </c>
      <c r="CE27" s="234"/>
      <c r="CF27" s="235">
        <f>CO24</f>
        <v>0</v>
      </c>
      <c r="CG27" s="23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1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1000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3" t="s">
        <v>197</v>
      </c>
      <c r="CE28" s="234"/>
      <c r="CF28" s="235">
        <f>CP24</f>
        <v>1000</v>
      </c>
      <c r="CG28" s="23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1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180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3" t="s">
        <v>198</v>
      </c>
      <c r="CE29" s="234"/>
      <c r="CF29" s="235">
        <f>CY24</f>
        <v>180</v>
      </c>
      <c r="CG29" s="23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1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1180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3" t="s">
        <v>199</v>
      </c>
      <c r="CE30" s="234"/>
      <c r="CF30" s="239">
        <f>CF28+CF29</f>
        <v>1180</v>
      </c>
      <c r="CG30" s="239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1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1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0" t="s">
        <v>154</v>
      </c>
      <c r="BY1" s="230"/>
      <c r="BZ1" s="230"/>
      <c r="CA1" s="230"/>
      <c r="CB1" s="230"/>
      <c r="CC1" s="230"/>
      <c r="CD1" s="230"/>
      <c r="CE1" s="230"/>
      <c r="CF1" s="230"/>
      <c r="CG1" s="230"/>
      <c r="CH1" s="230"/>
      <c r="CI1" s="230"/>
      <c r="CJ1" s="230"/>
      <c r="CK1" s="230"/>
      <c r="CL1" s="230"/>
      <c r="CM1" s="230"/>
      <c r="CN1" s="230"/>
      <c r="CO1" s="230"/>
      <c r="CP1" s="230"/>
      <c r="CQ1" s="230"/>
      <c r="CR1" s="230"/>
      <c r="CS1" s="230"/>
      <c r="CT1" s="230"/>
      <c r="CU1" s="230"/>
      <c r="CV1" s="230"/>
      <c r="CW1" s="230"/>
      <c r="CX1" s="230"/>
      <c r="CY1" s="230"/>
      <c r="CZ1" s="230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1" t="s">
        <v>87</v>
      </c>
      <c r="BZ19" s="231"/>
      <c r="CA19" s="231"/>
      <c r="CB19" s="231"/>
      <c r="CC19" s="231"/>
      <c r="CD19" s="231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2" t="s">
        <v>89</v>
      </c>
      <c r="BY21" s="232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511</v>
      </c>
      <c r="EP22" s="167" t="s">
        <v>512</v>
      </c>
      <c r="EQ22" s="167" t="s">
        <v>513</v>
      </c>
      <c r="ER22" s="167" t="s">
        <v>514</v>
      </c>
      <c r="ES22" s="167" t="s">
        <v>515</v>
      </c>
      <c r="ET22" s="167" t="s">
        <v>516</v>
      </c>
      <c r="EU22" s="167" t="s">
        <v>524</v>
      </c>
      <c r="EV22" s="196" t="s">
        <v>526</v>
      </c>
    </row>
    <row r="23" spans="1:152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527</v>
      </c>
      <c r="H23" s="171">
        <f t="shared" ref="H23" si="2">F23*G23</f>
        <v>1800</v>
      </c>
      <c r="I23">
        <v>0</v>
      </c>
      <c r="J23" s="171">
        <v>0</v>
      </c>
      <c r="K23" s="171">
        <v>0</v>
      </c>
      <c r="L23" s="171">
        <f t="shared" ref="L23" si="3">H23</f>
        <v>1800</v>
      </c>
      <c r="M23" s="171">
        <f t="shared" ref="M23" si="4">ROUND(L23*I23%,2)</f>
        <v>0</v>
      </c>
      <c r="N23" s="171">
        <f t="shared" ref="N23" si="5">H23-M23</f>
        <v>1800</v>
      </c>
      <c r="O23" s="171">
        <f t="shared" ref="O23" si="6">ROUND(N23*J23%,2)</f>
        <v>0</v>
      </c>
      <c r="P23" s="171">
        <f t="shared" ref="P23" si="7">ROUND(N23-O23,2)</f>
        <v>1800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1800</v>
      </c>
      <c r="T23" s="172" t="s">
        <v>372</v>
      </c>
      <c r="U23" s="173">
        <v>0.18</v>
      </c>
      <c r="V23" s="171">
        <f t="shared" ref="V23" si="11">IF(OR($C$21=1,$C$21=4),ROUND(((S23*U23)/2),2),0)</f>
        <v>162</v>
      </c>
      <c r="W23" s="171">
        <f t="shared" ref="W23" si="12">IF($C$21=1,ROUND(((S23*U23)/2),2),0)</f>
        <v>162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324</v>
      </c>
      <c r="AC23" s="170">
        <f>IF($V21=1,S23+AB23,S23)</f>
        <v>2124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1800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5400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5400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5400</v>
      </c>
      <c r="AY23" s="176">
        <f>AU23+AW23</f>
        <v>0.33333333333333331</v>
      </c>
      <c r="AZ23" s="176">
        <f>ROUND(((AU23*AV23)+(AW23*AX23))/(AU23+AW23),5)</f>
        <v>5400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5400</v>
      </c>
      <c r="BP23" s="85">
        <f>BN23+AW23</f>
        <v>0.33333333333333331</v>
      </c>
      <c r="BQ23" s="85">
        <v>88363222</v>
      </c>
      <c r="BR23" s="85" t="s">
        <v>518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>
        <v>1</v>
      </c>
      <c r="BY23" s="170" t="s">
        <v>525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518</v>
      </c>
      <c r="EP23" s="85" t="s">
        <v>519</v>
      </c>
      <c r="EQ23" s="85" t="s">
        <v>520</v>
      </c>
      <c r="ER23" s="85" t="s">
        <v>521</v>
      </c>
      <c r="ES23" s="85">
        <f>EN23+100</f>
        <v>88363322</v>
      </c>
      <c r="ET23" s="85">
        <v>34</v>
      </c>
      <c r="EU23" s="85">
        <f>AC24+CZ24</f>
        <v>3304</v>
      </c>
      <c r="EV23" s="85">
        <f>G23+1000</f>
        <v>2800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1800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1800</v>
      </c>
      <c r="T24" s="181"/>
      <c r="U24" s="181"/>
      <c r="V24" s="182">
        <f t="shared" ref="V24:AE24" si="40">SUM(V23:V23)</f>
        <v>162</v>
      </c>
      <c r="W24" s="182">
        <f t="shared" si="40"/>
        <v>162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324</v>
      </c>
      <c r="AC24" s="184">
        <f t="shared" si="40"/>
        <v>2124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1800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1800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3" t="s">
        <v>194</v>
      </c>
      <c r="CE26" s="234"/>
      <c r="CF26" s="235">
        <f>CE24</f>
        <v>1000</v>
      </c>
      <c r="CG26" s="235"/>
      <c r="CH26" s="186"/>
      <c r="CI26" s="137"/>
      <c r="CJ26" s="236" t="s">
        <v>195</v>
      </c>
      <c r="CK26" s="237"/>
      <c r="CL26" s="237"/>
      <c r="CM26" s="238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3" t="s">
        <v>196</v>
      </c>
      <c r="CE27" s="234"/>
      <c r="CF27" s="235">
        <f>CO24</f>
        <v>0</v>
      </c>
      <c r="CG27" s="23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1800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3" t="s">
        <v>197</v>
      </c>
      <c r="CE28" s="234"/>
      <c r="CF28" s="235">
        <f>CP24</f>
        <v>1000</v>
      </c>
      <c r="CG28" s="23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324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3" t="s">
        <v>198</v>
      </c>
      <c r="CE29" s="234"/>
      <c r="CF29" s="235">
        <f>CY24</f>
        <v>180</v>
      </c>
      <c r="CG29" s="23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2124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3" t="s">
        <v>199</v>
      </c>
      <c r="CE30" s="234"/>
      <c r="CF30" s="239">
        <f>CF28+CF29</f>
        <v>1180</v>
      </c>
      <c r="CG30" s="239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0" t="s">
        <v>154</v>
      </c>
      <c r="BY1" s="230"/>
      <c r="BZ1" s="230"/>
      <c r="CA1" s="230"/>
      <c r="CB1" s="230"/>
      <c r="CC1" s="230"/>
      <c r="CD1" s="230"/>
      <c r="CE1" s="230"/>
      <c r="CF1" s="230"/>
      <c r="CG1" s="230"/>
      <c r="CH1" s="230"/>
      <c r="CI1" s="230"/>
      <c r="CJ1" s="230"/>
      <c r="CK1" s="230"/>
      <c r="CL1" s="230"/>
      <c r="CM1" s="230"/>
      <c r="CN1" s="230"/>
      <c r="CO1" s="230"/>
      <c r="CP1" s="230"/>
      <c r="CQ1" s="230"/>
      <c r="CR1" s="230"/>
      <c r="CS1" s="230"/>
      <c r="CT1" s="230"/>
      <c r="CU1" s="230"/>
      <c r="CV1" s="230"/>
      <c r="CW1" s="230"/>
      <c r="CX1" s="230"/>
      <c r="CY1" s="230"/>
      <c r="CZ1" s="230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1" t="s">
        <v>87</v>
      </c>
      <c r="BZ19" s="231"/>
      <c r="CA19" s="231"/>
      <c r="CB19" s="231"/>
      <c r="CC19" s="231"/>
      <c r="CD19" s="231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2" t="s">
        <v>89</v>
      </c>
      <c r="BY21" s="232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511</v>
      </c>
      <c r="EP22" s="167" t="s">
        <v>512</v>
      </c>
      <c r="EQ22" s="167" t="s">
        <v>513</v>
      </c>
      <c r="ER22" s="167" t="s">
        <v>514</v>
      </c>
      <c r="ES22" s="167" t="s">
        <v>515</v>
      </c>
      <c r="ET22" s="167" t="s">
        <v>516</v>
      </c>
      <c r="EU22" s="167" t="s">
        <v>524</v>
      </c>
      <c r="EV22" s="196" t="s">
        <v>526</v>
      </c>
    </row>
    <row r="23" spans="1:152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528</v>
      </c>
      <c r="H23" s="171">
        <f t="shared" ref="H23" si="2">F23*G23</f>
        <v>1500</v>
      </c>
      <c r="I23">
        <v>0</v>
      </c>
      <c r="J23" s="171">
        <v>0</v>
      </c>
      <c r="K23" s="171">
        <v>0</v>
      </c>
      <c r="L23" s="171">
        <f t="shared" ref="L23" si="3">H23</f>
        <v>1500</v>
      </c>
      <c r="M23" s="171">
        <f t="shared" ref="M23" si="4">ROUND(L23*I23%,2)</f>
        <v>0</v>
      </c>
      <c r="N23" s="171">
        <f t="shared" ref="N23" si="5">H23-M23</f>
        <v>1500</v>
      </c>
      <c r="O23" s="171">
        <f t="shared" ref="O23" si="6">ROUND(N23*J23%,2)</f>
        <v>0</v>
      </c>
      <c r="P23" s="171">
        <f t="shared" ref="P23" si="7">ROUND(N23-O23,2)</f>
        <v>1500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1500</v>
      </c>
      <c r="T23" s="172" t="s">
        <v>372</v>
      </c>
      <c r="U23" s="173">
        <v>0.18</v>
      </c>
      <c r="V23" s="171">
        <f t="shared" ref="V23" si="11">IF(OR($C$21=1,$C$21=4),ROUND(((S23*U23)/2),2),0)</f>
        <v>135</v>
      </c>
      <c r="W23" s="171">
        <f t="shared" ref="W23" si="12">IF($C$21=1,ROUND(((S23*U23)/2),2),0)</f>
        <v>135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270</v>
      </c>
      <c r="AC23" s="170">
        <f>IF($V21=1,S23+AB23,S23)</f>
        <v>1770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4500</v>
      </c>
      <c r="AY23" s="176">
        <f>AU23+AW23</f>
        <v>0.33333333333333331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4500</v>
      </c>
      <c r="BP23" s="85">
        <f>BN23+AW23</f>
        <v>0.33333333333333331</v>
      </c>
      <c r="BQ23" s="85">
        <v>88363222</v>
      </c>
      <c r="BR23" s="85" t="s">
        <v>518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>
        <v>1</v>
      </c>
      <c r="BY23" s="170" t="s">
        <v>525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518</v>
      </c>
      <c r="EP23" s="85" t="s">
        <v>519</v>
      </c>
      <c r="EQ23" s="85" t="s">
        <v>520</v>
      </c>
      <c r="ER23" s="85" t="s">
        <v>521</v>
      </c>
      <c r="ES23" s="85">
        <f>EN23+100</f>
        <v>88363322</v>
      </c>
      <c r="ET23" s="85">
        <v>34</v>
      </c>
      <c r="EU23" s="85">
        <f>AC24+CZ24</f>
        <v>2950</v>
      </c>
      <c r="EV23" s="85">
        <f>G23+1000</f>
        <v>2500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1500</v>
      </c>
      <c r="T24" s="181"/>
      <c r="U24" s="181"/>
      <c r="V24" s="182">
        <f t="shared" ref="V24:AE24" si="40">SUM(V23:V23)</f>
        <v>135</v>
      </c>
      <c r="W24" s="182">
        <f t="shared" si="40"/>
        <v>135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270</v>
      </c>
      <c r="AC24" s="184">
        <f t="shared" si="40"/>
        <v>1770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1500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3" t="s">
        <v>194</v>
      </c>
      <c r="CE26" s="234"/>
      <c r="CF26" s="235">
        <f>CE24</f>
        <v>1000</v>
      </c>
      <c r="CG26" s="235"/>
      <c r="CH26" s="186"/>
      <c r="CI26" s="137"/>
      <c r="CJ26" s="236" t="s">
        <v>195</v>
      </c>
      <c r="CK26" s="237"/>
      <c r="CL26" s="237"/>
      <c r="CM26" s="238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3" t="s">
        <v>196</v>
      </c>
      <c r="CE27" s="234"/>
      <c r="CF27" s="235">
        <f>CO24</f>
        <v>0</v>
      </c>
      <c r="CG27" s="23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1500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3" t="s">
        <v>197</v>
      </c>
      <c r="CE28" s="234"/>
      <c r="CF28" s="235">
        <f>CP24</f>
        <v>1000</v>
      </c>
      <c r="CG28" s="23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270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3" t="s">
        <v>198</v>
      </c>
      <c r="CE29" s="234"/>
      <c r="CF29" s="235">
        <f>CY24</f>
        <v>180</v>
      </c>
      <c r="CG29" s="23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1770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3" t="s">
        <v>199</v>
      </c>
      <c r="CE30" s="234"/>
      <c r="CF30" s="239">
        <f>CF28+CF29</f>
        <v>1180</v>
      </c>
      <c r="CG30" s="239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EX38"/>
  <sheetViews>
    <sheetView topLeftCell="A10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  <col min="153" max="153" width="23.140625" bestFit="1" customWidth="1"/>
    <col min="154" max="154" width="15.42578125" bestFit="1" customWidth="1"/>
  </cols>
  <sheetData>
    <row r="1" spans="1:142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0" t="s">
        <v>154</v>
      </c>
      <c r="BY1" s="230"/>
      <c r="BZ1" s="230"/>
      <c r="CA1" s="230"/>
      <c r="CB1" s="230"/>
      <c r="CC1" s="230"/>
      <c r="CD1" s="230"/>
      <c r="CE1" s="230"/>
      <c r="CF1" s="230"/>
      <c r="CG1" s="230"/>
      <c r="CH1" s="230"/>
      <c r="CI1" s="230"/>
      <c r="CJ1" s="230"/>
      <c r="CK1" s="230"/>
      <c r="CL1" s="230"/>
      <c r="CM1" s="230"/>
      <c r="CN1" s="230"/>
      <c r="CO1" s="230"/>
      <c r="CP1" s="230"/>
      <c r="CQ1" s="230"/>
      <c r="CR1" s="230"/>
      <c r="CS1" s="230"/>
      <c r="CT1" s="230"/>
      <c r="CU1" s="230"/>
      <c r="CV1" s="230"/>
      <c r="CW1" s="230"/>
      <c r="CX1" s="230"/>
      <c r="CY1" s="230"/>
      <c r="CZ1" s="230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4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4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4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1" t="s">
        <v>87</v>
      </c>
      <c r="BZ19" s="231"/>
      <c r="CA19" s="231"/>
      <c r="CB19" s="231"/>
      <c r="CC19" s="231"/>
      <c r="CD19" s="231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4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4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2" t="s">
        <v>89</v>
      </c>
      <c r="BY21" s="232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4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511</v>
      </c>
      <c r="EP22" s="167" t="s">
        <v>512</v>
      </c>
      <c r="EQ22" s="167" t="s">
        <v>513</v>
      </c>
      <c r="ER22" s="167" t="s">
        <v>514</v>
      </c>
      <c r="ES22" s="167" t="s">
        <v>515</v>
      </c>
      <c r="ET22" s="167" t="s">
        <v>516</v>
      </c>
      <c r="EU22" s="167" t="s">
        <v>524</v>
      </c>
      <c r="EV22" s="167" t="s">
        <v>526</v>
      </c>
      <c r="EW22" s="167" t="s">
        <v>529</v>
      </c>
      <c r="EX22" s="167" t="s">
        <v>530</v>
      </c>
    </row>
    <row r="23" spans="1:154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>
        <v>150.27000000000001</v>
      </c>
      <c r="H23" s="171">
        <f t="shared" ref="H23" si="2">F23*G23</f>
        <v>150.27000000000001</v>
      </c>
      <c r="I23">
        <v>0</v>
      </c>
      <c r="J23" s="171">
        <v>0</v>
      </c>
      <c r="K23" s="171">
        <v>0</v>
      </c>
      <c r="L23" s="171">
        <f t="shared" ref="L23" si="3">H23</f>
        <v>150.27000000000001</v>
      </c>
      <c r="M23" s="171">
        <f t="shared" ref="M23" si="4">ROUND(L23*I23%,2)</f>
        <v>0</v>
      </c>
      <c r="N23" s="171">
        <f t="shared" ref="N23" si="5">H23-M23</f>
        <v>150.27000000000001</v>
      </c>
      <c r="O23" s="171">
        <f t="shared" ref="O23" si="6">ROUND(N23*J23%,2)</f>
        <v>0</v>
      </c>
      <c r="P23" s="171">
        <f t="shared" ref="P23" si="7">ROUND(N23-O23,2)</f>
        <v>150.27000000000001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150.27000000000001</v>
      </c>
      <c r="T23" s="172" t="s">
        <v>372</v>
      </c>
      <c r="U23" s="173">
        <v>0.18</v>
      </c>
      <c r="V23" s="171">
        <f t="shared" ref="V23" si="11">IF(OR($C$21=1,$C$21=4),ROUND(((S23*U23)/2),2),0)</f>
        <v>13.52</v>
      </c>
      <c r="W23" s="171">
        <f t="shared" ref="W23" si="12">IF($C$21=1,ROUND(((S23*U23)/2),2),0)</f>
        <v>13.52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27.04</v>
      </c>
      <c r="AC23" s="170">
        <f>IF($V21=1,S23+AB23,S23)</f>
        <v>150.27000000000001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150.27000000000001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450.81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450.81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450.81</v>
      </c>
      <c r="AY23" s="176">
        <f>AU23+AW23</f>
        <v>0.33333333333333331</v>
      </c>
      <c r="AZ23" s="176">
        <f>ROUND(((AU23*AV23)+(AW23*AX23))/(AU23+AW23),5)</f>
        <v>450.81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450.81</v>
      </c>
      <c r="BP23" s="85">
        <f>BN23+AW23</f>
        <v>0.33333333333333331</v>
      </c>
      <c r="BQ23" s="85">
        <v>88363222</v>
      </c>
      <c r="BR23" s="85" t="s">
        <v>531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>
        <v>1</v>
      </c>
      <c r="BY23" s="170" t="s">
        <v>525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1000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518</v>
      </c>
      <c r="EP23" s="85" t="s">
        <v>519</v>
      </c>
      <c r="EQ23" s="85" t="s">
        <v>520</v>
      </c>
      <c r="ER23" s="85" t="s">
        <v>521</v>
      </c>
      <c r="ES23" s="85">
        <f>EN23+100</f>
        <v>88363322</v>
      </c>
      <c r="ET23" s="85">
        <v>34</v>
      </c>
      <c r="EU23" s="85">
        <f>AC24+CZ24</f>
        <v>1150.27</v>
      </c>
      <c r="EV23" s="85">
        <f>G23+1000</f>
        <v>1150.27</v>
      </c>
      <c r="EW23" s="85">
        <f>IF(AC24-INT(AC24) &gt;= 0.5, INT(AC24)+1, INT(AC24))</f>
        <v>150</v>
      </c>
      <c r="EX23" s="85">
        <f>EW23-AC24</f>
        <v>-0.27000000000001023</v>
      </c>
    </row>
    <row r="24" spans="1:154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150.27000000000001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150.27000000000001</v>
      </c>
      <c r="T24" s="181"/>
      <c r="U24" s="181"/>
      <c r="V24" s="182">
        <f t="shared" ref="V24:AE24" si="40">SUM(V23:V23)</f>
        <v>13.52</v>
      </c>
      <c r="W24" s="182">
        <f t="shared" si="40"/>
        <v>13.52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27.04</v>
      </c>
      <c r="AC24" s="184">
        <f>SUM(AC23:AC23)</f>
        <v>150.27000000000001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150.27000000000001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1000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4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4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150.27000000000001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3" t="s">
        <v>194</v>
      </c>
      <c r="CE26" s="234"/>
      <c r="CF26" s="235">
        <f>CE24</f>
        <v>1000</v>
      </c>
      <c r="CG26" s="235"/>
      <c r="CH26" s="186"/>
      <c r="CI26" s="137"/>
      <c r="CJ26" s="236" t="s">
        <v>195</v>
      </c>
      <c r="CK26" s="237"/>
      <c r="CL26" s="237"/>
      <c r="CM26" s="238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4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0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3" t="s">
        <v>196</v>
      </c>
      <c r="CE27" s="234"/>
      <c r="CF27" s="235">
        <f>CO24</f>
        <v>0</v>
      </c>
      <c r="CG27" s="23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4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150.27000000000001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3" t="s">
        <v>197</v>
      </c>
      <c r="CE28" s="234"/>
      <c r="CF28" s="235">
        <f>CP24</f>
        <v>1000</v>
      </c>
      <c r="CG28" s="23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4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27.04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3" t="s">
        <v>198</v>
      </c>
      <c r="CE29" s="234"/>
      <c r="CF29" s="235">
        <f>CY24</f>
        <v>180</v>
      </c>
      <c r="CG29" s="23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4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177.31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3" t="s">
        <v>199</v>
      </c>
      <c r="CE30" s="234"/>
      <c r="CF30" s="239">
        <f>CF28+CF29</f>
        <v>1180</v>
      </c>
      <c r="CG30" s="239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4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4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G29:H29"/>
    <mergeCell ref="I29:J29"/>
    <mergeCell ref="CD29:CE29"/>
    <mergeCell ref="CF29:CG29"/>
    <mergeCell ref="G30:H30"/>
    <mergeCell ref="I30:J30"/>
    <mergeCell ref="CD30:CE30"/>
    <mergeCell ref="CF30:CG30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230" t="s">
        <v>154</v>
      </c>
      <c r="BS1" s="230"/>
      <c r="BT1" s="230"/>
      <c r="BU1" s="230"/>
      <c r="BV1" s="230"/>
      <c r="BW1" s="230"/>
      <c r="BX1" s="230"/>
      <c r="BY1" s="230"/>
      <c r="BZ1" s="230"/>
      <c r="CA1" s="230"/>
      <c r="CB1" s="230"/>
      <c r="CC1" s="230"/>
      <c r="CD1" s="230"/>
      <c r="CE1" s="230"/>
      <c r="CF1" s="230"/>
      <c r="CG1" s="230"/>
      <c r="CH1" s="230"/>
      <c r="CI1" s="230"/>
      <c r="CJ1" s="230"/>
      <c r="CK1" s="230"/>
      <c r="CL1" s="230"/>
      <c r="CM1" s="230"/>
      <c r="CN1" s="230"/>
      <c r="CO1" s="230"/>
      <c r="CP1" s="230"/>
      <c r="CQ1" s="230"/>
      <c r="CR1" s="230"/>
      <c r="CS1" s="230"/>
      <c r="CT1" s="230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231" t="s">
        <v>87</v>
      </c>
      <c r="BT19" s="231"/>
      <c r="BU19" s="231"/>
      <c r="BV19" s="231"/>
      <c r="BW19" s="231"/>
      <c r="BX19" s="231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232" t="s">
        <v>89</v>
      </c>
      <c r="BS21" s="232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0" t="s">
        <v>155</v>
      </c>
      <c r="BS22" s="160" t="s">
        <v>49</v>
      </c>
      <c r="BT22" s="160" t="s">
        <v>156</v>
      </c>
      <c r="BU22" s="160" t="s">
        <v>51</v>
      </c>
      <c r="BV22" s="160" t="s">
        <v>52</v>
      </c>
      <c r="BW22" s="160" t="s">
        <v>53</v>
      </c>
      <c r="BX22" s="160" t="s">
        <v>54</v>
      </c>
      <c r="BY22" s="160" t="s">
        <v>55</v>
      </c>
      <c r="BZ22" s="161" t="s">
        <v>97</v>
      </c>
      <c r="CA22" s="161" t="s">
        <v>99</v>
      </c>
      <c r="CB22" s="161" t="s">
        <v>98</v>
      </c>
      <c r="CC22" s="162" t="s">
        <v>100</v>
      </c>
      <c r="CD22" s="162" t="s">
        <v>101</v>
      </c>
      <c r="CE22" s="162" t="s">
        <v>104</v>
      </c>
      <c r="CF22" s="162" t="s">
        <v>105</v>
      </c>
      <c r="CG22" s="162" t="s">
        <v>157</v>
      </c>
      <c r="CH22" s="162" t="s">
        <v>103</v>
      </c>
      <c r="CI22" s="161" t="s">
        <v>106</v>
      </c>
      <c r="CJ22" s="160" t="s">
        <v>158</v>
      </c>
      <c r="CK22" s="160" t="s">
        <v>108</v>
      </c>
      <c r="CL22" s="163" t="s">
        <v>159</v>
      </c>
      <c r="CM22" s="163" t="s">
        <v>110</v>
      </c>
      <c r="CN22" s="163" t="s">
        <v>111</v>
      </c>
      <c r="CO22" s="163" t="s">
        <v>112</v>
      </c>
      <c r="CP22" s="164" t="s">
        <v>212</v>
      </c>
      <c r="CQ22" s="164" t="s">
        <v>213</v>
      </c>
      <c r="CR22" s="164" t="s">
        <v>214</v>
      </c>
      <c r="CS22" s="164" t="s">
        <v>113</v>
      </c>
      <c r="CT22" s="165" t="s">
        <v>114</v>
      </c>
      <c r="CU22" s="165" t="s">
        <v>115</v>
      </c>
      <c r="CV22" s="165" t="s">
        <v>116</v>
      </c>
      <c r="CW22" s="165" t="s">
        <v>117</v>
      </c>
      <c r="CX22" s="165" t="s">
        <v>118</v>
      </c>
      <c r="CY22" s="165" t="s">
        <v>119</v>
      </c>
      <c r="CZ22" s="165" t="s">
        <v>120</v>
      </c>
      <c r="DA22" s="165" t="s">
        <v>121</v>
      </c>
      <c r="DB22" s="165" t="s">
        <v>122</v>
      </c>
      <c r="DC22" s="165" t="s">
        <v>123</v>
      </c>
      <c r="DD22" s="165" t="s">
        <v>124</v>
      </c>
      <c r="DE22" s="165" t="s">
        <v>125</v>
      </c>
      <c r="DF22" s="165" t="s">
        <v>126</v>
      </c>
      <c r="DG22" s="165" t="s">
        <v>127</v>
      </c>
      <c r="DH22" s="165" t="s">
        <v>128</v>
      </c>
      <c r="DI22" s="166" t="s">
        <v>160</v>
      </c>
      <c r="DJ22" s="140" t="s">
        <v>215</v>
      </c>
      <c r="DK22" s="140" t="s">
        <v>128</v>
      </c>
      <c r="DL22" s="167" t="s">
        <v>131</v>
      </c>
      <c r="DM22" s="167" t="s">
        <v>132</v>
      </c>
      <c r="DN22" s="167" t="s">
        <v>133</v>
      </c>
      <c r="DO22" s="167" t="s">
        <v>134</v>
      </c>
      <c r="DP22" s="167" t="s">
        <v>135</v>
      </c>
      <c r="DQ22" s="167" t="s">
        <v>136</v>
      </c>
      <c r="DR22" s="167" t="s">
        <v>137</v>
      </c>
      <c r="DS22" s="167" t="s">
        <v>138</v>
      </c>
      <c r="DT22" s="168" t="s">
        <v>139</v>
      </c>
      <c r="DU22" s="168" t="s">
        <v>8</v>
      </c>
      <c r="DV22" s="168" t="s">
        <v>9</v>
      </c>
      <c r="DW22" s="167" t="s">
        <v>216</v>
      </c>
      <c r="DX22" s="167" t="s">
        <v>140</v>
      </c>
      <c r="DY22" s="167" t="s">
        <v>141</v>
      </c>
      <c r="DZ22" s="167" t="s">
        <v>142</v>
      </c>
      <c r="EA22" s="167" t="s">
        <v>143</v>
      </c>
      <c r="EB22" s="167" t="s">
        <v>144</v>
      </c>
      <c r="EC22" s="167" t="s">
        <v>217</v>
      </c>
      <c r="ED22" s="169" t="s">
        <v>218</v>
      </c>
      <c r="EE22" s="167" t="s">
        <v>219</v>
      </c>
      <c r="EF22" s="167" t="s">
        <v>136</v>
      </c>
      <c r="EG22" s="167" t="s">
        <v>220</v>
      </c>
      <c r="EH22" s="167" t="s">
        <v>108</v>
      </c>
      <c r="EI22" s="197" t="s">
        <v>532</v>
      </c>
      <c r="EJ22" s="197" t="s">
        <v>511</v>
      </c>
      <c r="EK22" s="197" t="s">
        <v>533</v>
      </c>
      <c r="EL22" s="197" t="s">
        <v>534</v>
      </c>
      <c r="EM22" s="197" t="s">
        <v>512</v>
      </c>
      <c r="EN22" s="197" t="s">
        <v>513</v>
      </c>
      <c r="EO22" s="197" t="s">
        <v>514</v>
      </c>
      <c r="EP22" s="197" t="s">
        <v>515</v>
      </c>
      <c r="EQ22" s="197" t="s">
        <v>535</v>
      </c>
      <c r="ER22" s="198" t="s">
        <v>53</v>
      </c>
    </row>
    <row r="23" spans="1:148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12</v>
      </c>
      <c r="G23" t="s">
        <v>360</v>
      </c>
      <c r="H23" s="171">
        <f>F23*G23</f>
        <v>7200</v>
      </c>
      <c r="I23" t="s">
        <v>263</v>
      </c>
      <c r="J23" s="171">
        <v>2</v>
      </c>
      <c r="K23" s="171">
        <v>2.5</v>
      </c>
      <c r="L23" s="171">
        <f>H23</f>
        <v>7200</v>
      </c>
      <c r="M23" s="171">
        <f>ROUND(L23*I23%,2)</f>
        <v>216</v>
      </c>
      <c r="N23" s="171">
        <f>H23-M23</f>
        <v>6984</v>
      </c>
      <c r="O23" s="171">
        <f>ROUND(N23*J23%,2)</f>
        <v>139.68</v>
      </c>
      <c r="P23" s="171">
        <f>ROUND(N23-O23,2)</f>
        <v>6844.32</v>
      </c>
      <c r="Q23" s="171">
        <f>ROUND(P23*K23%,2)</f>
        <v>171.11</v>
      </c>
      <c r="R23" s="171">
        <f>ROUND((M23+O23+Q23),2)</f>
        <v>526.79</v>
      </c>
      <c r="S23" s="171">
        <f>ROUND((H23-R23),2)</f>
        <v>6673.21</v>
      </c>
      <c r="T23" s="172" t="s">
        <v>146</v>
      </c>
      <c r="U23" s="173">
        <v>0.18</v>
      </c>
      <c r="V23" s="171">
        <f>IF(OR($C$21=1,$C$21=4),ROUND(((S23*U23)/2),2),0)</f>
        <v>600.59</v>
      </c>
      <c r="W23" s="171">
        <f>IF($C$21=1,ROUND(((S23*U23)/2),2),0)</f>
        <v>600.59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1201.18</v>
      </c>
      <c r="AC23" s="170">
        <f>IF($V20=1,S23+AB23,S23)</f>
        <v>6673.21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2">S23*$M$21</f>
        <v>6673.21</v>
      </c>
      <c r="AJ23" s="172">
        <f>IF($C$21=3,0,AG23+AH23)</f>
        <v>0</v>
      </c>
      <c r="AK23" s="172">
        <f t="shared" ref="AK23" si="3">IF($C$21=3,AE23+AG23+AH23,0)</f>
        <v>0</v>
      </c>
      <c r="AL23" s="175">
        <v>1</v>
      </c>
      <c r="AM23" s="172">
        <f>F23/AL23</f>
        <v>12</v>
      </c>
      <c r="AN23" s="172">
        <f>ROUND(AI23/AM23,5)</f>
        <v>556.10082999999997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556.10082999999997</v>
      </c>
      <c r="AS23" s="176" t="s">
        <v>537</v>
      </c>
      <c r="AT23" s="176" t="s">
        <v>58</v>
      </c>
      <c r="AU23" t="s">
        <v>239</v>
      </c>
      <c r="AV23" t="s">
        <v>538</v>
      </c>
      <c r="AW23" s="176">
        <f>AM23</f>
        <v>12</v>
      </c>
      <c r="AX23" s="176">
        <f>AR23</f>
        <v>556.10082999999997</v>
      </c>
      <c r="AY23" s="176">
        <f>AU23+AW23</f>
        <v>12</v>
      </c>
      <c r="AZ23" s="176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540</v>
      </c>
      <c r="BN23" t="s">
        <v>541</v>
      </c>
      <c r="BO23" s="176">
        <f>ROUND((((AW23*AZ23)+(BN23*BM23))/(AW23+BN23)),5)</f>
        <v>429.41982000000002</v>
      </c>
      <c r="BP23" s="87">
        <f>BN23+AW23</f>
        <v>158</v>
      </c>
      <c r="BQ23" s="88">
        <v>88363222</v>
      </c>
      <c r="BR23" s="170">
        <v>1</v>
      </c>
      <c r="BS23" s="170" t="s">
        <v>536</v>
      </c>
      <c r="BT23" s="170" t="s">
        <v>162</v>
      </c>
      <c r="BU23" s="170" t="s">
        <v>58</v>
      </c>
      <c r="BV23" s="170" t="s">
        <v>163</v>
      </c>
      <c r="BW23" s="171">
        <v>12</v>
      </c>
      <c r="BX23">
        <f>G23+500</f>
        <v>1100</v>
      </c>
      <c r="BY23" s="171">
        <f>BW23*BX23</f>
        <v>13200</v>
      </c>
      <c r="BZ23" t="s">
        <v>263</v>
      </c>
      <c r="CA23" s="171">
        <v>2</v>
      </c>
      <c r="CB23" s="171">
        <v>2.5</v>
      </c>
      <c r="CC23" s="171">
        <f>BY23</f>
        <v>13200</v>
      </c>
      <c r="CD23" s="171">
        <f>ROUND(CC23*BZ23%,2)</f>
        <v>396</v>
      </c>
      <c r="CE23" s="171">
        <f>BY23-CD23</f>
        <v>12804</v>
      </c>
      <c r="CF23" s="171">
        <f>ROUND(CE23*CA23%,2)</f>
        <v>256.08</v>
      </c>
      <c r="CG23" s="171">
        <f>ROUND(CE23-CF23,2)</f>
        <v>12547.92</v>
      </c>
      <c r="CH23" s="171">
        <f>ROUND(CG23*CB23%,2)</f>
        <v>313.7</v>
      </c>
      <c r="CI23" s="171">
        <f>ROUND((CD23+CF23+CH23),2)</f>
        <v>965.78</v>
      </c>
      <c r="CJ23" s="171">
        <f>ROUND((BY23-CI23),2)</f>
        <v>12234.22</v>
      </c>
      <c r="CK23" s="172" t="s">
        <v>146</v>
      </c>
      <c r="CL23" s="173">
        <v>0.18</v>
      </c>
      <c r="CM23" s="171">
        <f>IF(OR($C$21=1,$C$21=4),ROUND(((CJ23*CL23)/2),2),0)</f>
        <v>1101.08</v>
      </c>
      <c r="CN23" s="171">
        <f>IF($C$21=1,ROUND(((CJ23*CL23)/2),2),0)</f>
        <v>1101.08</v>
      </c>
      <c r="CO23" s="171">
        <f>IF($C$21=2,ROUND(((CJ23*CL23)),2),0)</f>
        <v>0</v>
      </c>
      <c r="CP23" s="171">
        <f>IF($C$21=4,ROUND(((CJ23*CL23)/2),2),0)</f>
        <v>0</v>
      </c>
      <c r="CQ23" s="174">
        <v>0</v>
      </c>
      <c r="CR23" s="171">
        <f>IF($C20=3, 0, ROUND(CJ23*CQ23, 2))</f>
        <v>0</v>
      </c>
      <c r="CS23" s="170">
        <f>CM23+CN23+CO23+CP23+CR23</f>
        <v>2202.16</v>
      </c>
      <c r="CT23" s="170">
        <f>IF($V20=1,CJ23+CS23,CJ23)</f>
        <v>12234.22</v>
      </c>
      <c r="CU23" s="172">
        <v>120</v>
      </c>
      <c r="CV23" s="172">
        <f>IF($P$21=1,(CJ23/$S$24)*$E$35,CU23/$AD$24*$E$35)</f>
        <v>0</v>
      </c>
      <c r="CW23" s="172"/>
      <c r="CX23" s="172">
        <f>IF($P$21=1,(CJ23/$S$24)*$E$37,CU23/$AD$24*$E$37)</f>
        <v>0</v>
      </c>
      <c r="CY23" s="172">
        <f>IF($P$21=1,(CJ23/$S$24)*$E$38,CU23/$AD$24*$E$38)</f>
        <v>0</v>
      </c>
      <c r="CZ23" s="172">
        <f t="shared" ref="CZ23" si="4">CJ23*$M$21</f>
        <v>12234.22</v>
      </c>
      <c r="DA23" s="172">
        <f>IF($C$21=3,0,CX23+CY23)</f>
        <v>0</v>
      </c>
      <c r="DB23" s="172">
        <f t="shared" ref="DB23" si="5">IF($C$21=3,CV23+CX23+CY23,0)</f>
        <v>0</v>
      </c>
      <c r="DC23" s="175">
        <v>1</v>
      </c>
      <c r="DD23" s="172">
        <f>BW23/DC23</f>
        <v>12</v>
      </c>
      <c r="DE23" s="172">
        <f>ROUND(CZ23/DD23,5)</f>
        <v>1019.51833</v>
      </c>
      <c r="DF23" s="172">
        <f>DA23/DD23</f>
        <v>0</v>
      </c>
      <c r="DG23" s="172">
        <f>DB23/DD23</f>
        <v>0</v>
      </c>
      <c r="DH23" s="172" t="s">
        <v>58</v>
      </c>
      <c r="DI23" s="172">
        <f>ROUND(DE23+DF23+DG23,5)</f>
        <v>1019.51833</v>
      </c>
      <c r="DJ23" s="176" t="s">
        <v>537</v>
      </c>
      <c r="DK23" s="176" t="s">
        <v>58</v>
      </c>
      <c r="DL23" t="s">
        <v>239</v>
      </c>
      <c r="DM23" t="s">
        <v>542</v>
      </c>
      <c r="DN23" s="176">
        <f>DD23</f>
        <v>12</v>
      </c>
      <c r="DO23" s="176">
        <f>DI23</f>
        <v>1019.51833</v>
      </c>
      <c r="DP23" s="176">
        <f>DL23+DN23</f>
        <v>12</v>
      </c>
      <c r="DQ23" s="176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6"/>
      <c r="EA23" s="176"/>
      <c r="EB23" s="176"/>
      <c r="EC23" s="177" t="s">
        <v>539</v>
      </c>
      <c r="ED23" t="s">
        <v>543</v>
      </c>
      <c r="EE23" t="s">
        <v>469</v>
      </c>
      <c r="EF23" s="176">
        <f>ROUND((((DN23*DQ23)+(EE23*ED23))/(DN23+EE23)),5)</f>
        <v>641.80885000000001</v>
      </c>
      <c r="EG23" s="87">
        <f>EE23+DN23</f>
        <v>26</v>
      </c>
      <c r="EH23" s="88">
        <v>88363222</v>
      </c>
      <c r="EI23" s="199" t="s">
        <v>544</v>
      </c>
      <c r="EJ23" s="199" t="s">
        <v>518</v>
      </c>
      <c r="EK23" s="199">
        <v>10100</v>
      </c>
      <c r="EL23" s="199" t="s">
        <v>545</v>
      </c>
      <c r="EM23" s="200" t="s">
        <v>546</v>
      </c>
      <c r="EN23" s="199" t="s">
        <v>520</v>
      </c>
      <c r="EO23" s="201" t="s">
        <v>547</v>
      </c>
      <c r="EP23" s="199">
        <v>450</v>
      </c>
      <c r="EQ23" s="199" t="s">
        <v>548</v>
      </c>
      <c r="ER23" s="202">
        <v>60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7200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526.79</v>
      </c>
      <c r="S24" s="181">
        <f>SUM(S23)</f>
        <v>6673.21</v>
      </c>
      <c r="T24" s="181"/>
      <c r="U24" s="181"/>
      <c r="V24" s="182">
        <f t="shared" ref="V24:AE24" si="6">SUM(V23)</f>
        <v>600.59</v>
      </c>
      <c r="W24" s="182">
        <f t="shared" si="6"/>
        <v>600.59</v>
      </c>
      <c r="X24" s="182">
        <f t="shared" si="6"/>
        <v>0</v>
      </c>
      <c r="Y24" s="182">
        <f t="shared" si="6"/>
        <v>0</v>
      </c>
      <c r="Z24" s="183">
        <f t="shared" si="6"/>
        <v>0</v>
      </c>
      <c r="AA24" s="182">
        <f t="shared" si="6"/>
        <v>0</v>
      </c>
      <c r="AB24" s="181">
        <f t="shared" si="6"/>
        <v>1201.18</v>
      </c>
      <c r="AC24" s="184">
        <f t="shared" si="6"/>
        <v>6673.21</v>
      </c>
      <c r="AD24" s="185">
        <f t="shared" si="6"/>
        <v>120</v>
      </c>
      <c r="AE24" s="185">
        <f t="shared" si="6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6673.21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8" t="s">
        <v>87</v>
      </c>
      <c r="BU24" s="179"/>
      <c r="BV24" s="179"/>
      <c r="BW24" s="179"/>
      <c r="BX24" s="180"/>
      <c r="BY24" s="181">
        <f>SUM(BY23)</f>
        <v>13200</v>
      </c>
      <c r="BZ24" s="170"/>
      <c r="CA24" s="170"/>
      <c r="CB24" s="170"/>
      <c r="CC24" s="170"/>
      <c r="CD24" s="170"/>
      <c r="CE24" s="170"/>
      <c r="CF24" s="170"/>
      <c r="CG24" s="170"/>
      <c r="CH24" s="170"/>
      <c r="CI24" s="181">
        <f>SUM(CI23)</f>
        <v>965.78</v>
      </c>
      <c r="CJ24" s="181">
        <f>SUM(CJ23)</f>
        <v>12234.22</v>
      </c>
      <c r="CK24" s="181"/>
      <c r="CL24" s="181"/>
      <c r="CM24" s="182">
        <f t="shared" ref="CM24:CV24" si="7">SUM(CM23)</f>
        <v>1101.08</v>
      </c>
      <c r="CN24" s="182">
        <f t="shared" si="7"/>
        <v>1101.08</v>
      </c>
      <c r="CO24" s="182">
        <f t="shared" si="7"/>
        <v>0</v>
      </c>
      <c r="CP24" s="182">
        <f t="shared" si="7"/>
        <v>0</v>
      </c>
      <c r="CQ24" s="183">
        <f t="shared" si="7"/>
        <v>0</v>
      </c>
      <c r="CR24" s="182">
        <f t="shared" si="7"/>
        <v>0</v>
      </c>
      <c r="CS24" s="181">
        <f t="shared" si="7"/>
        <v>2202.16</v>
      </c>
      <c r="CT24" s="184">
        <f t="shared" si="7"/>
        <v>12234.22</v>
      </c>
      <c r="CU24" s="185">
        <f t="shared" si="7"/>
        <v>120</v>
      </c>
      <c r="CV24" s="185">
        <f t="shared" si="7"/>
        <v>0</v>
      </c>
      <c r="CW24" s="184"/>
      <c r="CX24" s="185">
        <f>SUM(CX23)</f>
        <v>0</v>
      </c>
      <c r="CY24" s="185">
        <f>IF($P$21=1,(CJ24/$S$24)*$E$38,CU24/$AD$24*$E$38)</f>
        <v>0</v>
      </c>
      <c r="CZ24" s="185">
        <f>SUM(CZ23)</f>
        <v>12234.22</v>
      </c>
      <c r="DA24" s="185">
        <f>SUM(DA23)</f>
        <v>0</v>
      </c>
      <c r="DB24" s="185">
        <f>SUM(DB23)</f>
        <v>0</v>
      </c>
      <c r="DC24" s="184"/>
      <c r="DD24" s="184"/>
      <c r="DE24" s="184"/>
      <c r="DF24" s="184"/>
      <c r="DG24" s="184"/>
      <c r="DH24" s="184"/>
      <c r="DI24" s="184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9"/>
      <c r="EJ24" s="199"/>
      <c r="EK24" s="199"/>
      <c r="EL24" s="199"/>
      <c r="EM24" s="200"/>
      <c r="EN24" s="199"/>
      <c r="EO24" s="201"/>
      <c r="EP24" s="199"/>
      <c r="EQ24" s="199"/>
      <c r="ER24" s="202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7200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233" t="s">
        <v>194</v>
      </c>
      <c r="BY26" s="234"/>
      <c r="BZ26" s="235">
        <f>BY24</f>
        <v>13200</v>
      </c>
      <c r="CA26" s="235"/>
      <c r="CB26" s="186"/>
      <c r="CC26" s="137"/>
      <c r="CD26" s="236" t="s">
        <v>195</v>
      </c>
      <c r="CE26" s="237"/>
      <c r="CF26" s="237"/>
      <c r="CG26" s="238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7" t="s">
        <v>375</v>
      </c>
      <c r="EA26" s="137"/>
      <c r="EB26" s="137"/>
      <c r="EC26" s="137"/>
      <c r="ED26" s="137"/>
      <c r="EE26" s="137"/>
      <c r="EF26" s="137"/>
      <c r="EI26" s="202"/>
      <c r="EJ26" s="199"/>
      <c r="EK26" s="199"/>
      <c r="EL26" s="199"/>
      <c r="EM26" s="200"/>
      <c r="EN26" s="199"/>
      <c r="EO26" s="203"/>
      <c r="EP26" s="199"/>
      <c r="EQ26" s="199"/>
      <c r="ER26" s="202"/>
    </row>
    <row r="27" spans="1:148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526.79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233" t="s">
        <v>196</v>
      </c>
      <c r="BY27" s="234"/>
      <c r="BZ27" s="235">
        <f>CI24</f>
        <v>965.78</v>
      </c>
      <c r="CA27" s="235"/>
      <c r="CB27" s="137"/>
      <c r="CC27" s="137"/>
      <c r="CD27" s="194">
        <v>1</v>
      </c>
      <c r="CE27" s="194" t="s">
        <v>58</v>
      </c>
      <c r="CF27" s="194">
        <v>2</v>
      </c>
      <c r="CG27" s="194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7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6673.21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233" t="s">
        <v>197</v>
      </c>
      <c r="BY28" s="234"/>
      <c r="BZ28" s="235">
        <f>CJ24</f>
        <v>12234.22</v>
      </c>
      <c r="CA28" s="235"/>
      <c r="CB28" s="137"/>
      <c r="CC28" s="137"/>
      <c r="CD28" s="170">
        <v>1</v>
      </c>
      <c r="CE28" s="170" t="s">
        <v>58</v>
      </c>
      <c r="CF28" s="170">
        <v>2.5</v>
      </c>
      <c r="CG28" s="170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1201.18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233" t="s">
        <v>198</v>
      </c>
      <c r="BY29" s="234"/>
      <c r="BZ29" s="235">
        <f>CS24</f>
        <v>2202.16</v>
      </c>
      <c r="CA29" s="235"/>
      <c r="CB29" s="137"/>
      <c r="CC29" s="137"/>
      <c r="CD29" s="170">
        <v>1</v>
      </c>
      <c r="CE29" s="170" t="s">
        <v>163</v>
      </c>
      <c r="CF29" s="170">
        <v>1E-3</v>
      </c>
      <c r="CG29" s="170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7874.39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233" t="s">
        <v>199</v>
      </c>
      <c r="BY30" s="234"/>
      <c r="BZ30" s="239">
        <f>BZ28+BZ29</f>
        <v>14436.38</v>
      </c>
      <c r="CA30" s="239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G29:H29"/>
    <mergeCell ref="I29:J29"/>
    <mergeCell ref="BX29:BY29"/>
    <mergeCell ref="BZ29:CA29"/>
    <mergeCell ref="G30:H30"/>
    <mergeCell ref="I30:J30"/>
    <mergeCell ref="BX30:BY30"/>
    <mergeCell ref="BZ30:CA30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532</v>
      </c>
      <c r="BS22" s="197" t="s">
        <v>511</v>
      </c>
      <c r="BT22" s="197" t="s">
        <v>533</v>
      </c>
      <c r="BU22" s="197" t="s">
        <v>534</v>
      </c>
      <c r="BV22" s="197" t="s">
        <v>512</v>
      </c>
      <c r="BW22" s="197" t="s">
        <v>513</v>
      </c>
      <c r="BX22" s="197" t="s">
        <v>514</v>
      </c>
      <c r="BY22" s="197" t="s">
        <v>515</v>
      </c>
      <c r="BZ22" s="197" t="s">
        <v>535</v>
      </c>
      <c r="CA22" s="198" t="s">
        <v>53</v>
      </c>
    </row>
    <row r="23" spans="1:79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570</v>
      </c>
      <c r="H23" s="171">
        <f>F23*G23</f>
        <v>4100</v>
      </c>
      <c r="I23">
        <v>1</v>
      </c>
      <c r="J23" s="171">
        <v>1</v>
      </c>
      <c r="K23" s="171">
        <v>1</v>
      </c>
      <c r="L23" s="171">
        <f>H23</f>
        <v>4100</v>
      </c>
      <c r="M23" s="171">
        <f>ROUND(L23*I23%,2)</f>
        <v>41</v>
      </c>
      <c r="N23" s="171">
        <f>H23-M23</f>
        <v>4059</v>
      </c>
      <c r="O23" s="171">
        <f>ROUND(N23*J23%,2)</f>
        <v>40.590000000000003</v>
      </c>
      <c r="P23" s="171">
        <f>ROUND(N23-O23,2)</f>
        <v>4018.41</v>
      </c>
      <c r="Q23" s="171">
        <f>ROUND(P23*K23%,2)</f>
        <v>40.18</v>
      </c>
      <c r="R23" s="171">
        <f>ROUND((M23+O23+Q23),2)</f>
        <v>121.77</v>
      </c>
      <c r="S23" s="171">
        <f>ROUND((H23-R23),2)</f>
        <v>3978.23</v>
      </c>
      <c r="T23" s="172" t="s">
        <v>146</v>
      </c>
      <c r="U23" s="173">
        <v>0.18</v>
      </c>
      <c r="V23" s="171">
        <f>IF(OR($C$21=1,$C$21=4),ROUND(((S23*U23)/2),2),0)</f>
        <v>358.04</v>
      </c>
      <c r="W23" s="171">
        <f>IF($C$21=1,ROUND(((S23*U23)/2),2),0)</f>
        <v>358.04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716.08</v>
      </c>
      <c r="AC23" s="170">
        <f>IF($V21=1,S23+AB23,S23)</f>
        <v>3978.23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3978.23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3978.23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3978.23</v>
      </c>
      <c r="AS23" s="176" t="s">
        <v>537</v>
      </c>
      <c r="AT23" s="176" t="s">
        <v>58</v>
      </c>
      <c r="AU23" t="s">
        <v>239</v>
      </c>
      <c r="AV23" t="s">
        <v>549</v>
      </c>
      <c r="AW23" s="176">
        <f>AM23</f>
        <v>1</v>
      </c>
      <c r="AX23" s="176">
        <f>AR23</f>
        <v>3978.23</v>
      </c>
      <c r="AY23" s="176">
        <f>AU23+AW23</f>
        <v>1</v>
      </c>
      <c r="AZ23" s="176">
        <f>ROUND(((AU23*AV23)+(AW23*AX23))/(AU23+AW23),5)</f>
        <v>3978.23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550</v>
      </c>
      <c r="BN23" t="s">
        <v>551</v>
      </c>
      <c r="BO23" s="176">
        <f>ROUND((((AW23*AZ23)+(BN23*BM23))/(AW23+BN23)),5)</f>
        <v>491.36716999999999</v>
      </c>
      <c r="BP23" s="87">
        <f>BN23+AW23</f>
        <v>186</v>
      </c>
      <c r="BQ23" s="88">
        <v>88363222</v>
      </c>
      <c r="BR23" s="199" t="s">
        <v>544</v>
      </c>
      <c r="BS23" s="199" t="s">
        <v>518</v>
      </c>
      <c r="BT23" s="199">
        <v>10100</v>
      </c>
      <c r="BU23" s="199" t="s">
        <v>545</v>
      </c>
      <c r="BV23" s="200" t="s">
        <v>546</v>
      </c>
      <c r="BW23" s="199" t="s">
        <v>520</v>
      </c>
      <c r="BX23" s="201" t="s">
        <v>547</v>
      </c>
      <c r="BY23" s="199">
        <v>450</v>
      </c>
      <c r="BZ23" s="199" t="s">
        <v>552</v>
      </c>
      <c r="CA23" s="202">
        <v>60</v>
      </c>
    </row>
    <row r="24" spans="1:79" ht="15.75" thickBot="1">
      <c r="A24" s="170">
        <v>1</v>
      </c>
      <c r="B24" s="170" t="s">
        <v>536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570</v>
      </c>
      <c r="H24" s="171">
        <f>F24*G24</f>
        <v>4100</v>
      </c>
      <c r="I24">
        <v>0</v>
      </c>
      <c r="J24" s="171">
        <v>0</v>
      </c>
      <c r="K24" s="171">
        <v>0</v>
      </c>
      <c r="L24" s="171">
        <f>H24</f>
        <v>4100</v>
      </c>
      <c r="M24" s="171">
        <f>ROUND(L24*I24%,2)</f>
        <v>0</v>
      </c>
      <c r="N24" s="171">
        <f>H24-M24</f>
        <v>4100</v>
      </c>
      <c r="O24" s="171">
        <f>ROUND(N24*J24%,2)</f>
        <v>0</v>
      </c>
      <c r="P24" s="171">
        <f>ROUND(N24-O24,2)</f>
        <v>4100</v>
      </c>
      <c r="Q24" s="171">
        <f>ROUND(P24*K24%,2)</f>
        <v>0</v>
      </c>
      <c r="R24" s="171">
        <f>ROUND((M24+O24+Q24),2)</f>
        <v>0</v>
      </c>
      <c r="S24" s="171">
        <f>ROUND((H24-R24),2)</f>
        <v>4100</v>
      </c>
      <c r="T24" s="172" t="s">
        <v>146</v>
      </c>
      <c r="U24" s="173">
        <v>0.18</v>
      </c>
      <c r="V24" s="171">
        <f>IF(OR($C$21=1,$C$21=4),ROUND(((S24*U24)/2),2),0)</f>
        <v>369</v>
      </c>
      <c r="W24" s="171">
        <f>IF($C$21=1,ROUND(((S24*U24)/2),2),0)</f>
        <v>369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738</v>
      </c>
      <c r="AC24" s="170">
        <f>IF($V21=1,S24+AB24,S24)</f>
        <v>4100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4100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4100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4100</v>
      </c>
      <c r="AS24" s="176" t="s">
        <v>537</v>
      </c>
      <c r="AT24" s="176" t="s">
        <v>58</v>
      </c>
      <c r="AU24" t="s">
        <v>239</v>
      </c>
      <c r="AV24" t="s">
        <v>549</v>
      </c>
      <c r="AW24" s="176">
        <f>AM24</f>
        <v>1</v>
      </c>
      <c r="AX24" s="176">
        <f>AR24</f>
        <v>4100</v>
      </c>
      <c r="AY24" s="176">
        <f>AU24+AW24</f>
        <v>1</v>
      </c>
      <c r="AZ24" s="176">
        <f>ROUND(((AU24*AV24)+(AW24*AX24))/(AU24+AW24),5)</f>
        <v>4100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539</v>
      </c>
      <c r="BM24" t="s">
        <v>550</v>
      </c>
      <c r="BN24" t="s">
        <v>551</v>
      </c>
      <c r="BO24" s="176">
        <f>ROUND((((AW24*AZ24)+(BN24*BM24))/(AW24+BN24)),5)</f>
        <v>492.02184</v>
      </c>
      <c r="BP24" s="87">
        <f>BN24+AW24</f>
        <v>186</v>
      </c>
      <c r="BQ24" s="88">
        <v>88363222</v>
      </c>
      <c r="BR24" s="199" t="s">
        <v>544</v>
      </c>
      <c r="BS24" s="199" t="s">
        <v>518</v>
      </c>
      <c r="BT24" s="199">
        <v>10100</v>
      </c>
      <c r="BU24" s="199" t="s">
        <v>545</v>
      </c>
      <c r="BV24" s="200" t="s">
        <v>546</v>
      </c>
      <c r="BW24" s="199" t="s">
        <v>520</v>
      </c>
      <c r="BX24" s="201" t="s">
        <v>547</v>
      </c>
      <c r="BY24" s="199">
        <v>800</v>
      </c>
      <c r="BZ24" s="199" t="s">
        <v>552</v>
      </c>
      <c r="CA24" s="202">
        <v>70</v>
      </c>
    </row>
    <row r="25" spans="1:79" ht="15.75" thickBot="1">
      <c r="A25" s="170">
        <v>1</v>
      </c>
      <c r="B25" s="170" t="s">
        <v>553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537</v>
      </c>
      <c r="AT25" s="176" t="s">
        <v>58</v>
      </c>
      <c r="AU25" t="s">
        <v>239</v>
      </c>
      <c r="AV25" t="s">
        <v>549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539</v>
      </c>
      <c r="BM25" t="s">
        <v>550</v>
      </c>
      <c r="BN25" t="s">
        <v>551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554</v>
      </c>
      <c r="BS25" s="199" t="s">
        <v>555</v>
      </c>
      <c r="BT25" s="199">
        <v>10101</v>
      </c>
      <c r="BU25" s="199" t="s">
        <v>556</v>
      </c>
      <c r="BV25" s="200" t="s">
        <v>546</v>
      </c>
      <c r="BW25" s="199" t="s">
        <v>520</v>
      </c>
      <c r="BX25" s="203" t="s">
        <v>49</v>
      </c>
      <c r="BY25" s="199">
        <v>400</v>
      </c>
      <c r="BZ25" s="199" t="s">
        <v>552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537</v>
      </c>
      <c r="AT26" s="176" t="s">
        <v>58</v>
      </c>
      <c r="AU26" t="s">
        <v>239</v>
      </c>
      <c r="AV26" t="s">
        <v>549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539</v>
      </c>
      <c r="BM26" t="s">
        <v>550</v>
      </c>
      <c r="BN26" t="s">
        <v>551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554</v>
      </c>
      <c r="BS26" s="199" t="s">
        <v>555</v>
      </c>
      <c r="BT26" s="199">
        <v>10101</v>
      </c>
      <c r="BU26" s="199" t="s">
        <v>556</v>
      </c>
      <c r="BV26" s="200" t="s">
        <v>546</v>
      </c>
      <c r="BW26" s="199" t="s">
        <v>520</v>
      </c>
      <c r="BX26" s="203" t="s">
        <v>49</v>
      </c>
      <c r="BY26" s="199">
        <v>400</v>
      </c>
      <c r="BZ26" s="199" t="s">
        <v>552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537</v>
      </c>
      <c r="AT27" s="176" t="s">
        <v>58</v>
      </c>
      <c r="AU27">
        <v>0</v>
      </c>
      <c r="AV27" t="s">
        <v>549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539</v>
      </c>
      <c r="BM27" t="s">
        <v>550</v>
      </c>
      <c r="BN27" t="s">
        <v>551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554</v>
      </c>
      <c r="BS27" s="199" t="s">
        <v>555</v>
      </c>
      <c r="BT27" s="199">
        <v>10101</v>
      </c>
      <c r="BU27" s="199" t="s">
        <v>556</v>
      </c>
      <c r="BV27" s="200" t="s">
        <v>546</v>
      </c>
      <c r="BW27" s="199" t="s">
        <v>520</v>
      </c>
      <c r="BX27" s="203" t="s">
        <v>49</v>
      </c>
      <c r="BY27" s="199">
        <v>400</v>
      </c>
      <c r="BZ27" s="199" t="s">
        <v>552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2588.08</v>
      </c>
      <c r="AC28" s="184">
        <f>SUM(AC23:AC27)</f>
        <v>14378.23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14378</v>
      </c>
      <c r="AU28">
        <f>AT28-AC28</f>
        <v>-0.22999999999956344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3" t="s">
        <v>194</v>
      </c>
      <c r="H30" s="234"/>
      <c r="I30" s="235">
        <f>H28</f>
        <v>2100</v>
      </c>
      <c r="J30" s="235"/>
      <c r="K30" s="186"/>
      <c r="L30" s="137"/>
      <c r="M30" s="236" t="s">
        <v>195</v>
      </c>
      <c r="N30" s="237"/>
      <c r="O30" s="237"/>
      <c r="P30" s="23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3" t="s">
        <v>196</v>
      </c>
      <c r="H31" s="234"/>
      <c r="I31" s="235">
        <f>R28</f>
        <v>0</v>
      </c>
      <c r="J31" s="23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3" t="s">
        <v>197</v>
      </c>
      <c r="H32" s="234"/>
      <c r="I32" s="235">
        <f>S28</f>
        <v>2100</v>
      </c>
      <c r="J32" s="23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3" t="s">
        <v>198</v>
      </c>
      <c r="H33" s="234"/>
      <c r="I33" s="235">
        <f>AB28</f>
        <v>2588.08</v>
      </c>
      <c r="J33" s="23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3" t="s">
        <v>199</v>
      </c>
      <c r="H34" s="234"/>
      <c r="I34" s="239">
        <f>I32+I33</f>
        <v>4688.08</v>
      </c>
      <c r="J34" s="239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C21" sqref="C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2" t="s">
        <v>89</v>
      </c>
      <c r="B21" s="232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532</v>
      </c>
      <c r="BS22" s="197" t="s">
        <v>511</v>
      </c>
      <c r="BT22" s="197" t="s">
        <v>533</v>
      </c>
      <c r="BU22" s="197" t="s">
        <v>534</v>
      </c>
      <c r="BV22" s="197" t="s">
        <v>512</v>
      </c>
      <c r="BW22" s="197" t="s">
        <v>513</v>
      </c>
      <c r="BX22" s="197" t="s">
        <v>514</v>
      </c>
      <c r="BY22" s="197" t="s">
        <v>515</v>
      </c>
      <c r="BZ22" s="197" t="s">
        <v>535</v>
      </c>
      <c r="CA22" s="198" t="s">
        <v>53</v>
      </c>
    </row>
    <row r="23" spans="1:79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562</v>
      </c>
      <c r="H23" s="171">
        <f>F23*G23</f>
        <v>3900</v>
      </c>
      <c r="I23">
        <v>1</v>
      </c>
      <c r="J23" s="171">
        <v>1</v>
      </c>
      <c r="K23" s="171">
        <v>1</v>
      </c>
      <c r="L23" s="171">
        <f>H23</f>
        <v>3900</v>
      </c>
      <c r="M23" s="171">
        <f>ROUND(L23*I23%,2)</f>
        <v>39</v>
      </c>
      <c r="N23" s="171">
        <f>H23-M23</f>
        <v>3861</v>
      </c>
      <c r="O23" s="171">
        <f>ROUND(N23*J23%,2)</f>
        <v>38.61</v>
      </c>
      <c r="P23" s="171">
        <f>ROUND(N23-O23,2)</f>
        <v>3822.39</v>
      </c>
      <c r="Q23" s="171">
        <f>ROUND(P23*K23%,2)</f>
        <v>38.22</v>
      </c>
      <c r="R23" s="171">
        <f>ROUND((M23+O23+Q23),2)</f>
        <v>115.83</v>
      </c>
      <c r="S23" s="171">
        <f>ROUND((H23-R23),2)</f>
        <v>3784.17</v>
      </c>
      <c r="T23" s="172" t="s">
        <v>146</v>
      </c>
      <c r="U23" s="173">
        <v>0.18</v>
      </c>
      <c r="V23" s="171">
        <f>IF(OR($C$21=1,$C$21=4),ROUND(((S23*U23)/2),2),0)</f>
        <v>340.58</v>
      </c>
      <c r="W23" s="171">
        <f>IF($C$21=1,ROUND(((S23*U23)/2),2),0)</f>
        <v>340.58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681.16</v>
      </c>
      <c r="AC23" s="170">
        <f>IF($V21=1,S23+AB23,S23)</f>
        <v>4465.33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3784.17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3784.17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3784.17</v>
      </c>
      <c r="AS23" s="176" t="s">
        <v>537</v>
      </c>
      <c r="AT23" s="176" t="s">
        <v>58</v>
      </c>
      <c r="AU23" t="s">
        <v>239</v>
      </c>
      <c r="AV23" t="s">
        <v>549</v>
      </c>
      <c r="AW23" s="176">
        <f>AM23</f>
        <v>1</v>
      </c>
      <c r="AX23" s="176">
        <f>AR23</f>
        <v>3784.17</v>
      </c>
      <c r="AY23" s="176">
        <f>AU23+AW23</f>
        <v>1</v>
      </c>
      <c r="AZ23" s="176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550</v>
      </c>
      <c r="BN23" t="s">
        <v>551</v>
      </c>
      <c r="BO23" s="176">
        <f>ROUND((((AW23*AZ23)+(BN23*BM23))/(AW23+BN23)),5)</f>
        <v>490.32382999999999</v>
      </c>
      <c r="BP23" s="87">
        <f>BN23+AW23</f>
        <v>186</v>
      </c>
      <c r="BQ23" s="88">
        <v>88363222</v>
      </c>
      <c r="BR23" s="199" t="s">
        <v>544</v>
      </c>
      <c r="BS23" s="199" t="s">
        <v>518</v>
      </c>
      <c r="BT23" s="199">
        <v>10100</v>
      </c>
      <c r="BU23" s="199" t="s">
        <v>545</v>
      </c>
      <c r="BV23" s="200" t="s">
        <v>546</v>
      </c>
      <c r="BW23" s="199" t="s">
        <v>520</v>
      </c>
      <c r="BX23" s="201" t="s">
        <v>547</v>
      </c>
      <c r="BY23" s="199">
        <v>450</v>
      </c>
      <c r="BZ23" s="199" t="s">
        <v>552</v>
      </c>
      <c r="CA23" s="202">
        <v>60</v>
      </c>
    </row>
    <row r="24" spans="1:79" ht="15.75" thickBot="1">
      <c r="A24" s="170">
        <v>1</v>
      </c>
      <c r="B24" s="170" t="s">
        <v>536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562</v>
      </c>
      <c r="H24" s="171">
        <f>F24*G24</f>
        <v>3900</v>
      </c>
      <c r="I24">
        <v>0</v>
      </c>
      <c r="J24" s="171">
        <v>0</v>
      </c>
      <c r="K24" s="171">
        <v>0</v>
      </c>
      <c r="L24" s="171">
        <f>H24</f>
        <v>3900</v>
      </c>
      <c r="M24" s="171">
        <f>ROUND(L24*I24%,2)</f>
        <v>0</v>
      </c>
      <c r="N24" s="171">
        <f>H24-M24</f>
        <v>3900</v>
      </c>
      <c r="O24" s="171">
        <f>ROUND(N24*J24%,2)</f>
        <v>0</v>
      </c>
      <c r="P24" s="171">
        <f>ROUND(N24-O24,2)</f>
        <v>3900</v>
      </c>
      <c r="Q24" s="171">
        <f>ROUND(P24*K24%,2)</f>
        <v>0</v>
      </c>
      <c r="R24" s="171">
        <f>ROUND((M24+O24+Q24),2)</f>
        <v>0</v>
      </c>
      <c r="S24" s="171">
        <f>ROUND((H24-R24),2)</f>
        <v>3900</v>
      </c>
      <c r="T24" s="172" t="s">
        <v>146</v>
      </c>
      <c r="U24" s="173">
        <v>0.18</v>
      </c>
      <c r="V24" s="171">
        <f>IF(OR($C$21=1,$C$21=4),ROUND(((S24*U24)/2),2),0)</f>
        <v>351</v>
      </c>
      <c r="W24" s="171">
        <f>IF($C$21=1,ROUND(((S24*U24)/2),2),0)</f>
        <v>351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702</v>
      </c>
      <c r="AC24" s="170">
        <f>IF($V21=1,S24+AB24,S24)</f>
        <v>4602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3900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3900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3900</v>
      </c>
      <c r="AS24" s="176" t="s">
        <v>537</v>
      </c>
      <c r="AT24" s="176" t="s">
        <v>58</v>
      </c>
      <c r="AU24" t="s">
        <v>239</v>
      </c>
      <c r="AV24" t="s">
        <v>549</v>
      </c>
      <c r="AW24" s="176">
        <f>AM24</f>
        <v>1</v>
      </c>
      <c r="AX24" s="176">
        <f>AR24</f>
        <v>3900</v>
      </c>
      <c r="AY24" s="176">
        <f>AU24+AW24</f>
        <v>1</v>
      </c>
      <c r="AZ24" s="176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539</v>
      </c>
      <c r="BM24" t="s">
        <v>550</v>
      </c>
      <c r="BN24" t="s">
        <v>551</v>
      </c>
      <c r="BO24" s="176">
        <f>ROUND((((AW24*AZ24)+(BN24*BM24))/(AW24+BN24)),5)</f>
        <v>490.94657999999998</v>
      </c>
      <c r="BP24" s="87">
        <f>BN24+AW24</f>
        <v>186</v>
      </c>
      <c r="BQ24" s="88">
        <v>88363222</v>
      </c>
      <c r="BR24" s="199" t="s">
        <v>544</v>
      </c>
      <c r="BS24" s="199" t="s">
        <v>518</v>
      </c>
      <c r="BT24" s="199">
        <v>10100</v>
      </c>
      <c r="BU24" s="199" t="s">
        <v>545</v>
      </c>
      <c r="BV24" s="200" t="s">
        <v>546</v>
      </c>
      <c r="BW24" s="199" t="s">
        <v>520</v>
      </c>
      <c r="BX24" s="201" t="s">
        <v>547</v>
      </c>
      <c r="BY24" s="199">
        <v>800</v>
      </c>
      <c r="BZ24" s="199" t="s">
        <v>552</v>
      </c>
      <c r="CA24" s="202">
        <v>70</v>
      </c>
    </row>
    <row r="25" spans="1:79" ht="15.75" thickBot="1">
      <c r="A25" s="170">
        <v>1</v>
      </c>
      <c r="B25" s="170" t="s">
        <v>553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537</v>
      </c>
      <c r="AT25" s="176" t="s">
        <v>58</v>
      </c>
      <c r="AU25" t="s">
        <v>239</v>
      </c>
      <c r="AV25" t="s">
        <v>549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539</v>
      </c>
      <c r="BM25" t="s">
        <v>550</v>
      </c>
      <c r="BN25" t="s">
        <v>551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554</v>
      </c>
      <c r="BS25" s="199" t="s">
        <v>555</v>
      </c>
      <c r="BT25" s="199">
        <v>10101</v>
      </c>
      <c r="BU25" s="199" t="s">
        <v>556</v>
      </c>
      <c r="BV25" s="200" t="s">
        <v>546</v>
      </c>
      <c r="BW25" s="199" t="s">
        <v>520</v>
      </c>
      <c r="BX25" s="203" t="s">
        <v>49</v>
      </c>
      <c r="BY25" s="199">
        <v>400</v>
      </c>
      <c r="BZ25" s="199" t="s">
        <v>552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537</v>
      </c>
      <c r="AT26" s="176" t="s">
        <v>58</v>
      </c>
      <c r="AU26" t="s">
        <v>239</v>
      </c>
      <c r="AV26" t="s">
        <v>549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539</v>
      </c>
      <c r="BM26" t="s">
        <v>550</v>
      </c>
      <c r="BN26" t="s">
        <v>551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554</v>
      </c>
      <c r="BS26" s="199" t="s">
        <v>555</v>
      </c>
      <c r="BT26" s="199">
        <v>10101</v>
      </c>
      <c r="BU26" s="199" t="s">
        <v>556</v>
      </c>
      <c r="BV26" s="200" t="s">
        <v>546</v>
      </c>
      <c r="BW26" s="199" t="s">
        <v>520</v>
      </c>
      <c r="BX26" s="203" t="s">
        <v>49</v>
      </c>
      <c r="BY26" s="199">
        <v>400</v>
      </c>
      <c r="BZ26" s="199" t="s">
        <v>552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537</v>
      </c>
      <c r="AT27" s="176" t="s">
        <v>58</v>
      </c>
      <c r="AU27">
        <v>0</v>
      </c>
      <c r="AV27" t="s">
        <v>549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539</v>
      </c>
      <c r="BM27" t="s">
        <v>550</v>
      </c>
      <c r="BN27" t="s">
        <v>551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554</v>
      </c>
      <c r="BS27" s="199" t="s">
        <v>555</v>
      </c>
      <c r="BT27" s="199">
        <v>10101</v>
      </c>
      <c r="BU27" s="199" t="s">
        <v>556</v>
      </c>
      <c r="BV27" s="200" t="s">
        <v>546</v>
      </c>
      <c r="BW27" s="199" t="s">
        <v>520</v>
      </c>
      <c r="BX27" s="203" t="s">
        <v>49</v>
      </c>
      <c r="BY27" s="199">
        <v>400</v>
      </c>
      <c r="BZ27" s="199" t="s">
        <v>552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SUM(S23:S27)</f>
        <v>13984.17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2517.16</v>
      </c>
      <c r="AC28" s="184">
        <f>SUM(AC23:AC27)</f>
        <v>16501.330000000002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3" t="s">
        <v>194</v>
      </c>
      <c r="H30" s="234"/>
      <c r="I30" s="235">
        <f>H28</f>
        <v>2100</v>
      </c>
      <c r="J30" s="235"/>
      <c r="K30" s="186"/>
      <c r="L30" s="137"/>
      <c r="M30" s="236" t="s">
        <v>195</v>
      </c>
      <c r="N30" s="237"/>
      <c r="O30" s="237"/>
      <c r="P30" s="23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3" t="s">
        <v>196</v>
      </c>
      <c r="H31" s="234"/>
      <c r="I31" s="235">
        <f>R28</f>
        <v>0</v>
      </c>
      <c r="J31" s="23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3" t="s">
        <v>197</v>
      </c>
      <c r="H32" s="234"/>
      <c r="I32" s="235">
        <f>S28</f>
        <v>13984.17</v>
      </c>
      <c r="J32" s="23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3" t="s">
        <v>198</v>
      </c>
      <c r="H33" s="234"/>
      <c r="I33" s="235">
        <f>AB28</f>
        <v>2517.16</v>
      </c>
      <c r="J33" s="23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3" t="s">
        <v>199</v>
      </c>
      <c r="H34" s="234"/>
      <c r="I34" s="239">
        <f>I32+I33</f>
        <v>16501.330000000002</v>
      </c>
      <c r="J34" s="239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P19" workbookViewId="0">
      <selection activeCell="V21" sqref="V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2" t="s">
        <v>89</v>
      </c>
      <c r="B21" s="232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532</v>
      </c>
      <c r="BS22" s="197" t="s">
        <v>511</v>
      </c>
      <c r="BT22" s="197" t="s">
        <v>533</v>
      </c>
      <c r="BU22" s="197" t="s">
        <v>534</v>
      </c>
      <c r="BV22" s="197" t="s">
        <v>512</v>
      </c>
      <c r="BW22" s="197" t="s">
        <v>513</v>
      </c>
      <c r="BX22" s="197" t="s">
        <v>514</v>
      </c>
      <c r="BY22" s="197" t="s">
        <v>515</v>
      </c>
      <c r="BZ22" s="197" t="s">
        <v>535</v>
      </c>
      <c r="CA22" s="198" t="s">
        <v>53</v>
      </c>
    </row>
    <row r="23" spans="1:79" ht="15.75" thickBot="1">
      <c r="A23" s="170">
        <v>1</v>
      </c>
      <c r="B23" s="170" t="s">
        <v>480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>
        <v>2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103.73</v>
      </c>
      <c r="AC23" s="170">
        <f>IF($V21=1,S23+AB23,S23)</f>
        <v>680.03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537</v>
      </c>
      <c r="AT23" s="176" t="s">
        <v>58</v>
      </c>
      <c r="AU23" t="s">
        <v>239</v>
      </c>
      <c r="AV23" t="s">
        <v>549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550</v>
      </c>
      <c r="BN23" t="s">
        <v>551</v>
      </c>
      <c r="BO23" s="176">
        <f>ROUND((((AW23*AZ23)+(BN23*BM23))/(AW23+BN23)),5)</f>
        <v>473.07722000000001</v>
      </c>
      <c r="BP23" s="87">
        <f>BN23+AW23</f>
        <v>186</v>
      </c>
      <c r="BQ23" s="88">
        <v>88363222</v>
      </c>
      <c r="BR23" s="199" t="s">
        <v>544</v>
      </c>
      <c r="BS23" s="199" t="s">
        <v>518</v>
      </c>
      <c r="BT23" s="199">
        <v>10100</v>
      </c>
      <c r="BU23" s="199" t="s">
        <v>545</v>
      </c>
      <c r="BV23" s="200" t="s">
        <v>546</v>
      </c>
      <c r="BW23" s="199" t="s">
        <v>520</v>
      </c>
      <c r="BX23" s="201" t="s">
        <v>547</v>
      </c>
      <c r="BY23" s="199">
        <v>450</v>
      </c>
      <c r="BZ23" s="199" t="s">
        <v>552</v>
      </c>
      <c r="CA23" s="202">
        <v>60</v>
      </c>
    </row>
    <row r="24" spans="1:79" ht="15.75" thickBot="1">
      <c r="A24" s="170">
        <v>1</v>
      </c>
      <c r="B24" s="170" t="s">
        <v>480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708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537</v>
      </c>
      <c r="AT24" s="176" t="s">
        <v>58</v>
      </c>
      <c r="AU24" t="s">
        <v>239</v>
      </c>
      <c r="AV24" t="s">
        <v>549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539</v>
      </c>
      <c r="BM24" t="s">
        <v>550</v>
      </c>
      <c r="BN24" t="s">
        <v>551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544</v>
      </c>
      <c r="BS24" s="199" t="s">
        <v>518</v>
      </c>
      <c r="BT24" s="199">
        <v>10100</v>
      </c>
      <c r="BU24" s="199" t="s">
        <v>545</v>
      </c>
      <c r="BV24" s="200" t="s">
        <v>546</v>
      </c>
      <c r="BW24" s="199" t="s">
        <v>520</v>
      </c>
      <c r="BX24" s="201" t="s">
        <v>547</v>
      </c>
      <c r="BY24" s="199">
        <v>800</v>
      </c>
      <c r="BZ24" s="199" t="s">
        <v>552</v>
      </c>
      <c r="CA24" s="202">
        <v>70</v>
      </c>
    </row>
    <row r="25" spans="1:79" ht="15.75" thickBot="1">
      <c r="A25" s="170">
        <v>1</v>
      </c>
      <c r="B25" s="170" t="s">
        <v>553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537</v>
      </c>
      <c r="AT25" s="176" t="s">
        <v>58</v>
      </c>
      <c r="AU25" t="s">
        <v>239</v>
      </c>
      <c r="AV25" t="s">
        <v>549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539</v>
      </c>
      <c r="BM25" t="s">
        <v>550</v>
      </c>
      <c r="BN25" t="s">
        <v>551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554</v>
      </c>
      <c r="BS25" s="199" t="s">
        <v>555</v>
      </c>
      <c r="BT25" s="199">
        <v>10101</v>
      </c>
      <c r="BU25" s="199" t="s">
        <v>556</v>
      </c>
      <c r="BV25" s="200" t="s">
        <v>546</v>
      </c>
      <c r="BW25" s="199" t="s">
        <v>520</v>
      </c>
      <c r="BX25" s="203" t="s">
        <v>49</v>
      </c>
      <c r="BY25" s="199">
        <v>400</v>
      </c>
      <c r="BZ25" s="199" t="s">
        <v>552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537</v>
      </c>
      <c r="AT26" s="176" t="s">
        <v>58</v>
      </c>
      <c r="AU26" t="s">
        <v>239</v>
      </c>
      <c r="AV26" t="s">
        <v>549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539</v>
      </c>
      <c r="BM26" t="s">
        <v>550</v>
      </c>
      <c r="BN26" t="s">
        <v>551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554</v>
      </c>
      <c r="BS26" s="199" t="s">
        <v>555</v>
      </c>
      <c r="BT26" s="199">
        <v>10101</v>
      </c>
      <c r="BU26" s="199" t="s">
        <v>556</v>
      </c>
      <c r="BV26" s="200" t="s">
        <v>546</v>
      </c>
      <c r="BW26" s="199" t="s">
        <v>520</v>
      </c>
      <c r="BX26" s="203" t="s">
        <v>49</v>
      </c>
      <c r="BY26" s="199">
        <v>400</v>
      </c>
      <c r="BZ26" s="199" t="s">
        <v>552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537</v>
      </c>
      <c r="AT27" s="176" t="s">
        <v>58</v>
      </c>
      <c r="AU27">
        <v>0</v>
      </c>
      <c r="AV27" t="s">
        <v>549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539</v>
      </c>
      <c r="BM27" t="s">
        <v>550</v>
      </c>
      <c r="BN27" t="s">
        <v>551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554</v>
      </c>
      <c r="BS27" s="199" t="s">
        <v>555</v>
      </c>
      <c r="BT27" s="199">
        <v>10101</v>
      </c>
      <c r="BU27" s="199" t="s">
        <v>556</v>
      </c>
      <c r="BV27" s="200" t="s">
        <v>546</v>
      </c>
      <c r="BW27" s="199" t="s">
        <v>520</v>
      </c>
      <c r="BX27" s="203" t="s">
        <v>49</v>
      </c>
      <c r="BY27" s="199">
        <v>400</v>
      </c>
      <c r="BZ27" s="199" t="s">
        <v>552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1345.73</v>
      </c>
      <c r="AC28" s="184">
        <f>SUM(AC23:AC27)</f>
        <v>8822.0299999999988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7476.3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8822</v>
      </c>
      <c r="AU28">
        <f>AT28-AC28</f>
        <v>-2.9999999998835847E-2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3" t="s">
        <v>194</v>
      </c>
      <c r="H30" s="234"/>
      <c r="I30" s="235">
        <f>H28</f>
        <v>2100</v>
      </c>
      <c r="J30" s="235"/>
      <c r="K30" s="186"/>
      <c r="L30" s="137"/>
      <c r="M30" s="236" t="s">
        <v>195</v>
      </c>
      <c r="N30" s="237"/>
      <c r="O30" s="237"/>
      <c r="P30" s="23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3" t="s">
        <v>196</v>
      </c>
      <c r="H31" s="234"/>
      <c r="I31" s="235">
        <f>R28</f>
        <v>0</v>
      </c>
      <c r="J31" s="23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3" t="s">
        <v>197</v>
      </c>
      <c r="H32" s="234"/>
      <c r="I32" s="235">
        <f>S28</f>
        <v>2100</v>
      </c>
      <c r="J32" s="23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3" t="s">
        <v>198</v>
      </c>
      <c r="H33" s="234"/>
      <c r="I33" s="235">
        <f>AB28</f>
        <v>1345.73</v>
      </c>
      <c r="J33" s="23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3" t="s">
        <v>199</v>
      </c>
      <c r="H34" s="234"/>
      <c r="I34" s="239">
        <f>I32+I33</f>
        <v>3445.73</v>
      </c>
      <c r="J34" s="239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CA42"/>
  <sheetViews>
    <sheetView topLeftCell="AQ19" workbookViewId="0">
      <selection activeCell="F24" sqref="F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2" t="s">
        <v>89</v>
      </c>
      <c r="B21" s="232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532</v>
      </c>
      <c r="BS22" s="197" t="s">
        <v>511</v>
      </c>
      <c r="BT22" s="197" t="s">
        <v>533</v>
      </c>
      <c r="BU22" s="197" t="s">
        <v>534</v>
      </c>
      <c r="BV22" s="197" t="s">
        <v>512</v>
      </c>
      <c r="BW22" s="197" t="s">
        <v>513</v>
      </c>
      <c r="BX22" s="197" t="s">
        <v>514</v>
      </c>
      <c r="BY22" s="197" t="s">
        <v>515</v>
      </c>
      <c r="BZ22" s="197" t="s">
        <v>535</v>
      </c>
      <c r="CA22" s="198" t="s">
        <v>53</v>
      </c>
    </row>
    <row r="23" spans="1:79" ht="15.75" thickBot="1">
      <c r="A23" s="170">
        <v>1</v>
      </c>
      <c r="B23" s="170" t="s">
        <v>480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360</v>
      </c>
      <c r="H23" s="171">
        <f>F23*G23</f>
        <v>1400</v>
      </c>
      <c r="I23">
        <v>2</v>
      </c>
      <c r="J23" s="171">
        <v>1</v>
      </c>
      <c r="K23" s="171">
        <v>1</v>
      </c>
      <c r="L23" s="171">
        <f>H23</f>
        <v>1400</v>
      </c>
      <c r="M23" s="171">
        <f>ROUND(L23*I23%,2)</f>
        <v>28</v>
      </c>
      <c r="N23" s="171">
        <f>H23-M23</f>
        <v>1372</v>
      </c>
      <c r="O23" s="171">
        <f>ROUND(N23*J23%,2)</f>
        <v>13.72</v>
      </c>
      <c r="P23" s="171">
        <f>ROUND(N23-O23,2)</f>
        <v>1358.28</v>
      </c>
      <c r="Q23" s="171">
        <f>ROUND(P23*K23%,2)</f>
        <v>13.58</v>
      </c>
      <c r="R23" s="171">
        <f>ROUND((M23+O23+Q23),2)</f>
        <v>55.3</v>
      </c>
      <c r="S23" s="171">
        <f>ROUND((H23-R23),2)</f>
        <v>1344.7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242.05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242.05</v>
      </c>
      <c r="AC23" s="170">
        <f>IF($V21=1,S23+AB23,S23)</f>
        <v>1586.75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1344.7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672.35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672.35</v>
      </c>
      <c r="AS23" s="176" t="s">
        <v>537</v>
      </c>
      <c r="AT23" s="176" t="s">
        <v>58</v>
      </c>
      <c r="AU23" t="s">
        <v>239</v>
      </c>
      <c r="AV23" t="s">
        <v>549</v>
      </c>
      <c r="AW23" s="176">
        <f>AM23</f>
        <v>2</v>
      </c>
      <c r="AX23" s="176">
        <f>AR23</f>
        <v>672.35</v>
      </c>
      <c r="AY23" s="176">
        <f>AU23+AW23</f>
        <v>2</v>
      </c>
      <c r="AZ23" s="176">
        <f>ROUND(((AU23*AV23)+(AW23*AX23))/(AU23+AW23),5)</f>
        <v>672.35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550</v>
      </c>
      <c r="BN23" t="s">
        <v>551</v>
      </c>
      <c r="BO23" s="176">
        <f>ROUND((((AW23*AZ23)+(BN23*BM23))/(AW23+BN23)),5)</f>
        <v>474.65649000000002</v>
      </c>
      <c r="BP23" s="87">
        <f>BN23+AW23</f>
        <v>187</v>
      </c>
      <c r="BQ23" s="88">
        <v>88363222</v>
      </c>
      <c r="BR23" s="199" t="s">
        <v>544</v>
      </c>
      <c r="BS23" s="199" t="s">
        <v>518</v>
      </c>
      <c r="BT23" s="199">
        <v>10100</v>
      </c>
      <c r="BU23" s="199" t="s">
        <v>545</v>
      </c>
      <c r="BV23" s="200" t="s">
        <v>546</v>
      </c>
      <c r="BW23" s="199" t="s">
        <v>520</v>
      </c>
      <c r="BX23" s="201" t="s">
        <v>547</v>
      </c>
      <c r="BY23" s="199">
        <v>450</v>
      </c>
      <c r="BZ23" s="199" t="s">
        <v>552</v>
      </c>
      <c r="CA23" s="202">
        <v>60</v>
      </c>
    </row>
    <row r="24" spans="1:79" ht="15.75" thickBot="1">
      <c r="A24" s="170">
        <v>1</v>
      </c>
      <c r="B24" s="170" t="s">
        <v>480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700</v>
      </c>
      <c r="I24">
        <v>0</v>
      </c>
      <c r="J24" s="171">
        <v>0</v>
      </c>
      <c r="K24" s="171">
        <v>0</v>
      </c>
      <c r="L24" s="171">
        <f>H24</f>
        <v>700</v>
      </c>
      <c r="M24" s="171">
        <f>ROUND(L24*I24%,2)</f>
        <v>0</v>
      </c>
      <c r="N24" s="171">
        <f>H24-M24</f>
        <v>700</v>
      </c>
      <c r="O24" s="171">
        <f>ROUND(N24*J24%,2)</f>
        <v>0</v>
      </c>
      <c r="P24" s="171">
        <f>ROUND(N24-O24,2)</f>
        <v>700</v>
      </c>
      <c r="Q24" s="171">
        <f>ROUND(P24*K24%,2)</f>
        <v>0</v>
      </c>
      <c r="R24" s="171">
        <f>ROUND((M24+O24+Q24),2)</f>
        <v>0</v>
      </c>
      <c r="S24" s="171">
        <f>ROUND((H24-R24),2)</f>
        <v>700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126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126</v>
      </c>
      <c r="AC24" s="170">
        <f>IF($V21=1,S24+AB24,S24)</f>
        <v>826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700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700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700</v>
      </c>
      <c r="AS24" s="176" t="s">
        <v>537</v>
      </c>
      <c r="AT24" s="176" t="s">
        <v>58</v>
      </c>
      <c r="AU24" t="s">
        <v>239</v>
      </c>
      <c r="AV24" t="s">
        <v>549</v>
      </c>
      <c r="AW24" s="176">
        <f>AM24</f>
        <v>1</v>
      </c>
      <c r="AX24" s="176">
        <f>AR24</f>
        <v>700</v>
      </c>
      <c r="AY24" s="176">
        <f>AU24+AW24</f>
        <v>1</v>
      </c>
      <c r="AZ24" s="176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539</v>
      </c>
      <c r="BM24" t="s">
        <v>550</v>
      </c>
      <c r="BN24" t="s">
        <v>551</v>
      </c>
      <c r="BO24" s="176">
        <f>ROUND((((AW24*AZ24)+(BN24*BM24))/(AW24+BN24)),5)</f>
        <v>473.74227000000002</v>
      </c>
      <c r="BP24" s="87">
        <f>BN24+AW24</f>
        <v>186</v>
      </c>
      <c r="BQ24" s="88">
        <v>88363222</v>
      </c>
      <c r="BR24" s="199" t="s">
        <v>544</v>
      </c>
      <c r="BS24" s="199" t="s">
        <v>518</v>
      </c>
      <c r="BT24" s="199">
        <v>10100</v>
      </c>
      <c r="BU24" s="199" t="s">
        <v>545</v>
      </c>
      <c r="BV24" s="200" t="s">
        <v>546</v>
      </c>
      <c r="BW24" s="199" t="s">
        <v>520</v>
      </c>
      <c r="BX24" s="201" t="s">
        <v>547</v>
      </c>
      <c r="BY24" s="199">
        <v>800</v>
      </c>
      <c r="BZ24" s="199" t="s">
        <v>552</v>
      </c>
      <c r="CA24" s="202">
        <v>70</v>
      </c>
    </row>
    <row r="25" spans="1:79" ht="15.75" thickBot="1">
      <c r="A25" s="170">
        <v>1</v>
      </c>
      <c r="B25" s="170" t="s">
        <v>553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537</v>
      </c>
      <c r="AT25" s="176" t="s">
        <v>58</v>
      </c>
      <c r="AU25" t="s">
        <v>239</v>
      </c>
      <c r="AV25" t="s">
        <v>549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539</v>
      </c>
      <c r="BM25" t="s">
        <v>550</v>
      </c>
      <c r="BN25" t="s">
        <v>551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554</v>
      </c>
      <c r="BS25" s="199" t="s">
        <v>555</v>
      </c>
      <c r="BT25" s="199">
        <v>10101</v>
      </c>
      <c r="BU25" s="199" t="s">
        <v>556</v>
      </c>
      <c r="BV25" s="200" t="s">
        <v>546</v>
      </c>
      <c r="BW25" s="199" t="s">
        <v>520</v>
      </c>
      <c r="BX25" s="203" t="s">
        <v>49</v>
      </c>
      <c r="BY25" s="199">
        <v>400</v>
      </c>
      <c r="BZ25" s="199" t="s">
        <v>552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537</v>
      </c>
      <c r="AT26" s="176" t="s">
        <v>58</v>
      </c>
      <c r="AU26" t="s">
        <v>239</v>
      </c>
      <c r="AV26" t="s">
        <v>549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539</v>
      </c>
      <c r="BM26" t="s">
        <v>550</v>
      </c>
      <c r="BN26" t="s">
        <v>551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554</v>
      </c>
      <c r="BS26" s="199" t="s">
        <v>555</v>
      </c>
      <c r="BT26" s="199">
        <v>10101</v>
      </c>
      <c r="BU26" s="199" t="s">
        <v>556</v>
      </c>
      <c r="BV26" s="200" t="s">
        <v>546</v>
      </c>
      <c r="BW26" s="199" t="s">
        <v>520</v>
      </c>
      <c r="BX26" s="203" t="s">
        <v>49</v>
      </c>
      <c r="BY26" s="199">
        <v>400</v>
      </c>
      <c r="BZ26" s="199" t="s">
        <v>552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537</v>
      </c>
      <c r="AT27" s="176" t="s">
        <v>58</v>
      </c>
      <c r="AU27">
        <v>0</v>
      </c>
      <c r="AV27" t="s">
        <v>549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539</v>
      </c>
      <c r="BM27" t="s">
        <v>550</v>
      </c>
      <c r="BN27" t="s">
        <v>551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554</v>
      </c>
      <c r="BS27" s="199" t="s">
        <v>555</v>
      </c>
      <c r="BT27" s="199">
        <v>10101</v>
      </c>
      <c r="BU27" s="199" t="s">
        <v>556</v>
      </c>
      <c r="BV27" s="200" t="s">
        <v>546</v>
      </c>
      <c r="BW27" s="199" t="s">
        <v>520</v>
      </c>
      <c r="BX27" s="203" t="s">
        <v>49</v>
      </c>
      <c r="BY27" s="199">
        <v>400</v>
      </c>
      <c r="BZ27" s="199" t="s">
        <v>552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1502.05</v>
      </c>
      <c r="AC28" s="184">
        <f>SUM(AC23:AC27)</f>
        <v>9846.75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8344.7000000000007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9847</v>
      </c>
      <c r="AU28">
        <f>AT28-AC28</f>
        <v>0.25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3" t="s">
        <v>194</v>
      </c>
      <c r="H30" s="234"/>
      <c r="I30" s="235">
        <f>H28</f>
        <v>2100</v>
      </c>
      <c r="J30" s="235"/>
      <c r="K30" s="186"/>
      <c r="L30" s="137"/>
      <c r="M30" s="236" t="s">
        <v>195</v>
      </c>
      <c r="N30" s="237"/>
      <c r="O30" s="237"/>
      <c r="P30" s="23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3" t="s">
        <v>196</v>
      </c>
      <c r="H31" s="234"/>
      <c r="I31" s="235">
        <f>R28</f>
        <v>0</v>
      </c>
      <c r="J31" s="23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3" t="s">
        <v>197</v>
      </c>
      <c r="H32" s="234"/>
      <c r="I32" s="235">
        <f>S28</f>
        <v>2100</v>
      </c>
      <c r="J32" s="23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3" t="s">
        <v>198</v>
      </c>
      <c r="H33" s="234"/>
      <c r="I33" s="235">
        <f>AB28</f>
        <v>1502.05</v>
      </c>
      <c r="J33" s="23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3" t="s">
        <v>199</v>
      </c>
      <c r="H34" s="234"/>
      <c r="I34" s="239">
        <f>I32+I33</f>
        <v>3602.05</v>
      </c>
      <c r="J34" s="239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2" t="s">
        <v>89</v>
      </c>
      <c r="B21" s="232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532</v>
      </c>
      <c r="BS22" s="197" t="s">
        <v>511</v>
      </c>
      <c r="BT22" s="197" t="s">
        <v>533</v>
      </c>
      <c r="BU22" s="197" t="s">
        <v>534</v>
      </c>
      <c r="BV22" s="197" t="s">
        <v>512</v>
      </c>
      <c r="BW22" s="197" t="s">
        <v>513</v>
      </c>
      <c r="BX22" s="197" t="s">
        <v>514</v>
      </c>
      <c r="BY22" s="197" t="s">
        <v>515</v>
      </c>
      <c r="BZ22" s="197" t="s">
        <v>535</v>
      </c>
      <c r="CA22" s="198" t="s">
        <v>53</v>
      </c>
    </row>
    <row r="23" spans="1:79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528</v>
      </c>
      <c r="H23" s="171">
        <f>F23*G23</f>
        <v>1500</v>
      </c>
      <c r="I23">
        <v>1</v>
      </c>
      <c r="J23" s="171">
        <v>1</v>
      </c>
      <c r="K23" s="171">
        <v>1</v>
      </c>
      <c r="L23" s="171">
        <f>H23</f>
        <v>1500</v>
      </c>
      <c r="M23" s="171">
        <f>ROUND(L23*I23%,2)</f>
        <v>15</v>
      </c>
      <c r="N23" s="171">
        <f>H23-M23</f>
        <v>1485</v>
      </c>
      <c r="O23" s="171">
        <f>ROUND(N23*J23%,2)</f>
        <v>14.85</v>
      </c>
      <c r="P23" s="171">
        <f>ROUND(N23-O23,2)</f>
        <v>1470.15</v>
      </c>
      <c r="Q23" s="171">
        <f>ROUND(P23*K23%,2)</f>
        <v>14.7</v>
      </c>
      <c r="R23" s="171">
        <f>ROUND((M23+O23+Q23),2)</f>
        <v>44.55</v>
      </c>
      <c r="S23" s="171">
        <f>ROUND((H23-R23),2)</f>
        <v>1455.45</v>
      </c>
      <c r="T23" s="172" t="s">
        <v>146</v>
      </c>
      <c r="U23" s="173">
        <v>0.18</v>
      </c>
      <c r="V23" s="171">
        <f>IF(OR($C$21=1,$C$21=4),ROUND(((S23*U23)/2),2),0)</f>
        <v>130.99</v>
      </c>
      <c r="W23" s="171">
        <f>IF($C$21=1,ROUND(((S23*U23)/2),2),0)</f>
        <v>130.99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261.98</v>
      </c>
      <c r="AC23" s="170">
        <f>IF($V21=1,S23+AB23,S23)</f>
        <v>1717.43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1455.45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1455.45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1455.45</v>
      </c>
      <c r="AS23" s="176" t="s">
        <v>537</v>
      </c>
      <c r="AT23" s="176" t="s">
        <v>58</v>
      </c>
      <c r="AU23" t="s">
        <v>239</v>
      </c>
      <c r="AV23" t="s">
        <v>549</v>
      </c>
      <c r="AW23" s="176">
        <f>AM23</f>
        <v>1</v>
      </c>
      <c r="AX23" s="176">
        <f>AR23</f>
        <v>1455.45</v>
      </c>
      <c r="AY23" s="176">
        <f>AU23+AW23</f>
        <v>1</v>
      </c>
      <c r="AZ23" s="176">
        <f>ROUND(((AU23*AV23)+(AW23*AX23))/(AU23+AW23),5)</f>
        <v>1455.45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550</v>
      </c>
      <c r="BN23" t="s">
        <v>551</v>
      </c>
      <c r="BO23" s="176">
        <f>ROUND((((AW23*AZ23)+(BN23*BM23))/(AW23+BN23)),5)</f>
        <v>477.80383</v>
      </c>
      <c r="BP23" s="87">
        <f>BN23+AW23</f>
        <v>186</v>
      </c>
      <c r="BQ23" s="88">
        <v>88363222</v>
      </c>
      <c r="BR23" s="199" t="s">
        <v>544</v>
      </c>
      <c r="BS23" s="199" t="s">
        <v>518</v>
      </c>
      <c r="BT23" s="199">
        <v>10100</v>
      </c>
      <c r="BU23" s="199" t="s">
        <v>545</v>
      </c>
      <c r="BV23" s="200" t="s">
        <v>546</v>
      </c>
      <c r="BW23" s="199" t="s">
        <v>520</v>
      </c>
      <c r="BX23" s="201" t="s">
        <v>547</v>
      </c>
      <c r="BY23" s="199">
        <v>450</v>
      </c>
      <c r="BZ23" s="199" t="s">
        <v>552</v>
      </c>
      <c r="CA23" s="202">
        <v>60</v>
      </c>
    </row>
    <row r="24" spans="1:79" ht="15.75" thickBot="1">
      <c r="A24" s="170">
        <v>1</v>
      </c>
      <c r="B24" s="170" t="s">
        <v>536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528</v>
      </c>
      <c r="H24" s="171">
        <f>F24*G24</f>
        <v>1500</v>
      </c>
      <c r="I24">
        <v>0</v>
      </c>
      <c r="J24" s="171">
        <v>0</v>
      </c>
      <c r="K24" s="171">
        <v>0</v>
      </c>
      <c r="L24" s="171">
        <f>H24</f>
        <v>1500</v>
      </c>
      <c r="M24" s="171">
        <f>ROUND(L24*I24%,2)</f>
        <v>0</v>
      </c>
      <c r="N24" s="171">
        <f>H24-M24</f>
        <v>1500</v>
      </c>
      <c r="O24" s="171">
        <f>ROUND(N24*J24%,2)</f>
        <v>0</v>
      </c>
      <c r="P24" s="171">
        <f>ROUND(N24-O24,2)</f>
        <v>1500</v>
      </c>
      <c r="Q24" s="171">
        <f>ROUND(P24*K24%,2)</f>
        <v>0</v>
      </c>
      <c r="R24" s="171">
        <f>ROUND((M24+O24+Q24),2)</f>
        <v>0</v>
      </c>
      <c r="S24" s="171">
        <f>ROUND((H24-R24),2)</f>
        <v>1500</v>
      </c>
      <c r="T24" s="172" t="s">
        <v>146</v>
      </c>
      <c r="U24" s="173">
        <v>0.18</v>
      </c>
      <c r="V24" s="171">
        <f>IF(OR($C$21=1,$C$21=4),ROUND(((S24*U24)/2),2),0)</f>
        <v>135</v>
      </c>
      <c r="W24" s="171">
        <f>IF($C$21=1,ROUND(((S24*U24)/2),2),0)</f>
        <v>135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270</v>
      </c>
      <c r="AC24" s="170">
        <f>IF($V21=1,S24+AB24,S24)</f>
        <v>1770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1500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1500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1500</v>
      </c>
      <c r="AS24" s="176" t="s">
        <v>537</v>
      </c>
      <c r="AT24" s="176" t="s">
        <v>58</v>
      </c>
      <c r="AU24" t="s">
        <v>239</v>
      </c>
      <c r="AV24" t="s">
        <v>549</v>
      </c>
      <c r="AW24" s="176">
        <f>AM24</f>
        <v>1</v>
      </c>
      <c r="AX24" s="176">
        <f>AR24</f>
        <v>1500</v>
      </c>
      <c r="AY24" s="176">
        <f>AU24+AW24</f>
        <v>1</v>
      </c>
      <c r="AZ24" s="176">
        <f>ROUND(((AU24*AV24)+(AW24*AX24))/(AU24+AW24),5)</f>
        <v>1500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539</v>
      </c>
      <c r="BM24" t="s">
        <v>550</v>
      </c>
      <c r="BN24" t="s">
        <v>551</v>
      </c>
      <c r="BO24" s="176">
        <f>ROUND((((AW24*AZ24)+(BN24*BM24))/(AW24+BN24)),5)</f>
        <v>478.04334999999998</v>
      </c>
      <c r="BP24" s="87">
        <f>BN24+AW24</f>
        <v>186</v>
      </c>
      <c r="BQ24" s="88">
        <v>88363222</v>
      </c>
      <c r="BR24" s="199" t="s">
        <v>544</v>
      </c>
      <c r="BS24" s="199" t="s">
        <v>518</v>
      </c>
      <c r="BT24" s="199">
        <v>10100</v>
      </c>
      <c r="BU24" s="199" t="s">
        <v>545</v>
      </c>
      <c r="BV24" s="200" t="s">
        <v>546</v>
      </c>
      <c r="BW24" s="199" t="s">
        <v>520</v>
      </c>
      <c r="BX24" s="201" t="s">
        <v>547</v>
      </c>
      <c r="BY24" s="199">
        <v>800</v>
      </c>
      <c r="BZ24" s="199" t="s">
        <v>552</v>
      </c>
      <c r="CA24" s="202">
        <v>70</v>
      </c>
    </row>
    <row r="25" spans="1:79" ht="15.75" thickBot="1">
      <c r="A25" s="170">
        <v>1</v>
      </c>
      <c r="B25" s="170" t="s">
        <v>553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537</v>
      </c>
      <c r="AT25" s="176" t="s">
        <v>58</v>
      </c>
      <c r="AU25" t="s">
        <v>239</v>
      </c>
      <c r="AV25" t="s">
        <v>549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539</v>
      </c>
      <c r="BM25" t="s">
        <v>550</v>
      </c>
      <c r="BN25" t="s">
        <v>551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554</v>
      </c>
      <c r="BS25" s="199" t="s">
        <v>555</v>
      </c>
      <c r="BT25" s="199">
        <v>10101</v>
      </c>
      <c r="BU25" s="199" t="s">
        <v>556</v>
      </c>
      <c r="BV25" s="200" t="s">
        <v>546</v>
      </c>
      <c r="BW25" s="199" t="s">
        <v>520</v>
      </c>
      <c r="BX25" s="203" t="s">
        <v>49</v>
      </c>
      <c r="BY25" s="199">
        <v>400</v>
      </c>
      <c r="BZ25" s="199" t="s">
        <v>552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537</v>
      </c>
      <c r="AT26" s="176" t="s">
        <v>58</v>
      </c>
      <c r="AU26" t="s">
        <v>239</v>
      </c>
      <c r="AV26" t="s">
        <v>549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539</v>
      </c>
      <c r="BM26" t="s">
        <v>550</v>
      </c>
      <c r="BN26" t="s">
        <v>551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554</v>
      </c>
      <c r="BS26" s="199" t="s">
        <v>555</v>
      </c>
      <c r="BT26" s="199">
        <v>10101</v>
      </c>
      <c r="BU26" s="199" t="s">
        <v>556</v>
      </c>
      <c r="BV26" s="200" t="s">
        <v>546</v>
      </c>
      <c r="BW26" s="199" t="s">
        <v>520</v>
      </c>
      <c r="BX26" s="203" t="s">
        <v>49</v>
      </c>
      <c r="BY26" s="199">
        <v>400</v>
      </c>
      <c r="BZ26" s="199" t="s">
        <v>552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537</v>
      </c>
      <c r="AT27" s="176" t="s">
        <v>58</v>
      </c>
      <c r="AU27">
        <v>0</v>
      </c>
      <c r="AV27" t="s">
        <v>549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539</v>
      </c>
      <c r="BM27" t="s">
        <v>550</v>
      </c>
      <c r="BN27" t="s">
        <v>551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554</v>
      </c>
      <c r="BS27" s="199" t="s">
        <v>555</v>
      </c>
      <c r="BT27" s="199">
        <v>10101</v>
      </c>
      <c r="BU27" s="199" t="s">
        <v>556</v>
      </c>
      <c r="BV27" s="200" t="s">
        <v>546</v>
      </c>
      <c r="BW27" s="199" t="s">
        <v>520</v>
      </c>
      <c r="BX27" s="203" t="s">
        <v>49</v>
      </c>
      <c r="BY27" s="199">
        <v>400</v>
      </c>
      <c r="BZ27" s="199" t="s">
        <v>552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1665.98</v>
      </c>
      <c r="AC28" s="184">
        <f>SUM(AC23:AC27)</f>
        <v>10921.43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10921</v>
      </c>
      <c r="AU28">
        <f>AT28-AC28</f>
        <v>-0.43000000000029104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3" t="s">
        <v>194</v>
      </c>
      <c r="H30" s="234"/>
      <c r="I30" s="235">
        <f>H28</f>
        <v>2100</v>
      </c>
      <c r="J30" s="235"/>
      <c r="K30" s="186"/>
      <c r="L30" s="137"/>
      <c r="M30" s="236" t="s">
        <v>195</v>
      </c>
      <c r="N30" s="237"/>
      <c r="O30" s="237"/>
      <c r="P30" s="238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3" t="s">
        <v>196</v>
      </c>
      <c r="H31" s="234"/>
      <c r="I31" s="235">
        <f>R28</f>
        <v>0</v>
      </c>
      <c r="J31" s="23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3" t="s">
        <v>197</v>
      </c>
      <c r="H32" s="234"/>
      <c r="I32" s="235">
        <f>S28</f>
        <v>2100</v>
      </c>
      <c r="J32" s="23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3" t="s">
        <v>198</v>
      </c>
      <c r="H33" s="234"/>
      <c r="I33" s="235">
        <f>AB28</f>
        <v>1665.98</v>
      </c>
      <c r="J33" s="23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3" t="s">
        <v>199</v>
      </c>
      <c r="H34" s="234"/>
      <c r="I34" s="239">
        <f>I32+I33</f>
        <v>3765.98</v>
      </c>
      <c r="J34" s="239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2" t="s">
        <v>89</v>
      </c>
      <c r="B21" s="232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480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360</v>
      </c>
      <c r="H23" s="171">
        <f>F23*G23</f>
        <v>1200</v>
      </c>
      <c r="I23" t="s">
        <v>223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309</v>
      </c>
      <c r="AT23" s="176" t="s">
        <v>58</v>
      </c>
      <c r="AU23" t="s">
        <v>239</v>
      </c>
      <c r="AV23" t="s">
        <v>557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364</v>
      </c>
      <c r="BM23" t="s">
        <v>572</v>
      </c>
      <c r="BN23" t="s">
        <v>571</v>
      </c>
      <c r="BO23" s="176">
        <f>ROUND((((AW23*AZ23)+(BN23*BM23))/(AW23+BN23)),5)</f>
        <v>571.52639999999997</v>
      </c>
      <c r="BP23" s="87">
        <f>BN23+AW23</f>
        <v>50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1200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47.4</v>
      </c>
      <c r="S24" s="181">
        <f>SUM(S23)</f>
        <v>1152.5999999999999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207.47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207.47</v>
      </c>
      <c r="AC24" s="184">
        <f t="shared" si="1"/>
        <v>1360.07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1152.5999999999999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1200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47.4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1152.5999999999999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207.47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1360.07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BQ38"/>
  <sheetViews>
    <sheetView topLeftCell="A10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2" t="s">
        <v>89</v>
      </c>
      <c r="B21" s="232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480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 t="s">
        <v>223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103.73</v>
      </c>
      <c r="AC23" s="170">
        <f>IF($V20=1,S23+AB23,S23)</f>
        <v>576.29999999999995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309</v>
      </c>
      <c r="AT23" s="176" t="s">
        <v>58</v>
      </c>
      <c r="AU23" t="s">
        <v>239</v>
      </c>
      <c r="AV23" t="s">
        <v>557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364</v>
      </c>
      <c r="BM23" t="s">
        <v>574</v>
      </c>
      <c r="BN23" t="s">
        <v>573</v>
      </c>
      <c r="BO23" s="176">
        <f>ROUND((((AW23*AZ23)+(BN23*BM23))/(AW23+BN23)),5)</f>
        <v>571.60799999999995</v>
      </c>
      <c r="BP23" s="87">
        <f>BN23+AW23</f>
        <v>130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23.7</v>
      </c>
      <c r="S24" s="181">
        <f>SUM(S23)</f>
        <v>576.29999999999995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103.73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103.73</v>
      </c>
      <c r="AC24" s="184">
        <f t="shared" si="1"/>
        <v>576.29999999999995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576.29999999999995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600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23.7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576.29999999999995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103.73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680.03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2" t="s">
        <v>89</v>
      </c>
      <c r="B21" s="232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570</v>
      </c>
      <c r="H23" s="171">
        <f>F23*G23</f>
        <v>4100</v>
      </c>
      <c r="I23">
        <v>1</v>
      </c>
      <c r="J23" s="171">
        <v>1</v>
      </c>
      <c r="K23" s="171">
        <v>1</v>
      </c>
      <c r="L23" s="171">
        <f>H23</f>
        <v>4100</v>
      </c>
      <c r="M23" s="171">
        <f>ROUND(L23*I23%,2)</f>
        <v>41</v>
      </c>
      <c r="N23" s="171">
        <f>H23-M23</f>
        <v>4059</v>
      </c>
      <c r="O23" s="171">
        <f>ROUND(N23*J23%,2)</f>
        <v>40.590000000000003</v>
      </c>
      <c r="P23" s="171">
        <f>ROUND(N23-O23,2)</f>
        <v>4018.41</v>
      </c>
      <c r="Q23" s="171">
        <f>ROUND(P23*K23%,2)</f>
        <v>40.18</v>
      </c>
      <c r="R23" s="171">
        <f>ROUND((M23+O23+Q23),2)</f>
        <v>121.77</v>
      </c>
      <c r="S23" s="171">
        <f>ROUND((H23-R23),2)</f>
        <v>3978.23</v>
      </c>
      <c r="T23" s="172" t="s">
        <v>146</v>
      </c>
      <c r="U23" s="173">
        <v>0.18</v>
      </c>
      <c r="V23" s="171">
        <f>IF(OR($C$21=1,$C$21=4),ROUND(((S23*U23)/2),2),0)</f>
        <v>358.04</v>
      </c>
      <c r="W23" s="171">
        <f>IF($C$21=1,ROUND(((S23*U23)/2),2),0)</f>
        <v>358.04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716.08</v>
      </c>
      <c r="AC23" s="170">
        <f>IF($V21=1,S23+AB23,S23)</f>
        <v>4694.3100000000004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3978.23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3978.23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3978.23</v>
      </c>
      <c r="AS23" s="176" t="s">
        <v>537</v>
      </c>
      <c r="AT23" s="176" t="s">
        <v>58</v>
      </c>
      <c r="AU23" t="s">
        <v>239</v>
      </c>
      <c r="AV23" t="s">
        <v>567</v>
      </c>
      <c r="AW23" s="176">
        <f>AM23</f>
        <v>1</v>
      </c>
      <c r="AX23" s="176">
        <f>AR23</f>
        <v>3978.23</v>
      </c>
      <c r="AY23" s="176">
        <f>AU23+AW23</f>
        <v>1</v>
      </c>
      <c r="AZ23" s="176">
        <f>ROUND(((AU23*AV23)+(AW23*AX23))/(AU23+AW23),5)</f>
        <v>3978.23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569</v>
      </c>
      <c r="BN23" t="s">
        <v>568</v>
      </c>
      <c r="BO23" s="176">
        <f>ROUND((((AW23*AZ23)+(BN23*BM23))/(AW23+BN23)),5)</f>
        <v>1242.0934099999999</v>
      </c>
      <c r="BP23" s="87">
        <f>BN23+AW23</f>
        <v>282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4100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121.77</v>
      </c>
      <c r="S24" s="181">
        <f>SUM(S23)</f>
        <v>3978.23</v>
      </c>
      <c r="T24" s="181"/>
      <c r="U24" s="181"/>
      <c r="V24" s="182">
        <f t="shared" ref="V24:AE24" si="1">SUM(V23)</f>
        <v>358.04</v>
      </c>
      <c r="W24" s="182">
        <f t="shared" si="1"/>
        <v>358.04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716.08</v>
      </c>
      <c r="AC24" s="184">
        <f t="shared" si="1"/>
        <v>4694.3100000000004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3978.23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4694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4100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121.77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3978.23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716.08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4694.3100000000004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BQ38"/>
  <sheetViews>
    <sheetView topLeftCell="N13" workbookViewId="0">
      <selection activeCell="U28" sqref="U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2" t="s">
        <v>89</v>
      </c>
      <c r="B21" s="232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566</v>
      </c>
      <c r="H23" s="171">
        <f>F23*G23</f>
        <v>4100</v>
      </c>
      <c r="I23">
        <v>1</v>
      </c>
      <c r="J23" s="171">
        <v>1</v>
      </c>
      <c r="K23" s="171">
        <v>1</v>
      </c>
      <c r="L23" s="171">
        <f>H23</f>
        <v>4100</v>
      </c>
      <c r="M23" s="171">
        <f>ROUND(L23*I23%,2)</f>
        <v>41</v>
      </c>
      <c r="N23" s="171">
        <f>H23-M23</f>
        <v>4059</v>
      </c>
      <c r="O23" s="171">
        <f>ROUND(N23*J23%,2)</f>
        <v>40.590000000000003</v>
      </c>
      <c r="P23" s="171">
        <f>ROUND(N23-O23,2)</f>
        <v>4018.41</v>
      </c>
      <c r="Q23" s="171">
        <f>ROUND(P23*K23%,2)</f>
        <v>40.18</v>
      </c>
      <c r="R23" s="171">
        <f>ROUND((M23+O23+Q23),2)</f>
        <v>121.77</v>
      </c>
      <c r="S23" s="171">
        <f>ROUND((H23-R23),2)</f>
        <v>3978.23</v>
      </c>
      <c r="T23" s="172" t="s">
        <v>146</v>
      </c>
      <c r="U23" s="173">
        <v>0.18</v>
      </c>
      <c r="V23" s="171">
        <f>IF(OR($C$21=1,$C$21=4),ROUND(((S23*U23)/2),2),0)</f>
        <v>358.04</v>
      </c>
      <c r="W23" s="171">
        <f>IF($C$21=1,ROUND(((S23*U23)/2),2),0)</f>
        <v>358.04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716.08</v>
      </c>
      <c r="AC23" s="170">
        <f>IF($V21=1,S23+AB23,S23)</f>
        <v>4694.3100000000004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3978.23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3978.23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3978.23</v>
      </c>
      <c r="AS23" s="176" t="s">
        <v>537</v>
      </c>
      <c r="AT23" s="176" t="s">
        <v>58</v>
      </c>
      <c r="AU23" t="s">
        <v>239</v>
      </c>
      <c r="AV23" t="s">
        <v>563</v>
      </c>
      <c r="AW23" s="176">
        <f>AM23</f>
        <v>1</v>
      </c>
      <c r="AX23" s="176">
        <f>AR23</f>
        <v>3978.23</v>
      </c>
      <c r="AY23" s="176">
        <f>AU23+AW23</f>
        <v>1</v>
      </c>
      <c r="AZ23" s="176">
        <f>ROUND(((AU23*AV23)+(AW23*AX23))/(AU23+AW23),5)</f>
        <v>3978.23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565</v>
      </c>
      <c r="BN23" t="s">
        <v>564</v>
      </c>
      <c r="BO23" s="176">
        <f>ROUND((((AW23*AZ23)+(BN23*BM23))/(AW23+BN23)),5)</f>
        <v>1242.0934099999999</v>
      </c>
      <c r="BP23" s="87">
        <f>BN23+AW23</f>
        <v>282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4100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121.77</v>
      </c>
      <c r="S24" s="181">
        <f>SUM(S23)</f>
        <v>3978.23</v>
      </c>
      <c r="T24" s="181"/>
      <c r="U24" s="181"/>
      <c r="V24" s="182">
        <f t="shared" ref="V24:AE24" si="1">SUM(V23)</f>
        <v>358.04</v>
      </c>
      <c r="W24" s="182">
        <f t="shared" si="1"/>
        <v>358.04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716.08</v>
      </c>
      <c r="AC24" s="184">
        <f t="shared" si="1"/>
        <v>4694.3100000000004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3978.23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4694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4100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121.77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3978.23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716.08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4694.3100000000004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A38"/>
  <sheetViews>
    <sheetView topLeftCell="AJ13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230" t="s">
        <v>154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1" t="s">
        <v>87</v>
      </c>
      <c r="C19" s="231"/>
      <c r="D19" s="231"/>
      <c r="E19" s="231"/>
      <c r="F19" s="231"/>
      <c r="G19" s="231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2" t="s">
        <v>89</v>
      </c>
      <c r="B21" s="232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532</v>
      </c>
      <c r="BS22" s="197" t="s">
        <v>511</v>
      </c>
      <c r="BT22" s="197" t="s">
        <v>533</v>
      </c>
      <c r="BU22" s="197" t="s">
        <v>534</v>
      </c>
      <c r="BV22" s="197" t="s">
        <v>512</v>
      </c>
      <c r="BW22" s="197" t="s">
        <v>513</v>
      </c>
      <c r="BX22" s="197" t="s">
        <v>514</v>
      </c>
      <c r="BY22" s="197" t="s">
        <v>515</v>
      </c>
      <c r="BZ22" s="197" t="s">
        <v>535</v>
      </c>
      <c r="CA22" s="198" t="s">
        <v>53</v>
      </c>
    </row>
    <row r="23" spans="1:79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12</v>
      </c>
      <c r="G23">
        <f>[1]StocktransferLC!G23+500</f>
        <v>3800</v>
      </c>
      <c r="H23" s="171">
        <f>F23*G23</f>
        <v>45600</v>
      </c>
      <c r="I23" t="s">
        <v>263</v>
      </c>
      <c r="J23" s="171">
        <v>2</v>
      </c>
      <c r="K23" s="171">
        <v>2.5</v>
      </c>
      <c r="L23" s="171">
        <f>H23</f>
        <v>45600</v>
      </c>
      <c r="M23" s="171">
        <f>ROUND(L23*I23%,2)</f>
        <v>1368</v>
      </c>
      <c r="N23" s="171">
        <f>H23-M23</f>
        <v>44232</v>
      </c>
      <c r="O23" s="171">
        <f>ROUND(N23*J23%,2)</f>
        <v>884.64</v>
      </c>
      <c r="P23" s="171">
        <f>ROUND(N23-O23,2)</f>
        <v>43347.360000000001</v>
      </c>
      <c r="Q23" s="171">
        <f>ROUND(P23*K23%,2)</f>
        <v>1083.68</v>
      </c>
      <c r="R23" s="171">
        <f>ROUND((M23+O23+Q23),2)</f>
        <v>3336.32</v>
      </c>
      <c r="S23" s="171">
        <f>ROUND((H23-R23),2)</f>
        <v>42263.68</v>
      </c>
      <c r="T23" s="172" t="s">
        <v>146</v>
      </c>
      <c r="U23" s="173">
        <v>0.18</v>
      </c>
      <c r="V23" s="171">
        <f>IF(OR([1]StocktransferLC!$C$21=1,[1]StocktransferLC!$C$21=4),ROUND(((S23*U23)/2),2),0)</f>
        <v>3803.73</v>
      </c>
      <c r="W23" s="171">
        <f>IF([1]StocktransferLC!$C$21=1,ROUND(((S23*U23)/2),2),0)</f>
        <v>3803.73</v>
      </c>
      <c r="X23" s="171">
        <f>IF([1]StocktransferLC!$C$21=2,ROUND(((S23*U23)),2),0)</f>
        <v>0</v>
      </c>
      <c r="Y23" s="171">
        <f>IF([1]StocktransferLC!$C$21=4,ROUND(((S23*U23)/2),2),0)</f>
        <v>0</v>
      </c>
      <c r="Z23" s="174">
        <v>0</v>
      </c>
      <c r="AA23" s="171">
        <f>IF([1]StocktransferLC!$C20=3, 0, ROUND(S23*Z23, 2))</f>
        <v>0</v>
      </c>
      <c r="AB23" s="170">
        <f>V23+W23+X23+Y23+AA23</f>
        <v>7607.46</v>
      </c>
      <c r="AC23" s="170">
        <f>IF([1]StocktransferLC!$V20=1,S23+AB23,S23)</f>
        <v>42263.68</v>
      </c>
      <c r="AD23" s="172">
        <v>120</v>
      </c>
      <c r="AE23" s="172">
        <f>IF([1]StocktransferLC!$P$21=1,(S23/[1]StocktransferLC!$S$24)*[1]StocktransferLC!$E$35,AD23/[1]StocktransferLC!$AD$24*[1]StocktransferLC!$E$35)</f>
        <v>0</v>
      </c>
      <c r="AF23" s="172"/>
      <c r="AG23" s="172">
        <f>IF([1]StocktransferLC!$P$21=1,(S23/[1]StocktransferLC!$S$24)*[1]StocktransferLC!$E$37,AD23/[1]StocktransferLC!$AD$24*[1]StocktransferLC!$E$37)</f>
        <v>0</v>
      </c>
      <c r="AH23" s="172">
        <f>IF([1]StocktransferLC!$P$21=1,(S23/[1]StocktransferLC!$S$24)*[1]StocktransferLC!$E$38,AD23/[1]StocktransferLC!$AD$24*[1]StocktransferLC!$E$38)</f>
        <v>0</v>
      </c>
      <c r="AI23" s="172">
        <f>S23*[1]StocktransferLC!$M$21</f>
        <v>42263.68</v>
      </c>
      <c r="AJ23" s="172">
        <f>IF([1]StocktransferLC!$C$21=3,0,AG23+AH23)</f>
        <v>0</v>
      </c>
      <c r="AK23" s="172">
        <f>IF([1]StocktransferLC!$C$21=3,AE23+AG23+AH23,0)</f>
        <v>0</v>
      </c>
      <c r="AL23" s="175">
        <v>1</v>
      </c>
      <c r="AM23" s="172">
        <f>F23/AL23</f>
        <v>12</v>
      </c>
      <c r="AN23" s="172">
        <f>ROUND(AI23/AM23,5)</f>
        <v>3521.9733299999998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3521.9733299999998</v>
      </c>
      <c r="AS23" s="176" t="s">
        <v>537</v>
      </c>
      <c r="AT23" s="176" t="s">
        <v>58</v>
      </c>
      <c r="AU23" t="s">
        <v>239</v>
      </c>
      <c r="AV23" t="s">
        <v>542</v>
      </c>
      <c r="AW23" s="176">
        <f>AM23</f>
        <v>12</v>
      </c>
      <c r="AX23" s="176">
        <f>AR23</f>
        <v>3521.9733299999998</v>
      </c>
      <c r="AY23" s="176">
        <f>AU23+AW23</f>
        <v>12</v>
      </c>
      <c r="AZ23" s="176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543</v>
      </c>
      <c r="BN23" t="s">
        <v>469</v>
      </c>
      <c r="BO23" s="176">
        <f>ROUND((((AW23*AZ23)+(BN23*BM23))/(AW23+BN23)),5)</f>
        <v>1796.78808</v>
      </c>
      <c r="BP23" s="87">
        <f>BN23+AW23</f>
        <v>26</v>
      </c>
      <c r="BQ23" s="88">
        <v>88363222</v>
      </c>
      <c r="BR23" s="199" t="s">
        <v>544</v>
      </c>
      <c r="BS23" s="199" t="s">
        <v>518</v>
      </c>
      <c r="BT23" s="199">
        <v>10100</v>
      </c>
      <c r="BU23" s="199" t="s">
        <v>545</v>
      </c>
      <c r="BV23" s="200" t="s">
        <v>546</v>
      </c>
      <c r="BW23" s="199" t="s">
        <v>520</v>
      </c>
      <c r="BX23" s="201" t="s">
        <v>547</v>
      </c>
      <c r="BY23" s="199">
        <v>450</v>
      </c>
      <c r="BZ23" s="199" t="s">
        <v>548</v>
      </c>
      <c r="CA23" s="202">
        <v>60</v>
      </c>
    </row>
    <row r="24" spans="1:7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45600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3336.32</v>
      </c>
      <c r="S24" s="181">
        <f>SUM(S23)</f>
        <v>42263.68</v>
      </c>
      <c r="T24" s="181"/>
      <c r="U24" s="181"/>
      <c r="V24" s="182">
        <f t="shared" ref="V24:AE24" si="1">SUM(V23)</f>
        <v>3803.73</v>
      </c>
      <c r="W24" s="182">
        <f t="shared" si="1"/>
        <v>3803.73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7607.46</v>
      </c>
      <c r="AC24" s="184">
        <f t="shared" si="1"/>
        <v>42263.68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IF([1]StocktransferLC!$P$21=1,(S24/[1]StocktransferLC!$S$24)*[1]StocktransferLC!$E$38,AD24/[1]StocktransferLC!$AD$24*[1]StocktransferLC!$E$38)</f>
        <v>0</v>
      </c>
      <c r="AI24" s="185">
        <f>SUM(AI23)</f>
        <v>42263.68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9"/>
      <c r="BS24" s="199"/>
      <c r="BT24" s="199"/>
      <c r="BU24" s="199"/>
      <c r="BV24" s="200"/>
      <c r="BW24" s="199"/>
      <c r="BX24" s="201"/>
      <c r="BY24" s="199"/>
      <c r="BZ24" s="199"/>
      <c r="CA24" s="202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233" t="s">
        <v>194</v>
      </c>
      <c r="H26" s="234"/>
      <c r="I26" s="235">
        <f>H24</f>
        <v>45600</v>
      </c>
      <c r="J26" s="235"/>
      <c r="K26" s="186"/>
      <c r="L26" s="137"/>
      <c r="M26" s="236" t="s">
        <v>195</v>
      </c>
      <c r="N26" s="237"/>
      <c r="O26" s="237"/>
      <c r="P26" s="238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R26" s="202"/>
      <c r="BS26" s="199"/>
      <c r="BT26" s="199"/>
      <c r="BU26" s="199"/>
      <c r="BV26" s="200"/>
      <c r="BW26" s="199"/>
      <c r="BX26" s="203"/>
      <c r="BY26" s="199"/>
      <c r="BZ26" s="199"/>
      <c r="CA26" s="202"/>
    </row>
    <row r="27" spans="1:79" ht="15.75" thickBot="1">
      <c r="A27" s="137"/>
      <c r="B27" s="137"/>
      <c r="C27" s="137"/>
      <c r="D27" s="137"/>
      <c r="E27" s="137"/>
      <c r="F27" s="137"/>
      <c r="G27" s="233" t="s">
        <v>196</v>
      </c>
      <c r="H27" s="234"/>
      <c r="I27" s="235">
        <f>R24</f>
        <v>3336.32</v>
      </c>
      <c r="J27" s="23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233" t="s">
        <v>197</v>
      </c>
      <c r="H28" s="234"/>
      <c r="I28" s="235">
        <f>S24</f>
        <v>42263.68</v>
      </c>
      <c r="J28" s="23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233" t="s">
        <v>198</v>
      </c>
      <c r="H29" s="234"/>
      <c r="I29" s="235">
        <f>AB24</f>
        <v>7607.46</v>
      </c>
      <c r="J29" s="23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3" t="s">
        <v>199</v>
      </c>
      <c r="H30" s="234"/>
      <c r="I30" s="239">
        <f>I28+I29</f>
        <v>49871.14</v>
      </c>
      <c r="J30" s="239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95</vt:i4>
      </vt:variant>
    </vt:vector>
  </HeadingPairs>
  <TitlesOfParts>
    <vt:vector size="95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</vt:lpstr>
      <vt:lpstr>StocktransferInterstate</vt:lpstr>
      <vt:lpstr>StocktransferISForRCM</vt:lpstr>
      <vt:lpstr>StocktransferLCRCM</vt:lpstr>
      <vt:lpstr>StocktransferLC</vt:lpstr>
      <vt:lpstr>StocktransferAddItemWithEx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Durairaj.K</cp:lastModifiedBy>
  <dcterms:created xsi:type="dcterms:W3CDTF">2024-08-28T12:59:00Z</dcterms:created>
  <dcterms:modified xsi:type="dcterms:W3CDTF">2025-12-30T09:48:28Z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