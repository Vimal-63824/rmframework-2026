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 firstSheet="2" activeTab="5"/>
  </bookViews>
  <sheets>
    <sheet name="ImportDirectGRNUDGeneralSameUOM" sheetId="1" r:id="rId1"/>
    <sheet name="ImportDirectGRNUDServiceSameUOM" sheetId="2" r:id="rId2"/>
    <sheet name="ImportDirectGRNRCGeneralSameUOM" sheetId="3" r:id="rId3"/>
    <sheet name="ImportDirectGRNRCServiceSameUOM" sheetId="4" r:id="rId4"/>
    <sheet name="ImportDirectGRNPLGeneralSameUOM" sheetId="5" r:id="rId5"/>
    <sheet name="ImportDirectGRNPLServiceSameUOM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<sst xmlns="http://schemas.openxmlformats.org/spreadsheetml/2006/main" count="1011" uniqueCount="147">
  <si>
    <t>Scenario  : Local Purchase - Stock UOM and Purchase UOM (Similar)</t>
  </si>
  <si>
    <t xml:space="preserve">Purchase Request </t>
  </si>
  <si>
    <t>S. No.</t>
  </si>
  <si>
    <t>Item</t>
  </si>
  <si>
    <t>Item Desc.</t>
  </si>
  <si>
    <t>Stk. UOM</t>
  </si>
  <si>
    <t>Pur. UOM</t>
  </si>
  <si>
    <t>Qty</t>
  </si>
  <si>
    <t>Unit Cost</t>
  </si>
  <si>
    <t>Gross Amt.</t>
  </si>
  <si>
    <t>RM1001</t>
  </si>
  <si>
    <t>Raw Material - 1001</t>
  </si>
  <si>
    <t>NOS</t>
  </si>
  <si>
    <t>RM1002</t>
  </si>
  <si>
    <t>Raw Material - 1002</t>
  </si>
  <si>
    <t>RM1003</t>
  </si>
  <si>
    <t>Raw Material - 1003</t>
  </si>
  <si>
    <t>RM1004</t>
  </si>
  <si>
    <t>Raw Material - 1004</t>
  </si>
  <si>
    <t>RM1005</t>
  </si>
  <si>
    <t>Raw Material - 1005</t>
  </si>
  <si>
    <t>RM1006</t>
  </si>
  <si>
    <t>Raw Material - 1006</t>
  </si>
  <si>
    <t>RM1007</t>
  </si>
  <si>
    <t>Raw Material - 1007</t>
  </si>
  <si>
    <t>RM1008</t>
  </si>
  <si>
    <t>Raw Material - 1008</t>
  </si>
  <si>
    <t>RM1009</t>
  </si>
  <si>
    <t>Raw Material - 1009</t>
  </si>
  <si>
    <t>RM1010</t>
  </si>
  <si>
    <t>Raw Material - 1010</t>
  </si>
  <si>
    <t>RM1011</t>
  </si>
  <si>
    <t>Raw Material - 1011</t>
  </si>
  <si>
    <t>RM1012</t>
  </si>
  <si>
    <t>Raw Material - 1012</t>
  </si>
  <si>
    <t>RM1013</t>
  </si>
  <si>
    <t>Raw Material - 1013</t>
  </si>
  <si>
    <t>RM1014</t>
  </si>
  <si>
    <t>Raw Material - 1014</t>
  </si>
  <si>
    <t>RM1015</t>
  </si>
  <si>
    <t>Raw Material - 1015</t>
  </si>
  <si>
    <t>Total</t>
  </si>
  <si>
    <t>Purchase Order &amp; GRN</t>
  </si>
  <si>
    <t>GST Purchase</t>
  </si>
  <si>
    <t>(1 - Local Purchase,2 Interstate Purchase, 3 Import Purchase,4-UTGST)</t>
  </si>
  <si>
    <t xml:space="preserve">Cur. </t>
  </si>
  <si>
    <t>INR</t>
  </si>
  <si>
    <t>Ex. Rate</t>
  </si>
  <si>
    <t>Apportion Basis</t>
  </si>
  <si>
    <t>1 - Value Based, 2 Weight/Volume Based</t>
  </si>
  <si>
    <t>(1 - Registered, 2 - Unregistered)</t>
  </si>
  <si>
    <t>Order Qty (Pur UOM)</t>
  </si>
  <si>
    <t>TD%</t>
  </si>
  <si>
    <t>SD%</t>
  </si>
  <si>
    <t>CD%</t>
  </si>
  <si>
    <t>TD Asbl. Val.</t>
  </si>
  <si>
    <t>TD Amt.</t>
  </si>
  <si>
    <t>SD Asbl. Val.</t>
  </si>
  <si>
    <t>SD Amt.</t>
  </si>
  <si>
    <t>CD Asbl. Val.</t>
  </si>
  <si>
    <t>CD Amt.</t>
  </si>
  <si>
    <t>Disc. Amt.</t>
  </si>
  <si>
    <t>Pur. Val.</t>
  </si>
  <si>
    <t>HSN</t>
  </si>
  <si>
    <t>Tax Rate</t>
  </si>
  <si>
    <t>CGST</t>
  </si>
  <si>
    <t>SGST</t>
  </si>
  <si>
    <t>IGST</t>
  </si>
  <si>
    <t>UTGST</t>
  </si>
  <si>
    <t>Cess%</t>
  </si>
  <si>
    <t>CESS</t>
  </si>
  <si>
    <t>Tax amt</t>
  </si>
  <si>
    <t>Net Amt</t>
  </si>
  <si>
    <t>Weight/Vol</t>
  </si>
  <si>
    <t>Customs Duty</t>
  </si>
  <si>
    <t>IGST (Import)</t>
  </si>
  <si>
    <t>Packing &amp; Forwarding</t>
  </si>
  <si>
    <t>Freight</t>
  </si>
  <si>
    <t>Pur Amt (BC)</t>
  </si>
  <si>
    <t>Chargeable Cost</t>
  </si>
  <si>
    <t>Landed Cost</t>
  </si>
  <si>
    <t>Conv. Factor</t>
  </si>
  <si>
    <t>Eqv.  Stock Qty</t>
  </si>
  <si>
    <t>Pur. Unit Cost (chr)</t>
  </si>
  <si>
    <t>Chrg. Unit Cost</t>
  </si>
  <si>
    <t>Landed Cost Unit Cost</t>
  </si>
  <si>
    <t>Stock UOM</t>
  </si>
  <si>
    <t>Unit Cost (Stock UOM)</t>
  </si>
  <si>
    <t>Ins. WH</t>
  </si>
  <si>
    <t>Qty Before Post</t>
  </si>
  <si>
    <t>Unit Cost Before Post</t>
  </si>
  <si>
    <t>Receipt Qty</t>
  </si>
  <si>
    <t>Receipt Unit cost</t>
  </si>
  <si>
    <t>Qty After Post</t>
  </si>
  <si>
    <t>Unit Cost After Post</t>
  </si>
  <si>
    <t>Result (Ok/Not OK)</t>
  </si>
  <si>
    <t>Stock Transaction</t>
  </si>
  <si>
    <t>Lot / Serial Type</t>
  </si>
  <si>
    <t>LOT_NUMBER</t>
  </si>
  <si>
    <t>SERIAL_NUMBER</t>
  </si>
  <si>
    <t>Lot / Serial Trans</t>
  </si>
  <si>
    <t>Locator Trans</t>
  </si>
  <si>
    <t>Batch Stocks</t>
  </si>
  <si>
    <t>Stock Ledger</t>
  </si>
  <si>
    <t>Stock As on Date (Qty)</t>
  </si>
  <si>
    <t>Stock As on Date (Qty &amp; vALUE)</t>
  </si>
  <si>
    <t>Sou.WH</t>
  </si>
  <si>
    <t>Unitcost Before Post For Source Warehouse</t>
  </si>
  <si>
    <t>Qty Before Post For Source WareHouse</t>
  </si>
  <si>
    <t>Qty After Post forSource Warehouse</t>
  </si>
  <si>
    <t>GWL-RM-WAL-FP-001</t>
  </si>
  <si>
    <t>250</t>
  </si>
  <si>
    <t>2</t>
  </si>
  <si>
    <t>HSN1</t>
  </si>
  <si>
    <t>INS</t>
  </si>
  <si>
    <t>Receipt Qty &amp; Unit cost</t>
  </si>
  <si>
    <t>LOT</t>
  </si>
  <si>
    <t>RM</t>
  </si>
  <si>
    <t>RMS</t>
  </si>
  <si>
    <t>RM KD</t>
  </si>
  <si>
    <t>0</t>
  </si>
  <si>
    <t>GWL-WAL-SERVICE-01</t>
  </si>
  <si>
    <t>455</t>
  </si>
  <si>
    <t>INS KD</t>
  </si>
  <si>
    <t>330.98625</t>
  </si>
  <si>
    <t>NA</t>
  </si>
  <si>
    <t>R100</t>
  </si>
  <si>
    <t>269.19614</t>
  </si>
  <si>
    <t>24</t>
  </si>
  <si>
    <t>GWL-RM-WAL-01 RateContract</t>
  </si>
  <si>
    <t>200</t>
  </si>
  <si>
    <t>187.68</t>
  </si>
  <si>
    <t>186.89799</t>
  </si>
  <si>
    <t>80</t>
  </si>
  <si>
    <t>GWL-WAL-SERVICE-RATECONTRACT-01</t>
  </si>
  <si>
    <t>14090</t>
  </si>
  <si>
    <t>121.18128</t>
  </si>
  <si>
    <t>147.00901</t>
  </si>
  <si>
    <t>687</t>
  </si>
  <si>
    <t>GWL-RM-WAL-01 PriceList</t>
  </si>
  <si>
    <t>186.32</t>
  </si>
  <si>
    <t>4</t>
  </si>
  <si>
    <t>GWL-WAL-SERVICE-PRICELIST-01</t>
  </si>
  <si>
    <t>16</t>
  </si>
  <si>
    <t>185.81481</t>
  </si>
  <si>
    <t>184.66239</t>
  </si>
  <si>
    <t>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</si>
</sst>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0"/>
  </numFmts>
  <fonts count="24">
    <font>
      <sz val="11"/>
      <color theme="1"/>
      <name val="Calibri"/>
      <charset val="134"/>
      <scheme val="minor"/>
    </font>
    <font>
      <b/>
      <u/>
      <sz val="14"/>
      <color theme="1"/>
      <name val="Calibri Light"/>
      <charset val="134"/>
      <scheme val="major"/>
    </font>
    <font>
      <b/>
      <sz val="11"/>
      <color theme="1"/>
      <name val="Calibri Light"/>
      <charset val="134"/>
      <scheme val="major"/>
    </font>
    <font>
      <sz val="11"/>
      <color theme="1"/>
      <name val="Calibri Light"/>
      <charset val="134"/>
      <scheme val="major"/>
    </font>
    <font>
      <sz val="10"/>
      <color rgb="FF000000"/>
      <name val="Consola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double">
        <color rgb="FF0070C0"/>
      </left>
      <right style="thin">
        <color rgb="FF0070C0"/>
      </right>
      <top style="double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double">
        <color rgb="FF0070C0"/>
      </top>
      <bottom style="thin">
        <color rgb="FF0070C0"/>
      </bottom>
      <diagonal/>
    </border>
    <border>
      <left style="thin">
        <color rgb="FF0070C0"/>
      </left>
      <right style="double">
        <color rgb="FF0070C0"/>
      </right>
      <top style="double">
        <color rgb="FF0070C0"/>
      </top>
      <bottom style="thin">
        <color rgb="FF0070C0"/>
      </bottom>
      <diagonal/>
    </border>
    <border>
      <left style="double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double">
        <color rgb="FF0070C0"/>
      </right>
      <top style="thin">
        <color rgb="FF0070C0"/>
      </top>
      <bottom style="thin">
        <color rgb="FF0070C0"/>
      </bottom>
      <diagonal/>
    </border>
    <border>
      <left style="double">
        <color rgb="FF0070C0"/>
      </left>
      <right style="thin">
        <color rgb="FF0070C0"/>
      </right>
      <top style="thin">
        <color rgb="FF0070C0"/>
      </top>
      <bottom style="double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double">
        <color rgb="FF0070C0"/>
      </bottom>
      <diagonal/>
    </border>
    <border>
      <left style="thin">
        <color rgb="FF0070C0"/>
      </left>
      <right style="double">
        <color rgb="FF0070C0"/>
      </right>
      <top style="thin">
        <color rgb="FF0070C0"/>
      </top>
      <bottom style="double">
        <color rgb="FF0070C0"/>
      </bottom>
      <diagonal/>
    </border>
    <border>
      <left style="medium">
        <color rgb="FF0070C0"/>
      </left>
      <right style="medium">
        <color rgb="FF0070C0"/>
      </right>
      <top/>
      <bottom/>
      <diagonal/>
    </border>
    <border>
      <left style="medium">
        <color rgb="FF0070C0"/>
      </left>
      <right/>
      <top/>
      <bottom/>
      <diagonal/>
    </border>
    <border>
      <left style="medium">
        <color rgb="FF0070C0"/>
      </left>
      <right style="medium">
        <color rgb="FF0070C0"/>
      </right>
      <top/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double">
        <color rgb="FF0070C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70C0"/>
      </left>
      <right/>
      <top style="double">
        <color rgb="FF0070C0"/>
      </top>
      <bottom/>
      <diagonal/>
    </border>
    <border>
      <left/>
      <right/>
      <top style="double">
        <color rgb="FF0070C0"/>
      </top>
      <bottom/>
      <diagonal/>
    </border>
    <border>
      <left/>
      <right style="medium">
        <color rgb="FF0070C0"/>
      </right>
      <top style="double">
        <color rgb="FF0070C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9" borderId="2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2" applyNumberFormat="0" applyFill="0" applyAlignment="0" applyProtection="0">
      <alignment vertical="center"/>
    </xf>
    <xf numFmtId="0" fontId="11" fillId="0" borderId="22" applyNumberFormat="0" applyFill="0" applyAlignment="0" applyProtection="0">
      <alignment vertical="center"/>
    </xf>
    <xf numFmtId="0" fontId="12" fillId="0" borderId="2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0" borderId="24" applyNumberFormat="0" applyAlignment="0" applyProtection="0">
      <alignment vertical="center"/>
    </xf>
    <xf numFmtId="0" fontId="14" fillId="11" borderId="25" applyNumberFormat="0" applyAlignment="0" applyProtection="0">
      <alignment vertical="center"/>
    </xf>
    <xf numFmtId="0" fontId="15" fillId="11" borderId="24" applyNumberFormat="0" applyAlignment="0" applyProtection="0">
      <alignment vertical="center"/>
    </xf>
    <xf numFmtId="0" fontId="16" fillId="12" borderId="26" applyNumberFormat="0" applyAlignment="0" applyProtection="0">
      <alignment vertical="center"/>
    </xf>
    <xf numFmtId="0" fontId="17" fillId="0" borderId="27" applyNumberFormat="0" applyFill="0" applyAlignment="0" applyProtection="0">
      <alignment vertical="center"/>
    </xf>
    <xf numFmtId="0" fontId="18" fillId="0" borderId="28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/>
    <xf numFmtId="0" fontId="3" fillId="0" borderId="5" xfId="0" applyFont="1" applyFill="1" applyBorder="1" applyAlignment="1"/>
    <xf numFmtId="180" fontId="3" fillId="0" borderId="5" xfId="0" applyNumberFormat="1" applyFont="1" applyFill="1" applyBorder="1" applyAlignment="1"/>
    <xf numFmtId="2" fontId="3" fillId="0" borderId="5" xfId="0" applyNumberFormat="1" applyFont="1" applyFill="1" applyBorder="1" applyAlignment="1"/>
    <xf numFmtId="2" fontId="3" fillId="0" borderId="6" xfId="0" applyNumberFormat="1" applyFont="1" applyFill="1" applyBorder="1" applyAlignment="1"/>
    <xf numFmtId="0" fontId="3" fillId="0" borderId="7" xfId="0" applyFont="1" applyFill="1" applyBorder="1" applyAlignment="1"/>
    <xf numFmtId="0" fontId="3" fillId="0" borderId="8" xfId="0" applyFont="1" applyFill="1" applyBorder="1" applyAlignment="1"/>
    <xf numFmtId="180" fontId="3" fillId="0" borderId="8" xfId="0" applyNumberFormat="1" applyFont="1" applyFill="1" applyBorder="1" applyAlignment="1"/>
    <xf numFmtId="2" fontId="3" fillId="0" borderId="8" xfId="0" applyNumberFormat="1" applyFont="1" applyFill="1" applyBorder="1" applyAlignment="1"/>
    <xf numFmtId="2" fontId="3" fillId="0" borderId="9" xfId="0" applyNumberFormat="1" applyFont="1" applyFill="1" applyBorder="1" applyAlignment="1"/>
    <xf numFmtId="0" fontId="3" fillId="0" borderId="0" xfId="0" applyFont="1" applyFill="1" applyAlignment="1"/>
    <xf numFmtId="0" fontId="2" fillId="3" borderId="10" xfId="0" applyFont="1" applyFill="1" applyBorder="1" applyAlignment="1">
      <alignment horizontal="center" vertical="top"/>
    </xf>
    <xf numFmtId="0" fontId="2" fillId="3" borderId="11" xfId="0" applyFont="1" applyFill="1" applyBorder="1" applyAlignment="1">
      <alignment vertical="top"/>
    </xf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/>
    <xf numFmtId="0" fontId="3" fillId="0" borderId="13" xfId="0" applyNumberFormat="1" applyFont="1" applyFill="1" applyBorder="1" applyAlignment="1"/>
    <xf numFmtId="0" fontId="0" fillId="0" borderId="0" xfId="0" applyFill="1" applyBorder="1" applyAlignment="1"/>
    <xf numFmtId="0" fontId="2" fillId="3" borderId="14" xfId="0" applyFont="1" applyFill="1" applyBorder="1" applyAlignment="1"/>
    <xf numFmtId="0" fontId="2" fillId="3" borderId="15" xfId="0" applyFont="1" applyFill="1" applyBorder="1" applyAlignment="1"/>
    <xf numFmtId="0" fontId="2" fillId="3" borderId="13" xfId="0" applyFont="1" applyFill="1" applyBorder="1" applyAlignment="1"/>
    <xf numFmtId="10" fontId="3" fillId="0" borderId="0" xfId="0" applyNumberFormat="1" applyFont="1" applyFill="1" applyBorder="1" applyAlignment="1"/>
    <xf numFmtId="2" fontId="3" fillId="0" borderId="0" xfId="0" applyNumberFormat="1" applyFont="1" applyFill="1" applyBorder="1" applyAlignment="1"/>
    <xf numFmtId="0" fontId="3" fillId="0" borderId="0" xfId="0" applyFont="1" applyFill="1" applyBorder="1" applyAlignment="1"/>
    <xf numFmtId="0" fontId="2" fillId="4" borderId="12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4" fillId="0" borderId="0" xfId="0" applyFont="1" applyFill="1" applyAlignment="1"/>
    <xf numFmtId="0" fontId="2" fillId="6" borderId="12" xfId="0" applyFont="1" applyFill="1" applyBorder="1" applyAlignment="1">
      <alignment horizontal="center" vertical="center"/>
    </xf>
    <xf numFmtId="0" fontId="2" fillId="3" borderId="13" xfId="0" applyNumberFormat="1" applyFont="1" applyFill="1" applyBorder="1" applyAlignment="1"/>
    <xf numFmtId="2" fontId="2" fillId="3" borderId="13" xfId="0" applyNumberFormat="1" applyFont="1" applyFill="1" applyBorder="1" applyAlignment="1"/>
    <xf numFmtId="0" fontId="2" fillId="7" borderId="12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 wrapText="1"/>
    </xf>
    <xf numFmtId="10" fontId="3" fillId="0" borderId="13" xfId="0" applyNumberFormat="1" applyFont="1" applyFill="1" applyBorder="1" applyAlignment="1"/>
    <xf numFmtId="0" fontId="2" fillId="7" borderId="13" xfId="0" applyFont="1" applyFill="1" applyBorder="1" applyAlignment="1"/>
    <xf numFmtId="2" fontId="2" fillId="7" borderId="13" xfId="0" applyNumberFormat="1" applyFont="1" applyFill="1" applyBorder="1" applyAlignment="1"/>
    <xf numFmtId="0" fontId="2" fillId="8" borderId="12" xfId="0" applyFont="1" applyFill="1" applyBorder="1" applyAlignment="1">
      <alignment horizontal="center" vertical="center"/>
    </xf>
    <xf numFmtId="0" fontId="3" fillId="2" borderId="2" xfId="0" applyFont="1" applyFill="1" applyBorder="1" applyAlignment="1"/>
    <xf numFmtId="0" fontId="3" fillId="0" borderId="5" xfId="0" applyNumberFormat="1" applyFont="1" applyFill="1" applyBorder="1" applyAlignment="1"/>
    <xf numFmtId="0" fontId="3" fillId="2" borderId="16" xfId="0" applyFont="1" applyFill="1" applyBorder="1" applyAlignment="1"/>
    <xf numFmtId="0" fontId="0" fillId="0" borderId="5" xfId="0" applyNumberFormat="1" applyFill="1" applyBorder="1" applyAlignment="1"/>
    <xf numFmtId="0" fontId="0" fillId="0" borderId="17" xfId="0" applyNumberFormat="1" applyFill="1" applyBorder="1" applyAlignment="1"/>
    <xf numFmtId="0" fontId="0" fillId="0" borderId="17" xfId="0" applyNumberFormat="1" applyFont="1" applyFill="1" applyBorder="1" applyAlignment="1">
      <alignment vertical="center"/>
    </xf>
    <xf numFmtId="0" fontId="0" fillId="0" borderId="0" xfId="0" applyNumberFormat="1" applyFill="1" applyAlignment="1"/>
    <xf numFmtId="0" fontId="0" fillId="0" borderId="0" xfId="0" applyNumberFormat="1" applyFill="1" applyAlignment="1">
      <alignment horizontal="center"/>
    </xf>
    <xf numFmtId="0" fontId="2" fillId="3" borderId="18" xfId="0" applyFont="1" applyFill="1" applyBorder="1" applyAlignment="1">
      <alignment horizontal="center" vertical="top"/>
    </xf>
    <xf numFmtId="0" fontId="2" fillId="3" borderId="19" xfId="0" applyFont="1" applyFill="1" applyBorder="1" applyAlignment="1">
      <alignment horizontal="center" vertical="top"/>
    </xf>
    <xf numFmtId="0" fontId="2" fillId="3" borderId="20" xfId="0" applyFont="1" applyFill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4"/>
  <sheetViews>
    <sheetView zoomScaleSheetLayoutView="60" topLeftCell="A6" workbookViewId="0">
      <selection activeCell="K19" sqref="K19"/>
    </sheetView>
  </sheetViews>
  <sheetFormatPr defaultColWidth="9.81818181818182" defaultRowHeight="14.5"/>
  <cols>
    <col min="2" max="2" width="22.1818181818182" customWidth="1"/>
    <col min="3" max="3" width="18.4545454545455" customWidth="1"/>
    <col min="12" max="12" width="11.2727272727273" customWidth="1"/>
    <col min="14" max="15" width="13.0909090909091" customWidth="1"/>
    <col min="16" max="16" width="13.3636363636364" customWidth="1"/>
    <col min="56" max="56" width="12.2727272727273" customWidth="1"/>
  </cols>
  <sheetData>
    <row r="1" ht="18.5" spans="1:6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17"/>
      <c r="AS1" s="17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ht="19.25" spans="1:69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17"/>
      <c r="AS2" s="17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ht="15.25" spans="1:69">
      <c r="A3" s="3" t="s">
        <v>2</v>
      </c>
      <c r="B3" s="4" t="s">
        <v>3</v>
      </c>
      <c r="C3" s="5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6" t="s">
        <v>9</v>
      </c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17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</row>
    <row r="4" spans="1:69">
      <c r="A4" s="7">
        <v>1</v>
      </c>
      <c r="B4" s="8" t="s">
        <v>10</v>
      </c>
      <c r="C4" s="8" t="s">
        <v>11</v>
      </c>
      <c r="D4" s="8" t="s">
        <v>12</v>
      </c>
      <c r="E4" s="8" t="s">
        <v>12</v>
      </c>
      <c r="F4" s="9">
        <v>25</v>
      </c>
      <c r="G4" s="10">
        <v>257.63</v>
      </c>
      <c r="H4" s="11">
        <f t="shared" ref="H4:H18" si="0">F4*G4</f>
        <v>6440.75</v>
      </c>
      <c r="I4" s="34"/>
      <c r="J4" s="34"/>
      <c r="K4" s="34"/>
      <c r="L4" s="35"/>
      <c r="M4" s="35"/>
      <c r="N4" s="35"/>
      <c r="O4" s="35"/>
      <c r="P4" s="35"/>
      <c r="Q4" s="35"/>
      <c r="R4" s="35"/>
      <c r="S4" s="35"/>
      <c r="T4" s="35"/>
      <c r="U4" s="34"/>
      <c r="V4" s="34"/>
      <c r="W4" s="34"/>
      <c r="X4" s="34"/>
      <c r="Y4" s="34"/>
      <c r="Z4" s="34"/>
      <c r="AA4" s="34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17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</row>
    <row r="5" spans="1:69">
      <c r="A5" s="7">
        <v>2</v>
      </c>
      <c r="B5" s="8" t="s">
        <v>13</v>
      </c>
      <c r="C5" s="8" t="s">
        <v>14</v>
      </c>
      <c r="D5" s="8" t="s">
        <v>12</v>
      </c>
      <c r="E5" s="8" t="s">
        <v>12</v>
      </c>
      <c r="F5" s="9">
        <v>35</v>
      </c>
      <c r="G5" s="10">
        <v>125.45</v>
      </c>
      <c r="H5" s="11">
        <f t="shared" si="0"/>
        <v>4390.75</v>
      </c>
      <c r="I5" s="34"/>
      <c r="J5" s="34"/>
      <c r="K5" s="34"/>
      <c r="L5" s="35"/>
      <c r="M5" s="35"/>
      <c r="N5" s="35"/>
      <c r="O5" s="35"/>
      <c r="P5" s="35"/>
      <c r="Q5" s="35"/>
      <c r="R5" s="35"/>
      <c r="S5" s="35"/>
      <c r="T5" s="35"/>
      <c r="U5" s="34"/>
      <c r="V5" s="34"/>
      <c r="W5" s="34"/>
      <c r="X5" s="34"/>
      <c r="Y5" s="34"/>
      <c r="Z5" s="34"/>
      <c r="AA5" s="34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17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</row>
    <row r="6" spans="1:69">
      <c r="A6" s="7">
        <v>3</v>
      </c>
      <c r="B6" s="8" t="s">
        <v>15</v>
      </c>
      <c r="C6" s="8" t="s">
        <v>16</v>
      </c>
      <c r="D6" s="8" t="s">
        <v>12</v>
      </c>
      <c r="E6" s="8" t="s">
        <v>12</v>
      </c>
      <c r="F6" s="9">
        <v>45</v>
      </c>
      <c r="G6" s="10">
        <v>125.36</v>
      </c>
      <c r="H6" s="11">
        <f t="shared" si="0"/>
        <v>5641.2</v>
      </c>
      <c r="I6" s="34"/>
      <c r="J6" s="34"/>
      <c r="K6" s="34"/>
      <c r="L6" s="35"/>
      <c r="M6" s="35"/>
      <c r="N6" s="35"/>
      <c r="O6" s="35"/>
      <c r="P6" s="35"/>
      <c r="Q6" s="35"/>
      <c r="R6" s="35"/>
      <c r="S6" s="35"/>
      <c r="T6" s="35"/>
      <c r="U6" s="34"/>
      <c r="V6" s="34"/>
      <c r="W6" s="34"/>
      <c r="X6" s="34"/>
      <c r="Y6" s="34"/>
      <c r="Z6" s="34"/>
      <c r="AA6" s="34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17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</row>
    <row r="7" spans="1:69">
      <c r="A7" s="7">
        <v>4</v>
      </c>
      <c r="B7" s="8" t="s">
        <v>17</v>
      </c>
      <c r="C7" s="8" t="s">
        <v>18</v>
      </c>
      <c r="D7" s="8" t="s">
        <v>12</v>
      </c>
      <c r="E7" s="8" t="s">
        <v>12</v>
      </c>
      <c r="F7" s="9">
        <v>55</v>
      </c>
      <c r="G7" s="10">
        <v>45.25</v>
      </c>
      <c r="H7" s="11">
        <f t="shared" si="0"/>
        <v>2488.75</v>
      </c>
      <c r="I7" s="34"/>
      <c r="J7" s="34"/>
      <c r="K7" s="34"/>
      <c r="L7" s="35"/>
      <c r="M7" s="35"/>
      <c r="N7" s="35"/>
      <c r="O7" s="35"/>
      <c r="P7" s="35"/>
      <c r="Q7" s="35"/>
      <c r="R7" s="35"/>
      <c r="S7" s="35"/>
      <c r="T7" s="35"/>
      <c r="U7" s="34"/>
      <c r="V7" s="34"/>
      <c r="W7" s="34"/>
      <c r="X7" s="34"/>
      <c r="Y7" s="34"/>
      <c r="Z7" s="34"/>
      <c r="AA7" s="34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17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</row>
    <row r="8" spans="1:69">
      <c r="A8" s="7">
        <v>5</v>
      </c>
      <c r="B8" s="8" t="s">
        <v>19</v>
      </c>
      <c r="C8" s="8" t="s">
        <v>20</v>
      </c>
      <c r="D8" s="8" t="s">
        <v>12</v>
      </c>
      <c r="E8" s="8" t="s">
        <v>12</v>
      </c>
      <c r="F8" s="9">
        <v>60</v>
      </c>
      <c r="G8" s="10">
        <v>45.5</v>
      </c>
      <c r="H8" s="11">
        <f t="shared" si="0"/>
        <v>2730</v>
      </c>
      <c r="I8" s="34"/>
      <c r="J8" s="34"/>
      <c r="K8" s="34"/>
      <c r="L8" s="35"/>
      <c r="M8" s="35"/>
      <c r="N8" s="35"/>
      <c r="O8" s="35"/>
      <c r="P8" s="35"/>
      <c r="Q8" s="35"/>
      <c r="R8" s="35"/>
      <c r="S8" s="35"/>
      <c r="T8" s="35"/>
      <c r="U8" s="34"/>
      <c r="V8" s="34"/>
      <c r="W8" s="34"/>
      <c r="X8" s="34"/>
      <c r="Y8" s="34"/>
      <c r="Z8" s="34"/>
      <c r="AA8" s="34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17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</row>
    <row r="9" spans="1:69">
      <c r="A9" s="7">
        <v>6</v>
      </c>
      <c r="B9" s="8" t="s">
        <v>21</v>
      </c>
      <c r="C9" s="8" t="s">
        <v>22</v>
      </c>
      <c r="D9" s="8" t="s">
        <v>12</v>
      </c>
      <c r="E9" s="8" t="s">
        <v>12</v>
      </c>
      <c r="F9" s="9">
        <v>75</v>
      </c>
      <c r="G9" s="10">
        <v>125.25</v>
      </c>
      <c r="H9" s="11">
        <f t="shared" si="0"/>
        <v>9393.75</v>
      </c>
      <c r="I9" s="34"/>
      <c r="J9" s="34"/>
      <c r="K9" s="34"/>
      <c r="L9" s="35"/>
      <c r="M9" s="35"/>
      <c r="N9" s="35"/>
      <c r="O9" s="35"/>
      <c r="P9" s="35"/>
      <c r="Q9" s="35"/>
      <c r="R9" s="35"/>
      <c r="S9" s="35"/>
      <c r="T9" s="35"/>
      <c r="U9" s="34"/>
      <c r="V9" s="34"/>
      <c r="W9" s="34"/>
      <c r="X9" s="34"/>
      <c r="Y9" s="34"/>
      <c r="Z9" s="34"/>
      <c r="AA9" s="34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17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</row>
    <row r="10" spans="1:69">
      <c r="A10" s="7">
        <v>7</v>
      </c>
      <c r="B10" s="8" t="s">
        <v>23</v>
      </c>
      <c r="C10" s="8" t="s">
        <v>24</v>
      </c>
      <c r="D10" s="8" t="s">
        <v>12</v>
      </c>
      <c r="E10" s="8" t="s">
        <v>12</v>
      </c>
      <c r="F10" s="9">
        <v>28</v>
      </c>
      <c r="G10" s="10">
        <v>150.5</v>
      </c>
      <c r="H10" s="11">
        <f t="shared" si="0"/>
        <v>4214</v>
      </c>
      <c r="I10" s="34"/>
      <c r="J10" s="34"/>
      <c r="K10" s="34"/>
      <c r="L10" s="35"/>
      <c r="M10" s="35"/>
      <c r="N10" s="35"/>
      <c r="O10" s="35"/>
      <c r="P10" s="35"/>
      <c r="Q10" s="35"/>
      <c r="R10" s="35"/>
      <c r="S10" s="35"/>
      <c r="T10" s="35"/>
      <c r="U10" s="34"/>
      <c r="V10" s="34"/>
      <c r="W10" s="34"/>
      <c r="X10" s="34"/>
      <c r="Y10" s="34"/>
      <c r="Z10" s="34"/>
      <c r="AA10" s="34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17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</row>
    <row r="11" spans="1:69">
      <c r="A11" s="7">
        <v>8</v>
      </c>
      <c r="B11" s="8" t="s">
        <v>25</v>
      </c>
      <c r="C11" s="8" t="s">
        <v>26</v>
      </c>
      <c r="D11" s="8" t="s">
        <v>12</v>
      </c>
      <c r="E11" s="8" t="s">
        <v>12</v>
      </c>
      <c r="F11" s="9">
        <v>30</v>
      </c>
      <c r="G11" s="10">
        <v>65.32</v>
      </c>
      <c r="H11" s="11">
        <f t="shared" si="0"/>
        <v>1959.6</v>
      </c>
      <c r="I11" s="34"/>
      <c r="J11" s="34"/>
      <c r="K11" s="34"/>
      <c r="L11" s="35"/>
      <c r="M11" s="35"/>
      <c r="N11" s="35"/>
      <c r="O11" s="35"/>
      <c r="P11" s="35"/>
      <c r="Q11" s="35"/>
      <c r="R11" s="35"/>
      <c r="S11" s="35"/>
      <c r="T11" s="35"/>
      <c r="U11" s="34"/>
      <c r="V11" s="34"/>
      <c r="W11" s="34"/>
      <c r="X11" s="34"/>
      <c r="Y11" s="34"/>
      <c r="Z11" s="34"/>
      <c r="AA11" s="34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17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</row>
    <row r="12" spans="1:69">
      <c r="A12" s="7">
        <v>9</v>
      </c>
      <c r="B12" s="8" t="s">
        <v>27</v>
      </c>
      <c r="C12" s="8" t="s">
        <v>28</v>
      </c>
      <c r="D12" s="8" t="s">
        <v>12</v>
      </c>
      <c r="E12" s="8" t="s">
        <v>12</v>
      </c>
      <c r="F12" s="9">
        <v>25</v>
      </c>
      <c r="G12" s="10">
        <v>74.89</v>
      </c>
      <c r="H12" s="11">
        <f t="shared" si="0"/>
        <v>1872.25</v>
      </c>
      <c r="I12" s="34"/>
      <c r="J12" s="34"/>
      <c r="K12" s="34"/>
      <c r="L12" s="35"/>
      <c r="M12" s="35"/>
      <c r="N12" s="35"/>
      <c r="O12" s="35"/>
      <c r="P12" s="35"/>
      <c r="Q12" s="35"/>
      <c r="R12" s="35"/>
      <c r="S12" s="35"/>
      <c r="T12" s="35"/>
      <c r="U12" s="34"/>
      <c r="V12" s="34"/>
      <c r="W12" s="34"/>
      <c r="X12" s="34"/>
      <c r="Y12" s="34"/>
      <c r="Z12" s="34"/>
      <c r="AA12" s="34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17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</row>
    <row r="13" spans="1:69">
      <c r="A13" s="7">
        <v>10</v>
      </c>
      <c r="B13" s="8" t="s">
        <v>29</v>
      </c>
      <c r="C13" s="8" t="s">
        <v>30</v>
      </c>
      <c r="D13" s="8" t="s">
        <v>12</v>
      </c>
      <c r="E13" s="8" t="s">
        <v>12</v>
      </c>
      <c r="F13" s="9">
        <v>28</v>
      </c>
      <c r="G13" s="10">
        <v>89.56</v>
      </c>
      <c r="H13" s="11">
        <f t="shared" si="0"/>
        <v>2507.68</v>
      </c>
      <c r="I13" s="34"/>
      <c r="J13" s="34"/>
      <c r="K13" s="34"/>
      <c r="L13" s="35"/>
      <c r="M13" s="35"/>
      <c r="N13" s="35"/>
      <c r="O13" s="35"/>
      <c r="P13" s="35"/>
      <c r="Q13" s="35"/>
      <c r="R13" s="35"/>
      <c r="S13" s="35"/>
      <c r="T13" s="35"/>
      <c r="U13" s="34"/>
      <c r="V13" s="34"/>
      <c r="W13" s="34"/>
      <c r="X13" s="34"/>
      <c r="Y13" s="34"/>
      <c r="Z13" s="34"/>
      <c r="AA13" s="34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17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</row>
    <row r="14" spans="1:69">
      <c r="A14" s="7">
        <v>11</v>
      </c>
      <c r="B14" s="8" t="s">
        <v>31</v>
      </c>
      <c r="C14" s="8" t="s">
        <v>32</v>
      </c>
      <c r="D14" s="8" t="s">
        <v>12</v>
      </c>
      <c r="E14" s="8" t="s">
        <v>12</v>
      </c>
      <c r="F14" s="9">
        <v>37</v>
      </c>
      <c r="G14" s="10">
        <v>89.54</v>
      </c>
      <c r="H14" s="11">
        <f t="shared" si="0"/>
        <v>3312.98</v>
      </c>
      <c r="I14" s="34"/>
      <c r="J14" s="34"/>
      <c r="K14" s="34"/>
      <c r="L14" s="35"/>
      <c r="M14" s="35"/>
      <c r="N14" s="35"/>
      <c r="O14" s="35"/>
      <c r="P14" s="35"/>
      <c r="Q14" s="35"/>
      <c r="R14" s="35"/>
      <c r="S14" s="35"/>
      <c r="T14" s="35"/>
      <c r="U14" s="34"/>
      <c r="V14" s="34"/>
      <c r="W14" s="34"/>
      <c r="X14" s="34"/>
      <c r="Y14" s="34"/>
      <c r="Z14" s="34"/>
      <c r="AA14" s="34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17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</row>
    <row r="15" spans="1:69">
      <c r="A15" s="7">
        <v>12</v>
      </c>
      <c r="B15" s="8" t="s">
        <v>33</v>
      </c>
      <c r="C15" s="8" t="s">
        <v>34</v>
      </c>
      <c r="D15" s="8" t="s">
        <v>12</v>
      </c>
      <c r="E15" s="8" t="s">
        <v>12</v>
      </c>
      <c r="F15" s="9">
        <v>39</v>
      </c>
      <c r="G15" s="10">
        <v>98.25</v>
      </c>
      <c r="H15" s="11">
        <f t="shared" si="0"/>
        <v>3831.75</v>
      </c>
      <c r="I15" s="34"/>
      <c r="J15" s="34"/>
      <c r="K15" s="34"/>
      <c r="L15" s="35"/>
      <c r="M15" s="35"/>
      <c r="N15" s="35"/>
      <c r="O15" s="35"/>
      <c r="P15" s="35"/>
      <c r="Q15" s="35"/>
      <c r="R15" s="35"/>
      <c r="S15" s="35"/>
      <c r="T15" s="35"/>
      <c r="U15" s="34"/>
      <c r="V15" s="34"/>
      <c r="W15" s="34"/>
      <c r="X15" s="34"/>
      <c r="Y15" s="34"/>
      <c r="Z15" s="34"/>
      <c r="AA15" s="34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17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</row>
    <row r="16" spans="1:69">
      <c r="A16" s="7">
        <v>13</v>
      </c>
      <c r="B16" s="8" t="s">
        <v>35</v>
      </c>
      <c r="C16" s="8" t="s">
        <v>36</v>
      </c>
      <c r="D16" s="8" t="s">
        <v>12</v>
      </c>
      <c r="E16" s="8" t="s">
        <v>12</v>
      </c>
      <c r="F16" s="9">
        <v>70</v>
      </c>
      <c r="G16" s="10">
        <v>102.25</v>
      </c>
      <c r="H16" s="11">
        <f t="shared" si="0"/>
        <v>7157.5</v>
      </c>
      <c r="I16" s="34"/>
      <c r="J16" s="34"/>
      <c r="K16" s="34"/>
      <c r="L16" s="35"/>
      <c r="M16" s="35"/>
      <c r="N16" s="35"/>
      <c r="O16" s="35"/>
      <c r="P16" s="35"/>
      <c r="Q16" s="35"/>
      <c r="R16" s="35"/>
      <c r="S16" s="35"/>
      <c r="T16" s="35"/>
      <c r="U16" s="34"/>
      <c r="V16" s="34"/>
      <c r="W16" s="34"/>
      <c r="X16" s="34"/>
      <c r="Y16" s="34"/>
      <c r="Z16" s="34"/>
      <c r="AA16" s="34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17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</row>
    <row r="17" spans="1:69">
      <c r="A17" s="7">
        <v>14</v>
      </c>
      <c r="B17" s="8" t="s">
        <v>37</v>
      </c>
      <c r="C17" s="8" t="s">
        <v>38</v>
      </c>
      <c r="D17" s="8" t="s">
        <v>12</v>
      </c>
      <c r="E17" s="8" t="s">
        <v>12</v>
      </c>
      <c r="F17" s="9">
        <v>100</v>
      </c>
      <c r="G17" s="10">
        <v>103.5</v>
      </c>
      <c r="H17" s="11">
        <f t="shared" si="0"/>
        <v>10350</v>
      </c>
      <c r="I17" s="34"/>
      <c r="J17" s="34"/>
      <c r="K17" s="34"/>
      <c r="L17" s="35"/>
      <c r="M17" s="35"/>
      <c r="N17" s="35"/>
      <c r="O17" s="35"/>
      <c r="P17" s="35"/>
      <c r="Q17" s="35"/>
      <c r="R17" s="35"/>
      <c r="S17" s="39"/>
      <c r="T17" s="35"/>
      <c r="U17" s="34"/>
      <c r="V17" s="34"/>
      <c r="W17" s="34"/>
      <c r="X17" s="34"/>
      <c r="Y17" s="34"/>
      <c r="Z17" s="34"/>
      <c r="AA17" s="34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17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</row>
    <row r="18" ht="15.25" spans="1:69">
      <c r="A18" s="12">
        <v>15</v>
      </c>
      <c r="B18" s="13" t="s">
        <v>39</v>
      </c>
      <c r="C18" s="13" t="s">
        <v>40</v>
      </c>
      <c r="D18" s="13" t="s">
        <v>12</v>
      </c>
      <c r="E18" s="13" t="s">
        <v>12</v>
      </c>
      <c r="F18" s="14">
        <v>85</v>
      </c>
      <c r="G18" s="15">
        <v>65.48</v>
      </c>
      <c r="H18" s="16">
        <f t="shared" si="0"/>
        <v>5565.8</v>
      </c>
      <c r="I18" s="34"/>
      <c r="J18" s="34"/>
      <c r="K18" s="34"/>
      <c r="L18" s="35"/>
      <c r="M18" s="35"/>
      <c r="N18" s="35"/>
      <c r="O18" s="35"/>
      <c r="P18" s="35"/>
      <c r="Q18" s="35"/>
      <c r="R18" s="35"/>
      <c r="S18" s="35"/>
      <c r="T18" s="35"/>
      <c r="U18" s="34"/>
      <c r="V18" s="34"/>
      <c r="W18" s="34"/>
      <c r="X18" s="34"/>
      <c r="Y18" s="34"/>
      <c r="Z18" s="34"/>
      <c r="AA18" s="34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17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</row>
    <row r="19" ht="15.25" spans="1:69">
      <c r="A19" s="17"/>
      <c r="B19" s="18" t="s">
        <v>41</v>
      </c>
      <c r="C19" s="18"/>
      <c r="D19" s="18"/>
      <c r="E19" s="18"/>
      <c r="F19" s="18"/>
      <c r="G19" s="18"/>
      <c r="H19" s="19">
        <f>SUM(H4:H18)</f>
        <v>71856.76</v>
      </c>
      <c r="I19" s="36"/>
      <c r="J19" s="36"/>
      <c r="K19" s="36"/>
      <c r="L19" s="36"/>
      <c r="M19" s="36"/>
      <c r="N19" s="36"/>
      <c r="O19" s="36"/>
      <c r="P19" s="36"/>
      <c r="Q19" s="36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17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</row>
    <row r="20" spans="1:69">
      <c r="A20" s="20" t="s">
        <v>42</v>
      </c>
      <c r="B20" s="21"/>
      <c r="C20" s="21"/>
      <c r="D20" s="21"/>
      <c r="E20" s="21"/>
      <c r="F20" s="21"/>
      <c r="G20" s="21"/>
      <c r="H20" s="20"/>
      <c r="I20" s="36"/>
      <c r="J20" s="36"/>
      <c r="K20" s="36"/>
      <c r="L20" s="36"/>
      <c r="M20" s="36"/>
      <c r="N20" s="36"/>
      <c r="O20" s="36"/>
      <c r="P20" s="36"/>
      <c r="Q20" s="36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17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</row>
    <row r="21" ht="15.25" spans="1:69">
      <c r="A21" s="22" t="s">
        <v>43</v>
      </c>
      <c r="B21" s="22"/>
      <c r="C21" s="23">
        <v>3</v>
      </c>
      <c r="D21" s="24" t="s">
        <v>44</v>
      </c>
      <c r="E21" s="21"/>
      <c r="F21" s="21"/>
      <c r="G21" s="21"/>
      <c r="H21" s="20"/>
      <c r="I21" s="36" t="s">
        <v>45</v>
      </c>
      <c r="J21" s="36" t="s">
        <v>46</v>
      </c>
      <c r="K21" s="36"/>
      <c r="L21" s="36" t="s">
        <v>47</v>
      </c>
      <c r="M21" s="36">
        <v>1</v>
      </c>
      <c r="N21" s="36"/>
      <c r="O21" s="36" t="s">
        <v>48</v>
      </c>
      <c r="P21" s="36">
        <v>1</v>
      </c>
      <c r="Q21" s="36" t="s">
        <v>49</v>
      </c>
      <c r="R21" s="20"/>
      <c r="S21" s="20"/>
      <c r="T21" s="20"/>
      <c r="U21" s="20"/>
      <c r="V21" s="20">
        <v>1</v>
      </c>
      <c r="W21" s="20" t="s">
        <v>50</v>
      </c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17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</row>
    <row r="22" ht="45" spans="1:69">
      <c r="A22" s="25" t="s">
        <v>2</v>
      </c>
      <c r="B22" s="25" t="s">
        <v>3</v>
      </c>
      <c r="C22" s="26" t="s">
        <v>4</v>
      </c>
      <c r="D22" s="25" t="s">
        <v>5</v>
      </c>
      <c r="E22" s="25" t="s">
        <v>6</v>
      </c>
      <c r="F22" s="27" t="s">
        <v>51</v>
      </c>
      <c r="G22" s="25" t="s">
        <v>8</v>
      </c>
      <c r="H22" s="25" t="s">
        <v>9</v>
      </c>
      <c r="I22" s="37" t="s">
        <v>52</v>
      </c>
      <c r="J22" s="37" t="s">
        <v>53</v>
      </c>
      <c r="K22" s="37" t="s">
        <v>54</v>
      </c>
      <c r="L22" s="38" t="s">
        <v>55</v>
      </c>
      <c r="M22" s="38" t="s">
        <v>56</v>
      </c>
      <c r="N22" s="38" t="s">
        <v>57</v>
      </c>
      <c r="O22" s="38" t="s">
        <v>58</v>
      </c>
      <c r="P22" s="38" t="s">
        <v>59</v>
      </c>
      <c r="Q22" s="38" t="s">
        <v>60</v>
      </c>
      <c r="R22" s="37" t="s">
        <v>61</v>
      </c>
      <c r="S22" s="25" t="s">
        <v>62</v>
      </c>
      <c r="T22" s="25" t="s">
        <v>63</v>
      </c>
      <c r="U22" s="40" t="s">
        <v>64</v>
      </c>
      <c r="V22" s="40" t="s">
        <v>65</v>
      </c>
      <c r="W22" s="40" t="s">
        <v>66</v>
      </c>
      <c r="X22" s="40" t="s">
        <v>67</v>
      </c>
      <c r="Y22" s="40" t="s">
        <v>68</v>
      </c>
      <c r="Z22" s="40" t="s">
        <v>69</v>
      </c>
      <c r="AA22" s="40" t="s">
        <v>70</v>
      </c>
      <c r="AB22" s="40" t="s">
        <v>71</v>
      </c>
      <c r="AC22" s="43" t="s">
        <v>72</v>
      </c>
      <c r="AD22" s="43" t="s">
        <v>73</v>
      </c>
      <c r="AE22" s="44" t="s">
        <v>74</v>
      </c>
      <c r="AF22" s="44" t="s">
        <v>75</v>
      </c>
      <c r="AG22" s="44" t="s">
        <v>76</v>
      </c>
      <c r="AH22" s="43" t="s">
        <v>77</v>
      </c>
      <c r="AI22" s="43" t="s">
        <v>78</v>
      </c>
      <c r="AJ22" s="44" t="s">
        <v>79</v>
      </c>
      <c r="AK22" s="44" t="s">
        <v>80</v>
      </c>
      <c r="AL22" s="43" t="s">
        <v>81</v>
      </c>
      <c r="AM22" s="43" t="s">
        <v>82</v>
      </c>
      <c r="AN22" s="44" t="s">
        <v>83</v>
      </c>
      <c r="AO22" s="44" t="s">
        <v>84</v>
      </c>
      <c r="AP22" s="44" t="s">
        <v>85</v>
      </c>
      <c r="AQ22" s="43" t="s">
        <v>86</v>
      </c>
      <c r="AR22" s="48" t="s">
        <v>87</v>
      </c>
      <c r="AS22" s="4" t="s">
        <v>88</v>
      </c>
      <c r="AT22" s="4" t="s">
        <v>86</v>
      </c>
      <c r="AU22" s="49" t="s">
        <v>89</v>
      </c>
      <c r="AV22" s="49" t="s">
        <v>90</v>
      </c>
      <c r="AW22" s="49" t="s">
        <v>91</v>
      </c>
      <c r="AX22" s="49" t="s">
        <v>92</v>
      </c>
      <c r="AY22" s="49" t="s">
        <v>93</v>
      </c>
      <c r="AZ22" s="49" t="s">
        <v>94</v>
      </c>
      <c r="BA22" s="49" t="s">
        <v>95</v>
      </c>
      <c r="BB22" s="49" t="s">
        <v>96</v>
      </c>
      <c r="BC22" s="51" t="s">
        <v>97</v>
      </c>
      <c r="BD22" s="51" t="s">
        <v>98</v>
      </c>
      <c r="BE22" s="51" t="s">
        <v>99</v>
      </c>
      <c r="BF22" s="49" t="s">
        <v>100</v>
      </c>
      <c r="BG22" s="49" t="s">
        <v>101</v>
      </c>
      <c r="BH22" s="49" t="s">
        <v>102</v>
      </c>
      <c r="BI22" s="49" t="s">
        <v>103</v>
      </c>
      <c r="BJ22" s="49" t="s">
        <v>104</v>
      </c>
      <c r="BK22" s="49" t="s">
        <v>105</v>
      </c>
      <c r="BL22" s="49" t="s">
        <v>106</v>
      </c>
      <c r="BM22" s="49" t="s">
        <v>107</v>
      </c>
      <c r="BN22" s="49" t="s">
        <v>108</v>
      </c>
      <c r="BO22" s="49" t="s">
        <v>94</v>
      </c>
      <c r="BP22" s="49" t="s">
        <v>109</v>
      </c>
      <c r="BQ22" s="49" t="s">
        <v>63</v>
      </c>
    </row>
    <row r="23" ht="15.25" spans="1:69">
      <c r="A23" s="28">
        <v>1</v>
      </c>
      <c r="B23" s="28" t="s">
        <v>110</v>
      </c>
      <c r="C23" s="28" t="s">
        <v>110</v>
      </c>
      <c r="D23" s="28" t="s">
        <v>12</v>
      </c>
      <c r="E23" s="28" t="s">
        <v>12</v>
      </c>
      <c r="F23" s="29">
        <v>2</v>
      </c>
      <c r="G23" s="1" t="s">
        <v>111</v>
      </c>
      <c r="H23" s="29">
        <f>F23*G23</f>
        <v>500</v>
      </c>
      <c r="I23" s="1" t="s">
        <v>112</v>
      </c>
      <c r="J23" s="29">
        <v>2</v>
      </c>
      <c r="K23" s="29">
        <v>2</v>
      </c>
      <c r="L23" s="29">
        <f>H23</f>
        <v>500</v>
      </c>
      <c r="M23" s="29">
        <f>ROUND(L23*I23%,2)</f>
        <v>10</v>
      </c>
      <c r="N23" s="29">
        <f>H23-M23</f>
        <v>490</v>
      </c>
      <c r="O23" s="29">
        <f>ROUND(N23*J23%,2)</f>
        <v>9.8</v>
      </c>
      <c r="P23" s="29">
        <f>ROUND(N23-O23,2)</f>
        <v>480.2</v>
      </c>
      <c r="Q23" s="29">
        <f>ROUND(P23*K23%,2)</f>
        <v>9.6</v>
      </c>
      <c r="R23" s="29">
        <f>M23+O23+Q23</f>
        <v>29.4</v>
      </c>
      <c r="S23" s="29">
        <f>(H23-R23)</f>
        <v>470.6</v>
      </c>
      <c r="T23" s="29" t="s">
        <v>113</v>
      </c>
      <c r="U23" s="29">
        <v>0.18</v>
      </c>
      <c r="V23" s="29">
        <f>IF(OR($C$21=1,$C$21=4),ROUND(((S23*U23)/2),2),0)</f>
        <v>0</v>
      </c>
      <c r="W23" s="29">
        <f>IF($C$21=1,ROUND(((S23*U23)/2),2),0)</f>
        <v>0</v>
      </c>
      <c r="X23" s="29">
        <f>IF($C$21=2,ROUND(((S23*U23)),2),0)</f>
        <v>0</v>
      </c>
      <c r="Y23" s="29">
        <f>IF($C$21=4,ROUND(((S23*U23)/2),2),0)</f>
        <v>0</v>
      </c>
      <c r="Z23" s="29">
        <v>0</v>
      </c>
      <c r="AA23" s="29">
        <f>IF($C21=3,0,ROUND(S23*Z23,2))</f>
        <v>0</v>
      </c>
      <c r="AB23" s="29">
        <f>V23+W23+X23+Y23+AA23</f>
        <v>0</v>
      </c>
      <c r="AC23" s="29">
        <f>IF($V21=1,S23+AB23,S23)</f>
        <v>470.6</v>
      </c>
      <c r="AD23" s="29">
        <v>120</v>
      </c>
      <c r="AE23" s="29">
        <f>IF($P$21=1,(S23/$S$24)*$E$35,AD23/$AD$24*$E$35)</f>
        <v>0</v>
      </c>
      <c r="AF23" s="29"/>
      <c r="AG23" s="29">
        <f>IF($P$21=1,(S23/$S$24)*$E$37,AD23/$AD$24*$E$37)</f>
        <v>0</v>
      </c>
      <c r="AH23" s="29">
        <f>IF($P$21=1,(S23/$S$24)*$E$37,AD23/$AD$24*$E$37)</f>
        <v>0</v>
      </c>
      <c r="AI23" s="29">
        <f>S23*$M$21</f>
        <v>470.6</v>
      </c>
      <c r="AJ23" s="29">
        <f>IF($C$21=3,0,AG23+AH23)</f>
        <v>0</v>
      </c>
      <c r="AK23" s="29">
        <f>IF($C$21=3,AE23+AG23+AH23,0)</f>
        <v>0</v>
      </c>
      <c r="AL23" s="29">
        <v>1</v>
      </c>
      <c r="AM23" s="29">
        <f>F23/AL23</f>
        <v>2</v>
      </c>
      <c r="AN23" s="29">
        <f>AI23/AM23</f>
        <v>235.3</v>
      </c>
      <c r="AO23" s="29">
        <f>AJ23/AM23</f>
        <v>0</v>
      </c>
      <c r="AP23" s="29">
        <f>AK23/AM23</f>
        <v>0</v>
      </c>
      <c r="AQ23" s="29" t="s">
        <v>12</v>
      </c>
      <c r="AR23" s="29">
        <f>AN23+AO23+AP23</f>
        <v>235.3</v>
      </c>
      <c r="AS23" s="50" t="s">
        <v>114</v>
      </c>
      <c r="AT23" s="50" t="s">
        <v>12</v>
      </c>
      <c r="AU23" s="1"/>
      <c r="AV23" s="1"/>
      <c r="AW23" s="50">
        <f>AM23</f>
        <v>2</v>
      </c>
      <c r="AX23" s="50">
        <f>AR23</f>
        <v>235.3</v>
      </c>
      <c r="AY23" s="50">
        <f>AU23+AW23</f>
        <v>2</v>
      </c>
      <c r="AZ23" s="50">
        <f>ROUND(((AU23*AV23)+(AW23*AX23))/(AU23+AW23),5)</f>
        <v>235.3</v>
      </c>
      <c r="BA23" s="52"/>
      <c r="BB23" s="52" t="s">
        <v>115</v>
      </c>
      <c r="BC23" s="53" t="s">
        <v>116</v>
      </c>
      <c r="BD23" s="54" t="s">
        <v>117</v>
      </c>
      <c r="BE23" s="54" t="s">
        <v>118</v>
      </c>
      <c r="BF23" s="52"/>
      <c r="BG23" s="52"/>
      <c r="BH23" s="52"/>
      <c r="BI23" s="50"/>
      <c r="BJ23" s="50"/>
      <c r="BK23" s="50"/>
      <c r="BL23" s="50" t="s">
        <v>119</v>
      </c>
      <c r="BM23" s="1" t="s">
        <v>120</v>
      </c>
      <c r="BN23" s="1" t="s">
        <v>120</v>
      </c>
      <c r="BO23" s="50">
        <f>ROUND((((AW23*AZ23)+(BN23*BM23))/(AW23+BN23)),5)</f>
        <v>235.3</v>
      </c>
      <c r="BP23" s="55">
        <f>BN23+AW23</f>
        <v>2</v>
      </c>
      <c r="BQ23" s="56">
        <v>88363222</v>
      </c>
    </row>
    <row r="24" ht="15.25" spans="1:69">
      <c r="A24" s="17"/>
      <c r="B24" s="30"/>
      <c r="C24" s="30"/>
      <c r="D24" s="31" t="s">
        <v>41</v>
      </c>
      <c r="E24" s="31"/>
      <c r="F24" s="31"/>
      <c r="G24" s="32"/>
      <c r="H24" s="33">
        <f>SUM(H23:H23)</f>
        <v>500</v>
      </c>
      <c r="I24" s="28"/>
      <c r="J24" s="28"/>
      <c r="K24" s="28"/>
      <c r="L24" s="28"/>
      <c r="M24" s="28"/>
      <c r="N24" s="28"/>
      <c r="O24" s="28"/>
      <c r="P24" s="28"/>
      <c r="Q24" s="28"/>
      <c r="R24" s="33">
        <f t="shared" ref="R24:Y24" si="1">SUM(R23:R23)</f>
        <v>29.4</v>
      </c>
      <c r="S24" s="41">
        <f t="shared" si="1"/>
        <v>470.6</v>
      </c>
      <c r="T24" s="33"/>
      <c r="U24" s="33"/>
      <c r="V24" s="42">
        <f t="shared" si="1"/>
        <v>0</v>
      </c>
      <c r="W24" s="42">
        <f t="shared" si="1"/>
        <v>0</v>
      </c>
      <c r="X24" s="42">
        <f t="shared" si="1"/>
        <v>0</v>
      </c>
      <c r="Y24" s="42">
        <f t="shared" si="1"/>
        <v>0</v>
      </c>
      <c r="Z24" s="42"/>
      <c r="AA24" s="42">
        <f t="shared" ref="AA24:AE24" si="2">SUM(AA23:AA23)</f>
        <v>0</v>
      </c>
      <c r="AB24" s="33">
        <f t="shared" si="2"/>
        <v>0</v>
      </c>
      <c r="AC24" s="46">
        <f t="shared" si="2"/>
        <v>470.6</v>
      </c>
      <c r="AD24" s="47">
        <f t="shared" si="2"/>
        <v>120</v>
      </c>
      <c r="AE24" s="47">
        <f t="shared" si="2"/>
        <v>0</v>
      </c>
      <c r="AF24" s="46"/>
      <c r="AG24" s="47">
        <f t="shared" ref="AG24:AK24" si="3">SUM(AG23:AG23)</f>
        <v>0</v>
      </c>
      <c r="AH24" s="47">
        <f t="shared" si="3"/>
        <v>0</v>
      </c>
      <c r="AI24" s="47">
        <f t="shared" si="3"/>
        <v>470.6</v>
      </c>
      <c r="AJ24" s="47">
        <f t="shared" si="3"/>
        <v>0</v>
      </c>
      <c r="AK24" s="47">
        <f t="shared" si="3"/>
        <v>0</v>
      </c>
      <c r="AL24" s="46"/>
      <c r="AM24" s="46"/>
      <c r="AN24" s="46"/>
      <c r="AO24" s="46"/>
      <c r="AP24" s="46"/>
      <c r="AQ24" s="46"/>
      <c r="AR24" s="46"/>
      <c r="AS24" s="17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</row>
  </sheetData>
  <mergeCells count="3">
    <mergeCell ref="A1:AC1"/>
    <mergeCell ref="B19:G19"/>
    <mergeCell ref="A21:B2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25"/>
  <sheetViews>
    <sheetView topLeftCell="A9" workbookViewId="0">
      <selection activeCell="B24" sqref="B24"/>
    </sheetView>
  </sheetViews>
  <sheetFormatPr defaultColWidth="9" defaultRowHeight="14.5"/>
  <cols>
    <col min="1" max="1" width="9" style="1"/>
    <col min="2" max="2" width="30.2818181818182" style="1" customWidth="1"/>
    <col min="3" max="3" width="19.2818181818182" style="1" customWidth="1"/>
    <col min="4" max="4" width="80.4272727272727" style="1" customWidth="1"/>
    <col min="5" max="5" width="10.4272727272727" style="1" customWidth="1"/>
    <col min="6" max="6" width="8.28181818181818" style="1" customWidth="1"/>
    <col min="7" max="7" width="10.1363636363636" style="1" customWidth="1"/>
    <col min="8" max="8" width="11.8545454545455" style="1" customWidth="1"/>
    <col min="9" max="10" width="9" style="1"/>
    <col min="11" max="11" width="6.28181818181818" style="1" customWidth="1"/>
    <col min="12" max="28" width="9" style="1"/>
    <col min="29" max="29" width="10.2818181818182" style="1" customWidth="1"/>
    <col min="30" max="30" width="12.8545454545455" style="1" customWidth="1"/>
    <col min="31" max="31" width="8.70909090909091" style="1" customWidth="1"/>
    <col min="32" max="34" width="9" style="1"/>
    <col min="35" max="35" width="14.2818181818182" style="1" customWidth="1"/>
    <col min="36" max="42" width="9" style="1"/>
    <col min="43" max="43" width="11.8545454545455" style="1" customWidth="1"/>
    <col min="44" max="44" width="23.2818181818182" style="1" customWidth="1"/>
    <col min="45" max="45" width="9" style="1"/>
    <col min="46" max="46" width="11.8545454545455" style="1" customWidth="1"/>
    <col min="47" max="47" width="15.2818181818182" style="1" customWidth="1"/>
    <col min="48" max="48" width="20.2818181818182" style="1" customWidth="1"/>
    <col min="49" max="49" width="11.4272727272727" style="1" customWidth="1"/>
    <col min="50" max="50" width="9" style="1"/>
    <col min="51" max="51" width="13.8545454545455" style="1" customWidth="1"/>
    <col min="52" max="52" width="18.8545454545455" style="1" customWidth="1"/>
    <col min="53" max="59" width="9" style="1"/>
    <col min="60" max="60" width="12.5727272727273" style="1" customWidth="1"/>
    <col min="61" max="61" width="21.7090909090909" style="1" customWidth="1"/>
    <col min="62" max="63" width="30.5727272727273" style="1" customWidth="1"/>
    <col min="64" max="64" width="8.13636363636364" style="1" customWidth="1"/>
    <col min="65" max="65" width="41.1363636363636" style="1" customWidth="1"/>
    <col min="66" max="66" width="37" style="1" customWidth="1"/>
    <col min="67" max="67" width="18.8545454545455" style="1" customWidth="1"/>
    <col min="68" max="68" width="34.4272727272727" style="1" customWidth="1"/>
    <col min="69" max="16384" width="9" style="1"/>
  </cols>
  <sheetData>
    <row r="1" s="1" customFormat="1" ht="18.5" spans="1:4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17"/>
      <c r="AS1" s="17"/>
    </row>
    <row r="2" s="1" customFormat="1" ht="19.25" spans="1:4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17"/>
      <c r="AS2" s="17"/>
    </row>
    <row r="3" s="1" customFormat="1" ht="15.25" spans="1:45">
      <c r="A3" s="3" t="s">
        <v>2</v>
      </c>
      <c r="B3" s="4" t="s">
        <v>3</v>
      </c>
      <c r="C3" s="5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6" t="s">
        <v>9</v>
      </c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17"/>
    </row>
    <row r="4" s="1" customFormat="1" spans="1:45">
      <c r="A4" s="7">
        <v>1</v>
      </c>
      <c r="B4" s="8" t="s">
        <v>10</v>
      </c>
      <c r="C4" s="8" t="s">
        <v>11</v>
      </c>
      <c r="D4" s="8" t="s">
        <v>12</v>
      </c>
      <c r="E4" s="8" t="s">
        <v>12</v>
      </c>
      <c r="F4" s="9">
        <v>25</v>
      </c>
      <c r="G4" s="10">
        <v>257.63</v>
      </c>
      <c r="H4" s="11">
        <f t="shared" ref="H4:H18" si="0">F4*G4</f>
        <v>6440.75</v>
      </c>
      <c r="I4" s="34"/>
      <c r="J4" s="34"/>
      <c r="K4" s="34"/>
      <c r="L4" s="35"/>
      <c r="M4" s="35"/>
      <c r="N4" s="35"/>
      <c r="O4" s="35"/>
      <c r="P4" s="35"/>
      <c r="Q4" s="35"/>
      <c r="R4" s="35"/>
      <c r="S4" s="35"/>
      <c r="T4" s="35"/>
      <c r="U4" s="34"/>
      <c r="V4" s="34"/>
      <c r="W4" s="34"/>
      <c r="X4" s="34"/>
      <c r="Y4" s="34"/>
      <c r="Z4" s="34"/>
      <c r="AA4" s="34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17"/>
    </row>
    <row r="5" s="1" customFormat="1" spans="1:45">
      <c r="A5" s="7">
        <v>2</v>
      </c>
      <c r="B5" s="8" t="s">
        <v>13</v>
      </c>
      <c r="C5" s="8" t="s">
        <v>14</v>
      </c>
      <c r="D5" s="8" t="s">
        <v>12</v>
      </c>
      <c r="E5" s="8" t="s">
        <v>12</v>
      </c>
      <c r="F5" s="9">
        <v>35</v>
      </c>
      <c r="G5" s="10">
        <v>125.45</v>
      </c>
      <c r="H5" s="11">
        <f t="shared" si="0"/>
        <v>4390.75</v>
      </c>
      <c r="I5" s="34"/>
      <c r="J5" s="34"/>
      <c r="K5" s="34"/>
      <c r="L5" s="35"/>
      <c r="M5" s="35"/>
      <c r="N5" s="35"/>
      <c r="O5" s="35"/>
      <c r="P5" s="35"/>
      <c r="Q5" s="35"/>
      <c r="R5" s="35"/>
      <c r="S5" s="35"/>
      <c r="T5" s="35"/>
      <c r="U5" s="34"/>
      <c r="V5" s="34"/>
      <c r="W5" s="34"/>
      <c r="X5" s="34"/>
      <c r="Y5" s="34"/>
      <c r="Z5" s="34"/>
      <c r="AA5" s="34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17"/>
    </row>
    <row r="6" s="1" customFormat="1" spans="1:45">
      <c r="A6" s="7">
        <v>3</v>
      </c>
      <c r="B6" s="8" t="s">
        <v>15</v>
      </c>
      <c r="C6" s="8" t="s">
        <v>16</v>
      </c>
      <c r="D6" s="8" t="s">
        <v>12</v>
      </c>
      <c r="E6" s="8" t="s">
        <v>12</v>
      </c>
      <c r="F6" s="9">
        <v>45</v>
      </c>
      <c r="G6" s="10">
        <v>125.36</v>
      </c>
      <c r="H6" s="11">
        <f t="shared" si="0"/>
        <v>5641.2</v>
      </c>
      <c r="I6" s="34"/>
      <c r="J6" s="34"/>
      <c r="K6" s="34"/>
      <c r="L6" s="35"/>
      <c r="M6" s="35"/>
      <c r="N6" s="35"/>
      <c r="O6" s="35"/>
      <c r="P6" s="35"/>
      <c r="Q6" s="35"/>
      <c r="R6" s="35"/>
      <c r="S6" s="35"/>
      <c r="T6" s="35"/>
      <c r="U6" s="34"/>
      <c r="V6" s="34"/>
      <c r="W6" s="34"/>
      <c r="X6" s="34"/>
      <c r="Y6" s="34"/>
      <c r="Z6" s="34"/>
      <c r="AA6" s="34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17"/>
    </row>
    <row r="7" s="1" customFormat="1" spans="1:45">
      <c r="A7" s="7">
        <v>4</v>
      </c>
      <c r="B7" s="8" t="s">
        <v>17</v>
      </c>
      <c r="C7" s="8" t="s">
        <v>18</v>
      </c>
      <c r="D7" s="8" t="s">
        <v>12</v>
      </c>
      <c r="E7" s="8" t="s">
        <v>12</v>
      </c>
      <c r="F7" s="9">
        <v>55</v>
      </c>
      <c r="G7" s="10">
        <v>45.25</v>
      </c>
      <c r="H7" s="11">
        <f t="shared" si="0"/>
        <v>2488.75</v>
      </c>
      <c r="I7" s="34"/>
      <c r="J7" s="34"/>
      <c r="K7" s="34"/>
      <c r="L7" s="35"/>
      <c r="M7" s="35"/>
      <c r="N7" s="35"/>
      <c r="O7" s="35"/>
      <c r="P7" s="35"/>
      <c r="Q7" s="35"/>
      <c r="R7" s="35"/>
      <c r="S7" s="35"/>
      <c r="T7" s="35"/>
      <c r="U7" s="34"/>
      <c r="V7" s="34"/>
      <c r="W7" s="34"/>
      <c r="X7" s="34"/>
      <c r="Y7" s="34"/>
      <c r="Z7" s="34"/>
      <c r="AA7" s="34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17"/>
    </row>
    <row r="8" s="1" customFormat="1" spans="1:45">
      <c r="A8" s="7">
        <v>5</v>
      </c>
      <c r="B8" s="8" t="s">
        <v>19</v>
      </c>
      <c r="C8" s="8" t="s">
        <v>20</v>
      </c>
      <c r="D8" s="8" t="s">
        <v>12</v>
      </c>
      <c r="E8" s="8" t="s">
        <v>12</v>
      </c>
      <c r="F8" s="9">
        <v>60</v>
      </c>
      <c r="G8" s="10">
        <v>45.5</v>
      </c>
      <c r="H8" s="11">
        <f t="shared" si="0"/>
        <v>2730</v>
      </c>
      <c r="I8" s="34"/>
      <c r="J8" s="34"/>
      <c r="K8" s="34"/>
      <c r="L8" s="35"/>
      <c r="M8" s="35"/>
      <c r="N8" s="35"/>
      <c r="O8" s="35"/>
      <c r="P8" s="35"/>
      <c r="Q8" s="35"/>
      <c r="R8" s="35"/>
      <c r="S8" s="35"/>
      <c r="T8" s="35"/>
      <c r="U8" s="34"/>
      <c r="V8" s="34"/>
      <c r="W8" s="34"/>
      <c r="X8" s="34"/>
      <c r="Y8" s="34"/>
      <c r="Z8" s="34"/>
      <c r="AA8" s="34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17"/>
    </row>
    <row r="9" s="1" customFormat="1" spans="1:45">
      <c r="A9" s="7">
        <v>6</v>
      </c>
      <c r="B9" s="8" t="s">
        <v>21</v>
      </c>
      <c r="C9" s="8" t="s">
        <v>22</v>
      </c>
      <c r="D9" s="8" t="s">
        <v>12</v>
      </c>
      <c r="E9" s="8" t="s">
        <v>12</v>
      </c>
      <c r="F9" s="9">
        <v>75</v>
      </c>
      <c r="G9" s="10">
        <v>125.25</v>
      </c>
      <c r="H9" s="11">
        <f t="shared" si="0"/>
        <v>9393.75</v>
      </c>
      <c r="I9" s="34"/>
      <c r="J9" s="34"/>
      <c r="K9" s="34"/>
      <c r="L9" s="35"/>
      <c r="M9" s="35"/>
      <c r="N9" s="35"/>
      <c r="O9" s="35"/>
      <c r="P9" s="35"/>
      <c r="Q9" s="35"/>
      <c r="R9" s="35"/>
      <c r="S9" s="35"/>
      <c r="T9" s="35"/>
      <c r="U9" s="34"/>
      <c r="V9" s="34"/>
      <c r="W9" s="34"/>
      <c r="X9" s="34"/>
      <c r="Y9" s="34"/>
      <c r="Z9" s="34"/>
      <c r="AA9" s="34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17"/>
    </row>
    <row r="10" s="1" customFormat="1" spans="1:45">
      <c r="A10" s="7">
        <v>7</v>
      </c>
      <c r="B10" s="8" t="s">
        <v>23</v>
      </c>
      <c r="C10" s="8" t="s">
        <v>24</v>
      </c>
      <c r="D10" s="8" t="s">
        <v>12</v>
      </c>
      <c r="E10" s="8" t="s">
        <v>12</v>
      </c>
      <c r="F10" s="9">
        <v>28</v>
      </c>
      <c r="G10" s="10">
        <v>150.5</v>
      </c>
      <c r="H10" s="11">
        <f t="shared" si="0"/>
        <v>4214</v>
      </c>
      <c r="I10" s="34"/>
      <c r="J10" s="34"/>
      <c r="K10" s="34"/>
      <c r="L10" s="35"/>
      <c r="M10" s="35"/>
      <c r="N10" s="35"/>
      <c r="O10" s="35"/>
      <c r="P10" s="35"/>
      <c r="Q10" s="35"/>
      <c r="R10" s="35"/>
      <c r="S10" s="35"/>
      <c r="T10" s="35"/>
      <c r="U10" s="34"/>
      <c r="V10" s="34"/>
      <c r="W10" s="34"/>
      <c r="X10" s="34"/>
      <c r="Y10" s="34"/>
      <c r="Z10" s="34"/>
      <c r="AA10" s="34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17"/>
    </row>
    <row r="11" s="1" customFormat="1" spans="1:45">
      <c r="A11" s="7">
        <v>8</v>
      </c>
      <c r="B11" s="8" t="s">
        <v>25</v>
      </c>
      <c r="C11" s="8" t="s">
        <v>26</v>
      </c>
      <c r="D11" s="8" t="s">
        <v>12</v>
      </c>
      <c r="E11" s="8" t="s">
        <v>12</v>
      </c>
      <c r="F11" s="9">
        <v>30</v>
      </c>
      <c r="G11" s="10">
        <v>65.32</v>
      </c>
      <c r="H11" s="11">
        <f t="shared" si="0"/>
        <v>1959.6</v>
      </c>
      <c r="I11" s="34"/>
      <c r="J11" s="34"/>
      <c r="K11" s="34"/>
      <c r="L11" s="35"/>
      <c r="M11" s="35"/>
      <c r="N11" s="35"/>
      <c r="O11" s="35"/>
      <c r="P11" s="35"/>
      <c r="Q11" s="35"/>
      <c r="R11" s="35"/>
      <c r="S11" s="35"/>
      <c r="T11" s="35"/>
      <c r="U11" s="34"/>
      <c r="V11" s="34"/>
      <c r="W11" s="34"/>
      <c r="X11" s="34"/>
      <c r="Y11" s="34"/>
      <c r="Z11" s="34"/>
      <c r="AA11" s="34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17"/>
    </row>
    <row r="12" s="1" customFormat="1" spans="1:45">
      <c r="A12" s="7">
        <v>9</v>
      </c>
      <c r="B12" s="8" t="s">
        <v>27</v>
      </c>
      <c r="C12" s="8" t="s">
        <v>28</v>
      </c>
      <c r="D12" s="8" t="s">
        <v>12</v>
      </c>
      <c r="E12" s="8" t="s">
        <v>12</v>
      </c>
      <c r="F12" s="9">
        <v>25</v>
      </c>
      <c r="G12" s="10">
        <v>74.89</v>
      </c>
      <c r="H12" s="11">
        <f t="shared" si="0"/>
        <v>1872.25</v>
      </c>
      <c r="I12" s="34"/>
      <c r="J12" s="34"/>
      <c r="K12" s="34"/>
      <c r="L12" s="35"/>
      <c r="M12" s="35"/>
      <c r="N12" s="35"/>
      <c r="O12" s="35"/>
      <c r="P12" s="35"/>
      <c r="Q12" s="35"/>
      <c r="R12" s="35"/>
      <c r="S12" s="35"/>
      <c r="T12" s="35"/>
      <c r="U12" s="34"/>
      <c r="V12" s="34"/>
      <c r="W12" s="34"/>
      <c r="X12" s="34"/>
      <c r="Y12" s="34"/>
      <c r="Z12" s="34"/>
      <c r="AA12" s="34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17"/>
    </row>
    <row r="13" s="1" customFormat="1" spans="1:45">
      <c r="A13" s="7">
        <v>10</v>
      </c>
      <c r="B13" s="8" t="s">
        <v>29</v>
      </c>
      <c r="C13" s="8" t="s">
        <v>30</v>
      </c>
      <c r="D13" s="8" t="s">
        <v>12</v>
      </c>
      <c r="E13" s="8" t="s">
        <v>12</v>
      </c>
      <c r="F13" s="9">
        <v>28</v>
      </c>
      <c r="G13" s="10">
        <v>89.56</v>
      </c>
      <c r="H13" s="11">
        <f t="shared" si="0"/>
        <v>2507.68</v>
      </c>
      <c r="I13" s="34"/>
      <c r="J13" s="34"/>
      <c r="K13" s="34"/>
      <c r="L13" s="35"/>
      <c r="M13" s="35"/>
      <c r="N13" s="35"/>
      <c r="O13" s="35"/>
      <c r="P13" s="35"/>
      <c r="Q13" s="35"/>
      <c r="R13" s="35"/>
      <c r="S13" s="35"/>
      <c r="T13" s="35"/>
      <c r="U13" s="34"/>
      <c r="V13" s="34"/>
      <c r="W13" s="34"/>
      <c r="X13" s="34"/>
      <c r="Y13" s="34"/>
      <c r="Z13" s="34"/>
      <c r="AA13" s="34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17"/>
    </row>
    <row r="14" s="1" customFormat="1" spans="1:45">
      <c r="A14" s="7">
        <v>11</v>
      </c>
      <c r="B14" s="8" t="s">
        <v>31</v>
      </c>
      <c r="C14" s="8" t="s">
        <v>32</v>
      </c>
      <c r="D14" s="8" t="s">
        <v>12</v>
      </c>
      <c r="E14" s="8" t="s">
        <v>12</v>
      </c>
      <c r="F14" s="9">
        <v>37</v>
      </c>
      <c r="G14" s="10">
        <v>89.54</v>
      </c>
      <c r="H14" s="11">
        <f t="shared" si="0"/>
        <v>3312.98</v>
      </c>
      <c r="I14" s="34"/>
      <c r="J14" s="34"/>
      <c r="K14" s="34"/>
      <c r="L14" s="35"/>
      <c r="M14" s="35"/>
      <c r="N14" s="35"/>
      <c r="O14" s="35"/>
      <c r="P14" s="35"/>
      <c r="Q14" s="35"/>
      <c r="R14" s="35"/>
      <c r="S14" s="35"/>
      <c r="T14" s="35"/>
      <c r="U14" s="34"/>
      <c r="V14" s="34"/>
      <c r="W14" s="34"/>
      <c r="X14" s="34"/>
      <c r="Y14" s="34"/>
      <c r="Z14" s="34"/>
      <c r="AA14" s="34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17"/>
    </row>
    <row r="15" s="1" customFormat="1" spans="1:45">
      <c r="A15" s="7">
        <v>12</v>
      </c>
      <c r="B15" s="8" t="s">
        <v>33</v>
      </c>
      <c r="C15" s="8" t="s">
        <v>34</v>
      </c>
      <c r="D15" s="8" t="s">
        <v>12</v>
      </c>
      <c r="E15" s="8" t="s">
        <v>12</v>
      </c>
      <c r="F15" s="9">
        <v>39</v>
      </c>
      <c r="G15" s="10">
        <v>98.25</v>
      </c>
      <c r="H15" s="11">
        <f t="shared" si="0"/>
        <v>3831.75</v>
      </c>
      <c r="I15" s="34"/>
      <c r="J15" s="34"/>
      <c r="K15" s="34"/>
      <c r="L15" s="35"/>
      <c r="M15" s="35"/>
      <c r="N15" s="35"/>
      <c r="O15" s="35"/>
      <c r="P15" s="35"/>
      <c r="Q15" s="35"/>
      <c r="R15" s="35"/>
      <c r="S15" s="35"/>
      <c r="T15" s="35"/>
      <c r="U15" s="34"/>
      <c r="V15" s="34"/>
      <c r="W15" s="34"/>
      <c r="X15" s="34"/>
      <c r="Y15" s="34"/>
      <c r="Z15" s="34"/>
      <c r="AA15" s="34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17"/>
    </row>
    <row r="16" s="1" customFormat="1" spans="1:45">
      <c r="A16" s="7">
        <v>13</v>
      </c>
      <c r="B16" s="8" t="s">
        <v>35</v>
      </c>
      <c r="C16" s="8" t="s">
        <v>36</v>
      </c>
      <c r="D16" s="8" t="s">
        <v>12</v>
      </c>
      <c r="E16" s="8" t="s">
        <v>12</v>
      </c>
      <c r="F16" s="9">
        <v>70</v>
      </c>
      <c r="G16" s="10">
        <v>102.25</v>
      </c>
      <c r="H16" s="11">
        <f t="shared" si="0"/>
        <v>7157.5</v>
      </c>
      <c r="I16" s="34"/>
      <c r="J16" s="34"/>
      <c r="K16" s="34"/>
      <c r="L16" s="35"/>
      <c r="M16" s="35"/>
      <c r="N16" s="35"/>
      <c r="O16" s="35"/>
      <c r="P16" s="35"/>
      <c r="Q16" s="35"/>
      <c r="R16" s="35"/>
      <c r="S16" s="35"/>
      <c r="T16" s="35"/>
      <c r="U16" s="34"/>
      <c r="V16" s="34"/>
      <c r="W16" s="34"/>
      <c r="X16" s="34"/>
      <c r="Y16" s="34"/>
      <c r="Z16" s="34"/>
      <c r="AA16" s="34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17"/>
    </row>
    <row r="17" s="1" customFormat="1" spans="1:45">
      <c r="A17" s="7">
        <v>14</v>
      </c>
      <c r="B17" s="8" t="s">
        <v>37</v>
      </c>
      <c r="C17" s="8" t="s">
        <v>38</v>
      </c>
      <c r="D17" s="8" t="s">
        <v>12</v>
      </c>
      <c r="E17" s="8" t="s">
        <v>12</v>
      </c>
      <c r="F17" s="9">
        <v>100</v>
      </c>
      <c r="G17" s="10">
        <v>103.5</v>
      </c>
      <c r="H17" s="11">
        <f t="shared" si="0"/>
        <v>10350</v>
      </c>
      <c r="I17" s="34"/>
      <c r="J17" s="34"/>
      <c r="K17" s="34"/>
      <c r="L17" s="35"/>
      <c r="M17" s="35"/>
      <c r="N17" s="35"/>
      <c r="O17" s="35"/>
      <c r="P17" s="35"/>
      <c r="Q17" s="35"/>
      <c r="R17" s="35"/>
      <c r="S17" s="39"/>
      <c r="T17" s="35"/>
      <c r="U17" s="34"/>
      <c r="V17" s="34"/>
      <c r="W17" s="34"/>
      <c r="X17" s="34"/>
      <c r="Y17" s="34"/>
      <c r="Z17" s="34"/>
      <c r="AA17" s="34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17"/>
    </row>
    <row r="18" s="1" customFormat="1" ht="15.25" spans="1:45">
      <c r="A18" s="12">
        <v>15</v>
      </c>
      <c r="B18" s="13" t="s">
        <v>39</v>
      </c>
      <c r="C18" s="13" t="s">
        <v>40</v>
      </c>
      <c r="D18" s="13" t="s">
        <v>12</v>
      </c>
      <c r="E18" s="13" t="s">
        <v>12</v>
      </c>
      <c r="F18" s="14">
        <v>85</v>
      </c>
      <c r="G18" s="15">
        <v>65.48</v>
      </c>
      <c r="H18" s="16">
        <f t="shared" si="0"/>
        <v>5565.8</v>
      </c>
      <c r="I18" s="34"/>
      <c r="J18" s="34"/>
      <c r="K18" s="34"/>
      <c r="L18" s="35"/>
      <c r="M18" s="35"/>
      <c r="N18" s="35"/>
      <c r="O18" s="35"/>
      <c r="P18" s="35"/>
      <c r="Q18" s="35"/>
      <c r="R18" s="35"/>
      <c r="S18" s="35"/>
      <c r="T18" s="35"/>
      <c r="U18" s="34"/>
      <c r="V18" s="34"/>
      <c r="W18" s="34"/>
      <c r="X18" s="34"/>
      <c r="Y18" s="34"/>
      <c r="Z18" s="34"/>
      <c r="AA18" s="34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17"/>
    </row>
    <row r="19" s="1" customFormat="1" ht="15.25" spans="1:45">
      <c r="A19" s="17"/>
      <c r="B19" s="18" t="s">
        <v>41</v>
      </c>
      <c r="C19" s="18"/>
      <c r="D19" s="18"/>
      <c r="E19" s="18"/>
      <c r="F19" s="18"/>
      <c r="G19" s="18"/>
      <c r="H19" s="19">
        <f>SUM(H4:H18)</f>
        <v>71856.76</v>
      </c>
      <c r="I19" s="36"/>
      <c r="J19" s="36"/>
      <c r="K19" s="36"/>
      <c r="L19" s="36"/>
      <c r="M19" s="36"/>
      <c r="N19" s="36"/>
      <c r="O19" s="36"/>
      <c r="P19" s="36"/>
      <c r="Q19" s="36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17"/>
    </row>
    <row r="20" s="1" customFormat="1" spans="1:45">
      <c r="A20" s="20" t="s">
        <v>42</v>
      </c>
      <c r="B20" s="21"/>
      <c r="C20" s="21"/>
      <c r="D20" s="21"/>
      <c r="E20" s="21"/>
      <c r="F20" s="21"/>
      <c r="G20" s="21"/>
      <c r="H20" s="20"/>
      <c r="I20" s="36"/>
      <c r="J20" s="36"/>
      <c r="K20" s="36"/>
      <c r="L20" s="36"/>
      <c r="M20" s="36"/>
      <c r="N20" s="36"/>
      <c r="O20" s="36"/>
      <c r="P20" s="36"/>
      <c r="Q20" s="36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17"/>
    </row>
    <row r="21" s="1" customFormat="1" ht="15.25" spans="1:45">
      <c r="A21" s="22" t="s">
        <v>43</v>
      </c>
      <c r="B21" s="22"/>
      <c r="C21" s="23">
        <v>2</v>
      </c>
      <c r="D21" s="24" t="s">
        <v>44</v>
      </c>
      <c r="E21" s="21"/>
      <c r="F21" s="21"/>
      <c r="G21" s="21"/>
      <c r="H21" s="20"/>
      <c r="I21" s="36" t="s">
        <v>45</v>
      </c>
      <c r="J21" s="36" t="s">
        <v>46</v>
      </c>
      <c r="K21" s="36"/>
      <c r="L21" s="36" t="s">
        <v>47</v>
      </c>
      <c r="M21" s="36">
        <v>1</v>
      </c>
      <c r="N21" s="36"/>
      <c r="O21" s="36" t="s">
        <v>48</v>
      </c>
      <c r="P21" s="36">
        <v>1</v>
      </c>
      <c r="Q21" s="36" t="s">
        <v>49</v>
      </c>
      <c r="R21" s="20"/>
      <c r="S21" s="20"/>
      <c r="T21" s="20"/>
      <c r="U21" s="20"/>
      <c r="V21" s="20">
        <v>1</v>
      </c>
      <c r="W21" s="20" t="s">
        <v>50</v>
      </c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17"/>
    </row>
    <row r="22" s="1" customFormat="1" ht="59.5" spans="1:69">
      <c r="A22" s="25" t="s">
        <v>2</v>
      </c>
      <c r="B22" s="25" t="s">
        <v>3</v>
      </c>
      <c r="C22" s="26" t="s">
        <v>4</v>
      </c>
      <c r="D22" s="25" t="s">
        <v>5</v>
      </c>
      <c r="E22" s="25" t="s">
        <v>6</v>
      </c>
      <c r="F22" s="27" t="s">
        <v>51</v>
      </c>
      <c r="G22" s="25" t="s">
        <v>8</v>
      </c>
      <c r="H22" s="25" t="s">
        <v>9</v>
      </c>
      <c r="I22" s="37" t="s">
        <v>52</v>
      </c>
      <c r="J22" s="37" t="s">
        <v>53</v>
      </c>
      <c r="K22" s="37" t="s">
        <v>54</v>
      </c>
      <c r="L22" s="38" t="s">
        <v>55</v>
      </c>
      <c r="M22" s="38" t="s">
        <v>56</v>
      </c>
      <c r="N22" s="38" t="s">
        <v>57</v>
      </c>
      <c r="O22" s="38" t="s">
        <v>58</v>
      </c>
      <c r="P22" s="38" t="s">
        <v>59</v>
      </c>
      <c r="Q22" s="38" t="s">
        <v>60</v>
      </c>
      <c r="R22" s="37" t="s">
        <v>61</v>
      </c>
      <c r="S22" s="25" t="s">
        <v>62</v>
      </c>
      <c r="T22" s="25" t="s">
        <v>63</v>
      </c>
      <c r="U22" s="40" t="s">
        <v>64</v>
      </c>
      <c r="V22" s="40" t="s">
        <v>65</v>
      </c>
      <c r="W22" s="40" t="s">
        <v>66</v>
      </c>
      <c r="X22" s="40" t="s">
        <v>67</v>
      </c>
      <c r="Y22" s="40" t="s">
        <v>68</v>
      </c>
      <c r="Z22" s="40" t="s">
        <v>69</v>
      </c>
      <c r="AA22" s="40" t="s">
        <v>70</v>
      </c>
      <c r="AB22" s="40" t="s">
        <v>71</v>
      </c>
      <c r="AC22" s="43" t="s">
        <v>72</v>
      </c>
      <c r="AD22" s="43" t="s">
        <v>73</v>
      </c>
      <c r="AE22" s="44" t="s">
        <v>74</v>
      </c>
      <c r="AF22" s="44" t="s">
        <v>75</v>
      </c>
      <c r="AG22" s="44" t="s">
        <v>76</v>
      </c>
      <c r="AH22" s="43" t="s">
        <v>77</v>
      </c>
      <c r="AI22" s="43" t="s">
        <v>78</v>
      </c>
      <c r="AJ22" s="44" t="s">
        <v>79</v>
      </c>
      <c r="AK22" s="44" t="s">
        <v>80</v>
      </c>
      <c r="AL22" s="43" t="s">
        <v>81</v>
      </c>
      <c r="AM22" s="43" t="s">
        <v>82</v>
      </c>
      <c r="AN22" s="44" t="s">
        <v>83</v>
      </c>
      <c r="AO22" s="44" t="s">
        <v>84</v>
      </c>
      <c r="AP22" s="44" t="s">
        <v>85</v>
      </c>
      <c r="AQ22" s="43" t="s">
        <v>86</v>
      </c>
      <c r="AR22" s="48" t="s">
        <v>87</v>
      </c>
      <c r="AS22" s="4" t="s">
        <v>88</v>
      </c>
      <c r="AT22" s="4" t="s">
        <v>86</v>
      </c>
      <c r="AU22" s="49" t="s">
        <v>89</v>
      </c>
      <c r="AV22" s="49" t="s">
        <v>90</v>
      </c>
      <c r="AW22" s="49" t="s">
        <v>91</v>
      </c>
      <c r="AX22" s="49" t="s">
        <v>92</v>
      </c>
      <c r="AY22" s="49" t="s">
        <v>93</v>
      </c>
      <c r="AZ22" s="49" t="s">
        <v>94</v>
      </c>
      <c r="BA22" s="49" t="s">
        <v>95</v>
      </c>
      <c r="BB22" s="49" t="s">
        <v>96</v>
      </c>
      <c r="BC22" s="51" t="s">
        <v>97</v>
      </c>
      <c r="BD22" s="51" t="s">
        <v>98</v>
      </c>
      <c r="BE22" s="51" t="s">
        <v>99</v>
      </c>
      <c r="BF22" s="49" t="s">
        <v>100</v>
      </c>
      <c r="BG22" s="49" t="s">
        <v>101</v>
      </c>
      <c r="BH22" s="49" t="s">
        <v>102</v>
      </c>
      <c r="BI22" s="49" t="s">
        <v>103</v>
      </c>
      <c r="BJ22" s="49" t="s">
        <v>104</v>
      </c>
      <c r="BK22" s="49" t="s">
        <v>105</v>
      </c>
      <c r="BL22" s="49" t="s">
        <v>106</v>
      </c>
      <c r="BM22" s="49" t="s">
        <v>107</v>
      </c>
      <c r="BN22" s="49" t="s">
        <v>108</v>
      </c>
      <c r="BO22" s="49" t="s">
        <v>94</v>
      </c>
      <c r="BP22" s="49" t="s">
        <v>109</v>
      </c>
      <c r="BQ22" s="49" t="s">
        <v>63</v>
      </c>
    </row>
    <row r="23" s="1" customFormat="1" ht="15.25" spans="1:70">
      <c r="A23" s="28">
        <v>1</v>
      </c>
      <c r="B23" s="28" t="s">
        <v>121</v>
      </c>
      <c r="C23" s="28" t="s">
        <v>121</v>
      </c>
      <c r="D23" s="28" t="s">
        <v>12</v>
      </c>
      <c r="E23" s="28" t="s">
        <v>12</v>
      </c>
      <c r="F23" s="29">
        <v>2</v>
      </c>
      <c r="G23" s="1" t="s">
        <v>122</v>
      </c>
      <c r="H23" s="29">
        <f>F23*G23</f>
        <v>910</v>
      </c>
      <c r="I23" s="1">
        <v>2</v>
      </c>
      <c r="J23" s="29">
        <v>2</v>
      </c>
      <c r="K23" s="29">
        <v>3</v>
      </c>
      <c r="L23" s="29">
        <f>H23</f>
        <v>910</v>
      </c>
      <c r="M23" s="29">
        <f>ROUND(L23*I23%,2)</f>
        <v>18.2</v>
      </c>
      <c r="N23" s="29">
        <f>H23-M23</f>
        <v>891.8</v>
      </c>
      <c r="O23" s="29">
        <f>ROUND(N23*J23%,2)</f>
        <v>17.84</v>
      </c>
      <c r="P23" s="29">
        <f>ROUND(N23-O23,2)</f>
        <v>873.96</v>
      </c>
      <c r="Q23" s="29">
        <f>ROUND(P23*K23%,2)</f>
        <v>26.22</v>
      </c>
      <c r="R23" s="29">
        <f>M23+O23+Q23</f>
        <v>62.26</v>
      </c>
      <c r="S23" s="29">
        <f>(H23-R23)</f>
        <v>847.74</v>
      </c>
      <c r="T23" s="29" t="s">
        <v>113</v>
      </c>
      <c r="U23" s="29">
        <v>0.18</v>
      </c>
      <c r="V23" s="29">
        <f>IF(OR($C$21=1,$C$21=4),ROUND(((S23*U23)/2),2),0)</f>
        <v>0</v>
      </c>
      <c r="W23" s="29">
        <f>IF($C$21=1,ROUND(((S23*U23)/2),2),0)</f>
        <v>0</v>
      </c>
      <c r="X23" s="29">
        <f>IF($C$21=2,ROUND(((S23*U23)),2),0)</f>
        <v>152.59</v>
      </c>
      <c r="Y23" s="29">
        <f>IF($C$21=4,ROUND(((S23*U23)/2),2),0)</f>
        <v>0</v>
      </c>
      <c r="Z23" s="45">
        <v>0</v>
      </c>
      <c r="AA23" s="29">
        <f>IF($C21=3,0,ROUND(S23*Z23,2))</f>
        <v>0</v>
      </c>
      <c r="AB23" s="29">
        <f>V23+W23+X23+Y23+AA23</f>
        <v>152.59</v>
      </c>
      <c r="AC23" s="29">
        <f>IF($V21=1,S23+AB23,S23)</f>
        <v>1000.33</v>
      </c>
      <c r="AD23" s="29">
        <v>120</v>
      </c>
      <c r="AE23" s="29">
        <f>IF($P$21=1,(S23/$S$24)*$E$35,AD23/$AD$24*$E$35)</f>
        <v>0</v>
      </c>
      <c r="AF23" s="29"/>
      <c r="AG23" s="29">
        <f>IF($P$21=1,(S23/$S$24)*$E$37,AD23/$AD$24*$E$37)</f>
        <v>0</v>
      </c>
      <c r="AH23" s="29">
        <f>IF($P$21=1,(S23/$S$24)*$E$37,AD23/$AD$24*$E$37)</f>
        <v>0</v>
      </c>
      <c r="AI23" s="29">
        <f>S23*$M$21</f>
        <v>847.74</v>
      </c>
      <c r="AJ23" s="29">
        <f>IF($C$21=3,0,AG23+AH23)</f>
        <v>0</v>
      </c>
      <c r="AK23" s="29">
        <f>IF($C$21=3,AE23+AG23+AH23,0)</f>
        <v>0</v>
      </c>
      <c r="AL23" s="29">
        <v>1</v>
      </c>
      <c r="AM23" s="29">
        <f>F23/AL23</f>
        <v>2</v>
      </c>
      <c r="AN23" s="29">
        <f>AI23/AM23</f>
        <v>423.87</v>
      </c>
      <c r="AO23" s="29">
        <f>AJ23/AM23</f>
        <v>0</v>
      </c>
      <c r="AP23" s="29">
        <f>AK23/AM23</f>
        <v>0</v>
      </c>
      <c r="AQ23" s="29" t="s">
        <v>12</v>
      </c>
      <c r="AR23" s="29">
        <f>AN23+AO23+AP23</f>
        <v>423.87</v>
      </c>
      <c r="AS23" s="50" t="s">
        <v>123</v>
      </c>
      <c r="AT23" s="50" t="s">
        <v>12</v>
      </c>
      <c r="AU23" s="1" t="s">
        <v>112</v>
      </c>
      <c r="AV23" s="1" t="s">
        <v>124</v>
      </c>
      <c r="AW23" s="50">
        <f>AM23</f>
        <v>2</v>
      </c>
      <c r="AX23" s="50">
        <f>AR23</f>
        <v>423.87</v>
      </c>
      <c r="AY23" s="50">
        <f>AU23+AW23</f>
        <v>4</v>
      </c>
      <c r="AZ23" s="50">
        <f>ROUND(((AU23*AV23)+(AW23*AX23))/(AU23+AW23),5)</f>
        <v>377.42813</v>
      </c>
      <c r="BA23" s="52"/>
      <c r="BB23" s="52" t="s">
        <v>115</v>
      </c>
      <c r="BC23" s="53" t="s">
        <v>125</v>
      </c>
      <c r="BD23" s="54" t="s">
        <v>117</v>
      </c>
      <c r="BE23" s="54" t="s">
        <v>118</v>
      </c>
      <c r="BF23" s="52"/>
      <c r="BG23" s="52"/>
      <c r="BH23" s="52"/>
      <c r="BI23" s="50"/>
      <c r="BJ23" s="50"/>
      <c r="BK23" s="50"/>
      <c r="BL23" s="50" t="s">
        <v>126</v>
      </c>
      <c r="BM23" s="1" t="s">
        <v>127</v>
      </c>
      <c r="BN23" s="1" t="s">
        <v>128</v>
      </c>
      <c r="BO23" s="50">
        <f>ROUND((((AW23*AZ23)+(BN23*BM23))/(AW23+BN23)),5)</f>
        <v>277.52168</v>
      </c>
      <c r="BP23" s="55">
        <f>BN23+AW23</f>
        <v>26</v>
      </c>
      <c r="BQ23" s="56">
        <v>88363222</v>
      </c>
      <c r="BR23" s="55"/>
    </row>
    <row r="24" s="1" customFormat="1" ht="15.25" spans="1:45">
      <c r="A24" s="17"/>
      <c r="B24" s="30"/>
      <c r="C24" s="30"/>
      <c r="D24" s="31" t="s">
        <v>41</v>
      </c>
      <c r="E24" s="31"/>
      <c r="F24" s="31"/>
      <c r="G24" s="32"/>
      <c r="H24" s="33">
        <f>SUM(H23:H23)</f>
        <v>910</v>
      </c>
      <c r="I24" s="28"/>
      <c r="J24" s="28"/>
      <c r="K24" s="28"/>
      <c r="L24" s="28"/>
      <c r="M24" s="28"/>
      <c r="N24" s="28"/>
      <c r="O24" s="28"/>
      <c r="P24" s="28"/>
      <c r="Q24" s="28"/>
      <c r="R24" s="33">
        <f t="shared" ref="R24:Y24" si="1">SUM(R23:R23)</f>
        <v>62.26</v>
      </c>
      <c r="S24" s="41">
        <f t="shared" si="1"/>
        <v>847.74</v>
      </c>
      <c r="T24" s="33"/>
      <c r="U24" s="33"/>
      <c r="V24" s="42">
        <f t="shared" si="1"/>
        <v>0</v>
      </c>
      <c r="W24" s="42">
        <f t="shared" si="1"/>
        <v>0</v>
      </c>
      <c r="X24" s="42">
        <f t="shared" si="1"/>
        <v>152.59</v>
      </c>
      <c r="Y24" s="42">
        <f t="shared" si="1"/>
        <v>0</v>
      </c>
      <c r="Z24" s="42"/>
      <c r="AA24" s="42">
        <f t="shared" ref="AA24:AE24" si="2">SUM(AA23:AA23)</f>
        <v>0</v>
      </c>
      <c r="AB24" s="33">
        <f t="shared" si="2"/>
        <v>152.59</v>
      </c>
      <c r="AC24" s="46">
        <f t="shared" si="2"/>
        <v>1000.33</v>
      </c>
      <c r="AD24" s="47">
        <f t="shared" si="2"/>
        <v>120</v>
      </c>
      <c r="AE24" s="47">
        <f t="shared" si="2"/>
        <v>0</v>
      </c>
      <c r="AF24" s="46"/>
      <c r="AG24" s="47">
        <f t="shared" ref="AG24:AK24" si="3">SUM(AG23:AG23)</f>
        <v>0</v>
      </c>
      <c r="AH24" s="47">
        <f t="shared" si="3"/>
        <v>0</v>
      </c>
      <c r="AI24" s="47">
        <f t="shared" si="3"/>
        <v>847.74</v>
      </c>
      <c r="AJ24" s="47">
        <f t="shared" si="3"/>
        <v>0</v>
      </c>
      <c r="AK24" s="47">
        <f t="shared" si="3"/>
        <v>0</v>
      </c>
      <c r="AL24" s="46"/>
      <c r="AM24" s="46"/>
      <c r="AN24" s="46"/>
      <c r="AO24" s="46"/>
      <c r="AP24" s="46"/>
      <c r="AQ24" s="46"/>
      <c r="AR24" s="46"/>
      <c r="AS24" s="17"/>
    </row>
    <row r="25" s="1" customFormat="1" spans="1:45">
      <c r="A25" s="17"/>
      <c r="B25" s="30"/>
      <c r="C25" s="30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</row>
  </sheetData>
  <mergeCells count="3">
    <mergeCell ref="A1:AC1"/>
    <mergeCell ref="B19:G19"/>
    <mergeCell ref="A21:B2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25"/>
  <sheetViews>
    <sheetView topLeftCell="A12" workbookViewId="0">
      <selection activeCell="C28" sqref="C28"/>
    </sheetView>
  </sheetViews>
  <sheetFormatPr defaultColWidth="9" defaultRowHeight="14.5"/>
  <cols>
    <col min="1" max="1" width="9" style="1"/>
    <col min="2" max="2" width="34.5727272727273" style="1" customWidth="1"/>
    <col min="3" max="3" width="19.2818181818182" style="1" customWidth="1"/>
    <col min="4" max="4" width="80.4272727272727" style="1" customWidth="1"/>
    <col min="5" max="5" width="10.4272727272727" style="1" customWidth="1"/>
    <col min="6" max="6" width="8.28181818181818" style="1" customWidth="1"/>
    <col min="7" max="7" width="10.1363636363636" style="1" customWidth="1"/>
    <col min="8" max="8" width="11.8545454545455" style="1" customWidth="1"/>
    <col min="9" max="10" width="9" style="1"/>
    <col min="11" max="11" width="6.28181818181818" style="1" customWidth="1"/>
    <col min="12" max="28" width="9" style="1"/>
    <col min="29" max="29" width="10.2818181818182" style="1" customWidth="1"/>
    <col min="30" max="30" width="12.8545454545455" style="1" customWidth="1"/>
    <col min="31" max="31" width="8.70909090909091" style="1" customWidth="1"/>
    <col min="32" max="34" width="9" style="1"/>
    <col min="35" max="35" width="14.2818181818182" style="1" customWidth="1"/>
    <col min="36" max="42" width="9" style="1"/>
    <col min="43" max="43" width="11.8545454545455" style="1" customWidth="1"/>
    <col min="44" max="44" width="23.2818181818182" style="1" customWidth="1"/>
    <col min="45" max="45" width="9" style="1"/>
    <col min="46" max="46" width="11.8545454545455" style="1" customWidth="1"/>
    <col min="47" max="47" width="15.2818181818182" style="1" customWidth="1"/>
    <col min="48" max="48" width="20.2818181818182" style="1" customWidth="1"/>
    <col min="49" max="49" width="11.4272727272727" style="1" customWidth="1"/>
    <col min="50" max="50" width="9" style="1"/>
    <col min="51" max="51" width="13.8545454545455" style="1" customWidth="1"/>
    <col min="52" max="52" width="18.8545454545455" style="1" customWidth="1"/>
    <col min="53" max="59" width="9" style="1"/>
    <col min="60" max="60" width="12.5727272727273" style="1" customWidth="1"/>
    <col min="61" max="61" width="21.7090909090909" style="1" customWidth="1"/>
    <col min="62" max="63" width="30.5727272727273" style="1" customWidth="1"/>
    <col min="64" max="64" width="8.13636363636364" style="1" customWidth="1"/>
    <col min="65" max="65" width="41.1363636363636" style="1" customWidth="1"/>
    <col min="66" max="66" width="37" style="1" customWidth="1"/>
    <col min="67" max="67" width="18.8545454545455" style="1" customWidth="1"/>
    <col min="68" max="68" width="34.4272727272727" style="1" customWidth="1"/>
    <col min="69" max="16384" width="9" style="1"/>
  </cols>
  <sheetData>
    <row r="1" s="1" customFormat="1" ht="18.5" spans="1:4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17"/>
      <c r="AS1" s="17"/>
    </row>
    <row r="2" s="1" customFormat="1" ht="19.25" spans="1:4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17"/>
      <c r="AS2" s="17"/>
    </row>
    <row r="3" s="1" customFormat="1" ht="15.25" spans="1:45">
      <c r="A3" s="3" t="s">
        <v>2</v>
      </c>
      <c r="B3" s="4" t="s">
        <v>3</v>
      </c>
      <c r="C3" s="5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6" t="s">
        <v>9</v>
      </c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17"/>
    </row>
    <row r="4" s="1" customFormat="1" spans="1:45">
      <c r="A4" s="7">
        <v>1</v>
      </c>
      <c r="B4" s="8" t="s">
        <v>10</v>
      </c>
      <c r="C4" s="8" t="s">
        <v>11</v>
      </c>
      <c r="D4" s="8" t="s">
        <v>12</v>
      </c>
      <c r="E4" s="8" t="s">
        <v>12</v>
      </c>
      <c r="F4" s="9">
        <v>25</v>
      </c>
      <c r="G4" s="10">
        <v>257.63</v>
      </c>
      <c r="H4" s="11">
        <f t="shared" ref="H4:H18" si="0">F4*G4</f>
        <v>6440.75</v>
      </c>
      <c r="I4" s="34"/>
      <c r="J4" s="34"/>
      <c r="K4" s="34"/>
      <c r="L4" s="35"/>
      <c r="M4" s="35"/>
      <c r="N4" s="35"/>
      <c r="O4" s="35"/>
      <c r="P4" s="35"/>
      <c r="Q4" s="35"/>
      <c r="R4" s="35"/>
      <c r="S4" s="35"/>
      <c r="T4" s="35"/>
      <c r="U4" s="34"/>
      <c r="V4" s="34"/>
      <c r="W4" s="34"/>
      <c r="X4" s="34"/>
      <c r="Y4" s="34"/>
      <c r="Z4" s="34"/>
      <c r="AA4" s="34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17"/>
    </row>
    <row r="5" s="1" customFormat="1" spans="1:45">
      <c r="A5" s="7">
        <v>2</v>
      </c>
      <c r="B5" s="8" t="s">
        <v>13</v>
      </c>
      <c r="C5" s="8" t="s">
        <v>14</v>
      </c>
      <c r="D5" s="8" t="s">
        <v>12</v>
      </c>
      <c r="E5" s="8" t="s">
        <v>12</v>
      </c>
      <c r="F5" s="9">
        <v>35</v>
      </c>
      <c r="G5" s="10">
        <v>125.45</v>
      </c>
      <c r="H5" s="11">
        <f t="shared" si="0"/>
        <v>4390.75</v>
      </c>
      <c r="I5" s="34"/>
      <c r="J5" s="34"/>
      <c r="K5" s="34"/>
      <c r="L5" s="35"/>
      <c r="M5" s="35"/>
      <c r="N5" s="35"/>
      <c r="O5" s="35"/>
      <c r="P5" s="35"/>
      <c r="Q5" s="35"/>
      <c r="R5" s="35"/>
      <c r="S5" s="35"/>
      <c r="T5" s="35"/>
      <c r="U5" s="34"/>
      <c r="V5" s="34"/>
      <c r="W5" s="34"/>
      <c r="X5" s="34"/>
      <c r="Y5" s="34"/>
      <c r="Z5" s="34"/>
      <c r="AA5" s="34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17"/>
    </row>
    <row r="6" s="1" customFormat="1" spans="1:45">
      <c r="A6" s="7">
        <v>3</v>
      </c>
      <c r="B6" s="8" t="s">
        <v>15</v>
      </c>
      <c r="C6" s="8" t="s">
        <v>16</v>
      </c>
      <c r="D6" s="8" t="s">
        <v>12</v>
      </c>
      <c r="E6" s="8" t="s">
        <v>12</v>
      </c>
      <c r="F6" s="9">
        <v>45</v>
      </c>
      <c r="G6" s="10">
        <v>125.36</v>
      </c>
      <c r="H6" s="11">
        <f t="shared" si="0"/>
        <v>5641.2</v>
      </c>
      <c r="I6" s="34"/>
      <c r="J6" s="34"/>
      <c r="K6" s="34"/>
      <c r="L6" s="35"/>
      <c r="M6" s="35"/>
      <c r="N6" s="35"/>
      <c r="O6" s="35"/>
      <c r="P6" s="35"/>
      <c r="Q6" s="35"/>
      <c r="R6" s="35"/>
      <c r="S6" s="35"/>
      <c r="T6" s="35"/>
      <c r="U6" s="34"/>
      <c r="V6" s="34"/>
      <c r="W6" s="34"/>
      <c r="X6" s="34"/>
      <c r="Y6" s="34"/>
      <c r="Z6" s="34"/>
      <c r="AA6" s="34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17"/>
    </row>
    <row r="7" s="1" customFormat="1" spans="1:45">
      <c r="A7" s="7">
        <v>4</v>
      </c>
      <c r="B7" s="8" t="s">
        <v>17</v>
      </c>
      <c r="C7" s="8" t="s">
        <v>18</v>
      </c>
      <c r="D7" s="8" t="s">
        <v>12</v>
      </c>
      <c r="E7" s="8" t="s">
        <v>12</v>
      </c>
      <c r="F7" s="9">
        <v>55</v>
      </c>
      <c r="G7" s="10">
        <v>45.25</v>
      </c>
      <c r="H7" s="11">
        <f t="shared" si="0"/>
        <v>2488.75</v>
      </c>
      <c r="I7" s="34"/>
      <c r="J7" s="34"/>
      <c r="K7" s="34"/>
      <c r="L7" s="35"/>
      <c r="M7" s="35"/>
      <c r="N7" s="35"/>
      <c r="O7" s="35"/>
      <c r="P7" s="35"/>
      <c r="Q7" s="35"/>
      <c r="R7" s="35"/>
      <c r="S7" s="35"/>
      <c r="T7" s="35"/>
      <c r="U7" s="34"/>
      <c r="V7" s="34"/>
      <c r="W7" s="34"/>
      <c r="X7" s="34"/>
      <c r="Y7" s="34"/>
      <c r="Z7" s="34"/>
      <c r="AA7" s="34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17"/>
    </row>
    <row r="8" s="1" customFormat="1" spans="1:45">
      <c r="A8" s="7">
        <v>5</v>
      </c>
      <c r="B8" s="8" t="s">
        <v>19</v>
      </c>
      <c r="C8" s="8" t="s">
        <v>20</v>
      </c>
      <c r="D8" s="8" t="s">
        <v>12</v>
      </c>
      <c r="E8" s="8" t="s">
        <v>12</v>
      </c>
      <c r="F8" s="9">
        <v>60</v>
      </c>
      <c r="G8" s="10">
        <v>45.5</v>
      </c>
      <c r="H8" s="11">
        <f t="shared" si="0"/>
        <v>2730</v>
      </c>
      <c r="I8" s="34"/>
      <c r="J8" s="34"/>
      <c r="K8" s="34"/>
      <c r="L8" s="35"/>
      <c r="M8" s="35"/>
      <c r="N8" s="35"/>
      <c r="O8" s="35"/>
      <c r="P8" s="35"/>
      <c r="Q8" s="35"/>
      <c r="R8" s="35"/>
      <c r="S8" s="35"/>
      <c r="T8" s="35"/>
      <c r="U8" s="34"/>
      <c r="V8" s="34"/>
      <c r="W8" s="34"/>
      <c r="X8" s="34"/>
      <c r="Y8" s="34"/>
      <c r="Z8" s="34"/>
      <c r="AA8" s="34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17"/>
    </row>
    <row r="9" s="1" customFormat="1" spans="1:45">
      <c r="A9" s="7">
        <v>6</v>
      </c>
      <c r="B9" s="8" t="s">
        <v>21</v>
      </c>
      <c r="C9" s="8" t="s">
        <v>22</v>
      </c>
      <c r="D9" s="8" t="s">
        <v>12</v>
      </c>
      <c r="E9" s="8" t="s">
        <v>12</v>
      </c>
      <c r="F9" s="9">
        <v>75</v>
      </c>
      <c r="G9" s="10">
        <v>125.25</v>
      </c>
      <c r="H9" s="11">
        <f t="shared" si="0"/>
        <v>9393.75</v>
      </c>
      <c r="I9" s="34"/>
      <c r="J9" s="34"/>
      <c r="K9" s="34"/>
      <c r="L9" s="35"/>
      <c r="M9" s="35"/>
      <c r="N9" s="35"/>
      <c r="O9" s="35"/>
      <c r="P9" s="35"/>
      <c r="Q9" s="35"/>
      <c r="R9" s="35"/>
      <c r="S9" s="35"/>
      <c r="T9" s="35"/>
      <c r="U9" s="34"/>
      <c r="V9" s="34"/>
      <c r="W9" s="34"/>
      <c r="X9" s="34"/>
      <c r="Y9" s="34"/>
      <c r="Z9" s="34"/>
      <c r="AA9" s="34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17"/>
    </row>
    <row r="10" s="1" customFormat="1" spans="1:45">
      <c r="A10" s="7">
        <v>7</v>
      </c>
      <c r="B10" s="8" t="s">
        <v>23</v>
      </c>
      <c r="C10" s="8" t="s">
        <v>24</v>
      </c>
      <c r="D10" s="8" t="s">
        <v>12</v>
      </c>
      <c r="E10" s="8" t="s">
        <v>12</v>
      </c>
      <c r="F10" s="9">
        <v>28</v>
      </c>
      <c r="G10" s="10">
        <v>150.5</v>
      </c>
      <c r="H10" s="11">
        <f t="shared" si="0"/>
        <v>4214</v>
      </c>
      <c r="I10" s="34"/>
      <c r="J10" s="34"/>
      <c r="K10" s="34"/>
      <c r="L10" s="35"/>
      <c r="M10" s="35"/>
      <c r="N10" s="35"/>
      <c r="O10" s="35"/>
      <c r="P10" s="35"/>
      <c r="Q10" s="35"/>
      <c r="R10" s="35"/>
      <c r="S10" s="35"/>
      <c r="T10" s="35"/>
      <c r="U10" s="34"/>
      <c r="V10" s="34"/>
      <c r="W10" s="34"/>
      <c r="X10" s="34"/>
      <c r="Y10" s="34"/>
      <c r="Z10" s="34"/>
      <c r="AA10" s="34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17"/>
    </row>
    <row r="11" s="1" customFormat="1" spans="1:45">
      <c r="A11" s="7">
        <v>8</v>
      </c>
      <c r="B11" s="8" t="s">
        <v>25</v>
      </c>
      <c r="C11" s="8" t="s">
        <v>26</v>
      </c>
      <c r="D11" s="8" t="s">
        <v>12</v>
      </c>
      <c r="E11" s="8" t="s">
        <v>12</v>
      </c>
      <c r="F11" s="9">
        <v>30</v>
      </c>
      <c r="G11" s="10">
        <v>65.32</v>
      </c>
      <c r="H11" s="11">
        <f t="shared" si="0"/>
        <v>1959.6</v>
      </c>
      <c r="I11" s="34"/>
      <c r="J11" s="34"/>
      <c r="K11" s="34"/>
      <c r="L11" s="35"/>
      <c r="M11" s="35"/>
      <c r="N11" s="35"/>
      <c r="O11" s="35"/>
      <c r="P11" s="35"/>
      <c r="Q11" s="35"/>
      <c r="R11" s="35"/>
      <c r="S11" s="35"/>
      <c r="T11" s="35"/>
      <c r="U11" s="34"/>
      <c r="V11" s="34"/>
      <c r="W11" s="34"/>
      <c r="X11" s="34"/>
      <c r="Y11" s="34"/>
      <c r="Z11" s="34"/>
      <c r="AA11" s="34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17"/>
    </row>
    <row r="12" s="1" customFormat="1" spans="1:45">
      <c r="A12" s="7">
        <v>9</v>
      </c>
      <c r="B12" s="8" t="s">
        <v>27</v>
      </c>
      <c r="C12" s="8" t="s">
        <v>28</v>
      </c>
      <c r="D12" s="8" t="s">
        <v>12</v>
      </c>
      <c r="E12" s="8" t="s">
        <v>12</v>
      </c>
      <c r="F12" s="9">
        <v>25</v>
      </c>
      <c r="G12" s="10">
        <v>74.89</v>
      </c>
      <c r="H12" s="11">
        <f t="shared" si="0"/>
        <v>1872.25</v>
      </c>
      <c r="I12" s="34"/>
      <c r="J12" s="34"/>
      <c r="K12" s="34"/>
      <c r="L12" s="35"/>
      <c r="M12" s="35"/>
      <c r="N12" s="35"/>
      <c r="O12" s="35"/>
      <c r="P12" s="35"/>
      <c r="Q12" s="35"/>
      <c r="R12" s="35"/>
      <c r="S12" s="35"/>
      <c r="T12" s="35"/>
      <c r="U12" s="34"/>
      <c r="V12" s="34"/>
      <c r="W12" s="34"/>
      <c r="X12" s="34"/>
      <c r="Y12" s="34"/>
      <c r="Z12" s="34"/>
      <c r="AA12" s="34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17"/>
    </row>
    <row r="13" s="1" customFormat="1" spans="1:45">
      <c r="A13" s="7">
        <v>10</v>
      </c>
      <c r="B13" s="8" t="s">
        <v>29</v>
      </c>
      <c r="C13" s="8" t="s">
        <v>30</v>
      </c>
      <c r="D13" s="8" t="s">
        <v>12</v>
      </c>
      <c r="E13" s="8" t="s">
        <v>12</v>
      </c>
      <c r="F13" s="9">
        <v>28</v>
      </c>
      <c r="G13" s="10">
        <v>89.56</v>
      </c>
      <c r="H13" s="11">
        <f t="shared" si="0"/>
        <v>2507.68</v>
      </c>
      <c r="I13" s="34"/>
      <c r="J13" s="34"/>
      <c r="K13" s="34"/>
      <c r="L13" s="35"/>
      <c r="M13" s="35"/>
      <c r="N13" s="35"/>
      <c r="O13" s="35"/>
      <c r="P13" s="35"/>
      <c r="Q13" s="35"/>
      <c r="R13" s="35"/>
      <c r="S13" s="35"/>
      <c r="T13" s="35"/>
      <c r="U13" s="34"/>
      <c r="V13" s="34"/>
      <c r="W13" s="34"/>
      <c r="X13" s="34"/>
      <c r="Y13" s="34"/>
      <c r="Z13" s="34"/>
      <c r="AA13" s="34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17"/>
    </row>
    <row r="14" s="1" customFormat="1" spans="1:45">
      <c r="A14" s="7">
        <v>11</v>
      </c>
      <c r="B14" s="8" t="s">
        <v>31</v>
      </c>
      <c r="C14" s="8" t="s">
        <v>32</v>
      </c>
      <c r="D14" s="8" t="s">
        <v>12</v>
      </c>
      <c r="E14" s="8" t="s">
        <v>12</v>
      </c>
      <c r="F14" s="9">
        <v>37</v>
      </c>
      <c r="G14" s="10">
        <v>89.54</v>
      </c>
      <c r="H14" s="11">
        <f t="shared" si="0"/>
        <v>3312.98</v>
      </c>
      <c r="I14" s="34"/>
      <c r="J14" s="34"/>
      <c r="K14" s="34"/>
      <c r="L14" s="35"/>
      <c r="M14" s="35"/>
      <c r="N14" s="35"/>
      <c r="O14" s="35"/>
      <c r="P14" s="35"/>
      <c r="Q14" s="35"/>
      <c r="R14" s="35"/>
      <c r="S14" s="35"/>
      <c r="T14" s="35"/>
      <c r="U14" s="34"/>
      <c r="V14" s="34"/>
      <c r="W14" s="34"/>
      <c r="X14" s="34"/>
      <c r="Y14" s="34"/>
      <c r="Z14" s="34"/>
      <c r="AA14" s="34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17"/>
    </row>
    <row r="15" s="1" customFormat="1" spans="1:45">
      <c r="A15" s="7">
        <v>12</v>
      </c>
      <c r="B15" s="8" t="s">
        <v>33</v>
      </c>
      <c r="C15" s="8" t="s">
        <v>34</v>
      </c>
      <c r="D15" s="8" t="s">
        <v>12</v>
      </c>
      <c r="E15" s="8" t="s">
        <v>12</v>
      </c>
      <c r="F15" s="9">
        <v>39</v>
      </c>
      <c r="G15" s="10">
        <v>98.25</v>
      </c>
      <c r="H15" s="11">
        <f t="shared" si="0"/>
        <v>3831.75</v>
      </c>
      <c r="I15" s="34"/>
      <c r="J15" s="34"/>
      <c r="K15" s="34"/>
      <c r="L15" s="35"/>
      <c r="M15" s="35"/>
      <c r="N15" s="35"/>
      <c r="O15" s="35"/>
      <c r="P15" s="35"/>
      <c r="Q15" s="35"/>
      <c r="R15" s="35"/>
      <c r="S15" s="35"/>
      <c r="T15" s="35"/>
      <c r="U15" s="34"/>
      <c r="V15" s="34"/>
      <c r="W15" s="34"/>
      <c r="X15" s="34"/>
      <c r="Y15" s="34"/>
      <c r="Z15" s="34"/>
      <c r="AA15" s="34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17"/>
    </row>
    <row r="16" s="1" customFormat="1" spans="1:45">
      <c r="A16" s="7">
        <v>13</v>
      </c>
      <c r="B16" s="8" t="s">
        <v>35</v>
      </c>
      <c r="C16" s="8" t="s">
        <v>36</v>
      </c>
      <c r="D16" s="8" t="s">
        <v>12</v>
      </c>
      <c r="E16" s="8" t="s">
        <v>12</v>
      </c>
      <c r="F16" s="9">
        <v>70</v>
      </c>
      <c r="G16" s="10">
        <v>102.25</v>
      </c>
      <c r="H16" s="11">
        <f t="shared" si="0"/>
        <v>7157.5</v>
      </c>
      <c r="I16" s="34"/>
      <c r="J16" s="34"/>
      <c r="K16" s="34"/>
      <c r="L16" s="35"/>
      <c r="M16" s="35"/>
      <c r="N16" s="35"/>
      <c r="O16" s="35"/>
      <c r="P16" s="35"/>
      <c r="Q16" s="35"/>
      <c r="R16" s="35"/>
      <c r="S16" s="35"/>
      <c r="T16" s="35"/>
      <c r="U16" s="34"/>
      <c r="V16" s="34"/>
      <c r="W16" s="34"/>
      <c r="X16" s="34"/>
      <c r="Y16" s="34"/>
      <c r="Z16" s="34"/>
      <c r="AA16" s="34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17"/>
    </row>
    <row r="17" s="1" customFormat="1" spans="1:45">
      <c r="A17" s="7">
        <v>14</v>
      </c>
      <c r="B17" s="8" t="s">
        <v>37</v>
      </c>
      <c r="C17" s="8" t="s">
        <v>38</v>
      </c>
      <c r="D17" s="8" t="s">
        <v>12</v>
      </c>
      <c r="E17" s="8" t="s">
        <v>12</v>
      </c>
      <c r="F17" s="9">
        <v>100</v>
      </c>
      <c r="G17" s="10">
        <v>103.5</v>
      </c>
      <c r="H17" s="11">
        <f t="shared" si="0"/>
        <v>10350</v>
      </c>
      <c r="I17" s="34"/>
      <c r="J17" s="34"/>
      <c r="K17" s="34"/>
      <c r="L17" s="35"/>
      <c r="M17" s="35"/>
      <c r="N17" s="35"/>
      <c r="O17" s="35"/>
      <c r="P17" s="35"/>
      <c r="Q17" s="35"/>
      <c r="R17" s="35"/>
      <c r="S17" s="39"/>
      <c r="T17" s="35"/>
      <c r="U17" s="34"/>
      <c r="V17" s="34"/>
      <c r="W17" s="34"/>
      <c r="X17" s="34"/>
      <c r="Y17" s="34"/>
      <c r="Z17" s="34"/>
      <c r="AA17" s="34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17"/>
    </row>
    <row r="18" s="1" customFormat="1" ht="15.25" spans="1:45">
      <c r="A18" s="12">
        <v>15</v>
      </c>
      <c r="B18" s="13" t="s">
        <v>39</v>
      </c>
      <c r="C18" s="13" t="s">
        <v>40</v>
      </c>
      <c r="D18" s="13" t="s">
        <v>12</v>
      </c>
      <c r="E18" s="13" t="s">
        <v>12</v>
      </c>
      <c r="F18" s="14">
        <v>85</v>
      </c>
      <c r="G18" s="15">
        <v>65.48</v>
      </c>
      <c r="H18" s="16">
        <f t="shared" si="0"/>
        <v>5565.8</v>
      </c>
      <c r="I18" s="34"/>
      <c r="J18" s="34"/>
      <c r="K18" s="34"/>
      <c r="L18" s="35"/>
      <c r="M18" s="35"/>
      <c r="N18" s="35"/>
      <c r="O18" s="35"/>
      <c r="P18" s="35"/>
      <c r="Q18" s="35"/>
      <c r="R18" s="35"/>
      <c r="S18" s="35"/>
      <c r="T18" s="35"/>
      <c r="U18" s="34"/>
      <c r="V18" s="34"/>
      <c r="W18" s="34"/>
      <c r="X18" s="34"/>
      <c r="Y18" s="34"/>
      <c r="Z18" s="34"/>
      <c r="AA18" s="34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17"/>
    </row>
    <row r="19" s="1" customFormat="1" ht="15.25" spans="1:45">
      <c r="A19" s="17"/>
      <c r="B19" s="18" t="s">
        <v>41</v>
      </c>
      <c r="C19" s="18"/>
      <c r="D19" s="18"/>
      <c r="E19" s="18"/>
      <c r="F19" s="18"/>
      <c r="G19" s="18"/>
      <c r="H19" s="19">
        <f>SUM(H4:H18)</f>
        <v>71856.76</v>
      </c>
      <c r="I19" s="36"/>
      <c r="J19" s="36"/>
      <c r="K19" s="36"/>
      <c r="L19" s="36"/>
      <c r="M19" s="36"/>
      <c r="N19" s="36"/>
      <c r="O19" s="36"/>
      <c r="P19" s="36"/>
      <c r="Q19" s="36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17"/>
    </row>
    <row r="20" s="1" customFormat="1" spans="1:45">
      <c r="A20" s="20" t="s">
        <v>42</v>
      </c>
      <c r="B20" s="21"/>
      <c r="C20" s="21"/>
      <c r="D20" s="21"/>
      <c r="E20" s="21"/>
      <c r="F20" s="21"/>
      <c r="G20" s="21"/>
      <c r="H20" s="20"/>
      <c r="I20" s="36"/>
      <c r="J20" s="36"/>
      <c r="K20" s="36"/>
      <c r="L20" s="36"/>
      <c r="M20" s="36"/>
      <c r="N20" s="36"/>
      <c r="O20" s="36"/>
      <c r="P20" s="36"/>
      <c r="Q20" s="36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17"/>
    </row>
    <row r="21" s="1" customFormat="1" ht="15.25" spans="1:45">
      <c r="A21" s="22" t="s">
        <v>43</v>
      </c>
      <c r="B21" s="22"/>
      <c r="C21" s="23">
        <v>3</v>
      </c>
      <c r="D21" s="24" t="s">
        <v>44</v>
      </c>
      <c r="E21" s="21"/>
      <c r="F21" s="21"/>
      <c r="G21" s="21"/>
      <c r="H21" s="20"/>
      <c r="I21" s="36" t="s">
        <v>45</v>
      </c>
      <c r="J21" s="36" t="s">
        <v>46</v>
      </c>
      <c r="K21" s="36"/>
      <c r="L21" s="36" t="s">
        <v>47</v>
      </c>
      <c r="M21" s="36">
        <v>1</v>
      </c>
      <c r="N21" s="36"/>
      <c r="O21" s="36" t="s">
        <v>48</v>
      </c>
      <c r="P21" s="36">
        <v>1</v>
      </c>
      <c r="Q21" s="36" t="s">
        <v>49</v>
      </c>
      <c r="R21" s="20"/>
      <c r="S21" s="20"/>
      <c r="T21" s="20"/>
      <c r="U21" s="20"/>
      <c r="V21" s="20">
        <v>1</v>
      </c>
      <c r="W21" s="20" t="s">
        <v>50</v>
      </c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17"/>
    </row>
    <row r="22" s="1" customFormat="1" ht="59.5" spans="1:69">
      <c r="A22" s="25" t="s">
        <v>2</v>
      </c>
      <c r="B22" s="25" t="s">
        <v>3</v>
      </c>
      <c r="C22" s="26" t="s">
        <v>4</v>
      </c>
      <c r="D22" s="25" t="s">
        <v>5</v>
      </c>
      <c r="E22" s="25" t="s">
        <v>6</v>
      </c>
      <c r="F22" s="27" t="s">
        <v>51</v>
      </c>
      <c r="G22" s="25" t="s">
        <v>8</v>
      </c>
      <c r="H22" s="25" t="s">
        <v>9</v>
      </c>
      <c r="I22" s="37" t="s">
        <v>52</v>
      </c>
      <c r="J22" s="37" t="s">
        <v>53</v>
      </c>
      <c r="K22" s="37" t="s">
        <v>54</v>
      </c>
      <c r="L22" s="38" t="s">
        <v>55</v>
      </c>
      <c r="M22" s="38" t="s">
        <v>56</v>
      </c>
      <c r="N22" s="38" t="s">
        <v>57</v>
      </c>
      <c r="O22" s="38" t="s">
        <v>58</v>
      </c>
      <c r="P22" s="38" t="s">
        <v>59</v>
      </c>
      <c r="Q22" s="38" t="s">
        <v>60</v>
      </c>
      <c r="R22" s="37" t="s">
        <v>61</v>
      </c>
      <c r="S22" s="25" t="s">
        <v>62</v>
      </c>
      <c r="T22" s="25" t="s">
        <v>63</v>
      </c>
      <c r="U22" s="40" t="s">
        <v>64</v>
      </c>
      <c r="V22" s="40" t="s">
        <v>65</v>
      </c>
      <c r="W22" s="40" t="s">
        <v>66</v>
      </c>
      <c r="X22" s="40" t="s">
        <v>67</v>
      </c>
      <c r="Y22" s="40" t="s">
        <v>68</v>
      </c>
      <c r="Z22" s="40" t="s">
        <v>69</v>
      </c>
      <c r="AA22" s="40" t="s">
        <v>70</v>
      </c>
      <c r="AB22" s="40" t="s">
        <v>71</v>
      </c>
      <c r="AC22" s="43" t="s">
        <v>72</v>
      </c>
      <c r="AD22" s="43" t="s">
        <v>73</v>
      </c>
      <c r="AE22" s="44" t="s">
        <v>74</v>
      </c>
      <c r="AF22" s="44" t="s">
        <v>75</v>
      </c>
      <c r="AG22" s="44" t="s">
        <v>76</v>
      </c>
      <c r="AH22" s="43" t="s">
        <v>77</v>
      </c>
      <c r="AI22" s="43" t="s">
        <v>78</v>
      </c>
      <c r="AJ22" s="44" t="s">
        <v>79</v>
      </c>
      <c r="AK22" s="44" t="s">
        <v>80</v>
      </c>
      <c r="AL22" s="43" t="s">
        <v>81</v>
      </c>
      <c r="AM22" s="43" t="s">
        <v>82</v>
      </c>
      <c r="AN22" s="44" t="s">
        <v>83</v>
      </c>
      <c r="AO22" s="44" t="s">
        <v>84</v>
      </c>
      <c r="AP22" s="44" t="s">
        <v>85</v>
      </c>
      <c r="AQ22" s="43" t="s">
        <v>86</v>
      </c>
      <c r="AR22" s="48" t="s">
        <v>87</v>
      </c>
      <c r="AS22" s="4" t="s">
        <v>88</v>
      </c>
      <c r="AT22" s="4" t="s">
        <v>86</v>
      </c>
      <c r="AU22" s="49" t="s">
        <v>89</v>
      </c>
      <c r="AV22" s="49" t="s">
        <v>90</v>
      </c>
      <c r="AW22" s="49" t="s">
        <v>91</v>
      </c>
      <c r="AX22" s="49" t="s">
        <v>92</v>
      </c>
      <c r="AY22" s="49" t="s">
        <v>93</v>
      </c>
      <c r="AZ22" s="49" t="s">
        <v>94</v>
      </c>
      <c r="BA22" s="49" t="s">
        <v>95</v>
      </c>
      <c r="BB22" s="49" t="s">
        <v>96</v>
      </c>
      <c r="BC22" s="51" t="s">
        <v>97</v>
      </c>
      <c r="BD22" s="51" t="s">
        <v>98</v>
      </c>
      <c r="BE22" s="51" t="s">
        <v>99</v>
      </c>
      <c r="BF22" s="49" t="s">
        <v>100</v>
      </c>
      <c r="BG22" s="49" t="s">
        <v>101</v>
      </c>
      <c r="BH22" s="49" t="s">
        <v>102</v>
      </c>
      <c r="BI22" s="49" t="s">
        <v>103</v>
      </c>
      <c r="BJ22" s="49" t="s">
        <v>104</v>
      </c>
      <c r="BK22" s="49" t="s">
        <v>105</v>
      </c>
      <c r="BL22" s="49" t="s">
        <v>106</v>
      </c>
      <c r="BM22" s="49" t="s">
        <v>107</v>
      </c>
      <c r="BN22" s="49" t="s">
        <v>108</v>
      </c>
      <c r="BO22" s="49" t="s">
        <v>94</v>
      </c>
      <c r="BP22" s="49" t="s">
        <v>109</v>
      </c>
      <c r="BQ22" s="49" t="s">
        <v>63</v>
      </c>
    </row>
    <row r="23" s="1" customFormat="1" ht="15.25" spans="1:70">
      <c r="A23" s="28">
        <v>1</v>
      </c>
      <c r="B23" s="28" t="s">
        <v>129</v>
      </c>
      <c r="C23" s="28" t="s">
        <v>129</v>
      </c>
      <c r="D23" s="28" t="s">
        <v>12</v>
      </c>
      <c r="E23" s="28" t="s">
        <v>12</v>
      </c>
      <c r="F23" s="29">
        <v>2</v>
      </c>
      <c r="G23" s="1" t="s">
        <v>130</v>
      </c>
      <c r="H23" s="29">
        <f>F23*G23</f>
        <v>400</v>
      </c>
      <c r="I23" s="1" t="s">
        <v>112</v>
      </c>
      <c r="J23" s="29">
        <v>1.79</v>
      </c>
      <c r="K23" s="29">
        <v>2.5</v>
      </c>
      <c r="L23" s="29">
        <f>H23</f>
        <v>400</v>
      </c>
      <c r="M23" s="29">
        <f>ROUND(L23*I23%,2)</f>
        <v>8</v>
      </c>
      <c r="N23" s="29">
        <f>H23-M23</f>
        <v>392</v>
      </c>
      <c r="O23" s="29">
        <f>ROUND(N23*J23%,2)</f>
        <v>7.02</v>
      </c>
      <c r="P23" s="29">
        <f>ROUND(N23-O23,2)</f>
        <v>384.98</v>
      </c>
      <c r="Q23" s="29">
        <f>ROUND(P23*K23%,2)</f>
        <v>9.62</v>
      </c>
      <c r="R23" s="29">
        <f>M23+O23+Q23</f>
        <v>24.64</v>
      </c>
      <c r="S23" s="29">
        <f>(H23-R23)</f>
        <v>375.36</v>
      </c>
      <c r="T23" s="29" t="s">
        <v>113</v>
      </c>
      <c r="U23" s="29">
        <v>0.18</v>
      </c>
      <c r="V23" s="29">
        <f>IF(OR($C$21=1,$C$21=4),ROUND(((S23*U23)/2),2),0)</f>
        <v>0</v>
      </c>
      <c r="W23" s="29">
        <f>IF($C$21=1,ROUND(((S23*U23)/2),2),0)</f>
        <v>0</v>
      </c>
      <c r="X23" s="29">
        <f>IF($C$21=2,ROUND(((S23*U23)),2),0)</f>
        <v>0</v>
      </c>
      <c r="Y23" s="29">
        <f>IF($C$21=4,ROUND(((S23*U23)/2),2),0)</f>
        <v>0</v>
      </c>
      <c r="Z23" s="45">
        <v>0</v>
      </c>
      <c r="AA23" s="29">
        <f>IF($C21=3,0,ROUND(S23*Z23,2))</f>
        <v>0</v>
      </c>
      <c r="AB23" s="29">
        <f>V23+W23+X23+Y23+AA23</f>
        <v>0</v>
      </c>
      <c r="AC23" s="29">
        <f>IF($V21=1,S23+AB23,S23)</f>
        <v>375.36</v>
      </c>
      <c r="AD23" s="29">
        <v>120</v>
      </c>
      <c r="AE23" s="29">
        <f>IF($P$21=1,(S23/$S$24)*$E$35,AD23/$AD$24*$E$35)</f>
        <v>0</v>
      </c>
      <c r="AF23" s="29"/>
      <c r="AG23" s="29">
        <f>IF($P$21=1,(S23/$S$24)*$E$37,AD23/$AD$24*$E$37)</f>
        <v>0</v>
      </c>
      <c r="AH23" s="29">
        <f>IF($P$21=1,(S23/$S$24)*$E$37,AD23/$AD$24*$E$37)</f>
        <v>0</v>
      </c>
      <c r="AI23" s="29">
        <f>S23*$M$21</f>
        <v>375.36</v>
      </c>
      <c r="AJ23" s="29">
        <f>IF($C$21=3,0,AG23+AH23)</f>
        <v>0</v>
      </c>
      <c r="AK23" s="29">
        <f>IF($C$21=3,AE23+AG23+AH23,0)</f>
        <v>0</v>
      </c>
      <c r="AL23" s="29">
        <v>1</v>
      </c>
      <c r="AM23" s="29">
        <f>F23/AL23</f>
        <v>2</v>
      </c>
      <c r="AN23" s="29">
        <f>AI23/AM23</f>
        <v>187.68</v>
      </c>
      <c r="AO23" s="29">
        <f>AJ23/AM23</f>
        <v>0</v>
      </c>
      <c r="AP23" s="29">
        <f>AK23/AM23</f>
        <v>0</v>
      </c>
      <c r="AQ23" s="29" t="s">
        <v>12</v>
      </c>
      <c r="AR23" s="29">
        <f>AN23+AO23+AP23</f>
        <v>187.68</v>
      </c>
      <c r="AS23" s="50" t="s">
        <v>114</v>
      </c>
      <c r="AT23" s="50" t="s">
        <v>12</v>
      </c>
      <c r="AU23" s="1" t="s">
        <v>120</v>
      </c>
      <c r="AV23" s="1" t="s">
        <v>131</v>
      </c>
      <c r="AW23" s="50">
        <f>AM23</f>
        <v>2</v>
      </c>
      <c r="AX23" s="50">
        <f>AR23</f>
        <v>187.68</v>
      </c>
      <c r="AY23" s="50">
        <f>AU23+AW23</f>
        <v>2</v>
      </c>
      <c r="AZ23" s="50">
        <f>ROUND(((AU23*AV23)+(AW23*AX23))/(AU23+AW23),5)</f>
        <v>187.68</v>
      </c>
      <c r="BA23" s="52"/>
      <c r="BB23" s="52" t="s">
        <v>115</v>
      </c>
      <c r="BC23" s="53" t="s">
        <v>116</v>
      </c>
      <c r="BD23" s="54" t="s">
        <v>117</v>
      </c>
      <c r="BE23" s="54" t="s">
        <v>118</v>
      </c>
      <c r="BF23" s="52"/>
      <c r="BG23" s="52"/>
      <c r="BH23" s="52"/>
      <c r="BI23" s="50"/>
      <c r="BJ23" s="50"/>
      <c r="BK23" s="50"/>
      <c r="BL23" s="50" t="s">
        <v>119</v>
      </c>
      <c r="BM23" s="1" t="s">
        <v>132</v>
      </c>
      <c r="BN23" s="1" t="s">
        <v>133</v>
      </c>
      <c r="BO23" s="50">
        <f>ROUND((((AW23*AZ23)+(BN23*BM23))/(AW23+BN23)),5)</f>
        <v>186.91706</v>
      </c>
      <c r="BP23" s="55">
        <f>BN23+AW23</f>
        <v>82</v>
      </c>
      <c r="BQ23" s="56">
        <v>88363222</v>
      </c>
      <c r="BR23" s="55"/>
    </row>
    <row r="24" s="1" customFormat="1" ht="15.25" spans="1:45">
      <c r="A24" s="17"/>
      <c r="B24" s="30"/>
      <c r="C24" s="30"/>
      <c r="D24" s="31" t="s">
        <v>41</v>
      </c>
      <c r="E24" s="31"/>
      <c r="F24" s="31"/>
      <c r="G24" s="32"/>
      <c r="H24" s="33">
        <f>SUM(H23:H23)</f>
        <v>400</v>
      </c>
      <c r="I24" s="28"/>
      <c r="J24" s="28"/>
      <c r="K24" s="28"/>
      <c r="L24" s="28"/>
      <c r="M24" s="28"/>
      <c r="N24" s="28"/>
      <c r="O24" s="28"/>
      <c r="P24" s="28"/>
      <c r="Q24" s="28"/>
      <c r="R24" s="33">
        <f t="shared" ref="R24:Y24" si="1">SUM(R23:R23)</f>
        <v>24.64</v>
      </c>
      <c r="S24" s="41">
        <f t="shared" si="1"/>
        <v>375.36</v>
      </c>
      <c r="T24" s="33"/>
      <c r="U24" s="33"/>
      <c r="V24" s="42">
        <f t="shared" si="1"/>
        <v>0</v>
      </c>
      <c r="W24" s="42">
        <f t="shared" si="1"/>
        <v>0</v>
      </c>
      <c r="X24" s="42">
        <f t="shared" si="1"/>
        <v>0</v>
      </c>
      <c r="Y24" s="42">
        <f t="shared" si="1"/>
        <v>0</v>
      </c>
      <c r="Z24" s="42"/>
      <c r="AA24" s="42">
        <f t="shared" ref="AA24:AE24" si="2">SUM(AA23:AA23)</f>
        <v>0</v>
      </c>
      <c r="AB24" s="33">
        <f t="shared" si="2"/>
        <v>0</v>
      </c>
      <c r="AC24" s="46">
        <f t="shared" si="2"/>
        <v>375.36</v>
      </c>
      <c r="AD24" s="47">
        <f t="shared" si="2"/>
        <v>120</v>
      </c>
      <c r="AE24" s="47">
        <f t="shared" si="2"/>
        <v>0</v>
      </c>
      <c r="AF24" s="46"/>
      <c r="AG24" s="47">
        <f t="shared" ref="AG24:AK24" si="3">SUM(AG23:AG23)</f>
        <v>0</v>
      </c>
      <c r="AH24" s="47">
        <f t="shared" si="3"/>
        <v>0</v>
      </c>
      <c r="AI24" s="47">
        <f t="shared" si="3"/>
        <v>375.36</v>
      </c>
      <c r="AJ24" s="47">
        <f t="shared" si="3"/>
        <v>0</v>
      </c>
      <c r="AK24" s="47">
        <f t="shared" si="3"/>
        <v>0</v>
      </c>
      <c r="AL24" s="46"/>
      <c r="AM24" s="46"/>
      <c r="AN24" s="46"/>
      <c r="AO24" s="46"/>
      <c r="AP24" s="46"/>
      <c r="AQ24" s="46"/>
      <c r="AR24" s="46"/>
      <c r="AS24" s="17"/>
    </row>
    <row r="25" s="1" customFormat="1" spans="1:45">
      <c r="A25" s="17"/>
      <c r="B25" s="30"/>
      <c r="C25" s="30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</row>
  </sheetData>
  <mergeCells count="3">
    <mergeCell ref="A1:AC1"/>
    <mergeCell ref="B19:G19"/>
    <mergeCell ref="A21:B2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4"/>
  <sheetViews>
    <sheetView topLeftCell="A12" workbookViewId="0">
      <selection activeCell="H27" sqref="H27"/>
    </sheetView>
  </sheetViews>
  <sheetFormatPr defaultColWidth="8.72727272727273" defaultRowHeight="14.5"/>
  <sheetData>
    <row r="1" ht="18.5" spans="1:6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17"/>
      <c r="AS1" s="17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ht="19.25" spans="1:69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17"/>
      <c r="AS2" s="17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ht="15.25" spans="1:69">
      <c r="A3" s="3" t="s">
        <v>2</v>
      </c>
      <c r="B3" s="4" t="s">
        <v>3</v>
      </c>
      <c r="C3" s="5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6" t="s">
        <v>9</v>
      </c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17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</row>
    <row r="4" spans="1:69">
      <c r="A4" s="7">
        <v>1</v>
      </c>
      <c r="B4" s="8" t="s">
        <v>10</v>
      </c>
      <c r="C4" s="8" t="s">
        <v>11</v>
      </c>
      <c r="D4" s="8" t="s">
        <v>12</v>
      </c>
      <c r="E4" s="8" t="s">
        <v>12</v>
      </c>
      <c r="F4" s="9">
        <v>25</v>
      </c>
      <c r="G4" s="10">
        <v>257.63</v>
      </c>
      <c r="H4" s="11">
        <f t="shared" ref="H4:H18" si="0">F4*G4</f>
        <v>6440.75</v>
      </c>
      <c r="I4" s="34"/>
      <c r="J4" s="34"/>
      <c r="K4" s="34"/>
      <c r="L4" s="35"/>
      <c r="M4" s="35"/>
      <c r="N4" s="35"/>
      <c r="O4" s="35"/>
      <c r="P4" s="35"/>
      <c r="Q4" s="35"/>
      <c r="R4" s="35"/>
      <c r="S4" s="35"/>
      <c r="T4" s="35"/>
      <c r="U4" s="34"/>
      <c r="V4" s="34"/>
      <c r="W4" s="34"/>
      <c r="X4" s="34"/>
      <c r="Y4" s="34"/>
      <c r="Z4" s="34"/>
      <c r="AA4" s="34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17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</row>
    <row r="5" spans="1:69">
      <c r="A5" s="7">
        <v>2</v>
      </c>
      <c r="B5" s="8" t="s">
        <v>13</v>
      </c>
      <c r="C5" s="8" t="s">
        <v>14</v>
      </c>
      <c r="D5" s="8" t="s">
        <v>12</v>
      </c>
      <c r="E5" s="8" t="s">
        <v>12</v>
      </c>
      <c r="F5" s="9">
        <v>35</v>
      </c>
      <c r="G5" s="10">
        <v>125.45</v>
      </c>
      <c r="H5" s="11">
        <f t="shared" si="0"/>
        <v>4390.75</v>
      </c>
      <c r="I5" s="34"/>
      <c r="J5" s="34"/>
      <c r="K5" s="34"/>
      <c r="L5" s="35"/>
      <c r="M5" s="35"/>
      <c r="N5" s="35"/>
      <c r="O5" s="35"/>
      <c r="P5" s="35"/>
      <c r="Q5" s="35"/>
      <c r="R5" s="35"/>
      <c r="S5" s="35"/>
      <c r="T5" s="35"/>
      <c r="U5" s="34"/>
      <c r="V5" s="34"/>
      <c r="W5" s="34"/>
      <c r="X5" s="34"/>
      <c r="Y5" s="34"/>
      <c r="Z5" s="34"/>
      <c r="AA5" s="34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17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</row>
    <row r="6" spans="1:69">
      <c r="A6" s="7">
        <v>3</v>
      </c>
      <c r="B6" s="8" t="s">
        <v>15</v>
      </c>
      <c r="C6" s="8" t="s">
        <v>16</v>
      </c>
      <c r="D6" s="8" t="s">
        <v>12</v>
      </c>
      <c r="E6" s="8" t="s">
        <v>12</v>
      </c>
      <c r="F6" s="9">
        <v>45</v>
      </c>
      <c r="G6" s="10">
        <v>125.36</v>
      </c>
      <c r="H6" s="11">
        <f t="shared" si="0"/>
        <v>5641.2</v>
      </c>
      <c r="I6" s="34"/>
      <c r="J6" s="34"/>
      <c r="K6" s="34"/>
      <c r="L6" s="35"/>
      <c r="M6" s="35"/>
      <c r="N6" s="35"/>
      <c r="O6" s="35"/>
      <c r="P6" s="35"/>
      <c r="Q6" s="35"/>
      <c r="R6" s="35"/>
      <c r="S6" s="35"/>
      <c r="T6" s="35"/>
      <c r="U6" s="34"/>
      <c r="V6" s="34"/>
      <c r="W6" s="34"/>
      <c r="X6" s="34"/>
      <c r="Y6" s="34"/>
      <c r="Z6" s="34"/>
      <c r="AA6" s="34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17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</row>
    <row r="7" spans="1:69">
      <c r="A7" s="7">
        <v>4</v>
      </c>
      <c r="B7" s="8" t="s">
        <v>17</v>
      </c>
      <c r="C7" s="8" t="s">
        <v>18</v>
      </c>
      <c r="D7" s="8" t="s">
        <v>12</v>
      </c>
      <c r="E7" s="8" t="s">
        <v>12</v>
      </c>
      <c r="F7" s="9">
        <v>55</v>
      </c>
      <c r="G7" s="10">
        <v>45.25</v>
      </c>
      <c r="H7" s="11">
        <f t="shared" si="0"/>
        <v>2488.75</v>
      </c>
      <c r="I7" s="34"/>
      <c r="J7" s="34"/>
      <c r="K7" s="34"/>
      <c r="L7" s="35"/>
      <c r="M7" s="35"/>
      <c r="N7" s="35"/>
      <c r="O7" s="35"/>
      <c r="P7" s="35"/>
      <c r="Q7" s="35"/>
      <c r="R7" s="35"/>
      <c r="S7" s="35"/>
      <c r="T7" s="35"/>
      <c r="U7" s="34"/>
      <c r="V7" s="34"/>
      <c r="W7" s="34"/>
      <c r="X7" s="34"/>
      <c r="Y7" s="34"/>
      <c r="Z7" s="34"/>
      <c r="AA7" s="34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17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</row>
    <row r="8" spans="1:69">
      <c r="A8" s="7">
        <v>5</v>
      </c>
      <c r="B8" s="8" t="s">
        <v>19</v>
      </c>
      <c r="C8" s="8" t="s">
        <v>20</v>
      </c>
      <c r="D8" s="8" t="s">
        <v>12</v>
      </c>
      <c r="E8" s="8" t="s">
        <v>12</v>
      </c>
      <c r="F8" s="9">
        <v>60</v>
      </c>
      <c r="G8" s="10">
        <v>45.5</v>
      </c>
      <c r="H8" s="11">
        <f t="shared" si="0"/>
        <v>2730</v>
      </c>
      <c r="I8" s="34"/>
      <c r="J8" s="34"/>
      <c r="K8" s="34"/>
      <c r="L8" s="35"/>
      <c r="M8" s="35"/>
      <c r="N8" s="35"/>
      <c r="O8" s="35"/>
      <c r="P8" s="35"/>
      <c r="Q8" s="35"/>
      <c r="R8" s="35"/>
      <c r="S8" s="35"/>
      <c r="T8" s="35"/>
      <c r="U8" s="34"/>
      <c r="V8" s="34"/>
      <c r="W8" s="34"/>
      <c r="X8" s="34"/>
      <c r="Y8" s="34"/>
      <c r="Z8" s="34"/>
      <c r="AA8" s="34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17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</row>
    <row r="9" spans="1:69">
      <c r="A9" s="7">
        <v>6</v>
      </c>
      <c r="B9" s="8" t="s">
        <v>21</v>
      </c>
      <c r="C9" s="8" t="s">
        <v>22</v>
      </c>
      <c r="D9" s="8" t="s">
        <v>12</v>
      </c>
      <c r="E9" s="8" t="s">
        <v>12</v>
      </c>
      <c r="F9" s="9">
        <v>75</v>
      </c>
      <c r="G9" s="10">
        <v>125.25</v>
      </c>
      <c r="H9" s="11">
        <f t="shared" si="0"/>
        <v>9393.75</v>
      </c>
      <c r="I9" s="34"/>
      <c r="J9" s="34"/>
      <c r="K9" s="34"/>
      <c r="L9" s="35"/>
      <c r="M9" s="35"/>
      <c r="N9" s="35"/>
      <c r="O9" s="35"/>
      <c r="P9" s="35"/>
      <c r="Q9" s="35"/>
      <c r="R9" s="35"/>
      <c r="S9" s="35"/>
      <c r="T9" s="35"/>
      <c r="U9" s="34"/>
      <c r="V9" s="34"/>
      <c r="W9" s="34"/>
      <c r="X9" s="34"/>
      <c r="Y9" s="34"/>
      <c r="Z9" s="34"/>
      <c r="AA9" s="34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17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</row>
    <row r="10" spans="1:69">
      <c r="A10" s="7">
        <v>7</v>
      </c>
      <c r="B10" s="8" t="s">
        <v>23</v>
      </c>
      <c r="C10" s="8" t="s">
        <v>24</v>
      </c>
      <c r="D10" s="8" t="s">
        <v>12</v>
      </c>
      <c r="E10" s="8" t="s">
        <v>12</v>
      </c>
      <c r="F10" s="9">
        <v>28</v>
      </c>
      <c r="G10" s="10">
        <v>150.5</v>
      </c>
      <c r="H10" s="11">
        <f t="shared" si="0"/>
        <v>4214</v>
      </c>
      <c r="I10" s="34"/>
      <c r="J10" s="34"/>
      <c r="K10" s="34"/>
      <c r="L10" s="35"/>
      <c r="M10" s="35"/>
      <c r="N10" s="35"/>
      <c r="O10" s="35"/>
      <c r="P10" s="35"/>
      <c r="Q10" s="35"/>
      <c r="R10" s="35"/>
      <c r="S10" s="35"/>
      <c r="T10" s="35"/>
      <c r="U10" s="34"/>
      <c r="V10" s="34"/>
      <c r="W10" s="34"/>
      <c r="X10" s="34"/>
      <c r="Y10" s="34"/>
      <c r="Z10" s="34"/>
      <c r="AA10" s="34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17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</row>
    <row r="11" spans="1:69">
      <c r="A11" s="7">
        <v>8</v>
      </c>
      <c r="B11" s="8" t="s">
        <v>25</v>
      </c>
      <c r="C11" s="8" t="s">
        <v>26</v>
      </c>
      <c r="D11" s="8" t="s">
        <v>12</v>
      </c>
      <c r="E11" s="8" t="s">
        <v>12</v>
      </c>
      <c r="F11" s="9">
        <v>30</v>
      </c>
      <c r="G11" s="10">
        <v>65.32</v>
      </c>
      <c r="H11" s="11">
        <f t="shared" si="0"/>
        <v>1959.6</v>
      </c>
      <c r="I11" s="34"/>
      <c r="J11" s="34"/>
      <c r="K11" s="34"/>
      <c r="L11" s="35"/>
      <c r="M11" s="35"/>
      <c r="N11" s="35"/>
      <c r="O11" s="35"/>
      <c r="P11" s="35"/>
      <c r="Q11" s="35"/>
      <c r="R11" s="35"/>
      <c r="S11" s="35"/>
      <c r="T11" s="35"/>
      <c r="U11" s="34"/>
      <c r="V11" s="34"/>
      <c r="W11" s="34"/>
      <c r="X11" s="34"/>
      <c r="Y11" s="34"/>
      <c r="Z11" s="34"/>
      <c r="AA11" s="34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17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</row>
    <row r="12" spans="1:69">
      <c r="A12" s="7">
        <v>9</v>
      </c>
      <c r="B12" s="8" t="s">
        <v>27</v>
      </c>
      <c r="C12" s="8" t="s">
        <v>28</v>
      </c>
      <c r="D12" s="8" t="s">
        <v>12</v>
      </c>
      <c r="E12" s="8" t="s">
        <v>12</v>
      </c>
      <c r="F12" s="9">
        <v>25</v>
      </c>
      <c r="G12" s="10">
        <v>74.89</v>
      </c>
      <c r="H12" s="11">
        <f t="shared" si="0"/>
        <v>1872.25</v>
      </c>
      <c r="I12" s="34"/>
      <c r="J12" s="34"/>
      <c r="K12" s="34"/>
      <c r="L12" s="35"/>
      <c r="M12" s="35"/>
      <c r="N12" s="35"/>
      <c r="O12" s="35"/>
      <c r="P12" s="35"/>
      <c r="Q12" s="35"/>
      <c r="R12" s="35"/>
      <c r="S12" s="35"/>
      <c r="T12" s="35"/>
      <c r="U12" s="34"/>
      <c r="V12" s="34"/>
      <c r="W12" s="34"/>
      <c r="X12" s="34"/>
      <c r="Y12" s="34"/>
      <c r="Z12" s="34"/>
      <c r="AA12" s="34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17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</row>
    <row r="13" spans="1:69">
      <c r="A13" s="7">
        <v>10</v>
      </c>
      <c r="B13" s="8" t="s">
        <v>29</v>
      </c>
      <c r="C13" s="8" t="s">
        <v>30</v>
      </c>
      <c r="D13" s="8" t="s">
        <v>12</v>
      </c>
      <c r="E13" s="8" t="s">
        <v>12</v>
      </c>
      <c r="F13" s="9">
        <v>28</v>
      </c>
      <c r="G13" s="10">
        <v>89.56</v>
      </c>
      <c r="H13" s="11">
        <f t="shared" si="0"/>
        <v>2507.68</v>
      </c>
      <c r="I13" s="34"/>
      <c r="J13" s="34"/>
      <c r="K13" s="34"/>
      <c r="L13" s="35"/>
      <c r="M13" s="35"/>
      <c r="N13" s="35"/>
      <c r="O13" s="35"/>
      <c r="P13" s="35"/>
      <c r="Q13" s="35"/>
      <c r="R13" s="35"/>
      <c r="S13" s="35"/>
      <c r="T13" s="35"/>
      <c r="U13" s="34"/>
      <c r="V13" s="34"/>
      <c r="W13" s="34"/>
      <c r="X13" s="34"/>
      <c r="Y13" s="34"/>
      <c r="Z13" s="34"/>
      <c r="AA13" s="34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17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</row>
    <row r="14" spans="1:69">
      <c r="A14" s="7">
        <v>11</v>
      </c>
      <c r="B14" s="8" t="s">
        <v>31</v>
      </c>
      <c r="C14" s="8" t="s">
        <v>32</v>
      </c>
      <c r="D14" s="8" t="s">
        <v>12</v>
      </c>
      <c r="E14" s="8" t="s">
        <v>12</v>
      </c>
      <c r="F14" s="9">
        <v>37</v>
      </c>
      <c r="G14" s="10">
        <v>89.54</v>
      </c>
      <c r="H14" s="11">
        <f t="shared" si="0"/>
        <v>3312.98</v>
      </c>
      <c r="I14" s="34"/>
      <c r="J14" s="34"/>
      <c r="K14" s="34"/>
      <c r="L14" s="35"/>
      <c r="M14" s="35"/>
      <c r="N14" s="35"/>
      <c r="O14" s="35"/>
      <c r="P14" s="35"/>
      <c r="Q14" s="35"/>
      <c r="R14" s="35"/>
      <c r="S14" s="35"/>
      <c r="T14" s="35"/>
      <c r="U14" s="34"/>
      <c r="V14" s="34"/>
      <c r="W14" s="34"/>
      <c r="X14" s="34"/>
      <c r="Y14" s="34"/>
      <c r="Z14" s="34"/>
      <c r="AA14" s="34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17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</row>
    <row r="15" spans="1:69">
      <c r="A15" s="7">
        <v>12</v>
      </c>
      <c r="B15" s="8" t="s">
        <v>33</v>
      </c>
      <c r="C15" s="8" t="s">
        <v>34</v>
      </c>
      <c r="D15" s="8" t="s">
        <v>12</v>
      </c>
      <c r="E15" s="8" t="s">
        <v>12</v>
      </c>
      <c r="F15" s="9">
        <v>39</v>
      </c>
      <c r="G15" s="10">
        <v>98.25</v>
      </c>
      <c r="H15" s="11">
        <f t="shared" si="0"/>
        <v>3831.75</v>
      </c>
      <c r="I15" s="34"/>
      <c r="J15" s="34"/>
      <c r="K15" s="34"/>
      <c r="L15" s="35"/>
      <c r="M15" s="35"/>
      <c r="N15" s="35"/>
      <c r="O15" s="35"/>
      <c r="P15" s="35"/>
      <c r="Q15" s="35"/>
      <c r="R15" s="35"/>
      <c r="S15" s="35"/>
      <c r="T15" s="35"/>
      <c r="U15" s="34"/>
      <c r="V15" s="34"/>
      <c r="W15" s="34"/>
      <c r="X15" s="34"/>
      <c r="Y15" s="34"/>
      <c r="Z15" s="34"/>
      <c r="AA15" s="34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17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</row>
    <row r="16" spans="1:69">
      <c r="A16" s="7">
        <v>13</v>
      </c>
      <c r="B16" s="8" t="s">
        <v>35</v>
      </c>
      <c r="C16" s="8" t="s">
        <v>36</v>
      </c>
      <c r="D16" s="8" t="s">
        <v>12</v>
      </c>
      <c r="E16" s="8" t="s">
        <v>12</v>
      </c>
      <c r="F16" s="9">
        <v>70</v>
      </c>
      <c r="G16" s="10">
        <v>102.25</v>
      </c>
      <c r="H16" s="11">
        <f t="shared" si="0"/>
        <v>7157.5</v>
      </c>
      <c r="I16" s="34"/>
      <c r="J16" s="34"/>
      <c r="K16" s="34"/>
      <c r="L16" s="35"/>
      <c r="M16" s="35"/>
      <c r="N16" s="35"/>
      <c r="O16" s="35"/>
      <c r="P16" s="35"/>
      <c r="Q16" s="35"/>
      <c r="R16" s="35"/>
      <c r="S16" s="35"/>
      <c r="T16" s="35"/>
      <c r="U16" s="34"/>
      <c r="V16" s="34"/>
      <c r="W16" s="34"/>
      <c r="X16" s="34"/>
      <c r="Y16" s="34"/>
      <c r="Z16" s="34"/>
      <c r="AA16" s="34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17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</row>
    <row r="17" spans="1:69">
      <c r="A17" s="7">
        <v>14</v>
      </c>
      <c r="B17" s="8" t="s">
        <v>37</v>
      </c>
      <c r="C17" s="8" t="s">
        <v>38</v>
      </c>
      <c r="D17" s="8" t="s">
        <v>12</v>
      </c>
      <c r="E17" s="8" t="s">
        <v>12</v>
      </c>
      <c r="F17" s="9">
        <v>100</v>
      </c>
      <c r="G17" s="10">
        <v>103.5</v>
      </c>
      <c r="H17" s="11">
        <f t="shared" si="0"/>
        <v>10350</v>
      </c>
      <c r="I17" s="34"/>
      <c r="J17" s="34"/>
      <c r="K17" s="34"/>
      <c r="L17" s="35"/>
      <c r="M17" s="35"/>
      <c r="N17" s="35"/>
      <c r="O17" s="35"/>
      <c r="P17" s="35"/>
      <c r="Q17" s="35"/>
      <c r="R17" s="35"/>
      <c r="S17" s="39"/>
      <c r="T17" s="35"/>
      <c r="U17" s="34"/>
      <c r="V17" s="34"/>
      <c r="W17" s="34"/>
      <c r="X17" s="34"/>
      <c r="Y17" s="34"/>
      <c r="Z17" s="34"/>
      <c r="AA17" s="34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17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</row>
    <row r="18" ht="15.25" spans="1:69">
      <c r="A18" s="12">
        <v>15</v>
      </c>
      <c r="B18" s="13" t="s">
        <v>39</v>
      </c>
      <c r="C18" s="13" t="s">
        <v>40</v>
      </c>
      <c r="D18" s="13" t="s">
        <v>12</v>
      </c>
      <c r="E18" s="13" t="s">
        <v>12</v>
      </c>
      <c r="F18" s="14">
        <v>85</v>
      </c>
      <c r="G18" s="15">
        <v>65.48</v>
      </c>
      <c r="H18" s="16">
        <f t="shared" si="0"/>
        <v>5565.8</v>
      </c>
      <c r="I18" s="34"/>
      <c r="J18" s="34"/>
      <c r="K18" s="34"/>
      <c r="L18" s="35"/>
      <c r="M18" s="35"/>
      <c r="N18" s="35"/>
      <c r="O18" s="35"/>
      <c r="P18" s="35"/>
      <c r="Q18" s="35"/>
      <c r="R18" s="35"/>
      <c r="S18" s="35"/>
      <c r="T18" s="35"/>
      <c r="U18" s="34"/>
      <c r="V18" s="34"/>
      <c r="W18" s="34"/>
      <c r="X18" s="34"/>
      <c r="Y18" s="34"/>
      <c r="Z18" s="34"/>
      <c r="AA18" s="34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17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</row>
    <row r="19" ht="15.25" spans="1:69">
      <c r="A19" s="17"/>
      <c r="B19" s="57" t="s">
        <v>41</v>
      </c>
      <c r="C19" s="58"/>
      <c r="D19" s="58"/>
      <c r="E19" s="58"/>
      <c r="F19" s="58"/>
      <c r="G19" s="59"/>
      <c r="H19" s="19">
        <f>SUM(H4:H18)</f>
        <v>71856.76</v>
      </c>
      <c r="I19" s="36"/>
      <c r="J19" s="36"/>
      <c r="K19" s="36"/>
      <c r="L19" s="36"/>
      <c r="M19" s="36"/>
      <c r="N19" s="36"/>
      <c r="O19" s="36"/>
      <c r="P19" s="36"/>
      <c r="Q19" s="36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17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</row>
    <row r="20" spans="1:69">
      <c r="A20" s="20" t="s">
        <v>42</v>
      </c>
      <c r="B20" s="21"/>
      <c r="C20" s="21"/>
      <c r="D20" s="21"/>
      <c r="E20" s="21"/>
      <c r="F20" s="21"/>
      <c r="G20" s="21"/>
      <c r="H20" s="20"/>
      <c r="I20" s="36"/>
      <c r="J20" s="36"/>
      <c r="K20" s="36"/>
      <c r="L20" s="36"/>
      <c r="M20" s="36"/>
      <c r="N20" s="36"/>
      <c r="O20" s="36"/>
      <c r="P20" s="36"/>
      <c r="Q20" s="36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17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</row>
    <row r="21" ht="15.25" spans="1:69">
      <c r="A21" s="22" t="s">
        <v>43</v>
      </c>
      <c r="B21" s="22"/>
      <c r="C21" s="23">
        <v>3</v>
      </c>
      <c r="D21" s="24" t="s">
        <v>44</v>
      </c>
      <c r="E21" s="21"/>
      <c r="F21" s="21"/>
      <c r="G21" s="21"/>
      <c r="H21" s="20"/>
      <c r="I21" s="36" t="s">
        <v>45</v>
      </c>
      <c r="J21" s="36" t="s">
        <v>46</v>
      </c>
      <c r="K21" s="36"/>
      <c r="L21" s="36" t="s">
        <v>47</v>
      </c>
      <c r="M21" s="36">
        <v>1</v>
      </c>
      <c r="N21" s="36"/>
      <c r="O21" s="36" t="s">
        <v>48</v>
      </c>
      <c r="P21" s="36">
        <v>1</v>
      </c>
      <c r="Q21" s="36" t="s">
        <v>49</v>
      </c>
      <c r="R21" s="20"/>
      <c r="S21" s="20"/>
      <c r="T21" s="20"/>
      <c r="U21" s="20"/>
      <c r="V21" s="20">
        <v>1</v>
      </c>
      <c r="W21" s="20" t="s">
        <v>50</v>
      </c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17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</row>
    <row r="22" ht="59.5" spans="1:69">
      <c r="A22" s="25" t="s">
        <v>2</v>
      </c>
      <c r="B22" s="25" t="s">
        <v>3</v>
      </c>
      <c r="C22" s="26" t="s">
        <v>4</v>
      </c>
      <c r="D22" s="25" t="s">
        <v>5</v>
      </c>
      <c r="E22" s="25" t="s">
        <v>6</v>
      </c>
      <c r="F22" s="27" t="s">
        <v>51</v>
      </c>
      <c r="G22" s="25" t="s">
        <v>8</v>
      </c>
      <c r="H22" s="25" t="s">
        <v>9</v>
      </c>
      <c r="I22" s="37" t="s">
        <v>52</v>
      </c>
      <c r="J22" s="37" t="s">
        <v>53</v>
      </c>
      <c r="K22" s="37" t="s">
        <v>54</v>
      </c>
      <c r="L22" s="38" t="s">
        <v>55</v>
      </c>
      <c r="M22" s="38" t="s">
        <v>56</v>
      </c>
      <c r="N22" s="38" t="s">
        <v>57</v>
      </c>
      <c r="O22" s="38" t="s">
        <v>58</v>
      </c>
      <c r="P22" s="38" t="s">
        <v>59</v>
      </c>
      <c r="Q22" s="38" t="s">
        <v>60</v>
      </c>
      <c r="R22" s="37" t="s">
        <v>61</v>
      </c>
      <c r="S22" s="25" t="s">
        <v>62</v>
      </c>
      <c r="T22" s="25" t="s">
        <v>63</v>
      </c>
      <c r="U22" s="40" t="s">
        <v>64</v>
      </c>
      <c r="V22" s="40" t="s">
        <v>65</v>
      </c>
      <c r="W22" s="40" t="s">
        <v>66</v>
      </c>
      <c r="X22" s="40" t="s">
        <v>67</v>
      </c>
      <c r="Y22" s="40" t="s">
        <v>68</v>
      </c>
      <c r="Z22" s="40" t="s">
        <v>69</v>
      </c>
      <c r="AA22" s="40" t="s">
        <v>70</v>
      </c>
      <c r="AB22" s="40" t="s">
        <v>71</v>
      </c>
      <c r="AC22" s="43" t="s">
        <v>72</v>
      </c>
      <c r="AD22" s="43" t="s">
        <v>73</v>
      </c>
      <c r="AE22" s="44" t="s">
        <v>74</v>
      </c>
      <c r="AF22" s="44" t="s">
        <v>75</v>
      </c>
      <c r="AG22" s="44" t="s">
        <v>76</v>
      </c>
      <c r="AH22" s="43" t="s">
        <v>77</v>
      </c>
      <c r="AI22" s="43" t="s">
        <v>78</v>
      </c>
      <c r="AJ22" s="44" t="s">
        <v>79</v>
      </c>
      <c r="AK22" s="44" t="s">
        <v>80</v>
      </c>
      <c r="AL22" s="43" t="s">
        <v>81</v>
      </c>
      <c r="AM22" s="43" t="s">
        <v>82</v>
      </c>
      <c r="AN22" s="44" t="s">
        <v>83</v>
      </c>
      <c r="AO22" s="44" t="s">
        <v>84</v>
      </c>
      <c r="AP22" s="44" t="s">
        <v>85</v>
      </c>
      <c r="AQ22" s="43" t="s">
        <v>86</v>
      </c>
      <c r="AR22" s="48" t="s">
        <v>87</v>
      </c>
      <c r="AS22" s="4" t="s">
        <v>88</v>
      </c>
      <c r="AT22" s="4" t="s">
        <v>86</v>
      </c>
      <c r="AU22" s="49" t="s">
        <v>89</v>
      </c>
      <c r="AV22" s="49" t="s">
        <v>90</v>
      </c>
      <c r="AW22" s="49" t="s">
        <v>91</v>
      </c>
      <c r="AX22" s="49" t="s">
        <v>92</v>
      </c>
      <c r="AY22" s="49" t="s">
        <v>93</v>
      </c>
      <c r="AZ22" s="49" t="s">
        <v>94</v>
      </c>
      <c r="BA22" s="49" t="s">
        <v>95</v>
      </c>
      <c r="BB22" s="49" t="s">
        <v>96</v>
      </c>
      <c r="BC22" s="51" t="s">
        <v>97</v>
      </c>
      <c r="BD22" s="51" t="s">
        <v>98</v>
      </c>
      <c r="BE22" s="51" t="s">
        <v>99</v>
      </c>
      <c r="BF22" s="49" t="s">
        <v>100</v>
      </c>
      <c r="BG22" s="49" t="s">
        <v>101</v>
      </c>
      <c r="BH22" s="49" t="s">
        <v>102</v>
      </c>
      <c r="BI22" s="49" t="s">
        <v>103</v>
      </c>
      <c r="BJ22" s="49" t="s">
        <v>104</v>
      </c>
      <c r="BK22" s="49" t="s">
        <v>105</v>
      </c>
      <c r="BL22" s="49" t="s">
        <v>106</v>
      </c>
      <c r="BM22" s="49" t="s">
        <v>107</v>
      </c>
      <c r="BN22" s="49" t="s">
        <v>108</v>
      </c>
      <c r="BO22" s="49" t="s">
        <v>94</v>
      </c>
      <c r="BP22" s="49" t="s">
        <v>109</v>
      </c>
      <c r="BQ22" s="49" t="s">
        <v>63</v>
      </c>
    </row>
    <row r="23" ht="15.25" spans="1:69">
      <c r="A23" s="28">
        <v>1</v>
      </c>
      <c r="B23" s="28" t="s">
        <v>134</v>
      </c>
      <c r="C23" s="28" t="s">
        <v>134</v>
      </c>
      <c r="D23" s="28" t="s">
        <v>12</v>
      </c>
      <c r="E23" s="28" t="s">
        <v>12</v>
      </c>
      <c r="F23" s="29">
        <v>2</v>
      </c>
      <c r="G23" s="1" t="s">
        <v>130</v>
      </c>
      <c r="H23" s="29">
        <f>F23*G23</f>
        <v>400</v>
      </c>
      <c r="I23" s="1" t="s">
        <v>112</v>
      </c>
      <c r="J23" s="29">
        <v>2</v>
      </c>
      <c r="K23" s="29">
        <v>2</v>
      </c>
      <c r="L23" s="29">
        <f>H23</f>
        <v>400</v>
      </c>
      <c r="M23" s="29">
        <f>ROUND(L23*I23%,2)</f>
        <v>8</v>
      </c>
      <c r="N23" s="29">
        <f>H23-M23</f>
        <v>392</v>
      </c>
      <c r="O23" s="29">
        <f>ROUND(N23*J23%,2)</f>
        <v>7.84</v>
      </c>
      <c r="P23" s="29">
        <f>ROUND(N23-O23,2)</f>
        <v>384.16</v>
      </c>
      <c r="Q23" s="29">
        <f>ROUND(P23*K23%,2)</f>
        <v>7.68</v>
      </c>
      <c r="R23" s="29">
        <f>M23+O23+Q23</f>
        <v>23.52</v>
      </c>
      <c r="S23" s="29">
        <f>(H23-R23)</f>
        <v>376.48</v>
      </c>
      <c r="T23" s="29" t="s">
        <v>113</v>
      </c>
      <c r="U23" s="29">
        <v>0.18</v>
      </c>
      <c r="V23" s="29">
        <f>IF(OR($C$21=1,$C$21=4),ROUND(((S23*U23)/2),2),0)</f>
        <v>0</v>
      </c>
      <c r="W23" s="29">
        <f>IF($C$21=1,ROUND(((S23*U23)/2),2),0)</f>
        <v>0</v>
      </c>
      <c r="X23" s="29">
        <f>IF($C$21=2,ROUND(((S23*U23)),2),0)</f>
        <v>0</v>
      </c>
      <c r="Y23" s="29">
        <f>IF($C$21=4,ROUND(((S23*U23)/2),2),0)</f>
        <v>0</v>
      </c>
      <c r="Z23" s="45">
        <v>0</v>
      </c>
      <c r="AA23" s="29">
        <f>IF($C21=3,0,S23*Z23)</f>
        <v>0</v>
      </c>
      <c r="AB23" s="29">
        <f>V23+W23+X23+Y23+AA23</f>
        <v>0</v>
      </c>
      <c r="AC23" s="29">
        <f>IF($V21=1,S23+AB23,S23)</f>
        <v>376.48</v>
      </c>
      <c r="AD23" s="29">
        <v>120</v>
      </c>
      <c r="AE23" s="29">
        <f>IF($P$21=1,(S23/$S$24)*$E$35,AD23/$AD$24*$E$35)</f>
        <v>0</v>
      </c>
      <c r="AF23" s="29"/>
      <c r="AG23" s="29">
        <f>IF($P$21=1,(S23/$S$24)*$E$37,AD23/$AD$24*$E$37)</f>
        <v>0</v>
      </c>
      <c r="AH23" s="29">
        <f>IF($P$21=1,(S23/$S$24)*$E$37,AD23/$AD$24*$E$37)</f>
        <v>0</v>
      </c>
      <c r="AI23" s="29">
        <f>S23*$M$21</f>
        <v>376.48</v>
      </c>
      <c r="AJ23" s="29">
        <f>IF($C$21=3,0,AG23+AH23)</f>
        <v>0</v>
      </c>
      <c r="AK23" s="29">
        <f>IF($C$21=3,AE23+AG23+AH23,0)</f>
        <v>0</v>
      </c>
      <c r="AL23" s="29">
        <v>1</v>
      </c>
      <c r="AM23" s="29">
        <f>F23/AL23</f>
        <v>2</v>
      </c>
      <c r="AN23" s="29">
        <f>AI23/AM23</f>
        <v>188.24</v>
      </c>
      <c r="AO23" s="29">
        <f>AJ23/AM23</f>
        <v>0</v>
      </c>
      <c r="AP23" s="29">
        <f>AK23/AM23</f>
        <v>0</v>
      </c>
      <c r="AQ23" s="29" t="s">
        <v>12</v>
      </c>
      <c r="AR23" s="29">
        <f>AN23+AO23+AP23</f>
        <v>188.24</v>
      </c>
      <c r="AS23" s="50" t="s">
        <v>123</v>
      </c>
      <c r="AT23" s="50" t="s">
        <v>12</v>
      </c>
      <c r="AU23" s="1" t="s">
        <v>135</v>
      </c>
      <c r="AV23" s="1" t="s">
        <v>136</v>
      </c>
      <c r="AW23" s="50">
        <f>AM23</f>
        <v>2</v>
      </c>
      <c r="AX23" s="50">
        <f>AR23</f>
        <v>188.24</v>
      </c>
      <c r="AY23" s="50">
        <f>AU23+AW23</f>
        <v>14092</v>
      </c>
      <c r="AZ23" s="50">
        <f>ROUND(((AU23*AV23)+(AW23*AX23))/(AU23+AW23),5)</f>
        <v>121.1908</v>
      </c>
      <c r="BA23" s="52"/>
      <c r="BB23" s="52" t="s">
        <v>115</v>
      </c>
      <c r="BC23" s="54" t="s">
        <v>116</v>
      </c>
      <c r="BD23" s="54" t="s">
        <v>117</v>
      </c>
      <c r="BE23" s="54" t="s">
        <v>118</v>
      </c>
      <c r="BF23" s="52"/>
      <c r="BG23" s="52"/>
      <c r="BH23" s="52"/>
      <c r="BI23" s="50"/>
      <c r="BJ23" s="50"/>
      <c r="BK23" s="50"/>
      <c r="BL23" s="50" t="s">
        <v>119</v>
      </c>
      <c r="BM23" s="1" t="s">
        <v>137</v>
      </c>
      <c r="BN23" s="1" t="s">
        <v>138</v>
      </c>
      <c r="BO23" s="50">
        <f>ROUND((((AW23*AZ23)+(BN23*BM23))/(AW23+BN23)),5)</f>
        <v>146.93407</v>
      </c>
      <c r="BP23" s="55">
        <f>BN23+AW23</f>
        <v>689</v>
      </c>
      <c r="BQ23" s="56">
        <v>88363221</v>
      </c>
    </row>
    <row r="24" ht="15.25" spans="1:69">
      <c r="A24" s="17"/>
      <c r="B24" s="30"/>
      <c r="C24" s="30"/>
      <c r="D24" s="31" t="s">
        <v>41</v>
      </c>
      <c r="E24" s="31"/>
      <c r="F24" s="31"/>
      <c r="G24" s="32"/>
      <c r="H24" s="33">
        <f>SUM(H23:H23)</f>
        <v>400</v>
      </c>
      <c r="I24" s="28"/>
      <c r="J24" s="28"/>
      <c r="K24" s="28"/>
      <c r="L24" s="28"/>
      <c r="M24" s="28"/>
      <c r="N24" s="28"/>
      <c r="O24" s="28"/>
      <c r="P24" s="28"/>
      <c r="Q24" s="28"/>
      <c r="R24" s="33">
        <f t="shared" ref="R24:X24" si="1">SUM(R23:R23)</f>
        <v>23.52</v>
      </c>
      <c r="S24" s="41">
        <f t="shared" si="1"/>
        <v>376.48</v>
      </c>
      <c r="T24" s="33"/>
      <c r="U24" s="33"/>
      <c r="V24" s="42">
        <f t="shared" si="1"/>
        <v>0</v>
      </c>
      <c r="W24" s="42">
        <f t="shared" si="1"/>
        <v>0</v>
      </c>
      <c r="X24" s="42">
        <f t="shared" si="1"/>
        <v>0</v>
      </c>
      <c r="Y24" s="42"/>
      <c r="Z24" s="42"/>
      <c r="AA24" s="42"/>
      <c r="AB24" s="33">
        <f t="shared" ref="AB24:AE24" si="2">SUM(AB23:AB23)</f>
        <v>0</v>
      </c>
      <c r="AC24" s="46">
        <f t="shared" si="2"/>
        <v>376.48</v>
      </c>
      <c r="AD24" s="47">
        <f t="shared" si="2"/>
        <v>120</v>
      </c>
      <c r="AE24" s="47">
        <f t="shared" si="2"/>
        <v>0</v>
      </c>
      <c r="AF24" s="46"/>
      <c r="AG24" s="47">
        <f t="shared" ref="AG24:AK24" si="3">SUM(AG23:AG23)</f>
        <v>0</v>
      </c>
      <c r="AH24" s="47">
        <f t="shared" si="3"/>
        <v>0</v>
      </c>
      <c r="AI24" s="47">
        <f t="shared" si="3"/>
        <v>376.48</v>
      </c>
      <c r="AJ24" s="47">
        <f t="shared" si="3"/>
        <v>0</v>
      </c>
      <c r="AK24" s="47">
        <f t="shared" si="3"/>
        <v>0</v>
      </c>
      <c r="AL24" s="46"/>
      <c r="AM24" s="46"/>
      <c r="AN24" s="46"/>
      <c r="AO24" s="46"/>
      <c r="AP24" s="46"/>
      <c r="AQ24" s="46"/>
      <c r="AR24" s="46"/>
      <c r="AS24" s="17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</row>
  </sheetData>
  <mergeCells count="3">
    <mergeCell ref="A1:AC1"/>
    <mergeCell ref="B19:G19"/>
    <mergeCell ref="A21:B2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25"/>
  <sheetViews>
    <sheetView topLeftCell="D15" workbookViewId="0">
      <selection activeCell="D28" sqref="D28"/>
    </sheetView>
  </sheetViews>
  <sheetFormatPr defaultColWidth="9" defaultRowHeight="14.5"/>
  <cols>
    <col min="1" max="1" width="9" style="1"/>
    <col min="2" max="2" width="30.2818181818182" style="1" customWidth="1"/>
    <col min="3" max="3" width="19.2818181818182" style="1" customWidth="1"/>
    <col min="4" max="4" width="80.4272727272727" style="1" customWidth="1"/>
    <col min="5" max="5" width="10.4272727272727" style="1" customWidth="1"/>
    <col min="6" max="6" width="8.28181818181818" style="1" customWidth="1"/>
    <col min="7" max="7" width="10.1363636363636" style="1" customWidth="1"/>
    <col min="8" max="8" width="11.8545454545455" style="1" customWidth="1"/>
    <col min="9" max="10" width="9" style="1"/>
    <col min="11" max="11" width="6.28181818181818" style="1" customWidth="1"/>
    <col min="12" max="28" width="9" style="1"/>
    <col min="29" max="29" width="10.2818181818182" style="1" customWidth="1"/>
    <col min="30" max="30" width="12.8545454545455" style="1" customWidth="1"/>
    <col min="31" max="31" width="8.70909090909091" style="1" customWidth="1"/>
    <col min="32" max="34" width="9" style="1"/>
    <col min="35" max="35" width="14.2818181818182" style="1" customWidth="1"/>
    <col min="36" max="42" width="9" style="1"/>
    <col min="43" max="43" width="11.8545454545455" style="1" customWidth="1"/>
    <col min="44" max="44" width="23.2818181818182" style="1" customWidth="1"/>
    <col min="45" max="45" width="9" style="1"/>
    <col min="46" max="46" width="11.8545454545455" style="1" customWidth="1"/>
    <col min="47" max="47" width="15.2818181818182" style="1" customWidth="1"/>
    <col min="48" max="48" width="20.2818181818182" style="1" customWidth="1"/>
    <col min="49" max="49" width="11.4272727272727" style="1" customWidth="1"/>
    <col min="50" max="50" width="9" style="1"/>
    <col min="51" max="51" width="13.8545454545455" style="1" customWidth="1"/>
    <col min="52" max="52" width="18.8545454545455" style="1" customWidth="1"/>
    <col min="53" max="59" width="9" style="1"/>
    <col min="60" max="60" width="12.5727272727273" style="1" customWidth="1"/>
    <col min="61" max="61" width="21.7090909090909" style="1" customWidth="1"/>
    <col min="62" max="63" width="30.5727272727273" style="1" customWidth="1"/>
    <col min="64" max="64" width="8.13636363636364" style="1" customWidth="1"/>
    <col min="65" max="65" width="41.1363636363636" style="1" customWidth="1"/>
    <col min="66" max="66" width="37" style="1" customWidth="1"/>
    <col min="67" max="67" width="18.8545454545455" style="1" customWidth="1"/>
    <col min="68" max="68" width="34.4272727272727" style="1" customWidth="1"/>
    <col min="69" max="16384" width="9" style="1"/>
  </cols>
  <sheetData>
    <row r="1" s="1" customFormat="1" ht="18.5" spans="1:4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17"/>
      <c r="AS1" s="17"/>
    </row>
    <row r="2" s="1" customFormat="1" ht="19.25" spans="1:4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17"/>
      <c r="AS2" s="17"/>
    </row>
    <row r="3" s="1" customFormat="1" ht="15.25" spans="1:45">
      <c r="A3" s="3" t="s">
        <v>2</v>
      </c>
      <c r="B3" s="4" t="s">
        <v>3</v>
      </c>
      <c r="C3" s="5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6" t="s">
        <v>9</v>
      </c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17"/>
    </row>
    <row r="4" s="1" customFormat="1" spans="1:45">
      <c r="A4" s="7">
        <v>1</v>
      </c>
      <c r="B4" s="8" t="s">
        <v>10</v>
      </c>
      <c r="C4" s="8" t="s">
        <v>11</v>
      </c>
      <c r="D4" s="8" t="s">
        <v>12</v>
      </c>
      <c r="E4" s="8" t="s">
        <v>12</v>
      </c>
      <c r="F4" s="9">
        <v>25</v>
      </c>
      <c r="G4" s="10">
        <v>257.63</v>
      </c>
      <c r="H4" s="11">
        <f t="shared" ref="H4:H18" si="0">F4*G4</f>
        <v>6440.75</v>
      </c>
      <c r="I4" s="34"/>
      <c r="J4" s="34"/>
      <c r="K4" s="34"/>
      <c r="L4" s="35"/>
      <c r="M4" s="35"/>
      <c r="N4" s="35"/>
      <c r="O4" s="35"/>
      <c r="P4" s="35"/>
      <c r="Q4" s="35"/>
      <c r="R4" s="35"/>
      <c r="S4" s="35"/>
      <c r="T4" s="35"/>
      <c r="U4" s="34"/>
      <c r="V4" s="34"/>
      <c r="W4" s="34"/>
      <c r="X4" s="34"/>
      <c r="Y4" s="34"/>
      <c r="Z4" s="34"/>
      <c r="AA4" s="34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17"/>
    </row>
    <row r="5" s="1" customFormat="1" spans="1:45">
      <c r="A5" s="7">
        <v>2</v>
      </c>
      <c r="B5" s="8" t="s">
        <v>13</v>
      </c>
      <c r="C5" s="8" t="s">
        <v>14</v>
      </c>
      <c r="D5" s="8" t="s">
        <v>12</v>
      </c>
      <c r="E5" s="8" t="s">
        <v>12</v>
      </c>
      <c r="F5" s="9">
        <v>35</v>
      </c>
      <c r="G5" s="10">
        <v>125.45</v>
      </c>
      <c r="H5" s="11">
        <f t="shared" si="0"/>
        <v>4390.75</v>
      </c>
      <c r="I5" s="34"/>
      <c r="J5" s="34"/>
      <c r="K5" s="34"/>
      <c r="L5" s="35"/>
      <c r="M5" s="35"/>
      <c r="N5" s="35"/>
      <c r="O5" s="35"/>
      <c r="P5" s="35"/>
      <c r="Q5" s="35"/>
      <c r="R5" s="35"/>
      <c r="S5" s="35"/>
      <c r="T5" s="35"/>
      <c r="U5" s="34"/>
      <c r="V5" s="34"/>
      <c r="W5" s="34"/>
      <c r="X5" s="34"/>
      <c r="Y5" s="34"/>
      <c r="Z5" s="34"/>
      <c r="AA5" s="34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17"/>
    </row>
    <row r="6" s="1" customFormat="1" spans="1:45">
      <c r="A6" s="7">
        <v>3</v>
      </c>
      <c r="B6" s="8" t="s">
        <v>15</v>
      </c>
      <c r="C6" s="8" t="s">
        <v>16</v>
      </c>
      <c r="D6" s="8" t="s">
        <v>12</v>
      </c>
      <c r="E6" s="8" t="s">
        <v>12</v>
      </c>
      <c r="F6" s="9">
        <v>45</v>
      </c>
      <c r="G6" s="10">
        <v>125.36</v>
      </c>
      <c r="H6" s="11">
        <f t="shared" si="0"/>
        <v>5641.2</v>
      </c>
      <c r="I6" s="34"/>
      <c r="J6" s="34"/>
      <c r="K6" s="34"/>
      <c r="L6" s="35"/>
      <c r="M6" s="35"/>
      <c r="N6" s="35"/>
      <c r="O6" s="35"/>
      <c r="P6" s="35"/>
      <c r="Q6" s="35"/>
      <c r="R6" s="35"/>
      <c r="S6" s="35"/>
      <c r="T6" s="35"/>
      <c r="U6" s="34"/>
      <c r="V6" s="34"/>
      <c r="W6" s="34"/>
      <c r="X6" s="34"/>
      <c r="Y6" s="34"/>
      <c r="Z6" s="34"/>
      <c r="AA6" s="34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17"/>
    </row>
    <row r="7" s="1" customFormat="1" spans="1:45">
      <c r="A7" s="7">
        <v>4</v>
      </c>
      <c r="B7" s="8" t="s">
        <v>17</v>
      </c>
      <c r="C7" s="8" t="s">
        <v>18</v>
      </c>
      <c r="D7" s="8" t="s">
        <v>12</v>
      </c>
      <c r="E7" s="8" t="s">
        <v>12</v>
      </c>
      <c r="F7" s="9">
        <v>55</v>
      </c>
      <c r="G7" s="10">
        <v>45.25</v>
      </c>
      <c r="H7" s="11">
        <f t="shared" si="0"/>
        <v>2488.75</v>
      </c>
      <c r="I7" s="34"/>
      <c r="J7" s="34"/>
      <c r="K7" s="34"/>
      <c r="L7" s="35"/>
      <c r="M7" s="35"/>
      <c r="N7" s="35"/>
      <c r="O7" s="35"/>
      <c r="P7" s="35"/>
      <c r="Q7" s="35"/>
      <c r="R7" s="35"/>
      <c r="S7" s="35"/>
      <c r="T7" s="35"/>
      <c r="U7" s="34"/>
      <c r="V7" s="34"/>
      <c r="W7" s="34"/>
      <c r="X7" s="34"/>
      <c r="Y7" s="34"/>
      <c r="Z7" s="34"/>
      <c r="AA7" s="34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17"/>
    </row>
    <row r="8" s="1" customFormat="1" spans="1:45">
      <c r="A8" s="7">
        <v>5</v>
      </c>
      <c r="B8" s="8" t="s">
        <v>19</v>
      </c>
      <c r="C8" s="8" t="s">
        <v>20</v>
      </c>
      <c r="D8" s="8" t="s">
        <v>12</v>
      </c>
      <c r="E8" s="8" t="s">
        <v>12</v>
      </c>
      <c r="F8" s="9">
        <v>60</v>
      </c>
      <c r="G8" s="10">
        <v>45.5</v>
      </c>
      <c r="H8" s="11">
        <f t="shared" si="0"/>
        <v>2730</v>
      </c>
      <c r="I8" s="34"/>
      <c r="J8" s="34"/>
      <c r="K8" s="34"/>
      <c r="L8" s="35"/>
      <c r="M8" s="35"/>
      <c r="N8" s="35"/>
      <c r="O8" s="35"/>
      <c r="P8" s="35"/>
      <c r="Q8" s="35"/>
      <c r="R8" s="35"/>
      <c r="S8" s="35"/>
      <c r="T8" s="35"/>
      <c r="U8" s="34"/>
      <c r="V8" s="34"/>
      <c r="W8" s="34"/>
      <c r="X8" s="34"/>
      <c r="Y8" s="34"/>
      <c r="Z8" s="34"/>
      <c r="AA8" s="34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17"/>
    </row>
    <row r="9" s="1" customFormat="1" spans="1:45">
      <c r="A9" s="7">
        <v>6</v>
      </c>
      <c r="B9" s="8" t="s">
        <v>21</v>
      </c>
      <c r="C9" s="8" t="s">
        <v>22</v>
      </c>
      <c r="D9" s="8" t="s">
        <v>12</v>
      </c>
      <c r="E9" s="8" t="s">
        <v>12</v>
      </c>
      <c r="F9" s="9">
        <v>75</v>
      </c>
      <c r="G9" s="10">
        <v>125.25</v>
      </c>
      <c r="H9" s="11">
        <f t="shared" si="0"/>
        <v>9393.75</v>
      </c>
      <c r="I9" s="34"/>
      <c r="J9" s="34"/>
      <c r="K9" s="34"/>
      <c r="L9" s="35"/>
      <c r="M9" s="35"/>
      <c r="N9" s="35"/>
      <c r="O9" s="35"/>
      <c r="P9" s="35"/>
      <c r="Q9" s="35"/>
      <c r="R9" s="35"/>
      <c r="S9" s="35"/>
      <c r="T9" s="35"/>
      <c r="U9" s="34"/>
      <c r="V9" s="34"/>
      <c r="W9" s="34"/>
      <c r="X9" s="34"/>
      <c r="Y9" s="34"/>
      <c r="Z9" s="34"/>
      <c r="AA9" s="34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17"/>
    </row>
    <row r="10" s="1" customFormat="1" spans="1:45">
      <c r="A10" s="7">
        <v>7</v>
      </c>
      <c r="B10" s="8" t="s">
        <v>23</v>
      </c>
      <c r="C10" s="8" t="s">
        <v>24</v>
      </c>
      <c r="D10" s="8" t="s">
        <v>12</v>
      </c>
      <c r="E10" s="8" t="s">
        <v>12</v>
      </c>
      <c r="F10" s="9">
        <v>28</v>
      </c>
      <c r="G10" s="10">
        <v>150.5</v>
      </c>
      <c r="H10" s="11">
        <f t="shared" si="0"/>
        <v>4214</v>
      </c>
      <c r="I10" s="34"/>
      <c r="J10" s="34"/>
      <c r="K10" s="34"/>
      <c r="L10" s="35"/>
      <c r="M10" s="35"/>
      <c r="N10" s="35"/>
      <c r="O10" s="35"/>
      <c r="P10" s="35"/>
      <c r="Q10" s="35"/>
      <c r="R10" s="35"/>
      <c r="S10" s="35"/>
      <c r="T10" s="35"/>
      <c r="U10" s="34"/>
      <c r="V10" s="34"/>
      <c r="W10" s="34"/>
      <c r="X10" s="34"/>
      <c r="Y10" s="34"/>
      <c r="Z10" s="34"/>
      <c r="AA10" s="34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17"/>
    </row>
    <row r="11" s="1" customFormat="1" spans="1:45">
      <c r="A11" s="7">
        <v>8</v>
      </c>
      <c r="B11" s="8" t="s">
        <v>25</v>
      </c>
      <c r="C11" s="8" t="s">
        <v>26</v>
      </c>
      <c r="D11" s="8" t="s">
        <v>12</v>
      </c>
      <c r="E11" s="8" t="s">
        <v>12</v>
      </c>
      <c r="F11" s="9">
        <v>30</v>
      </c>
      <c r="G11" s="10">
        <v>65.32</v>
      </c>
      <c r="H11" s="11">
        <f t="shared" si="0"/>
        <v>1959.6</v>
      </c>
      <c r="I11" s="34"/>
      <c r="J11" s="34"/>
      <c r="K11" s="34"/>
      <c r="L11" s="35"/>
      <c r="M11" s="35"/>
      <c r="N11" s="35"/>
      <c r="O11" s="35"/>
      <c r="P11" s="35"/>
      <c r="Q11" s="35"/>
      <c r="R11" s="35"/>
      <c r="S11" s="35"/>
      <c r="T11" s="35"/>
      <c r="U11" s="34"/>
      <c r="V11" s="34"/>
      <c r="W11" s="34"/>
      <c r="X11" s="34"/>
      <c r="Y11" s="34"/>
      <c r="Z11" s="34"/>
      <c r="AA11" s="34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17"/>
    </row>
    <row r="12" s="1" customFormat="1" spans="1:45">
      <c r="A12" s="7">
        <v>9</v>
      </c>
      <c r="B12" s="8" t="s">
        <v>27</v>
      </c>
      <c r="C12" s="8" t="s">
        <v>28</v>
      </c>
      <c r="D12" s="8" t="s">
        <v>12</v>
      </c>
      <c r="E12" s="8" t="s">
        <v>12</v>
      </c>
      <c r="F12" s="9">
        <v>25</v>
      </c>
      <c r="G12" s="10">
        <v>74.89</v>
      </c>
      <c r="H12" s="11">
        <f t="shared" si="0"/>
        <v>1872.25</v>
      </c>
      <c r="I12" s="34"/>
      <c r="J12" s="34"/>
      <c r="K12" s="34"/>
      <c r="L12" s="35"/>
      <c r="M12" s="35"/>
      <c r="N12" s="35"/>
      <c r="O12" s="35"/>
      <c r="P12" s="35"/>
      <c r="Q12" s="35"/>
      <c r="R12" s="35"/>
      <c r="S12" s="35"/>
      <c r="T12" s="35"/>
      <c r="U12" s="34"/>
      <c r="V12" s="34"/>
      <c r="W12" s="34"/>
      <c r="X12" s="34"/>
      <c r="Y12" s="34"/>
      <c r="Z12" s="34"/>
      <c r="AA12" s="34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17"/>
    </row>
    <row r="13" s="1" customFormat="1" spans="1:45">
      <c r="A13" s="7">
        <v>10</v>
      </c>
      <c r="B13" s="8" t="s">
        <v>29</v>
      </c>
      <c r="C13" s="8" t="s">
        <v>30</v>
      </c>
      <c r="D13" s="8" t="s">
        <v>12</v>
      </c>
      <c r="E13" s="8" t="s">
        <v>12</v>
      </c>
      <c r="F13" s="9">
        <v>28</v>
      </c>
      <c r="G13" s="10">
        <v>89.56</v>
      </c>
      <c r="H13" s="11">
        <f t="shared" si="0"/>
        <v>2507.68</v>
      </c>
      <c r="I13" s="34"/>
      <c r="J13" s="34"/>
      <c r="K13" s="34"/>
      <c r="L13" s="35"/>
      <c r="M13" s="35"/>
      <c r="N13" s="35"/>
      <c r="O13" s="35"/>
      <c r="P13" s="35"/>
      <c r="Q13" s="35"/>
      <c r="R13" s="35"/>
      <c r="S13" s="35"/>
      <c r="T13" s="35"/>
      <c r="U13" s="34"/>
      <c r="V13" s="34"/>
      <c r="W13" s="34"/>
      <c r="X13" s="34"/>
      <c r="Y13" s="34"/>
      <c r="Z13" s="34"/>
      <c r="AA13" s="34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17"/>
    </row>
    <row r="14" s="1" customFormat="1" spans="1:45">
      <c r="A14" s="7">
        <v>11</v>
      </c>
      <c r="B14" s="8" t="s">
        <v>31</v>
      </c>
      <c r="C14" s="8" t="s">
        <v>32</v>
      </c>
      <c r="D14" s="8" t="s">
        <v>12</v>
      </c>
      <c r="E14" s="8" t="s">
        <v>12</v>
      </c>
      <c r="F14" s="9">
        <v>37</v>
      </c>
      <c r="G14" s="10">
        <v>89.54</v>
      </c>
      <c r="H14" s="11">
        <f t="shared" si="0"/>
        <v>3312.98</v>
      </c>
      <c r="I14" s="34"/>
      <c r="J14" s="34"/>
      <c r="K14" s="34"/>
      <c r="L14" s="35"/>
      <c r="M14" s="35"/>
      <c r="N14" s="35"/>
      <c r="O14" s="35"/>
      <c r="P14" s="35"/>
      <c r="Q14" s="35"/>
      <c r="R14" s="35"/>
      <c r="S14" s="35"/>
      <c r="T14" s="35"/>
      <c r="U14" s="34"/>
      <c r="V14" s="34"/>
      <c r="W14" s="34"/>
      <c r="X14" s="34"/>
      <c r="Y14" s="34"/>
      <c r="Z14" s="34"/>
      <c r="AA14" s="34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17"/>
    </row>
    <row r="15" s="1" customFormat="1" spans="1:45">
      <c r="A15" s="7">
        <v>12</v>
      </c>
      <c r="B15" s="8" t="s">
        <v>33</v>
      </c>
      <c r="C15" s="8" t="s">
        <v>34</v>
      </c>
      <c r="D15" s="8" t="s">
        <v>12</v>
      </c>
      <c r="E15" s="8" t="s">
        <v>12</v>
      </c>
      <c r="F15" s="9">
        <v>39</v>
      </c>
      <c r="G15" s="10">
        <v>98.25</v>
      </c>
      <c r="H15" s="11">
        <f t="shared" si="0"/>
        <v>3831.75</v>
      </c>
      <c r="I15" s="34"/>
      <c r="J15" s="34"/>
      <c r="K15" s="34"/>
      <c r="L15" s="35"/>
      <c r="M15" s="35"/>
      <c r="N15" s="35"/>
      <c r="O15" s="35"/>
      <c r="P15" s="35"/>
      <c r="Q15" s="35"/>
      <c r="R15" s="35"/>
      <c r="S15" s="35"/>
      <c r="T15" s="35"/>
      <c r="U15" s="34"/>
      <c r="V15" s="34"/>
      <c r="W15" s="34"/>
      <c r="X15" s="34"/>
      <c r="Y15" s="34"/>
      <c r="Z15" s="34"/>
      <c r="AA15" s="34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17"/>
    </row>
    <row r="16" s="1" customFormat="1" spans="1:45">
      <c r="A16" s="7">
        <v>13</v>
      </c>
      <c r="B16" s="8" t="s">
        <v>35</v>
      </c>
      <c r="C16" s="8" t="s">
        <v>36</v>
      </c>
      <c r="D16" s="8" t="s">
        <v>12</v>
      </c>
      <c r="E16" s="8" t="s">
        <v>12</v>
      </c>
      <c r="F16" s="9">
        <v>70</v>
      </c>
      <c r="G16" s="10">
        <v>102.25</v>
      </c>
      <c r="H16" s="11">
        <f t="shared" si="0"/>
        <v>7157.5</v>
      </c>
      <c r="I16" s="34"/>
      <c r="J16" s="34"/>
      <c r="K16" s="34"/>
      <c r="L16" s="35"/>
      <c r="M16" s="35"/>
      <c r="N16" s="35"/>
      <c r="O16" s="35"/>
      <c r="P16" s="35"/>
      <c r="Q16" s="35"/>
      <c r="R16" s="35"/>
      <c r="S16" s="35"/>
      <c r="T16" s="35"/>
      <c r="U16" s="34"/>
      <c r="V16" s="34"/>
      <c r="W16" s="34"/>
      <c r="X16" s="34"/>
      <c r="Y16" s="34"/>
      <c r="Z16" s="34"/>
      <c r="AA16" s="34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17"/>
    </row>
    <row r="17" s="1" customFormat="1" spans="1:45">
      <c r="A17" s="7">
        <v>14</v>
      </c>
      <c r="B17" s="8" t="s">
        <v>37</v>
      </c>
      <c r="C17" s="8" t="s">
        <v>38</v>
      </c>
      <c r="D17" s="8" t="s">
        <v>12</v>
      </c>
      <c r="E17" s="8" t="s">
        <v>12</v>
      </c>
      <c r="F17" s="9">
        <v>100</v>
      </c>
      <c r="G17" s="10">
        <v>103.5</v>
      </c>
      <c r="H17" s="11">
        <f t="shared" si="0"/>
        <v>10350</v>
      </c>
      <c r="I17" s="34"/>
      <c r="J17" s="34"/>
      <c r="K17" s="34"/>
      <c r="L17" s="35"/>
      <c r="M17" s="35"/>
      <c r="N17" s="35"/>
      <c r="O17" s="35"/>
      <c r="P17" s="35"/>
      <c r="Q17" s="35"/>
      <c r="R17" s="35"/>
      <c r="S17" s="39"/>
      <c r="T17" s="35"/>
      <c r="U17" s="34"/>
      <c r="V17" s="34"/>
      <c r="W17" s="34"/>
      <c r="X17" s="34"/>
      <c r="Y17" s="34"/>
      <c r="Z17" s="34"/>
      <c r="AA17" s="34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17"/>
    </row>
    <row r="18" s="1" customFormat="1" ht="15.25" spans="1:45">
      <c r="A18" s="12">
        <v>15</v>
      </c>
      <c r="B18" s="13" t="s">
        <v>39</v>
      </c>
      <c r="C18" s="13" t="s">
        <v>40</v>
      </c>
      <c r="D18" s="13" t="s">
        <v>12</v>
      </c>
      <c r="E18" s="13" t="s">
        <v>12</v>
      </c>
      <c r="F18" s="14">
        <v>85</v>
      </c>
      <c r="G18" s="15">
        <v>65.48</v>
      </c>
      <c r="H18" s="16">
        <f t="shared" si="0"/>
        <v>5565.8</v>
      </c>
      <c r="I18" s="34"/>
      <c r="J18" s="34"/>
      <c r="K18" s="34"/>
      <c r="L18" s="35"/>
      <c r="M18" s="35"/>
      <c r="N18" s="35"/>
      <c r="O18" s="35"/>
      <c r="P18" s="35"/>
      <c r="Q18" s="35"/>
      <c r="R18" s="35"/>
      <c r="S18" s="35"/>
      <c r="T18" s="35"/>
      <c r="U18" s="34"/>
      <c r="V18" s="34"/>
      <c r="W18" s="34"/>
      <c r="X18" s="34"/>
      <c r="Y18" s="34"/>
      <c r="Z18" s="34"/>
      <c r="AA18" s="34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17"/>
    </row>
    <row r="19" s="1" customFormat="1" ht="15.25" spans="1:45">
      <c r="A19" s="17"/>
      <c r="B19" s="18" t="s">
        <v>41</v>
      </c>
      <c r="C19" s="18"/>
      <c r="D19" s="18"/>
      <c r="E19" s="18"/>
      <c r="F19" s="18"/>
      <c r="G19" s="18"/>
      <c r="H19" s="19">
        <f>SUM(H4:H18)</f>
        <v>71856.76</v>
      </c>
      <c r="I19" s="36"/>
      <c r="J19" s="36"/>
      <c r="K19" s="36"/>
      <c r="L19" s="36"/>
      <c r="M19" s="36"/>
      <c r="N19" s="36"/>
      <c r="O19" s="36"/>
      <c r="P19" s="36"/>
      <c r="Q19" s="36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17"/>
    </row>
    <row r="20" s="1" customFormat="1" spans="1:45">
      <c r="A20" s="20" t="s">
        <v>42</v>
      </c>
      <c r="B20" s="21"/>
      <c r="C20" s="21"/>
      <c r="D20" s="21"/>
      <c r="E20" s="21"/>
      <c r="F20" s="21"/>
      <c r="G20" s="21"/>
      <c r="H20" s="20"/>
      <c r="I20" s="36"/>
      <c r="J20" s="36"/>
      <c r="K20" s="36"/>
      <c r="L20" s="36"/>
      <c r="M20" s="36"/>
      <c r="N20" s="36"/>
      <c r="O20" s="36"/>
      <c r="P20" s="36"/>
      <c r="Q20" s="36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17"/>
    </row>
    <row r="21" s="1" customFormat="1" ht="15.25" spans="1:45">
      <c r="A21" s="22" t="s">
        <v>43</v>
      </c>
      <c r="B21" s="22"/>
      <c r="C21" s="23">
        <v>3</v>
      </c>
      <c r="D21" s="24" t="s">
        <v>44</v>
      </c>
      <c r="E21" s="21"/>
      <c r="F21" s="21"/>
      <c r="G21" s="21"/>
      <c r="H21" s="20"/>
      <c r="I21" s="36" t="s">
        <v>45</v>
      </c>
      <c r="J21" s="36" t="s">
        <v>46</v>
      </c>
      <c r="K21" s="36"/>
      <c r="L21" s="36" t="s">
        <v>47</v>
      </c>
      <c r="M21" s="36">
        <v>1</v>
      </c>
      <c r="N21" s="36"/>
      <c r="O21" s="36" t="s">
        <v>48</v>
      </c>
      <c r="P21" s="36">
        <v>1</v>
      </c>
      <c r="Q21" s="36" t="s">
        <v>49</v>
      </c>
      <c r="R21" s="20"/>
      <c r="S21" s="20"/>
      <c r="T21" s="20"/>
      <c r="U21" s="20"/>
      <c r="V21" s="20">
        <v>1</v>
      </c>
      <c r="W21" s="20" t="s">
        <v>50</v>
      </c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17"/>
    </row>
    <row r="22" s="1" customFormat="1" ht="59.5" spans="1:69">
      <c r="A22" s="25" t="s">
        <v>2</v>
      </c>
      <c r="B22" s="25" t="s">
        <v>3</v>
      </c>
      <c r="C22" s="26" t="s">
        <v>4</v>
      </c>
      <c r="D22" s="25" t="s">
        <v>5</v>
      </c>
      <c r="E22" s="25" t="s">
        <v>6</v>
      </c>
      <c r="F22" s="27" t="s">
        <v>51</v>
      </c>
      <c r="G22" s="25" t="s">
        <v>8</v>
      </c>
      <c r="H22" s="25" t="s">
        <v>9</v>
      </c>
      <c r="I22" s="37" t="s">
        <v>52</v>
      </c>
      <c r="J22" s="37" t="s">
        <v>53</v>
      </c>
      <c r="K22" s="37" t="s">
        <v>54</v>
      </c>
      <c r="L22" s="38" t="s">
        <v>55</v>
      </c>
      <c r="M22" s="38" t="s">
        <v>56</v>
      </c>
      <c r="N22" s="38" t="s">
        <v>57</v>
      </c>
      <c r="O22" s="38" t="s">
        <v>58</v>
      </c>
      <c r="P22" s="38" t="s">
        <v>59</v>
      </c>
      <c r="Q22" s="38" t="s">
        <v>60</v>
      </c>
      <c r="R22" s="37" t="s">
        <v>61</v>
      </c>
      <c r="S22" s="25" t="s">
        <v>62</v>
      </c>
      <c r="T22" s="25" t="s">
        <v>63</v>
      </c>
      <c r="U22" s="40" t="s">
        <v>64</v>
      </c>
      <c r="V22" s="40" t="s">
        <v>65</v>
      </c>
      <c r="W22" s="40" t="s">
        <v>66</v>
      </c>
      <c r="X22" s="40" t="s">
        <v>67</v>
      </c>
      <c r="Y22" s="40" t="s">
        <v>68</v>
      </c>
      <c r="Z22" s="40" t="s">
        <v>69</v>
      </c>
      <c r="AA22" s="40" t="s">
        <v>70</v>
      </c>
      <c r="AB22" s="40" t="s">
        <v>71</v>
      </c>
      <c r="AC22" s="43" t="s">
        <v>72</v>
      </c>
      <c r="AD22" s="43" t="s">
        <v>73</v>
      </c>
      <c r="AE22" s="44" t="s">
        <v>74</v>
      </c>
      <c r="AF22" s="44" t="s">
        <v>75</v>
      </c>
      <c r="AG22" s="44" t="s">
        <v>76</v>
      </c>
      <c r="AH22" s="43" t="s">
        <v>77</v>
      </c>
      <c r="AI22" s="43" t="s">
        <v>78</v>
      </c>
      <c r="AJ22" s="44" t="s">
        <v>79</v>
      </c>
      <c r="AK22" s="44" t="s">
        <v>80</v>
      </c>
      <c r="AL22" s="43" t="s">
        <v>81</v>
      </c>
      <c r="AM22" s="43" t="s">
        <v>82</v>
      </c>
      <c r="AN22" s="44" t="s">
        <v>83</v>
      </c>
      <c r="AO22" s="44" t="s">
        <v>84</v>
      </c>
      <c r="AP22" s="44" t="s">
        <v>85</v>
      </c>
      <c r="AQ22" s="43" t="s">
        <v>86</v>
      </c>
      <c r="AR22" s="48" t="s">
        <v>87</v>
      </c>
      <c r="AS22" s="4" t="s">
        <v>88</v>
      </c>
      <c r="AT22" s="4" t="s">
        <v>86</v>
      </c>
      <c r="AU22" s="49" t="s">
        <v>89</v>
      </c>
      <c r="AV22" s="49" t="s">
        <v>90</v>
      </c>
      <c r="AW22" s="49" t="s">
        <v>91</v>
      </c>
      <c r="AX22" s="49" t="s">
        <v>92</v>
      </c>
      <c r="AY22" s="49" t="s">
        <v>93</v>
      </c>
      <c r="AZ22" s="49" t="s">
        <v>94</v>
      </c>
      <c r="BA22" s="49" t="s">
        <v>95</v>
      </c>
      <c r="BB22" s="49" t="s">
        <v>96</v>
      </c>
      <c r="BC22" s="51" t="s">
        <v>97</v>
      </c>
      <c r="BD22" s="51" t="s">
        <v>98</v>
      </c>
      <c r="BE22" s="51" t="s">
        <v>99</v>
      </c>
      <c r="BF22" s="49" t="s">
        <v>100</v>
      </c>
      <c r="BG22" s="49" t="s">
        <v>101</v>
      </c>
      <c r="BH22" s="49" t="s">
        <v>102</v>
      </c>
      <c r="BI22" s="49" t="s">
        <v>103</v>
      </c>
      <c r="BJ22" s="49" t="s">
        <v>104</v>
      </c>
      <c r="BK22" s="49" t="s">
        <v>105</v>
      </c>
      <c r="BL22" s="49" t="s">
        <v>106</v>
      </c>
      <c r="BM22" s="49" t="s">
        <v>107</v>
      </c>
      <c r="BN22" s="49" t="s">
        <v>108</v>
      </c>
      <c r="BO22" s="49" t="s">
        <v>94</v>
      </c>
      <c r="BP22" s="49" t="s">
        <v>109</v>
      </c>
      <c r="BQ22" s="49" t="s">
        <v>63</v>
      </c>
    </row>
    <row r="23" s="1" customFormat="1" ht="15.25" spans="1:70">
      <c r="A23" s="28">
        <v>1</v>
      </c>
      <c r="B23" s="28" t="s">
        <v>139</v>
      </c>
      <c r="C23" s="28" t="s">
        <v>139</v>
      </c>
      <c r="D23" s="28" t="s">
        <v>12</v>
      </c>
      <c r="E23" s="28" t="s">
        <v>12</v>
      </c>
      <c r="F23" s="29">
        <v>2</v>
      </c>
      <c r="G23" s="1" t="s">
        <v>130</v>
      </c>
      <c r="H23" s="29">
        <f>F23*G23</f>
        <v>400</v>
      </c>
      <c r="I23" s="1" t="s">
        <v>112</v>
      </c>
      <c r="J23" s="29">
        <v>2</v>
      </c>
      <c r="K23" s="29">
        <v>2</v>
      </c>
      <c r="L23" s="29">
        <f>H23</f>
        <v>400</v>
      </c>
      <c r="M23" s="29">
        <f>ROUND(L23*I23%,2)</f>
        <v>8</v>
      </c>
      <c r="N23" s="29">
        <f>H23-M23</f>
        <v>392</v>
      </c>
      <c r="O23" s="29">
        <f>ROUND(N23*J23%,2)</f>
        <v>7.84</v>
      </c>
      <c r="P23" s="29">
        <f>ROUND(N23-O23,2)</f>
        <v>384.16</v>
      </c>
      <c r="Q23" s="29">
        <f>ROUND(P23*K23%,2)</f>
        <v>7.68</v>
      </c>
      <c r="R23" s="29">
        <f>M23+O23+Q23</f>
        <v>23.52</v>
      </c>
      <c r="S23" s="29">
        <f>(H23-R23)</f>
        <v>376.48</v>
      </c>
      <c r="T23" s="29" t="s">
        <v>113</v>
      </c>
      <c r="U23" s="29">
        <v>0.18</v>
      </c>
      <c r="V23" s="29">
        <f>IF(OR($C$21=1,$C$21=4),ROUND(((S23*U23)/2),2),0)</f>
        <v>0</v>
      </c>
      <c r="W23" s="29">
        <f>IF($C$21=1,ROUND(((S23*U23)/2),2),0)</f>
        <v>0</v>
      </c>
      <c r="X23" s="29">
        <f>IF($C$21=2,ROUND(((S23*U23)),2),0)</f>
        <v>0</v>
      </c>
      <c r="Y23" s="29">
        <f>IF($C$21=4,ROUND(((S23*U23)/2),2),0)</f>
        <v>0</v>
      </c>
      <c r="Z23" s="45">
        <v>0</v>
      </c>
      <c r="AA23" s="29">
        <f>IF($C21=3,0,ROUND(S23*Z23,2))</f>
        <v>0</v>
      </c>
      <c r="AB23" s="29">
        <f>V23+W23+X23+Y23+AA23</f>
        <v>0</v>
      </c>
      <c r="AC23" s="29">
        <f>IF($V21=1,S23+AB23,S23)</f>
        <v>376.48</v>
      </c>
      <c r="AD23" s="29">
        <v>120</v>
      </c>
      <c r="AE23" s="29">
        <f>IF($P$21=1,(S23/$S$24)*$E$35,AD23/$AD$24*$E$35)</f>
        <v>0</v>
      </c>
      <c r="AF23" s="29"/>
      <c r="AG23" s="29">
        <f>IF($P$21=1,(S23/$S$24)*$E$37,AD23/$AD$24*$E$37)</f>
        <v>0</v>
      </c>
      <c r="AH23" s="29">
        <f>IF($P$21=1,(S23/$S$24)*$E$37,AD23/$AD$24*$E$37)</f>
        <v>0</v>
      </c>
      <c r="AI23" s="29">
        <f>S23*$M$21</f>
        <v>376.48</v>
      </c>
      <c r="AJ23" s="29">
        <f>IF($C$21=3,0,AG23+AH23)</f>
        <v>0</v>
      </c>
      <c r="AK23" s="29">
        <f>IF($C$21=3,AE23+AG23+AH23,0)</f>
        <v>0</v>
      </c>
      <c r="AL23" s="29">
        <v>1</v>
      </c>
      <c r="AM23" s="29">
        <f>F23/AL23</f>
        <v>2</v>
      </c>
      <c r="AN23" s="29">
        <f>AI23/AM23</f>
        <v>188.24</v>
      </c>
      <c r="AO23" s="29">
        <f>AJ23/AM23</f>
        <v>0</v>
      </c>
      <c r="AP23" s="29">
        <f>AK23/AM23</f>
        <v>0</v>
      </c>
      <c r="AQ23" s="29" t="s">
        <v>12</v>
      </c>
      <c r="AR23" s="29">
        <f>AN23+AO23+AP23</f>
        <v>188.24</v>
      </c>
      <c r="AS23" s="50" t="s">
        <v>114</v>
      </c>
      <c r="AT23" s="50" t="s">
        <v>12</v>
      </c>
      <c r="AU23" s="1" t="s">
        <v>120</v>
      </c>
      <c r="AV23" s="1" t="s">
        <v>140</v>
      </c>
      <c r="AW23" s="50">
        <f>AM23</f>
        <v>2</v>
      </c>
      <c r="AX23" s="50">
        <f>AR23</f>
        <v>188.24</v>
      </c>
      <c r="AY23" s="50">
        <f>AU23+AW23</f>
        <v>2</v>
      </c>
      <c r="AZ23" s="50">
        <f>ROUND(((AU23*AV23)+(AW23*AX23))/(AU23+AW23),5)</f>
        <v>188.24</v>
      </c>
      <c r="BA23" s="52"/>
      <c r="BB23" s="52" t="s">
        <v>115</v>
      </c>
      <c r="BC23" s="53" t="s">
        <v>116</v>
      </c>
      <c r="BD23" s="54" t="s">
        <v>117</v>
      </c>
      <c r="BE23" s="54" t="s">
        <v>118</v>
      </c>
      <c r="BF23" s="52"/>
      <c r="BG23" s="52"/>
      <c r="BH23" s="52"/>
      <c r="BI23" s="50"/>
      <c r="BJ23" s="50"/>
      <c r="BK23" s="50"/>
      <c r="BL23" s="50" t="s">
        <v>119</v>
      </c>
      <c r="BM23" s="1" t="s">
        <v>140</v>
      </c>
      <c r="BN23" s="1" t="s">
        <v>141</v>
      </c>
      <c r="BO23" s="50">
        <f>ROUND((((AW23*AZ23)+(BN23*BM23))/(AW23+BN23)),5)</f>
        <v>186.96</v>
      </c>
      <c r="BP23" s="55">
        <f>BN23+AW23</f>
        <v>6</v>
      </c>
      <c r="BQ23" s="56">
        <v>88363222</v>
      </c>
      <c r="BR23" s="55"/>
    </row>
    <row r="24" s="1" customFormat="1" ht="15.25" spans="1:45">
      <c r="A24" s="17"/>
      <c r="B24" s="30"/>
      <c r="C24" s="30"/>
      <c r="D24" s="31" t="s">
        <v>41</v>
      </c>
      <c r="E24" s="31"/>
      <c r="F24" s="31"/>
      <c r="G24" s="32"/>
      <c r="H24" s="33">
        <f>SUM(H23:H23)</f>
        <v>400</v>
      </c>
      <c r="I24" s="28"/>
      <c r="J24" s="28"/>
      <c r="K24" s="28"/>
      <c r="L24" s="28"/>
      <c r="M24" s="28"/>
      <c r="N24" s="28"/>
      <c r="O24" s="28"/>
      <c r="P24" s="28"/>
      <c r="Q24" s="28"/>
      <c r="R24" s="33">
        <f t="shared" ref="R24:Y24" si="1">SUM(R23:R23)</f>
        <v>23.52</v>
      </c>
      <c r="S24" s="41">
        <f t="shared" si="1"/>
        <v>376.48</v>
      </c>
      <c r="T24" s="33"/>
      <c r="U24" s="33"/>
      <c r="V24" s="42">
        <f t="shared" si="1"/>
        <v>0</v>
      </c>
      <c r="W24" s="42">
        <f t="shared" si="1"/>
        <v>0</v>
      </c>
      <c r="X24" s="42">
        <f t="shared" si="1"/>
        <v>0</v>
      </c>
      <c r="Y24" s="42">
        <f t="shared" si="1"/>
        <v>0</v>
      </c>
      <c r="Z24" s="42"/>
      <c r="AA24" s="42">
        <f t="shared" ref="AA24:AE24" si="2">SUM(AA23:AA23)</f>
        <v>0</v>
      </c>
      <c r="AB24" s="33">
        <f t="shared" si="2"/>
        <v>0</v>
      </c>
      <c r="AC24" s="46">
        <f t="shared" si="2"/>
        <v>376.48</v>
      </c>
      <c r="AD24" s="47">
        <f t="shared" si="2"/>
        <v>120</v>
      </c>
      <c r="AE24" s="47">
        <f t="shared" si="2"/>
        <v>0</v>
      </c>
      <c r="AF24" s="46"/>
      <c r="AG24" s="47">
        <f t="shared" ref="AG24:AK24" si="3">SUM(AG23:AG23)</f>
        <v>0</v>
      </c>
      <c r="AH24" s="47">
        <f t="shared" si="3"/>
        <v>0</v>
      </c>
      <c r="AI24" s="47">
        <f t="shared" si="3"/>
        <v>376.48</v>
      </c>
      <c r="AJ24" s="47">
        <f t="shared" si="3"/>
        <v>0</v>
      </c>
      <c r="AK24" s="47">
        <f t="shared" si="3"/>
        <v>0</v>
      </c>
      <c r="AL24" s="46"/>
      <c r="AM24" s="46"/>
      <c r="AN24" s="46"/>
      <c r="AO24" s="46"/>
      <c r="AP24" s="46"/>
      <c r="AQ24" s="46"/>
      <c r="AR24" s="46"/>
      <c r="AS24" s="17"/>
    </row>
    <row r="25" s="1" customFormat="1" spans="1:45">
      <c r="A25" s="17"/>
      <c r="B25" s="30"/>
      <c r="C25" s="30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</row>
  </sheetData>
  <mergeCells count="3">
    <mergeCell ref="A1:AC1"/>
    <mergeCell ref="B19:G19"/>
    <mergeCell ref="A21:B2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25"/>
  <sheetViews>
    <sheetView tabSelected="1" topLeftCell="A9" workbookViewId="0">
      <selection activeCell="D20" sqref="D20"/>
    </sheetView>
  </sheetViews>
  <sheetFormatPr defaultColWidth="9" defaultRowHeight="14.5"/>
  <cols>
    <col min="1" max="1" width="9" style="1"/>
    <col min="2" max="2" width="34.2818181818182" style="1" customWidth="1"/>
    <col min="3" max="3" width="19.2818181818182" style="1" customWidth="1"/>
    <col min="4" max="4" width="80.4272727272727" style="1" customWidth="1"/>
    <col min="5" max="5" width="10.4272727272727" style="1" customWidth="1"/>
    <col min="6" max="6" width="8.28181818181818" style="1" customWidth="1"/>
    <col min="7" max="7" width="10.1363636363636" style="1" customWidth="1"/>
    <col min="8" max="8" width="11.8545454545455" style="1" customWidth="1"/>
    <col min="9" max="10" width="9" style="1"/>
    <col min="11" max="11" width="6.28181818181818" style="1" customWidth="1"/>
    <col min="12" max="28" width="9" style="1"/>
    <col min="29" max="29" width="10.2818181818182" style="1" customWidth="1"/>
    <col min="30" max="30" width="12.8545454545455" style="1" customWidth="1"/>
    <col min="31" max="31" width="8.70909090909091" style="1" customWidth="1"/>
    <col min="32" max="34" width="9" style="1"/>
    <col min="35" max="35" width="14.2818181818182" style="1" customWidth="1"/>
    <col min="36" max="42" width="9" style="1"/>
    <col min="43" max="43" width="11.8545454545455" style="1" customWidth="1"/>
    <col min="44" max="44" width="23.2818181818182" style="1" customWidth="1"/>
    <col min="45" max="45" width="9" style="1"/>
    <col min="46" max="46" width="11.8545454545455" style="1" customWidth="1"/>
    <col min="47" max="47" width="15.2818181818182" style="1" customWidth="1"/>
    <col min="48" max="48" width="20.2818181818182" style="1" customWidth="1"/>
    <col min="49" max="49" width="11.4272727272727" style="1" customWidth="1"/>
    <col min="50" max="50" width="9" style="1"/>
    <col min="51" max="51" width="13.8545454545455" style="1" customWidth="1"/>
    <col min="52" max="52" width="18.8545454545455" style="1" customWidth="1"/>
    <col min="53" max="59" width="9" style="1"/>
    <col min="60" max="60" width="12.5727272727273" style="1" customWidth="1"/>
    <col min="61" max="61" width="21.7090909090909" style="1" customWidth="1"/>
    <col min="62" max="63" width="30.5727272727273" style="1" customWidth="1"/>
    <col min="64" max="64" width="8.13636363636364" style="1" customWidth="1"/>
    <col min="65" max="65" width="41.1363636363636" style="1" customWidth="1"/>
    <col min="66" max="66" width="37" style="1" customWidth="1"/>
    <col min="67" max="67" width="18.8545454545455" style="1" customWidth="1"/>
    <col min="68" max="68" width="34.4272727272727" style="1" customWidth="1"/>
    <col min="69" max="16384" width="9" style="1"/>
  </cols>
  <sheetData>
    <row r="1" s="1" customFormat="1" ht="18.5" spans="1:4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17"/>
      <c r="AS1" s="17"/>
    </row>
    <row r="2" s="1" customFormat="1" ht="19.25" spans="1:4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17"/>
      <c r="AS2" s="17"/>
    </row>
    <row r="3" s="1" customFormat="1" ht="15.25" spans="1:45">
      <c r="A3" s="3" t="s">
        <v>2</v>
      </c>
      <c r="B3" s="4" t="s">
        <v>3</v>
      </c>
      <c r="C3" s="5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6" t="s">
        <v>9</v>
      </c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17"/>
    </row>
    <row r="4" s="1" customFormat="1" spans="1:45">
      <c r="A4" s="7">
        <v>1</v>
      </c>
      <c r="B4" s="8" t="s">
        <v>10</v>
      </c>
      <c r="C4" s="8" t="s">
        <v>11</v>
      </c>
      <c r="D4" s="8" t="s">
        <v>12</v>
      </c>
      <c r="E4" s="8" t="s">
        <v>12</v>
      </c>
      <c r="F4" s="9">
        <v>25</v>
      </c>
      <c r="G4" s="10">
        <v>257.63</v>
      </c>
      <c r="H4" s="11">
        <f t="shared" ref="H4:H18" si="0">F4*G4</f>
        <v>6440.75</v>
      </c>
      <c r="I4" s="34"/>
      <c r="J4" s="34"/>
      <c r="K4" s="34"/>
      <c r="L4" s="35"/>
      <c r="M4" s="35"/>
      <c r="N4" s="35"/>
      <c r="O4" s="35"/>
      <c r="P4" s="35"/>
      <c r="Q4" s="35"/>
      <c r="R4" s="35"/>
      <c r="S4" s="35"/>
      <c r="T4" s="35"/>
      <c r="U4" s="34"/>
      <c r="V4" s="34"/>
      <c r="W4" s="34"/>
      <c r="X4" s="34"/>
      <c r="Y4" s="34"/>
      <c r="Z4" s="34"/>
      <c r="AA4" s="34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17"/>
    </row>
    <row r="5" s="1" customFormat="1" spans="1:45">
      <c r="A5" s="7">
        <v>2</v>
      </c>
      <c r="B5" s="8" t="s">
        <v>13</v>
      </c>
      <c r="C5" s="8" t="s">
        <v>14</v>
      </c>
      <c r="D5" s="8" t="s">
        <v>12</v>
      </c>
      <c r="E5" s="8" t="s">
        <v>12</v>
      </c>
      <c r="F5" s="9">
        <v>35</v>
      </c>
      <c r="G5" s="10">
        <v>125.45</v>
      </c>
      <c r="H5" s="11">
        <f t="shared" si="0"/>
        <v>4390.75</v>
      </c>
      <c r="I5" s="34"/>
      <c r="J5" s="34"/>
      <c r="K5" s="34"/>
      <c r="L5" s="35"/>
      <c r="M5" s="35"/>
      <c r="N5" s="35"/>
      <c r="O5" s="35"/>
      <c r="P5" s="35"/>
      <c r="Q5" s="35"/>
      <c r="R5" s="35"/>
      <c r="S5" s="35"/>
      <c r="T5" s="35"/>
      <c r="U5" s="34"/>
      <c r="V5" s="34"/>
      <c r="W5" s="34"/>
      <c r="X5" s="34"/>
      <c r="Y5" s="34"/>
      <c r="Z5" s="34"/>
      <c r="AA5" s="34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17"/>
    </row>
    <row r="6" s="1" customFormat="1" spans="1:45">
      <c r="A6" s="7">
        <v>3</v>
      </c>
      <c r="B6" s="8" t="s">
        <v>15</v>
      </c>
      <c r="C6" s="8" t="s">
        <v>16</v>
      </c>
      <c r="D6" s="8" t="s">
        <v>12</v>
      </c>
      <c r="E6" s="8" t="s">
        <v>12</v>
      </c>
      <c r="F6" s="9">
        <v>45</v>
      </c>
      <c r="G6" s="10">
        <v>125.36</v>
      </c>
      <c r="H6" s="11">
        <f t="shared" si="0"/>
        <v>5641.2</v>
      </c>
      <c r="I6" s="34"/>
      <c r="J6" s="34"/>
      <c r="K6" s="34"/>
      <c r="L6" s="35"/>
      <c r="M6" s="35"/>
      <c r="N6" s="35"/>
      <c r="O6" s="35"/>
      <c r="P6" s="35"/>
      <c r="Q6" s="35"/>
      <c r="R6" s="35"/>
      <c r="S6" s="35"/>
      <c r="T6" s="35"/>
      <c r="U6" s="34"/>
      <c r="V6" s="34"/>
      <c r="W6" s="34"/>
      <c r="X6" s="34"/>
      <c r="Y6" s="34"/>
      <c r="Z6" s="34"/>
      <c r="AA6" s="34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17"/>
    </row>
    <row r="7" s="1" customFormat="1" spans="1:45">
      <c r="A7" s="7">
        <v>4</v>
      </c>
      <c r="B7" s="8" t="s">
        <v>17</v>
      </c>
      <c r="C7" s="8" t="s">
        <v>18</v>
      </c>
      <c r="D7" s="8" t="s">
        <v>12</v>
      </c>
      <c r="E7" s="8" t="s">
        <v>12</v>
      </c>
      <c r="F7" s="9">
        <v>55</v>
      </c>
      <c r="G7" s="10">
        <v>45.25</v>
      </c>
      <c r="H7" s="11">
        <f t="shared" si="0"/>
        <v>2488.75</v>
      </c>
      <c r="I7" s="34"/>
      <c r="J7" s="34"/>
      <c r="K7" s="34"/>
      <c r="L7" s="35"/>
      <c r="M7" s="35"/>
      <c r="N7" s="35"/>
      <c r="O7" s="35"/>
      <c r="P7" s="35"/>
      <c r="Q7" s="35"/>
      <c r="R7" s="35"/>
      <c r="S7" s="35"/>
      <c r="T7" s="35"/>
      <c r="U7" s="34"/>
      <c r="V7" s="34"/>
      <c r="W7" s="34"/>
      <c r="X7" s="34"/>
      <c r="Y7" s="34"/>
      <c r="Z7" s="34"/>
      <c r="AA7" s="34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17"/>
    </row>
    <row r="8" s="1" customFormat="1" spans="1:45">
      <c r="A8" s="7">
        <v>5</v>
      </c>
      <c r="B8" s="8" t="s">
        <v>19</v>
      </c>
      <c r="C8" s="8" t="s">
        <v>20</v>
      </c>
      <c r="D8" s="8" t="s">
        <v>12</v>
      </c>
      <c r="E8" s="8" t="s">
        <v>12</v>
      </c>
      <c r="F8" s="9">
        <v>60</v>
      </c>
      <c r="G8" s="10">
        <v>45.5</v>
      </c>
      <c r="H8" s="11">
        <f t="shared" si="0"/>
        <v>2730</v>
      </c>
      <c r="I8" s="34"/>
      <c r="J8" s="34"/>
      <c r="K8" s="34"/>
      <c r="L8" s="35"/>
      <c r="M8" s="35"/>
      <c r="N8" s="35"/>
      <c r="O8" s="35"/>
      <c r="P8" s="35"/>
      <c r="Q8" s="35"/>
      <c r="R8" s="35"/>
      <c r="S8" s="35"/>
      <c r="T8" s="35"/>
      <c r="U8" s="34"/>
      <c r="V8" s="34"/>
      <c r="W8" s="34"/>
      <c r="X8" s="34"/>
      <c r="Y8" s="34"/>
      <c r="Z8" s="34"/>
      <c r="AA8" s="34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17"/>
    </row>
    <row r="9" s="1" customFormat="1" spans="1:45">
      <c r="A9" s="7">
        <v>6</v>
      </c>
      <c r="B9" s="8" t="s">
        <v>21</v>
      </c>
      <c r="C9" s="8" t="s">
        <v>22</v>
      </c>
      <c r="D9" s="8" t="s">
        <v>12</v>
      </c>
      <c r="E9" s="8" t="s">
        <v>12</v>
      </c>
      <c r="F9" s="9">
        <v>75</v>
      </c>
      <c r="G9" s="10">
        <v>125.25</v>
      </c>
      <c r="H9" s="11">
        <f t="shared" si="0"/>
        <v>9393.75</v>
      </c>
      <c r="I9" s="34"/>
      <c r="J9" s="34"/>
      <c r="K9" s="34"/>
      <c r="L9" s="35"/>
      <c r="M9" s="35"/>
      <c r="N9" s="35"/>
      <c r="O9" s="35"/>
      <c r="P9" s="35"/>
      <c r="Q9" s="35"/>
      <c r="R9" s="35"/>
      <c r="S9" s="35"/>
      <c r="T9" s="35"/>
      <c r="U9" s="34"/>
      <c r="V9" s="34"/>
      <c r="W9" s="34"/>
      <c r="X9" s="34"/>
      <c r="Y9" s="34"/>
      <c r="Z9" s="34"/>
      <c r="AA9" s="34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17"/>
    </row>
    <row r="10" s="1" customFormat="1" spans="1:45">
      <c r="A10" s="7">
        <v>7</v>
      </c>
      <c r="B10" s="8" t="s">
        <v>23</v>
      </c>
      <c r="C10" s="8" t="s">
        <v>24</v>
      </c>
      <c r="D10" s="8" t="s">
        <v>12</v>
      </c>
      <c r="E10" s="8" t="s">
        <v>12</v>
      </c>
      <c r="F10" s="9">
        <v>28</v>
      </c>
      <c r="G10" s="10">
        <v>150.5</v>
      </c>
      <c r="H10" s="11">
        <f t="shared" si="0"/>
        <v>4214</v>
      </c>
      <c r="I10" s="34"/>
      <c r="J10" s="34"/>
      <c r="K10" s="34"/>
      <c r="L10" s="35"/>
      <c r="M10" s="35"/>
      <c r="N10" s="35"/>
      <c r="O10" s="35"/>
      <c r="P10" s="35"/>
      <c r="Q10" s="35"/>
      <c r="R10" s="35"/>
      <c r="S10" s="35"/>
      <c r="T10" s="35"/>
      <c r="U10" s="34"/>
      <c r="V10" s="34"/>
      <c r="W10" s="34"/>
      <c r="X10" s="34"/>
      <c r="Y10" s="34"/>
      <c r="Z10" s="34"/>
      <c r="AA10" s="34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17"/>
    </row>
    <row r="11" s="1" customFormat="1" spans="1:45">
      <c r="A11" s="7">
        <v>8</v>
      </c>
      <c r="B11" s="8" t="s">
        <v>25</v>
      </c>
      <c r="C11" s="8" t="s">
        <v>26</v>
      </c>
      <c r="D11" s="8" t="s">
        <v>12</v>
      </c>
      <c r="E11" s="8" t="s">
        <v>12</v>
      </c>
      <c r="F11" s="9">
        <v>30</v>
      </c>
      <c r="G11" s="10">
        <v>65.32</v>
      </c>
      <c r="H11" s="11">
        <f t="shared" si="0"/>
        <v>1959.6</v>
      </c>
      <c r="I11" s="34"/>
      <c r="J11" s="34"/>
      <c r="K11" s="34"/>
      <c r="L11" s="35"/>
      <c r="M11" s="35"/>
      <c r="N11" s="35"/>
      <c r="O11" s="35"/>
      <c r="P11" s="35"/>
      <c r="Q11" s="35"/>
      <c r="R11" s="35"/>
      <c r="S11" s="35"/>
      <c r="T11" s="35"/>
      <c r="U11" s="34"/>
      <c r="V11" s="34"/>
      <c r="W11" s="34"/>
      <c r="X11" s="34"/>
      <c r="Y11" s="34"/>
      <c r="Z11" s="34"/>
      <c r="AA11" s="34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17"/>
    </row>
    <row r="12" s="1" customFormat="1" spans="1:45">
      <c r="A12" s="7">
        <v>9</v>
      </c>
      <c r="B12" s="8" t="s">
        <v>27</v>
      </c>
      <c r="C12" s="8" t="s">
        <v>28</v>
      </c>
      <c r="D12" s="8" t="s">
        <v>12</v>
      </c>
      <c r="E12" s="8" t="s">
        <v>12</v>
      </c>
      <c r="F12" s="9">
        <v>25</v>
      </c>
      <c r="G12" s="10">
        <v>74.89</v>
      </c>
      <c r="H12" s="11">
        <f t="shared" si="0"/>
        <v>1872.25</v>
      </c>
      <c r="I12" s="34"/>
      <c r="J12" s="34"/>
      <c r="K12" s="34"/>
      <c r="L12" s="35"/>
      <c r="M12" s="35"/>
      <c r="N12" s="35"/>
      <c r="O12" s="35"/>
      <c r="P12" s="35"/>
      <c r="Q12" s="35"/>
      <c r="R12" s="35"/>
      <c r="S12" s="35"/>
      <c r="T12" s="35"/>
      <c r="U12" s="34"/>
      <c r="V12" s="34"/>
      <c r="W12" s="34"/>
      <c r="X12" s="34"/>
      <c r="Y12" s="34"/>
      <c r="Z12" s="34"/>
      <c r="AA12" s="34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17"/>
    </row>
    <row r="13" s="1" customFormat="1" spans="1:45">
      <c r="A13" s="7">
        <v>10</v>
      </c>
      <c r="B13" s="8" t="s">
        <v>29</v>
      </c>
      <c r="C13" s="8" t="s">
        <v>30</v>
      </c>
      <c r="D13" s="8" t="s">
        <v>12</v>
      </c>
      <c r="E13" s="8" t="s">
        <v>12</v>
      </c>
      <c r="F13" s="9">
        <v>28</v>
      </c>
      <c r="G13" s="10">
        <v>89.56</v>
      </c>
      <c r="H13" s="11">
        <f t="shared" si="0"/>
        <v>2507.68</v>
      </c>
      <c r="I13" s="34"/>
      <c r="J13" s="34"/>
      <c r="K13" s="34"/>
      <c r="L13" s="35"/>
      <c r="M13" s="35"/>
      <c r="N13" s="35"/>
      <c r="O13" s="35"/>
      <c r="P13" s="35"/>
      <c r="Q13" s="35"/>
      <c r="R13" s="35"/>
      <c r="S13" s="35"/>
      <c r="T13" s="35"/>
      <c r="U13" s="34"/>
      <c r="V13" s="34"/>
      <c r="W13" s="34"/>
      <c r="X13" s="34"/>
      <c r="Y13" s="34"/>
      <c r="Z13" s="34"/>
      <c r="AA13" s="34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17"/>
    </row>
    <row r="14" s="1" customFormat="1" spans="1:45">
      <c r="A14" s="7">
        <v>11</v>
      </c>
      <c r="B14" s="8" t="s">
        <v>31</v>
      </c>
      <c r="C14" s="8" t="s">
        <v>32</v>
      </c>
      <c r="D14" s="8" t="s">
        <v>12</v>
      </c>
      <c r="E14" s="8" t="s">
        <v>12</v>
      </c>
      <c r="F14" s="9">
        <v>37</v>
      </c>
      <c r="G14" s="10">
        <v>89.54</v>
      </c>
      <c r="H14" s="11">
        <f t="shared" si="0"/>
        <v>3312.98</v>
      </c>
      <c r="I14" s="34"/>
      <c r="J14" s="34"/>
      <c r="K14" s="34"/>
      <c r="L14" s="35"/>
      <c r="M14" s="35"/>
      <c r="N14" s="35"/>
      <c r="O14" s="35"/>
      <c r="P14" s="35"/>
      <c r="Q14" s="35"/>
      <c r="R14" s="35"/>
      <c r="S14" s="35"/>
      <c r="T14" s="35"/>
      <c r="U14" s="34"/>
      <c r="V14" s="34"/>
      <c r="W14" s="34"/>
      <c r="X14" s="34"/>
      <c r="Y14" s="34"/>
      <c r="Z14" s="34"/>
      <c r="AA14" s="34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17"/>
    </row>
    <row r="15" s="1" customFormat="1" spans="1:45">
      <c r="A15" s="7">
        <v>12</v>
      </c>
      <c r="B15" s="8" t="s">
        <v>33</v>
      </c>
      <c r="C15" s="8" t="s">
        <v>34</v>
      </c>
      <c r="D15" s="8" t="s">
        <v>12</v>
      </c>
      <c r="E15" s="8" t="s">
        <v>12</v>
      </c>
      <c r="F15" s="9">
        <v>39</v>
      </c>
      <c r="G15" s="10">
        <v>98.25</v>
      </c>
      <c r="H15" s="11">
        <f t="shared" si="0"/>
        <v>3831.75</v>
      </c>
      <c r="I15" s="34"/>
      <c r="J15" s="34"/>
      <c r="K15" s="34"/>
      <c r="L15" s="35"/>
      <c r="M15" s="35"/>
      <c r="N15" s="35"/>
      <c r="O15" s="35"/>
      <c r="P15" s="35"/>
      <c r="Q15" s="35"/>
      <c r="R15" s="35"/>
      <c r="S15" s="35"/>
      <c r="T15" s="35"/>
      <c r="U15" s="34"/>
      <c r="V15" s="34"/>
      <c r="W15" s="34"/>
      <c r="X15" s="34"/>
      <c r="Y15" s="34"/>
      <c r="Z15" s="34"/>
      <c r="AA15" s="34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17"/>
    </row>
    <row r="16" s="1" customFormat="1" spans="1:45">
      <c r="A16" s="7">
        <v>13</v>
      </c>
      <c r="B16" s="8" t="s">
        <v>35</v>
      </c>
      <c r="C16" s="8" t="s">
        <v>36</v>
      </c>
      <c r="D16" s="8" t="s">
        <v>12</v>
      </c>
      <c r="E16" s="8" t="s">
        <v>12</v>
      </c>
      <c r="F16" s="9">
        <v>70</v>
      </c>
      <c r="G16" s="10">
        <v>102.25</v>
      </c>
      <c r="H16" s="11">
        <f t="shared" si="0"/>
        <v>7157.5</v>
      </c>
      <c r="I16" s="34"/>
      <c r="J16" s="34"/>
      <c r="K16" s="34"/>
      <c r="L16" s="35"/>
      <c r="M16" s="35"/>
      <c r="N16" s="35"/>
      <c r="O16" s="35"/>
      <c r="P16" s="35"/>
      <c r="Q16" s="35"/>
      <c r="R16" s="35"/>
      <c r="S16" s="35"/>
      <c r="T16" s="35"/>
      <c r="U16" s="34"/>
      <c r="V16" s="34"/>
      <c r="W16" s="34"/>
      <c r="X16" s="34"/>
      <c r="Y16" s="34"/>
      <c r="Z16" s="34"/>
      <c r="AA16" s="34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17"/>
    </row>
    <row r="17" s="1" customFormat="1" spans="1:45">
      <c r="A17" s="7">
        <v>14</v>
      </c>
      <c r="B17" s="8" t="s">
        <v>37</v>
      </c>
      <c r="C17" s="8" t="s">
        <v>38</v>
      </c>
      <c r="D17" s="8" t="s">
        <v>12</v>
      </c>
      <c r="E17" s="8" t="s">
        <v>12</v>
      </c>
      <c r="F17" s="9">
        <v>100</v>
      </c>
      <c r="G17" s="10">
        <v>103.5</v>
      </c>
      <c r="H17" s="11">
        <f t="shared" si="0"/>
        <v>10350</v>
      </c>
      <c r="I17" s="34"/>
      <c r="J17" s="34"/>
      <c r="K17" s="34"/>
      <c r="L17" s="35"/>
      <c r="M17" s="35"/>
      <c r="N17" s="35"/>
      <c r="O17" s="35"/>
      <c r="P17" s="35"/>
      <c r="Q17" s="35"/>
      <c r="R17" s="35"/>
      <c r="S17" s="39"/>
      <c r="T17" s="35"/>
      <c r="U17" s="34"/>
      <c r="V17" s="34"/>
      <c r="W17" s="34"/>
      <c r="X17" s="34"/>
      <c r="Y17" s="34"/>
      <c r="Z17" s="34"/>
      <c r="AA17" s="34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17"/>
    </row>
    <row r="18" s="1" customFormat="1" ht="15.25" spans="1:45">
      <c r="A18" s="12">
        <v>15</v>
      </c>
      <c r="B18" s="13" t="s">
        <v>39</v>
      </c>
      <c r="C18" s="13" t="s">
        <v>40</v>
      </c>
      <c r="D18" s="13" t="s">
        <v>12</v>
      </c>
      <c r="E18" s="13" t="s">
        <v>12</v>
      </c>
      <c r="F18" s="14">
        <v>85</v>
      </c>
      <c r="G18" s="15">
        <v>65.48</v>
      </c>
      <c r="H18" s="16">
        <f t="shared" si="0"/>
        <v>5565.8</v>
      </c>
      <c r="I18" s="34"/>
      <c r="J18" s="34"/>
      <c r="K18" s="34"/>
      <c r="L18" s="35"/>
      <c r="M18" s="35"/>
      <c r="N18" s="35"/>
      <c r="O18" s="35"/>
      <c r="P18" s="35"/>
      <c r="Q18" s="35"/>
      <c r="R18" s="35"/>
      <c r="S18" s="35"/>
      <c r="T18" s="35"/>
      <c r="U18" s="34"/>
      <c r="V18" s="34"/>
      <c r="W18" s="34"/>
      <c r="X18" s="34"/>
      <c r="Y18" s="34"/>
      <c r="Z18" s="34"/>
      <c r="AA18" s="34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17"/>
    </row>
    <row r="19" s="1" customFormat="1" ht="15.25" spans="1:45">
      <c r="A19" s="17"/>
      <c r="B19" s="18" t="s">
        <v>41</v>
      </c>
      <c r="C19" s="18"/>
      <c r="D19" s="18"/>
      <c r="E19" s="18"/>
      <c r="F19" s="18"/>
      <c r="G19" s="18"/>
      <c r="H19" s="19">
        <f>SUM(H4:H18)</f>
        <v>71856.76</v>
      </c>
      <c r="I19" s="36"/>
      <c r="J19" s="36"/>
      <c r="K19" s="36"/>
      <c r="L19" s="36"/>
      <c r="M19" s="36"/>
      <c r="N19" s="36"/>
      <c r="O19" s="36"/>
      <c r="P19" s="36"/>
      <c r="Q19" s="36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17"/>
    </row>
    <row r="20" s="1" customFormat="1" spans="1:45">
      <c r="A20" s="20" t="s">
        <v>42</v>
      </c>
      <c r="B20" s="21"/>
      <c r="C20" s="21"/>
      <c r="D20" s="21"/>
      <c r="E20" s="21"/>
      <c r="F20" s="21"/>
      <c r="G20" s="21"/>
      <c r="H20" s="20"/>
      <c r="I20" s="36"/>
      <c r="J20" s="36"/>
      <c r="K20" s="36"/>
      <c r="L20" s="36"/>
      <c r="M20" s="36"/>
      <c r="N20" s="36"/>
      <c r="O20" s="36"/>
      <c r="P20" s="36"/>
      <c r="Q20" s="36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17"/>
    </row>
    <row r="21" s="1" customFormat="1" ht="15.25" spans="1:45">
      <c r="A21" s="22" t="s">
        <v>43</v>
      </c>
      <c r="B21" s="22"/>
      <c r="C21" s="23">
        <v>3</v>
      </c>
      <c r="D21" s="24" t="s">
        <v>44</v>
      </c>
      <c r="E21" s="21"/>
      <c r="F21" s="21"/>
      <c r="G21" s="21"/>
      <c r="H21" s="20"/>
      <c r="I21" s="36" t="s">
        <v>45</v>
      </c>
      <c r="J21" s="36" t="s">
        <v>46</v>
      </c>
      <c r="K21" s="36"/>
      <c r="L21" s="36" t="s">
        <v>47</v>
      </c>
      <c r="M21" s="36">
        <v>1</v>
      </c>
      <c r="N21" s="36"/>
      <c r="O21" s="36" t="s">
        <v>48</v>
      </c>
      <c r="P21" s="36">
        <v>1</v>
      </c>
      <c r="Q21" s="36" t="s">
        <v>49</v>
      </c>
      <c r="R21" s="20"/>
      <c r="S21" s="20"/>
      <c r="T21" s="20"/>
      <c r="U21" s="20"/>
      <c r="V21" s="20">
        <v>1</v>
      </c>
      <c r="W21" s="20" t="s">
        <v>50</v>
      </c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17"/>
    </row>
    <row r="22" s="1" customFormat="1" ht="59.5" spans="1:69">
      <c r="A22" s="25" t="s">
        <v>2</v>
      </c>
      <c r="B22" s="25" t="s">
        <v>3</v>
      </c>
      <c r="C22" s="26" t="s">
        <v>4</v>
      </c>
      <c r="D22" s="25" t="s">
        <v>5</v>
      </c>
      <c r="E22" s="25" t="s">
        <v>6</v>
      </c>
      <c r="F22" s="27" t="s">
        <v>51</v>
      </c>
      <c r="G22" s="25" t="s">
        <v>8</v>
      </c>
      <c r="H22" s="25" t="s">
        <v>9</v>
      </c>
      <c r="I22" s="37" t="s">
        <v>52</v>
      </c>
      <c r="J22" s="37" t="s">
        <v>53</v>
      </c>
      <c r="K22" s="37" t="s">
        <v>54</v>
      </c>
      <c r="L22" s="38" t="s">
        <v>55</v>
      </c>
      <c r="M22" s="38" t="s">
        <v>56</v>
      </c>
      <c r="N22" s="38" t="s">
        <v>57</v>
      </c>
      <c r="O22" s="38" t="s">
        <v>58</v>
      </c>
      <c r="P22" s="38" t="s">
        <v>59</v>
      </c>
      <c r="Q22" s="38" t="s">
        <v>60</v>
      </c>
      <c r="R22" s="37" t="s">
        <v>61</v>
      </c>
      <c r="S22" s="25" t="s">
        <v>62</v>
      </c>
      <c r="T22" s="25" t="s">
        <v>63</v>
      </c>
      <c r="U22" s="40" t="s">
        <v>64</v>
      </c>
      <c r="V22" s="40" t="s">
        <v>65</v>
      </c>
      <c r="W22" s="40" t="s">
        <v>66</v>
      </c>
      <c r="X22" s="40" t="s">
        <v>67</v>
      </c>
      <c r="Y22" s="40" t="s">
        <v>68</v>
      </c>
      <c r="Z22" s="40" t="s">
        <v>69</v>
      </c>
      <c r="AA22" s="40" t="s">
        <v>70</v>
      </c>
      <c r="AB22" s="40" t="s">
        <v>71</v>
      </c>
      <c r="AC22" s="43" t="s">
        <v>72</v>
      </c>
      <c r="AD22" s="43" t="s">
        <v>73</v>
      </c>
      <c r="AE22" s="44" t="s">
        <v>74</v>
      </c>
      <c r="AF22" s="44" t="s">
        <v>75</v>
      </c>
      <c r="AG22" s="44" t="s">
        <v>76</v>
      </c>
      <c r="AH22" s="43" t="s">
        <v>77</v>
      </c>
      <c r="AI22" s="43" t="s">
        <v>78</v>
      </c>
      <c r="AJ22" s="44" t="s">
        <v>79</v>
      </c>
      <c r="AK22" s="44" t="s">
        <v>80</v>
      </c>
      <c r="AL22" s="43" t="s">
        <v>81</v>
      </c>
      <c r="AM22" s="43" t="s">
        <v>82</v>
      </c>
      <c r="AN22" s="44" t="s">
        <v>83</v>
      </c>
      <c r="AO22" s="44" t="s">
        <v>84</v>
      </c>
      <c r="AP22" s="44" t="s">
        <v>85</v>
      </c>
      <c r="AQ22" s="43" t="s">
        <v>86</v>
      </c>
      <c r="AR22" s="48" t="s">
        <v>87</v>
      </c>
      <c r="AS22" s="4" t="s">
        <v>88</v>
      </c>
      <c r="AT22" s="4" t="s">
        <v>86</v>
      </c>
      <c r="AU22" s="49" t="s">
        <v>89</v>
      </c>
      <c r="AV22" s="49" t="s">
        <v>90</v>
      </c>
      <c r="AW22" s="49" t="s">
        <v>91</v>
      </c>
      <c r="AX22" s="49" t="s">
        <v>92</v>
      </c>
      <c r="AY22" s="49" t="s">
        <v>93</v>
      </c>
      <c r="AZ22" s="49" t="s">
        <v>94</v>
      </c>
      <c r="BA22" s="49" t="s">
        <v>95</v>
      </c>
      <c r="BB22" s="49" t="s">
        <v>96</v>
      </c>
      <c r="BC22" s="51" t="s">
        <v>97</v>
      </c>
      <c r="BD22" s="51" t="s">
        <v>98</v>
      </c>
      <c r="BE22" s="51" t="s">
        <v>99</v>
      </c>
      <c r="BF22" s="49" t="s">
        <v>100</v>
      </c>
      <c r="BG22" s="49" t="s">
        <v>101</v>
      </c>
      <c r="BH22" s="49" t="s">
        <v>102</v>
      </c>
      <c r="BI22" s="49" t="s">
        <v>103</v>
      </c>
      <c r="BJ22" s="49" t="s">
        <v>104</v>
      </c>
      <c r="BK22" s="49" t="s">
        <v>105</v>
      </c>
      <c r="BL22" s="49" t="s">
        <v>106</v>
      </c>
      <c r="BM22" s="49" t="s">
        <v>107</v>
      </c>
      <c r="BN22" s="49" t="s">
        <v>108</v>
      </c>
      <c r="BO22" s="49" t="s">
        <v>94</v>
      </c>
      <c r="BP22" s="49" t="s">
        <v>109</v>
      </c>
      <c r="BQ22" s="49" t="s">
        <v>63</v>
      </c>
    </row>
    <row r="23" s="1" customFormat="1" ht="15.25" spans="1:70">
      <c r="A23" s="28">
        <v>1</v>
      </c>
      <c r="B23" s="28" t="s">
        <v>142</v>
      </c>
      <c r="C23" s="28" t="s">
        <v>142</v>
      </c>
      <c r="D23" s="28" t="s">
        <v>12</v>
      </c>
      <c r="E23" s="28" t="s">
        <v>12</v>
      </c>
      <c r="F23" s="29">
        <v>2</v>
      </c>
      <c r="G23" s="1" t="s">
        <v>130</v>
      </c>
      <c r="H23" s="29">
        <f>F23*G23</f>
        <v>400</v>
      </c>
      <c r="I23" s="1" t="s">
        <v>112</v>
      </c>
      <c r="J23" s="29">
        <v>2</v>
      </c>
      <c r="K23" s="29">
        <v>2</v>
      </c>
      <c r="L23" s="29">
        <f>H23</f>
        <v>400</v>
      </c>
      <c r="M23" s="29">
        <f>ROUND(L23*I23%,2)</f>
        <v>8</v>
      </c>
      <c r="N23" s="29">
        <f>H23-M23</f>
        <v>392</v>
      </c>
      <c r="O23" s="29">
        <f>ROUND(N23*J23%,2)</f>
        <v>7.84</v>
      </c>
      <c r="P23" s="29">
        <f>ROUND(N23-O23,2)</f>
        <v>384.16</v>
      </c>
      <c r="Q23" s="29">
        <f>ROUND(P23*K23%,2)</f>
        <v>7.68</v>
      </c>
      <c r="R23" s="29">
        <f>M23+O23+Q23</f>
        <v>23.52</v>
      </c>
      <c r="S23" s="29">
        <f>(H23-R23)</f>
        <v>376.48</v>
      </c>
      <c r="T23" s="29" t="s">
        <v>113</v>
      </c>
      <c r="U23" s="29">
        <v>0.18</v>
      </c>
      <c r="V23" s="29">
        <f>IF(OR($C$21=1,$C$21=4),ROUND(((S23*U23)/2),2),0)</f>
        <v>0</v>
      </c>
      <c r="W23" s="29">
        <f>IF($C$21=1,ROUND(((S23*U23)/2),2),0)</f>
        <v>0</v>
      </c>
      <c r="X23" s="29">
        <f>IF($C$21=2,ROUND(((S23*U23)),2),0)</f>
        <v>0</v>
      </c>
      <c r="Y23" s="29">
        <f>IF($C$21=4,ROUND(((S23*U23)/2),2),0)</f>
        <v>0</v>
      </c>
      <c r="Z23" s="45">
        <v>0</v>
      </c>
      <c r="AA23" s="29">
        <f>IF($C21=3,0,ROUND(S23*Z23,2))</f>
        <v>0</v>
      </c>
      <c r="AB23" s="29">
        <f>V23+W23+X23+Y23+AA23</f>
        <v>0</v>
      </c>
      <c r="AC23" s="29">
        <f>IF($V21=1,S23+AB23,S23)</f>
        <v>376.48</v>
      </c>
      <c r="AD23" s="29">
        <v>120</v>
      </c>
      <c r="AE23" s="29">
        <f>IF($P$21=1,(S23/$S$24)*$E$35,AD23/$AD$24*$E$35)</f>
        <v>0</v>
      </c>
      <c r="AF23" s="29"/>
      <c r="AG23" s="29">
        <f>IF($P$21=1,(S23/$S$24)*$E$37,AD23/$AD$24*$E$37)</f>
        <v>0</v>
      </c>
      <c r="AH23" s="29">
        <f>IF($P$21=1,(S23/$S$24)*$E$37,AD23/$AD$24*$E$37)</f>
        <v>0</v>
      </c>
      <c r="AI23" s="29">
        <f>S23*$M$21</f>
        <v>376.48</v>
      </c>
      <c r="AJ23" s="29">
        <f>IF($C$21=3,0,AG23+AH23)</f>
        <v>0</v>
      </c>
      <c r="AK23" s="29">
        <f>IF($C$21=3,AE23+AG23+AH23,0)</f>
        <v>0</v>
      </c>
      <c r="AL23" s="29">
        <v>1</v>
      </c>
      <c r="AM23" s="29">
        <f>F23/AL23</f>
        <v>2</v>
      </c>
      <c r="AN23" s="29">
        <f>AI23/AM23</f>
        <v>188.24</v>
      </c>
      <c r="AO23" s="29">
        <f>AJ23/AM23</f>
        <v>0</v>
      </c>
      <c r="AP23" s="29">
        <f>AK23/AM23</f>
        <v>0</v>
      </c>
      <c r="AQ23" s="29" t="s">
        <v>12</v>
      </c>
      <c r="AR23" s="29">
        <f>AN23+AO23+AP23</f>
        <v>188.24</v>
      </c>
      <c r="AS23" s="50" t="s">
        <v>123</v>
      </c>
      <c r="AT23" s="50" t="s">
        <v>12</v>
      </c>
      <c r="AU23" s="1" t="s">
        <v>143</v>
      </c>
      <c r="AV23" s="1" t="s">
        <v>144</v>
      </c>
      <c r="AW23" s="50">
        <f>AM23</f>
        <v>2</v>
      </c>
      <c r="AX23" s="50">
        <f>AR23</f>
        <v>188.24</v>
      </c>
      <c r="AY23" s="50">
        <f>AU23+AW23</f>
        <v>18</v>
      </c>
      <c r="AZ23" s="50">
        <f>ROUND(((AU23*AV23)+(AW23*AX23))/(AU23+AW23),5)</f>
        <v>186.08428</v>
      </c>
      <c r="BA23" s="52"/>
      <c r="BB23" s="52" t="s">
        <v>115</v>
      </c>
      <c r="BC23" s="53" t="s">
        <v>116</v>
      </c>
      <c r="BD23" s="54" t="s">
        <v>117</v>
      </c>
      <c r="BE23" s="54" t="s">
        <v>118</v>
      </c>
      <c r="BF23" s="52"/>
      <c r="BG23" s="52"/>
      <c r="BH23" s="52"/>
      <c r="BI23" s="50"/>
      <c r="BJ23" s="50"/>
      <c r="BK23" s="50"/>
      <c r="BL23" s="50" t="s">
        <v>119</v>
      </c>
      <c r="BM23" s="1" t="s">
        <v>145</v>
      </c>
      <c r="BN23" s="1" t="s">
        <v>146</v>
      </c>
      <c r="BO23" s="50">
        <f>ROUND((((AW23*AZ23)+(BN23*BM23))/(AW23+BN23)),5)</f>
        <v>184.80458</v>
      </c>
      <c r="BP23" s="55">
        <f>BN23+AW23</f>
        <v>20</v>
      </c>
      <c r="BQ23" s="56">
        <v>88363221</v>
      </c>
      <c r="BR23" s="55"/>
    </row>
    <row r="24" s="1" customFormat="1" ht="15.25" spans="1:45">
      <c r="A24" s="17"/>
      <c r="B24" s="30"/>
      <c r="C24" s="30"/>
      <c r="D24" s="31" t="s">
        <v>41</v>
      </c>
      <c r="E24" s="31"/>
      <c r="F24" s="31"/>
      <c r="G24" s="32"/>
      <c r="H24" s="33">
        <f>SUM(H23:H23)</f>
        <v>400</v>
      </c>
      <c r="I24" s="28"/>
      <c r="J24" s="28"/>
      <c r="K24" s="28"/>
      <c r="L24" s="28"/>
      <c r="M24" s="28"/>
      <c r="N24" s="28"/>
      <c r="O24" s="28"/>
      <c r="P24" s="28"/>
      <c r="Q24" s="28"/>
      <c r="R24" s="33">
        <f t="shared" ref="R24:Y24" si="1">SUM(R23:R23)</f>
        <v>23.52</v>
      </c>
      <c r="S24" s="41">
        <f t="shared" si="1"/>
        <v>376.48</v>
      </c>
      <c r="T24" s="33"/>
      <c r="U24" s="33"/>
      <c r="V24" s="42">
        <f t="shared" si="1"/>
        <v>0</v>
      </c>
      <c r="W24" s="42">
        <f t="shared" si="1"/>
        <v>0</v>
      </c>
      <c r="X24" s="42">
        <f t="shared" si="1"/>
        <v>0</v>
      </c>
      <c r="Y24" s="42">
        <f t="shared" si="1"/>
        <v>0</v>
      </c>
      <c r="Z24" s="42"/>
      <c r="AA24" s="42">
        <f t="shared" ref="AA24:AE24" si="2">SUM(AA23:AA23)</f>
        <v>0</v>
      </c>
      <c r="AB24" s="33">
        <f t="shared" si="2"/>
        <v>0</v>
      </c>
      <c r="AC24" s="46">
        <f t="shared" si="2"/>
        <v>376.48</v>
      </c>
      <c r="AD24" s="47">
        <f t="shared" si="2"/>
        <v>120</v>
      </c>
      <c r="AE24" s="47">
        <f t="shared" si="2"/>
        <v>0</v>
      </c>
      <c r="AF24" s="46"/>
      <c r="AG24" s="47">
        <f t="shared" ref="AG24:AK24" si="3">SUM(AG23:AG23)</f>
        <v>0</v>
      </c>
      <c r="AH24" s="47">
        <f t="shared" si="3"/>
        <v>0</v>
      </c>
      <c r="AI24" s="47">
        <f t="shared" si="3"/>
        <v>376.48</v>
      </c>
      <c r="AJ24" s="47">
        <f t="shared" si="3"/>
        <v>0</v>
      </c>
      <c r="AK24" s="47">
        <f t="shared" si="3"/>
        <v>0</v>
      </c>
      <c r="AL24" s="46"/>
      <c r="AM24" s="46"/>
      <c r="AN24" s="46"/>
      <c r="AO24" s="46"/>
      <c r="AP24" s="46"/>
      <c r="AQ24" s="46"/>
      <c r="AR24" s="46"/>
      <c r="AS24" s="17"/>
    </row>
    <row r="25" s="1" customFormat="1" spans="1:45">
      <c r="A25" s="17"/>
      <c r="B25" s="30"/>
      <c r="C25" s="30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</row>
  </sheetData>
  <mergeCells count="3">
    <mergeCell ref="A1:AC1"/>
    <mergeCell ref="B19:G19"/>
    <mergeCell ref="A21:B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ImportDirectGRNUDGeneralSameUOM</vt:lpstr>
      <vt:lpstr>ImportDirectGRNUDServiceSameUOM</vt:lpstr>
      <vt:lpstr>ImportDirectGRNRCGeneralSameUOM</vt:lpstr>
      <vt:lpstr>ImportDirectGRNRCServiceSameUOM</vt:lpstr>
      <vt:lpstr>ImportDirectGRNPLGeneralSameUOM</vt:lpstr>
      <vt:lpstr>ImportDirectGRNPLServiceSameUOM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Sakthi R</cp:lastModifiedBy>
  <dcterms:created xsi:type="dcterms:W3CDTF">2025-12-10T05:52:27Z</dcterms:created>
  <dcterms:modified xsi:type="dcterms:W3CDTF">2025-12-10T06:53:52Z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F8CE04DF26BB4239BAAFFF8420DA44E2_13</vt:lpwstr>
  </property>
  <property fmtid="{D5CDD505-2E9C-101B-9397-08002B2CF9AE}" pid="3" name="KSOProductBuildVer">
    <vt:lpwstr>1033-12.2.0.23155</vt:lpwstr>
  </property>
</Properties>
</file>