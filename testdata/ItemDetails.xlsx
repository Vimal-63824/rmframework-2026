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/>
  <bookViews>
    <workbookView xWindow="0" yWindow="2520" windowWidth="11430" windowHeight="6540" firstSheet="23" activeTab="24"/>
  </bookViews>
  <sheets>
    <sheet name="PR Details" sheetId="1" r:id="rId1"/>
    <sheet name="PO Details" sheetId="2" r:id="rId2"/>
    <sheet name="POA Details" sheetId="3" r:id="rId3"/>
    <sheet name="PO _ITEM_MATERIAL" sheetId="4" r:id="rId4"/>
    <sheet name="PO _ITEM_GEN" sheetId="8" r:id="rId5"/>
    <sheet name="StockTransferItem" sheetId="5" r:id="rId6"/>
    <sheet name="POwithRateContractItem" sheetId="6" r:id="rId7"/>
    <sheet name="POwithRateContractItem_Mat" sheetId="7" r:id="rId8"/>
    <sheet name="SO Details" sheetId="9" r:id="rId9"/>
    <sheet name="Customer SO Details" sheetId="10" r:id="rId10"/>
    <sheet name="Open Sales" sheetId="11" r:id="rId11"/>
    <sheet name="SI Details" sheetId="12" r:id="rId12"/>
    <sheet name="MRTOMRV Data" sheetId="13" r:id="rId13"/>
    <sheet name="MRCustomer" sheetId="28" r:id="rId14"/>
    <sheet name="MRTOMRVWip Data" sheetId="14" r:id="rId15"/>
    <sheet name="RateContract_SER" sheetId="15" r:id="rId16"/>
    <sheet name="PricelistItem" sheetId="16" r:id="rId17"/>
    <sheet name="ST_ITEM_RATECONTRACT" sheetId="17" r:id="rId18"/>
    <sheet name="ServiceItemPriceList" sheetId="18" r:id="rId19"/>
    <sheet name="ST_Item_PriceList" sheetId="19" r:id="rId20"/>
    <sheet name="DIS_UOM_GEN_UD" sheetId="20" r:id="rId21"/>
    <sheet name="SimilarItem" sheetId="21" r:id="rId22"/>
    <sheet name="POAServiceSheet" sheetId="22" r:id="rId23"/>
    <sheet name="DIS_UOM_MAT_UD" sheetId="23" r:id="rId24"/>
    <sheet name="PRMULTI" sheetId="24" r:id="rId25"/>
    <sheet name="RFQ" sheetId="25" r:id="rId26"/>
    <sheet name="RFQDOM" sheetId="26" r:id="rId27"/>
    <sheet name="GATEITEM" sheetId="27" r:id="rId28"/>
    <sheet name="StockAdjustment" sheetId="29" r:id="rId29"/>
    <sheet name="LandedCostField" sheetId="30" r:id="rId30"/>
    <sheet name="ChargeItem" sheetId="31" r:id="rId31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29"/>
  <c r="O2"/>
  <c r="N2"/>
  <c r="M2"/>
  <c r="F3" i="28"/>
  <c r="F2"/>
</calcChain>
</file>

<file path=xl/sharedStrings.xml><?xml version="1.0" encoding="utf-8"?>
<sst xmlns="http://schemas.openxmlformats.org/spreadsheetml/2006/main" count="827" uniqueCount="307">
  <si>
    <t>ITEM_NAME</t>
  </si>
  <si>
    <t>CLASS</t>
  </si>
  <si>
    <t>SUBCLASS</t>
  </si>
  <si>
    <t>WAREHOUSE</t>
  </si>
  <si>
    <t>CONVENTION_FACTOR</t>
  </si>
  <si>
    <t>PURCHASE_UOM</t>
  </si>
  <si>
    <t>GL_ACC_NO</t>
  </si>
  <si>
    <t>GL_ACC_DESC</t>
  </si>
  <si>
    <t>CPC_CODE</t>
  </si>
  <si>
    <t>CPC_DESC</t>
  </si>
  <si>
    <t>GWL_ITEM - Serial</t>
  </si>
  <si>
    <t>RAW MATERIAL</t>
  </si>
  <si>
    <t>RAW MATERIALS</t>
  </si>
  <si>
    <t>FINISHED GOODS WH U100</t>
  </si>
  <si>
    <t>NOS</t>
  </si>
  <si>
    <t>FINISHED GOODS</t>
  </si>
  <si>
    <t>CPC-100000001</t>
  </si>
  <si>
    <t>GENERAL U-100</t>
  </si>
  <si>
    <t>GWL_ITEM_DISSIMILAR_UOM</t>
  </si>
  <si>
    <t>FG WAREHOUSE 100</t>
  </si>
  <si>
    <t>KGS</t>
  </si>
  <si>
    <t>GWL_SERVICES_02</t>
  </si>
  <si>
    <t>SERVICES</t>
  </si>
  <si>
    <t>PRODUCTION  100</t>
  </si>
  <si>
    <t>CHARGES ACCT</t>
  </si>
  <si>
    <t>ITEMID</t>
  </si>
  <si>
    <t>ITEM_DESCRIPTION</t>
  </si>
  <si>
    <t>UOM</t>
  </si>
  <si>
    <t>HSN_CODE</t>
  </si>
  <si>
    <t>TAX</t>
  </si>
  <si>
    <t>WH_DEPTNAME</t>
  </si>
  <si>
    <t>COST_BASIS</t>
  </si>
  <si>
    <t>STOCK_UOM</t>
  </si>
  <si>
    <t>CONVERSION_FACTOR</t>
  </si>
  <si>
    <t>CONTRACT_NO</t>
  </si>
  <si>
    <t>CONTRACT_PRFX</t>
  </si>
  <si>
    <t>CONTRACT_AMEND_NO</t>
  </si>
  <si>
    <t>PO_CLS_QTY</t>
  </si>
  <si>
    <t>RCM_CAT_ID</t>
  </si>
  <si>
    <t>GWL_ITEM_DISSIMILAR_UOM_DESC</t>
  </si>
  <si>
    <t>(740410)-18%</t>
  </si>
  <si>
    <t>User Defined</t>
  </si>
  <si>
    <t>GWL ITEM SERIAL</t>
  </si>
  <si>
    <t>(2022)</t>
  </si>
  <si>
    <t>User Defined Price</t>
  </si>
  <si>
    <t>GWL_SERVICES_02_DESCRIPTION</t>
  </si>
  <si>
    <t>EXPENSE DOCUMENT 3</t>
  </si>
  <si>
    <t>GWL_CHECKING_ST</t>
  </si>
  <si>
    <t>BICYCLES VARIANTS</t>
  </si>
  <si>
    <t>TWO WHEELER - AUTOMOBILES</t>
  </si>
  <si>
    <t>AURANGABAD DEPOT</t>
  </si>
  <si>
    <t>INVENTORY - FG</t>
  </si>
  <si>
    <t>U2L1L2L3L4L5L601</t>
  </si>
  <si>
    <t>GENERAL U2</t>
  </si>
  <si>
    <t>GWL_Item_Similar_02</t>
  </si>
  <si>
    <t xml:space="preserve">HK-NA-MAC-10001
</t>
  </si>
  <si>
    <t>HK-NOTAPPLICABLE-MAC-10001</t>
  </si>
  <si>
    <t>RAW MATERIAL WH U100</t>
  </si>
  <si>
    <t>INVENTORY - RAW MATERIAL</t>
  </si>
  <si>
    <t>HK-FIFO-SER-BATCH-10001</t>
  </si>
  <si>
    <t>HK-FIFO-SERIAL-BATCH-10001</t>
  </si>
  <si>
    <t>HK-LOT-FIFO-LOT-10001</t>
  </si>
  <si>
    <t>GWL_ITem_service_03</t>
  </si>
  <si>
    <t>PRODUCTION 100</t>
  </si>
  <si>
    <t>SBI CC 30498311798</t>
  </si>
  <si>
    <t>SUPL_UOM</t>
  </si>
  <si>
    <t>QUANTITY</t>
  </si>
  <si>
    <t>UNIT_COST</t>
  </si>
  <si>
    <t>LOT_SERIAL</t>
  </si>
  <si>
    <t>LOT_NUMBER</t>
  </si>
  <si>
    <t>SERIAL_NUMBER</t>
  </si>
  <si>
    <t>SERIAL</t>
  </si>
  <si>
    <t>RM1</t>
  </si>
  <si>
    <t>LOT</t>
  </si>
  <si>
    <t>RM</t>
  </si>
  <si>
    <t>RMG</t>
  </si>
  <si>
    <t>HK-NA-MAC-10001</t>
  </si>
  <si>
    <t>NA</t>
  </si>
  <si>
    <t>Stock_Transfer_Item</t>
  </si>
  <si>
    <t>QTY</t>
  </si>
  <si>
    <t>UnitCost</t>
  </si>
  <si>
    <t>TVS FG-MAC-NA-USER DEFINED</t>
  </si>
  <si>
    <t>TVS-FG-00015</t>
  </si>
  <si>
    <t>RateContractItem</t>
  </si>
  <si>
    <t>Quantity</t>
  </si>
  <si>
    <t>DiscountPercentage</t>
  </si>
  <si>
    <t>PK-SER-MAC-10001</t>
  </si>
  <si>
    <t>RMS</t>
  </si>
  <si>
    <t>PK-LOT-MAC-10001</t>
  </si>
  <si>
    <t>RML</t>
  </si>
  <si>
    <t>PK-NA-MAC-10001</t>
  </si>
  <si>
    <t xml:space="preserve">ITEM_ID </t>
  </si>
  <si>
    <t>ITEM_REV</t>
  </si>
  <si>
    <t>ITEM_DESC</t>
  </si>
  <si>
    <t>SALE_UOM</t>
  </si>
  <si>
    <t>TAX_PCT</t>
  </si>
  <si>
    <t>PRICE_BASIS_TYPE</t>
  </si>
  <si>
    <t>CATALOG_PRICELIST_NO</t>
  </si>
  <si>
    <t>CONV_FACT</t>
  </si>
  <si>
    <t>TOLERANCE_TYPE</t>
  </si>
  <si>
    <t>CUST_ITEM_ID</t>
  </si>
  <si>
    <t>CUST_ITEM_DESC</t>
  </si>
  <si>
    <t>WAREHOUSE_DESC</t>
  </si>
  <si>
    <t>SUB_CLASS</t>
  </si>
  <si>
    <t>PRICECLASS</t>
  </si>
  <si>
    <t>PROMOTIONAL</t>
  </si>
  <si>
    <t>HK-FIFO-LOT-BATCH-10001(FG)</t>
  </si>
  <si>
    <t>Item Level</t>
  </si>
  <si>
    <t>DOMESTIC</t>
  </si>
  <si>
    <t>Sales Regular</t>
  </si>
  <si>
    <t>HK-FG-DISSIMILAR-10001</t>
  </si>
  <si>
    <t>HK-SER-MAC-10001(FG)</t>
  </si>
  <si>
    <t>Standard Price</t>
  </si>
  <si>
    <t>HK-FG-STD-PRICE-DISSIMILAR ITEM-10001</t>
  </si>
  <si>
    <t>HK-LOT-MAC-10001(FG)</t>
  </si>
  <si>
    <t>Open Order</t>
  </si>
  <si>
    <t>OPSO1/00094/24-25</t>
  </si>
  <si>
    <t>HK-FG-RC-DISSIMILAR ITEM-10001</t>
  </si>
  <si>
    <t>OPSO1/00114/24-25</t>
  </si>
  <si>
    <t>HK-FIFO-SER-BATCH-10001(FG)</t>
  </si>
  <si>
    <t>Catalog</t>
  </si>
  <si>
    <t>HK-FG-CATALOG-DISSIMILAR-10001</t>
  </si>
  <si>
    <t>HK-LOT-FIFO-LOT-10001(FG)</t>
  </si>
  <si>
    <t>Price List</t>
  </si>
  <si>
    <t>HK-FG-PRICELIST-DISSIMILAR UOM-10001</t>
  </si>
  <si>
    <t>HK-TVS-SCRAP-10001</t>
  </si>
  <si>
    <t>SCRAP</t>
  </si>
  <si>
    <t>TVS-SER-10001</t>
  </si>
  <si>
    <t>PRO-10001</t>
  </si>
  <si>
    <t>PROMOTIONAL ITEM - 10001</t>
  </si>
  <si>
    <t>Promotional</t>
  </si>
  <si>
    <t>HK-USRDFN-10001</t>
  </si>
  <si>
    <t>0074</t>
  </si>
  <si>
    <t>HK-TVS-FG-10001</t>
  </si>
  <si>
    <t>MTON</t>
  </si>
  <si>
    <t>HK-TVS-FG-10002</t>
  </si>
  <si>
    <t>CUST_ID</t>
  </si>
  <si>
    <t>CUST_DESC</t>
  </si>
  <si>
    <t>GST_TYPE</t>
  </si>
  <si>
    <t>SALES_GST_TYPE</t>
  </si>
  <si>
    <t>GST_CLASSIFICATION</t>
  </si>
  <si>
    <t>CUST_PRINT_NAME</t>
  </si>
  <si>
    <t>SALES_ZONE</t>
  </si>
  <si>
    <t>SALES_REGION</t>
  </si>
  <si>
    <t>CUST_SUB_GRP</t>
  </si>
  <si>
    <t>CUST_GRP</t>
  </si>
  <si>
    <t>SALES_PERSON</t>
  </si>
  <si>
    <t>CUS0015</t>
  </si>
  <si>
    <t>MURUGAN TRADERS</t>
  </si>
  <si>
    <t>Unregistered</t>
  </si>
  <si>
    <t>Inter-State</t>
  </si>
  <si>
    <t>Union Territory</t>
  </si>
  <si>
    <t>NORTH</t>
  </si>
  <si>
    <t>INTERSTATE</t>
  </si>
  <si>
    <t>BPCL</t>
  </si>
  <si>
    <t>SUNDRY DEBTORS-PART</t>
  </si>
  <si>
    <t>VIJAIKUMAR</t>
  </si>
  <si>
    <t>CU0060</t>
  </si>
  <si>
    <t>FRANCE FOREIGN TRADERS</t>
  </si>
  <si>
    <t>Export</t>
  </si>
  <si>
    <t>EXPORT</t>
  </si>
  <si>
    <t>AASHIRVAD AUTOTECH - PART</t>
  </si>
  <si>
    <t>CUS10002</t>
  </si>
  <si>
    <t>ARUN PVT LTD.</t>
  </si>
  <si>
    <t>Registered</t>
  </si>
  <si>
    <t>Local</t>
  </si>
  <si>
    <t>MADURAI</t>
  </si>
  <si>
    <t>LOCAL</t>
  </si>
  <si>
    <t>SUNDRY DEBTORS - RAW MATERIALS</t>
  </si>
  <si>
    <t>HARIHARAN</t>
  </si>
  <si>
    <t>CUS10005</t>
  </si>
  <si>
    <t>CHENNAI SEZ</t>
  </si>
  <si>
    <t>SEZ-Unit</t>
  </si>
  <si>
    <t>CHENNAI</t>
  </si>
  <si>
    <t>SOUTH</t>
  </si>
  <si>
    <t>HK-CUS-001</t>
  </si>
  <si>
    <t>HARI TRADERS</t>
  </si>
  <si>
    <t>TAMILNADU</t>
  </si>
  <si>
    <t>LOCATION_ID</t>
  </si>
  <si>
    <t>UNIT</t>
  </si>
  <si>
    <t>CUSTOMER_ID</t>
  </si>
  <si>
    <t>CUSTOMER_NAME</t>
  </si>
  <si>
    <t>OSO_NO</t>
  </si>
  <si>
    <t>L100</t>
  </si>
  <si>
    <t>U100</t>
  </si>
  <si>
    <t>OPSO1/00092/24-25</t>
  </si>
  <si>
    <t>L0001</t>
  </si>
  <si>
    <t>U1</t>
  </si>
  <si>
    <t>C010</t>
  </si>
  <si>
    <t>MAHESH TRADERS</t>
  </si>
  <si>
    <t>OSOD-2425-00240</t>
  </si>
  <si>
    <t>L30</t>
  </si>
  <si>
    <t>U30</t>
  </si>
  <si>
    <t>CUS0007</t>
  </si>
  <si>
    <t>ARGOMM S.P.A -EXPORT</t>
  </si>
  <si>
    <t>OSO30-2425-00005</t>
  </si>
  <si>
    <t>Customer_Name</t>
  </si>
  <si>
    <t>Currency</t>
  </si>
  <si>
    <t>SI_Type</t>
  </si>
  <si>
    <t>Loc_Id</t>
  </si>
  <si>
    <t>Unit</t>
  </si>
  <si>
    <t>GST_Classification</t>
  </si>
  <si>
    <t>GST_Type</t>
  </si>
  <si>
    <t>INR</t>
  </si>
  <si>
    <t>SI - GENERAL</t>
  </si>
  <si>
    <t>USD</t>
  </si>
  <si>
    <t>AJK ENTERPRISES</t>
  </si>
  <si>
    <t>PANDI PVT. LTD</t>
  </si>
  <si>
    <t>PRAKASH PVT. LTD.</t>
  </si>
  <si>
    <t>INKSPLASH PRINTING</t>
  </si>
  <si>
    <t>SI - FREE SAMPLE</t>
  </si>
  <si>
    <t>MALAR TRADERS</t>
  </si>
  <si>
    <t>SI - FREE REPLACEMENT</t>
  </si>
  <si>
    <t>URBAN ENTERPRISES</t>
  </si>
  <si>
    <t>SI - SCRAP</t>
  </si>
  <si>
    <t>GANESH ENTERPRISE</t>
  </si>
  <si>
    <t>SI - SERVICE</t>
  </si>
  <si>
    <t>SAI ENTERPRISE06</t>
  </si>
  <si>
    <t>WEGA ASSOCIATES</t>
  </si>
  <si>
    <t>Item</t>
  </si>
  <si>
    <t>WareHouse</t>
  </si>
  <si>
    <t>GWL_ITEM_STOCK_01</t>
  </si>
  <si>
    <t>RM KD</t>
  </si>
  <si>
    <t>GWL_ITEM_STOCK_04</t>
  </si>
  <si>
    <t>GWL_ITEM_STOCK_06</t>
  </si>
  <si>
    <t>GWL_ITEM_STOCK_07</t>
  </si>
  <si>
    <t>RateContrac_Ser_tItem</t>
  </si>
  <si>
    <t>PK-SERV-MAC-NA-01</t>
  </si>
  <si>
    <t>PricelistItem</t>
  </si>
  <si>
    <t>TVS-RM-KDK-26</t>
  </si>
  <si>
    <t>TVS-RM-KDK-25</t>
  </si>
  <si>
    <t>TVS-SIM-257793</t>
  </si>
  <si>
    <t>TVS-SIM-395809</t>
  </si>
  <si>
    <t>PriceList_Ser_tItem</t>
  </si>
  <si>
    <t>TVS-SER-10005</t>
  </si>
  <si>
    <t>TVS-SIM-599803</t>
  </si>
  <si>
    <t>TVS-SIM-050035</t>
  </si>
  <si>
    <t>TVS-RM-KPK-01</t>
  </si>
  <si>
    <t>RMLG</t>
  </si>
  <si>
    <t>TVS-KPK-NA-DIS-10001</t>
  </si>
  <si>
    <t>Modifiy Quantity</t>
  </si>
  <si>
    <t>Modify Discount</t>
  </si>
  <si>
    <t>GWL_Item_similar_03</t>
  </si>
  <si>
    <t>KD-DISS-896601</t>
  </si>
  <si>
    <t>RML2</t>
  </si>
  <si>
    <t>ITEM</t>
  </si>
  <si>
    <t>COST</t>
  </si>
  <si>
    <t>Supplier</t>
  </si>
  <si>
    <t>Curr</t>
  </si>
  <si>
    <t>AFT PRIVATE LIMITED</t>
  </si>
  <si>
    <t>ARAVIND AGENCY</t>
  </si>
  <si>
    <t>JJ AUTOMOBILES</t>
  </si>
  <si>
    <t xml:space="preserve">ITEM </t>
  </si>
  <si>
    <t>TVS-SIM-649827</t>
  </si>
  <si>
    <t>TVS-SIM-290004</t>
  </si>
  <si>
    <t>HK-LOT-MAC-10001</t>
  </si>
  <si>
    <t>F100</t>
  </si>
  <si>
    <t>Stock Cost</t>
  </si>
  <si>
    <t>Line Amount</t>
  </si>
  <si>
    <t>13.27173</t>
  </si>
  <si>
    <t>84.75</t>
  </si>
  <si>
    <t>Unit Cost</t>
  </si>
  <si>
    <t>84.74822</t>
  </si>
  <si>
    <t>13.27</t>
  </si>
  <si>
    <t>SNO</t>
  </si>
  <si>
    <t>ITEM ID</t>
  </si>
  <si>
    <t>ITEM REV</t>
  </si>
  <si>
    <t>ITEM DESC</t>
  </si>
  <si>
    <t>UNIT COST</t>
  </si>
  <si>
    <t>LOTNUMBER</t>
  </si>
  <si>
    <t>LOT QTY</t>
  </si>
  <si>
    <t>LOT EXPIRY DATE</t>
  </si>
  <si>
    <t>HK-FIFO-LOT-BATCH-10001</t>
  </si>
  <si>
    <t>21-10-2025</t>
  </si>
  <si>
    <t>FROM SERIAL NUMBER</t>
  </si>
  <si>
    <t>PREFIX</t>
  </si>
  <si>
    <t>OB</t>
  </si>
  <si>
    <t>HK-SER-MAC-10001</t>
  </si>
  <si>
    <t>BEFORE STOCK QTY</t>
  </si>
  <si>
    <t>AFTER STOCK QTY</t>
  </si>
  <si>
    <t>HEAT NO</t>
  </si>
  <si>
    <t>TEST NO</t>
  </si>
  <si>
    <t>500007</t>
  </si>
  <si>
    <t>119637.4</t>
  </si>
  <si>
    <t>100165</t>
  </si>
  <si>
    <t>300088</t>
  </si>
  <si>
    <t>LandedCostItem</t>
  </si>
  <si>
    <t>landedCostSupplier</t>
  </si>
  <si>
    <t>LandedCostAmount</t>
  </si>
  <si>
    <t>LandedCostDocumentNumber</t>
  </si>
  <si>
    <t>AICselection</t>
  </si>
  <si>
    <t>TVS-CH-00011</t>
  </si>
  <si>
    <t>APM1001</t>
  </si>
  <si>
    <t>Y</t>
  </si>
  <si>
    <t>SUP00124</t>
  </si>
  <si>
    <t>ChargesBasis</t>
  </si>
  <si>
    <t>ItemName</t>
  </si>
  <si>
    <t>Amount</t>
  </si>
  <si>
    <t>GLAccount</t>
  </si>
  <si>
    <t>P</t>
  </si>
  <si>
    <t>FRIEGHT CHARGES</t>
  </si>
  <si>
    <t>V</t>
  </si>
  <si>
    <t>PACKING CHARGES</t>
  </si>
  <si>
    <t>2</t>
  </si>
  <si>
    <t>1</t>
  </si>
  <si>
    <t>ROAU-RFQ-KDK-01</t>
  </si>
  <si>
    <t>ROAU-RFQ-KDK-02</t>
  </si>
</sst>
</file>

<file path=xl/styles.xml><?xml version="1.0" encoding="utf-8"?>
<styleSheet xmlns="http://schemas.openxmlformats.org/spreadsheetml/2006/main">
  <fonts count="1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Times New Roman"/>
      <charset val="134"/>
    </font>
    <font>
      <sz val="9"/>
      <color rgb="FF000000"/>
      <name val="Arial"/>
      <charset val="134"/>
    </font>
    <font>
      <sz val="11"/>
      <color theme="1"/>
      <name val="Calibri"/>
      <charset val="134"/>
      <scheme val="minor"/>
    </font>
    <font>
      <sz val="9"/>
      <color rgb="FF262626"/>
      <name val="Arial"/>
      <charset val="134"/>
    </font>
    <font>
      <sz val="10"/>
      <color rgb="FF262626"/>
      <name val="Times New Roman"/>
      <charset val="134"/>
    </font>
    <font>
      <sz val="8"/>
      <color theme="1"/>
      <name val="Times New Roman"/>
      <charset val="134"/>
    </font>
    <font>
      <b/>
      <i/>
      <sz val="9"/>
      <color theme="1"/>
      <name val="Consolas"/>
      <charset val="134"/>
    </font>
    <font>
      <sz val="8"/>
      <color rgb="FF262626"/>
      <name val="Times New Roman"/>
      <charset val="134"/>
    </font>
    <font>
      <sz val="11"/>
      <color theme="1"/>
      <name val="Times New Roman"/>
      <charset val="134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</cellStyleXfs>
  <cellXfs count="47">
    <xf numFmtId="0" fontId="0" fillId="0" borderId="0" xfId="0">
      <alignment vertical="center"/>
    </xf>
    <xf numFmtId="0" fontId="0" fillId="0" borderId="1" xfId="0" applyBorder="1">
      <alignment vertical="center"/>
    </xf>
    <xf numFmtId="0" fontId="4" fillId="0" borderId="1" xfId="0" applyFont="1" applyBorder="1">
      <alignment vertical="center"/>
    </xf>
    <xf numFmtId="0" fontId="0" fillId="0" borderId="1" xfId="0" applyBorder="1">
      <alignment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0" fillId="0" borderId="1" xfId="0" applyFont="1" applyBorder="1">
      <alignment vertical="center"/>
    </xf>
    <xf numFmtId="0" fontId="5" fillId="0" borderId="1" xfId="2" applyFont="1" applyBorder="1" applyAlignment="1">
      <alignment vertical="center"/>
    </xf>
    <xf numFmtId="0" fontId="5" fillId="0" borderId="1" xfId="1" applyFont="1" applyFill="1" applyBorder="1" applyAlignment="1">
      <alignment vertical="center"/>
    </xf>
    <xf numFmtId="0" fontId="6" fillId="0" borderId="0" xfId="0" applyFont="1">
      <alignment vertical="center"/>
    </xf>
    <xf numFmtId="0" fontId="0" fillId="0" borderId="1" xfId="2" applyFont="1" applyBorder="1">
      <alignment vertical="center"/>
    </xf>
    <xf numFmtId="0" fontId="7" fillId="0" borderId="1" xfId="2" applyBorder="1">
      <alignment vertical="center"/>
    </xf>
    <xf numFmtId="0" fontId="0" fillId="2" borderId="1" xfId="0" applyFill="1" applyBorder="1">
      <alignment vertical="center"/>
    </xf>
    <xf numFmtId="0" fontId="0" fillId="2" borderId="1" xfId="0" applyFont="1" applyFill="1" applyBorder="1">
      <alignment vertical="center"/>
    </xf>
    <xf numFmtId="0" fontId="0" fillId="0" borderId="1" xfId="0" applyFill="1" applyBorder="1">
      <alignment vertical="center"/>
    </xf>
    <xf numFmtId="0" fontId="6" fillId="0" borderId="1" xfId="0" applyFont="1" applyFill="1" applyBorder="1">
      <alignment vertical="center"/>
    </xf>
    <xf numFmtId="0" fontId="6" fillId="3" borderId="1" xfId="0" applyFont="1" applyFill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1" xfId="0" applyFont="1" applyFill="1" applyBorder="1">
      <alignment vertical="center"/>
    </xf>
    <xf numFmtId="0" fontId="0" fillId="0" borderId="1" xfId="0" applyBorder="1" applyAlignment="1"/>
    <xf numFmtId="0" fontId="7" fillId="0" borderId="1" xfId="0" applyFont="1" applyBorder="1">
      <alignment vertical="center"/>
    </xf>
    <xf numFmtId="49" fontId="0" fillId="0" borderId="1" xfId="0" applyNumberFormat="1" applyFont="1" applyFill="1" applyBorder="1" applyAlignment="1"/>
    <xf numFmtId="49" fontId="0" fillId="0" borderId="1" xfId="0" applyNumberFormat="1" applyBorder="1">
      <alignment vertical="center"/>
    </xf>
    <xf numFmtId="0" fontId="8" fillId="0" borderId="1" xfId="0" applyFont="1" applyBorder="1">
      <alignment vertical="center"/>
    </xf>
    <xf numFmtId="0" fontId="0" fillId="0" borderId="0" xfId="0" applyBorder="1">
      <alignment vertical="center"/>
    </xf>
    <xf numFmtId="0" fontId="9" fillId="0" borderId="1" xfId="0" applyFont="1" applyBorder="1" applyAlignment="1">
      <alignment vertical="center"/>
    </xf>
    <xf numFmtId="49" fontId="5" fillId="0" borderId="1" xfId="0" applyNumberFormat="1" applyFont="1" applyBorder="1" applyAlignment="1">
      <alignment vertical="center"/>
    </xf>
    <xf numFmtId="0" fontId="8" fillId="0" borderId="0" xfId="0" applyFont="1">
      <alignment vertical="center"/>
    </xf>
    <xf numFmtId="0" fontId="5" fillId="0" borderId="1" xfId="1" applyFont="1" applyBorder="1" applyAlignment="1">
      <alignment vertical="center"/>
    </xf>
    <xf numFmtId="0" fontId="9" fillId="0" borderId="1" xfId="1" applyFont="1" applyBorder="1" applyAlignment="1">
      <alignment vertical="center"/>
    </xf>
    <xf numFmtId="0" fontId="10" fillId="0" borderId="0" xfId="0" applyFont="1" applyAlignment="1">
      <alignment horizontal="justify" vertical="center"/>
    </xf>
    <xf numFmtId="0" fontId="11" fillId="4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3" fillId="0" borderId="0" xfId="0" applyFont="1">
      <alignment vertical="center"/>
    </xf>
    <xf numFmtId="0" fontId="4" fillId="0" borderId="2" xfId="0" applyFont="1" applyFill="1" applyBorder="1" applyAlignment="1">
      <alignment horizontal="center" vertical="center"/>
    </xf>
    <xf numFmtId="0" fontId="14" fillId="5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2" fillId="0" borderId="1" xfId="0" applyFont="1" applyBorder="1">
      <alignment vertical="center"/>
    </xf>
    <xf numFmtId="0" fontId="14" fillId="5" borderId="2" xfId="0" applyFont="1" applyFill="1" applyBorder="1">
      <alignment vertical="center"/>
    </xf>
    <xf numFmtId="49" fontId="0" fillId="0" borderId="0" xfId="0" applyNumberFormat="1" applyAlignment="1">
      <alignment horizontal="left"/>
    </xf>
    <xf numFmtId="0" fontId="0" fillId="5" borderId="1" xfId="0" applyFill="1" applyBorder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1" fillId="0" borderId="1" xfId="0" applyFont="1" applyBorder="1">
      <alignment vertical="center"/>
    </xf>
  </cellXfs>
  <cellStyles count="3">
    <cellStyle name="Normal" xfId="0" builtinId="0"/>
    <cellStyle name="Normal 2" xfId="1"/>
    <cellStyle name="Normal 3" xfId="2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0"/>
  <sheetViews>
    <sheetView workbookViewId="0">
      <selection activeCell="H8" sqref="H8"/>
    </sheetView>
  </sheetViews>
  <sheetFormatPr defaultColWidth="8.7109375" defaultRowHeight="15"/>
  <cols>
    <col min="1" max="1" width="20.7109375" customWidth="1"/>
    <col min="2" max="3" width="12.7109375" customWidth="1"/>
    <col min="4" max="4" width="14.7109375" customWidth="1"/>
    <col min="5" max="5" width="9.85546875" customWidth="1"/>
    <col min="6" max="6" width="14.140625" customWidth="1"/>
    <col min="7" max="7" width="14.85546875" customWidth="1"/>
    <col min="8" max="8" width="22.28515625" customWidth="1"/>
    <col min="9" max="9" width="14.42578125" customWidth="1"/>
    <col min="10" max="10" width="13" customWidth="1"/>
  </cols>
  <sheetData>
    <row r="1" spans="1:10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 t="s">
        <v>8</v>
      </c>
      <c r="J1" s="33" t="s">
        <v>9</v>
      </c>
    </row>
    <row r="2" spans="1:10" s="32" customFormat="1" ht="22.5">
      <c r="A2" s="34" t="s">
        <v>10</v>
      </c>
      <c r="B2" s="35" t="s">
        <v>11</v>
      </c>
      <c r="C2" s="35" t="s">
        <v>12</v>
      </c>
      <c r="D2" s="34" t="s">
        <v>13</v>
      </c>
      <c r="E2" s="34">
        <v>1</v>
      </c>
      <c r="F2" s="34" t="s">
        <v>14</v>
      </c>
      <c r="G2" s="34">
        <v>1010301033</v>
      </c>
      <c r="H2" s="34" t="s">
        <v>15</v>
      </c>
      <c r="I2" s="34" t="s">
        <v>16</v>
      </c>
      <c r="J2" s="34" t="s">
        <v>17</v>
      </c>
    </row>
    <row r="3" spans="1:10" ht="15" customHeight="1">
      <c r="A3" s="34" t="s">
        <v>18</v>
      </c>
      <c r="B3" s="35" t="s">
        <v>11</v>
      </c>
      <c r="C3" s="35" t="s">
        <v>12</v>
      </c>
      <c r="D3" s="34" t="s">
        <v>19</v>
      </c>
      <c r="E3" s="34">
        <v>6</v>
      </c>
      <c r="F3" s="35" t="s">
        <v>20</v>
      </c>
      <c r="G3" s="34">
        <v>1010301033</v>
      </c>
      <c r="H3" s="34" t="s">
        <v>15</v>
      </c>
      <c r="I3" s="34" t="s">
        <v>16</v>
      </c>
      <c r="J3" s="34" t="s">
        <v>17</v>
      </c>
    </row>
    <row r="4" spans="1:10" ht="22.5">
      <c r="A4" s="34" t="s">
        <v>21</v>
      </c>
      <c r="B4" s="35" t="s">
        <v>22</v>
      </c>
      <c r="C4" s="35" t="s">
        <v>22</v>
      </c>
      <c r="D4" s="34" t="s">
        <v>23</v>
      </c>
      <c r="E4" s="34">
        <v>1</v>
      </c>
      <c r="F4" s="35" t="s">
        <v>14</v>
      </c>
      <c r="G4" s="34">
        <v>5010100004</v>
      </c>
      <c r="H4" s="34" t="s">
        <v>24</v>
      </c>
      <c r="I4" s="34" t="s">
        <v>16</v>
      </c>
      <c r="J4" s="34" t="s">
        <v>17</v>
      </c>
    </row>
    <row r="5" spans="1:10">
      <c r="A5" s="36"/>
      <c r="B5" s="36"/>
      <c r="C5" s="36"/>
      <c r="D5" s="36"/>
      <c r="E5" s="36"/>
      <c r="F5" s="36"/>
      <c r="G5" s="36"/>
      <c r="H5" s="36"/>
      <c r="I5" s="36"/>
      <c r="J5" s="36"/>
    </row>
    <row r="6" spans="1:10">
      <c r="A6" s="36"/>
      <c r="B6" s="36"/>
      <c r="C6" s="36"/>
      <c r="D6" s="36"/>
      <c r="E6" s="36"/>
      <c r="F6" s="36"/>
      <c r="G6" s="36"/>
      <c r="H6" s="36"/>
      <c r="I6" s="36"/>
      <c r="J6" s="36"/>
    </row>
    <row r="7" spans="1:10">
      <c r="A7" s="36"/>
      <c r="B7" s="36"/>
      <c r="C7" s="36"/>
      <c r="D7" s="36"/>
      <c r="E7" s="36"/>
      <c r="F7" s="36"/>
      <c r="G7" s="36"/>
      <c r="H7" s="36"/>
      <c r="I7" s="36"/>
      <c r="J7" s="36"/>
    </row>
    <row r="8" spans="1:10">
      <c r="A8" s="36"/>
      <c r="B8" s="36"/>
      <c r="C8" s="36"/>
      <c r="D8" s="36"/>
      <c r="E8" s="36"/>
      <c r="F8" s="36"/>
      <c r="G8" s="36"/>
      <c r="H8" s="36"/>
      <c r="I8" s="36"/>
      <c r="J8" s="36"/>
    </row>
    <row r="9" spans="1:10">
      <c r="A9" s="36"/>
      <c r="B9" s="36"/>
      <c r="C9" s="36"/>
      <c r="D9" s="36"/>
      <c r="E9" s="36"/>
      <c r="F9" s="36"/>
      <c r="G9" s="36"/>
      <c r="H9" s="36"/>
      <c r="I9" s="36"/>
      <c r="J9" s="36"/>
    </row>
    <row r="10" spans="1:10">
      <c r="A10" s="36"/>
      <c r="B10" s="36"/>
      <c r="C10" s="36"/>
      <c r="D10" s="36"/>
      <c r="E10" s="36"/>
      <c r="F10" s="36"/>
      <c r="G10" s="36"/>
      <c r="H10" s="36"/>
      <c r="I10" s="36"/>
      <c r="J10" s="36"/>
    </row>
    <row r="11" spans="1:10">
      <c r="A11" s="36"/>
      <c r="B11" s="36"/>
      <c r="C11" s="36"/>
      <c r="D11" s="36"/>
      <c r="E11" s="36"/>
      <c r="F11" s="36"/>
      <c r="G11" s="36"/>
      <c r="H11" s="36"/>
      <c r="I11" s="36"/>
      <c r="J11" s="36"/>
    </row>
    <row r="12" spans="1:10">
      <c r="A12" s="36"/>
      <c r="B12" s="36"/>
      <c r="C12" s="36"/>
      <c r="D12" s="36"/>
      <c r="E12" s="36"/>
      <c r="F12" s="36"/>
      <c r="G12" s="36"/>
      <c r="H12" s="36"/>
      <c r="I12" s="36"/>
      <c r="J12" s="36"/>
    </row>
    <row r="13" spans="1:10">
      <c r="A13" s="36"/>
      <c r="B13" s="36"/>
      <c r="C13" s="36"/>
      <c r="D13" s="36"/>
      <c r="E13" s="36"/>
      <c r="F13" s="36"/>
      <c r="G13" s="36"/>
      <c r="H13" s="36"/>
      <c r="I13" s="36"/>
      <c r="J13" s="36"/>
    </row>
    <row r="14" spans="1:10">
      <c r="A14" s="36"/>
      <c r="B14" s="36"/>
      <c r="C14" s="36"/>
      <c r="D14" s="36"/>
      <c r="E14" s="36"/>
      <c r="F14" s="36"/>
      <c r="G14" s="36"/>
      <c r="H14" s="36"/>
      <c r="I14" s="36"/>
      <c r="J14" s="36"/>
    </row>
    <row r="15" spans="1:10">
      <c r="A15" s="36"/>
      <c r="B15" s="36"/>
      <c r="C15" s="36"/>
      <c r="D15" s="36"/>
      <c r="E15" s="36"/>
      <c r="F15" s="36"/>
      <c r="G15" s="36"/>
      <c r="H15" s="36"/>
      <c r="I15" s="36"/>
      <c r="J15" s="36"/>
    </row>
    <row r="16" spans="1:10">
      <c r="A16" s="36"/>
      <c r="B16" s="36"/>
      <c r="C16" s="36"/>
      <c r="D16" s="36"/>
      <c r="E16" s="36"/>
      <c r="F16" s="36"/>
      <c r="G16" s="36"/>
      <c r="H16" s="36"/>
      <c r="I16" s="36"/>
      <c r="J16" s="36"/>
    </row>
    <row r="17" spans="1:10">
      <c r="A17" s="36"/>
      <c r="B17" s="36"/>
      <c r="C17" s="36"/>
      <c r="D17" s="36"/>
      <c r="E17" s="36"/>
      <c r="F17" s="36"/>
      <c r="G17" s="36"/>
      <c r="H17" s="36"/>
      <c r="I17" s="36"/>
      <c r="J17" s="36"/>
    </row>
    <row r="18" spans="1:10">
      <c r="A18" s="36"/>
      <c r="B18" s="36"/>
      <c r="C18" s="36"/>
      <c r="D18" s="36"/>
      <c r="E18" s="36"/>
      <c r="F18" s="36"/>
      <c r="G18" s="36"/>
      <c r="H18" s="36"/>
      <c r="I18" s="36"/>
      <c r="J18" s="36"/>
    </row>
    <row r="19" spans="1:10">
      <c r="A19" s="36"/>
      <c r="B19" s="36"/>
      <c r="C19" s="36"/>
      <c r="D19" s="36"/>
      <c r="E19" s="36"/>
      <c r="F19" s="36"/>
      <c r="G19" s="36"/>
      <c r="H19" s="36"/>
      <c r="I19" s="36"/>
      <c r="J19" s="36"/>
    </row>
    <row r="20" spans="1:10">
      <c r="A20" s="36"/>
      <c r="B20" s="36"/>
      <c r="C20" s="36"/>
      <c r="D20" s="36"/>
      <c r="E20" s="36"/>
      <c r="F20" s="36"/>
      <c r="G20" s="36"/>
      <c r="H20" s="36"/>
      <c r="I20" s="36"/>
      <c r="J20" s="36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>
  <dimension ref="A1:T10"/>
  <sheetViews>
    <sheetView topLeftCell="G1" workbookViewId="0">
      <selection activeCell="M4" sqref="M4"/>
    </sheetView>
  </sheetViews>
  <sheetFormatPr defaultColWidth="8.7109375" defaultRowHeight="15"/>
  <cols>
    <col min="1" max="1" width="30" customWidth="1"/>
    <col min="2" max="2" width="36.42578125" customWidth="1"/>
    <col min="3" max="3" width="6" customWidth="1"/>
    <col min="4" max="4" width="13.7109375" customWidth="1"/>
    <col min="5" max="5" width="5.28515625" customWidth="1"/>
    <col min="6" max="6" width="17.28515625" customWidth="1"/>
    <col min="7" max="7" width="30.28515625" customWidth="1"/>
    <col min="8" max="8" width="26.85546875" customWidth="1"/>
    <col min="9" max="9" width="17.28515625" customWidth="1"/>
    <col min="10" max="10" width="13.28515625" customWidth="1"/>
    <col min="11" max="11" width="22.7109375" customWidth="1"/>
    <col min="12" max="12" width="12.7109375" customWidth="1"/>
    <col min="13" max="13" width="29.5703125" customWidth="1"/>
    <col min="14" max="14" width="18.28515625" customWidth="1"/>
    <col min="15" max="15" width="16.28515625" customWidth="1"/>
    <col min="16" max="16" width="15.5703125" customWidth="1"/>
    <col min="17" max="17" width="17.7109375" customWidth="1"/>
    <col min="18" max="18" width="24.140625" customWidth="1"/>
    <col min="19" max="19" width="13.42578125" customWidth="1"/>
    <col min="20" max="20" width="13.5703125" customWidth="1"/>
  </cols>
  <sheetData>
    <row r="1" spans="1:20">
      <c r="A1" s="7" t="s">
        <v>25</v>
      </c>
      <c r="B1" s="7" t="s">
        <v>26</v>
      </c>
      <c r="C1" s="7" t="s">
        <v>27</v>
      </c>
      <c r="D1" s="7" t="s">
        <v>28</v>
      </c>
      <c r="E1" s="7" t="s">
        <v>29</v>
      </c>
      <c r="F1" s="7" t="s">
        <v>2</v>
      </c>
      <c r="G1" s="7" t="s">
        <v>1</v>
      </c>
      <c r="H1" s="7" t="s">
        <v>30</v>
      </c>
      <c r="I1" s="7" t="s">
        <v>31</v>
      </c>
      <c r="J1" s="7" t="s">
        <v>32</v>
      </c>
      <c r="K1" s="7" t="s">
        <v>33</v>
      </c>
      <c r="L1" s="7" t="s">
        <v>6</v>
      </c>
      <c r="M1" s="7" t="s">
        <v>7</v>
      </c>
      <c r="N1" s="7" t="s">
        <v>8</v>
      </c>
      <c r="O1" s="7" t="s">
        <v>9</v>
      </c>
      <c r="P1" s="7" t="s">
        <v>34</v>
      </c>
      <c r="Q1" s="7" t="s">
        <v>35</v>
      </c>
      <c r="R1" s="7" t="s">
        <v>36</v>
      </c>
      <c r="S1" s="7" t="s">
        <v>37</v>
      </c>
      <c r="T1" s="7" t="s">
        <v>38</v>
      </c>
    </row>
    <row r="2" spans="1:20">
      <c r="A2" s="7" t="s">
        <v>18</v>
      </c>
      <c r="B2" s="7" t="s">
        <v>39</v>
      </c>
      <c r="C2" s="7" t="s">
        <v>20</v>
      </c>
      <c r="D2" s="7" t="s">
        <v>40</v>
      </c>
      <c r="E2" s="7">
        <v>12</v>
      </c>
      <c r="F2" s="27" t="s">
        <v>12</v>
      </c>
      <c r="G2" s="7" t="s">
        <v>11</v>
      </c>
      <c r="H2" s="7" t="s">
        <v>19</v>
      </c>
      <c r="I2" s="7" t="s">
        <v>41</v>
      </c>
      <c r="J2" s="7" t="s">
        <v>14</v>
      </c>
      <c r="K2" s="7">
        <v>6</v>
      </c>
      <c r="L2" s="7">
        <v>1010301033</v>
      </c>
      <c r="M2" s="7" t="s">
        <v>15</v>
      </c>
      <c r="N2" s="7" t="s">
        <v>16</v>
      </c>
      <c r="O2" s="7" t="s">
        <v>17</v>
      </c>
      <c r="P2" s="7"/>
      <c r="Q2" s="7"/>
      <c r="R2" s="7"/>
      <c r="S2" s="7">
        <v>0</v>
      </c>
      <c r="T2" s="7"/>
    </row>
    <row r="3" spans="1:20">
      <c r="A3" s="7" t="s">
        <v>10</v>
      </c>
      <c r="B3" s="7" t="s">
        <v>42</v>
      </c>
      <c r="C3" s="7" t="s">
        <v>14</v>
      </c>
      <c r="D3" s="28" t="s">
        <v>43</v>
      </c>
      <c r="E3" s="7">
        <v>5</v>
      </c>
      <c r="F3" s="7" t="s">
        <v>12</v>
      </c>
      <c r="G3" s="7" t="s">
        <v>11</v>
      </c>
      <c r="H3" s="7" t="s">
        <v>13</v>
      </c>
      <c r="I3" s="7" t="s">
        <v>44</v>
      </c>
      <c r="J3" s="7" t="s">
        <v>14</v>
      </c>
      <c r="K3" s="7">
        <v>1</v>
      </c>
      <c r="L3" s="7">
        <v>1010301033</v>
      </c>
      <c r="M3" s="7" t="s">
        <v>15</v>
      </c>
      <c r="N3" s="7" t="s">
        <v>16</v>
      </c>
      <c r="O3" s="7" t="s">
        <v>17</v>
      </c>
      <c r="P3" s="7"/>
      <c r="Q3" s="7"/>
      <c r="R3" s="7"/>
      <c r="S3" s="7">
        <v>0</v>
      </c>
      <c r="T3" s="7"/>
    </row>
    <row r="4" spans="1:20">
      <c r="A4" s="7" t="s">
        <v>21</v>
      </c>
      <c r="B4" s="7" t="s">
        <v>45</v>
      </c>
      <c r="C4" s="7" t="s">
        <v>14</v>
      </c>
      <c r="D4" s="7">
        <v>123562</v>
      </c>
      <c r="E4" s="7">
        <v>18</v>
      </c>
      <c r="F4" s="7" t="s">
        <v>22</v>
      </c>
      <c r="G4" s="7" t="s">
        <v>22</v>
      </c>
      <c r="H4" s="7" t="s">
        <v>23</v>
      </c>
      <c r="I4" s="7" t="s">
        <v>44</v>
      </c>
      <c r="J4" s="7" t="s">
        <v>14</v>
      </c>
      <c r="K4" s="7">
        <v>1</v>
      </c>
      <c r="L4" s="7">
        <v>1011134888</v>
      </c>
      <c r="M4" s="7" t="s">
        <v>46</v>
      </c>
      <c r="N4" s="7" t="s">
        <v>16</v>
      </c>
      <c r="O4" s="7" t="s">
        <v>17</v>
      </c>
      <c r="P4" s="7"/>
      <c r="Q4" s="7"/>
      <c r="R4" s="7"/>
      <c r="S4" s="7">
        <v>0</v>
      </c>
      <c r="T4" s="7"/>
    </row>
    <row r="5" spans="1:20">
      <c r="A5" s="3" t="s">
        <v>47</v>
      </c>
      <c r="B5" s="3" t="s">
        <v>47</v>
      </c>
      <c r="C5" s="7" t="s">
        <v>14</v>
      </c>
      <c r="D5" s="3" t="s">
        <v>40</v>
      </c>
      <c r="E5" s="3">
        <v>12</v>
      </c>
      <c r="F5" s="3" t="s">
        <v>48</v>
      </c>
      <c r="G5" s="3" t="s">
        <v>49</v>
      </c>
      <c r="H5" s="3" t="s">
        <v>50</v>
      </c>
      <c r="I5" s="3" t="s">
        <v>44</v>
      </c>
      <c r="J5" s="3" t="s">
        <v>14</v>
      </c>
      <c r="K5" s="3">
        <v>1</v>
      </c>
      <c r="L5" s="3">
        <v>1010301001</v>
      </c>
      <c r="M5" s="3" t="s">
        <v>51</v>
      </c>
      <c r="N5" s="3" t="s">
        <v>52</v>
      </c>
      <c r="O5" s="3" t="s">
        <v>53</v>
      </c>
      <c r="P5" s="3"/>
      <c r="Q5" s="3"/>
      <c r="R5" s="3"/>
      <c r="S5" s="7">
        <v>0</v>
      </c>
      <c r="T5" s="3"/>
    </row>
    <row r="6" spans="1:20">
      <c r="A6" s="3" t="s">
        <v>54</v>
      </c>
      <c r="B6" s="3" t="s">
        <v>54</v>
      </c>
      <c r="C6" s="3" t="s">
        <v>14</v>
      </c>
      <c r="D6" s="24" t="s">
        <v>43</v>
      </c>
      <c r="E6">
        <v>5</v>
      </c>
      <c r="F6" s="29" t="s">
        <v>12</v>
      </c>
      <c r="G6" s="29" t="s">
        <v>11</v>
      </c>
      <c r="H6" s="3" t="s">
        <v>19</v>
      </c>
      <c r="I6" s="3" t="s">
        <v>44</v>
      </c>
      <c r="J6" s="3" t="s">
        <v>14</v>
      </c>
      <c r="K6" s="3">
        <v>1</v>
      </c>
      <c r="L6" s="3">
        <v>1010301033</v>
      </c>
      <c r="M6" s="3" t="s">
        <v>15</v>
      </c>
      <c r="N6" s="3" t="s">
        <v>16</v>
      </c>
      <c r="O6" s="3" t="s">
        <v>17</v>
      </c>
      <c r="P6" s="3"/>
      <c r="Q6" s="3"/>
      <c r="R6" s="3"/>
      <c r="S6" s="7">
        <v>0</v>
      </c>
      <c r="T6" s="3"/>
    </row>
    <row r="7" spans="1:20">
      <c r="A7" s="30" t="s">
        <v>55</v>
      </c>
      <c r="B7" s="30" t="s">
        <v>56</v>
      </c>
      <c r="C7" s="30" t="s">
        <v>20</v>
      </c>
      <c r="D7" s="30" t="s">
        <v>40</v>
      </c>
      <c r="E7" s="30">
        <v>12</v>
      </c>
      <c r="F7" s="31" t="s">
        <v>12</v>
      </c>
      <c r="G7" s="30" t="s">
        <v>11</v>
      </c>
      <c r="H7" s="30" t="s">
        <v>57</v>
      </c>
      <c r="I7" s="30" t="s">
        <v>41</v>
      </c>
      <c r="J7" s="30" t="s">
        <v>14</v>
      </c>
      <c r="K7" s="30">
        <v>3</v>
      </c>
      <c r="L7" s="30">
        <v>1010301003</v>
      </c>
      <c r="M7" s="30" t="s">
        <v>58</v>
      </c>
      <c r="N7" s="30" t="s">
        <v>16</v>
      </c>
      <c r="O7" s="30" t="s">
        <v>17</v>
      </c>
      <c r="P7" s="30"/>
      <c r="Q7" s="30"/>
      <c r="R7" s="30"/>
      <c r="S7" s="30">
        <v>0</v>
      </c>
      <c r="T7" s="30"/>
    </row>
    <row r="8" spans="1:20">
      <c r="A8" s="30" t="s">
        <v>59</v>
      </c>
      <c r="B8" s="30" t="s">
        <v>60</v>
      </c>
      <c r="C8" s="30" t="s">
        <v>14</v>
      </c>
      <c r="D8" s="30" t="s">
        <v>43</v>
      </c>
      <c r="E8" s="30">
        <v>5</v>
      </c>
      <c r="F8" s="31" t="s">
        <v>12</v>
      </c>
      <c r="G8" s="30" t="s">
        <v>11</v>
      </c>
      <c r="H8" s="30" t="s">
        <v>57</v>
      </c>
      <c r="I8" s="30" t="s">
        <v>41</v>
      </c>
      <c r="J8" s="30" t="s">
        <v>14</v>
      </c>
      <c r="K8" s="30">
        <v>0</v>
      </c>
      <c r="L8" s="30">
        <v>1010301003</v>
      </c>
      <c r="M8" s="30" t="s">
        <v>58</v>
      </c>
      <c r="N8" s="30" t="s">
        <v>16</v>
      </c>
      <c r="O8" s="30" t="s">
        <v>17</v>
      </c>
      <c r="P8" s="30"/>
      <c r="Q8" s="30"/>
      <c r="R8" s="30"/>
      <c r="S8" s="30">
        <v>0</v>
      </c>
      <c r="T8" s="30"/>
    </row>
    <row r="9" spans="1:20">
      <c r="A9" s="30" t="s">
        <v>61</v>
      </c>
      <c r="B9" s="30" t="s">
        <v>61</v>
      </c>
      <c r="C9" s="30" t="s">
        <v>14</v>
      </c>
      <c r="D9" s="30" t="s">
        <v>43</v>
      </c>
      <c r="E9" s="30">
        <v>5</v>
      </c>
      <c r="F9" s="31" t="s">
        <v>12</v>
      </c>
      <c r="G9" s="30" t="s">
        <v>11</v>
      </c>
      <c r="H9" s="30" t="s">
        <v>57</v>
      </c>
      <c r="I9" s="30" t="s">
        <v>41</v>
      </c>
      <c r="J9" s="30" t="s">
        <v>14</v>
      </c>
      <c r="K9" s="30">
        <v>0</v>
      </c>
      <c r="L9" s="30">
        <v>1010301003</v>
      </c>
      <c r="M9" s="30" t="s">
        <v>58</v>
      </c>
      <c r="N9" s="30" t="s">
        <v>16</v>
      </c>
      <c r="O9" s="30" t="s">
        <v>17</v>
      </c>
      <c r="P9" s="30"/>
      <c r="Q9" s="30"/>
      <c r="R9" s="30"/>
      <c r="S9" s="30">
        <v>0</v>
      </c>
      <c r="T9" s="30"/>
    </row>
    <row r="10" spans="1:20">
      <c r="A10" s="3" t="s">
        <v>62</v>
      </c>
      <c r="B10" s="3" t="s">
        <v>62</v>
      </c>
      <c r="C10" s="3" t="s">
        <v>14</v>
      </c>
      <c r="D10" s="30" t="s">
        <v>43</v>
      </c>
      <c r="E10" s="30">
        <v>5</v>
      </c>
      <c r="F10" s="7" t="s">
        <v>22</v>
      </c>
      <c r="G10" s="7" t="s">
        <v>22</v>
      </c>
      <c r="H10" s="7" t="s">
        <v>63</v>
      </c>
      <c r="I10" s="7" t="s">
        <v>44</v>
      </c>
      <c r="J10" s="7" t="s">
        <v>14</v>
      </c>
      <c r="K10" s="7">
        <v>1</v>
      </c>
      <c r="L10" s="25">
        <v>1000000001</v>
      </c>
      <c r="M10" s="3" t="s">
        <v>64</v>
      </c>
      <c r="N10" s="3" t="s">
        <v>16</v>
      </c>
      <c r="O10" s="3" t="s">
        <v>17</v>
      </c>
      <c r="P10" s="30"/>
      <c r="Q10" s="30"/>
      <c r="R10" s="30"/>
      <c r="S10" s="30">
        <v>0</v>
      </c>
      <c r="T10" s="30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>
  <dimension ref="A1:R3"/>
  <sheetViews>
    <sheetView workbookViewId="0">
      <selection activeCell="D3" sqref="D3:G3"/>
    </sheetView>
  </sheetViews>
  <sheetFormatPr defaultColWidth="8.85546875" defaultRowHeight="15"/>
  <cols>
    <col min="1" max="2" width="21" customWidth="1"/>
    <col min="3" max="3" width="6" customWidth="1"/>
    <col min="4" max="4" width="12.7109375" customWidth="1"/>
    <col min="5" max="5" width="19.42578125" customWidth="1"/>
    <col min="6" max="6" width="15.140625" customWidth="1"/>
    <col min="7" max="7" width="15.42578125" customWidth="1"/>
    <col min="8" max="8" width="19.5703125" customWidth="1"/>
    <col min="9" max="9" width="10.85546875" customWidth="1"/>
    <col min="10" max="10" width="17.5703125" customWidth="1"/>
    <col min="11" max="11" width="11.28515625" customWidth="1"/>
    <col min="12" max="12" width="21.7109375" customWidth="1"/>
  </cols>
  <sheetData>
    <row r="1" spans="1:18">
      <c r="A1" s="3" t="s">
        <v>25</v>
      </c>
      <c r="B1" s="3" t="s">
        <v>26</v>
      </c>
      <c r="C1" s="3" t="s">
        <v>27</v>
      </c>
      <c r="D1" s="7" t="s">
        <v>6</v>
      </c>
      <c r="E1" s="7" t="s">
        <v>7</v>
      </c>
      <c r="F1" s="7" t="s">
        <v>8</v>
      </c>
      <c r="G1" s="7" t="s">
        <v>9</v>
      </c>
      <c r="H1" s="3" t="s">
        <v>30</v>
      </c>
      <c r="I1" s="3" t="s">
        <v>28</v>
      </c>
      <c r="J1" s="3" t="s">
        <v>31</v>
      </c>
      <c r="K1" s="3" t="s">
        <v>65</v>
      </c>
      <c r="L1" s="3" t="s">
        <v>33</v>
      </c>
      <c r="M1" s="26"/>
      <c r="N1" s="26"/>
      <c r="O1" s="26"/>
      <c r="P1" s="26"/>
      <c r="Q1" s="26"/>
      <c r="R1" s="26"/>
    </row>
    <row r="2" spans="1:18">
      <c r="A2" s="3" t="s">
        <v>54</v>
      </c>
      <c r="B2" s="3" t="s">
        <v>54</v>
      </c>
      <c r="C2" s="3" t="s">
        <v>14</v>
      </c>
      <c r="D2" s="3">
        <v>1010301033</v>
      </c>
      <c r="E2" s="3" t="s">
        <v>15</v>
      </c>
      <c r="F2" s="3" t="s">
        <v>16</v>
      </c>
      <c r="G2" s="3" t="s">
        <v>17</v>
      </c>
      <c r="H2" s="3" t="s">
        <v>19</v>
      </c>
      <c r="I2" s="24" t="s">
        <v>43</v>
      </c>
      <c r="J2" s="3" t="s">
        <v>44</v>
      </c>
      <c r="K2" s="3" t="s">
        <v>14</v>
      </c>
      <c r="L2" s="3">
        <v>1</v>
      </c>
      <c r="M2" s="26"/>
      <c r="N2" s="26"/>
      <c r="O2" s="26"/>
      <c r="P2" s="26"/>
      <c r="Q2" s="26"/>
      <c r="R2" s="26"/>
    </row>
    <row r="3" spans="1:18">
      <c r="A3" s="3" t="s">
        <v>62</v>
      </c>
      <c r="B3" s="3" t="s">
        <v>62</v>
      </c>
      <c r="C3" s="3" t="s">
        <v>14</v>
      </c>
      <c r="D3" s="25">
        <v>1000000001</v>
      </c>
      <c r="E3" s="3" t="s">
        <v>64</v>
      </c>
      <c r="F3" s="3" t="s">
        <v>16</v>
      </c>
      <c r="G3" s="3" t="s">
        <v>17</v>
      </c>
      <c r="H3" s="3" t="s">
        <v>23</v>
      </c>
      <c r="I3" s="24" t="s">
        <v>43</v>
      </c>
      <c r="J3" s="3" t="s">
        <v>44</v>
      </c>
      <c r="K3" s="3" t="s">
        <v>14</v>
      </c>
      <c r="L3" s="3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B2" sqref="B2"/>
    </sheetView>
  </sheetViews>
  <sheetFormatPr defaultColWidth="8.85546875" defaultRowHeight="15"/>
  <cols>
    <col min="1" max="1" width="27.140625" customWidth="1"/>
    <col min="2" max="2" width="10.42578125" customWidth="1"/>
    <col min="3" max="3" width="11.42578125" customWidth="1"/>
    <col min="4" max="4" width="11.7109375" customWidth="1"/>
    <col min="5" max="5" width="14.5703125" customWidth="1"/>
    <col min="6" max="6" width="17.7109375" customWidth="1"/>
  </cols>
  <sheetData>
    <row r="1" spans="1:6">
      <c r="A1" s="5" t="s">
        <v>0</v>
      </c>
      <c r="B1" s="5" t="s">
        <v>66</v>
      </c>
      <c r="C1" s="5" t="s">
        <v>67</v>
      </c>
      <c r="D1" s="6" t="s">
        <v>68</v>
      </c>
      <c r="E1" s="7" t="s">
        <v>69</v>
      </c>
      <c r="F1" s="7" t="s">
        <v>70</v>
      </c>
    </row>
    <row r="2" spans="1:6">
      <c r="A2" s="3" t="s">
        <v>59</v>
      </c>
      <c r="B2" s="3">
        <v>2</v>
      </c>
      <c r="C2" s="3">
        <v>70</v>
      </c>
      <c r="D2" s="3" t="s">
        <v>71</v>
      </c>
      <c r="E2" s="3"/>
      <c r="F2" s="8" t="s">
        <v>72</v>
      </c>
    </row>
    <row r="3" spans="1:6">
      <c r="A3" s="3" t="s">
        <v>61</v>
      </c>
      <c r="B3" s="3">
        <v>40</v>
      </c>
      <c r="C3" s="3">
        <v>26</v>
      </c>
      <c r="D3" s="3" t="s">
        <v>73</v>
      </c>
      <c r="E3" s="8" t="s">
        <v>74</v>
      </c>
      <c r="F3" s="8">
        <v>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>
  <dimension ref="A1:F4"/>
  <sheetViews>
    <sheetView workbookViewId="0">
      <selection activeCell="B2" sqref="B2"/>
    </sheetView>
  </sheetViews>
  <sheetFormatPr defaultColWidth="8.85546875" defaultRowHeight="15"/>
  <cols>
    <col min="1" max="1" width="27.140625" customWidth="1"/>
    <col min="2" max="2" width="10.42578125" customWidth="1"/>
    <col min="3" max="3" width="11.42578125" customWidth="1"/>
    <col min="4" max="4" width="11.7109375" customWidth="1"/>
    <col min="5" max="5" width="14.5703125" customWidth="1"/>
    <col min="6" max="6" width="17.7109375" customWidth="1"/>
  </cols>
  <sheetData>
    <row r="1" spans="1:6">
      <c r="A1" s="5" t="s">
        <v>0</v>
      </c>
      <c r="B1" s="5" t="s">
        <v>66</v>
      </c>
      <c r="C1" s="5" t="s">
        <v>67</v>
      </c>
      <c r="D1" s="6" t="s">
        <v>68</v>
      </c>
      <c r="E1" s="7" t="s">
        <v>69</v>
      </c>
      <c r="F1" s="7" t="s">
        <v>70</v>
      </c>
    </row>
    <row r="2" spans="1:6">
      <c r="A2" s="7" t="s">
        <v>59</v>
      </c>
      <c r="B2" s="3">
        <v>2</v>
      </c>
      <c r="C2" s="3">
        <v>45</v>
      </c>
      <c r="D2" s="3" t="s">
        <v>71</v>
      </c>
      <c r="E2" s="3"/>
      <c r="F2" s="8" t="s">
        <v>75</v>
      </c>
    </row>
    <row r="3" spans="1:6">
      <c r="A3" s="7" t="s">
        <v>76</v>
      </c>
      <c r="B3" s="3">
        <v>40</v>
      </c>
      <c r="C3" s="3">
        <v>26</v>
      </c>
      <c r="D3" s="3" t="s">
        <v>77</v>
      </c>
      <c r="E3" s="8" t="s">
        <v>74</v>
      </c>
      <c r="F3" s="8">
        <v>2</v>
      </c>
    </row>
    <row r="4" spans="1:6">
      <c r="A4" s="7" t="s">
        <v>61</v>
      </c>
      <c r="B4" s="3">
        <v>50</v>
      </c>
      <c r="C4" s="3">
        <v>70</v>
      </c>
      <c r="D4" s="3" t="s">
        <v>73</v>
      </c>
      <c r="E4" s="3" t="s">
        <v>75</v>
      </c>
      <c r="F4" s="8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F15" sqref="F15"/>
    </sheetView>
  </sheetViews>
  <sheetFormatPr defaultColWidth="8.85546875" defaultRowHeight="15"/>
  <cols>
    <col min="1" max="1" width="28.7109375" customWidth="1"/>
  </cols>
  <sheetData>
    <row r="1" spans="1:3">
      <c r="A1" t="s">
        <v>78</v>
      </c>
      <c r="B1" t="s">
        <v>79</v>
      </c>
      <c r="C1" t="s">
        <v>80</v>
      </c>
    </row>
    <row r="2" spans="1:3">
      <c r="A2" t="s">
        <v>81</v>
      </c>
      <c r="B2">
        <v>100</v>
      </c>
      <c r="C2">
        <v>34</v>
      </c>
    </row>
    <row r="3" spans="1:3">
      <c r="A3" t="s">
        <v>82</v>
      </c>
      <c r="B3">
        <v>50</v>
      </c>
      <c r="C3">
        <v>30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>
  <dimension ref="A1:G4"/>
  <sheetViews>
    <sheetView workbookViewId="0">
      <selection activeCell="B2" sqref="B2"/>
    </sheetView>
  </sheetViews>
  <sheetFormatPr defaultColWidth="8.85546875" defaultRowHeight="15"/>
  <cols>
    <col min="1" max="1" width="19.7109375" customWidth="1"/>
    <col min="2" max="2" width="8.140625" customWidth="1"/>
    <col min="3" max="3" width="8.5703125" customWidth="1"/>
    <col min="4" max="4" width="17.85546875" customWidth="1"/>
    <col min="5" max="5" width="12.7109375" customWidth="1"/>
    <col min="6" max="6" width="14.5703125" customWidth="1"/>
    <col min="7" max="7" width="17.7109375" customWidth="1"/>
  </cols>
  <sheetData>
    <row r="1" spans="1:7">
      <c r="A1" s="7" t="s">
        <v>83</v>
      </c>
      <c r="B1" s="7" t="s">
        <v>84</v>
      </c>
      <c r="C1" s="7" t="s">
        <v>80</v>
      </c>
      <c r="D1" s="7" t="s">
        <v>85</v>
      </c>
      <c r="E1" s="7" t="s">
        <v>68</v>
      </c>
      <c r="F1" s="7" t="s">
        <v>69</v>
      </c>
      <c r="G1" s="7" t="s">
        <v>70</v>
      </c>
    </row>
    <row r="2" spans="1:7">
      <c r="A2" s="7" t="s">
        <v>86</v>
      </c>
      <c r="B2" s="7">
        <v>2</v>
      </c>
      <c r="C2" s="7">
        <v>524</v>
      </c>
      <c r="D2" s="7">
        <v>2</v>
      </c>
      <c r="E2" s="8" t="s">
        <v>71</v>
      </c>
      <c r="F2" s="8" t="s">
        <v>74</v>
      </c>
      <c r="G2" s="8" t="s">
        <v>87</v>
      </c>
    </row>
    <row r="3" spans="1:7">
      <c r="A3" s="7" t="s">
        <v>88</v>
      </c>
      <c r="B3" s="7">
        <v>232</v>
      </c>
      <c r="C3" s="7">
        <v>232</v>
      </c>
      <c r="D3" s="7">
        <v>7.9</v>
      </c>
      <c r="E3" s="8" t="s">
        <v>73</v>
      </c>
      <c r="F3" s="8" t="s">
        <v>89</v>
      </c>
      <c r="G3" s="3"/>
    </row>
    <row r="4" spans="1:7">
      <c r="A4" s="3" t="s">
        <v>90</v>
      </c>
      <c r="B4" s="3">
        <v>232</v>
      </c>
      <c r="C4" s="3">
        <v>232</v>
      </c>
      <c r="D4" s="3">
        <v>2.3199999999999998</v>
      </c>
      <c r="E4" s="8" t="s">
        <v>77</v>
      </c>
      <c r="F4" s="3"/>
      <c r="G4" s="3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>
  <dimension ref="A1:G4"/>
  <sheetViews>
    <sheetView workbookViewId="0">
      <selection activeCell="E5" sqref="E5"/>
    </sheetView>
  </sheetViews>
  <sheetFormatPr defaultColWidth="8.85546875" defaultRowHeight="15"/>
  <cols>
    <col min="1" max="1" width="19.7109375" customWidth="1"/>
    <col min="2" max="2" width="8.140625" customWidth="1"/>
    <col min="3" max="3" width="8.5703125" customWidth="1"/>
    <col min="4" max="4" width="17.85546875" customWidth="1"/>
    <col min="5" max="5" width="12.7109375" customWidth="1"/>
    <col min="6" max="6" width="14.5703125" customWidth="1"/>
    <col min="7" max="7" width="17.7109375" customWidth="1"/>
  </cols>
  <sheetData>
    <row r="1" spans="1:7">
      <c r="A1" s="7" t="s">
        <v>83</v>
      </c>
      <c r="B1" s="7" t="s">
        <v>84</v>
      </c>
      <c r="C1" s="7" t="s">
        <v>80</v>
      </c>
      <c r="D1" s="7" t="s">
        <v>85</v>
      </c>
      <c r="E1" s="7" t="s">
        <v>68</v>
      </c>
      <c r="F1" s="7" t="s">
        <v>69</v>
      </c>
      <c r="G1" s="7" t="s">
        <v>70</v>
      </c>
    </row>
    <row r="2" spans="1:7">
      <c r="A2" s="7" t="s">
        <v>86</v>
      </c>
      <c r="B2" s="7">
        <v>2</v>
      </c>
      <c r="C2" s="7">
        <v>524</v>
      </c>
      <c r="D2" s="7">
        <v>2</v>
      </c>
      <c r="E2" s="8" t="s">
        <v>71</v>
      </c>
      <c r="F2" s="8" t="s">
        <v>74</v>
      </c>
      <c r="G2" s="8" t="s">
        <v>87</v>
      </c>
    </row>
    <row r="3" spans="1:7">
      <c r="A3" s="7" t="s">
        <v>88</v>
      </c>
      <c r="B3" s="7">
        <v>34</v>
      </c>
      <c r="C3" s="7">
        <v>232</v>
      </c>
      <c r="D3" s="7">
        <v>7.9</v>
      </c>
      <c r="E3" s="8" t="s">
        <v>73</v>
      </c>
      <c r="F3" s="8" t="s">
        <v>89</v>
      </c>
      <c r="G3" s="3"/>
    </row>
    <row r="4" spans="1:7">
      <c r="A4" s="3" t="s">
        <v>90</v>
      </c>
      <c r="B4" s="3">
        <v>67</v>
      </c>
      <c r="C4" s="3">
        <v>232</v>
      </c>
      <c r="D4" s="3">
        <v>2.3199999999999998</v>
      </c>
      <c r="E4" s="8" t="s">
        <v>77</v>
      </c>
      <c r="F4" s="3"/>
      <c r="G4" s="3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>
  <dimension ref="A1:S17"/>
  <sheetViews>
    <sheetView workbookViewId="0">
      <selection activeCell="C14" sqref="C14"/>
    </sheetView>
  </sheetViews>
  <sheetFormatPr defaultColWidth="8.85546875" defaultRowHeight="15"/>
  <cols>
    <col min="1" max="1" width="39.7109375" customWidth="1"/>
    <col min="2" max="2" width="10.140625" customWidth="1"/>
    <col min="3" max="3" width="39.7109375" customWidth="1"/>
    <col min="4" max="4" width="11" customWidth="1"/>
    <col min="5" max="5" width="13.28515625" customWidth="1"/>
    <col min="6" max="6" width="8.85546875" customWidth="1"/>
    <col min="7" max="7" width="17.85546875" customWidth="1"/>
    <col min="8" max="8" width="19.5703125" customWidth="1"/>
    <col min="9" max="9" width="23.7109375" customWidth="1"/>
    <col min="10" max="10" width="12.7109375" customWidth="1"/>
    <col min="11" max="11" width="11.85546875" customWidth="1"/>
    <col min="12" max="12" width="17.42578125" customWidth="1"/>
    <col min="13" max="14" width="39.7109375" customWidth="1"/>
    <col min="15" max="15" width="25.7109375" customWidth="1"/>
    <col min="16" max="17" width="16.5703125" customWidth="1"/>
    <col min="18" max="18" width="11.5703125" customWidth="1"/>
    <col min="19" max="19" width="14.85546875" customWidth="1"/>
  </cols>
  <sheetData>
    <row r="1" spans="1:19">
      <c r="A1" s="3" t="s">
        <v>91</v>
      </c>
      <c r="B1" s="3" t="s">
        <v>92</v>
      </c>
      <c r="C1" s="3" t="s">
        <v>93</v>
      </c>
      <c r="D1" s="3" t="s">
        <v>94</v>
      </c>
      <c r="E1" s="3" t="s">
        <v>28</v>
      </c>
      <c r="F1" s="3" t="s">
        <v>95</v>
      </c>
      <c r="G1" s="3" t="s">
        <v>96</v>
      </c>
      <c r="H1" s="3" t="s">
        <v>34</v>
      </c>
      <c r="I1" s="3" t="s">
        <v>97</v>
      </c>
      <c r="J1" s="3" t="s">
        <v>32</v>
      </c>
      <c r="K1" s="3" t="s">
        <v>98</v>
      </c>
      <c r="L1" s="3" t="s">
        <v>99</v>
      </c>
      <c r="M1" s="3" t="s">
        <v>100</v>
      </c>
      <c r="N1" s="3" t="s">
        <v>101</v>
      </c>
      <c r="O1" s="3" t="s">
        <v>102</v>
      </c>
      <c r="P1" s="3" t="s">
        <v>103</v>
      </c>
      <c r="Q1" s="3" t="s">
        <v>1</v>
      </c>
      <c r="R1" s="3" t="s">
        <v>104</v>
      </c>
      <c r="S1" s="16" t="s">
        <v>105</v>
      </c>
    </row>
    <row r="2" spans="1:19">
      <c r="A2" s="21" t="s">
        <v>106</v>
      </c>
      <c r="B2" s="3">
        <v>0</v>
      </c>
      <c r="C2" s="21" t="s">
        <v>106</v>
      </c>
      <c r="D2" s="3" t="s">
        <v>14</v>
      </c>
      <c r="E2" s="3">
        <v>88363222</v>
      </c>
      <c r="F2" s="3">
        <v>18</v>
      </c>
      <c r="G2" s="3" t="s">
        <v>41</v>
      </c>
      <c r="H2" s="3"/>
      <c r="I2" s="3"/>
      <c r="J2" s="3" t="s">
        <v>14</v>
      </c>
      <c r="K2" s="3">
        <v>1</v>
      </c>
      <c r="L2" s="3" t="s">
        <v>107</v>
      </c>
      <c r="M2" s="3"/>
      <c r="N2" s="3"/>
      <c r="O2" s="8" t="s">
        <v>13</v>
      </c>
      <c r="P2" s="8" t="s">
        <v>15</v>
      </c>
      <c r="Q2" s="8" t="s">
        <v>15</v>
      </c>
      <c r="R2" s="3" t="s">
        <v>108</v>
      </c>
      <c r="S2" s="20" t="s">
        <v>109</v>
      </c>
    </row>
    <row r="3" spans="1:19">
      <c r="A3" s="21" t="s">
        <v>110</v>
      </c>
      <c r="B3" s="3">
        <v>0</v>
      </c>
      <c r="C3" s="21" t="s">
        <v>110</v>
      </c>
      <c r="D3" s="3" t="s">
        <v>14</v>
      </c>
      <c r="E3" s="21">
        <v>88363222</v>
      </c>
      <c r="F3" s="3">
        <v>18</v>
      </c>
      <c r="G3" s="3" t="s">
        <v>41</v>
      </c>
      <c r="H3" s="3"/>
      <c r="I3" s="3"/>
      <c r="J3" s="3" t="s">
        <v>20</v>
      </c>
      <c r="K3" s="3">
        <v>4</v>
      </c>
      <c r="L3" s="3" t="s">
        <v>107</v>
      </c>
      <c r="M3" s="3"/>
      <c r="N3" s="3"/>
      <c r="O3" s="8" t="s">
        <v>13</v>
      </c>
      <c r="P3" s="8" t="s">
        <v>15</v>
      </c>
      <c r="Q3" s="8" t="s">
        <v>15</v>
      </c>
      <c r="R3" s="3" t="s">
        <v>108</v>
      </c>
      <c r="S3" s="20" t="s">
        <v>109</v>
      </c>
    </row>
    <row r="4" spans="1:19">
      <c r="A4" s="3" t="s">
        <v>111</v>
      </c>
      <c r="B4" s="3">
        <v>0</v>
      </c>
      <c r="C4" s="3" t="s">
        <v>111</v>
      </c>
      <c r="D4" s="16" t="s">
        <v>14</v>
      </c>
      <c r="E4" s="3">
        <v>88363222</v>
      </c>
      <c r="F4" s="3">
        <v>18</v>
      </c>
      <c r="G4" s="16" t="s">
        <v>112</v>
      </c>
      <c r="H4" s="3"/>
      <c r="I4" s="3"/>
      <c r="J4" s="3" t="s">
        <v>14</v>
      </c>
      <c r="K4" s="3">
        <v>1</v>
      </c>
      <c r="L4" s="3" t="s">
        <v>107</v>
      </c>
      <c r="M4" s="3" t="s">
        <v>111</v>
      </c>
      <c r="N4" s="3" t="s">
        <v>111</v>
      </c>
      <c r="O4" s="8" t="s">
        <v>13</v>
      </c>
      <c r="P4" s="8" t="s">
        <v>15</v>
      </c>
      <c r="Q4" s="8" t="s">
        <v>15</v>
      </c>
      <c r="R4" s="3" t="s">
        <v>108</v>
      </c>
      <c r="S4" s="20" t="s">
        <v>109</v>
      </c>
    </row>
    <row r="5" spans="1:19">
      <c r="A5" s="3" t="s">
        <v>113</v>
      </c>
      <c r="B5" s="16">
        <v>0</v>
      </c>
      <c r="C5" s="3" t="s">
        <v>113</v>
      </c>
      <c r="D5" s="16" t="s">
        <v>14</v>
      </c>
      <c r="E5" s="3">
        <v>88363222</v>
      </c>
      <c r="F5" s="3">
        <v>18</v>
      </c>
      <c r="G5" s="16" t="s">
        <v>112</v>
      </c>
      <c r="H5" s="3"/>
      <c r="I5" s="3"/>
      <c r="J5" s="16" t="s">
        <v>20</v>
      </c>
      <c r="K5" s="16">
        <v>4</v>
      </c>
      <c r="L5" s="3" t="s">
        <v>107</v>
      </c>
      <c r="M5" s="3" t="s">
        <v>113</v>
      </c>
      <c r="N5" s="3" t="s">
        <v>113</v>
      </c>
      <c r="O5" s="8" t="s">
        <v>13</v>
      </c>
      <c r="P5" s="8" t="s">
        <v>15</v>
      </c>
      <c r="Q5" s="8" t="s">
        <v>15</v>
      </c>
      <c r="R5" s="3" t="s">
        <v>108</v>
      </c>
      <c r="S5" s="20" t="s">
        <v>109</v>
      </c>
    </row>
    <row r="6" spans="1:19">
      <c r="A6" s="16" t="s">
        <v>114</v>
      </c>
      <c r="B6" s="16">
        <v>0</v>
      </c>
      <c r="C6" s="3" t="s">
        <v>114</v>
      </c>
      <c r="D6" s="16" t="s">
        <v>14</v>
      </c>
      <c r="E6" s="16">
        <v>88363222</v>
      </c>
      <c r="F6" s="3">
        <v>18</v>
      </c>
      <c r="G6" s="16" t="s">
        <v>115</v>
      </c>
      <c r="H6" s="16" t="s">
        <v>116</v>
      </c>
      <c r="I6" s="3"/>
      <c r="J6" s="16" t="s">
        <v>14</v>
      </c>
      <c r="K6" s="16">
        <v>1</v>
      </c>
      <c r="L6" s="3" t="s">
        <v>107</v>
      </c>
      <c r="M6" s="16" t="s">
        <v>114</v>
      </c>
      <c r="N6" s="16" t="s">
        <v>114</v>
      </c>
      <c r="O6" s="8" t="s">
        <v>13</v>
      </c>
      <c r="P6" s="8" t="s">
        <v>15</v>
      </c>
      <c r="Q6" s="8" t="s">
        <v>15</v>
      </c>
      <c r="R6" s="3" t="s">
        <v>108</v>
      </c>
      <c r="S6" s="20" t="s">
        <v>109</v>
      </c>
    </row>
    <row r="7" spans="1:19">
      <c r="A7" s="16" t="s">
        <v>117</v>
      </c>
      <c r="B7" s="16">
        <v>0</v>
      </c>
      <c r="C7" s="3" t="s">
        <v>117</v>
      </c>
      <c r="D7" s="16" t="s">
        <v>14</v>
      </c>
      <c r="E7" s="16">
        <v>88363222</v>
      </c>
      <c r="F7" s="3">
        <v>18</v>
      </c>
      <c r="G7" s="16" t="s">
        <v>115</v>
      </c>
      <c r="H7" s="16" t="s">
        <v>118</v>
      </c>
      <c r="I7" s="3"/>
      <c r="J7" s="16" t="s">
        <v>20</v>
      </c>
      <c r="K7" s="16">
        <v>4</v>
      </c>
      <c r="L7" s="3" t="s">
        <v>107</v>
      </c>
      <c r="M7" s="16" t="s">
        <v>117</v>
      </c>
      <c r="N7" s="16" t="s">
        <v>117</v>
      </c>
      <c r="O7" s="8" t="s">
        <v>13</v>
      </c>
      <c r="P7" s="8" t="s">
        <v>15</v>
      </c>
      <c r="Q7" s="8" t="s">
        <v>15</v>
      </c>
      <c r="R7" s="3" t="s">
        <v>108</v>
      </c>
      <c r="S7" s="20" t="s">
        <v>109</v>
      </c>
    </row>
    <row r="8" spans="1:19">
      <c r="A8" s="3" t="s">
        <v>119</v>
      </c>
      <c r="B8" s="16">
        <v>0</v>
      </c>
      <c r="C8" s="3" t="s">
        <v>119</v>
      </c>
      <c r="D8" s="16" t="s">
        <v>14</v>
      </c>
      <c r="E8" s="3">
        <v>88363222</v>
      </c>
      <c r="F8" s="3">
        <v>18</v>
      </c>
      <c r="G8" s="16" t="s">
        <v>120</v>
      </c>
      <c r="H8" s="3"/>
      <c r="I8" s="3">
        <v>95</v>
      </c>
      <c r="J8" s="16" t="s">
        <v>14</v>
      </c>
      <c r="K8" s="16">
        <v>1</v>
      </c>
      <c r="L8" s="3" t="s">
        <v>107</v>
      </c>
      <c r="M8" s="3" t="s">
        <v>119</v>
      </c>
      <c r="N8" s="3" t="s">
        <v>119</v>
      </c>
      <c r="O8" s="8" t="s">
        <v>13</v>
      </c>
      <c r="P8" s="8" t="s">
        <v>15</v>
      </c>
      <c r="Q8" s="8" t="s">
        <v>15</v>
      </c>
      <c r="R8" s="3" t="s">
        <v>108</v>
      </c>
      <c r="S8" s="20" t="s">
        <v>109</v>
      </c>
    </row>
    <row r="9" spans="1:19">
      <c r="A9" s="16" t="s">
        <v>121</v>
      </c>
      <c r="B9" s="16">
        <v>0</v>
      </c>
      <c r="C9" s="3" t="s">
        <v>121</v>
      </c>
      <c r="D9" s="16" t="s">
        <v>14</v>
      </c>
      <c r="E9" s="16">
        <v>88363222</v>
      </c>
      <c r="F9" s="3">
        <v>18</v>
      </c>
      <c r="G9" s="16" t="s">
        <v>120</v>
      </c>
      <c r="H9" s="3"/>
      <c r="I9" s="3">
        <v>97</v>
      </c>
      <c r="J9" s="16" t="s">
        <v>20</v>
      </c>
      <c r="K9" s="16">
        <v>4</v>
      </c>
      <c r="L9" s="3" t="s">
        <v>107</v>
      </c>
      <c r="M9" s="16" t="s">
        <v>121</v>
      </c>
      <c r="N9" s="16" t="s">
        <v>121</v>
      </c>
      <c r="O9" s="8" t="s">
        <v>13</v>
      </c>
      <c r="P9" s="8" t="s">
        <v>15</v>
      </c>
      <c r="Q9" s="8" t="s">
        <v>15</v>
      </c>
      <c r="R9" s="3" t="s">
        <v>108</v>
      </c>
      <c r="S9" s="20" t="s">
        <v>109</v>
      </c>
    </row>
    <row r="10" spans="1:19">
      <c r="A10" s="3" t="s">
        <v>122</v>
      </c>
      <c r="B10" s="3">
        <v>0</v>
      </c>
      <c r="C10" s="3" t="s">
        <v>122</v>
      </c>
      <c r="D10" s="3" t="s">
        <v>14</v>
      </c>
      <c r="E10" s="3">
        <v>88363222</v>
      </c>
      <c r="F10" s="3">
        <v>18</v>
      </c>
      <c r="G10" s="3" t="s">
        <v>123</v>
      </c>
      <c r="H10" s="3"/>
      <c r="I10" s="3"/>
      <c r="J10" s="3" t="s">
        <v>14</v>
      </c>
      <c r="K10" s="3">
        <v>1</v>
      </c>
      <c r="L10" s="3" t="s">
        <v>107</v>
      </c>
      <c r="M10" s="3" t="s">
        <v>122</v>
      </c>
      <c r="N10" s="3" t="s">
        <v>122</v>
      </c>
      <c r="O10" s="3" t="s">
        <v>13</v>
      </c>
      <c r="P10" s="3" t="s">
        <v>15</v>
      </c>
      <c r="Q10" s="3" t="s">
        <v>15</v>
      </c>
      <c r="R10" s="3" t="s">
        <v>108</v>
      </c>
      <c r="S10" s="3" t="s">
        <v>109</v>
      </c>
    </row>
    <row r="11" spans="1:19">
      <c r="A11" s="3" t="s">
        <v>124</v>
      </c>
      <c r="B11" s="3">
        <v>0</v>
      </c>
      <c r="C11" s="3" t="s">
        <v>124</v>
      </c>
      <c r="D11" s="3" t="s">
        <v>14</v>
      </c>
      <c r="E11" s="3">
        <v>88363222</v>
      </c>
      <c r="F11" s="3">
        <v>18</v>
      </c>
      <c r="G11" s="3" t="s">
        <v>123</v>
      </c>
      <c r="H11" s="3"/>
      <c r="I11" s="3"/>
      <c r="J11" s="3" t="s">
        <v>20</v>
      </c>
      <c r="K11" s="3">
        <v>4</v>
      </c>
      <c r="L11" s="3" t="s">
        <v>107</v>
      </c>
      <c r="M11" s="3" t="s">
        <v>124</v>
      </c>
      <c r="N11" s="3" t="s">
        <v>124</v>
      </c>
      <c r="O11" s="3" t="s">
        <v>13</v>
      </c>
      <c r="P11" s="3" t="s">
        <v>15</v>
      </c>
      <c r="Q11" s="3" t="s">
        <v>15</v>
      </c>
      <c r="R11" s="3" t="s">
        <v>108</v>
      </c>
      <c r="S11" s="3" t="s">
        <v>109</v>
      </c>
    </row>
    <row r="12" spans="1:19">
      <c r="A12" s="3" t="s">
        <v>125</v>
      </c>
      <c r="B12" s="16">
        <v>0</v>
      </c>
      <c r="C12" s="3" t="s">
        <v>125</v>
      </c>
      <c r="D12" s="3" t="s">
        <v>14</v>
      </c>
      <c r="E12" s="21">
        <v>88363222</v>
      </c>
      <c r="F12" s="3">
        <v>18</v>
      </c>
      <c r="G12" s="3" t="s">
        <v>41</v>
      </c>
      <c r="H12" s="3"/>
      <c r="I12" s="3"/>
      <c r="J12" s="3" t="s">
        <v>14</v>
      </c>
      <c r="K12" s="16">
        <v>1</v>
      </c>
      <c r="L12" s="3" t="s">
        <v>107</v>
      </c>
      <c r="M12" s="3"/>
      <c r="N12" s="3"/>
      <c r="O12" s="3" t="s">
        <v>57</v>
      </c>
      <c r="P12" s="3" t="s">
        <v>126</v>
      </c>
      <c r="Q12" s="3" t="s">
        <v>126</v>
      </c>
      <c r="R12" s="3" t="s">
        <v>108</v>
      </c>
      <c r="S12" s="3" t="s">
        <v>109</v>
      </c>
    </row>
    <row r="13" spans="1:19">
      <c r="A13" s="3" t="s">
        <v>127</v>
      </c>
      <c r="B13" s="16">
        <v>0</v>
      </c>
      <c r="C13" s="3" t="s">
        <v>127</v>
      </c>
      <c r="D13" s="16" t="s">
        <v>14</v>
      </c>
      <c r="E13" s="21">
        <v>88363222</v>
      </c>
      <c r="F13" s="3">
        <v>18</v>
      </c>
      <c r="G13" s="3" t="s">
        <v>41</v>
      </c>
      <c r="H13" s="3"/>
      <c r="I13" s="3"/>
      <c r="J13" s="3" t="s">
        <v>14</v>
      </c>
      <c r="K13" s="3">
        <v>1</v>
      </c>
      <c r="L13" s="3" t="s">
        <v>107</v>
      </c>
      <c r="M13" s="3"/>
      <c r="N13" s="3"/>
      <c r="O13" s="3"/>
      <c r="P13" s="3" t="s">
        <v>22</v>
      </c>
      <c r="Q13" s="3" t="s">
        <v>22</v>
      </c>
      <c r="R13" s="3" t="s">
        <v>108</v>
      </c>
      <c r="S13" s="3" t="s">
        <v>109</v>
      </c>
    </row>
    <row r="14" spans="1:19">
      <c r="A14" s="3" t="s">
        <v>128</v>
      </c>
      <c r="B14" s="16">
        <v>0</v>
      </c>
      <c r="C14" s="3" t="s">
        <v>129</v>
      </c>
      <c r="D14" s="16" t="s">
        <v>14</v>
      </c>
      <c r="E14" s="21">
        <v>88363222</v>
      </c>
      <c r="F14" s="3">
        <v>18</v>
      </c>
      <c r="G14" s="3" t="s">
        <v>41</v>
      </c>
      <c r="H14" s="3"/>
      <c r="I14" s="3"/>
      <c r="J14" s="16" t="s">
        <v>14</v>
      </c>
      <c r="K14" s="16">
        <v>1</v>
      </c>
      <c r="L14" s="16" t="s">
        <v>107</v>
      </c>
      <c r="M14" s="3"/>
      <c r="N14" s="3"/>
      <c r="O14" s="3" t="s">
        <v>57</v>
      </c>
      <c r="P14" s="3" t="s">
        <v>15</v>
      </c>
      <c r="Q14" s="3" t="s">
        <v>15</v>
      </c>
      <c r="R14" s="3" t="s">
        <v>108</v>
      </c>
      <c r="S14" s="3" t="s">
        <v>130</v>
      </c>
    </row>
    <row r="15" spans="1:19">
      <c r="A15" s="3" t="s">
        <v>131</v>
      </c>
      <c r="B15" s="16">
        <v>0</v>
      </c>
      <c r="C15" s="3" t="s">
        <v>131</v>
      </c>
      <c r="D15" s="8" t="s">
        <v>14</v>
      </c>
      <c r="E15" s="23" t="s">
        <v>132</v>
      </c>
      <c r="F15" s="16">
        <v>12</v>
      </c>
      <c r="G15" s="3" t="s">
        <v>41</v>
      </c>
      <c r="H15" s="3"/>
      <c r="I15" s="3"/>
      <c r="J15" s="16" t="s">
        <v>14</v>
      </c>
      <c r="K15" s="16">
        <v>1</v>
      </c>
      <c r="L15" s="16" t="s">
        <v>107</v>
      </c>
      <c r="M15" s="3"/>
      <c r="N15" s="3"/>
      <c r="O15" s="8" t="s">
        <v>13</v>
      </c>
      <c r="P15" s="3" t="s">
        <v>15</v>
      </c>
      <c r="Q15" s="3" t="s">
        <v>15</v>
      </c>
      <c r="R15" s="3" t="s">
        <v>108</v>
      </c>
      <c r="S15" s="3" t="s">
        <v>109</v>
      </c>
    </row>
    <row r="16" spans="1:19">
      <c r="A16" s="3" t="s">
        <v>133</v>
      </c>
      <c r="B16" s="16">
        <v>0</v>
      </c>
      <c r="C16" s="3" t="s">
        <v>133</v>
      </c>
      <c r="D16" s="46" t="s">
        <v>134</v>
      </c>
      <c r="E16" s="3">
        <v>88363222</v>
      </c>
      <c r="F16" s="3">
        <v>18</v>
      </c>
      <c r="G16" s="3" t="s">
        <v>41</v>
      </c>
      <c r="H16" s="3"/>
      <c r="I16" s="3"/>
      <c r="J16" s="46" t="s">
        <v>14</v>
      </c>
      <c r="K16" s="24" t="s">
        <v>303</v>
      </c>
      <c r="L16" s="46" t="s">
        <v>107</v>
      </c>
      <c r="M16" s="3"/>
      <c r="N16" s="3"/>
      <c r="O16" s="3" t="s">
        <v>13</v>
      </c>
      <c r="P16" s="3" t="s">
        <v>15</v>
      </c>
      <c r="Q16" s="3" t="s">
        <v>15</v>
      </c>
      <c r="R16" s="3" t="s">
        <v>108</v>
      </c>
      <c r="S16" s="3" t="s">
        <v>109</v>
      </c>
    </row>
    <row r="17" spans="1:19">
      <c r="A17" s="46" t="s">
        <v>135</v>
      </c>
      <c r="B17" s="3">
        <v>0</v>
      </c>
      <c r="C17" s="46" t="s">
        <v>135</v>
      </c>
      <c r="D17" s="46" t="s">
        <v>14</v>
      </c>
      <c r="E17" s="3">
        <v>88363222</v>
      </c>
      <c r="F17" s="3">
        <v>18</v>
      </c>
      <c r="G17" s="3" t="s">
        <v>41</v>
      </c>
      <c r="H17" s="3"/>
      <c r="I17" s="3"/>
      <c r="J17" s="46" t="s">
        <v>14</v>
      </c>
      <c r="K17" s="24" t="s">
        <v>304</v>
      </c>
      <c r="L17" s="46" t="s">
        <v>107</v>
      </c>
      <c r="M17" s="3"/>
      <c r="N17" s="3"/>
      <c r="O17" s="3" t="s">
        <v>13</v>
      </c>
      <c r="P17" s="3" t="s">
        <v>15</v>
      </c>
      <c r="Q17" s="3" t="s">
        <v>15</v>
      </c>
      <c r="R17" s="3" t="s">
        <v>108</v>
      </c>
      <c r="S17" s="3" t="s">
        <v>109</v>
      </c>
    </row>
  </sheetData>
  <pageMargins left="0.75" right="0.75" top="1" bottom="1" header="0.5" footer="0.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K6"/>
  <sheetViews>
    <sheetView workbookViewId="0">
      <selection activeCell="A6" sqref="A6:K6"/>
    </sheetView>
  </sheetViews>
  <sheetFormatPr defaultColWidth="8.85546875" defaultRowHeight="15"/>
  <cols>
    <col min="1" max="1" width="9" customWidth="1"/>
    <col min="2" max="2" width="25.7109375" customWidth="1"/>
    <col min="3" max="3" width="12.42578125" customWidth="1"/>
    <col min="4" max="4" width="16.28515625" customWidth="1"/>
    <col min="5" max="5" width="20.28515625" customWidth="1"/>
    <col min="6" max="6" width="25.7109375" customWidth="1"/>
    <col min="7" max="7" width="12.28515625" customWidth="1"/>
    <col min="8" max="8" width="14.5703125" customWidth="1"/>
    <col min="9" max="9" width="28.5703125" customWidth="1"/>
    <col min="10" max="10" width="23" customWidth="1"/>
    <col min="11" max="11" width="14.7109375" customWidth="1"/>
  </cols>
  <sheetData>
    <row r="1" spans="1:11">
      <c r="A1" s="8" t="s">
        <v>136</v>
      </c>
      <c r="B1" s="8" t="s">
        <v>137</v>
      </c>
      <c r="C1" s="8" t="s">
        <v>138</v>
      </c>
      <c r="D1" s="8" t="s">
        <v>139</v>
      </c>
      <c r="E1" s="8" t="s">
        <v>140</v>
      </c>
      <c r="F1" s="20" t="s">
        <v>141</v>
      </c>
      <c r="G1" s="20" t="s">
        <v>142</v>
      </c>
      <c r="H1" s="20" t="s">
        <v>143</v>
      </c>
      <c r="I1" s="20" t="s">
        <v>144</v>
      </c>
      <c r="J1" s="20" t="s">
        <v>145</v>
      </c>
      <c r="K1" s="20" t="s">
        <v>146</v>
      </c>
    </row>
    <row r="2" spans="1:11">
      <c r="A2" s="8" t="s">
        <v>147</v>
      </c>
      <c r="B2" s="8" t="s">
        <v>148</v>
      </c>
      <c r="C2" s="8" t="s">
        <v>149</v>
      </c>
      <c r="D2" s="8" t="s">
        <v>150</v>
      </c>
      <c r="E2" s="8" t="s">
        <v>151</v>
      </c>
      <c r="F2" s="3" t="s">
        <v>148</v>
      </c>
      <c r="G2" s="3" t="s">
        <v>152</v>
      </c>
      <c r="H2" s="3" t="s">
        <v>153</v>
      </c>
      <c r="I2" s="3" t="s">
        <v>154</v>
      </c>
      <c r="J2" s="3" t="s">
        <v>155</v>
      </c>
      <c r="K2" s="3" t="s">
        <v>156</v>
      </c>
    </row>
    <row r="3" spans="1:11">
      <c r="A3" s="21" t="s">
        <v>157</v>
      </c>
      <c r="B3" s="3" t="s">
        <v>158</v>
      </c>
      <c r="C3" s="8" t="s">
        <v>149</v>
      </c>
      <c r="D3" s="3" t="s">
        <v>159</v>
      </c>
      <c r="E3" s="3" t="s">
        <v>159</v>
      </c>
      <c r="F3" s="3" t="s">
        <v>158</v>
      </c>
      <c r="G3" s="3" t="s">
        <v>160</v>
      </c>
      <c r="H3" s="3" t="s">
        <v>160</v>
      </c>
      <c r="I3" s="3" t="s">
        <v>161</v>
      </c>
      <c r="J3" s="3" t="s">
        <v>155</v>
      </c>
      <c r="K3" s="3" t="s">
        <v>156</v>
      </c>
    </row>
    <row r="4" spans="1:11">
      <c r="A4" s="3" t="s">
        <v>162</v>
      </c>
      <c r="B4" s="3" t="s">
        <v>163</v>
      </c>
      <c r="C4" s="8" t="s">
        <v>164</v>
      </c>
      <c r="D4" s="8" t="s">
        <v>165</v>
      </c>
      <c r="E4" s="8" t="s">
        <v>165</v>
      </c>
      <c r="F4" s="3" t="s">
        <v>163</v>
      </c>
      <c r="G4" s="3" t="s">
        <v>166</v>
      </c>
      <c r="H4" s="3" t="s">
        <v>167</v>
      </c>
      <c r="I4" s="3" t="s">
        <v>168</v>
      </c>
      <c r="J4" s="3" t="s">
        <v>155</v>
      </c>
      <c r="K4" s="3" t="s">
        <v>169</v>
      </c>
    </row>
    <row r="5" spans="1:11">
      <c r="A5" s="3" t="s">
        <v>170</v>
      </c>
      <c r="B5" s="3" t="s">
        <v>171</v>
      </c>
      <c r="C5" s="8" t="s">
        <v>164</v>
      </c>
      <c r="D5" s="3" t="s">
        <v>172</v>
      </c>
      <c r="E5" s="3" t="s">
        <v>172</v>
      </c>
      <c r="F5" s="3" t="s">
        <v>171</v>
      </c>
      <c r="G5" s="3" t="s">
        <v>173</v>
      </c>
      <c r="H5" s="3" t="s">
        <v>174</v>
      </c>
      <c r="I5" s="3" t="s">
        <v>168</v>
      </c>
      <c r="J5" s="3" t="s">
        <v>155</v>
      </c>
      <c r="K5" s="3" t="s">
        <v>169</v>
      </c>
    </row>
    <row r="6" spans="1:11">
      <c r="A6" s="16" t="s">
        <v>175</v>
      </c>
      <c r="B6" s="16" t="s">
        <v>176</v>
      </c>
      <c r="C6" s="22" t="s">
        <v>164</v>
      </c>
      <c r="D6" s="22" t="s">
        <v>165</v>
      </c>
      <c r="E6" s="22" t="s">
        <v>165</v>
      </c>
      <c r="F6" s="16" t="s">
        <v>176</v>
      </c>
      <c r="G6" s="3" t="s">
        <v>177</v>
      </c>
      <c r="H6" s="3" t="s">
        <v>167</v>
      </c>
      <c r="I6" s="3" t="s">
        <v>161</v>
      </c>
      <c r="J6" s="3" t="s">
        <v>155</v>
      </c>
      <c r="K6" s="3" t="s">
        <v>156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>
  <dimension ref="A1:E4"/>
  <sheetViews>
    <sheetView workbookViewId="0">
      <selection activeCell="D6" sqref="D6"/>
    </sheetView>
  </sheetViews>
  <sheetFormatPr defaultColWidth="8.85546875" defaultRowHeight="15"/>
  <cols>
    <col min="1" max="1" width="13.5703125" customWidth="1"/>
    <col min="2" max="2" width="6" customWidth="1"/>
    <col min="3" max="3" width="14.42578125" customWidth="1"/>
    <col min="4" max="4" width="18.140625" customWidth="1"/>
    <col min="5" max="5" width="19.5703125" customWidth="1"/>
  </cols>
  <sheetData>
    <row r="1" spans="1:5">
      <c r="A1" s="8" t="s">
        <v>178</v>
      </c>
      <c r="B1" s="3" t="s">
        <v>179</v>
      </c>
      <c r="C1" s="3" t="s">
        <v>180</v>
      </c>
      <c r="D1" s="3" t="s">
        <v>181</v>
      </c>
      <c r="E1" s="3" t="s">
        <v>182</v>
      </c>
    </row>
    <row r="2" spans="1:5" ht="30">
      <c r="A2" s="8" t="s">
        <v>183</v>
      </c>
      <c r="B2" s="8" t="s">
        <v>184</v>
      </c>
      <c r="C2" s="18" t="s">
        <v>147</v>
      </c>
      <c r="D2" s="19" t="s">
        <v>148</v>
      </c>
      <c r="E2" s="8" t="s">
        <v>185</v>
      </c>
    </row>
    <row r="3" spans="1:5">
      <c r="A3" s="3" t="s">
        <v>186</v>
      </c>
      <c r="B3" s="3" t="s">
        <v>187</v>
      </c>
      <c r="C3" s="3" t="s">
        <v>188</v>
      </c>
      <c r="D3" s="3" t="s">
        <v>189</v>
      </c>
      <c r="E3" s="3" t="s">
        <v>190</v>
      </c>
    </row>
    <row r="4" spans="1:5">
      <c r="A4" s="3" t="s">
        <v>191</v>
      </c>
      <c r="B4" s="3" t="s">
        <v>192</v>
      </c>
      <c r="C4" s="3" t="s">
        <v>193</v>
      </c>
      <c r="D4" s="3" t="s">
        <v>194</v>
      </c>
      <c r="E4" s="3" t="s">
        <v>195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>
  <dimension ref="A1:G14"/>
  <sheetViews>
    <sheetView workbookViewId="0">
      <selection activeCell="E14" sqref="E14"/>
    </sheetView>
  </sheetViews>
  <sheetFormatPr defaultColWidth="8.85546875" defaultRowHeight="15"/>
  <cols>
    <col min="1" max="1" width="25.7109375" customWidth="1"/>
    <col min="2" max="2" width="8.85546875" customWidth="1"/>
    <col min="3" max="3" width="12.28515625" customWidth="1"/>
    <col min="4" max="4" width="7.140625" customWidth="1"/>
    <col min="5" max="5" width="5.28515625" customWidth="1"/>
    <col min="6" max="6" width="17.42578125" customWidth="1"/>
    <col min="7" max="7" width="12.42578125" customWidth="1"/>
  </cols>
  <sheetData>
    <row r="1" spans="1:7">
      <c r="A1" s="14" t="s">
        <v>196</v>
      </c>
      <c r="B1" s="14" t="s">
        <v>197</v>
      </c>
      <c r="C1" s="15" t="s">
        <v>198</v>
      </c>
      <c r="D1" s="15" t="s">
        <v>199</v>
      </c>
      <c r="E1" s="15" t="s">
        <v>200</v>
      </c>
      <c r="F1" s="14" t="s">
        <v>201</v>
      </c>
      <c r="G1" s="14" t="s">
        <v>202</v>
      </c>
    </row>
    <row r="2" spans="1:7">
      <c r="A2" s="16" t="s">
        <v>163</v>
      </c>
      <c r="B2" s="16" t="s">
        <v>203</v>
      </c>
      <c r="C2" s="17" t="s">
        <v>204</v>
      </c>
      <c r="D2" s="17" t="s">
        <v>186</v>
      </c>
      <c r="E2" s="17" t="s">
        <v>187</v>
      </c>
      <c r="F2" s="16" t="s">
        <v>165</v>
      </c>
      <c r="G2" s="16" t="s">
        <v>164</v>
      </c>
    </row>
    <row r="3" spans="1:7">
      <c r="A3" s="16" t="s">
        <v>158</v>
      </c>
      <c r="B3" s="16" t="s">
        <v>205</v>
      </c>
      <c r="C3" s="17" t="s">
        <v>204</v>
      </c>
      <c r="D3" s="17" t="s">
        <v>186</v>
      </c>
      <c r="E3" s="17" t="s">
        <v>187</v>
      </c>
      <c r="F3" s="16" t="s">
        <v>159</v>
      </c>
      <c r="G3" s="16" t="s">
        <v>149</v>
      </c>
    </row>
    <row r="4" spans="1:7">
      <c r="A4" s="16" t="s">
        <v>206</v>
      </c>
      <c r="B4" s="16" t="s">
        <v>203</v>
      </c>
      <c r="C4" s="17" t="s">
        <v>204</v>
      </c>
      <c r="D4" s="17" t="s">
        <v>186</v>
      </c>
      <c r="E4" s="17" t="s">
        <v>187</v>
      </c>
      <c r="F4" s="16" t="s">
        <v>165</v>
      </c>
      <c r="G4" s="16" t="s">
        <v>164</v>
      </c>
    </row>
    <row r="5" spans="1:7">
      <c r="A5" s="16" t="s">
        <v>148</v>
      </c>
      <c r="B5" s="16" t="s">
        <v>203</v>
      </c>
      <c r="C5" s="17" t="s">
        <v>204</v>
      </c>
      <c r="D5" s="17" t="s">
        <v>186</v>
      </c>
      <c r="E5" s="17" t="s">
        <v>187</v>
      </c>
      <c r="F5" s="16" t="s">
        <v>150</v>
      </c>
      <c r="G5" s="16" t="s">
        <v>149</v>
      </c>
    </row>
    <row r="6" spans="1:7">
      <c r="A6" s="16" t="s">
        <v>207</v>
      </c>
      <c r="B6" s="16" t="s">
        <v>203</v>
      </c>
      <c r="C6" s="17" t="s">
        <v>204</v>
      </c>
      <c r="D6" s="17" t="s">
        <v>186</v>
      </c>
      <c r="E6" s="17" t="s">
        <v>187</v>
      </c>
      <c r="F6" s="16" t="s">
        <v>150</v>
      </c>
      <c r="G6" s="16" t="s">
        <v>164</v>
      </c>
    </row>
    <row r="7" spans="1:7">
      <c r="A7" s="16" t="s">
        <v>208</v>
      </c>
      <c r="B7" s="16" t="s">
        <v>203</v>
      </c>
      <c r="C7" s="17" t="s">
        <v>204</v>
      </c>
      <c r="D7" s="17" t="s">
        <v>186</v>
      </c>
      <c r="E7" s="17" t="s">
        <v>187</v>
      </c>
      <c r="F7" s="16" t="s">
        <v>150</v>
      </c>
      <c r="G7" s="16" t="s">
        <v>164</v>
      </c>
    </row>
    <row r="8" spans="1:7">
      <c r="A8" s="16" t="s">
        <v>171</v>
      </c>
      <c r="B8" s="16" t="s">
        <v>203</v>
      </c>
      <c r="C8" s="17" t="s">
        <v>204</v>
      </c>
      <c r="D8" s="17" t="s">
        <v>186</v>
      </c>
      <c r="E8" s="17" t="s">
        <v>187</v>
      </c>
      <c r="F8" s="16" t="s">
        <v>172</v>
      </c>
      <c r="G8" s="16" t="s">
        <v>164</v>
      </c>
    </row>
    <row r="9" spans="1:7">
      <c r="A9" s="16" t="s">
        <v>209</v>
      </c>
      <c r="B9" s="16" t="s">
        <v>203</v>
      </c>
      <c r="C9" s="17" t="s">
        <v>210</v>
      </c>
      <c r="D9" s="17" t="s">
        <v>186</v>
      </c>
      <c r="E9" s="17" t="s">
        <v>187</v>
      </c>
      <c r="F9" s="16" t="s">
        <v>165</v>
      </c>
      <c r="G9" s="16" t="s">
        <v>164</v>
      </c>
    </row>
    <row r="10" spans="1:7">
      <c r="A10" s="16" t="s">
        <v>211</v>
      </c>
      <c r="B10" s="16" t="s">
        <v>203</v>
      </c>
      <c r="C10" s="17" t="s">
        <v>212</v>
      </c>
      <c r="D10" s="17" t="s">
        <v>186</v>
      </c>
      <c r="E10" s="17" t="s">
        <v>187</v>
      </c>
      <c r="F10" s="16" t="s">
        <v>165</v>
      </c>
      <c r="G10" s="16" t="s">
        <v>164</v>
      </c>
    </row>
    <row r="11" spans="1:7">
      <c r="A11" s="16" t="s">
        <v>213</v>
      </c>
      <c r="B11" s="16" t="s">
        <v>203</v>
      </c>
      <c r="C11" s="17" t="s">
        <v>214</v>
      </c>
      <c r="D11" s="17" t="s">
        <v>186</v>
      </c>
      <c r="E11" s="17" t="s">
        <v>187</v>
      </c>
      <c r="F11" s="16" t="s">
        <v>165</v>
      </c>
      <c r="G11" s="16" t="s">
        <v>164</v>
      </c>
    </row>
    <row r="12" spans="1:7">
      <c r="A12" s="3" t="s">
        <v>215</v>
      </c>
      <c r="B12" s="3" t="s">
        <v>203</v>
      </c>
      <c r="C12" s="3" t="s">
        <v>216</v>
      </c>
      <c r="D12" s="17" t="s">
        <v>186</v>
      </c>
      <c r="E12" s="17" t="s">
        <v>187</v>
      </c>
      <c r="F12" s="3" t="s">
        <v>165</v>
      </c>
      <c r="G12" s="3" t="s">
        <v>164</v>
      </c>
    </row>
    <row r="13" spans="1:7">
      <c r="A13" s="3" t="s">
        <v>217</v>
      </c>
      <c r="B13" s="3" t="s">
        <v>203</v>
      </c>
      <c r="C13" s="3" t="s">
        <v>204</v>
      </c>
      <c r="D13" s="17" t="s">
        <v>186</v>
      </c>
      <c r="E13" s="17" t="s">
        <v>187</v>
      </c>
      <c r="F13" s="3" t="s">
        <v>165</v>
      </c>
      <c r="G13" s="3" t="s">
        <v>164</v>
      </c>
    </row>
    <row r="14" spans="1:7">
      <c r="A14" s="3" t="s">
        <v>218</v>
      </c>
      <c r="B14" s="3" t="s">
        <v>205</v>
      </c>
      <c r="C14" s="3" t="s">
        <v>204</v>
      </c>
      <c r="D14" s="17" t="s">
        <v>186</v>
      </c>
      <c r="E14" s="17" t="s">
        <v>187</v>
      </c>
      <c r="F14" s="3" t="s">
        <v>159</v>
      </c>
      <c r="G14" s="3" t="s">
        <v>149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A8" sqref="A8"/>
    </sheetView>
  </sheetViews>
  <sheetFormatPr defaultColWidth="8.85546875" defaultRowHeight="15"/>
  <cols>
    <col min="1" max="1" width="25.5703125" customWidth="1"/>
    <col min="2" max="2" width="15.140625" customWidth="1"/>
    <col min="3" max="3" width="16.42578125" customWidth="1"/>
  </cols>
  <sheetData>
    <row r="1" spans="1:3">
      <c r="A1" s="4" t="s">
        <v>219</v>
      </c>
      <c r="B1" s="4" t="s">
        <v>220</v>
      </c>
      <c r="C1" s="4" t="s">
        <v>84</v>
      </c>
    </row>
    <row r="2" spans="1:3">
      <c r="A2" s="3" t="s">
        <v>221</v>
      </c>
      <c r="B2" s="3" t="s">
        <v>222</v>
      </c>
      <c r="C2" s="3">
        <v>2</v>
      </c>
    </row>
    <row r="3" spans="1:3">
      <c r="A3" s="3" t="s">
        <v>223</v>
      </c>
      <c r="B3" s="3" t="s">
        <v>222</v>
      </c>
      <c r="C3" s="3">
        <v>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E9" sqref="E9"/>
    </sheetView>
  </sheetViews>
  <sheetFormatPr defaultColWidth="8.85546875" defaultRowHeight="15"/>
  <cols>
    <col min="1" max="1" width="24.85546875" bestFit="1" customWidth="1"/>
    <col min="2" max="2" width="11.5703125" customWidth="1"/>
    <col min="3" max="3" width="9" customWidth="1"/>
    <col min="4" max="4" width="19.28515625" bestFit="1" customWidth="1"/>
    <col min="5" max="5" width="19.28515625" customWidth="1"/>
    <col min="6" max="6" width="12.28515625" bestFit="1" customWidth="1"/>
  </cols>
  <sheetData>
    <row r="1" spans="1:6">
      <c r="A1" s="4" t="s">
        <v>219</v>
      </c>
      <c r="B1" s="4" t="s">
        <v>220</v>
      </c>
      <c r="C1" s="4" t="s">
        <v>84</v>
      </c>
      <c r="D1" s="37" t="s">
        <v>261</v>
      </c>
      <c r="E1" s="37" t="s">
        <v>257</v>
      </c>
      <c r="F1" s="37" t="s">
        <v>258</v>
      </c>
    </row>
    <row r="2" spans="1:6">
      <c r="A2" s="3" t="s">
        <v>255</v>
      </c>
      <c r="B2" s="3" t="s">
        <v>222</v>
      </c>
      <c r="C2" s="3">
        <v>10</v>
      </c>
      <c r="D2" t="s">
        <v>260</v>
      </c>
      <c r="E2" t="s">
        <v>262</v>
      </c>
      <c r="F2">
        <f>ROUND(C2*E2,2)</f>
        <v>847.48</v>
      </c>
    </row>
    <row r="3" spans="1:6">
      <c r="A3" s="3" t="s">
        <v>114</v>
      </c>
      <c r="B3" s="3" t="s">
        <v>256</v>
      </c>
      <c r="C3" s="3">
        <v>12</v>
      </c>
      <c r="D3" t="s">
        <v>263</v>
      </c>
      <c r="E3" t="s">
        <v>259</v>
      </c>
      <c r="F3">
        <f>ROUND(C3*E3,2)</f>
        <v>159.26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B16" sqref="B16"/>
    </sheetView>
  </sheetViews>
  <sheetFormatPr defaultColWidth="8.85546875" defaultRowHeight="15"/>
  <cols>
    <col min="1" max="1" width="21.42578125" customWidth="1"/>
    <col min="2" max="2" width="11.5703125" customWidth="1"/>
    <col min="3" max="3" width="9" customWidth="1"/>
  </cols>
  <sheetData>
    <row r="1" spans="1:3">
      <c r="A1" s="4" t="s">
        <v>219</v>
      </c>
      <c r="B1" s="4" t="s">
        <v>220</v>
      </c>
      <c r="C1" s="4" t="s">
        <v>84</v>
      </c>
    </row>
    <row r="2" spans="1:3">
      <c r="A2" s="3" t="s">
        <v>224</v>
      </c>
      <c r="B2" s="3" t="s">
        <v>222</v>
      </c>
      <c r="C2" s="3">
        <v>2</v>
      </c>
    </row>
    <row r="3" spans="1:3">
      <c r="A3" s="3" t="s">
        <v>225</v>
      </c>
      <c r="B3" s="3" t="s">
        <v>222</v>
      </c>
      <c r="C3" s="3">
        <v>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2"/>
  <sheetViews>
    <sheetView workbookViewId="0">
      <selection activeCell="J18" sqref="J18"/>
    </sheetView>
  </sheetViews>
  <sheetFormatPr defaultColWidth="8.7109375" defaultRowHeight="15"/>
  <cols>
    <col min="1" max="1" width="20.42578125" customWidth="1"/>
  </cols>
  <sheetData>
    <row r="1" spans="1:2">
      <c r="A1" s="10" t="s">
        <v>226</v>
      </c>
      <c r="B1" s="10" t="s">
        <v>84</v>
      </c>
    </row>
    <row r="2" spans="1:2">
      <c r="A2" s="10" t="s">
        <v>227</v>
      </c>
      <c r="B2" s="10">
        <v>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>
  <dimension ref="A1:G3"/>
  <sheetViews>
    <sheetView workbookViewId="0">
      <selection activeCell="F12" sqref="F12"/>
    </sheetView>
  </sheetViews>
  <sheetFormatPr defaultColWidth="8.7109375" defaultRowHeight="15"/>
  <sheetData>
    <row r="1" spans="1:7">
      <c r="A1" s="9" t="s">
        <v>228</v>
      </c>
      <c r="B1" s="9" t="s">
        <v>84</v>
      </c>
      <c r="C1" s="9" t="s">
        <v>80</v>
      </c>
      <c r="D1" s="9" t="s">
        <v>85</v>
      </c>
      <c r="E1" s="9" t="s">
        <v>68</v>
      </c>
      <c r="F1" s="9" t="s">
        <v>69</v>
      </c>
      <c r="G1" s="9" t="s">
        <v>70</v>
      </c>
    </row>
    <row r="2" spans="1:7">
      <c r="A2" s="12" t="s">
        <v>229</v>
      </c>
      <c r="B2" s="9">
        <v>22</v>
      </c>
      <c r="C2" s="9">
        <v>524</v>
      </c>
      <c r="D2" s="9">
        <v>2</v>
      </c>
      <c r="E2" s="12" t="s">
        <v>73</v>
      </c>
      <c r="F2" s="12" t="s">
        <v>74</v>
      </c>
      <c r="G2" s="12" t="s">
        <v>87</v>
      </c>
    </row>
    <row r="3" spans="1:7">
      <c r="A3" s="12" t="s">
        <v>230</v>
      </c>
      <c r="B3" s="9">
        <v>34</v>
      </c>
      <c r="C3" s="9">
        <v>232</v>
      </c>
      <c r="D3" s="9">
        <v>7.9</v>
      </c>
      <c r="E3" s="12" t="s">
        <v>73</v>
      </c>
      <c r="F3" s="12" t="s">
        <v>89</v>
      </c>
      <c r="G3" s="13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G9" sqref="G9"/>
    </sheetView>
  </sheetViews>
  <sheetFormatPr defaultColWidth="8.7109375" defaultRowHeight="15"/>
  <sheetData>
    <row r="1" spans="1:3">
      <c r="A1" s="9" t="s">
        <v>228</v>
      </c>
      <c r="B1" s="9" t="s">
        <v>84</v>
      </c>
      <c r="C1" s="9" t="s">
        <v>80</v>
      </c>
    </row>
    <row r="2" spans="1:3">
      <c r="A2" s="11" t="s">
        <v>231</v>
      </c>
      <c r="B2" s="9">
        <v>22</v>
      </c>
      <c r="C2" s="9">
        <v>524</v>
      </c>
    </row>
    <row r="3" spans="1:3">
      <c r="A3" s="11" t="s">
        <v>232</v>
      </c>
      <c r="B3" s="9">
        <v>40</v>
      </c>
      <c r="C3" s="9">
        <v>450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2"/>
  <sheetViews>
    <sheetView workbookViewId="0">
      <selection activeCell="E6" sqref="E6"/>
    </sheetView>
  </sheetViews>
  <sheetFormatPr defaultColWidth="8.7109375" defaultRowHeight="15"/>
  <sheetData>
    <row r="1" spans="1:2">
      <c r="A1" s="10" t="s">
        <v>233</v>
      </c>
      <c r="B1" s="10" t="s">
        <v>84</v>
      </c>
    </row>
    <row r="2" spans="1:2">
      <c r="A2" s="10" t="s">
        <v>234</v>
      </c>
      <c r="B2" s="10">
        <v>10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E10" sqref="E10"/>
    </sheetView>
  </sheetViews>
  <sheetFormatPr defaultColWidth="8.7109375" defaultRowHeight="15"/>
  <sheetData>
    <row r="1" spans="1:3">
      <c r="A1" t="s">
        <v>228</v>
      </c>
      <c r="B1" s="9" t="s">
        <v>84</v>
      </c>
      <c r="C1" s="9" t="s">
        <v>80</v>
      </c>
    </row>
    <row r="2" spans="1:3">
      <c r="A2" t="s">
        <v>235</v>
      </c>
      <c r="B2">
        <v>23</v>
      </c>
    </row>
    <row r="3" spans="1:3">
      <c r="A3" t="s">
        <v>236</v>
      </c>
      <c r="B3">
        <v>45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C21" sqref="C21"/>
    </sheetView>
  </sheetViews>
  <sheetFormatPr defaultColWidth="8.7109375" defaultRowHeight="15"/>
  <cols>
    <col min="1" max="1" width="23.28515625" customWidth="1"/>
    <col min="2" max="2" width="10.42578125" customWidth="1"/>
    <col min="3" max="3" width="11.42578125" customWidth="1"/>
    <col min="4" max="4" width="11.7109375" customWidth="1"/>
    <col min="5" max="5" width="14.5703125" customWidth="1"/>
    <col min="6" max="6" width="17.7109375" customWidth="1"/>
  </cols>
  <sheetData>
    <row r="1" spans="1:6">
      <c r="A1" s="5" t="s">
        <v>0</v>
      </c>
      <c r="B1" s="5" t="s">
        <v>66</v>
      </c>
      <c r="C1" s="5" t="s">
        <v>67</v>
      </c>
      <c r="D1" s="6" t="s">
        <v>68</v>
      </c>
      <c r="E1" s="7" t="s">
        <v>69</v>
      </c>
      <c r="F1" s="7" t="s">
        <v>70</v>
      </c>
    </row>
    <row r="2" spans="1:6">
      <c r="A2" s="7" t="s">
        <v>237</v>
      </c>
      <c r="B2" s="3">
        <v>10</v>
      </c>
      <c r="C2" s="3">
        <v>45</v>
      </c>
      <c r="D2" s="3" t="s">
        <v>73</v>
      </c>
      <c r="E2" s="8" t="s">
        <v>238</v>
      </c>
      <c r="F2" s="8" t="s">
        <v>75</v>
      </c>
    </row>
    <row r="3" spans="1:6">
      <c r="A3" s="7" t="s">
        <v>239</v>
      </c>
      <c r="B3" s="3">
        <v>50</v>
      </c>
      <c r="C3" s="3">
        <v>70</v>
      </c>
      <c r="D3" s="3" t="s">
        <v>77</v>
      </c>
      <c r="E3" s="3" t="s">
        <v>75</v>
      </c>
      <c r="F3" s="8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F5" sqref="F5"/>
    </sheetView>
  </sheetViews>
  <sheetFormatPr defaultColWidth="8.85546875" defaultRowHeight="15"/>
  <cols>
    <col min="1" max="1" width="20.85546875" customWidth="1"/>
    <col min="2" max="2" width="9" customWidth="1"/>
    <col min="3" max="3" width="8.85546875" customWidth="1"/>
    <col min="4" max="4" width="6.140625" customWidth="1"/>
    <col min="5" max="5" width="16.7109375" customWidth="1"/>
    <col min="6" max="6" width="16.28515625" customWidth="1"/>
  </cols>
  <sheetData>
    <row r="1" spans="1:6">
      <c r="A1" s="4" t="s">
        <v>219</v>
      </c>
      <c r="B1" s="4" t="s">
        <v>84</v>
      </c>
      <c r="C1" s="4" t="s">
        <v>80</v>
      </c>
      <c r="D1" s="4" t="s">
        <v>27</v>
      </c>
      <c r="E1" s="2" t="s">
        <v>240</v>
      </c>
      <c r="F1" s="2" t="s">
        <v>241</v>
      </c>
    </row>
    <row r="2" spans="1:6">
      <c r="A2" s="3" t="s">
        <v>10</v>
      </c>
      <c r="B2" s="3">
        <v>10</v>
      </c>
      <c r="C2" s="3">
        <v>200</v>
      </c>
      <c r="D2" s="3" t="s">
        <v>14</v>
      </c>
      <c r="E2" s="3">
        <v>5</v>
      </c>
      <c r="F2" s="3">
        <v>6</v>
      </c>
    </row>
    <row r="3" spans="1:6">
      <c r="A3" s="3" t="s">
        <v>242</v>
      </c>
      <c r="B3" s="3">
        <v>15</v>
      </c>
      <c r="C3" s="3">
        <v>250</v>
      </c>
      <c r="D3" s="3" t="s">
        <v>14</v>
      </c>
      <c r="E3" s="3">
        <v>15</v>
      </c>
      <c r="F3" s="3">
        <v>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F7" sqref="F7"/>
    </sheetView>
  </sheetViews>
  <sheetFormatPr defaultColWidth="8.85546875" defaultRowHeight="15"/>
  <cols>
    <col min="1" max="1" width="21.7109375" customWidth="1"/>
    <col min="2" max="2" width="9" customWidth="1"/>
    <col min="3" max="3" width="8.85546875" customWidth="1"/>
    <col min="4" max="4" width="6.140625" customWidth="1"/>
    <col min="5" max="5" width="16.7109375" customWidth="1"/>
    <col min="6" max="6" width="16.28515625" customWidth="1"/>
  </cols>
  <sheetData>
    <row r="1" spans="1:6">
      <c r="A1" s="4" t="s">
        <v>219</v>
      </c>
      <c r="B1" s="4" t="s">
        <v>84</v>
      </c>
      <c r="C1" s="4" t="s">
        <v>80</v>
      </c>
      <c r="D1" s="4" t="s">
        <v>27</v>
      </c>
      <c r="E1" s="2" t="s">
        <v>240</v>
      </c>
      <c r="F1" s="2" t="s">
        <v>241</v>
      </c>
    </row>
    <row r="2" spans="1:6">
      <c r="A2" s="3" t="s">
        <v>21</v>
      </c>
      <c r="B2" s="3">
        <v>10</v>
      </c>
      <c r="C2" s="3">
        <v>200</v>
      </c>
      <c r="D2" s="3" t="s">
        <v>14</v>
      </c>
      <c r="E2" s="3">
        <v>5</v>
      </c>
      <c r="F2" s="3">
        <v>6</v>
      </c>
    </row>
    <row r="3" spans="1:6">
      <c r="A3" s="3" t="s">
        <v>62</v>
      </c>
      <c r="B3" s="3">
        <v>15</v>
      </c>
      <c r="C3" s="3">
        <v>250</v>
      </c>
      <c r="D3" s="3" t="s">
        <v>14</v>
      </c>
      <c r="E3" s="3">
        <v>15</v>
      </c>
      <c r="F3" s="3">
        <v>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F6" sqref="F6"/>
    </sheetView>
  </sheetViews>
  <sheetFormatPr defaultColWidth="8.85546875" defaultRowHeight="15"/>
  <cols>
    <col min="1" max="1" width="15.42578125" customWidth="1"/>
    <col min="2" max="2" width="10.5703125" customWidth="1"/>
    <col min="3" max="3" width="11.5703125" customWidth="1"/>
    <col min="4" max="4" width="11.85546875" customWidth="1"/>
    <col min="5" max="5" width="14" customWidth="1"/>
    <col min="6" max="6" width="16.85546875" customWidth="1"/>
  </cols>
  <sheetData>
    <row r="1" spans="1:6">
      <c r="A1" s="2" t="s">
        <v>0</v>
      </c>
      <c r="B1" s="2" t="s">
        <v>66</v>
      </c>
      <c r="C1" s="2" t="s">
        <v>67</v>
      </c>
      <c r="D1" s="2" t="s">
        <v>68</v>
      </c>
      <c r="E1" s="2" t="s">
        <v>69</v>
      </c>
      <c r="F1" s="2" t="s">
        <v>70</v>
      </c>
    </row>
    <row r="2" spans="1:6">
      <c r="A2" s="3" t="s">
        <v>237</v>
      </c>
      <c r="B2" s="3">
        <v>10</v>
      </c>
      <c r="C2" s="3">
        <v>45</v>
      </c>
      <c r="D2" s="3" t="s">
        <v>73</v>
      </c>
      <c r="E2" s="3" t="s">
        <v>238</v>
      </c>
      <c r="F2" s="3" t="s">
        <v>75</v>
      </c>
    </row>
    <row r="3" spans="1:6">
      <c r="A3" s="3" t="s">
        <v>243</v>
      </c>
      <c r="B3" s="3">
        <v>20</v>
      </c>
      <c r="C3" s="3">
        <v>40</v>
      </c>
      <c r="D3" s="3" t="s">
        <v>73</v>
      </c>
      <c r="E3" s="3" t="s">
        <v>244</v>
      </c>
      <c r="F3" s="3" t="s">
        <v>75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>
  <dimension ref="A1:C3"/>
  <sheetViews>
    <sheetView tabSelected="1" workbookViewId="0">
      <selection activeCell="A2" sqref="A2:A3"/>
    </sheetView>
  </sheetViews>
  <sheetFormatPr defaultColWidth="9" defaultRowHeight="15"/>
  <cols>
    <col min="1" max="1" width="17.7109375" bestFit="1" customWidth="1"/>
  </cols>
  <sheetData>
    <row r="1" spans="1:3">
      <c r="A1" t="s">
        <v>245</v>
      </c>
      <c r="B1" t="s">
        <v>79</v>
      </c>
      <c r="C1" t="s">
        <v>246</v>
      </c>
    </row>
    <row r="2" spans="1:3">
      <c r="A2" t="s">
        <v>305</v>
      </c>
      <c r="B2">
        <v>5</v>
      </c>
      <c r="C2">
        <v>150</v>
      </c>
    </row>
    <row r="3" spans="1:3">
      <c r="A3" t="s">
        <v>306</v>
      </c>
      <c r="B3">
        <v>6</v>
      </c>
      <c r="C3">
        <v>200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3"/>
  <sheetViews>
    <sheetView workbookViewId="0">
      <selection activeCell="H16" sqref="H16"/>
    </sheetView>
  </sheetViews>
  <sheetFormatPr defaultColWidth="9" defaultRowHeight="15"/>
  <sheetData>
    <row r="1" spans="1:2">
      <c r="A1" t="s">
        <v>247</v>
      </c>
      <c r="B1" t="s">
        <v>248</v>
      </c>
    </row>
    <row r="2" spans="1:2">
      <c r="A2" t="s">
        <v>249</v>
      </c>
      <c r="B2" t="s">
        <v>205</v>
      </c>
    </row>
    <row r="3" spans="1:2">
      <c r="A3" t="s">
        <v>250</v>
      </c>
      <c r="B3" t="s">
        <v>203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3"/>
  <sheetViews>
    <sheetView workbookViewId="0">
      <selection activeCell="G15" sqref="G15"/>
    </sheetView>
  </sheetViews>
  <sheetFormatPr defaultColWidth="9" defaultRowHeight="15"/>
  <sheetData>
    <row r="1" spans="1:2">
      <c r="A1" t="s">
        <v>247</v>
      </c>
      <c r="B1" t="s">
        <v>248</v>
      </c>
    </row>
    <row r="2" spans="1:2">
      <c r="A2" t="s">
        <v>250</v>
      </c>
      <c r="B2" t="s">
        <v>205</v>
      </c>
    </row>
    <row r="3" spans="1:2">
      <c r="A3" t="s">
        <v>251</v>
      </c>
      <c r="B3" t="s">
        <v>203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E5" sqref="E5"/>
    </sheetView>
  </sheetViews>
  <sheetFormatPr defaultColWidth="8.85546875" defaultRowHeight="15"/>
  <cols>
    <col min="1" max="1" width="15.7109375" customWidth="1"/>
    <col min="2" max="2" width="5" customWidth="1"/>
    <col min="3" max="3" width="6" customWidth="1"/>
  </cols>
  <sheetData>
    <row r="1" spans="1:3">
      <c r="A1" s="1" t="s">
        <v>252</v>
      </c>
      <c r="B1" s="1" t="s">
        <v>79</v>
      </c>
      <c r="C1" s="1" t="s">
        <v>246</v>
      </c>
    </row>
    <row r="2" spans="1:3">
      <c r="A2" s="1" t="s">
        <v>253</v>
      </c>
      <c r="B2" s="1">
        <v>10</v>
      </c>
      <c r="C2" s="1">
        <v>200</v>
      </c>
    </row>
    <row r="3" spans="1:3">
      <c r="A3" s="1" t="s">
        <v>254</v>
      </c>
      <c r="B3" s="1">
        <v>20</v>
      </c>
      <c r="C3" s="1">
        <v>200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>
  <dimension ref="A1:O3"/>
  <sheetViews>
    <sheetView workbookViewId="0">
      <selection activeCell="C9" sqref="C9"/>
    </sheetView>
  </sheetViews>
  <sheetFormatPr defaultRowHeight="15"/>
  <cols>
    <col min="1" max="1" width="4.85546875" bestFit="1" customWidth="1"/>
    <col min="2" max="2" width="7" bestFit="1" customWidth="1"/>
    <col min="3" max="3" width="28.7109375" bestFit="1" customWidth="1"/>
    <col min="4" max="4" width="9.28515625" bestFit="1" customWidth="1"/>
    <col min="5" max="5" width="28.7109375" bestFit="1" customWidth="1"/>
    <col min="6" max="6" width="4.5703125" bestFit="1" customWidth="1"/>
    <col min="7" max="7" width="10.42578125" bestFit="1" customWidth="1"/>
    <col min="8" max="8" width="13.140625" bestFit="1" customWidth="1"/>
    <col min="9" max="9" width="8.28515625" bestFit="1" customWidth="1"/>
    <col min="10" max="10" width="21.5703125" bestFit="1" customWidth="1"/>
    <col min="11" max="11" width="16" bestFit="1" customWidth="1"/>
    <col min="12" max="12" width="18.140625" bestFit="1" customWidth="1"/>
    <col min="13" max="13" width="16.7109375" bestFit="1" customWidth="1"/>
  </cols>
  <sheetData>
    <row r="1" spans="1:15">
      <c r="A1" s="38" t="s">
        <v>264</v>
      </c>
      <c r="B1" s="38" t="s">
        <v>275</v>
      </c>
      <c r="C1" s="38" t="s">
        <v>265</v>
      </c>
      <c r="D1" s="38" t="s">
        <v>266</v>
      </c>
      <c r="E1" s="38" t="s">
        <v>267</v>
      </c>
      <c r="F1" s="38" t="s">
        <v>79</v>
      </c>
      <c r="G1" s="38" t="s">
        <v>268</v>
      </c>
      <c r="H1" s="38" t="s">
        <v>269</v>
      </c>
      <c r="I1" s="38" t="s">
        <v>270</v>
      </c>
      <c r="J1" s="38" t="s">
        <v>274</v>
      </c>
      <c r="K1" s="38" t="s">
        <v>271</v>
      </c>
      <c r="L1" s="41" t="s">
        <v>278</v>
      </c>
      <c r="M1" s="41" t="s">
        <v>279</v>
      </c>
      <c r="N1" s="41" t="s">
        <v>280</v>
      </c>
      <c r="O1" s="41" t="s">
        <v>281</v>
      </c>
    </row>
    <row r="2" spans="1:15">
      <c r="A2" s="3">
        <v>1</v>
      </c>
      <c r="B2" s="39" t="s">
        <v>276</v>
      </c>
      <c r="C2" s="3" t="s">
        <v>272</v>
      </c>
      <c r="D2" s="3">
        <v>0</v>
      </c>
      <c r="E2" s="39" t="s">
        <v>272</v>
      </c>
      <c r="F2" s="3">
        <v>100</v>
      </c>
      <c r="G2" s="3">
        <v>1200</v>
      </c>
      <c r="H2" t="s">
        <v>282</v>
      </c>
      <c r="I2" s="3">
        <v>100</v>
      </c>
      <c r="J2" s="39"/>
      <c r="K2" s="39" t="s">
        <v>273</v>
      </c>
      <c r="L2" t="s">
        <v>283</v>
      </c>
      <c r="M2">
        <f>SUM(L2+F2)</f>
        <v>119737.4</v>
      </c>
      <c r="N2" t="str">
        <f>H2</f>
        <v>500007</v>
      </c>
      <c r="O2" t="str">
        <f>H2</f>
        <v>500007</v>
      </c>
    </row>
    <row r="3" spans="1:15">
      <c r="A3" s="3">
        <v>2</v>
      </c>
      <c r="B3" s="39" t="s">
        <v>276</v>
      </c>
      <c r="C3" s="3" t="s">
        <v>277</v>
      </c>
      <c r="D3" s="3">
        <v>0</v>
      </c>
      <c r="E3" s="3" t="s">
        <v>277</v>
      </c>
      <c r="F3" s="3">
        <v>10</v>
      </c>
      <c r="G3" s="3">
        <v>3244</v>
      </c>
      <c r="H3" s="40"/>
      <c r="I3" s="3">
        <v>10</v>
      </c>
      <c r="J3" t="s">
        <v>285</v>
      </c>
      <c r="K3" s="39" t="s">
        <v>273</v>
      </c>
      <c r="L3" t="s">
        <v>284</v>
      </c>
      <c r="M3">
        <f>SUM(L3+F3)</f>
        <v>100175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E4"/>
  <sheetViews>
    <sheetView workbookViewId="0">
      <selection activeCell="A3" sqref="A3:E4"/>
    </sheetView>
  </sheetViews>
  <sheetFormatPr defaultRowHeight="15"/>
  <cols>
    <col min="1" max="1" width="15.5703125" bestFit="1" customWidth="1"/>
    <col min="2" max="3" width="18.7109375" bestFit="1" customWidth="1"/>
    <col min="4" max="4" width="28.28515625" bestFit="1" customWidth="1"/>
    <col min="5" max="5" width="12.140625" bestFit="1" customWidth="1"/>
  </cols>
  <sheetData>
    <row r="1" spans="1:5">
      <c r="A1" t="s">
        <v>286</v>
      </c>
      <c r="B1" t="s">
        <v>287</v>
      </c>
      <c r="C1" t="s">
        <v>288</v>
      </c>
      <c r="D1" t="s">
        <v>289</v>
      </c>
      <c r="E1" t="s">
        <v>290</v>
      </c>
    </row>
    <row r="2" spans="1:5">
      <c r="A2" s="44" t="s">
        <v>291</v>
      </c>
      <c r="B2" s="44" t="s">
        <v>294</v>
      </c>
      <c r="C2" s="44">
        <v>10020</v>
      </c>
      <c r="D2" s="44" t="s">
        <v>292</v>
      </c>
      <c r="E2" s="42" t="s">
        <v>293</v>
      </c>
    </row>
    <row r="3" spans="1:5">
      <c r="A3" s="44"/>
      <c r="B3" s="44"/>
      <c r="C3" s="44"/>
      <c r="D3" s="44"/>
      <c r="E3" s="42"/>
    </row>
    <row r="4" spans="1:5">
      <c r="A4" s="44"/>
      <c r="B4" s="44"/>
      <c r="C4" s="44"/>
      <c r="D4" s="44"/>
      <c r="E4" s="42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D3"/>
  <sheetViews>
    <sheetView workbookViewId="0">
      <selection activeCell="A2" sqref="A2:D3"/>
    </sheetView>
  </sheetViews>
  <sheetFormatPr defaultRowHeight="15"/>
  <cols>
    <col min="1" max="1" width="12.42578125" bestFit="1" customWidth="1"/>
    <col min="2" max="2" width="17" bestFit="1" customWidth="1"/>
    <col min="4" max="4" width="21.140625" bestFit="1" customWidth="1"/>
  </cols>
  <sheetData>
    <row r="1" spans="1:4">
      <c r="A1" s="43" t="s">
        <v>295</v>
      </c>
      <c r="B1" s="43" t="s">
        <v>296</v>
      </c>
      <c r="C1" s="43" t="s">
        <v>297</v>
      </c>
      <c r="D1" s="43" t="s">
        <v>298</v>
      </c>
    </row>
    <row r="2" spans="1:4">
      <c r="A2" s="45" t="s">
        <v>299</v>
      </c>
      <c r="B2" s="45" t="s">
        <v>300</v>
      </c>
      <c r="C2" s="45">
        <v>5</v>
      </c>
      <c r="D2" s="45">
        <v>5040101000</v>
      </c>
    </row>
    <row r="3" spans="1:4">
      <c r="A3" s="45" t="s">
        <v>301</v>
      </c>
      <c r="B3" s="45" t="s">
        <v>302</v>
      </c>
      <c r="C3" s="45">
        <v>100</v>
      </c>
      <c r="D3" s="45">
        <v>5040101000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PR Details</vt:lpstr>
      <vt:lpstr>PO Details</vt:lpstr>
      <vt:lpstr>POA Details</vt:lpstr>
      <vt:lpstr>PO _ITEM_MATERIAL</vt:lpstr>
      <vt:lpstr>PO _ITEM_GEN</vt:lpstr>
      <vt:lpstr>StockTransferItem</vt:lpstr>
      <vt:lpstr>POwithRateContractItem</vt:lpstr>
      <vt:lpstr>POwithRateContractItem_Mat</vt:lpstr>
      <vt:lpstr>SO Details</vt:lpstr>
      <vt:lpstr>Customer SO Details</vt:lpstr>
      <vt:lpstr>Open Sales</vt:lpstr>
      <vt:lpstr>SI Details</vt:lpstr>
      <vt:lpstr>MRTOMRV Data</vt:lpstr>
      <vt:lpstr>MRCustomer</vt:lpstr>
      <vt:lpstr>MRTOMRVWip Data</vt:lpstr>
      <vt:lpstr>RateContract_SER</vt:lpstr>
      <vt:lpstr>PricelistItem</vt:lpstr>
      <vt:lpstr>ST_ITEM_RATECONTRACT</vt:lpstr>
      <vt:lpstr>ServiceItemPriceList</vt:lpstr>
      <vt:lpstr>ST_Item_PriceList</vt:lpstr>
      <vt:lpstr>DIS_UOM_GEN_UD</vt:lpstr>
      <vt:lpstr>SimilarItem</vt:lpstr>
      <vt:lpstr>POAServiceSheet</vt:lpstr>
      <vt:lpstr>DIS_UOM_MAT_UD</vt:lpstr>
      <vt:lpstr>PRMULTI</vt:lpstr>
      <vt:lpstr>RFQ</vt:lpstr>
      <vt:lpstr>RFQDOM</vt:lpstr>
      <vt:lpstr>GATEITEM</vt:lpstr>
      <vt:lpstr>StockAdjustment</vt:lpstr>
      <vt:lpstr>LandedCostField</vt:lpstr>
      <vt:lpstr>ChargeItem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galaxy</dc:creator>
  <cp:lastModifiedBy>KOWSHIKAN</cp:lastModifiedBy>
  <dcterms:created xsi:type="dcterms:W3CDTF">2025-01-30T07:28:00Z</dcterms:created>
  <dcterms:modified xsi:type="dcterms:W3CDTF">2025-11-19T12:02:07Z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75277ABB799C4689AE15445D5C7DEC81_11</vt:lpwstr>
  </property>
  <property fmtid="{D5CDD505-2E9C-101B-9397-08002B2CF9AE}" pid="3" name="KSOProductBuildVer">
    <vt:lpwstr>1033-12.2.0.20795</vt:lpwstr>
  </property>
</Properties>
</file>