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5150" windowHeight="6540" firstSheet="21" activeTab="28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9"/>
  <c r="N2"/>
  <c r="M3"/>
  <c r="M2"/>
  <c r="F3" i="28"/>
  <c r="F2"/>
</calcChain>
</file>

<file path=xl/sharedStrings.xml><?xml version="1.0" encoding="utf-8"?>
<sst xmlns="http://schemas.openxmlformats.org/spreadsheetml/2006/main" count="838" uniqueCount="313">
  <si>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</si>
  <si>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</si>
  <si>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</si>
  <si>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</si>
  <si>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</si>
  <si>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</si>
  <si>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</si>
  <si>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</si>
  <si>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</si>
  <si>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</si>
  <si>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</si>
  <si>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</si>
  <si>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</si>
  <si>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</si>
  <si>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</si>
  <si>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</si>
  <si>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</si>
  <si>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</si>
  <si>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</si>
  <si>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</si>
  <si>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</si>
  <si>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</si>
  <si>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</si>
  <si>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</si>
  <si>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</si>
  <si>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</si>
  <si>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</si>
  <si>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</si>
  <si>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</si>
  <si>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</si>
  <si>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</si>
  <si>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</si>
  <si>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</si>
  <si>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</si>
  <si>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</si>
  <si>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</si>
  <si>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</si>
  <si>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</si>
  <si>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</si>
  <si>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</si>
  <si>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</si>
  <si>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</si>
  <si>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</si>
  <si>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</si>
  <si>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</si>
  <si>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</si>
  <si>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</si>
  <si>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</si>
  <si>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</si>
  <si>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</si>
  <si>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</si>
  <si>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</si>
  <si>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</si>
  <si>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</si>
  <si>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</si>
  <si>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</si>
  <si>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</si>
  <si>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</si>
  <si>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</si>
  <si>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</si>
  <si>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</si>
  <si>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</si>
  <si>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</si>
  <si>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</si>
  <si>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</si>
  <si>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</si>
  <si>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</si>
  <si>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</si>
  <si>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</si>
  <si>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</si>
  <si>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</si>
  <si>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</si>
  <si>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</si>
  <si>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</si>
  <si>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</si>
  <si>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</si>
  <si>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</si>
  <si>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</si>
  <si>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</si>
  <si>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</si>
  <si>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</si>
  <si>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</si>
  <si>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</si>
  <si>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</si>
  <si>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</si>
  <si>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</si>
  <si>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</si>
  <si>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</si>
  <si>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</si>
  <si>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</si>
  <si>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</si>
  <si>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</si>
  <si>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</si>
  <si>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</si>
  <si>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</si>
  <si>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</si>
  <si>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</si>
  <si>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</si>
  <si>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</si>
  <si>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</si>
  <si>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</si>
  <si>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</si>
  <si>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</si>
  <si>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</si>
  <si>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</si>
  <si>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</si>
  <si>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</si>
  <si>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</si>
  <si>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</si>
  <si>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</si>
  <si>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</si>
  <si>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</si>
  <si>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</si>
  <si>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</si>
  <si>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</si>
  <si>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</si>
  <si>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</si>
  <si>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</si>
  <si>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</si>
  <si>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</si>
  <si>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</si>
  <si>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</si>
  <si>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</si>
  <si>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</si>
  <si>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</si>
  <si>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</si>
  <si>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</si>
  <si>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</si>
  <si>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</si>
  <si>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</si>
  <si>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</si>
  <si>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</si>
  <si>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</si>
  <si>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</si>
  <si>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</si>
  <si>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</si>
  <si>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</si>
  <si>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</si>
  <si>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</si>
  <si>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</si>
  <si>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</si>
  <si>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</si>
  <si>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</si>
  <si>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</si>
  <si>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</si>
  <si>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</si>
  <si>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</si>
  <si>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</si>
  <si>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</si>
  <si>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</si>
  <si>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</si>
  <si>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</si>
  <si>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</si>
  <si>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</si>
  <si>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</si>
  <si>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</si>
  <si>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</si>
  <si>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</si>
  <si>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</si>
  <si>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</si>
  <si>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</si>
  <si>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</si>
  <si>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</si>
  <si>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</si>
  <si>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</si>
  <si>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</si>
  <si>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</si>
  <si>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</si>
  <si>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</si>
  <si>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</si>
  <si>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</si>
  <si>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</si>
  <si>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</si>
  <si>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</si>
  <si>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</si>
  <si>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</si>
  <si>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</si>
  <si>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</si>
  <si>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</si>
  <si>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</si>
  <si>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</si>
  <si>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</si>
  <si>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</si>
  <si>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</si>
  <si>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</si>
  <si>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</si>
  <si>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</si>
  <si>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</si>
  <si>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</si>
  <si>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</si>
  <si>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</si>
  <si>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</si>
  <si>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</si>
  <si>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</si>
  <si>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</si>
  <si>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</si>
  <si>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</si>
  <si>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</si>
  <si>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</si>
  <si>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</si>
  <si>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</si>
  <si>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</si>
  <si>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</si>
  <si>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</si>
  <si>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</si>
  <si>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</si>
  <si>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</si>
  <si>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</si>
  <si>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</si>
  <si>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</si>
  <si>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</si>
  <si>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</si>
  <si>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</si>
  <si>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</si>
  <si>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</si>
  <si>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</si>
  <si>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</si>
  <si>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</si>
  <si>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</si>
  <si>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</si>
  <si>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</si>
  <si>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</si>
  <si>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</si>
  <si>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</si>
  <si>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</si>
  <si>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</si>
  <si>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</si>
  <si>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</si>
  <si>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</si>
  <si>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</si>
  <si>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</si>
  <si>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</si>
  <si>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</si>
  <si>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</si>
  <si>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</si>
  <si>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</si>
  <si>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</si>
  <si>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</si>
  <si>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</si>
  <si>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</si>
  <si>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</si>
  <si>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</si>
  <si>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</si>
  <si>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</si>
  <si>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</si>
  <si>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</si>
  <si>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</si>
  <si>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</si>
  <si>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</si>
  <si>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</si>
  <si>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</si>
  <si>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</si>
  <si>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</si>
  <si>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TVS-RM-KDK-01</t>
  </si>
  <si>
    <t>TVS-RM-KDK-02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</si>
  <si>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</si>
  <si>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</si>
  <si>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</si>
  <si>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</si>
  <si>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</si>
  <si>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</si>
  <si>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</si>
  <si>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</si>
  <si>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</si>
  <si>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</si>
  <si>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</si>
  <si>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</si>
  <si>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</si>
  <si>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</si>
  <si>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</si>
  <si>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</si>
  <si>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</si>
  <si>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</si>
  <si>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</si>
  <si>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</si>
  <si>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</si>
  <si>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</si>
  <si>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</si>
  <si>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</si>
  <si>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</si>
  <si>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</si>
  <si>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</si>
  <si>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</si>
  <si>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</si>
  <si>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</si>
  <si>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</si>
  <si>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</si>
  <si>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</si>
  <si>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119139.4</t>
  </si>
  <si>
    <t>100115</t>
  </si>
  <si>
    <t>500003</t>
  </si>
  <si>
    <t>300033</t>
  </si>
  <si>
    <t>HEAT NO</t>
  </si>
  <si>
    <t>TEST NO</t>
  </si>
  <si>
    <t>119237.4</t>
  </si>
  <si>
    <t>100125</t>
  </si>
  <si>
    <t>500004</t>
  </si>
  <si>
    <t>300044</t>
  </si>
  <si>
    <t>119337.4</t>
  </si>
  <si>
    <t>100135</t>
  </si>
  <si>
    <t>300055</t>
  </si>
  <si>
    <t>500005</t>
  </si>
  <si>
    <t>119437.4</t>
  </si>
  <si>
    <t>100145</t>
  </si>
  <si>
    <t>300066</t>
  </si>
  <si>
    <t>500006</t>
  </si>
  <si>
    <t>119537.4</t>
  </si>
  <si>
    <t>100155</t>
  </si>
  <si>
    <t>300077</t>
  </si>
  <si>
    <t>500007</t>
  </si>
  <si>
    <t>119637.4</t>
  </si>
  <si>
    <t>100165</t>
  </si>
  <si>
    <t>300088</t>
  </si>
</sst>
</file>

<file path=xl/styles.xml><?xml version="1.0" encoding="utf-8"?>
<styleSheet xmlns="http://schemas.openxmlformats.org/spreadsheetml/2006/main">
  <numFmts count="0"/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4" fillId="5" borderId="2" xfId="0" applyFont="1" applyFill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theme/theme1.xml" Type="http://schemas.openxmlformats.org/officeDocument/2006/relationships/theme"/><Relationship Id="rId31" Target="styles.xml" Type="http://schemas.openxmlformats.org/officeDocument/2006/relationships/styles"/><Relationship Id="rId32" Target="sharedStrings.xml" Type="http://schemas.openxmlformats.org/officeDocument/2006/relationships/sharedStrings"/><Relationship Id="rId33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9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 s="0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 t="s">
        <v>40</v>
      </c>
      <c r="F2" s="3">
        <v>12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772213</v>
      </c>
      <c r="F3" s="3">
        <v>5</v>
      </c>
      <c r="G3" s="3" t="s">
        <v>41</v>
      </c>
      <c r="H3" s="3"/>
      <c r="I3" s="3"/>
      <c r="J3" s="3" t="s">
        <v>20</v>
      </c>
      <c r="K3" s="3">
        <v>3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 t="s">
        <v>40</v>
      </c>
      <c r="F4" s="3">
        <v>12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 t="s">
        <v>40</v>
      </c>
      <c r="F5" s="3">
        <v>12</v>
      </c>
      <c r="G5" s="16" t="s">
        <v>112</v>
      </c>
      <c r="H5" s="3"/>
      <c r="I5" s="3"/>
      <c r="J5" s="16" t="s">
        <v>20</v>
      </c>
      <c r="K5" s="16">
        <v>2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 t="s">
        <v>40</v>
      </c>
      <c r="F6" s="16">
        <v>12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 t="s">
        <v>40</v>
      </c>
      <c r="F7" s="16">
        <v>12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 t="s">
        <v>120</v>
      </c>
      <c r="F8" s="16">
        <v>5</v>
      </c>
      <c r="G8" s="16" t="s">
        <v>121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122</v>
      </c>
      <c r="B9" s="16">
        <v>0</v>
      </c>
      <c r="C9" s="3" t="s">
        <v>122</v>
      </c>
      <c r="D9" s="16" t="s">
        <v>14</v>
      </c>
      <c r="E9" s="16" t="s">
        <v>40</v>
      </c>
      <c r="F9" s="16">
        <v>12</v>
      </c>
      <c r="G9" s="16" t="s">
        <v>121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122</v>
      </c>
      <c r="N9" s="16" t="s">
        <v>122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123</v>
      </c>
      <c r="B10" s="3">
        <v>0</v>
      </c>
      <c r="C10" s="3" t="s">
        <v>123</v>
      </c>
      <c r="D10" s="3" t="s">
        <v>14</v>
      </c>
      <c r="E10" s="3" t="s">
        <v>40</v>
      </c>
      <c r="F10" s="3">
        <v>12</v>
      </c>
      <c r="G10" s="3" t="s">
        <v>124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123</v>
      </c>
      <c r="N10" s="3" t="s">
        <v>123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125</v>
      </c>
      <c r="B11" s="3">
        <v>0</v>
      </c>
      <c r="C11" s="3" t="s">
        <v>125</v>
      </c>
      <c r="D11" s="3" t="s">
        <v>14</v>
      </c>
      <c r="E11" s="3" t="s">
        <v>40</v>
      </c>
      <c r="F11" s="3">
        <v>12</v>
      </c>
      <c r="G11" s="3" t="s">
        <v>124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125</v>
      </c>
      <c r="N11" s="3" t="s">
        <v>125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126</v>
      </c>
      <c r="B12" s="16">
        <v>0</v>
      </c>
      <c r="C12" s="3" t="s">
        <v>126</v>
      </c>
      <c r="D12" s="3" t="s">
        <v>14</v>
      </c>
      <c r="E12" s="21">
        <v>772213</v>
      </c>
      <c r="F12" s="3">
        <v>5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127</v>
      </c>
      <c r="Q12" s="3" t="s">
        <v>127</v>
      </c>
      <c r="R12" s="3" t="s">
        <v>108</v>
      </c>
      <c r="S12" s="3" t="s">
        <v>109</v>
      </c>
    </row>
    <row r="13" spans="1:19">
      <c r="A13" s="3" t="s">
        <v>128</v>
      </c>
      <c r="B13" s="16">
        <v>0</v>
      </c>
      <c r="C13" s="3" t="s">
        <v>129</v>
      </c>
      <c r="D13" s="16" t="s">
        <v>14</v>
      </c>
      <c r="E13" s="21">
        <v>772213</v>
      </c>
      <c r="F13" s="16">
        <v>5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130</v>
      </c>
      <c r="B14" s="16">
        <v>0</v>
      </c>
      <c r="C14" s="16" t="s">
        <v>131</v>
      </c>
      <c r="D14" s="16" t="s">
        <v>14</v>
      </c>
      <c r="E14" s="21">
        <v>772213</v>
      </c>
      <c r="F14" s="16">
        <v>5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12</v>
      </c>
      <c r="Q14" s="3" t="s">
        <v>11</v>
      </c>
      <c r="R14" s="3" t="s">
        <v>108</v>
      </c>
      <c r="S14" s="3" t="s">
        <v>132</v>
      </c>
    </row>
    <row r="15" spans="1:19">
      <c r="A15" s="3" t="s">
        <v>133</v>
      </c>
      <c r="B15" s="16">
        <v>0</v>
      </c>
      <c r="C15" s="3" t="s">
        <v>134</v>
      </c>
      <c r="D15" s="8" t="s">
        <v>14</v>
      </c>
      <c r="E15" s="23" t="s">
        <v>135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12</v>
      </c>
      <c r="Q15" s="3" t="s">
        <v>11</v>
      </c>
      <c r="R15" s="3" t="s">
        <v>108</v>
      </c>
      <c r="S15" s="3" t="s">
        <v>109</v>
      </c>
    </row>
    <row r="16" spans="1:19">
      <c r="A16" s="3" t="s">
        <v>136</v>
      </c>
      <c r="B16" s="16">
        <v>0</v>
      </c>
      <c r="C16" s="3" t="s">
        <v>136</v>
      </c>
      <c r="D16" s="37" t="s">
        <v>137</v>
      </c>
      <c r="E16" s="3">
        <v>88363222</v>
      </c>
      <c r="F16" s="3">
        <v>18</v>
      </c>
      <c r="G16" s="3" t="s">
        <v>41</v>
      </c>
      <c r="H16" s="3"/>
      <c r="I16" s="3"/>
      <c r="J16" s="37" t="s">
        <v>14</v>
      </c>
      <c r="K16" s="24" t="s">
        <v>138</v>
      </c>
      <c r="L16" s="37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37" t="s">
        <v>139</v>
      </c>
      <c r="B17" s="3">
        <v>0</v>
      </c>
      <c r="C17" s="37" t="s">
        <v>139</v>
      </c>
      <c r="D17" s="37" t="s">
        <v>137</v>
      </c>
      <c r="E17" s="3">
        <v>88363222</v>
      </c>
      <c r="F17" s="3">
        <v>18</v>
      </c>
      <c r="G17" s="3" t="s">
        <v>41</v>
      </c>
      <c r="H17" s="3"/>
      <c r="I17" s="3"/>
      <c r="J17" s="37" t="s">
        <v>14</v>
      </c>
      <c r="K17" s="24" t="s">
        <v>138</v>
      </c>
      <c r="L17" s="37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8" t="s">
        <v>140</v>
      </c>
      <c r="B1" s="8" t="s">
        <v>141</v>
      </c>
      <c r="C1" s="8" t="s">
        <v>142</v>
      </c>
      <c r="D1" s="8" t="s">
        <v>143</v>
      </c>
      <c r="E1" s="8" t="s">
        <v>144</v>
      </c>
      <c r="F1" s="20" t="s">
        <v>145</v>
      </c>
      <c r="G1" s="20" t="s">
        <v>146</v>
      </c>
      <c r="H1" s="20" t="s">
        <v>147</v>
      </c>
      <c r="I1" s="20" t="s">
        <v>148</v>
      </c>
      <c r="J1" s="20" t="s">
        <v>149</v>
      </c>
      <c r="K1" s="20" t="s">
        <v>150</v>
      </c>
    </row>
    <row r="2" spans="1:11">
      <c r="A2" s="8" t="s">
        <v>151</v>
      </c>
      <c r="B2" s="8" t="s">
        <v>152</v>
      </c>
      <c r="C2" s="8" t="s">
        <v>153</v>
      </c>
      <c r="D2" s="8" t="s">
        <v>154</v>
      </c>
      <c r="E2" s="8" t="s">
        <v>155</v>
      </c>
      <c r="F2" s="3" t="s">
        <v>152</v>
      </c>
      <c r="G2" s="3" t="s">
        <v>156</v>
      </c>
      <c r="H2" s="3" t="s">
        <v>157</v>
      </c>
      <c r="I2" s="3" t="s">
        <v>158</v>
      </c>
      <c r="J2" s="3" t="s">
        <v>159</v>
      </c>
      <c r="K2" s="3" t="s">
        <v>160</v>
      </c>
    </row>
    <row r="3" spans="1:11">
      <c r="A3" s="21" t="s">
        <v>161</v>
      </c>
      <c r="B3" s="3" t="s">
        <v>162</v>
      </c>
      <c r="C3" s="8" t="s">
        <v>153</v>
      </c>
      <c r="D3" s="3" t="s">
        <v>163</v>
      </c>
      <c r="E3" s="3" t="s">
        <v>163</v>
      </c>
      <c r="F3" s="3" t="s">
        <v>162</v>
      </c>
      <c r="G3" s="3" t="s">
        <v>164</v>
      </c>
      <c r="H3" s="3" t="s">
        <v>164</v>
      </c>
      <c r="I3" s="3" t="s">
        <v>165</v>
      </c>
      <c r="J3" s="3" t="s">
        <v>159</v>
      </c>
      <c r="K3" s="3" t="s">
        <v>160</v>
      </c>
    </row>
    <row r="4" spans="1:11">
      <c r="A4" s="3" t="s">
        <v>166</v>
      </c>
      <c r="B4" s="3" t="s">
        <v>167</v>
      </c>
      <c r="C4" s="8" t="s">
        <v>168</v>
      </c>
      <c r="D4" s="8" t="s">
        <v>169</v>
      </c>
      <c r="E4" s="8" t="s">
        <v>169</v>
      </c>
      <c r="F4" s="3" t="s">
        <v>167</v>
      </c>
      <c r="G4" s="3" t="s">
        <v>170</v>
      </c>
      <c r="H4" s="3" t="s">
        <v>171</v>
      </c>
      <c r="I4" s="3" t="s">
        <v>172</v>
      </c>
      <c r="J4" s="3" t="s">
        <v>159</v>
      </c>
      <c r="K4" s="3" t="s">
        <v>173</v>
      </c>
    </row>
    <row r="5" spans="1:11">
      <c r="A5" s="3" t="s">
        <v>174</v>
      </c>
      <c r="B5" s="3" t="s">
        <v>175</v>
      </c>
      <c r="C5" s="8" t="s">
        <v>168</v>
      </c>
      <c r="D5" s="3" t="s">
        <v>176</v>
      </c>
      <c r="E5" s="3" t="s">
        <v>176</v>
      </c>
      <c r="F5" s="3" t="s">
        <v>175</v>
      </c>
      <c r="G5" s="3" t="s">
        <v>177</v>
      </c>
      <c r="H5" s="3" t="s">
        <v>178</v>
      </c>
      <c r="I5" s="3" t="s">
        <v>172</v>
      </c>
      <c r="J5" s="3" t="s">
        <v>159</v>
      </c>
      <c r="K5" s="3" t="s">
        <v>173</v>
      </c>
    </row>
    <row r="6" spans="1:11">
      <c r="A6" s="16" t="s">
        <v>179</v>
      </c>
      <c r="B6" s="16" t="s">
        <v>180</v>
      </c>
      <c r="C6" s="22" t="s">
        <v>168</v>
      </c>
      <c r="D6" s="22" t="s">
        <v>169</v>
      </c>
      <c r="E6" s="22" t="s">
        <v>169</v>
      </c>
      <c r="F6" s="16" t="s">
        <v>180</v>
      </c>
      <c r="G6" s="3" t="s">
        <v>181</v>
      </c>
      <c r="H6" s="3" t="s">
        <v>171</v>
      </c>
      <c r="I6" s="3" t="s">
        <v>165</v>
      </c>
      <c r="J6" s="3" t="s">
        <v>159</v>
      </c>
      <c r="K6" s="3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8" t="s">
        <v>182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 ht="30">
      <c r="A2" s="8" t="s">
        <v>187</v>
      </c>
      <c r="B2" s="8" t="s">
        <v>188</v>
      </c>
      <c r="C2" s="18" t="s">
        <v>151</v>
      </c>
      <c r="D2" s="19" t="s">
        <v>152</v>
      </c>
      <c r="E2" s="8" t="s">
        <v>189</v>
      </c>
    </row>
    <row r="3" spans="1:5">
      <c r="A3" s="3" t="s">
        <v>190</v>
      </c>
      <c r="B3" s="3" t="s">
        <v>191</v>
      </c>
      <c r="C3" s="3" t="s">
        <v>192</v>
      </c>
      <c r="D3" s="3" t="s">
        <v>193</v>
      </c>
      <c r="E3" s="3" t="s">
        <v>194</v>
      </c>
    </row>
    <row r="4" spans="1:5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4" t="s">
        <v>200</v>
      </c>
      <c r="B1" s="14" t="s">
        <v>201</v>
      </c>
      <c r="C1" s="15" t="s">
        <v>202</v>
      </c>
      <c r="D1" s="15" t="s">
        <v>203</v>
      </c>
      <c r="E1" s="15" t="s">
        <v>204</v>
      </c>
      <c r="F1" s="14" t="s">
        <v>205</v>
      </c>
      <c r="G1" s="14" t="s">
        <v>206</v>
      </c>
    </row>
    <row r="2" spans="1:7">
      <c r="A2" s="16" t="s">
        <v>167</v>
      </c>
      <c r="B2" s="16" t="s">
        <v>207</v>
      </c>
      <c r="C2" s="17" t="s">
        <v>208</v>
      </c>
      <c r="D2" s="17" t="s">
        <v>187</v>
      </c>
      <c r="E2" s="17" t="s">
        <v>188</v>
      </c>
      <c r="F2" s="16" t="s">
        <v>169</v>
      </c>
      <c r="G2" s="16" t="s">
        <v>168</v>
      </c>
    </row>
    <row r="3" spans="1:7">
      <c r="A3" s="16" t="s">
        <v>162</v>
      </c>
      <c r="B3" s="16" t="s">
        <v>209</v>
      </c>
      <c r="C3" s="17" t="s">
        <v>208</v>
      </c>
      <c r="D3" s="17" t="s">
        <v>187</v>
      </c>
      <c r="E3" s="17" t="s">
        <v>188</v>
      </c>
      <c r="F3" s="16" t="s">
        <v>163</v>
      </c>
      <c r="G3" s="16" t="s">
        <v>153</v>
      </c>
    </row>
    <row r="4" spans="1:7">
      <c r="A4" s="16" t="s">
        <v>210</v>
      </c>
      <c r="B4" s="16" t="s">
        <v>207</v>
      </c>
      <c r="C4" s="17" t="s">
        <v>208</v>
      </c>
      <c r="D4" s="17" t="s">
        <v>187</v>
      </c>
      <c r="E4" s="17" t="s">
        <v>188</v>
      </c>
      <c r="F4" s="16" t="s">
        <v>169</v>
      </c>
      <c r="G4" s="16" t="s">
        <v>168</v>
      </c>
    </row>
    <row r="5" spans="1:7">
      <c r="A5" s="16" t="s">
        <v>152</v>
      </c>
      <c r="B5" s="16" t="s">
        <v>207</v>
      </c>
      <c r="C5" s="17" t="s">
        <v>208</v>
      </c>
      <c r="D5" s="17" t="s">
        <v>187</v>
      </c>
      <c r="E5" s="17" t="s">
        <v>188</v>
      </c>
      <c r="F5" s="16" t="s">
        <v>154</v>
      </c>
      <c r="G5" s="16" t="s">
        <v>153</v>
      </c>
    </row>
    <row r="6" spans="1:7">
      <c r="A6" s="16" t="s">
        <v>211</v>
      </c>
      <c r="B6" s="16" t="s">
        <v>207</v>
      </c>
      <c r="C6" s="17" t="s">
        <v>208</v>
      </c>
      <c r="D6" s="17" t="s">
        <v>187</v>
      </c>
      <c r="E6" s="17" t="s">
        <v>188</v>
      </c>
      <c r="F6" s="16" t="s">
        <v>154</v>
      </c>
      <c r="G6" s="16" t="s">
        <v>168</v>
      </c>
    </row>
    <row r="7" spans="1:7">
      <c r="A7" s="16" t="s">
        <v>212</v>
      </c>
      <c r="B7" s="16" t="s">
        <v>207</v>
      </c>
      <c r="C7" s="17" t="s">
        <v>208</v>
      </c>
      <c r="D7" s="17" t="s">
        <v>187</v>
      </c>
      <c r="E7" s="17" t="s">
        <v>188</v>
      </c>
      <c r="F7" s="16" t="s">
        <v>154</v>
      </c>
      <c r="G7" s="16" t="s">
        <v>168</v>
      </c>
    </row>
    <row r="8" spans="1:7">
      <c r="A8" s="16" t="s">
        <v>175</v>
      </c>
      <c r="B8" s="16" t="s">
        <v>207</v>
      </c>
      <c r="C8" s="17" t="s">
        <v>208</v>
      </c>
      <c r="D8" s="17" t="s">
        <v>187</v>
      </c>
      <c r="E8" s="17" t="s">
        <v>188</v>
      </c>
      <c r="F8" s="16" t="s">
        <v>176</v>
      </c>
      <c r="G8" s="16" t="s">
        <v>168</v>
      </c>
    </row>
    <row r="9" spans="1:7">
      <c r="A9" s="16" t="s">
        <v>213</v>
      </c>
      <c r="B9" s="16" t="s">
        <v>207</v>
      </c>
      <c r="C9" s="17" t="s">
        <v>214</v>
      </c>
      <c r="D9" s="17" t="s">
        <v>187</v>
      </c>
      <c r="E9" s="17" t="s">
        <v>188</v>
      </c>
      <c r="F9" s="16" t="s">
        <v>169</v>
      </c>
      <c r="G9" s="16" t="s">
        <v>168</v>
      </c>
    </row>
    <row r="10" spans="1:7">
      <c r="A10" s="16" t="s">
        <v>215</v>
      </c>
      <c r="B10" s="16" t="s">
        <v>207</v>
      </c>
      <c r="C10" s="17" t="s">
        <v>216</v>
      </c>
      <c r="D10" s="17" t="s">
        <v>187</v>
      </c>
      <c r="E10" s="17" t="s">
        <v>188</v>
      </c>
      <c r="F10" s="16" t="s">
        <v>169</v>
      </c>
      <c r="G10" s="16" t="s">
        <v>168</v>
      </c>
    </row>
    <row r="11" spans="1:7">
      <c r="A11" s="16" t="s">
        <v>217</v>
      </c>
      <c r="B11" s="16" t="s">
        <v>207</v>
      </c>
      <c r="C11" s="17" t="s">
        <v>218</v>
      </c>
      <c r="D11" s="17" t="s">
        <v>187</v>
      </c>
      <c r="E11" s="17" t="s">
        <v>188</v>
      </c>
      <c r="F11" s="16" t="s">
        <v>169</v>
      </c>
      <c r="G11" s="16" t="s">
        <v>168</v>
      </c>
    </row>
    <row r="12" spans="1:7">
      <c r="A12" s="3" t="s">
        <v>219</v>
      </c>
      <c r="B12" s="3" t="s">
        <v>207</v>
      </c>
      <c r="C12" s="3" t="s">
        <v>220</v>
      </c>
      <c r="D12" s="3" t="s">
        <v>187</v>
      </c>
      <c r="E12" s="3" t="s">
        <v>188</v>
      </c>
      <c r="F12" s="3" t="s">
        <v>169</v>
      </c>
      <c r="G12" s="3" t="s">
        <v>168</v>
      </c>
    </row>
    <row r="13" spans="1:7">
      <c r="A13" s="3" t="s">
        <v>221</v>
      </c>
      <c r="B13" s="3" t="s">
        <v>207</v>
      </c>
      <c r="C13" s="3" t="s">
        <v>208</v>
      </c>
      <c r="D13" s="3" t="s">
        <v>222</v>
      </c>
      <c r="E13" s="3" t="s">
        <v>223</v>
      </c>
      <c r="F13" s="3" t="s">
        <v>169</v>
      </c>
      <c r="G13" s="3" t="s">
        <v>168</v>
      </c>
    </row>
    <row r="14" spans="1:7">
      <c r="A14" s="3" t="s">
        <v>224</v>
      </c>
      <c r="B14" s="3" t="s">
        <v>209</v>
      </c>
      <c r="C14" s="3" t="s">
        <v>208</v>
      </c>
      <c r="D14" s="3" t="s">
        <v>222</v>
      </c>
      <c r="E14" s="3" t="s">
        <v>223</v>
      </c>
      <c r="F14" s="3" t="s">
        <v>163</v>
      </c>
      <c r="G14" s="3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227</v>
      </c>
      <c r="B2" s="3" t="s">
        <v>228</v>
      </c>
      <c r="C2" s="3">
        <v>2</v>
      </c>
    </row>
    <row r="3" spans="1:3">
      <c r="A3" s="3" t="s">
        <v>229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4" t="s">
        <v>225</v>
      </c>
      <c r="B1" s="4" t="s">
        <v>226</v>
      </c>
      <c r="C1" s="4" t="s">
        <v>84</v>
      </c>
      <c r="D1" s="38" t="s">
        <v>269</v>
      </c>
      <c r="E1" s="38" t="s">
        <v>265</v>
      </c>
      <c r="F1" s="38" t="s">
        <v>266</v>
      </c>
    </row>
    <row r="2" spans="1:6">
      <c r="A2" s="3" t="s">
        <v>263</v>
      </c>
      <c r="B2" s="3" t="s">
        <v>228</v>
      </c>
      <c r="C2" s="3">
        <v>10</v>
      </c>
      <c r="D2" t="s" s="0">
        <v>268</v>
      </c>
      <c r="E2" t="s" s="0">
        <v>270</v>
      </c>
      <c r="F2" s="0">
        <f>ROUND(C2*E2,2)</f>
        <v>847.48</v>
      </c>
    </row>
    <row r="3" spans="1:6">
      <c r="A3" s="3" t="s">
        <v>114</v>
      </c>
      <c r="B3" s="3" t="s">
        <v>264</v>
      </c>
      <c r="C3" s="3">
        <v>12</v>
      </c>
      <c r="D3" t="s" s="0">
        <v>271</v>
      </c>
      <c r="E3" t="s" s="0">
        <v>267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230</v>
      </c>
      <c r="B2" s="3" t="s">
        <v>228</v>
      </c>
      <c r="C2" s="3">
        <v>2</v>
      </c>
    </row>
    <row r="3" spans="1:3">
      <c r="A3" s="3" t="s">
        <v>231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10" t="s">
        <v>232</v>
      </c>
      <c r="B1" s="10" t="s">
        <v>84</v>
      </c>
    </row>
    <row r="2" spans="1:2">
      <c r="A2" s="10" t="s">
        <v>233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234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235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236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234</v>
      </c>
      <c r="B1" s="9" t="s">
        <v>84</v>
      </c>
      <c r="C1" s="9" t="s">
        <v>80</v>
      </c>
    </row>
    <row r="2" spans="1:3">
      <c r="A2" s="11" t="s">
        <v>237</v>
      </c>
      <c r="B2" s="9">
        <v>22</v>
      </c>
      <c r="C2" s="9">
        <v>524</v>
      </c>
    </row>
    <row r="3" spans="1:3">
      <c r="A3" s="11" t="s">
        <v>238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239</v>
      </c>
      <c r="B1" s="10" t="s">
        <v>84</v>
      </c>
    </row>
    <row r="2" spans="1:2">
      <c r="A2" s="10" t="s">
        <v>240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9" t="s">
        <v>84</v>
      </c>
      <c r="C1" s="9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customWidth="true" width="23.28515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243</v>
      </c>
      <c r="B2" s="3">
        <v>10</v>
      </c>
      <c r="C2" s="3">
        <v>45</v>
      </c>
      <c r="D2" s="3" t="s">
        <v>73</v>
      </c>
      <c r="E2" s="8" t="s">
        <v>244</v>
      </c>
      <c r="F2" s="8" t="s">
        <v>75</v>
      </c>
    </row>
    <row r="3" spans="1:6">
      <c r="A3" s="7" t="s">
        <v>245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customWidth="true" width="20.85546875"/>
    <col min="2" max="2" customWidth="true" width="9.0"/>
    <col min="3" max="3" customWidth="true" width="8.85546875"/>
    <col min="4" max="4" customWidth="true" width="6.140625"/>
    <col min="5" max="5" customWidth="true" width="16.7109375"/>
    <col min="6" max="6" customWidth="true" width="16.28515625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248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customWidth="true" width="21.7109375"/>
    <col min="2" max="2" customWidth="true" width="9.0"/>
    <col min="3" max="3" customWidth="true" width="8.85546875"/>
    <col min="4" max="4" customWidth="true" width="6.140625"/>
    <col min="5" max="5" customWidth="true" width="16.7109375"/>
    <col min="6" max="6" customWidth="true" width="16.28515625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customWidth="true" width="15.42578125"/>
    <col min="2" max="2" customWidth="true" width="10.5703125"/>
    <col min="3" max="3" customWidth="true" width="11.5703125"/>
    <col min="4" max="4" customWidth="true" width="11.85546875"/>
    <col min="5" max="5" customWidth="true" width="14.0"/>
    <col min="6" max="6" customWidth="true" width="16.85546875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243</v>
      </c>
      <c r="B2" s="3">
        <v>10</v>
      </c>
      <c r="C2" s="3">
        <v>45</v>
      </c>
      <c r="D2" s="3" t="s">
        <v>73</v>
      </c>
      <c r="E2" s="3" t="s">
        <v>244</v>
      </c>
      <c r="F2" s="3" t="s">
        <v>75</v>
      </c>
    </row>
    <row r="3" spans="1:6">
      <c r="A3" s="3" t="s">
        <v>249</v>
      </c>
      <c r="B3" s="3">
        <v>20</v>
      </c>
      <c r="C3" s="3">
        <v>40</v>
      </c>
      <c r="D3" s="3" t="s">
        <v>73</v>
      </c>
      <c r="E3" s="3" t="s">
        <v>250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ColWidth="9" defaultRowHeight="15"/>
  <cols>
    <col min="1" max="1" customWidth="true" width="15.0"/>
  </cols>
  <sheetData>
    <row r="1" spans="1:3">
      <c r="A1" t="s" s="0">
        <v>251</v>
      </c>
      <c r="B1" t="s" s="0">
        <v>79</v>
      </c>
      <c r="C1" t="s" s="0">
        <v>252</v>
      </c>
    </row>
    <row r="2" spans="1:3">
      <c r="A2" t="s" s="0">
        <v>253</v>
      </c>
      <c r="B2" s="0">
        <v>5</v>
      </c>
      <c r="C2" s="0">
        <v>150</v>
      </c>
    </row>
    <row r="3" spans="1:3">
      <c r="A3" t="s" s="0">
        <v>254</v>
      </c>
      <c r="B3" s="0">
        <v>6</v>
      </c>
      <c r="C3" s="0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 s="0">
        <v>255</v>
      </c>
      <c r="B1" t="s" s="0">
        <v>256</v>
      </c>
    </row>
    <row r="2" spans="1:2">
      <c r="A2" t="s" s="0">
        <v>257</v>
      </c>
      <c r="B2" t="s" s="0">
        <v>209</v>
      </c>
    </row>
    <row r="3" spans="1:2">
      <c r="A3" t="s" s="0">
        <v>258</v>
      </c>
      <c r="B3" t="s" s="0">
        <v>207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 s="0">
        <v>255</v>
      </c>
      <c r="B1" t="s" s="0">
        <v>256</v>
      </c>
    </row>
    <row r="2" spans="1:2">
      <c r="A2" t="s" s="0">
        <v>258</v>
      </c>
      <c r="B2" t="s" s="0">
        <v>209</v>
      </c>
    </row>
    <row r="3" spans="1:2">
      <c r="A3" t="s" s="0">
        <v>259</v>
      </c>
      <c r="B3" t="s" s="0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customWidth="true" width="15.7109375"/>
    <col min="2" max="2" customWidth="true" width="5.0"/>
    <col min="3" max="3" customWidth="true" width="6.0"/>
  </cols>
  <sheetData>
    <row r="1" spans="1:3">
      <c r="A1" s="1" t="s">
        <v>260</v>
      </c>
      <c r="B1" s="1" t="s">
        <v>79</v>
      </c>
      <c r="C1" s="1" t="s">
        <v>252</v>
      </c>
    </row>
    <row r="2" spans="1:3">
      <c r="A2" s="1" t="s">
        <v>261</v>
      </c>
      <c r="B2" s="1">
        <v>10</v>
      </c>
      <c r="C2" s="1">
        <v>200</v>
      </c>
    </row>
    <row r="3" spans="1:3">
      <c r="A3" s="1" t="s">
        <v>262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tabSelected="1" workbookViewId="0">
      <selection activeCell="C9" sqref="C9"/>
    </sheetView>
  </sheetViews>
  <sheetFormatPr defaultRowHeight="15"/>
  <cols>
    <col min="1" max="1" bestFit="true" customWidth="true" width="4.85546875"/>
    <col min="2" max="2" bestFit="true" customWidth="true" width="7.0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4.5703125"/>
    <col min="7" max="7" bestFit="true" customWidth="true" width="10.42578125"/>
    <col min="8" max="8" bestFit="true" customWidth="true" width="13.140625"/>
    <col min="9" max="9" bestFit="true" customWidth="true" width="8.28515625"/>
    <col min="10" max="10" bestFit="true" customWidth="true" width="21.5703125"/>
    <col min="11" max="11" bestFit="true" customWidth="true" width="16.0"/>
    <col min="12" max="12" bestFit="true" customWidth="true" width="18.140625"/>
    <col min="13" max="13" bestFit="true" customWidth="true" width="16.7109375"/>
  </cols>
  <sheetData>
    <row r="1" spans="1:15">
      <c r="A1" s="39" t="s">
        <v>272</v>
      </c>
      <c r="B1" s="39" t="s">
        <v>283</v>
      </c>
      <c r="C1" s="39" t="s">
        <v>273</v>
      </c>
      <c r="D1" s="39" t="s">
        <v>274</v>
      </c>
      <c r="E1" s="39" t="s">
        <v>275</v>
      </c>
      <c r="F1" s="39" t="s">
        <v>79</v>
      </c>
      <c r="G1" s="39" t="s">
        <v>276</v>
      </c>
      <c r="H1" s="39" t="s">
        <v>277</v>
      </c>
      <c r="I1" s="39" t="s">
        <v>278</v>
      </c>
      <c r="J1" s="39" t="s">
        <v>282</v>
      </c>
      <c r="K1" s="39" t="s">
        <v>279</v>
      </c>
      <c r="L1" s="42" t="s">
        <v>286</v>
      </c>
      <c r="M1" s="42" t="s">
        <v>287</v>
      </c>
      <c r="N1" s="42" t="s">
        <v>292</v>
      </c>
      <c r="O1" s="42" t="s">
        <v>293</v>
      </c>
    </row>
    <row r="2" spans="1:15">
      <c r="A2" s="3">
        <v>1</v>
      </c>
      <c r="B2" s="40" t="s">
        <v>284</v>
      </c>
      <c r="C2" s="3" t="s">
        <v>280</v>
      </c>
      <c r="D2" s="3">
        <v>0</v>
      </c>
      <c r="E2" s="40" t="s">
        <v>280</v>
      </c>
      <c r="F2" s="3">
        <v>100</v>
      </c>
      <c r="G2" s="3">
        <v>1200</v>
      </c>
      <c r="H2" t="s" s="0">
        <v>309</v>
      </c>
      <c r="I2" s="3">
        <v>100</v>
      </c>
      <c r="J2" s="40"/>
      <c r="K2" s="40" t="s">
        <v>281</v>
      </c>
      <c r="L2" t="s" s="0">
        <v>310</v>
      </c>
      <c r="M2" s="0">
        <f>SUM(L2+F2)</f>
        <v>100</v>
      </c>
      <c r="N2" t="str" s="0">
        <f>H2</f>
        <v>500003</v>
      </c>
      <c r="O2" t="str" s="0">
        <f>H2</f>
        <v>500003</v>
      </c>
    </row>
    <row r="3" spans="1:15">
      <c r="A3" s="3">
        <v>2</v>
      </c>
      <c r="B3" s="40" t="s">
        <v>284</v>
      </c>
      <c r="C3" s="3" t="s">
        <v>285</v>
      </c>
      <c r="D3" s="3">
        <v>0</v>
      </c>
      <c r="E3" s="3" t="s">
        <v>285</v>
      </c>
      <c r="F3" s="3">
        <v>10</v>
      </c>
      <c r="G3" s="3">
        <v>3244</v>
      </c>
      <c r="H3" s="41"/>
      <c r="I3" s="3">
        <v>10</v>
      </c>
      <c r="J3" t="s" s="0">
        <v>312</v>
      </c>
      <c r="K3" s="40" t="s">
        <v>281</v>
      </c>
      <c r="L3" t="s" s="0">
        <v>311</v>
      </c>
      <c r="M3" s="0">
        <f>SUM(L3+F3)</f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2025-10-11T09:59:39Z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