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2520" windowWidth="11430" windowHeight="6540" firstSheet="9" activeTab="11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  <sheet name="LandedCostField" sheetId="30" r:id="rId30"/>
    <sheet name="ChargeItem" sheetId="31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9"/>
  <c r="O2"/>
  <c r="N2"/>
  <c r="M2"/>
  <c r="F3" i="28"/>
  <c r="F2"/>
</calcChain>
</file>

<file path=xl/sharedStrings.xml><?xml version="1.0" encoding="utf-8"?>
<sst xmlns="http://schemas.openxmlformats.org/spreadsheetml/2006/main" count="827" uniqueCount="309">
  <si>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</si>
  <si>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</si>
  <si>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</si>
  <si>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</si>
  <si>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</si>
  <si>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</si>
  <si>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</si>
  <si>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</si>
  <si>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</si>
  <si>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</si>
  <si>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</si>
  <si>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</si>
  <si>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</si>
  <si>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</si>
  <si>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</si>
  <si>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</si>
  <si>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</si>
  <si>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</si>
  <si>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</si>
  <si>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</si>
  <si>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</si>
  <si>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</si>
  <si>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</si>
  <si>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</si>
  <si>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</si>
  <si>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</si>
  <si>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</si>
  <si>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</si>
  <si>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</si>
  <si>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</si>
  <si>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</si>
  <si>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</si>
  <si>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</si>
  <si>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</si>
  <si>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</si>
  <si>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</si>
  <si>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</si>
  <si>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</si>
  <si>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</si>
  <si>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</si>
  <si>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</si>
  <si>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</si>
  <si>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</si>
  <si>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</si>
  <si>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</si>
  <si>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</si>
  <si>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</si>
  <si>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</si>
  <si>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</si>
  <si>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</si>
  <si>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</si>
  <si>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</si>
  <si>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</si>
  <si>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</si>
  <si>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</si>
  <si>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</si>
  <si>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</si>
  <si>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</si>
  <si>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</si>
  <si>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</si>
  <si>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</si>
  <si>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</si>
  <si>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</si>
  <si>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</si>
  <si>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</si>
  <si>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</si>
  <si>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</si>
  <si>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</si>
  <si>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</si>
  <si>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</si>
  <si>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</si>
  <si>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</si>
  <si>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</si>
  <si>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</si>
  <si>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</si>
  <si>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</si>
  <si>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</si>
  <si>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</si>
  <si>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</si>
  <si>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</si>
  <si>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</si>
  <si>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</si>
  <si>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</si>
  <si>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</si>
  <si>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</si>
  <si>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</si>
  <si>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</si>
  <si>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</si>
  <si>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</si>
  <si>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</si>
  <si>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</si>
  <si>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</si>
  <si>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</si>
  <si>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</si>
  <si>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</si>
  <si>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</si>
  <si>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</si>
  <si>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</si>
  <si>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</si>
  <si>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</si>
  <si>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</si>
  <si>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</si>
  <si>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</si>
  <si>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</si>
  <si>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</si>
  <si>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</si>
  <si>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</si>
  <si>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</si>
  <si>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</si>
  <si>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</si>
  <si>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</si>
  <si>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</si>
  <si>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</si>
  <si>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</si>
  <si>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</si>
  <si>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</si>
  <si>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</si>
  <si>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</si>
  <si>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</si>
  <si>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</si>
  <si>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</si>
  <si>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</si>
  <si>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</si>
  <si>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</si>
  <si>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</si>
  <si>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</si>
  <si>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</si>
  <si>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</si>
  <si>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PRO-10001</t>
  </si>
  <si>
    <t>PROMOTIONAL ITEM - 10001</t>
  </si>
  <si>
    <t>Promotional</t>
  </si>
  <si>
    <t>HK-USRDFN-10001</t>
  </si>
  <si>
    <t>0074</t>
  </si>
  <si>
    <t>HK-TVS-FG-10001</t>
  </si>
  <si>
    <t>MTON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</si>
  <si>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</si>
  <si>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</si>
  <si>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</si>
  <si>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</si>
  <si>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</si>
  <si>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</si>
  <si>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</si>
  <si>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</si>
  <si>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</si>
  <si>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</si>
  <si>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</si>
  <si>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</si>
  <si>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</si>
  <si>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</si>
  <si>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</si>
  <si>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</si>
  <si>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</si>
  <si>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</si>
  <si>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</si>
  <si>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</si>
  <si>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</si>
  <si>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</si>
  <si>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</si>
  <si>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</si>
  <si>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</si>
  <si>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</si>
  <si>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</si>
  <si>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</si>
  <si>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</si>
  <si>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</si>
  <si>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</si>
  <si>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</si>
  <si>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</si>
  <si>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</si>
  <si>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</si>
  <si>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</si>
  <si>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</si>
  <si>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</si>
  <si>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</si>
  <si>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</si>
  <si>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</si>
  <si>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</si>
  <si>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</si>
  <si>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</si>
  <si>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</si>
  <si>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</si>
  <si>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</si>
  <si>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</si>
  <si>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</si>
  <si>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</si>
  <si>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</si>
  <si>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</si>
  <si>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</si>
  <si>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</si>
  <si>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</si>
  <si>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</si>
  <si>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</si>
  <si>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</si>
  <si>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</si>
  <si>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</si>
  <si>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</si>
  <si>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</si>
  <si>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</si>
  <si>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</si>
  <si>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</si>
  <si>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</si>
  <si>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</si>
  <si>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</si>
  <si>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</si>
  <si>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</si>
  <si>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</si>
  <si>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</si>
  <si>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</si>
  <si>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</si>
  <si>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</si>
  <si>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</si>
  <si>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</si>
  <si>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</si>
  <si>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</si>
  <si>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</si>
  <si>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</si>
  <si>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</si>
  <si>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</si>
  <si>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</si>
  <si>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</si>
  <si>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</si>
  <si>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</si>
  <si>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</si>
  <si>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</si>
  <si>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</si>
  <si>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</si>
  <si>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</si>
  <si>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</si>
  <si>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</si>
  <si>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</si>
  <si>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</si>
  <si>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</si>
  <si>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</si>
  <si>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</si>
  <si>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</si>
  <si>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</si>
  <si>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</si>
  <si>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</si>
  <si>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</si>
  <si>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</si>
  <si>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</si>
  <si>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</si>
  <si>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</si>
  <si>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</si>
  <si>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</si>
  <si>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</si>
  <si>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</si>
  <si>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</si>
  <si>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</si>
  <si>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</si>
  <si>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</si>
  <si>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</si>
  <si>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</si>
  <si>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</si>
  <si>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</si>
  <si>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</si>
  <si>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</si>
  <si>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</si>
  <si>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</si>
  <si>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</si>
  <si>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</si>
  <si>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</si>
  <si>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</si>
  <si>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</si>
  <si>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</si>
  <si>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ITEM ID</t>
  </si>
  <si>
    <t>ITEM REV</t>
  </si>
  <si>
    <t>ITEM DESC</t>
  </si>
  <si>
    <t>UNIT COST</t>
  </si>
  <si>
    <t>LOTNUMBER</t>
  </si>
  <si>
    <t>LOT QTY</t>
  </si>
  <si>
    <t>LOT EXPIRY DATE</t>
  </si>
  <si>
    <t>HK-FIFO-LOT-BATCH-10001</t>
  </si>
  <si>
    <t>21-10-2025</t>
  </si>
  <si>
    <t>FROM SERIAL NUMBER</t>
  </si>
  <si>
    <t>PREFIX</t>
  </si>
  <si>
    <t>OB</t>
  </si>
  <si>
    <t>HK-SER-MAC-10001</t>
  </si>
  <si>
    <t>BEFORE STOCK QTY</t>
  </si>
  <si>
    <t>AFTER STOCK QTY</t>
  </si>
  <si>
    <t>HEAT NO</t>
  </si>
  <si>
    <t>TEST NO</t>
  </si>
  <si>
    <t>500007</t>
  </si>
  <si>
    <t>119637.4</t>
  </si>
  <si>
    <t>100165</t>
  </si>
  <si>
    <t>300088</t>
  </si>
  <si>
    <t>LandedCostItem</t>
  </si>
  <si>
    <t>landedCostSupplier</t>
  </si>
  <si>
    <t>LandedCostAmount</t>
  </si>
  <si>
    <t>LandedCostDocumentNumber</t>
  </si>
  <si>
    <t>AICselection</t>
  </si>
  <si>
    <t>TVS-CH-00011</t>
  </si>
  <si>
    <t>APM1001</t>
  </si>
  <si>
    <t>Y</t>
  </si>
  <si>
    <t>SUP00124</t>
  </si>
  <si>
    <t>ChargesBasis</t>
  </si>
  <si>
    <t>ItemName</t>
  </si>
  <si>
    <t>Amount</t>
  </si>
  <si>
    <t>GLAccount</t>
  </si>
  <si>
    <t>P</t>
  </si>
  <si>
    <t>FRIEGHT CHARGES</t>
  </si>
  <si>
    <t>V</t>
  </si>
  <si>
    <t>PACKING CHARGES</t>
  </si>
  <si>
    <t>2</t>
  </si>
  <si>
    <t>1</t>
  </si>
  <si>
    <t>ROAU-RFQ-KDK-01</t>
  </si>
  <si>
    <t>ROAU-RFQ-KDK-02</t>
  </si>
  <si>
    <t>L49</t>
  </si>
  <si>
    <t>L-3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</si>
</sst>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5" fillId="0" borderId="1" xfId="2" applyFont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6" fillId="0" borderId="0" xfId="0" applyFont="1">
      <alignment vertical="center"/>
    </xf>
    <xf numFmtId="0" fontId="0" fillId="0" borderId="1" xfId="2" applyFont="1" applyBorder="1">
      <alignment vertical="center"/>
    </xf>
    <xf numFmtId="0" fontId="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6" fillId="0" borderId="1" xfId="0" applyFont="1" applyFill="1" applyBorder="1">
      <alignment vertical="center"/>
    </xf>
    <xf numFmtId="0" fontId="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8" fillId="0" borderId="1" xfId="0" applyFont="1" applyBorder="1">
      <alignment vertical="center"/>
    </xf>
    <xf numFmtId="0" fontId="0" fillId="0" borderId="0" xfId="0" applyBorder="1">
      <alignment vertical="center"/>
    </xf>
    <xf numFmtId="0" fontId="9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0" fontId="8" fillId="0" borderId="0" xfId="0" applyFont="1">
      <alignment vertical="center"/>
    </xf>
    <xf numFmtId="0" fontId="5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10" fillId="0" borderId="0" xfId="0" applyFont="1" applyAlignment="1">
      <alignment horizontal="justify" vertical="center"/>
    </xf>
    <xf numFmtId="0" fontId="11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14" fillId="5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4" fillId="5" borderId="2" xfId="0" applyFont="1" applyFill="1" applyBorder="1">
      <alignment vertical="center"/>
    </xf>
    <xf numFmtId="49" fontId="0" fillId="0" borderId="0" xfId="0" applyNumberFormat="1" applyAlignment="1">
      <alignment horizontal="left"/>
    </xf>
    <xf numFmtId="0" fontId="0" fillId="5" borderId="1" xfId="0" applyFill="1" applyBorder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</row>
    <row r="2" spans="1:10" s="32" customFormat="1" ht="22.5">
      <c r="A2" s="34" t="s">
        <v>10</v>
      </c>
      <c r="B2" s="35" t="s">
        <v>11</v>
      </c>
      <c r="C2" s="35" t="s">
        <v>12</v>
      </c>
      <c r="D2" s="34" t="s">
        <v>13</v>
      </c>
      <c r="E2" s="34">
        <v>1</v>
      </c>
      <c r="F2" s="34" t="s">
        <v>14</v>
      </c>
      <c r="G2" s="34">
        <v>1010301033</v>
      </c>
      <c r="H2" s="34" t="s">
        <v>15</v>
      </c>
      <c r="I2" s="34" t="s">
        <v>16</v>
      </c>
      <c r="J2" s="34" t="s">
        <v>17</v>
      </c>
    </row>
    <row r="3" spans="1:10" ht="15" customHeight="1">
      <c r="A3" s="34" t="s">
        <v>18</v>
      </c>
      <c r="B3" s="35" t="s">
        <v>11</v>
      </c>
      <c r="C3" s="35" t="s">
        <v>12</v>
      </c>
      <c r="D3" s="34" t="s">
        <v>19</v>
      </c>
      <c r="E3" s="34">
        <v>6</v>
      </c>
      <c r="F3" s="35" t="s">
        <v>20</v>
      </c>
      <c r="G3" s="34">
        <v>1010301033</v>
      </c>
      <c r="H3" s="34" t="s">
        <v>15</v>
      </c>
      <c r="I3" s="34" t="s">
        <v>16</v>
      </c>
      <c r="J3" s="34" t="s">
        <v>17</v>
      </c>
    </row>
    <row r="4" spans="1:10" ht="22.5">
      <c r="A4" s="34" t="s">
        <v>21</v>
      </c>
      <c r="B4" s="35" t="s">
        <v>22</v>
      </c>
      <c r="C4" s="35" t="s">
        <v>22</v>
      </c>
      <c r="D4" s="34" t="s">
        <v>23</v>
      </c>
      <c r="E4" s="34">
        <v>1</v>
      </c>
      <c r="F4" s="35" t="s">
        <v>14</v>
      </c>
      <c r="G4" s="34">
        <v>5010100004</v>
      </c>
      <c r="H4" s="34" t="s">
        <v>24</v>
      </c>
      <c r="I4" s="34" t="s">
        <v>16</v>
      </c>
      <c r="J4" s="34" t="s">
        <v>17</v>
      </c>
    </row>
    <row r="5" spans="1:10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>
      <c r="A6" s="36"/>
      <c r="B6" s="36"/>
      <c r="C6" s="36"/>
      <c r="D6" s="36"/>
      <c r="E6" s="36"/>
      <c r="F6" s="36"/>
      <c r="G6" s="36"/>
      <c r="H6" s="36"/>
      <c r="I6" s="36"/>
      <c r="J6" s="36"/>
    </row>
    <row r="7" spans="1:10">
      <c r="A7" s="36"/>
      <c r="B7" s="36"/>
      <c r="C7" s="36"/>
      <c r="D7" s="36"/>
      <c r="E7" s="36"/>
      <c r="F7" s="36"/>
      <c r="G7" s="36"/>
      <c r="H7" s="36"/>
      <c r="I7" s="36"/>
      <c r="J7" s="36"/>
    </row>
    <row r="8" spans="1:10">
      <c r="A8" s="36"/>
      <c r="B8" s="36"/>
      <c r="C8" s="36"/>
      <c r="D8" s="36"/>
      <c r="E8" s="36"/>
      <c r="F8" s="36"/>
      <c r="G8" s="36"/>
      <c r="H8" s="36"/>
      <c r="I8" s="36"/>
      <c r="J8" s="36"/>
    </row>
    <row r="9" spans="1:10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0">
      <c r="A10" s="36"/>
      <c r="B10" s="36"/>
      <c r="C10" s="36"/>
      <c r="D10" s="36"/>
      <c r="E10" s="36"/>
      <c r="F10" s="36"/>
      <c r="G10" s="36"/>
      <c r="H10" s="36"/>
      <c r="I10" s="36"/>
      <c r="J10" s="36"/>
    </row>
    <row r="11" spans="1:10">
      <c r="A11" s="36"/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36"/>
      <c r="B12" s="36"/>
      <c r="C12" s="36"/>
      <c r="D12" s="36"/>
      <c r="E12" s="36"/>
      <c r="F12" s="36"/>
      <c r="G12" s="36"/>
      <c r="H12" s="36"/>
      <c r="I12" s="36"/>
      <c r="J12" s="36"/>
    </row>
    <row r="13" spans="1:10">
      <c r="A13" s="36"/>
      <c r="B13" s="36"/>
      <c r="C13" s="36"/>
      <c r="D13" s="36"/>
      <c r="E13" s="36"/>
      <c r="F13" s="36"/>
      <c r="G13" s="36"/>
      <c r="H13" s="36"/>
      <c r="I13" s="36"/>
      <c r="J13" s="36"/>
    </row>
    <row r="14" spans="1:10">
      <c r="A14" s="36"/>
      <c r="B14" s="36"/>
      <c r="C14" s="36"/>
      <c r="D14" s="36"/>
      <c r="E14" s="36"/>
      <c r="F14" s="36"/>
      <c r="G14" s="36"/>
      <c r="H14" s="36"/>
      <c r="I14" s="36"/>
      <c r="J14" s="36"/>
    </row>
    <row r="15" spans="1:10">
      <c r="A15" s="36"/>
      <c r="B15" s="36"/>
      <c r="C15" s="36"/>
      <c r="D15" s="36"/>
      <c r="E15" s="36"/>
      <c r="F15" s="36"/>
      <c r="G15" s="36"/>
      <c r="H15" s="36"/>
      <c r="I15" s="36"/>
      <c r="J15" s="36"/>
    </row>
    <row r="16" spans="1:10">
      <c r="A16" s="36"/>
      <c r="B16" s="36"/>
      <c r="C16" s="36"/>
      <c r="D16" s="36"/>
      <c r="E16" s="36"/>
      <c r="F16" s="36"/>
      <c r="G16" s="36"/>
      <c r="H16" s="36"/>
      <c r="I16" s="36"/>
      <c r="J16" s="36"/>
    </row>
    <row r="17" spans="1:10">
      <c r="A17" s="36"/>
      <c r="B17" s="36"/>
      <c r="C17" s="36"/>
      <c r="D17" s="36"/>
      <c r="E17" s="36"/>
      <c r="F17" s="36"/>
      <c r="G17" s="36"/>
      <c r="H17" s="36"/>
      <c r="I17" s="36"/>
      <c r="J17" s="36"/>
    </row>
    <row r="18" spans="1:10">
      <c r="A18" s="36"/>
      <c r="B18" s="36"/>
      <c r="C18" s="36"/>
      <c r="D18" s="36"/>
      <c r="E18" s="36"/>
      <c r="F18" s="36"/>
      <c r="G18" s="36"/>
      <c r="H18" s="36"/>
      <c r="I18" s="36"/>
      <c r="J18" s="36"/>
    </row>
    <row r="19" spans="1:10">
      <c r="A19" s="36"/>
      <c r="B19" s="36"/>
      <c r="C19" s="36"/>
      <c r="D19" s="36"/>
      <c r="E19" s="36"/>
      <c r="F19" s="36"/>
      <c r="G19" s="36"/>
      <c r="H19" s="36"/>
      <c r="I19" s="36"/>
      <c r="J19" s="36"/>
    </row>
    <row r="20" spans="1:10">
      <c r="A20" s="36"/>
      <c r="B20" s="36"/>
      <c r="C20" s="36"/>
      <c r="D20" s="36"/>
      <c r="E20" s="36"/>
      <c r="F20" s="36"/>
      <c r="G20" s="36"/>
      <c r="H20" s="36"/>
      <c r="I20" s="36"/>
      <c r="J20" s="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2</v>
      </c>
      <c r="G1" s="7" t="s">
        <v>1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</row>
    <row r="2" spans="1:20">
      <c r="A2" s="7" t="s">
        <v>18</v>
      </c>
      <c r="B2" s="7" t="s">
        <v>39</v>
      </c>
      <c r="C2" s="7" t="s">
        <v>20</v>
      </c>
      <c r="D2" s="7" t="s">
        <v>40</v>
      </c>
      <c r="E2" s="7">
        <v>12</v>
      </c>
      <c r="F2" s="27" t="s">
        <v>12</v>
      </c>
      <c r="G2" s="7" t="s">
        <v>11</v>
      </c>
      <c r="H2" s="7" t="s">
        <v>19</v>
      </c>
      <c r="I2" s="7" t="s">
        <v>41</v>
      </c>
      <c r="J2" s="7" t="s">
        <v>14</v>
      </c>
      <c r="K2" s="7">
        <v>6</v>
      </c>
      <c r="L2" s="7">
        <v>1010301033</v>
      </c>
      <c r="M2" s="7" t="s">
        <v>15</v>
      </c>
      <c r="N2" s="7" t="s">
        <v>16</v>
      </c>
      <c r="O2" s="7" t="s">
        <v>17</v>
      </c>
      <c r="P2" s="7"/>
      <c r="Q2" s="7"/>
      <c r="R2" s="7"/>
      <c r="S2" s="7">
        <v>0</v>
      </c>
      <c r="T2" s="7"/>
    </row>
    <row r="3" spans="1:20">
      <c r="A3" s="7" t="s">
        <v>10</v>
      </c>
      <c r="B3" s="7" t="s">
        <v>42</v>
      </c>
      <c r="C3" s="7" t="s">
        <v>14</v>
      </c>
      <c r="D3" s="28" t="s">
        <v>43</v>
      </c>
      <c r="E3" s="7">
        <v>5</v>
      </c>
      <c r="F3" s="7" t="s">
        <v>12</v>
      </c>
      <c r="G3" s="7" t="s">
        <v>11</v>
      </c>
      <c r="H3" s="7" t="s">
        <v>13</v>
      </c>
      <c r="I3" s="7" t="s">
        <v>44</v>
      </c>
      <c r="J3" s="7" t="s">
        <v>14</v>
      </c>
      <c r="K3" s="7">
        <v>1</v>
      </c>
      <c r="L3" s="7">
        <v>1010301033</v>
      </c>
      <c r="M3" s="7" t="s">
        <v>15</v>
      </c>
      <c r="N3" s="7" t="s">
        <v>16</v>
      </c>
      <c r="O3" s="7" t="s">
        <v>17</v>
      </c>
      <c r="P3" s="7"/>
      <c r="Q3" s="7"/>
      <c r="R3" s="7"/>
      <c r="S3" s="7">
        <v>0</v>
      </c>
      <c r="T3" s="7"/>
    </row>
    <row r="4" spans="1:20">
      <c r="A4" s="7" t="s">
        <v>21</v>
      </c>
      <c r="B4" s="7" t="s">
        <v>45</v>
      </c>
      <c r="C4" s="7" t="s">
        <v>14</v>
      </c>
      <c r="D4" s="7">
        <v>123562</v>
      </c>
      <c r="E4" s="7">
        <v>18</v>
      </c>
      <c r="F4" s="7" t="s">
        <v>22</v>
      </c>
      <c r="G4" s="7" t="s">
        <v>22</v>
      </c>
      <c r="H4" s="7" t="s">
        <v>23</v>
      </c>
      <c r="I4" s="7" t="s">
        <v>44</v>
      </c>
      <c r="J4" s="7" t="s">
        <v>14</v>
      </c>
      <c r="K4" s="7">
        <v>1</v>
      </c>
      <c r="L4" s="7">
        <v>1011134888</v>
      </c>
      <c r="M4" s="7" t="s">
        <v>46</v>
      </c>
      <c r="N4" s="7" t="s">
        <v>16</v>
      </c>
      <c r="O4" s="7" t="s">
        <v>17</v>
      </c>
      <c r="P4" s="7"/>
      <c r="Q4" s="7"/>
      <c r="R4" s="7"/>
      <c r="S4" s="7">
        <v>0</v>
      </c>
      <c r="T4" s="7"/>
    </row>
    <row r="5" spans="1:20">
      <c r="A5" s="3" t="s">
        <v>47</v>
      </c>
      <c r="B5" s="3" t="s">
        <v>47</v>
      </c>
      <c r="C5" s="7" t="s">
        <v>14</v>
      </c>
      <c r="D5" s="3" t="s">
        <v>40</v>
      </c>
      <c r="E5" s="3">
        <v>12</v>
      </c>
      <c r="F5" s="3" t="s">
        <v>48</v>
      </c>
      <c r="G5" s="3" t="s">
        <v>49</v>
      </c>
      <c r="H5" s="3" t="s">
        <v>50</v>
      </c>
      <c r="I5" s="3" t="s">
        <v>44</v>
      </c>
      <c r="J5" s="3" t="s">
        <v>14</v>
      </c>
      <c r="K5" s="3">
        <v>1</v>
      </c>
      <c r="L5" s="3">
        <v>1010301001</v>
      </c>
      <c r="M5" s="3" t="s">
        <v>51</v>
      </c>
      <c r="N5" s="3" t="s">
        <v>52</v>
      </c>
      <c r="O5" s="3" t="s">
        <v>53</v>
      </c>
      <c r="P5" s="3"/>
      <c r="Q5" s="3"/>
      <c r="R5" s="3"/>
      <c r="S5" s="7">
        <v>0</v>
      </c>
      <c r="T5" s="3"/>
    </row>
    <row r="6" spans="1:20">
      <c r="A6" s="3" t="s">
        <v>54</v>
      </c>
      <c r="B6" s="3" t="s">
        <v>54</v>
      </c>
      <c r="C6" s="3" t="s">
        <v>14</v>
      </c>
      <c r="D6" s="24" t="s">
        <v>43</v>
      </c>
      <c r="E6">
        <v>5</v>
      </c>
      <c r="F6" s="29" t="s">
        <v>12</v>
      </c>
      <c r="G6" s="29" t="s">
        <v>11</v>
      </c>
      <c r="H6" s="3" t="s">
        <v>19</v>
      </c>
      <c r="I6" s="3" t="s">
        <v>44</v>
      </c>
      <c r="J6" s="3" t="s">
        <v>14</v>
      </c>
      <c r="K6" s="3">
        <v>1</v>
      </c>
      <c r="L6" s="3">
        <v>1010301033</v>
      </c>
      <c r="M6" s="3" t="s">
        <v>15</v>
      </c>
      <c r="N6" s="3" t="s">
        <v>16</v>
      </c>
      <c r="O6" s="3" t="s">
        <v>17</v>
      </c>
      <c r="P6" s="3"/>
      <c r="Q6" s="3"/>
      <c r="R6" s="3"/>
      <c r="S6" s="7">
        <v>0</v>
      </c>
      <c r="T6" s="3"/>
    </row>
    <row r="7" spans="1:20">
      <c r="A7" s="30" t="s">
        <v>55</v>
      </c>
      <c r="B7" s="30" t="s">
        <v>56</v>
      </c>
      <c r="C7" s="30" t="s">
        <v>20</v>
      </c>
      <c r="D7" s="30" t="s">
        <v>40</v>
      </c>
      <c r="E7" s="30">
        <v>12</v>
      </c>
      <c r="F7" s="31" t="s">
        <v>12</v>
      </c>
      <c r="G7" s="30" t="s">
        <v>11</v>
      </c>
      <c r="H7" s="30" t="s">
        <v>57</v>
      </c>
      <c r="I7" s="30" t="s">
        <v>41</v>
      </c>
      <c r="J7" s="30" t="s">
        <v>14</v>
      </c>
      <c r="K7" s="30">
        <v>3</v>
      </c>
      <c r="L7" s="30">
        <v>1010301003</v>
      </c>
      <c r="M7" s="30" t="s">
        <v>58</v>
      </c>
      <c r="N7" s="30" t="s">
        <v>16</v>
      </c>
      <c r="O7" s="30" t="s">
        <v>17</v>
      </c>
      <c r="P7" s="30"/>
      <c r="Q7" s="30"/>
      <c r="R7" s="30"/>
      <c r="S7" s="30">
        <v>0</v>
      </c>
      <c r="T7" s="30"/>
    </row>
    <row r="8" spans="1:20">
      <c r="A8" s="30" t="s">
        <v>59</v>
      </c>
      <c r="B8" s="30" t="s">
        <v>60</v>
      </c>
      <c r="C8" s="30" t="s">
        <v>14</v>
      </c>
      <c r="D8" s="30" t="s">
        <v>43</v>
      </c>
      <c r="E8" s="30">
        <v>5</v>
      </c>
      <c r="F8" s="31" t="s">
        <v>12</v>
      </c>
      <c r="G8" s="30" t="s">
        <v>11</v>
      </c>
      <c r="H8" s="30" t="s">
        <v>57</v>
      </c>
      <c r="I8" s="30" t="s">
        <v>41</v>
      </c>
      <c r="J8" s="30" t="s">
        <v>14</v>
      </c>
      <c r="K8" s="30">
        <v>0</v>
      </c>
      <c r="L8" s="30">
        <v>1010301003</v>
      </c>
      <c r="M8" s="30" t="s">
        <v>58</v>
      </c>
      <c r="N8" s="30" t="s">
        <v>16</v>
      </c>
      <c r="O8" s="30" t="s">
        <v>17</v>
      </c>
      <c r="P8" s="30"/>
      <c r="Q8" s="30"/>
      <c r="R8" s="30"/>
      <c r="S8" s="30">
        <v>0</v>
      </c>
      <c r="T8" s="30"/>
    </row>
    <row r="9" spans="1:20">
      <c r="A9" s="30" t="s">
        <v>61</v>
      </c>
      <c r="B9" s="30" t="s">
        <v>61</v>
      </c>
      <c r="C9" s="30" t="s">
        <v>14</v>
      </c>
      <c r="D9" s="30" t="s">
        <v>43</v>
      </c>
      <c r="E9" s="30">
        <v>5</v>
      </c>
      <c r="F9" s="31" t="s">
        <v>12</v>
      </c>
      <c r="G9" s="30" t="s">
        <v>11</v>
      </c>
      <c r="H9" s="30" t="s">
        <v>57</v>
      </c>
      <c r="I9" s="30" t="s">
        <v>41</v>
      </c>
      <c r="J9" s="30" t="s">
        <v>14</v>
      </c>
      <c r="K9" s="30">
        <v>0</v>
      </c>
      <c r="L9" s="30">
        <v>1010301003</v>
      </c>
      <c r="M9" s="30" t="s">
        <v>58</v>
      </c>
      <c r="N9" s="30" t="s">
        <v>16</v>
      </c>
      <c r="O9" s="30" t="s">
        <v>17</v>
      </c>
      <c r="P9" s="30"/>
      <c r="Q9" s="30"/>
      <c r="R9" s="30"/>
      <c r="S9" s="30">
        <v>0</v>
      </c>
      <c r="T9" s="30"/>
    </row>
    <row r="10" spans="1:20">
      <c r="A10" s="3" t="s">
        <v>62</v>
      </c>
      <c r="B10" s="3" t="s">
        <v>62</v>
      </c>
      <c r="C10" s="3" t="s">
        <v>14</v>
      </c>
      <c r="D10" s="30" t="s">
        <v>43</v>
      </c>
      <c r="E10" s="30">
        <v>5</v>
      </c>
      <c r="F10" s="7" t="s">
        <v>22</v>
      </c>
      <c r="G10" s="7" t="s">
        <v>22</v>
      </c>
      <c r="H10" s="7" t="s">
        <v>63</v>
      </c>
      <c r="I10" s="7" t="s">
        <v>44</v>
      </c>
      <c r="J10" s="7" t="s">
        <v>14</v>
      </c>
      <c r="K10" s="7">
        <v>1</v>
      </c>
      <c r="L10" s="25">
        <v>1000000001</v>
      </c>
      <c r="M10" s="3" t="s">
        <v>64</v>
      </c>
      <c r="N10" s="3" t="s">
        <v>16</v>
      </c>
      <c r="O10" s="3" t="s">
        <v>17</v>
      </c>
      <c r="P10" s="30"/>
      <c r="Q10" s="30"/>
      <c r="R10" s="30"/>
      <c r="S10" s="30">
        <v>0</v>
      </c>
      <c r="T10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3" t="s">
        <v>25</v>
      </c>
      <c r="B1" s="3" t="s">
        <v>26</v>
      </c>
      <c r="C1" s="3" t="s">
        <v>27</v>
      </c>
      <c r="D1" s="7" t="s">
        <v>6</v>
      </c>
      <c r="E1" s="7" t="s">
        <v>7</v>
      </c>
      <c r="F1" s="7" t="s">
        <v>8</v>
      </c>
      <c r="G1" s="7" t="s">
        <v>9</v>
      </c>
      <c r="H1" s="3" t="s">
        <v>30</v>
      </c>
      <c r="I1" s="3" t="s">
        <v>28</v>
      </c>
      <c r="J1" s="3" t="s">
        <v>31</v>
      </c>
      <c r="K1" s="3" t="s">
        <v>65</v>
      </c>
      <c r="L1" s="3" t="s">
        <v>33</v>
      </c>
      <c r="M1" s="26"/>
      <c r="N1" s="26"/>
      <c r="O1" s="26"/>
      <c r="P1" s="26"/>
      <c r="Q1" s="26"/>
      <c r="R1" s="26"/>
    </row>
    <row r="2" spans="1:18">
      <c r="A2" s="3" t="s">
        <v>54</v>
      </c>
      <c r="B2" s="3" t="s">
        <v>54</v>
      </c>
      <c r="C2" s="3" t="s">
        <v>14</v>
      </c>
      <c r="D2" s="3">
        <v>1010301033</v>
      </c>
      <c r="E2" s="3" t="s">
        <v>15</v>
      </c>
      <c r="F2" s="3" t="s">
        <v>16</v>
      </c>
      <c r="G2" s="3" t="s">
        <v>17</v>
      </c>
      <c r="H2" s="3" t="s">
        <v>19</v>
      </c>
      <c r="I2" s="24" t="s">
        <v>43</v>
      </c>
      <c r="J2" s="3" t="s">
        <v>44</v>
      </c>
      <c r="K2" s="3" t="s">
        <v>14</v>
      </c>
      <c r="L2" s="3">
        <v>1</v>
      </c>
      <c r="M2" s="26"/>
      <c r="N2" s="26"/>
      <c r="O2" s="26"/>
      <c r="P2" s="26"/>
      <c r="Q2" s="26"/>
      <c r="R2" s="26"/>
    </row>
    <row r="3" spans="1:18">
      <c r="A3" s="3" t="s">
        <v>62</v>
      </c>
      <c r="B3" s="3" t="s">
        <v>62</v>
      </c>
      <c r="C3" s="3" t="s">
        <v>14</v>
      </c>
      <c r="D3" s="25">
        <v>1000000001</v>
      </c>
      <c r="E3" s="3" t="s">
        <v>64</v>
      </c>
      <c r="F3" s="3" t="s">
        <v>16</v>
      </c>
      <c r="G3" s="3" t="s">
        <v>17</v>
      </c>
      <c r="H3" s="3" t="s">
        <v>23</v>
      </c>
      <c r="I3" s="24" t="s">
        <v>43</v>
      </c>
      <c r="J3" s="3" t="s">
        <v>44</v>
      </c>
      <c r="K3" s="3" t="s">
        <v>14</v>
      </c>
      <c r="L3" s="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3" t="s">
        <v>59</v>
      </c>
      <c r="B2" s="3">
        <v>2</v>
      </c>
      <c r="C2" s="3">
        <v>70</v>
      </c>
      <c r="D2" s="3" t="s">
        <v>71</v>
      </c>
      <c r="E2" s="3"/>
      <c r="F2" s="8" t="s">
        <v>72</v>
      </c>
    </row>
    <row r="3" spans="1:6">
      <c r="A3" s="3" t="s">
        <v>61</v>
      </c>
      <c r="B3" s="3">
        <v>40</v>
      </c>
      <c r="C3" s="3">
        <v>26</v>
      </c>
      <c r="D3" s="3" t="s">
        <v>73</v>
      </c>
      <c r="E3" s="8" t="s">
        <v>74</v>
      </c>
      <c r="F3" s="8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59</v>
      </c>
      <c r="B2" s="3">
        <v>2</v>
      </c>
      <c r="C2" s="3">
        <v>45</v>
      </c>
      <c r="D2" s="3" t="s">
        <v>71</v>
      </c>
      <c r="E2" s="3"/>
      <c r="F2" s="8" t="s">
        <v>75</v>
      </c>
    </row>
    <row r="3" spans="1:6">
      <c r="A3" s="7" t="s">
        <v>76</v>
      </c>
      <c r="B3" s="3">
        <v>40</v>
      </c>
      <c r="C3" s="3">
        <v>26</v>
      </c>
      <c r="D3" s="3" t="s">
        <v>77</v>
      </c>
      <c r="E3" s="8" t="s">
        <v>74</v>
      </c>
      <c r="F3" s="8">
        <v>2</v>
      </c>
    </row>
    <row r="4" spans="1:6">
      <c r="A4" s="7" t="s">
        <v>61</v>
      </c>
      <c r="B4" s="3">
        <v>50</v>
      </c>
      <c r="C4" s="3">
        <v>70</v>
      </c>
      <c r="D4" s="3" t="s">
        <v>73</v>
      </c>
      <c r="E4" s="3" t="s">
        <v>75</v>
      </c>
      <c r="F4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232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232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34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67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C14" sqref="C14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3" t="s">
        <v>91</v>
      </c>
      <c r="B1" s="3" t="s">
        <v>92</v>
      </c>
      <c r="C1" s="3" t="s">
        <v>93</v>
      </c>
      <c r="D1" s="3" t="s">
        <v>94</v>
      </c>
      <c r="E1" s="3" t="s">
        <v>28</v>
      </c>
      <c r="F1" s="3" t="s">
        <v>95</v>
      </c>
      <c r="G1" s="3" t="s">
        <v>96</v>
      </c>
      <c r="H1" s="3" t="s">
        <v>34</v>
      </c>
      <c r="I1" s="3" t="s">
        <v>97</v>
      </c>
      <c r="J1" s="3" t="s">
        <v>32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</v>
      </c>
      <c r="R1" s="3" t="s">
        <v>104</v>
      </c>
      <c r="S1" s="16" t="s">
        <v>105</v>
      </c>
    </row>
    <row r="2" spans="1:19">
      <c r="A2" s="21" t="s">
        <v>106</v>
      </c>
      <c r="B2" s="3">
        <v>0</v>
      </c>
      <c r="C2" s="21" t="s">
        <v>106</v>
      </c>
      <c r="D2" s="3" t="s">
        <v>14</v>
      </c>
      <c r="E2" s="3">
        <v>88363222</v>
      </c>
      <c r="F2" s="3">
        <v>18</v>
      </c>
      <c r="G2" s="3" t="s">
        <v>41</v>
      </c>
      <c r="H2" s="3"/>
      <c r="I2" s="3"/>
      <c r="J2" s="3" t="s">
        <v>14</v>
      </c>
      <c r="K2" s="3">
        <v>1</v>
      </c>
      <c r="L2" s="3" t="s">
        <v>107</v>
      </c>
      <c r="M2" s="3"/>
      <c r="N2" s="3"/>
      <c r="O2" s="8" t="s">
        <v>13</v>
      </c>
      <c r="P2" s="8" t="s">
        <v>15</v>
      </c>
      <c r="Q2" s="8" t="s">
        <v>15</v>
      </c>
      <c r="R2" s="3" t="s">
        <v>108</v>
      </c>
      <c r="S2" s="20" t="s">
        <v>109</v>
      </c>
    </row>
    <row r="3" spans="1:19">
      <c r="A3" s="21" t="s">
        <v>110</v>
      </c>
      <c r="B3" s="3">
        <v>0</v>
      </c>
      <c r="C3" s="21" t="s">
        <v>110</v>
      </c>
      <c r="D3" s="3" t="s">
        <v>14</v>
      </c>
      <c r="E3" s="21">
        <v>88363222</v>
      </c>
      <c r="F3" s="3">
        <v>18</v>
      </c>
      <c r="G3" s="3" t="s">
        <v>41</v>
      </c>
      <c r="H3" s="3"/>
      <c r="I3" s="3"/>
      <c r="J3" s="3" t="s">
        <v>20</v>
      </c>
      <c r="K3" s="3">
        <v>4</v>
      </c>
      <c r="L3" s="3" t="s">
        <v>107</v>
      </c>
      <c r="M3" s="3"/>
      <c r="N3" s="3"/>
      <c r="O3" s="8" t="s">
        <v>13</v>
      </c>
      <c r="P3" s="8" t="s">
        <v>15</v>
      </c>
      <c r="Q3" s="8" t="s">
        <v>15</v>
      </c>
      <c r="R3" s="3" t="s">
        <v>108</v>
      </c>
      <c r="S3" s="20" t="s">
        <v>109</v>
      </c>
    </row>
    <row r="4" spans="1:19">
      <c r="A4" s="3" t="s">
        <v>111</v>
      </c>
      <c r="B4" s="3">
        <v>0</v>
      </c>
      <c r="C4" s="3" t="s">
        <v>111</v>
      </c>
      <c r="D4" s="16" t="s">
        <v>14</v>
      </c>
      <c r="E4" s="3">
        <v>88363222</v>
      </c>
      <c r="F4" s="3">
        <v>18</v>
      </c>
      <c r="G4" s="16" t="s">
        <v>112</v>
      </c>
      <c r="H4" s="3"/>
      <c r="I4" s="3"/>
      <c r="J4" s="3" t="s">
        <v>14</v>
      </c>
      <c r="K4" s="3">
        <v>1</v>
      </c>
      <c r="L4" s="3" t="s">
        <v>107</v>
      </c>
      <c r="M4" s="3" t="s">
        <v>111</v>
      </c>
      <c r="N4" s="3" t="s">
        <v>111</v>
      </c>
      <c r="O4" s="8" t="s">
        <v>13</v>
      </c>
      <c r="P4" s="8" t="s">
        <v>15</v>
      </c>
      <c r="Q4" s="8" t="s">
        <v>15</v>
      </c>
      <c r="R4" s="3" t="s">
        <v>108</v>
      </c>
      <c r="S4" s="20" t="s">
        <v>109</v>
      </c>
    </row>
    <row r="5" spans="1:19">
      <c r="A5" s="3" t="s">
        <v>113</v>
      </c>
      <c r="B5" s="16">
        <v>0</v>
      </c>
      <c r="C5" s="3" t="s">
        <v>113</v>
      </c>
      <c r="D5" s="16" t="s">
        <v>14</v>
      </c>
      <c r="E5" s="3">
        <v>88363222</v>
      </c>
      <c r="F5" s="3">
        <v>18</v>
      </c>
      <c r="G5" s="16" t="s">
        <v>112</v>
      </c>
      <c r="H5" s="3"/>
      <c r="I5" s="3"/>
      <c r="J5" s="16" t="s">
        <v>20</v>
      </c>
      <c r="K5" s="16">
        <v>4</v>
      </c>
      <c r="L5" s="3" t="s">
        <v>107</v>
      </c>
      <c r="M5" s="3" t="s">
        <v>113</v>
      </c>
      <c r="N5" s="3" t="s">
        <v>113</v>
      </c>
      <c r="O5" s="8" t="s">
        <v>13</v>
      </c>
      <c r="P5" s="8" t="s">
        <v>15</v>
      </c>
      <c r="Q5" s="8" t="s">
        <v>15</v>
      </c>
      <c r="R5" s="3" t="s">
        <v>108</v>
      </c>
      <c r="S5" s="20" t="s">
        <v>109</v>
      </c>
    </row>
    <row r="6" spans="1:19">
      <c r="A6" s="16" t="s">
        <v>114</v>
      </c>
      <c r="B6" s="16">
        <v>0</v>
      </c>
      <c r="C6" s="3" t="s">
        <v>114</v>
      </c>
      <c r="D6" s="16" t="s">
        <v>14</v>
      </c>
      <c r="E6" s="16">
        <v>88363222</v>
      </c>
      <c r="F6" s="3">
        <v>18</v>
      </c>
      <c r="G6" s="16" t="s">
        <v>115</v>
      </c>
      <c r="H6" s="16" t="s">
        <v>116</v>
      </c>
      <c r="I6" s="3"/>
      <c r="J6" s="16" t="s">
        <v>14</v>
      </c>
      <c r="K6" s="16">
        <v>1</v>
      </c>
      <c r="L6" s="3" t="s">
        <v>107</v>
      </c>
      <c r="M6" s="16" t="s">
        <v>114</v>
      </c>
      <c r="N6" s="16" t="s">
        <v>114</v>
      </c>
      <c r="O6" s="8" t="s">
        <v>13</v>
      </c>
      <c r="P6" s="8" t="s">
        <v>15</v>
      </c>
      <c r="Q6" s="8" t="s">
        <v>15</v>
      </c>
      <c r="R6" s="3" t="s">
        <v>108</v>
      </c>
      <c r="S6" s="20" t="s">
        <v>109</v>
      </c>
    </row>
    <row r="7" spans="1:19">
      <c r="A7" s="16" t="s">
        <v>117</v>
      </c>
      <c r="B7" s="16">
        <v>0</v>
      </c>
      <c r="C7" s="3" t="s">
        <v>117</v>
      </c>
      <c r="D7" s="16" t="s">
        <v>14</v>
      </c>
      <c r="E7" s="16">
        <v>88363222</v>
      </c>
      <c r="F7" s="3">
        <v>18</v>
      </c>
      <c r="G7" s="16" t="s">
        <v>115</v>
      </c>
      <c r="H7" s="16" t="s">
        <v>118</v>
      </c>
      <c r="I7" s="3"/>
      <c r="J7" s="16" t="s">
        <v>20</v>
      </c>
      <c r="K7" s="16">
        <v>4</v>
      </c>
      <c r="L7" s="3" t="s">
        <v>107</v>
      </c>
      <c r="M7" s="16" t="s">
        <v>117</v>
      </c>
      <c r="N7" s="16" t="s">
        <v>117</v>
      </c>
      <c r="O7" s="8" t="s">
        <v>13</v>
      </c>
      <c r="P7" s="8" t="s">
        <v>15</v>
      </c>
      <c r="Q7" s="8" t="s">
        <v>15</v>
      </c>
      <c r="R7" s="3" t="s">
        <v>108</v>
      </c>
      <c r="S7" s="20" t="s">
        <v>109</v>
      </c>
    </row>
    <row r="8" spans="1:19">
      <c r="A8" s="3" t="s">
        <v>119</v>
      </c>
      <c r="B8" s="16">
        <v>0</v>
      </c>
      <c r="C8" s="3" t="s">
        <v>119</v>
      </c>
      <c r="D8" s="16" t="s">
        <v>14</v>
      </c>
      <c r="E8" s="3">
        <v>88363222</v>
      </c>
      <c r="F8" s="3">
        <v>18</v>
      </c>
      <c r="G8" s="16" t="s">
        <v>120</v>
      </c>
      <c r="H8" s="3"/>
      <c r="I8" s="3">
        <v>95</v>
      </c>
      <c r="J8" s="16" t="s">
        <v>14</v>
      </c>
      <c r="K8" s="16">
        <v>1</v>
      </c>
      <c r="L8" s="3" t="s">
        <v>107</v>
      </c>
      <c r="M8" s="3" t="s">
        <v>119</v>
      </c>
      <c r="N8" s="3" t="s">
        <v>119</v>
      </c>
      <c r="O8" s="8" t="s">
        <v>13</v>
      </c>
      <c r="P8" s="8" t="s">
        <v>15</v>
      </c>
      <c r="Q8" s="8" t="s">
        <v>15</v>
      </c>
      <c r="R8" s="3" t="s">
        <v>108</v>
      </c>
      <c r="S8" s="20" t="s">
        <v>109</v>
      </c>
    </row>
    <row r="9" spans="1:19">
      <c r="A9" s="16" t="s">
        <v>121</v>
      </c>
      <c r="B9" s="16">
        <v>0</v>
      </c>
      <c r="C9" s="3" t="s">
        <v>121</v>
      </c>
      <c r="D9" s="16" t="s">
        <v>14</v>
      </c>
      <c r="E9" s="16">
        <v>88363222</v>
      </c>
      <c r="F9" s="3">
        <v>18</v>
      </c>
      <c r="G9" s="16" t="s">
        <v>120</v>
      </c>
      <c r="H9" s="3"/>
      <c r="I9" s="3">
        <v>97</v>
      </c>
      <c r="J9" s="16" t="s">
        <v>20</v>
      </c>
      <c r="K9" s="16">
        <v>4</v>
      </c>
      <c r="L9" s="3" t="s">
        <v>107</v>
      </c>
      <c r="M9" s="16" t="s">
        <v>121</v>
      </c>
      <c r="N9" s="16" t="s">
        <v>121</v>
      </c>
      <c r="O9" s="8" t="s">
        <v>13</v>
      </c>
      <c r="P9" s="8" t="s">
        <v>15</v>
      </c>
      <c r="Q9" s="8" t="s">
        <v>15</v>
      </c>
      <c r="R9" s="3" t="s">
        <v>108</v>
      </c>
      <c r="S9" s="20" t="s">
        <v>109</v>
      </c>
    </row>
    <row r="10" spans="1:19">
      <c r="A10" s="3" t="s">
        <v>122</v>
      </c>
      <c r="B10" s="3">
        <v>0</v>
      </c>
      <c r="C10" s="3" t="s">
        <v>122</v>
      </c>
      <c r="D10" s="3" t="s">
        <v>14</v>
      </c>
      <c r="E10" s="3">
        <v>88363222</v>
      </c>
      <c r="F10" s="3">
        <v>18</v>
      </c>
      <c r="G10" s="3" t="s">
        <v>123</v>
      </c>
      <c r="H10" s="3"/>
      <c r="I10" s="3"/>
      <c r="J10" s="3" t="s">
        <v>14</v>
      </c>
      <c r="K10" s="3">
        <v>1</v>
      </c>
      <c r="L10" s="3" t="s">
        <v>107</v>
      </c>
      <c r="M10" s="3" t="s">
        <v>122</v>
      </c>
      <c r="N10" s="3" t="s">
        <v>122</v>
      </c>
      <c r="O10" s="3" t="s">
        <v>13</v>
      </c>
      <c r="P10" s="3" t="s">
        <v>15</v>
      </c>
      <c r="Q10" s="3" t="s">
        <v>15</v>
      </c>
      <c r="R10" s="3" t="s">
        <v>108</v>
      </c>
      <c r="S10" s="3" t="s">
        <v>109</v>
      </c>
    </row>
    <row r="11" spans="1:19">
      <c r="A11" s="3" t="s">
        <v>124</v>
      </c>
      <c r="B11" s="3">
        <v>0</v>
      </c>
      <c r="C11" s="3" t="s">
        <v>124</v>
      </c>
      <c r="D11" s="3" t="s">
        <v>14</v>
      </c>
      <c r="E11" s="3">
        <v>88363222</v>
      </c>
      <c r="F11" s="3">
        <v>18</v>
      </c>
      <c r="G11" s="3" t="s">
        <v>123</v>
      </c>
      <c r="H11" s="3"/>
      <c r="I11" s="3"/>
      <c r="J11" s="3" t="s">
        <v>20</v>
      </c>
      <c r="K11" s="3">
        <v>4</v>
      </c>
      <c r="L11" s="3" t="s">
        <v>107</v>
      </c>
      <c r="M11" s="3" t="s">
        <v>124</v>
      </c>
      <c r="N11" s="3" t="s">
        <v>124</v>
      </c>
      <c r="O11" s="3" t="s">
        <v>13</v>
      </c>
      <c r="P11" s="3" t="s">
        <v>15</v>
      </c>
      <c r="Q11" s="3" t="s">
        <v>15</v>
      </c>
      <c r="R11" s="3" t="s">
        <v>108</v>
      </c>
      <c r="S11" s="3" t="s">
        <v>109</v>
      </c>
    </row>
    <row r="12" spans="1:19">
      <c r="A12" s="3" t="s">
        <v>125</v>
      </c>
      <c r="B12" s="16">
        <v>0</v>
      </c>
      <c r="C12" s="3" t="s">
        <v>125</v>
      </c>
      <c r="D12" s="3" t="s">
        <v>14</v>
      </c>
      <c r="E12" s="21">
        <v>88363222</v>
      </c>
      <c r="F12" s="3">
        <v>18</v>
      </c>
      <c r="G12" s="3" t="s">
        <v>41</v>
      </c>
      <c r="H12" s="3"/>
      <c r="I12" s="3"/>
      <c r="J12" s="3" t="s">
        <v>14</v>
      </c>
      <c r="K12" s="16">
        <v>1</v>
      </c>
      <c r="L12" s="3" t="s">
        <v>107</v>
      </c>
      <c r="M12" s="3"/>
      <c r="N12" s="3"/>
      <c r="O12" s="3" t="s">
        <v>57</v>
      </c>
      <c r="P12" s="3" t="s">
        <v>126</v>
      </c>
      <c r="Q12" s="3" t="s">
        <v>126</v>
      </c>
      <c r="R12" s="3" t="s">
        <v>108</v>
      </c>
      <c r="S12" s="3" t="s">
        <v>109</v>
      </c>
    </row>
    <row r="13" spans="1:19">
      <c r="A13" s="3" t="s">
        <v>127</v>
      </c>
      <c r="B13" s="16">
        <v>0</v>
      </c>
      <c r="C13" s="3" t="s">
        <v>127</v>
      </c>
      <c r="D13" s="16" t="s">
        <v>14</v>
      </c>
      <c r="E13" s="21">
        <v>88363222</v>
      </c>
      <c r="F13" s="3">
        <v>18</v>
      </c>
      <c r="G13" s="3" t="s">
        <v>41</v>
      </c>
      <c r="H13" s="3"/>
      <c r="I13" s="3"/>
      <c r="J13" s="3" t="s">
        <v>14</v>
      </c>
      <c r="K13" s="3">
        <v>1</v>
      </c>
      <c r="L13" s="3" t="s">
        <v>107</v>
      </c>
      <c r="M13" s="3"/>
      <c r="N13" s="3"/>
      <c r="O13" s="3"/>
      <c r="P13" s="3" t="s">
        <v>22</v>
      </c>
      <c r="Q13" s="3" t="s">
        <v>22</v>
      </c>
      <c r="R13" s="3" t="s">
        <v>108</v>
      </c>
      <c r="S13" s="3" t="s">
        <v>109</v>
      </c>
    </row>
    <row r="14" spans="1:19">
      <c r="A14" s="3" t="s">
        <v>128</v>
      </c>
      <c r="B14" s="16">
        <v>0</v>
      </c>
      <c r="C14" s="3" t="s">
        <v>129</v>
      </c>
      <c r="D14" s="16" t="s">
        <v>14</v>
      </c>
      <c r="E14" s="21">
        <v>88363222</v>
      </c>
      <c r="F14" s="3">
        <v>18</v>
      </c>
      <c r="G14" s="3" t="s">
        <v>41</v>
      </c>
      <c r="H14" s="3"/>
      <c r="I14" s="3"/>
      <c r="J14" s="16" t="s">
        <v>14</v>
      </c>
      <c r="K14" s="16">
        <v>1</v>
      </c>
      <c r="L14" s="16" t="s">
        <v>107</v>
      </c>
      <c r="M14" s="3"/>
      <c r="N14" s="3"/>
      <c r="O14" s="3" t="s">
        <v>57</v>
      </c>
      <c r="P14" s="3" t="s">
        <v>15</v>
      </c>
      <c r="Q14" s="3" t="s">
        <v>15</v>
      </c>
      <c r="R14" s="3" t="s">
        <v>108</v>
      </c>
      <c r="S14" s="3" t="s">
        <v>130</v>
      </c>
    </row>
    <row r="15" spans="1:19">
      <c r="A15" s="3" t="s">
        <v>131</v>
      </c>
      <c r="B15" s="16">
        <v>0</v>
      </c>
      <c r="C15" s="3" t="s">
        <v>131</v>
      </c>
      <c r="D15" s="8" t="s">
        <v>14</v>
      </c>
      <c r="E15" s="23" t="s">
        <v>132</v>
      </c>
      <c r="F15" s="16">
        <v>12</v>
      </c>
      <c r="G15" s="3" t="s">
        <v>41</v>
      </c>
      <c r="H15" s="3"/>
      <c r="I15" s="3"/>
      <c r="J15" s="16" t="s">
        <v>14</v>
      </c>
      <c r="K15" s="16">
        <v>1</v>
      </c>
      <c r="L15" s="16" t="s">
        <v>107</v>
      </c>
      <c r="M15" s="3"/>
      <c r="N15" s="3"/>
      <c r="O15" s="8" t="s">
        <v>13</v>
      </c>
      <c r="P15" s="3" t="s">
        <v>15</v>
      </c>
      <c r="Q15" s="3" t="s">
        <v>15</v>
      </c>
      <c r="R15" s="3" t="s">
        <v>108</v>
      </c>
      <c r="S15" s="3" t="s">
        <v>109</v>
      </c>
    </row>
    <row r="16" spans="1:19">
      <c r="A16" s="3" t="s">
        <v>133</v>
      </c>
      <c r="B16" s="16">
        <v>0</v>
      </c>
      <c r="C16" s="3" t="s">
        <v>133</v>
      </c>
      <c r="D16" s="46" t="s">
        <v>134</v>
      </c>
      <c r="E16" s="3">
        <v>88363222</v>
      </c>
      <c r="F16" s="3">
        <v>18</v>
      </c>
      <c r="G16" s="3" t="s">
        <v>41</v>
      </c>
      <c r="H16" s="3"/>
      <c r="I16" s="3"/>
      <c r="J16" s="46" t="s">
        <v>14</v>
      </c>
      <c r="K16" s="24" t="s">
        <v>303</v>
      </c>
      <c r="L16" s="46" t="s">
        <v>107</v>
      </c>
      <c r="M16" s="3"/>
      <c r="N16" s="3"/>
      <c r="O16" s="3" t="s">
        <v>13</v>
      </c>
      <c r="P16" s="3" t="s">
        <v>15</v>
      </c>
      <c r="Q16" s="3" t="s">
        <v>15</v>
      </c>
      <c r="R16" s="3" t="s">
        <v>108</v>
      </c>
      <c r="S16" s="3" t="s">
        <v>109</v>
      </c>
    </row>
    <row r="17" spans="1:19">
      <c r="A17" s="46" t="s">
        <v>135</v>
      </c>
      <c r="B17" s="3">
        <v>0</v>
      </c>
      <c r="C17" s="46" t="s">
        <v>135</v>
      </c>
      <c r="D17" s="46" t="s">
        <v>14</v>
      </c>
      <c r="E17" s="3">
        <v>88363222</v>
      </c>
      <c r="F17" s="3">
        <v>18</v>
      </c>
      <c r="G17" s="3" t="s">
        <v>41</v>
      </c>
      <c r="H17" s="3"/>
      <c r="I17" s="3"/>
      <c r="J17" s="46" t="s">
        <v>14</v>
      </c>
      <c r="K17" s="24" t="s">
        <v>304</v>
      </c>
      <c r="L17" s="46" t="s">
        <v>107</v>
      </c>
      <c r="M17" s="3"/>
      <c r="N17" s="3"/>
      <c r="O17" s="3" t="s">
        <v>13</v>
      </c>
      <c r="P17" s="3" t="s">
        <v>15</v>
      </c>
      <c r="Q17" s="3" t="s">
        <v>15</v>
      </c>
      <c r="R17" s="3" t="s">
        <v>108</v>
      </c>
      <c r="S17" s="3" t="s">
        <v>109</v>
      </c>
    </row>
  </sheetData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8" t="s">
        <v>136</v>
      </c>
      <c r="B1" s="8" t="s">
        <v>137</v>
      </c>
      <c r="C1" s="8" t="s">
        <v>138</v>
      </c>
      <c r="D1" s="8" t="s">
        <v>139</v>
      </c>
      <c r="E1" s="8" t="s">
        <v>140</v>
      </c>
      <c r="F1" s="20" t="s">
        <v>141</v>
      </c>
      <c r="G1" s="20" t="s">
        <v>142</v>
      </c>
      <c r="H1" s="20" t="s">
        <v>143</v>
      </c>
      <c r="I1" s="20" t="s">
        <v>144</v>
      </c>
      <c r="J1" s="20" t="s">
        <v>145</v>
      </c>
      <c r="K1" s="20" t="s">
        <v>146</v>
      </c>
    </row>
    <row r="2" spans="1:11">
      <c r="A2" s="8" t="s">
        <v>147</v>
      </c>
      <c r="B2" s="8" t="s">
        <v>148</v>
      </c>
      <c r="C2" s="8" t="s">
        <v>149</v>
      </c>
      <c r="D2" s="8" t="s">
        <v>150</v>
      </c>
      <c r="E2" s="8" t="s">
        <v>151</v>
      </c>
      <c r="F2" s="3" t="s">
        <v>148</v>
      </c>
      <c r="G2" s="3" t="s">
        <v>152</v>
      </c>
      <c r="H2" s="3" t="s">
        <v>153</v>
      </c>
      <c r="I2" s="3" t="s">
        <v>154</v>
      </c>
      <c r="J2" s="3" t="s">
        <v>155</v>
      </c>
      <c r="K2" s="3" t="s">
        <v>156</v>
      </c>
    </row>
    <row r="3" spans="1:11">
      <c r="A3" s="21" t="s">
        <v>157</v>
      </c>
      <c r="B3" s="3" t="s">
        <v>158</v>
      </c>
      <c r="C3" s="8" t="s">
        <v>149</v>
      </c>
      <c r="D3" s="3" t="s">
        <v>159</v>
      </c>
      <c r="E3" s="3" t="s">
        <v>159</v>
      </c>
      <c r="F3" s="3" t="s">
        <v>158</v>
      </c>
      <c r="G3" s="3" t="s">
        <v>160</v>
      </c>
      <c r="H3" s="3" t="s">
        <v>160</v>
      </c>
      <c r="I3" s="3" t="s">
        <v>161</v>
      </c>
      <c r="J3" s="3" t="s">
        <v>155</v>
      </c>
      <c r="K3" s="3" t="s">
        <v>156</v>
      </c>
    </row>
    <row r="4" spans="1:11">
      <c r="A4" s="3" t="s">
        <v>162</v>
      </c>
      <c r="B4" s="3" t="s">
        <v>163</v>
      </c>
      <c r="C4" s="8" t="s">
        <v>164</v>
      </c>
      <c r="D4" s="8" t="s">
        <v>165</v>
      </c>
      <c r="E4" s="8" t="s">
        <v>165</v>
      </c>
      <c r="F4" s="3" t="s">
        <v>163</v>
      </c>
      <c r="G4" s="3" t="s">
        <v>166</v>
      </c>
      <c r="H4" s="3" t="s">
        <v>167</v>
      </c>
      <c r="I4" s="3" t="s">
        <v>168</v>
      </c>
      <c r="J4" s="3" t="s">
        <v>155</v>
      </c>
      <c r="K4" s="3" t="s">
        <v>169</v>
      </c>
    </row>
    <row r="5" spans="1:11">
      <c r="A5" s="3" t="s">
        <v>170</v>
      </c>
      <c r="B5" s="3" t="s">
        <v>171</v>
      </c>
      <c r="C5" s="8" t="s">
        <v>164</v>
      </c>
      <c r="D5" s="3" t="s">
        <v>172</v>
      </c>
      <c r="E5" s="3" t="s">
        <v>172</v>
      </c>
      <c r="F5" s="3" t="s">
        <v>171</v>
      </c>
      <c r="G5" s="3" t="s">
        <v>173</v>
      </c>
      <c r="H5" s="3" t="s">
        <v>174</v>
      </c>
      <c r="I5" s="3" t="s">
        <v>168</v>
      </c>
      <c r="J5" s="3" t="s">
        <v>155</v>
      </c>
      <c r="K5" s="3" t="s">
        <v>169</v>
      </c>
    </row>
    <row r="6" spans="1:11">
      <c r="A6" s="16" t="s">
        <v>175</v>
      </c>
      <c r="B6" s="16" t="s">
        <v>176</v>
      </c>
      <c r="C6" s="22" t="s">
        <v>164</v>
      </c>
      <c r="D6" s="22" t="s">
        <v>165</v>
      </c>
      <c r="E6" s="22" t="s">
        <v>165</v>
      </c>
      <c r="F6" s="16" t="s">
        <v>176</v>
      </c>
      <c r="G6" s="3" t="s">
        <v>177</v>
      </c>
      <c r="H6" s="3" t="s">
        <v>167</v>
      </c>
      <c r="I6" s="3" t="s">
        <v>161</v>
      </c>
      <c r="J6" s="3" t="s">
        <v>155</v>
      </c>
      <c r="K6" s="3" t="s">
        <v>156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8" t="s">
        <v>178</v>
      </c>
      <c r="B1" s="3" t="s">
        <v>179</v>
      </c>
      <c r="C1" s="3" t="s">
        <v>180</v>
      </c>
      <c r="D1" s="3" t="s">
        <v>181</v>
      </c>
      <c r="E1" s="3" t="s">
        <v>182</v>
      </c>
    </row>
    <row r="2" spans="1:5" ht="30">
      <c r="A2" s="8" t="s">
        <v>183</v>
      </c>
      <c r="B2" s="8" t="s">
        <v>184</v>
      </c>
      <c r="C2" s="18" t="s">
        <v>147</v>
      </c>
      <c r="D2" s="19" t="s">
        <v>148</v>
      </c>
      <c r="E2" s="8" t="s">
        <v>185</v>
      </c>
    </row>
    <row r="3" spans="1:5">
      <c r="A3" s="3" t="s">
        <v>186</v>
      </c>
      <c r="B3" s="3" t="s">
        <v>187</v>
      </c>
      <c r="C3" s="3" t="s">
        <v>188</v>
      </c>
      <c r="D3" s="3" t="s">
        <v>189</v>
      </c>
      <c r="E3" s="3" t="s">
        <v>190</v>
      </c>
    </row>
    <row r="4" spans="1:5">
      <c r="A4" s="3" t="s">
        <v>191</v>
      </c>
      <c r="B4" s="3" t="s">
        <v>192</v>
      </c>
      <c r="C4" s="3" t="s">
        <v>193</v>
      </c>
      <c r="D4" s="3" t="s">
        <v>194</v>
      </c>
      <c r="E4" s="3" t="s">
        <v>195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tabSelected="1" workbookViewId="0">
      <selection activeCell="K11" sqref="K11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4" t="s">
        <v>196</v>
      </c>
      <c r="B1" s="14" t="s">
        <v>197</v>
      </c>
      <c r="C1" s="15" t="s">
        <v>198</v>
      </c>
      <c r="D1" s="15" t="s">
        <v>199</v>
      </c>
      <c r="E1" s="15" t="s">
        <v>200</v>
      </c>
      <c r="F1" s="14" t="s">
        <v>201</v>
      </c>
      <c r="G1" s="14" t="s">
        <v>202</v>
      </c>
    </row>
    <row r="2" spans="1:7">
      <c r="A2" s="16" t="s">
        <v>163</v>
      </c>
      <c r="B2" s="16" t="s">
        <v>203</v>
      </c>
      <c r="C2" s="17" t="s">
        <v>204</v>
      </c>
      <c r="D2" s="17" t="s">
        <v>186</v>
      </c>
      <c r="E2" s="17" t="s">
        <v>187</v>
      </c>
      <c r="F2" s="16" t="s">
        <v>165</v>
      </c>
      <c r="G2" s="16" t="s">
        <v>164</v>
      </c>
    </row>
    <row r="3" spans="1:7">
      <c r="A3" s="16" t="s">
        <v>158</v>
      </c>
      <c r="B3" s="16" t="s">
        <v>205</v>
      </c>
      <c r="C3" s="17" t="s">
        <v>204</v>
      </c>
      <c r="D3" s="17" t="s">
        <v>186</v>
      </c>
      <c r="E3" s="17" t="s">
        <v>187</v>
      </c>
      <c r="F3" s="16" t="s">
        <v>159</v>
      </c>
      <c r="G3" s="16" t="s">
        <v>149</v>
      </c>
    </row>
    <row r="4" spans="1:7">
      <c r="A4" s="16" t="s">
        <v>206</v>
      </c>
      <c r="B4" s="16" t="s">
        <v>203</v>
      </c>
      <c r="C4" s="17" t="s">
        <v>204</v>
      </c>
      <c r="D4" s="17" t="s">
        <v>186</v>
      </c>
      <c r="E4" s="17" t="s">
        <v>187</v>
      </c>
      <c r="F4" s="16" t="s">
        <v>165</v>
      </c>
      <c r="G4" s="16" t="s">
        <v>164</v>
      </c>
    </row>
    <row r="5" spans="1:7">
      <c r="A5" s="16" t="s">
        <v>148</v>
      </c>
      <c r="B5" s="16" t="s">
        <v>203</v>
      </c>
      <c r="C5" s="17" t="s">
        <v>204</v>
      </c>
      <c r="D5" s="17" t="s">
        <v>186</v>
      </c>
      <c r="E5" s="17" t="s">
        <v>187</v>
      </c>
      <c r="F5" s="16" t="s">
        <v>150</v>
      </c>
      <c r="G5" s="16" t="s">
        <v>149</v>
      </c>
    </row>
    <row r="6" spans="1:7">
      <c r="A6" s="16" t="s">
        <v>207</v>
      </c>
      <c r="B6" s="16" t="s">
        <v>203</v>
      </c>
      <c r="C6" s="17" t="s">
        <v>204</v>
      </c>
      <c r="D6" s="17" t="s">
        <v>186</v>
      </c>
      <c r="E6" s="17" t="s">
        <v>187</v>
      </c>
      <c r="F6" s="16" t="s">
        <v>150</v>
      </c>
      <c r="G6" s="16" t="s">
        <v>164</v>
      </c>
    </row>
    <row r="7" spans="1:7">
      <c r="A7" s="16" t="s">
        <v>208</v>
      </c>
      <c r="B7" s="16" t="s">
        <v>203</v>
      </c>
      <c r="C7" s="17" t="s">
        <v>204</v>
      </c>
      <c r="D7" s="17" t="s">
        <v>186</v>
      </c>
      <c r="E7" s="17" t="s">
        <v>187</v>
      </c>
      <c r="F7" s="16" t="s">
        <v>150</v>
      </c>
      <c r="G7" s="16" t="s">
        <v>164</v>
      </c>
    </row>
    <row r="8" spans="1:7">
      <c r="A8" s="16" t="s">
        <v>171</v>
      </c>
      <c r="B8" s="16" t="s">
        <v>203</v>
      </c>
      <c r="C8" s="17" t="s">
        <v>204</v>
      </c>
      <c r="D8" s="17" t="s">
        <v>186</v>
      </c>
      <c r="E8" s="17" t="s">
        <v>187</v>
      </c>
      <c r="F8" s="16" t="s">
        <v>172</v>
      </c>
      <c r="G8" s="16" t="s">
        <v>164</v>
      </c>
    </row>
    <row r="9" spans="1:7">
      <c r="A9" s="16" t="s">
        <v>209</v>
      </c>
      <c r="B9" s="16" t="s">
        <v>203</v>
      </c>
      <c r="C9" s="17" t="s">
        <v>210</v>
      </c>
      <c r="D9" s="17" t="s">
        <v>186</v>
      </c>
      <c r="E9" s="17" t="s">
        <v>187</v>
      </c>
      <c r="F9" s="16" t="s">
        <v>165</v>
      </c>
      <c r="G9" s="16" t="s">
        <v>164</v>
      </c>
    </row>
    <row r="10" spans="1:7">
      <c r="A10" s="16" t="s">
        <v>211</v>
      </c>
      <c r="B10" s="16" t="s">
        <v>203</v>
      </c>
      <c r="C10" s="17" t="s">
        <v>212</v>
      </c>
      <c r="D10" s="17" t="s">
        <v>186</v>
      </c>
      <c r="E10" s="17" t="s">
        <v>187</v>
      </c>
      <c r="F10" s="16" t="s">
        <v>165</v>
      </c>
      <c r="G10" s="16" t="s">
        <v>164</v>
      </c>
    </row>
    <row r="11" spans="1:7">
      <c r="A11" s="16" t="s">
        <v>213</v>
      </c>
      <c r="B11" s="16" t="s">
        <v>203</v>
      </c>
      <c r="C11" s="17" t="s">
        <v>214</v>
      </c>
      <c r="D11" s="17" t="s">
        <v>186</v>
      </c>
      <c r="E11" s="17" t="s">
        <v>187</v>
      </c>
      <c r="F11" s="16" t="s">
        <v>165</v>
      </c>
      <c r="G11" s="16" t="s">
        <v>164</v>
      </c>
    </row>
    <row r="12" spans="1:7">
      <c r="A12" s="3" t="s">
        <v>215</v>
      </c>
      <c r="B12" s="3" t="s">
        <v>203</v>
      </c>
      <c r="C12" s="3" t="s">
        <v>216</v>
      </c>
      <c r="D12" s="17" t="s">
        <v>186</v>
      </c>
      <c r="E12" s="17" t="s">
        <v>187</v>
      </c>
      <c r="F12" s="3" t="s">
        <v>165</v>
      </c>
      <c r="G12" s="3" t="s">
        <v>164</v>
      </c>
    </row>
    <row r="13" spans="1:7">
      <c r="A13" s="3" t="s">
        <v>217</v>
      </c>
      <c r="B13" s="3" t="s">
        <v>203</v>
      </c>
      <c r="C13" s="3" t="s">
        <v>204</v>
      </c>
      <c r="D13" s="17" t="s">
        <v>307</v>
      </c>
      <c r="E13" s="17" t="s">
        <v>308</v>
      </c>
      <c r="F13" s="3" t="s">
        <v>150</v>
      </c>
      <c r="G13" s="3" t="s">
        <v>164</v>
      </c>
    </row>
    <row r="14" spans="1:7">
      <c r="A14" s="3" t="s">
        <v>218</v>
      </c>
      <c r="B14" s="3" t="s">
        <v>205</v>
      </c>
      <c r="C14" s="3" t="s">
        <v>204</v>
      </c>
      <c r="D14" s="17" t="s">
        <v>307</v>
      </c>
      <c r="E14" s="17" t="s">
        <v>308</v>
      </c>
      <c r="F14" s="3" t="s">
        <v>159</v>
      </c>
      <c r="G14" s="3" t="s">
        <v>149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221</v>
      </c>
      <c r="B2" s="3" t="s">
        <v>222</v>
      </c>
      <c r="C2" s="3">
        <v>2</v>
      </c>
    </row>
    <row r="3" spans="1:3">
      <c r="A3" s="3" t="s">
        <v>223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4" t="s">
        <v>219</v>
      </c>
      <c r="B1" s="4" t="s">
        <v>220</v>
      </c>
      <c r="C1" s="4" t="s">
        <v>84</v>
      </c>
      <c r="D1" s="37" t="s">
        <v>261</v>
      </c>
      <c r="E1" s="37" t="s">
        <v>257</v>
      </c>
      <c r="F1" s="37" t="s">
        <v>258</v>
      </c>
    </row>
    <row r="2" spans="1:6">
      <c r="A2" s="3" t="s">
        <v>255</v>
      </c>
      <c r="B2" s="3" t="s">
        <v>222</v>
      </c>
      <c r="C2" s="3">
        <v>10</v>
      </c>
      <c r="D2" t="s">
        <v>260</v>
      </c>
      <c r="E2" t="s">
        <v>262</v>
      </c>
      <c r="F2">
        <f>ROUND(C2*E2,2)</f>
        <v>847.48</v>
      </c>
    </row>
    <row r="3" spans="1:6">
      <c r="A3" s="3" t="s">
        <v>114</v>
      </c>
      <c r="B3" s="3" t="s">
        <v>256</v>
      </c>
      <c r="C3" s="3">
        <v>12</v>
      </c>
      <c r="D3" t="s">
        <v>263</v>
      </c>
      <c r="E3" t="s">
        <v>259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224</v>
      </c>
      <c r="B2" s="3" t="s">
        <v>222</v>
      </c>
      <c r="C2" s="3">
        <v>2</v>
      </c>
    </row>
    <row r="3" spans="1:3">
      <c r="A3" s="3" t="s">
        <v>225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10" t="s">
        <v>226</v>
      </c>
      <c r="B1" s="10" t="s">
        <v>84</v>
      </c>
    </row>
    <row r="2" spans="1:2">
      <c r="A2" s="10" t="s">
        <v>227</v>
      </c>
      <c r="B2" s="10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9" t="s">
        <v>228</v>
      </c>
      <c r="B1" s="9" t="s">
        <v>84</v>
      </c>
      <c r="C1" s="9" t="s">
        <v>80</v>
      </c>
      <c r="D1" s="9" t="s">
        <v>85</v>
      </c>
      <c r="E1" s="9" t="s">
        <v>68</v>
      </c>
      <c r="F1" s="9" t="s">
        <v>69</v>
      </c>
      <c r="G1" s="9" t="s">
        <v>70</v>
      </c>
    </row>
    <row r="2" spans="1:7">
      <c r="A2" s="12" t="s">
        <v>229</v>
      </c>
      <c r="B2" s="9">
        <v>22</v>
      </c>
      <c r="C2" s="9">
        <v>524</v>
      </c>
      <c r="D2" s="9">
        <v>2</v>
      </c>
      <c r="E2" s="12" t="s">
        <v>73</v>
      </c>
      <c r="F2" s="12" t="s">
        <v>74</v>
      </c>
      <c r="G2" s="12" t="s">
        <v>87</v>
      </c>
    </row>
    <row r="3" spans="1:7">
      <c r="A3" s="12" t="s">
        <v>230</v>
      </c>
      <c r="B3" s="9">
        <v>34</v>
      </c>
      <c r="C3" s="9">
        <v>232</v>
      </c>
      <c r="D3" s="9">
        <v>7.9</v>
      </c>
      <c r="E3" s="12" t="s">
        <v>73</v>
      </c>
      <c r="F3" s="12" t="s">
        <v>89</v>
      </c>
      <c r="G3" s="13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9" t="s">
        <v>228</v>
      </c>
      <c r="B1" s="9" t="s">
        <v>84</v>
      </c>
      <c r="C1" s="9" t="s">
        <v>80</v>
      </c>
    </row>
    <row r="2" spans="1:3">
      <c r="A2" s="11" t="s">
        <v>231</v>
      </c>
      <c r="B2" s="9">
        <v>22</v>
      </c>
      <c r="C2" s="9">
        <v>524</v>
      </c>
    </row>
    <row r="3" spans="1:3">
      <c r="A3" s="11" t="s">
        <v>232</v>
      </c>
      <c r="B3" s="9">
        <v>40</v>
      </c>
      <c r="C3" s="9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10" t="s">
        <v>233</v>
      </c>
      <c r="B1" s="10" t="s">
        <v>84</v>
      </c>
    </row>
    <row r="2" spans="1:2">
      <c r="A2" s="10" t="s">
        <v>234</v>
      </c>
      <c r="B2" s="10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228</v>
      </c>
      <c r="B1" s="9" t="s">
        <v>84</v>
      </c>
      <c r="C1" s="9" t="s">
        <v>80</v>
      </c>
    </row>
    <row r="2" spans="1:3">
      <c r="A2" t="s">
        <v>235</v>
      </c>
      <c r="B2">
        <v>23</v>
      </c>
    </row>
    <row r="3" spans="1:3">
      <c r="A3" t="s">
        <v>236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1" sqref="C21"/>
    </sheetView>
  </sheetViews>
  <sheetFormatPr defaultColWidth="8.7109375" defaultRowHeight="15"/>
  <cols>
    <col min="1" max="1" width="23.28515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237</v>
      </c>
      <c r="B2" s="3">
        <v>10</v>
      </c>
      <c r="C2" s="3">
        <v>45</v>
      </c>
      <c r="D2" s="3" t="s">
        <v>73</v>
      </c>
      <c r="E2" s="8" t="s">
        <v>238</v>
      </c>
      <c r="F2" s="8" t="s">
        <v>75</v>
      </c>
    </row>
    <row r="3" spans="1:6">
      <c r="A3" s="7" t="s">
        <v>239</v>
      </c>
      <c r="B3" s="3">
        <v>50</v>
      </c>
      <c r="C3" s="3">
        <v>70</v>
      </c>
      <c r="D3" s="3" t="s">
        <v>77</v>
      </c>
      <c r="E3" s="3" t="s">
        <v>75</v>
      </c>
      <c r="F3" s="8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5" sqref="F5"/>
    </sheetView>
  </sheetViews>
  <sheetFormatPr defaultColWidth="8.85546875" defaultRowHeight="15"/>
  <cols>
    <col min="1" max="1" width="20.855468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10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242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7" sqref="F7"/>
    </sheetView>
  </sheetViews>
  <sheetFormatPr defaultColWidth="8.85546875" defaultRowHeight="15"/>
  <cols>
    <col min="1" max="1" width="21.71093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21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62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6" sqref="F6"/>
    </sheetView>
  </sheetViews>
  <sheetFormatPr defaultColWidth="8.85546875" defaultRowHeight="15"/>
  <cols>
    <col min="1" max="1" width="15.42578125" customWidth="1"/>
    <col min="2" max="2" width="10.5703125" customWidth="1"/>
    <col min="3" max="3" width="11.5703125" customWidth="1"/>
    <col min="4" max="4" width="11.85546875" customWidth="1"/>
    <col min="5" max="5" width="14" customWidth="1"/>
    <col min="6" max="6" width="16.85546875" customWidth="1"/>
  </cols>
  <sheetData>
    <row r="1" spans="1:6">
      <c r="A1" s="2" t="s">
        <v>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237</v>
      </c>
      <c r="B2" s="3">
        <v>10</v>
      </c>
      <c r="C2" s="3">
        <v>45</v>
      </c>
      <c r="D2" s="3" t="s">
        <v>73</v>
      </c>
      <c r="E2" s="3" t="s">
        <v>238</v>
      </c>
      <c r="F2" s="3" t="s">
        <v>75</v>
      </c>
    </row>
    <row r="3" spans="1:6">
      <c r="A3" s="3" t="s">
        <v>243</v>
      </c>
      <c r="B3" s="3">
        <v>20</v>
      </c>
      <c r="C3" s="3">
        <v>40</v>
      </c>
      <c r="D3" s="3" t="s">
        <v>73</v>
      </c>
      <c r="E3" s="3" t="s">
        <v>244</v>
      </c>
      <c r="F3" s="3" t="s">
        <v>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2" sqref="A2:A3"/>
    </sheetView>
  </sheetViews>
  <sheetFormatPr defaultColWidth="9" defaultRowHeight="15"/>
  <cols>
    <col min="1" max="1" width="17.7109375" bestFit="1" customWidth="1"/>
  </cols>
  <sheetData>
    <row r="1" spans="1:3">
      <c r="A1" t="s">
        <v>245</v>
      </c>
      <c r="B1" t="s">
        <v>79</v>
      </c>
      <c r="C1" t="s">
        <v>246</v>
      </c>
    </row>
    <row r="2" spans="1:3">
      <c r="A2" t="s">
        <v>305</v>
      </c>
      <c r="B2">
        <v>5</v>
      </c>
      <c r="C2">
        <v>150</v>
      </c>
    </row>
    <row r="3" spans="1:3">
      <c r="A3" t="s">
        <v>306</v>
      </c>
      <c r="B3">
        <v>6</v>
      </c>
      <c r="C3">
        <v>200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H16" sqref="H16"/>
    </sheetView>
  </sheetViews>
  <sheetFormatPr defaultColWidth="9" defaultRowHeight="15"/>
  <sheetData>
    <row r="1" spans="1:2">
      <c r="A1" t="s">
        <v>247</v>
      </c>
      <c r="B1" t="s">
        <v>248</v>
      </c>
    </row>
    <row r="2" spans="1:2">
      <c r="A2" t="s">
        <v>249</v>
      </c>
      <c r="B2" t="s">
        <v>205</v>
      </c>
    </row>
    <row r="3" spans="1:2">
      <c r="A3" t="s">
        <v>250</v>
      </c>
      <c r="B3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G15" sqref="G15"/>
    </sheetView>
  </sheetViews>
  <sheetFormatPr defaultColWidth="9" defaultRowHeight="15"/>
  <sheetData>
    <row r="1" spans="1:2">
      <c r="A1" t="s">
        <v>247</v>
      </c>
      <c r="B1" t="s">
        <v>248</v>
      </c>
    </row>
    <row r="2" spans="1:2">
      <c r="A2" t="s">
        <v>250</v>
      </c>
      <c r="B2" t="s">
        <v>205</v>
      </c>
    </row>
    <row r="3" spans="1:2">
      <c r="A3" t="s">
        <v>251</v>
      </c>
      <c r="B3" t="s">
        <v>203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5" sqref="E5"/>
    </sheetView>
  </sheetViews>
  <sheetFormatPr defaultColWidth="8.85546875" defaultRowHeight="15"/>
  <cols>
    <col min="1" max="1" width="15.7109375" customWidth="1"/>
    <col min="2" max="2" width="5" customWidth="1"/>
    <col min="3" max="3" width="6" customWidth="1"/>
  </cols>
  <sheetData>
    <row r="1" spans="1:3">
      <c r="A1" s="1" t="s">
        <v>252</v>
      </c>
      <c r="B1" s="1" t="s">
        <v>79</v>
      </c>
      <c r="C1" s="1" t="s">
        <v>246</v>
      </c>
    </row>
    <row r="2" spans="1:3">
      <c r="A2" s="1" t="s">
        <v>253</v>
      </c>
      <c r="B2" s="1">
        <v>10</v>
      </c>
      <c r="C2" s="1">
        <v>200</v>
      </c>
    </row>
    <row r="3" spans="1:3">
      <c r="A3" s="1" t="s">
        <v>254</v>
      </c>
      <c r="B3" s="1">
        <v>20</v>
      </c>
      <c r="C3" s="1">
        <v>200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3"/>
  <sheetViews>
    <sheetView workbookViewId="0">
      <selection activeCell="C9" sqref="C9"/>
    </sheetView>
  </sheetViews>
  <sheetFormatPr defaultRowHeight="15"/>
  <cols>
    <col min="1" max="1" width="4.85546875" bestFit="1" customWidth="1"/>
    <col min="2" max="2" width="7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4.5703125" bestFit="1" customWidth="1"/>
    <col min="7" max="7" width="10.42578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16" bestFit="1" customWidth="1"/>
    <col min="12" max="12" width="18.140625" bestFit="1" customWidth="1"/>
    <col min="13" max="13" width="16.7109375" bestFit="1" customWidth="1"/>
  </cols>
  <sheetData>
    <row r="1" spans="1:15">
      <c r="A1" s="38" t="s">
        <v>264</v>
      </c>
      <c r="B1" s="38" t="s">
        <v>275</v>
      </c>
      <c r="C1" s="38" t="s">
        <v>265</v>
      </c>
      <c r="D1" s="38" t="s">
        <v>266</v>
      </c>
      <c r="E1" s="38" t="s">
        <v>267</v>
      </c>
      <c r="F1" s="38" t="s">
        <v>79</v>
      </c>
      <c r="G1" s="38" t="s">
        <v>268</v>
      </c>
      <c r="H1" s="38" t="s">
        <v>269</v>
      </c>
      <c r="I1" s="38" t="s">
        <v>270</v>
      </c>
      <c r="J1" s="38" t="s">
        <v>274</v>
      </c>
      <c r="K1" s="38" t="s">
        <v>271</v>
      </c>
      <c r="L1" s="41" t="s">
        <v>278</v>
      </c>
      <c r="M1" s="41" t="s">
        <v>279</v>
      </c>
      <c r="N1" s="41" t="s">
        <v>280</v>
      </c>
      <c r="O1" s="41" t="s">
        <v>281</v>
      </c>
    </row>
    <row r="2" spans="1:15">
      <c r="A2" s="3">
        <v>1</v>
      </c>
      <c r="B2" s="39" t="s">
        <v>276</v>
      </c>
      <c r="C2" s="3" t="s">
        <v>272</v>
      </c>
      <c r="D2" s="3">
        <v>0</v>
      </c>
      <c r="E2" s="39" t="s">
        <v>272</v>
      </c>
      <c r="F2" s="3">
        <v>100</v>
      </c>
      <c r="G2" s="3">
        <v>1200</v>
      </c>
      <c r="H2" t="s">
        <v>282</v>
      </c>
      <c r="I2" s="3">
        <v>100</v>
      </c>
      <c r="J2" s="39"/>
      <c r="K2" s="39" t="s">
        <v>273</v>
      </c>
      <c r="L2" t="s">
        <v>283</v>
      </c>
      <c r="M2">
        <f>SUM(L2+F2)</f>
        <v>119737.4</v>
      </c>
      <c r="N2" t="str">
        <f>H2</f>
        <v>500007</v>
      </c>
      <c r="O2" t="str">
        <f>H2</f>
        <v>500007</v>
      </c>
    </row>
    <row r="3" spans="1:15">
      <c r="A3" s="3">
        <v>2</v>
      </c>
      <c r="B3" s="39" t="s">
        <v>276</v>
      </c>
      <c r="C3" s="3" t="s">
        <v>277</v>
      </c>
      <c r="D3" s="3">
        <v>0</v>
      </c>
      <c r="E3" s="3" t="s">
        <v>277</v>
      </c>
      <c r="F3" s="3">
        <v>10</v>
      </c>
      <c r="G3" s="3">
        <v>3244</v>
      </c>
      <c r="H3" s="40"/>
      <c r="I3" s="3">
        <v>10</v>
      </c>
      <c r="J3" t="s">
        <v>285</v>
      </c>
      <c r="K3" s="39" t="s">
        <v>273</v>
      </c>
      <c r="L3" t="s">
        <v>284</v>
      </c>
      <c r="M3">
        <f>SUM(L3+F3)</f>
        <v>100175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A3" sqref="A3:E4"/>
    </sheetView>
  </sheetViews>
  <sheetFormatPr defaultRowHeight="15"/>
  <cols>
    <col min="1" max="1" width="15.5703125" bestFit="1" customWidth="1"/>
    <col min="2" max="3" width="18.7109375" bestFit="1" customWidth="1"/>
    <col min="4" max="4" width="28.28515625" bestFit="1" customWidth="1"/>
    <col min="5" max="5" width="12.140625" bestFit="1" customWidth="1"/>
  </cols>
  <sheetData>
    <row r="1" spans="1:5">
      <c r="A1" t="s">
        <v>286</v>
      </c>
      <c r="B1" t="s">
        <v>287</v>
      </c>
      <c r="C1" t="s">
        <v>288</v>
      </c>
      <c r="D1" t="s">
        <v>289</v>
      </c>
      <c r="E1" t="s">
        <v>290</v>
      </c>
    </row>
    <row r="2" spans="1:5">
      <c r="A2" s="44" t="s">
        <v>291</v>
      </c>
      <c r="B2" s="44" t="s">
        <v>294</v>
      </c>
      <c r="C2" s="44">
        <v>10020</v>
      </c>
      <c r="D2" s="44" t="s">
        <v>292</v>
      </c>
      <c r="E2" s="42" t="s">
        <v>293</v>
      </c>
    </row>
    <row r="3" spans="1:5">
      <c r="A3" s="44"/>
      <c r="B3" s="44"/>
      <c r="C3" s="44"/>
      <c r="D3" s="44"/>
      <c r="E3" s="42"/>
    </row>
    <row r="4" spans="1:5">
      <c r="A4" s="44"/>
      <c r="B4" s="44"/>
      <c r="C4" s="44"/>
      <c r="D4" s="44"/>
      <c r="E4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A2" sqref="A2:D3"/>
    </sheetView>
  </sheetViews>
  <sheetFormatPr defaultRowHeight="15"/>
  <cols>
    <col min="1" max="1" width="12.42578125" bestFit="1" customWidth="1"/>
    <col min="2" max="2" width="17" bestFit="1" customWidth="1"/>
    <col min="4" max="4" width="21.140625" bestFit="1" customWidth="1"/>
  </cols>
  <sheetData>
    <row r="1" spans="1:4">
      <c r="A1" s="43" t="s">
        <v>295</v>
      </c>
      <c r="B1" s="43" t="s">
        <v>296</v>
      </c>
      <c r="C1" s="43" t="s">
        <v>297</v>
      </c>
      <c r="D1" s="43" t="s">
        <v>298</v>
      </c>
    </row>
    <row r="2" spans="1:4">
      <c r="A2" s="45" t="s">
        <v>299</v>
      </c>
      <c r="B2" s="45" t="s">
        <v>300</v>
      </c>
      <c r="C2" s="45">
        <v>5</v>
      </c>
      <c r="D2" s="45">
        <v>5040101000</v>
      </c>
    </row>
    <row r="3" spans="1:4">
      <c r="A3" s="45" t="s">
        <v>301</v>
      </c>
      <c r="B3" s="45" t="s">
        <v>302</v>
      </c>
      <c r="C3" s="45">
        <v>100</v>
      </c>
      <c r="D3" s="45">
        <v>5040101000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  <vt:lpstr>LandedCostField</vt:lpstr>
      <vt:lpstr>ChargeItem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Vimal Raj.P</cp:lastModifiedBy>
  <dcterms:created xsi:type="dcterms:W3CDTF">2025-01-30T07:28:00Z</dcterms:created>
  <dcterms:modified xsi:type="dcterms:W3CDTF">2025-12-05T12:19:10Z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