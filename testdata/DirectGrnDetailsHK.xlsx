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1" activeTab="15"/>
  </bookViews>
  <sheets>
    <sheet name="DirectGrnGenUD" sheetId="38" r:id="rId1"/>
    <sheet name="DirectGrnGenUDMulti" sheetId="39" r:id="rId2"/>
    <sheet name="DirectGrnGenUDMulti50" sheetId="40" r:id="rId3"/>
    <sheet name="DirectGrnGenUD50" sheetId="41" r:id="rId4"/>
    <sheet name="DirectGrnGenUDMultiIMP" sheetId="42" r:id="rId5"/>
    <sheet name="DirectGrnGenUDIMP" sheetId="43" r:id="rId6"/>
    <sheet name="Sheet1" sheetId="5" r:id="rId7"/>
    <sheet name="GateEntry" sheetId="27" r:id="rId8"/>
    <sheet name="PurchaseBillSerIGST" sheetId="37" r:id="rId9"/>
    <sheet name="PurchaseBill" sheetId="28" r:id="rId10"/>
    <sheet name="PurchaseBillGRNIGST" sheetId="36" r:id="rId11"/>
    <sheet name="PurchaseBillGRN" sheetId="29" r:id="rId12"/>
    <sheet name="DirectGrnMatUDD" sheetId="7" r:id="rId13"/>
    <sheet name="DirectGrnService" sheetId="3" r:id="rId14"/>
    <sheet name="DirectGrnRateContract" sheetId="4" r:id="rId15"/>
    <sheet name="DirectGrnServiceRateContract" sheetId="8" r:id="rId16"/>
    <sheet name="DirectGrnPriceList" sheetId="9" r:id="rId17"/>
    <sheet name="DirectGrnServicePriceList" sheetId="10" r:id="rId18"/>
    <sheet name="DirectGrnGenUDWOI" sheetId="11" r:id="rId19"/>
    <sheet name="DirectGrnMatUDDWOI" sheetId="12" r:id="rId20"/>
    <sheet name="DirectGrnServiceWOI" sheetId="13" r:id="rId21"/>
    <sheet name="DirectGrnRateContractWOI" sheetId="14" r:id="rId22"/>
    <sheet name="DirectGrnServiceRateContractWOI" sheetId="15" r:id="rId23"/>
    <sheet name="DirectGrnPriceListWOI" sheetId="16" r:id="rId24"/>
    <sheet name="DirectGrnServicePriceListWOI" sheetId="17" r:id="rId25"/>
    <sheet name="DIfUOMDirectGrnGenUD" sheetId="18" r:id="rId26"/>
    <sheet name="DIfUOMDirectMatUD" sheetId="19" r:id="rId27"/>
    <sheet name="DIfUOMDirectSerUD" sheetId="20" r:id="rId28"/>
    <sheet name="DIFUOMDirectGrnRateContract" sheetId="21" r:id="rId29"/>
    <sheet name="DIFUOMDirectGrnMatRateContract" sheetId="22" r:id="rId30"/>
    <sheet name="DIFUOMDirectGrnSerRateContract" sheetId="23" r:id="rId31"/>
    <sheet name="DIFUOMDirectGrnPriceList" sheetId="24" r:id="rId32"/>
    <sheet name="DIFUOMDirectGrnMatPriceList" sheetId="25" r:id="rId33"/>
    <sheet name="DIFUOMDirectGrnSerPriceList" sheetId="26" r:id="rId34"/>
  </sheets>
  <externalReferences>
    <externalReference r:id="rId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3" i="8"/>
  <c r="AJ23"/>
  <c r="AI23"/>
  <c r="AH23"/>
  <c r="AG23"/>
  <c r="AE23"/>
  <c r="AC23"/>
  <c r="AA23"/>
  <c r="Y23"/>
  <c r="X23"/>
  <c r="W23"/>
  <c r="V23"/>
  <c r="H23" i="18"/>
  <c r="BO23"/>
  <c r="AK23" i="10"/>
  <c r="AJ23"/>
  <c r="AI23"/>
  <c r="AH23"/>
  <c r="AG23"/>
  <c r="AE23"/>
  <c r="AC23"/>
  <c r="AA23"/>
  <c r="Y23"/>
  <c r="X23"/>
  <c r="W23"/>
  <c r="V23"/>
  <c r="AK23" i="20"/>
  <c r="AJ23"/>
  <c r="AI23"/>
  <c r="AH23"/>
  <c r="AG23"/>
  <c r="AE23"/>
  <c r="AC23"/>
  <c r="AA23"/>
  <c r="Y23"/>
  <c r="X23"/>
  <c r="W23"/>
  <c r="V23"/>
  <c r="AK23" i="17"/>
  <c r="AJ23"/>
  <c r="AI23"/>
  <c r="AH23"/>
  <c r="AG23"/>
  <c r="AE23"/>
  <c r="AC23"/>
  <c r="AA23"/>
  <c r="Y23"/>
  <c r="X23"/>
  <c r="W23"/>
  <c r="V23"/>
  <c r="AK23" i="15"/>
  <c r="AJ23"/>
  <c r="AI23"/>
  <c r="AH23"/>
  <c r="AG23"/>
  <c r="AE23"/>
  <c r="AC23"/>
  <c r="AA23"/>
  <c r="Y23"/>
  <c r="X23"/>
  <c r="W23"/>
  <c r="V23"/>
  <c r="AK23" i="13"/>
  <c r="AJ23"/>
  <c r="AI23"/>
  <c r="AH23"/>
  <c r="AG23"/>
  <c r="AE23"/>
  <c r="AC23"/>
  <c r="AA23"/>
  <c r="Y23"/>
  <c r="X23"/>
  <c r="W23"/>
  <c r="V23"/>
  <c r="AK23" i="26"/>
  <c r="AJ23"/>
  <c r="AI23"/>
  <c r="AH23"/>
  <c r="AG23"/>
  <c r="AE23"/>
  <c r="AC23"/>
  <c r="AA23"/>
  <c r="Y23"/>
  <c r="X23"/>
  <c r="W23"/>
  <c r="H23"/>
  <c r="V23"/>
  <c r="V23" i="23"/>
  <c r="AK23"/>
  <c r="AJ23"/>
  <c r="AI23"/>
  <c r="AH23"/>
  <c r="AG23"/>
  <c r="AE23"/>
  <c r="AC23"/>
  <c r="AA23"/>
  <c r="Y23"/>
  <c r="X23"/>
  <c r="W23"/>
  <c r="H4" i="43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V23"/>
  <c r="AB23" s="1"/>
  <c r="AB24" s="1"/>
  <c r="W23"/>
  <c r="X23"/>
  <c r="X24" s="1"/>
  <c r="Y23"/>
  <c r="AA23"/>
  <c r="AJ23"/>
  <c r="AM23"/>
  <c r="AO23"/>
  <c r="AW23"/>
  <c r="AY23"/>
  <c r="H24"/>
  <c r="W24"/>
  <c r="AD24"/>
  <c r="AJ24"/>
  <c r="H4" i="42"/>
  <c r="H19" s="1"/>
  <c r="H5"/>
  <c r="H6"/>
  <c r="H7"/>
  <c r="H8"/>
  <c r="H9"/>
  <c r="H10"/>
  <c r="H11"/>
  <c r="H12"/>
  <c r="H13"/>
  <c r="H14"/>
  <c r="H15"/>
  <c r="H16"/>
  <c r="H17"/>
  <c r="H18"/>
  <c r="H23"/>
  <c r="V23"/>
  <c r="AB23" s="1"/>
  <c r="W23"/>
  <c r="X23"/>
  <c r="Y23"/>
  <c r="AA23"/>
  <c r="AJ23"/>
  <c r="AJ25" s="1"/>
  <c r="AM23"/>
  <c r="AW23" s="1"/>
  <c r="H24"/>
  <c r="L24" s="1"/>
  <c r="M24" s="1"/>
  <c r="V24"/>
  <c r="W24"/>
  <c r="X24"/>
  <c r="Y24"/>
  <c r="AJ24"/>
  <c r="AM24"/>
  <c r="AO24"/>
  <c r="AW24"/>
  <c r="V25"/>
  <c r="W25"/>
  <c r="X25"/>
  <c r="AD25"/>
  <c r="H4" i="41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K24" s="1"/>
  <c r="AM23"/>
  <c r="AP23"/>
  <c r="AW23"/>
  <c r="AY23"/>
  <c r="BP23"/>
  <c r="X24"/>
  <c r="AD24"/>
  <c r="H4" i="40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P23" s="1"/>
  <c r="AM23"/>
  <c r="AW23"/>
  <c r="AY23"/>
  <c r="BP23"/>
  <c r="H24"/>
  <c r="L24" s="1"/>
  <c r="M24" s="1"/>
  <c r="X24"/>
  <c r="Y24"/>
  <c r="AK24"/>
  <c r="AM24"/>
  <c r="AP24"/>
  <c r="AW24"/>
  <c r="X25"/>
  <c r="AD25"/>
  <c r="AK25"/>
  <c r="H4" i="39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X23"/>
  <c r="Y23"/>
  <c r="AK23"/>
  <c r="AK25" s="1"/>
  <c r="AM23"/>
  <c r="AP23"/>
  <c r="AW23"/>
  <c r="AY23"/>
  <c r="H24"/>
  <c r="L24" s="1"/>
  <c r="M24" s="1"/>
  <c r="X24"/>
  <c r="Y24"/>
  <c r="AK24"/>
  <c r="AM24"/>
  <c r="AP24" s="1"/>
  <c r="X25"/>
  <c r="AD25"/>
  <c r="H4" i="38"/>
  <c r="H5"/>
  <c r="H6"/>
  <c r="H7"/>
  <c r="H8"/>
  <c r="H9"/>
  <c r="H10"/>
  <c r="H11"/>
  <c r="H12"/>
  <c r="H13"/>
  <c r="H14"/>
  <c r="H15"/>
  <c r="H16"/>
  <c r="H17"/>
  <c r="H18"/>
  <c r="H19"/>
  <c r="H23"/>
  <c r="L23"/>
  <c r="M23"/>
  <c r="N23" s="1"/>
  <c r="X23"/>
  <c r="Y23"/>
  <c r="AK23"/>
  <c r="AM23"/>
  <c r="AW23" s="1"/>
  <c r="AP23"/>
  <c r="BR23"/>
  <c r="H24"/>
  <c r="X24"/>
  <c r="AD24"/>
  <c r="AK24"/>
  <c r="CC23" i="29"/>
  <c r="CB23"/>
  <c r="CC24"/>
  <c r="CB24"/>
  <c r="BZ23" i="36"/>
  <c r="CA23"/>
  <c r="AD24" i="37"/>
  <c r="BR23"/>
  <c r="AM23"/>
  <c r="AW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BR23"/>
  <c r="AW23"/>
  <c r="AY23" s="1"/>
  <c r="AM23"/>
  <c r="AK23"/>
  <c r="AK24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19" s="1"/>
  <c r="H5"/>
  <c r="H4"/>
  <c r="N23" i="43" l="1"/>
  <c r="V24"/>
  <c r="BP23"/>
  <c r="BP23" i="42"/>
  <c r="AY23"/>
  <c r="N24"/>
  <c r="AO23"/>
  <c r="BP24"/>
  <c r="L23"/>
  <c r="M23" s="1"/>
  <c r="H25"/>
  <c r="AY24"/>
  <c r="H24" i="41"/>
  <c r="L23"/>
  <c r="M23" s="1"/>
  <c r="N24" i="40"/>
  <c r="BP24"/>
  <c r="L23"/>
  <c r="M23" s="1"/>
  <c r="H25"/>
  <c r="AY24"/>
  <c r="N23" i="39"/>
  <c r="AW24"/>
  <c r="N24"/>
  <c r="BP23"/>
  <c r="H25"/>
  <c r="AY23" i="38"/>
  <c r="BP23"/>
  <c r="P23"/>
  <c r="Q23" s="1"/>
  <c r="O23"/>
  <c r="R23" s="1"/>
  <c r="N23" i="36"/>
  <c r="H24"/>
  <c r="AP23"/>
  <c r="AY23" i="37"/>
  <c r="BP23"/>
  <c r="AK24"/>
  <c r="N23"/>
  <c r="H24"/>
  <c r="BP23" i="36"/>
  <c r="O23" i="43" l="1"/>
  <c r="N23" i="42"/>
  <c r="O24"/>
  <c r="P24" s="1"/>
  <c r="Q24" s="1"/>
  <c r="N23" i="41"/>
  <c r="P24" i="40"/>
  <c r="Q24" s="1"/>
  <c r="O24"/>
  <c r="N23"/>
  <c r="P24" i="39"/>
  <c r="Q24" s="1"/>
  <c r="O24"/>
  <c r="AY24"/>
  <c r="BP24"/>
  <c r="P23"/>
  <c r="Q23" s="1"/>
  <c r="O23"/>
  <c r="R24" i="38"/>
  <c r="S23"/>
  <c r="O23" i="36"/>
  <c r="P23" s="1"/>
  <c r="Q23" s="1"/>
  <c r="O23" i="37"/>
  <c r="P23" i="43" l="1"/>
  <c r="Q23" s="1"/>
  <c r="R23" s="1"/>
  <c r="O23" i="42"/>
  <c r="R24"/>
  <c r="S24" s="1"/>
  <c r="O23" i="41"/>
  <c r="O23" i="40"/>
  <c r="P23" s="1"/>
  <c r="Q23" s="1"/>
  <c r="R24"/>
  <c r="S24" s="1"/>
  <c r="R24" i="39"/>
  <c r="S24" s="1"/>
  <c r="R23"/>
  <c r="AI23" i="38"/>
  <c r="W23"/>
  <c r="W24" s="1"/>
  <c r="V23"/>
  <c r="AA23"/>
  <c r="S24"/>
  <c r="AH23" s="1"/>
  <c r="AH24" s="1"/>
  <c r="R23" i="36"/>
  <c r="P23" i="37"/>
  <c r="Q23" s="1"/>
  <c r="R23" s="1"/>
  <c r="R24" i="43" l="1"/>
  <c r="S23"/>
  <c r="AA24" i="42"/>
  <c r="AB24" s="1"/>
  <c r="AB25" s="1"/>
  <c r="AC24"/>
  <c r="AI24"/>
  <c r="AN24" s="1"/>
  <c r="R23"/>
  <c r="P23"/>
  <c r="Q23" s="1"/>
  <c r="P23" i="41"/>
  <c r="Q23" s="1"/>
  <c r="R23" s="1"/>
  <c r="W24" i="40"/>
  <c r="AI24"/>
  <c r="AN24" s="1"/>
  <c r="V24"/>
  <c r="AA24"/>
  <c r="AC24"/>
  <c r="R23"/>
  <c r="V24" i="39"/>
  <c r="AB24" s="1"/>
  <c r="AA24"/>
  <c r="AC24"/>
  <c r="AI24"/>
  <c r="AN24" s="1"/>
  <c r="W24"/>
  <c r="S23"/>
  <c r="R25"/>
  <c r="AB23" i="38"/>
  <c r="V24"/>
  <c r="AN23"/>
  <c r="AI24"/>
  <c r="AG23"/>
  <c r="AE23"/>
  <c r="AE24" s="1"/>
  <c r="R24" i="36"/>
  <c r="S23"/>
  <c r="R24" i="37"/>
  <c r="S23"/>
  <c r="X23" s="1"/>
  <c r="X24" s="1"/>
  <c r="AH23" i="43" l="1"/>
  <c r="AH24" s="1"/>
  <c r="AC23"/>
  <c r="AC24" s="1"/>
  <c r="AI23"/>
  <c r="S24"/>
  <c r="AE23" s="1"/>
  <c r="R25" i="42"/>
  <c r="S23"/>
  <c r="R24" i="41"/>
  <c r="S23"/>
  <c r="R25" i="40"/>
  <c r="S23"/>
  <c r="AB24"/>
  <c r="AI23" i="39"/>
  <c r="W23"/>
  <c r="W25" s="1"/>
  <c r="AH23"/>
  <c r="AH25" s="1"/>
  <c r="V23"/>
  <c r="AA23"/>
  <c r="AG23"/>
  <c r="AE23"/>
  <c r="AE25" s="1"/>
  <c r="S25"/>
  <c r="AJ23" i="38"/>
  <c r="AG24"/>
  <c r="AB24"/>
  <c r="AC23"/>
  <c r="AC24" s="1"/>
  <c r="S24" i="36"/>
  <c r="AA23"/>
  <c r="X23"/>
  <c r="AI23"/>
  <c r="V23" i="37"/>
  <c r="W23"/>
  <c r="W24" s="1"/>
  <c r="AI23"/>
  <c r="S24"/>
  <c r="AH23" s="1"/>
  <c r="AH24" s="1"/>
  <c r="AA23"/>
  <c r="AE24" i="43" l="1"/>
  <c r="AN23"/>
  <c r="AI24"/>
  <c r="AG23"/>
  <c r="AG24" s="1"/>
  <c r="AC23" i="42"/>
  <c r="AC25" s="1"/>
  <c r="AI23"/>
  <c r="AG23"/>
  <c r="AG25" s="1"/>
  <c r="S25"/>
  <c r="AI23" i="41"/>
  <c r="S24"/>
  <c r="W23"/>
  <c r="W24" s="1"/>
  <c r="AH23"/>
  <c r="AH24" s="1"/>
  <c r="AE23"/>
  <c r="AE24" s="1"/>
  <c r="V23"/>
  <c r="AA23"/>
  <c r="AG23"/>
  <c r="AI23" i="40"/>
  <c r="AA23"/>
  <c r="W23"/>
  <c r="W25" s="1"/>
  <c r="V23"/>
  <c r="S25"/>
  <c r="AH23" s="1"/>
  <c r="AH25" s="1"/>
  <c r="AI25" i="39"/>
  <c r="AN23"/>
  <c r="AJ23"/>
  <c r="AG25"/>
  <c r="AE24"/>
  <c r="AG24"/>
  <c r="AJ24" s="1"/>
  <c r="AO24" s="1"/>
  <c r="AR24" s="1"/>
  <c r="AX24" s="1"/>
  <c r="AZ24" s="1"/>
  <c r="BO24" s="1"/>
  <c r="AH24"/>
  <c r="AB23"/>
  <c r="V25"/>
  <c r="AJ24" i="38"/>
  <c r="AO23"/>
  <c r="AR23" s="1"/>
  <c r="AX23" s="1"/>
  <c r="AZ23" s="1"/>
  <c r="BO23" s="1"/>
  <c r="AG23" i="37"/>
  <c r="AG24" s="1"/>
  <c r="AE23"/>
  <c r="AE24" s="1"/>
  <c r="AG23" i="36"/>
  <c r="AE23"/>
  <c r="AE24" s="1"/>
  <c r="AN23"/>
  <c r="AI24"/>
  <c r="AH23"/>
  <c r="AH24" s="1"/>
  <c r="AB23"/>
  <c r="X24"/>
  <c r="AI24" i="37"/>
  <c r="AN23"/>
  <c r="V24"/>
  <c r="AB23"/>
  <c r="AK23" i="43" l="1"/>
  <c r="AH24" i="42"/>
  <c r="AE24"/>
  <c r="AG24"/>
  <c r="AN23"/>
  <c r="AI25"/>
  <c r="AE23"/>
  <c r="AH23"/>
  <c r="AH25" s="1"/>
  <c r="AB23" i="41"/>
  <c r="V24"/>
  <c r="AG24"/>
  <c r="AJ23"/>
  <c r="AN23"/>
  <c r="AI24"/>
  <c r="AN23" i="40"/>
  <c r="AI25"/>
  <c r="AB23"/>
  <c r="V25"/>
  <c r="AE24"/>
  <c r="AG24"/>
  <c r="AJ24" s="1"/>
  <c r="AO24" s="1"/>
  <c r="AR24" s="1"/>
  <c r="AX24" s="1"/>
  <c r="AZ24" s="1"/>
  <c r="BO24" s="1"/>
  <c r="AH24"/>
  <c r="AE23"/>
  <c r="AE25" s="1"/>
  <c r="AG23"/>
  <c r="AO23" i="39"/>
  <c r="AJ25"/>
  <c r="AB25"/>
  <c r="AC23"/>
  <c r="AC25" s="1"/>
  <c r="AR23"/>
  <c r="AX23" s="1"/>
  <c r="AZ23" s="1"/>
  <c r="BO23" s="1"/>
  <c r="AJ23" i="37"/>
  <c r="AJ24" s="1"/>
  <c r="AJ23" i="36"/>
  <c r="AG24"/>
  <c r="AB24"/>
  <c r="AC23"/>
  <c r="AB24" i="37"/>
  <c r="AC23"/>
  <c r="AC24" s="1"/>
  <c r="AP23" i="43" l="1"/>
  <c r="AR23" s="1"/>
  <c r="AX23" s="1"/>
  <c r="AZ23" s="1"/>
  <c r="BO23" s="1"/>
  <c r="AK24"/>
  <c r="AE25" i="42"/>
  <c r="AK23"/>
  <c r="AK24"/>
  <c r="AP24" s="1"/>
  <c r="AR24" s="1"/>
  <c r="AX24" s="1"/>
  <c r="AZ24" s="1"/>
  <c r="BO24" s="1"/>
  <c r="AB24" i="41"/>
  <c r="AC23"/>
  <c r="AC24" s="1"/>
  <c r="AJ24"/>
  <c r="AO23"/>
  <c r="AR23"/>
  <c r="AX23" s="1"/>
  <c r="AZ23" s="1"/>
  <c r="BO23" s="1"/>
  <c r="AB25" i="40"/>
  <c r="AC23"/>
  <c r="AC25" s="1"/>
  <c r="AJ23"/>
  <c r="AG25"/>
  <c r="AO23" i="37"/>
  <c r="AR23" s="1"/>
  <c r="AX23" s="1"/>
  <c r="AZ23" s="1"/>
  <c r="BO23" s="1"/>
  <c r="AC24" i="36"/>
  <c r="AO23"/>
  <c r="AJ24"/>
  <c r="AK25" i="42" l="1"/>
  <c r="AP23"/>
  <c r="AR23" s="1"/>
  <c r="AX23" s="1"/>
  <c r="AZ23" s="1"/>
  <c r="BO23" s="1"/>
  <c r="AJ25" i="40"/>
  <c r="AO23"/>
  <c r="AR23" s="1"/>
  <c r="AX23" s="1"/>
  <c r="AZ23" s="1"/>
  <c r="BO23" s="1"/>
  <c r="AR23" i="36"/>
  <c r="AX23" s="1"/>
  <c r="AZ23" s="1"/>
  <c r="BO23" s="1"/>
  <c r="AM23" i="29"/>
  <c r="AW23" s="1"/>
  <c r="AK23"/>
  <c r="Y23"/>
  <c r="X23"/>
  <c r="X24" s="1"/>
  <c r="M23" i="28"/>
  <c r="L23"/>
  <c r="H23" i="29"/>
  <c r="L23" s="1"/>
  <c r="M23" s="1"/>
  <c r="BR23"/>
  <c r="H23" i="28"/>
  <c r="AY23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P23"/>
  <c r="X24"/>
  <c r="M23"/>
  <c r="L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4"/>
  <c r="X24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P23"/>
  <c r="X24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4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4"/>
  <c r="X24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4"/>
  <c r="X24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H24"/>
  <c r="AM23"/>
  <c r="AW23" s="1"/>
  <c r="AK24"/>
  <c r="X24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P23"/>
  <c r="X24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P23"/>
  <c r="X24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H18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L23" i="23" l="1"/>
  <c r="M23" s="1"/>
  <c r="N23" s="1"/>
  <c r="N23" i="28"/>
  <c r="BP23" i="22"/>
  <c r="AY23" i="29"/>
  <c r="BP23"/>
  <c r="AP23"/>
  <c r="N23"/>
  <c r="AK24"/>
  <c r="H24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H24"/>
  <c r="AK24" i="3"/>
  <c r="H24"/>
  <c r="O23" i="28" l="1"/>
  <c r="O23" i="29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8" l="1"/>
  <c r="Q23" s="1"/>
  <c r="R23" s="1"/>
  <c r="S23" s="1"/>
  <c r="R23" i="29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C24"/>
  <c r="W24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C24"/>
  <c r="W24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BZ23" s="1"/>
  <c r="CA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4" i="26"/>
  <c r="S24"/>
  <c r="AC24"/>
  <c r="W24" i="24"/>
  <c r="S24"/>
  <c r="W24" i="23"/>
  <c r="S24"/>
  <c r="AC24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4" i="15"/>
  <c r="S24"/>
  <c r="AC24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W24" i="20"/>
  <c r="S24"/>
  <c r="AC24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4" i="10"/>
  <c r="S24"/>
  <c r="AC24"/>
  <c r="AB24" i="9"/>
  <c r="AC23"/>
  <c r="AC24" s="1"/>
  <c r="AJ23"/>
  <c r="AG24"/>
  <c r="W24" i="8"/>
  <c r="S24"/>
  <c r="AC24"/>
  <c r="AB24" i="7"/>
  <c r="W24"/>
  <c r="S24"/>
  <c r="W24" i="3"/>
  <c r="S24"/>
  <c r="AE23" i="29" l="1"/>
  <c r="AE24" s="1"/>
  <c r="AH23"/>
  <c r="AH24" s="1"/>
  <c r="AG23"/>
  <c r="V24"/>
  <c r="AB24"/>
  <c r="AC24"/>
  <c r="AB24" i="28"/>
  <c r="AC23"/>
  <c r="AC24" s="1"/>
  <c r="AJ24"/>
  <c r="AO23"/>
  <c r="AR23" s="1"/>
  <c r="AX23" s="1"/>
  <c r="AZ23" s="1"/>
  <c r="BO23" s="1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X23" i="22" l="1"/>
  <c r="AZ23" s="1"/>
  <c r="BO23" s="1"/>
  <c r="AR23"/>
  <c r="AJ23" i="29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AE24" i="10" l="1"/>
  <c r="AH24"/>
  <c r="AH24" i="15"/>
  <c r="AE24" i="23"/>
  <c r="AH24" i="26"/>
  <c r="AE23" i="3"/>
  <c r="AE24" s="1"/>
  <c r="AE24" i="17"/>
  <c r="AH23" i="3"/>
  <c r="AH24" s="1"/>
  <c r="AE17" i="5"/>
  <c r="AH24" i="20"/>
  <c r="AE24" i="8"/>
  <c r="AG23" i="3"/>
  <c r="AH24" i="8"/>
  <c r="AE24" i="13"/>
  <c r="AH16" i="5"/>
  <c r="AG18"/>
  <c r="AE24" i="26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4" i="23"/>
  <c r="AE18" i="5"/>
  <c r="AE24" i="15"/>
  <c r="AH24" i="13"/>
  <c r="AE16" i="5"/>
  <c r="AH24" i="17"/>
  <c r="AE24" i="20"/>
  <c r="AH18" i="5"/>
  <c r="AG24" i="3" l="1"/>
  <c r="AJ23"/>
  <c r="AG24" i="10"/>
  <c r="AJ18" i="5"/>
  <c r="AO18" s="1"/>
  <c r="AR18" s="1"/>
  <c r="AX18" s="1"/>
  <c r="AZ18" s="1"/>
  <c r="BO18" s="1"/>
  <c r="AG24" i="15"/>
  <c r="AG24" i="13"/>
  <c r="AG24" i="8"/>
  <c r="AG24" i="26"/>
  <c r="AG24" i="23"/>
  <c r="AG24" i="17"/>
  <c r="AG24" i="20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<sst xmlns="http://schemas.openxmlformats.org/spreadsheetml/2006/main" count="5914" uniqueCount="251">
  <si>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</si>
  <si>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</si>
  <si>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</si>
  <si>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</si>
  <si>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</si>
  <si>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</si>
  <si>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</si>
  <si>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</si>
  <si>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</si>
  <si>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</si>
  <si>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</si>
  <si>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</si>
  <si>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</si>
  <si>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</si>
  <si>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</si>
  <si>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</si>
  <si>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</si>
  <si>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</si>
  <si>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</si>
  <si>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</si>
  <si>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</si>
  <si>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</si>
  <si>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</si>
  <si>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</si>
  <si>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</si>
  <si>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</si>
  <si>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</si>
  <si>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</si>
  <si>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</si>
  <si>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</si>
  <si>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</si>
  <si>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</si>
  <si>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</si>
  <si>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</si>
  <si>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</si>
  <si>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</si>
  <si>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</si>
  <si>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</si>
  <si>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</si>
  <si>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</si>
  <si>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</si>
  <si>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</si>
  <si>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</si>
  <si>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</si>
  <si>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</si>
  <si>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</si>
  <si>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</si>
  <si>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</si>
  <si>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</si>
  <si>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</si>
  <si>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</si>
  <si>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</si>
  <si>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</si>
  <si>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</si>
  <si>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</si>
  <si>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</si>
  <si>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</si>
  <si>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</si>
  <si>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</si>
  <si>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</si>
  <si>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</si>
  <si>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</si>
  <si>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</si>
  <si>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</si>
  <si>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</si>
  <si>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</si>
  <si>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</si>
  <si>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</si>
  <si>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</si>
  <si>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</si>
  <si>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</si>
  <si>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</si>
  <si>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</si>
  <si>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</si>
  <si>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</si>
  <si>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</si>
  <si>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</si>
  <si>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</si>
  <si>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</si>
  <si>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</si>
  <si>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</si>
  <si>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</si>
  <si>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</si>
  <si>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</si>
  <si>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</si>
  <si>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</si>
  <si>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</si>
  <si>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</si>
  <si>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</si>
  <si>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</si>
  <si>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</si>
  <si>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</si>
  <si>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</si>
  <si>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</si>
  <si>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</si>
  <si>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</si>
  <si>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</si>
  <si>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</si>
  <si>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</si>
  <si>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</si>
  <si>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</si>
  <si>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</si>
  <si>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</si>
  <si>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</si>
  <si>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</si>
  <si>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</si>
  <si>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</si>
  <si>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</si>
  <si>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</si>
  <si>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</si>
  <si>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</si>
  <si>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</si>
  <si>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</si>
  <si>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</si>
  <si>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</si>
  <si>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</si>
  <si>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</si>
  <si>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</si>
  <si>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</si>
  <si>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</si>
  <si>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</si>
  <si>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</si>
  <si>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</si>
  <si>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</si>
  <si>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</si>
  <si>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</si>
  <si>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</si>
  <si>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</si>
  <si>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</si>
  <si>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</si>
  <si>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</si>
  <si>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</si>
  <si>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</si>
  <si>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</si>
  <si>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</si>
  <si>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</si>
  <si>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</si>
  <si>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</si>
  <si>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</si>
  <si>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</si>
  <si>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</si>
  <si>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</si>
  <si>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</si>
  <si>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</si>
  <si>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</si>
  <si>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</si>
  <si>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</si>
  <si>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</si>
  <si>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</si>
  <si>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</si>
  <si>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</si>
  <si>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</si>
  <si>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</si>
  <si>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</si>
  <si>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</si>
  <si>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</si>
  <si>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</si>
  <si>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</si>
  <si>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</si>
  <si>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</si>
  <si>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</si>
  <si>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</si>
  <si>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</si>
  <si>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</si>
  <si>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</si>
  <si>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</si>
  <si>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</si>
  <si>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</si>
  <si>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</si>
  <si>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</si>
  <si>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</si>
  <si>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</si>
  <si>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</si>
  <si>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</si>
  <si>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</si>
  <si>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</si>
  <si>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</si>
  <si>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</si>
  <si>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</si>
  <si>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</si>
  <si>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</si>
  <si>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</si>
  <si>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</si>
  <si>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</si>
  <si>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</si>
  <si>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</si>
  <si>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</si>
  <si>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</si>
  <si>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</si>
  <si>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</si>
  <si>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</si>
  <si>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33.35</t>
  </si>
  <si>
    <t>Cost</t>
  </si>
  <si>
    <t>GL Account</t>
  </si>
  <si>
    <t>TYPE</t>
  </si>
  <si>
    <t>MANUFACTRING EXPENSES</t>
  </si>
  <si>
    <t>TDS</t>
  </si>
  <si>
    <t>194Q</t>
  </si>
  <si>
    <t>Matched Amt</t>
  </si>
  <si>
    <t>GRN Amt</t>
  </si>
  <si>
    <t>Proc.Qty</t>
  </si>
  <si>
    <t>UnitCost</t>
  </si>
  <si>
    <t>Curr.Matched Amt</t>
  </si>
  <si>
    <t>Deviation Amt</t>
  </si>
  <si>
    <t>375.00</t>
  </si>
  <si>
    <t>558.95</t>
  </si>
  <si>
    <t>186.318</t>
  </si>
  <si>
    <t>931.59</t>
  </si>
  <si>
    <t>5.000</t>
  </si>
  <si>
    <t>Expense Amnt</t>
  </si>
  <si>
    <t>ServiceItem Amnt</t>
  </si>
  <si>
    <t>7134</t>
  </si>
  <si>
    <t>186.49443</t>
  </si>
  <si>
    <t>7214</t>
  </si>
  <si>
    <t>186.49914</t>
  </si>
  <si>
    <t>386</t>
  </si>
  <si>
    <t>1810.39779</t>
  </si>
  <si>
    <t>ROAU-RM-KDK-02</t>
  </si>
  <si>
    <t>1106</t>
  </si>
  <si>
    <t>878.80347</t>
  </si>
  <si>
    <t>294</t>
  </si>
  <si>
    <t>257.49996</t>
  </si>
  <si>
    <t>RM WH 50</t>
  </si>
  <si>
    <t>878</t>
  </si>
  <si>
    <t>328.02245</t>
  </si>
  <si>
    <t>185.06929</t>
  </si>
  <si>
    <t>1354</t>
  </si>
  <si>
    <t>3422.47109</t>
  </si>
  <si>
    <t>23998.05</t>
  </si>
  <si>
    <t>4174</t>
  </si>
  <si>
    <t>1384.29779</t>
  </si>
  <si>
    <t>2399.55</t>
  </si>
  <si>
    <t>4276</t>
  </si>
  <si>
    <t>1383.48923</t>
  </si>
  <si>
    <t>4282</t>
  </si>
  <si>
    <t>1382.93517</t>
  </si>
  <si>
    <t>9599</t>
  </si>
  <si>
    <t>488.12216</t>
  </si>
  <si>
    <t>2098</t>
  </si>
  <si>
    <t>187.24408</t>
  </si>
  <si>
    <t>270.802</t>
  </si>
  <si>
    <t>272.136</t>
  </si>
  <si>
    <t>288.477</t>
  </si>
  <si>
    <t>843.82914</t>
  </si>
  <si>
    <t>570.48</t>
  </si>
  <si>
    <t>324.137</t>
  </si>
  <si>
    <t>564.55297</t>
  </si>
  <si>
    <t>325.804</t>
  </si>
  <si>
    <t>564.54791</t>
  </si>
  <si>
    <t>272.803</t>
  </si>
  <si>
    <t>273.47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</si>
</sst>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2">
    <xf numFmtId="0" fontId="0" fillId="0" borderId="0"/>
    <xf numFmtId="0" fontId="9" fillId="0" borderId="0"/>
  </cellStyleXfs>
  <cellXfs count="165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1" fillId="0" borderId="0" xfId="0" applyFont="1"/>
    <xf numFmtId="1" fontId="3" fillId="0" borderId="15" xfId="0" applyNumberFormat="1" applyFont="1" applyBorder="1"/>
    <xf numFmtId="2" fontId="3" fillId="0" borderId="15" xfId="0" applyNumberFormat="1" applyFont="1" applyBorder="1"/>
    <xf numFmtId="165" fontId="3" fillId="0" borderId="15" xfId="0" applyNumberFormat="1" applyFont="1" applyBorder="1"/>
    <xf numFmtId="0" fontId="9" fillId="0" borderId="0" xfId="1"/>
    <xf numFmtId="0" fontId="3" fillId="0" borderId="0" xfId="1" applyFont="1"/>
    <xf numFmtId="0" fontId="9" fillId="0" borderId="0" xfId="1" applyBorder="1" applyAlignment="1"/>
    <xf numFmtId="0" fontId="7" fillId="6" borderId="14" xfId="1" applyFont="1" applyFill="1" applyBorder="1"/>
    <xf numFmtId="2" fontId="7" fillId="6" borderId="14" xfId="1" applyNumberFormat="1" applyFont="1" applyFill="1" applyBorder="1"/>
    <xf numFmtId="0" fontId="7" fillId="3" borderId="14" xfId="1" applyFont="1" applyFill="1" applyBorder="1"/>
    <xf numFmtId="2" fontId="7" fillId="3" borderId="14" xfId="1" applyNumberFormat="1" applyFont="1" applyFill="1" applyBorder="1"/>
    <xf numFmtId="0" fontId="7" fillId="3" borderId="14" xfId="1" applyNumberFormat="1" applyFont="1" applyFill="1" applyBorder="1"/>
    <xf numFmtId="0" fontId="3" fillId="0" borderId="14" xfId="1" applyFont="1" applyBorder="1"/>
    <xf numFmtId="0" fontId="7" fillId="3" borderId="17" xfId="1" applyFont="1" applyFill="1" applyBorder="1" applyAlignment="1"/>
    <xf numFmtId="0" fontId="7" fillId="3" borderId="16" xfId="1" applyFont="1" applyFill="1" applyBorder="1" applyAlignment="1"/>
    <xf numFmtId="0" fontId="9" fillId="0" borderId="0" xfId="1" applyNumberFormat="1"/>
    <xf numFmtId="0" fontId="9" fillId="0" borderId="0" xfId="1" applyNumberFormat="1" applyAlignment="1">
      <alignment horizontal="center"/>
    </xf>
    <xf numFmtId="0" fontId="3" fillId="0" borderId="5" xfId="1" applyNumberFormat="1" applyFont="1" applyBorder="1"/>
    <xf numFmtId="0" fontId="9" fillId="0" borderId="5" xfId="1" applyNumberFormat="1" applyBorder="1"/>
    <xf numFmtId="0" fontId="9" fillId="0" borderId="15" xfId="1" applyNumberFormat="1" applyBorder="1" applyAlignment="1">
      <alignment vertical="center"/>
    </xf>
    <xf numFmtId="0" fontId="9" fillId="0" borderId="15" xfId="1" applyBorder="1" applyAlignment="1">
      <alignment vertical="center"/>
    </xf>
    <xf numFmtId="0" fontId="3" fillId="0" borderId="14" xfId="1" applyNumberFormat="1" applyFont="1" applyBorder="1"/>
    <xf numFmtId="10" fontId="3" fillId="0" borderId="14" xfId="1" applyNumberFormat="1" applyFont="1" applyBorder="1"/>
    <xf numFmtId="0" fontId="3" fillId="2" borderId="18" xfId="1" applyFont="1" applyFill="1" applyBorder="1"/>
    <xf numFmtId="0" fontId="3" fillId="2" borderId="2" xfId="1" applyFont="1" applyFill="1" applyBorder="1"/>
    <xf numFmtId="0" fontId="3" fillId="2" borderId="2" xfId="1" applyFont="1" applyFill="1" applyBorder="1" applyAlignment="1"/>
    <xf numFmtId="0" fontId="3" fillId="2" borderId="13" xfId="1" applyFont="1" applyFill="1" applyBorder="1"/>
    <xf numFmtId="0" fontId="7" fillId="2" borderId="2" xfId="1" applyFont="1" applyFill="1" applyBorder="1" applyAlignment="1">
      <alignment horizontal="center" vertical="center"/>
    </xf>
    <xf numFmtId="0" fontId="7" fillId="7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 wrapText="1"/>
    </xf>
    <xf numFmtId="0" fontId="7" fillId="5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/>
    </xf>
    <xf numFmtId="0" fontId="7" fillId="4" borderId="12" xfId="1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left" vertical="center"/>
    </xf>
    <xf numFmtId="0" fontId="7" fillId="0" borderId="0" xfId="1" applyFont="1" applyFill="1" applyBorder="1"/>
    <xf numFmtId="0" fontId="3" fillId="0" borderId="0" xfId="1" applyFont="1" applyFill="1" applyBorder="1"/>
    <xf numFmtId="0" fontId="7" fillId="0" borderId="0" xfId="1" applyFont="1" applyFill="1" applyBorder="1" applyAlignment="1">
      <alignment horizontal="center"/>
    </xf>
    <xf numFmtId="0" fontId="7" fillId="0" borderId="0" xfId="1" applyFont="1" applyFill="1" applyBorder="1" applyAlignment="1">
      <alignment horizontal="left" vertical="center"/>
    </xf>
    <xf numFmtId="0" fontId="7" fillId="0" borderId="0" xfId="1" applyFont="1" applyFill="1" applyBorder="1" applyAlignment="1">
      <alignment horizontal="center" vertical="center"/>
    </xf>
    <xf numFmtId="0" fontId="3" fillId="0" borderId="0" xfId="1" applyFont="1" applyBorder="1"/>
    <xf numFmtId="0" fontId="7" fillId="3" borderId="11" xfId="1" applyFont="1" applyFill="1" applyBorder="1" applyAlignment="1">
      <alignment vertical="top"/>
    </xf>
    <xf numFmtId="2" fontId="3" fillId="0" borderId="0" xfId="1" applyNumberFormat="1" applyFont="1" applyFill="1" applyBorder="1"/>
    <xf numFmtId="10" fontId="3" fillId="0" borderId="0" xfId="1" applyNumberFormat="1" applyFont="1" applyFill="1" applyBorder="1"/>
    <xf numFmtId="2" fontId="3" fillId="0" borderId="9" xfId="1" applyNumberFormat="1" applyFont="1" applyBorder="1"/>
    <xf numFmtId="2" fontId="3" fillId="0" borderId="8" xfId="1" applyNumberFormat="1" applyFont="1" applyBorder="1"/>
    <xf numFmtId="164" fontId="3" fillId="0" borderId="8" xfId="1" applyNumberFormat="1" applyFont="1" applyBorder="1"/>
    <xf numFmtId="0" fontId="3" fillId="0" borderId="8" xfId="1" applyFont="1" applyBorder="1"/>
    <xf numFmtId="0" fontId="3" fillId="0" borderId="7" xfId="1" applyFont="1" applyBorder="1"/>
    <xf numFmtId="0" fontId="4" fillId="0" borderId="0" xfId="1" applyFont="1"/>
    <xf numFmtId="2" fontId="3" fillId="0" borderId="6" xfId="1" applyNumberFormat="1" applyFont="1" applyBorder="1"/>
    <xf numFmtId="2" fontId="3" fillId="0" borderId="5" xfId="1" applyNumberFormat="1" applyFont="1" applyBorder="1"/>
    <xf numFmtId="164" fontId="3" fillId="0" borderId="5" xfId="1" applyNumberFormat="1" applyFont="1" applyBorder="1"/>
    <xf numFmtId="0" fontId="3" fillId="0" borderId="5" xfId="1" applyFont="1" applyBorder="1"/>
    <xf numFmtId="0" fontId="3" fillId="0" borderId="4" xfId="1" applyFont="1" applyBorder="1"/>
    <xf numFmtId="0" fontId="7" fillId="2" borderId="3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center" vertical="center"/>
    </xf>
    <xf numFmtId="0" fontId="5" fillId="0" borderId="0" xfId="1" applyFont="1" applyBorder="1" applyAlignment="1">
      <alignment horizontal="left" vertical="top"/>
    </xf>
    <xf numFmtId="0" fontId="9" fillId="0" borderId="15" xfId="1" applyNumberFormat="1" applyFont="1" applyBorder="1" applyAlignment="1">
      <alignment vertical="center"/>
    </xf>
    <xf numFmtId="0" fontId="3" fillId="0" borderId="16" xfId="1" applyFont="1" applyBorder="1"/>
    <xf numFmtId="0" fontId="7" fillId="3" borderId="10" xfId="1" applyFont="1" applyFill="1" applyBorder="1" applyAlignment="1">
      <alignment horizontal="center" vertical="top"/>
    </xf>
    <xf numFmtId="0" fontId="3" fillId="0" borderId="0" xfId="1" applyFont="1" applyFill="1" applyBorder="1" applyAlignment="1">
      <alignment horizontal="left" vertical="center"/>
    </xf>
    <xf numFmtId="0" fontId="5" fillId="0" borderId="0" xfId="1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externalLinks/externalLink1.xml" Type="http://schemas.openxmlformats.org/officeDocument/2006/relationships/externalLink"/><Relationship Id="rId36" Target="theme/theme1.xml" Type="http://schemas.openxmlformats.org/officeDocument/2006/relationships/theme"/><Relationship Id="rId37" Target="styles.xml" Type="http://schemas.openxmlformats.org/officeDocument/2006/relationships/styles"/><Relationship Id="rId38" Target="sharedStrings.xml" Type="http://schemas.openxmlformats.org/officeDocument/2006/relationships/sharedStrings"/><Relationship Id="rId39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Book1" TargetMode="External" Type="http://schemas.microsoft.com/office/2006/relationships/xlExternalLinkPath/xlPathMissing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irectGrnGenUD"/>
      <sheetName val="DirectGrnGenUDMulti"/>
      <sheetName val="DirectGrnGenUDMulti50"/>
      <sheetName val="DirectGrnGenUD50"/>
      <sheetName val="DirectGrnGenUDMultiIMP"/>
      <sheetName val="DirectGrnGenUDIMP"/>
      <sheetName val="Sheet1"/>
      <sheetName val="Sheet2"/>
      <sheetName val="Sheet3"/>
    </sheetNames>
    <sheetDataSet>
      <sheetData sheetId="0" refreshError="1">
        <row r="21">
          <cell r="C21">
            <v>1</v>
          </cell>
          <cell r="M21">
            <v>1</v>
          </cell>
          <cell r="P21">
            <v>1</v>
          </cell>
        </row>
        <row r="22">
          <cell r="C22" t="str">
            <v>Item Desc.</v>
          </cell>
          <cell r="V22" t="str">
            <v>CGST</v>
          </cell>
        </row>
        <row r="24">
          <cell r="S24">
            <v>564.66</v>
          </cell>
          <cell r="AD24">
            <v>120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3" sqref="D2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  <c r="BR22" s="118" t="s">
        <v>192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99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14" t="s">
        <v>144</v>
      </c>
      <c r="BE23" s="114" t="s">
        <v>145</v>
      </c>
      <c r="BF23" s="113"/>
      <c r="BG23" s="113"/>
      <c r="BH23" s="113"/>
      <c r="BI23" s="112"/>
      <c r="BL23" s="112" t="s">
        <v>148</v>
      </c>
      <c r="BM23" s="99" t="s">
        <v>235</v>
      </c>
      <c r="BN23" s="99" t="s">
        <v>234</v>
      </c>
      <c r="BO23" s="112">
        <f>ROUND((((AW23*AZ23)+(BN23*BM23))/(AW23+BN23)),5)</f>
        <v>1381.54665</v>
      </c>
      <c r="BP23" s="110">
        <f>BN23+AW23</f>
        <v>4272</v>
      </c>
      <c r="BQ23" s="111">
        <v>88363222</v>
      </c>
      <c r="BR23" s="110">
        <f>G23+100</f>
        <v>400</v>
      </c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33" sqref="D33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219</v>
      </c>
      <c r="BN23" s="99" t="s">
        <v>218</v>
      </c>
      <c r="BO23" s="112">
        <f>ROUND((((AW23*AZ23)+(BN23*BM23))/(AW23+BN23)),5)</f>
        <v>877.72680000000003</v>
      </c>
      <c r="BP23" s="110">
        <f>BN23+AW23</f>
        <v>1108</v>
      </c>
      <c r="BQ23" s="111">
        <v>88363222</v>
      </c>
      <c r="BR23" s="110"/>
    </row>
    <row r="24" spans="1:70" ht="15.75" thickBot="1">
      <c r="A24" s="137">
        <v>2</v>
      </c>
      <c r="B24" s="107" t="s">
        <v>217</v>
      </c>
      <c r="C24" s="107" t="s">
        <v>217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216</v>
      </c>
      <c r="BN24" s="99" t="s">
        <v>215</v>
      </c>
      <c r="BO24" s="112">
        <f>ROUND((((AW24*AZ24)+(BN24*BM24))/(AW24+BN24)),5)</f>
        <v>1802.52115</v>
      </c>
      <c r="BP24" s="110">
        <f>BN24+AW24</f>
        <v>388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6" sqref="B6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bestFit="true" customWidth="true" style="99" width="10.5703125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222</v>
      </c>
      <c r="BM23" s="99" t="s">
        <v>224</v>
      </c>
      <c r="BN23" s="99" t="s">
        <v>223</v>
      </c>
      <c r="BO23" s="112">
        <f>ROUND((((AW23*AZ23)+(BN23*BM23))/(AW23+BN23)),5)</f>
        <v>327.91860000000003</v>
      </c>
      <c r="BP23" s="110">
        <f>BN23+AW23</f>
        <v>880</v>
      </c>
      <c r="BQ23" s="111">
        <v>88363222</v>
      </c>
      <c r="BR23" s="110"/>
    </row>
    <row r="24" spans="1:70" ht="15.75" thickBot="1">
      <c r="A24" s="137">
        <v>2</v>
      </c>
      <c r="B24" s="107" t="s">
        <v>217</v>
      </c>
      <c r="C24" s="107" t="s">
        <v>217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222</v>
      </c>
      <c r="BM24" s="99" t="s">
        <v>221</v>
      </c>
      <c r="BN24" s="99" t="s">
        <v>220</v>
      </c>
      <c r="BO24" s="112">
        <f>ROUND((((AW24*AZ24)+(BN24*BM24))/(AW24+BN24)),5)</f>
        <v>257.66773000000001</v>
      </c>
      <c r="BP24" s="110">
        <f>BN24+AW24</f>
        <v>296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15" sqref="D15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bestFit="true" customWidth="true" style="99" width="10.5703125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222</v>
      </c>
      <c r="BM23" s="99" t="s">
        <v>225</v>
      </c>
      <c r="BN23" s="99" t="s">
        <v>173</v>
      </c>
      <c r="BO23" s="112">
        <f>ROUND((((AW23*AZ23)+(BN23*BM23))/(AW23+BN23)),5)</f>
        <v>191.55333999999999</v>
      </c>
      <c r="BP23" s="110">
        <f>BN23+AW23</f>
        <v>30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0" sqref="C20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564.66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187</v>
      </c>
      <c r="AT23" s="112" t="s">
        <v>12</v>
      </c>
      <c r="AU23" s="99" t="s">
        <v>108</v>
      </c>
      <c r="AV23" s="99" t="s">
        <v>231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230</v>
      </c>
      <c r="BN23" s="99" t="s">
        <v>229</v>
      </c>
      <c r="BO23" s="112">
        <f>ROUND((((AW23*AZ23)+(BN23*BM23))/(AW23+BN23)),5)</f>
        <v>1383.7700299999999</v>
      </c>
      <c r="BP23" s="110">
        <f>BN23+AW23</f>
        <v>4176</v>
      </c>
      <c r="BQ23" s="111">
        <v>88363222</v>
      </c>
      <c r="BR23" s="110"/>
    </row>
    <row r="24" spans="1:70" ht="15.75" thickBot="1">
      <c r="A24" s="137">
        <v>2</v>
      </c>
      <c r="B24" s="107" t="s">
        <v>217</v>
      </c>
      <c r="C24" s="107" t="s">
        <v>217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0</v>
      </c>
      <c r="W24" s="116">
        <f>IF($C$21=1,ROUND(((S24*U24)/2),2),0)</f>
        <v>0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0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187</v>
      </c>
      <c r="AT24" s="112" t="s">
        <v>12</v>
      </c>
      <c r="AU24" s="99" t="s">
        <v>108</v>
      </c>
      <c r="AV24" s="99" t="s">
        <v>228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227</v>
      </c>
      <c r="BN24" s="99" t="s">
        <v>226</v>
      </c>
      <c r="BO24" s="112">
        <f>ROUND((((AW24*AZ24)+(BN24*BM24))/(AW24+BN24)),5)</f>
        <v>3417.83961</v>
      </c>
      <c r="BP24" s="110">
        <f>BN24+AW24</f>
        <v>1356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0</v>
      </c>
      <c r="W25" s="105">
        <f>SUM(W23:W24)</f>
        <v>0</v>
      </c>
      <c r="X25" s="105">
        <f>SUM(X23:X23)</f>
        <v>0</v>
      </c>
      <c r="Y25" s="105"/>
      <c r="Z25" s="105"/>
      <c r="AA25" s="105"/>
      <c r="AB25" s="104">
        <f>SUM(AB23:AB24)</f>
        <v>0</v>
      </c>
      <c r="AC25" s="102">
        <f>SUM(AC23:AC24)</f>
        <v>1129.32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7" sqref="D27"/>
    </sheetView>
  </sheetViews>
  <sheetFormatPr defaultColWidth="9" defaultRowHeight="15"/>
  <cols>
    <col min="1" max="1" style="99" width="9.0"/>
    <col min="2" max="2" customWidth="true" style="99" width="26.85546875"/>
    <col min="3" max="3" customWidth="true" style="99" width="19.28515625"/>
    <col min="4" max="4" customWidth="true" style="99" width="80.42578125"/>
    <col min="5" max="5" customWidth="true" style="99" width="10.42578125"/>
    <col min="6" max="6" customWidth="true" style="99" width="8.28515625"/>
    <col min="7" max="7" customWidth="true" style="99" width="10.140625"/>
    <col min="8" max="8" customWidth="true" style="99" width="11.85546875"/>
    <col min="9" max="10" style="99" width="9.0"/>
    <col min="11" max="11" customWidth="true" style="99" width="6.28515625"/>
    <col min="12" max="28" style="99" width="9.0"/>
    <col min="29" max="29" customWidth="true" style="99" width="10.28515625"/>
    <col min="30" max="30" customWidth="true" style="99" width="12.85546875"/>
    <col min="31" max="31" customWidth="true" style="99" width="8.7109375"/>
    <col min="32" max="34" style="99" width="9.0"/>
    <col min="35" max="35" customWidth="true" style="99" width="14.28515625"/>
    <col min="36" max="42" style="99" width="9.0"/>
    <col min="43" max="43" customWidth="true" style="99" width="11.85546875"/>
    <col min="44" max="44" customWidth="true" style="99" width="23.28515625"/>
    <col min="45" max="45" style="99" width="9.0"/>
    <col min="46" max="46" customWidth="true" style="99" width="11.85546875"/>
    <col min="47" max="47" customWidth="true" style="99" width="15.28515625"/>
    <col min="48" max="48" customWidth="true" style="99" width="20.28515625"/>
    <col min="49" max="49" customWidth="true" style="99" width="11.42578125"/>
    <col min="50" max="50" style="99" width="9.0"/>
    <col min="51" max="51" customWidth="true" style="99" width="13.85546875"/>
    <col min="52" max="52" bestFit="true" customWidth="true" style="99" width="18.85546875"/>
    <col min="53" max="53" bestFit="true" customWidth="true" style="99" width="19.0"/>
    <col min="54" max="59" style="99" width="9.0"/>
    <col min="60" max="60" customWidth="true" style="99" width="12.5703125"/>
    <col min="61" max="61" customWidth="true" style="99" width="21.7109375"/>
    <col min="62" max="63" customWidth="true" style="99" width="30.5703125"/>
    <col min="64" max="64" style="99" width="9.0"/>
    <col min="65" max="65" customWidth="true" style="99" width="41.140625"/>
    <col min="66" max="66" customWidth="true" style="99" width="37.0"/>
    <col min="67" max="67" customWidth="true" style="99" width="18.85546875"/>
    <col min="68" max="68" customWidth="true" style="99" width="34.42578125"/>
    <col min="69" max="16384" style="99" width="9.0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178</v>
      </c>
      <c r="C23" s="107" t="s">
        <v>178</v>
      </c>
      <c r="D23" s="107" t="s">
        <v>12</v>
      </c>
      <c r="E23" s="107" t="s">
        <v>12</v>
      </c>
      <c r="F23" s="116">
        <v>2</v>
      </c>
      <c r="G23" s="116">
        <v>30</v>
      </c>
      <c r="H23" s="116">
        <f>F23*G23</f>
        <v>60</v>
      </c>
      <c r="I23" s="116">
        <v>1</v>
      </c>
      <c r="J23" s="116">
        <v>2</v>
      </c>
      <c r="K23" s="116">
        <v>3</v>
      </c>
      <c r="L23" s="116">
        <f>H23</f>
        <v>60</v>
      </c>
      <c r="M23" s="116">
        <f>ROUND(L23*I23%,2)</f>
        <v>0.6</v>
      </c>
      <c r="N23" s="116">
        <f>H23-M23</f>
        <v>59.4</v>
      </c>
      <c r="O23" s="116">
        <f>ROUND(N23*J23%,2)</f>
        <v>1.19</v>
      </c>
      <c r="P23" s="116">
        <f>ROUND(N23-O23,2)</f>
        <v>58.21</v>
      </c>
      <c r="Q23" s="116">
        <f>ROUND(P23*K23%,2)</f>
        <v>1.75</v>
      </c>
      <c r="R23" s="116">
        <f>M23+O23+Q23</f>
        <v>3.54</v>
      </c>
      <c r="S23" s="116">
        <f>(H23-R23)</f>
        <v>56.46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56.46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56.46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28.23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28.23</v>
      </c>
      <c r="AS23" s="99" t="s">
        <v>187</v>
      </c>
      <c r="AT23" s="112" t="s">
        <v>12</v>
      </c>
      <c r="AU23" s="99" t="s">
        <v>108</v>
      </c>
      <c r="AV23" s="99" t="s">
        <v>231</v>
      </c>
      <c r="AW23" s="112">
        <f>AM23</f>
        <v>2</v>
      </c>
      <c r="AX23" s="112">
        <f>AR23</f>
        <v>28.23</v>
      </c>
      <c r="AY23" s="112">
        <f>AU23+AW23</f>
        <v>2</v>
      </c>
      <c r="AZ23" s="112">
        <f>ROUND(((AU23*AV23)+(AW23*AX23))/(AU23+AW23),5)</f>
        <v>28.23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233</v>
      </c>
      <c r="BN23" s="99" t="s">
        <v>232</v>
      </c>
      <c r="BO23" s="112">
        <f>ROUND((((AW23*AZ23)+(BN23*BM23))/(AW23+BN23)),5)</f>
        <v>1392.662</v>
      </c>
      <c r="BP23" s="110">
        <f>BN23+AW23</f>
        <v>4226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3.54</v>
      </c>
      <c r="S24" s="106">
        <f>SUM(S23:S23)</f>
        <v>56.46</v>
      </c>
      <c r="T24" s="104"/>
      <c r="U24" s="104"/>
      <c r="V24" s="105">
        <f>SUM(V23:V23)</f>
        <v>0</v>
      </c>
      <c r="W24" s="105">
        <f>SUM(W23:W23)</f>
        <v>0</v>
      </c>
      <c r="X24" s="105">
        <f>SUM(X23:X23)</f>
        <v>0</v>
      </c>
      <c r="Y24" s="105"/>
      <c r="Z24" s="105"/>
      <c r="AA24" s="105"/>
      <c r="AB24" s="104">
        <f>SUM(AB23:AB23)</f>
        <v>0</v>
      </c>
      <c r="AC24" s="102">
        <f>SUM(AC23:AC23)</f>
        <v>56.46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56.46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IF(OR([1]DirectGrnGenUD!$C$21=1,[1]DirectGrnGenUD!$C$21=4),ROUND(((S16*U16)/2),2),0)</f>
        <v>42.18</v>
      </c>
      <c r="W16" s="46">
        <f>IF([1]DirectGrnGenUD!$C$21=1,ROUND(((S16*U16)/2),2),0)</f>
        <v>42.18</v>
      </c>
      <c r="X16" s="46">
        <f>IF([1]DirectGrnGenUD!$C$21=2,ROUND(((S16*U16)),2),0)</f>
        <v>0</v>
      </c>
      <c r="Y16" s="46">
        <f>IF([1]DirectGrnGenUD!$C$21=4,ROUND(((S16*U16)/2),2),0)</f>
        <v>0</v>
      </c>
      <c r="Z16" s="47">
        <v>0.06</v>
      </c>
      <c r="AA16" s="46">
        <f>IF([1]DirectGrnGenUD!$C22=3,0,S16*Z16)</f>
        <v>28.119600000000002</v>
      </c>
      <c r="AB16" s="46">
        <f>V16+W16+X16+Y16+AA16</f>
        <v>112.4796</v>
      </c>
      <c r="AC16" s="46">
        <f>IF([1]DirectGrnGenUD!$V22=1,S16+AB16,S16)</f>
        <v>468.66</v>
      </c>
      <c r="AD16" s="46">
        <v>120</v>
      </c>
      <c r="AE16" s="46">
        <f>IF([1]DirectGrnGenUD!$P$21=1,(S16/[1]DirectGrnGenUD!$S$24)*[1]DirectGrnGenUD!$E$35,AD16/[1]DirectGrnGenUD!$AD$24*[1]DirectGrnGenUD!$E$35)</f>
        <v>0</v>
      </c>
      <c r="AF16" s="46"/>
      <c r="AG16" s="46">
        <f>IF([1]DirectGrnGenUD!$P$21=1,(S16/[1]DirectGrnGenUD!$S$24)*[1]DirectGrnGenUD!$E$37,AD16/[1]DirectGrnGenUD!$AD$24*[1]DirectGrnGenUD!$E$37)</f>
        <v>0</v>
      </c>
      <c r="AH16" s="46">
        <f>IF([1]DirectGrnGenUD!$P$21=1,(S16/[1]DirectGrnGenUD!$S$24)*[1]DirectGrnGenUD!$E$37,AD16/[1]DirectGrnGenUD!$AD$24*[1]DirectGrnGenUD!$E$37)</f>
        <v>0</v>
      </c>
      <c r="AI16" s="46">
        <f>S16*[1]DirectGrnGenUD!$M$21</f>
        <v>468.66</v>
      </c>
      <c r="AJ16" s="46">
        <f>IF([1]DirectGrnGenUD!$C$21=3,0,AG16+AH16)</f>
        <v>0</v>
      </c>
      <c r="AK16" s="46">
        <f>IF([1]DirectGrnGenUD!$C$21=3,AE16+AG16+AH16,0)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IF(OR([1]DirectGrnGenUD!$C$21=1,[1]DirectGrnGenUD!$C$21=4),ROUND(((S17*U17)/2),2),0)</f>
        <v>42.18</v>
      </c>
      <c r="W17" s="46">
        <f>IF([1]DirectGrnGenUD!$C$21=1,ROUND(((S17*U17)/2),2),0)</f>
        <v>42.18</v>
      </c>
      <c r="X17" s="46">
        <f>IF([1]DirectGrnGenUD!$C$21=2,ROUND(((S17*U17)),2),0)</f>
        <v>0</v>
      </c>
      <c r="Y17" s="46">
        <f>IF([1]DirectGrnGenUD!$C$21=4,ROUND(((S17*U17)/2),2),0)</f>
        <v>0</v>
      </c>
      <c r="Z17" s="47">
        <v>0.06</v>
      </c>
      <c r="AA17" s="46">
        <f>IF([1]DirectGrnGenUD!$C28=3,0,S17*Z17)</f>
        <v>28.119600000000002</v>
      </c>
      <c r="AB17" s="46">
        <f>V17+W17+X17+Y17+AA17</f>
        <v>112.4796</v>
      </c>
      <c r="AC17" s="46">
        <f>IF([1]DirectGrnGenUD!$V28=1,S17+AB17,S17)</f>
        <v>468.66</v>
      </c>
      <c r="AD17" s="46">
        <v>120</v>
      </c>
      <c r="AE17" s="46">
        <f>IF([1]DirectGrnGenUD!$P$21=1,(S17/[1]DirectGrnGenUD!$S$24)*[1]DirectGrnGenUD!$E$35,AD17/[1]DirectGrnGenUD!$AD$24*[1]DirectGrnGenUD!$E$35)</f>
        <v>0</v>
      </c>
      <c r="AF17" s="46"/>
      <c r="AG17" s="46">
        <f>IF([1]DirectGrnGenUD!$P$21=1,(S17/[1]DirectGrnGenUD!$S$24)*[1]DirectGrnGenUD!$E$37,AD17/[1]DirectGrnGenUD!$AD$24*[1]DirectGrnGenUD!$E$37)</f>
        <v>0</v>
      </c>
      <c r="AH17" s="46">
        <f>IF([1]DirectGrnGenUD!$P$21=1,(S17/[1]DirectGrnGenUD!$S$24)*[1]DirectGrnGenUD!$E$37,AD17/[1]DirectGrnGenUD!$AD$24*[1]DirectGrnGenUD!$E$37)</f>
        <v>0</v>
      </c>
      <c r="AI17" s="46">
        <f>S17*[1]DirectGrnGenUD!$M$21</f>
        <v>468.66</v>
      </c>
      <c r="AJ17" s="46">
        <f>IF([1]DirectGrnGenUD!$C$21=3,0,AG17+AH17)</f>
        <v>0</v>
      </c>
      <c r="AK17" s="46">
        <f>IF([1]DirectGrnGenUD!$C$21=3,AE17+AG17+AH17,0)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IF(OR([1]DirectGrnGenUD!$C$21=1,[1]DirectGrnGenUD!$C$21=4),ROUND(((S18*U18)/2),2),0)</f>
        <v>42.18</v>
      </c>
      <c r="W18" s="46">
        <f>IF([1]DirectGrnGenUD!$C$21=1,ROUND(((S18*U18)/2),2),0)</f>
        <v>42.18</v>
      </c>
      <c r="X18" s="46">
        <f>IF([1]DirectGrnGenUD!$C$21=2,ROUND(((S18*U18)),2),0)</f>
        <v>0</v>
      </c>
      <c r="Y18" s="46">
        <f>IF([1]DirectGrnGenUD!$C$21=4,ROUND(((S18*U18)/2),2),0)</f>
        <v>0</v>
      </c>
      <c r="Z18" s="47">
        <v>0.06</v>
      </c>
      <c r="AA18" s="46">
        <f>IF([1]DirectGrnGenUD!$C27=3,0,S18*Z18)</f>
        <v>28.119600000000002</v>
      </c>
      <c r="AB18" s="46">
        <f>V18+W18+X18+Y18+AA18</f>
        <v>112.4796</v>
      </c>
      <c r="AC18" s="46">
        <f>IF([1]DirectGrnGenUD!$V27=1,S18+AB18,S18)</f>
        <v>468.66</v>
      </c>
      <c r="AD18" s="46">
        <v>120</v>
      </c>
      <c r="AE18" s="46">
        <f>IF([1]DirectGrnGenUD!$P$21=1,(S18/[1]DirectGrnGenUD!$S$24)*[1]DirectGrnGenUD!$E$35,AD18/[1]DirectGrnGenUD!$AD$24*[1]DirectGrnGenUD!$E$35)</f>
        <v>0</v>
      </c>
      <c r="AF18" s="46"/>
      <c r="AG18" s="46">
        <f>IF([1]DirectGrnGenUD!$P$21=1,(S18/[1]DirectGrnGenUD!$S$24)*[1]DirectGrnGenUD!$E$37,AD18/[1]DirectGrnGenUD!$AD$24*[1]DirectGrnGenUD!$E$37)</f>
        <v>0</v>
      </c>
      <c r="AH18" s="46">
        <f>IF([1]DirectGrnGenUD!$P$21=1,(S18/[1]DirectGrnGenUD!$S$24)*[1]DirectGrnGenUD!$E$37,AD18/[1]DirectGrnGenUD!$AD$24*[1]DirectGrnGenUD!$E$37)</f>
        <v>0</v>
      </c>
      <c r="AI18" s="46">
        <f>S18*[1]DirectGrnGenUD!$M$21</f>
        <v>468.66</v>
      </c>
      <c r="AJ18" s="46">
        <f>IF([1]DirectGrnGenUD!$C$21=3,0,AG18+AH18)</f>
        <v>0</v>
      </c>
      <c r="AK18" s="46">
        <f>IF([1]DirectGrnGenUD!$C$21=3,AE18+AG18+AH18,0)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8"/>
      <c r="AS1" s="8"/>
    </row>
    <row r="2" spans="1:45" ht="18.75" thickBot="1">
      <c r="A2" s="94" t="s">
        <v>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</row>
    <row r="23" spans="1:73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100.61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100.61</v>
      </c>
      <c r="AC23" s="46">
        <f>IF($V21=1,S23+AB23,S23)</f>
        <v>659.56000000000006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100.61</v>
      </c>
      <c r="Y24" s="55"/>
      <c r="Z24" s="55"/>
      <c r="AA24" s="55"/>
      <c r="AB24" s="53">
        <f>SUM(AB23:AB23)</f>
        <v>100.61</v>
      </c>
      <c r="AC24" s="56">
        <f>SUM(AC23:AC23)</f>
        <v>659.56000000000006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U25"/>
  <sheetViews>
    <sheetView topLeftCell="C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</row>
    <row r="23" spans="1:73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100.62</v>
      </c>
      <c r="AC23" s="46">
        <f>IF($V21=1,S23+AB23,S23)</f>
        <v>659.57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100.62</v>
      </c>
      <c r="AC24" s="56">
        <f>SUM(AC23:AC23)</f>
        <v>659.57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C25"/>
  <sheetViews>
    <sheetView topLeftCell="BO10" workbookViewId="0">
      <selection activeCell="BZ23" sqref="B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4" max="74" bestFit="true" customWidth="true" width="12.85546875"/>
    <col min="75" max="75" bestFit="true" customWidth="true" width="9.140625"/>
    <col min="78" max="78" bestFit="true" customWidth="true" width="17.5703125"/>
    <col min="79" max="79" bestFit="true" customWidth="true" width="14.0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  <c r="AS1" s="74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4"/>
      <c r="AS2" s="74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4"/>
    </row>
    <row r="4" spans="1:45">
      <c r="A4" s="75">
        <v>1</v>
      </c>
      <c r="B4" s="76" t="s">
        <v>10</v>
      </c>
      <c r="C4" s="76" t="s">
        <v>11</v>
      </c>
      <c r="D4" s="76" t="s">
        <v>12</v>
      </c>
      <c r="E4" s="76" t="s">
        <v>12</v>
      </c>
      <c r="F4" s="77">
        <v>25</v>
      </c>
      <c r="G4" s="78">
        <v>257.63</v>
      </c>
      <c r="H4" s="79">
        <f t="shared" ref="H4:H18" si="0">F4*G4</f>
        <v>6440.75</v>
      </c>
      <c r="I4" s="80"/>
      <c r="J4" s="80"/>
      <c r="K4" s="80"/>
      <c r="L4" s="81"/>
      <c r="M4" s="81"/>
      <c r="N4" s="81"/>
      <c r="O4" s="81"/>
      <c r="P4" s="81"/>
      <c r="Q4" s="81"/>
      <c r="R4" s="81"/>
      <c r="S4" s="81"/>
      <c r="T4" s="81"/>
      <c r="U4" s="80"/>
      <c r="V4" s="80"/>
      <c r="W4" s="80"/>
      <c r="X4" s="80"/>
      <c r="Y4" s="80"/>
      <c r="Z4" s="80"/>
      <c r="AA4" s="80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74"/>
    </row>
    <row r="5" spans="1:45">
      <c r="A5" s="75">
        <v>2</v>
      </c>
      <c r="B5" s="76" t="s">
        <v>13</v>
      </c>
      <c r="C5" s="76" t="s">
        <v>14</v>
      </c>
      <c r="D5" s="76" t="s">
        <v>12</v>
      </c>
      <c r="E5" s="76" t="s">
        <v>12</v>
      </c>
      <c r="F5" s="77">
        <v>35</v>
      </c>
      <c r="G5" s="78">
        <v>125.45</v>
      </c>
      <c r="H5" s="79">
        <f t="shared" si="0"/>
        <v>4390.75</v>
      </c>
      <c r="I5" s="80"/>
      <c r="J5" s="80"/>
      <c r="K5" s="80"/>
      <c r="L5" s="81"/>
      <c r="M5" s="81"/>
      <c r="N5" s="81"/>
      <c r="O5" s="81"/>
      <c r="P5" s="81"/>
      <c r="Q5" s="81"/>
      <c r="R5" s="81"/>
      <c r="S5" s="81"/>
      <c r="T5" s="81"/>
      <c r="U5" s="80"/>
      <c r="V5" s="80"/>
      <c r="W5" s="80"/>
      <c r="X5" s="80"/>
      <c r="Y5" s="80"/>
      <c r="Z5" s="80"/>
      <c r="AA5" s="80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74"/>
    </row>
    <row r="6" spans="1:45">
      <c r="A6" s="75">
        <v>3</v>
      </c>
      <c r="B6" s="76" t="s">
        <v>15</v>
      </c>
      <c r="C6" s="76" t="s">
        <v>16</v>
      </c>
      <c r="D6" s="76" t="s">
        <v>12</v>
      </c>
      <c r="E6" s="76" t="s">
        <v>12</v>
      </c>
      <c r="F6" s="77">
        <v>45</v>
      </c>
      <c r="G6" s="78">
        <v>125.36</v>
      </c>
      <c r="H6" s="79">
        <f t="shared" si="0"/>
        <v>5641.2</v>
      </c>
      <c r="I6" s="80"/>
      <c r="J6" s="80"/>
      <c r="K6" s="80"/>
      <c r="L6" s="81"/>
      <c r="M6" s="81"/>
      <c r="N6" s="81"/>
      <c r="O6" s="81"/>
      <c r="P6" s="81"/>
      <c r="Q6" s="81"/>
      <c r="R6" s="81"/>
      <c r="S6" s="81"/>
      <c r="T6" s="81"/>
      <c r="U6" s="80"/>
      <c r="V6" s="80"/>
      <c r="W6" s="80"/>
      <c r="X6" s="80"/>
      <c r="Y6" s="80"/>
      <c r="Z6" s="80"/>
      <c r="AA6" s="80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74"/>
    </row>
    <row r="7" spans="1:45">
      <c r="A7" s="75">
        <v>4</v>
      </c>
      <c r="B7" s="76" t="s">
        <v>17</v>
      </c>
      <c r="C7" s="76" t="s">
        <v>18</v>
      </c>
      <c r="D7" s="76" t="s">
        <v>12</v>
      </c>
      <c r="E7" s="76" t="s">
        <v>12</v>
      </c>
      <c r="F7" s="77">
        <v>55</v>
      </c>
      <c r="G7" s="78">
        <v>45.25</v>
      </c>
      <c r="H7" s="79">
        <f t="shared" si="0"/>
        <v>2488.75</v>
      </c>
      <c r="I7" s="80"/>
      <c r="J7" s="80"/>
      <c r="K7" s="80"/>
      <c r="L7" s="81"/>
      <c r="M7" s="81"/>
      <c r="N7" s="81"/>
      <c r="O7" s="81"/>
      <c r="P7" s="81"/>
      <c r="Q7" s="81"/>
      <c r="R7" s="81"/>
      <c r="S7" s="81"/>
      <c r="T7" s="81"/>
      <c r="U7" s="80"/>
      <c r="V7" s="80"/>
      <c r="W7" s="80"/>
      <c r="X7" s="80"/>
      <c r="Y7" s="80"/>
      <c r="Z7" s="80"/>
      <c r="AA7" s="80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74"/>
    </row>
    <row r="8" spans="1:45">
      <c r="A8" s="75">
        <v>5</v>
      </c>
      <c r="B8" s="76" t="s">
        <v>19</v>
      </c>
      <c r="C8" s="76" t="s">
        <v>20</v>
      </c>
      <c r="D8" s="76" t="s">
        <v>12</v>
      </c>
      <c r="E8" s="76" t="s">
        <v>12</v>
      </c>
      <c r="F8" s="77">
        <v>60</v>
      </c>
      <c r="G8" s="78">
        <v>45.5</v>
      </c>
      <c r="H8" s="79">
        <f t="shared" si="0"/>
        <v>2730</v>
      </c>
      <c r="I8" s="80"/>
      <c r="J8" s="80"/>
      <c r="K8" s="80"/>
      <c r="L8" s="81"/>
      <c r="M8" s="81"/>
      <c r="N8" s="81"/>
      <c r="O8" s="81"/>
      <c r="P8" s="81"/>
      <c r="Q8" s="81"/>
      <c r="R8" s="81"/>
      <c r="S8" s="81"/>
      <c r="T8" s="81"/>
      <c r="U8" s="80"/>
      <c r="V8" s="80"/>
      <c r="W8" s="80"/>
      <c r="X8" s="80"/>
      <c r="Y8" s="80"/>
      <c r="Z8" s="80"/>
      <c r="AA8" s="80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74"/>
    </row>
    <row r="9" spans="1:45">
      <c r="A9" s="75">
        <v>6</v>
      </c>
      <c r="B9" s="76" t="s">
        <v>21</v>
      </c>
      <c r="C9" s="76" t="s">
        <v>22</v>
      </c>
      <c r="D9" s="76" t="s">
        <v>12</v>
      </c>
      <c r="E9" s="76" t="s">
        <v>12</v>
      </c>
      <c r="F9" s="77">
        <v>75</v>
      </c>
      <c r="G9" s="78">
        <v>125.25</v>
      </c>
      <c r="H9" s="79">
        <f t="shared" si="0"/>
        <v>9393.75</v>
      </c>
      <c r="I9" s="80"/>
      <c r="J9" s="80"/>
      <c r="K9" s="80"/>
      <c r="L9" s="81"/>
      <c r="M9" s="81"/>
      <c r="N9" s="81"/>
      <c r="O9" s="81"/>
      <c r="P9" s="81"/>
      <c r="Q9" s="81"/>
      <c r="R9" s="81"/>
      <c r="S9" s="81"/>
      <c r="T9" s="81"/>
      <c r="U9" s="80"/>
      <c r="V9" s="80"/>
      <c r="W9" s="80"/>
      <c r="X9" s="80"/>
      <c r="Y9" s="80"/>
      <c r="Z9" s="80"/>
      <c r="AA9" s="80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74"/>
    </row>
    <row r="10" spans="1:45">
      <c r="A10" s="75">
        <v>7</v>
      </c>
      <c r="B10" s="76" t="s">
        <v>23</v>
      </c>
      <c r="C10" s="76" t="s">
        <v>24</v>
      </c>
      <c r="D10" s="76" t="s">
        <v>12</v>
      </c>
      <c r="E10" s="76" t="s">
        <v>12</v>
      </c>
      <c r="F10" s="77">
        <v>28</v>
      </c>
      <c r="G10" s="78">
        <v>150.5</v>
      </c>
      <c r="H10" s="79">
        <f t="shared" si="0"/>
        <v>4214</v>
      </c>
      <c r="I10" s="80"/>
      <c r="J10" s="80"/>
      <c r="K10" s="80"/>
      <c r="L10" s="81"/>
      <c r="M10" s="81"/>
      <c r="N10" s="81"/>
      <c r="O10" s="81"/>
      <c r="P10" s="81"/>
      <c r="Q10" s="81"/>
      <c r="R10" s="81"/>
      <c r="S10" s="81"/>
      <c r="T10" s="81"/>
      <c r="U10" s="80"/>
      <c r="V10" s="80"/>
      <c r="W10" s="80"/>
      <c r="X10" s="80"/>
      <c r="Y10" s="80"/>
      <c r="Z10" s="80"/>
      <c r="AA10" s="80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74"/>
    </row>
    <row r="11" spans="1:45">
      <c r="A11" s="75">
        <v>8</v>
      </c>
      <c r="B11" s="76" t="s">
        <v>25</v>
      </c>
      <c r="C11" s="76" t="s">
        <v>26</v>
      </c>
      <c r="D11" s="76" t="s">
        <v>12</v>
      </c>
      <c r="E11" s="76" t="s">
        <v>12</v>
      </c>
      <c r="F11" s="77">
        <v>30</v>
      </c>
      <c r="G11" s="78">
        <v>65.319999999999993</v>
      </c>
      <c r="H11" s="79">
        <f t="shared" si="0"/>
        <v>1959.6</v>
      </c>
      <c r="I11" s="80"/>
      <c r="J11" s="80"/>
      <c r="K11" s="80"/>
      <c r="L11" s="81"/>
      <c r="M11" s="81"/>
      <c r="N11" s="81"/>
      <c r="O11" s="81"/>
      <c r="P11" s="81"/>
      <c r="Q11" s="81"/>
      <c r="R11" s="81"/>
      <c r="S11" s="81"/>
      <c r="T11" s="81"/>
      <c r="U11" s="80"/>
      <c r="V11" s="80"/>
      <c r="W11" s="80"/>
      <c r="X11" s="80"/>
      <c r="Y11" s="80"/>
      <c r="Z11" s="80"/>
      <c r="AA11" s="80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74"/>
    </row>
    <row r="12" spans="1:45">
      <c r="A12" s="75">
        <v>9</v>
      </c>
      <c r="B12" s="76" t="s">
        <v>27</v>
      </c>
      <c r="C12" s="76" t="s">
        <v>28</v>
      </c>
      <c r="D12" s="76" t="s">
        <v>12</v>
      </c>
      <c r="E12" s="76" t="s">
        <v>12</v>
      </c>
      <c r="F12" s="77">
        <v>25</v>
      </c>
      <c r="G12" s="78">
        <v>74.89</v>
      </c>
      <c r="H12" s="79">
        <f t="shared" si="0"/>
        <v>1872.25</v>
      </c>
      <c r="I12" s="80"/>
      <c r="J12" s="80"/>
      <c r="K12" s="80"/>
      <c r="L12" s="81"/>
      <c r="M12" s="81"/>
      <c r="N12" s="81"/>
      <c r="O12" s="81"/>
      <c r="P12" s="81"/>
      <c r="Q12" s="81"/>
      <c r="R12" s="81"/>
      <c r="S12" s="81"/>
      <c r="T12" s="81"/>
      <c r="U12" s="80"/>
      <c r="V12" s="80"/>
      <c r="W12" s="80"/>
      <c r="X12" s="80"/>
      <c r="Y12" s="80"/>
      <c r="Z12" s="80"/>
      <c r="AA12" s="80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74"/>
    </row>
    <row r="13" spans="1:45">
      <c r="A13" s="75">
        <v>10</v>
      </c>
      <c r="B13" s="76" t="s">
        <v>29</v>
      </c>
      <c r="C13" s="76" t="s">
        <v>30</v>
      </c>
      <c r="D13" s="76" t="s">
        <v>12</v>
      </c>
      <c r="E13" s="76" t="s">
        <v>12</v>
      </c>
      <c r="F13" s="77">
        <v>28</v>
      </c>
      <c r="G13" s="78">
        <v>89.56</v>
      </c>
      <c r="H13" s="79">
        <f t="shared" si="0"/>
        <v>2507.6800000000003</v>
      </c>
      <c r="I13" s="80"/>
      <c r="J13" s="80"/>
      <c r="K13" s="80"/>
      <c r="L13" s="81"/>
      <c r="M13" s="81"/>
      <c r="N13" s="81"/>
      <c r="O13" s="81"/>
      <c r="P13" s="81"/>
      <c r="Q13" s="81"/>
      <c r="R13" s="81"/>
      <c r="S13" s="81"/>
      <c r="T13" s="81"/>
      <c r="U13" s="80"/>
      <c r="V13" s="80"/>
      <c r="W13" s="80"/>
      <c r="X13" s="80"/>
      <c r="Y13" s="80"/>
      <c r="Z13" s="80"/>
      <c r="AA13" s="80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74"/>
    </row>
    <row r="14" spans="1:45">
      <c r="A14" s="75">
        <v>11</v>
      </c>
      <c r="B14" s="76" t="s">
        <v>31</v>
      </c>
      <c r="C14" s="76" t="s">
        <v>32</v>
      </c>
      <c r="D14" s="76" t="s">
        <v>12</v>
      </c>
      <c r="E14" s="76" t="s">
        <v>12</v>
      </c>
      <c r="F14" s="77">
        <v>37</v>
      </c>
      <c r="G14" s="78">
        <v>89.54</v>
      </c>
      <c r="H14" s="79">
        <f t="shared" si="0"/>
        <v>3312.98</v>
      </c>
      <c r="I14" s="80"/>
      <c r="J14" s="80"/>
      <c r="K14" s="80"/>
      <c r="L14" s="81"/>
      <c r="M14" s="81"/>
      <c r="N14" s="81"/>
      <c r="O14" s="81"/>
      <c r="P14" s="81"/>
      <c r="Q14" s="81"/>
      <c r="R14" s="81"/>
      <c r="S14" s="81"/>
      <c r="T14" s="81"/>
      <c r="U14" s="80"/>
      <c r="V14" s="80"/>
      <c r="W14" s="80"/>
      <c r="X14" s="80"/>
      <c r="Y14" s="80"/>
      <c r="Z14" s="80"/>
      <c r="AA14" s="80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74"/>
    </row>
    <row r="15" spans="1:45">
      <c r="A15" s="75">
        <v>12</v>
      </c>
      <c r="B15" s="76" t="s">
        <v>33</v>
      </c>
      <c r="C15" s="76" t="s">
        <v>34</v>
      </c>
      <c r="D15" s="76" t="s">
        <v>12</v>
      </c>
      <c r="E15" s="76" t="s">
        <v>12</v>
      </c>
      <c r="F15" s="77">
        <v>39</v>
      </c>
      <c r="G15" s="78">
        <v>98.25</v>
      </c>
      <c r="H15" s="79">
        <f t="shared" si="0"/>
        <v>3831.75</v>
      </c>
      <c r="I15" s="80"/>
      <c r="J15" s="80"/>
      <c r="K15" s="80"/>
      <c r="L15" s="81"/>
      <c r="M15" s="81"/>
      <c r="N15" s="81"/>
      <c r="O15" s="81"/>
      <c r="P15" s="81"/>
      <c r="Q15" s="81"/>
      <c r="R15" s="81"/>
      <c r="S15" s="81"/>
      <c r="T15" s="81"/>
      <c r="U15" s="80"/>
      <c r="V15" s="80"/>
      <c r="W15" s="80"/>
      <c r="X15" s="80"/>
      <c r="Y15" s="80"/>
      <c r="Z15" s="80"/>
      <c r="AA15" s="80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74"/>
    </row>
    <row r="16" spans="1:45">
      <c r="A16" s="75">
        <v>13</v>
      </c>
      <c r="B16" s="76" t="s">
        <v>35</v>
      </c>
      <c r="C16" s="76" t="s">
        <v>36</v>
      </c>
      <c r="D16" s="76" t="s">
        <v>12</v>
      </c>
      <c r="E16" s="76" t="s">
        <v>12</v>
      </c>
      <c r="F16" s="77">
        <v>70</v>
      </c>
      <c r="G16" s="78">
        <v>102.25</v>
      </c>
      <c r="H16" s="79">
        <f t="shared" si="0"/>
        <v>7157.5</v>
      </c>
      <c r="I16" s="80"/>
      <c r="J16" s="80"/>
      <c r="K16" s="80"/>
      <c r="L16" s="81"/>
      <c r="M16" s="81"/>
      <c r="N16" s="81"/>
      <c r="O16" s="81"/>
      <c r="P16" s="81"/>
      <c r="Q16" s="81"/>
      <c r="R16" s="81"/>
      <c r="S16" s="81"/>
      <c r="T16" s="81"/>
      <c r="U16" s="80"/>
      <c r="V16" s="80"/>
      <c r="W16" s="80"/>
      <c r="X16" s="80"/>
      <c r="Y16" s="80"/>
      <c r="Z16" s="80"/>
      <c r="AA16" s="80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74"/>
    </row>
    <row r="17" spans="1:81">
      <c r="A17" s="75">
        <v>14</v>
      </c>
      <c r="B17" s="76" t="s">
        <v>37</v>
      </c>
      <c r="C17" s="76" t="s">
        <v>38</v>
      </c>
      <c r="D17" s="76" t="s">
        <v>12</v>
      </c>
      <c r="E17" s="76" t="s">
        <v>12</v>
      </c>
      <c r="F17" s="77">
        <v>100</v>
      </c>
      <c r="G17" s="78">
        <v>103.5</v>
      </c>
      <c r="H17" s="79">
        <f t="shared" si="0"/>
        <v>10350</v>
      </c>
      <c r="I17" s="80"/>
      <c r="J17" s="80"/>
      <c r="K17" s="80"/>
      <c r="L17" s="81"/>
      <c r="M17" s="81"/>
      <c r="N17" s="81"/>
      <c r="O17" s="81"/>
      <c r="P17" s="81"/>
      <c r="Q17" s="81"/>
      <c r="R17" s="81"/>
      <c r="S17" s="1">
        <v>5858.27</v>
      </c>
      <c r="T17" s="81"/>
      <c r="U17" s="80"/>
      <c r="V17" s="80"/>
      <c r="W17" s="80"/>
      <c r="X17" s="80"/>
      <c r="Y17" s="80"/>
      <c r="Z17" s="80"/>
      <c r="AA17" s="80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74"/>
    </row>
    <row r="18" spans="1:81" ht="15.75" thickBot="1">
      <c r="A18" s="82">
        <v>15</v>
      </c>
      <c r="B18" s="83" t="s">
        <v>39</v>
      </c>
      <c r="C18" s="83" t="s">
        <v>40</v>
      </c>
      <c r="D18" s="83" t="s">
        <v>12</v>
      </c>
      <c r="E18" s="83" t="s">
        <v>12</v>
      </c>
      <c r="F18" s="84">
        <v>85</v>
      </c>
      <c r="G18" s="85">
        <v>65.48</v>
      </c>
      <c r="H18" s="86">
        <f t="shared" si="0"/>
        <v>5565.8</v>
      </c>
      <c r="I18" s="80"/>
      <c r="J18" s="80"/>
      <c r="K18" s="80"/>
      <c r="L18" s="81"/>
      <c r="M18" s="81"/>
      <c r="N18" s="81"/>
      <c r="O18" s="81"/>
      <c r="P18" s="81"/>
      <c r="Q18" s="81"/>
      <c r="R18" s="81"/>
      <c r="S18" s="81"/>
      <c r="T18" s="81"/>
      <c r="U18" s="80"/>
      <c r="V18" s="80"/>
      <c r="W18" s="80"/>
      <c r="X18" s="80"/>
      <c r="Y18" s="80"/>
      <c r="Z18" s="80"/>
      <c r="AA18" s="80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74"/>
    </row>
    <row r="19" spans="1:81" ht="15.75" thickTop="1">
      <c r="A19" s="74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87"/>
      <c r="J19" s="87"/>
      <c r="K19" s="87"/>
      <c r="L19" s="87"/>
      <c r="M19" s="87"/>
      <c r="N19" s="87"/>
      <c r="O19" s="87"/>
      <c r="P19" s="87"/>
      <c r="Q19" s="87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4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88"/>
      <c r="J20" s="88"/>
      <c r="K20" s="88"/>
      <c r="L20" s="88"/>
      <c r="M20" s="88"/>
      <c r="N20" s="88"/>
      <c r="O20" s="88"/>
      <c r="P20" s="88"/>
      <c r="Q20" s="88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4"/>
    </row>
    <row r="21" spans="1:81" ht="15.75" thickBot="1">
      <c r="A21" s="164" t="s">
        <v>43</v>
      </c>
      <c r="B21" s="164"/>
      <c r="C21" s="13">
        <v>2</v>
      </c>
      <c r="D21" s="32" t="s">
        <v>138</v>
      </c>
      <c r="E21" s="30"/>
      <c r="F21" s="30"/>
      <c r="G21" s="30"/>
      <c r="H21" s="29"/>
      <c r="I21" s="88" t="s">
        <v>44</v>
      </c>
      <c r="J21" s="88" t="s">
        <v>45</v>
      </c>
      <c r="K21" s="88"/>
      <c r="L21" s="88" t="s">
        <v>46</v>
      </c>
      <c r="M21" s="88">
        <v>1</v>
      </c>
      <c r="N21" s="88"/>
      <c r="O21" s="88" t="s">
        <v>47</v>
      </c>
      <c r="P21" s="88">
        <v>1</v>
      </c>
      <c r="Q21" s="88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4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89" t="s">
        <v>84</v>
      </c>
      <c r="AV22" s="89" t="s">
        <v>85</v>
      </c>
      <c r="AW22" s="89" t="s">
        <v>86</v>
      </c>
      <c r="AX22" s="89" t="s">
        <v>87</v>
      </c>
      <c r="AY22" s="89" t="s">
        <v>88</v>
      </c>
      <c r="AZ22" s="89" t="s">
        <v>89</v>
      </c>
      <c r="BA22" s="89" t="s">
        <v>90</v>
      </c>
      <c r="BB22" s="89" t="s">
        <v>91</v>
      </c>
      <c r="BC22" s="90" t="s">
        <v>92</v>
      </c>
      <c r="BD22" s="90" t="s">
        <v>93</v>
      </c>
      <c r="BE22" s="90" t="s">
        <v>94</v>
      </c>
      <c r="BF22" s="89" t="s">
        <v>95</v>
      </c>
      <c r="BG22" s="89" t="s">
        <v>96</v>
      </c>
      <c r="BH22" s="89" t="s">
        <v>97</v>
      </c>
      <c r="BI22" s="89" t="s">
        <v>98</v>
      </c>
      <c r="BJ22" s="89" t="s">
        <v>99</v>
      </c>
      <c r="BK22" s="89" t="s">
        <v>100</v>
      </c>
      <c r="BL22" s="89" t="s">
        <v>101</v>
      </c>
      <c r="BM22" s="91" t="s">
        <v>102</v>
      </c>
      <c r="BN22" s="89" t="s">
        <v>103</v>
      </c>
      <c r="BO22" s="89" t="s">
        <v>89</v>
      </c>
      <c r="BP22" s="89" t="s">
        <v>104</v>
      </c>
      <c r="BQ22" s="89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  <c r="BV22" s="89" t="s">
        <v>198</v>
      </c>
      <c r="BW22" s="89" t="s">
        <v>199</v>
      </c>
      <c r="BX22" s="89" t="s">
        <v>200</v>
      </c>
      <c r="BY22" s="89" t="s">
        <v>201</v>
      </c>
      <c r="BZ22" s="89" t="s">
        <v>202</v>
      </c>
      <c r="CA22" s="89" t="s">
        <v>203</v>
      </c>
      <c r="CB22" s="89" t="s">
        <v>209</v>
      </c>
      <c r="CC22" s="89" t="s">
        <v>210</v>
      </c>
    </row>
    <row r="23" spans="1:81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2" t="s">
        <v>12</v>
      </c>
      <c r="F23" s="65">
        <v>5</v>
      </c>
      <c r="G23" t="s" s="0">
        <v>128</v>
      </c>
      <c r="H23" s="65">
        <f>F23*G23</f>
        <v>1500</v>
      </c>
      <c r="I23" t="s" s="0">
        <v>127</v>
      </c>
      <c r="J23" s="65">
        <v>2</v>
      </c>
      <c r="K23" s="65">
        <v>3</v>
      </c>
      <c r="L23" s="65">
        <f>H23</f>
        <v>1500</v>
      </c>
      <c r="M23" s="65">
        <f>ROUND(L23*I23%,2)</f>
        <v>30</v>
      </c>
      <c r="N23" s="65">
        <f>H23-M23</f>
        <v>1470</v>
      </c>
      <c r="O23" s="65">
        <f>ROUND(N23*J23%,2)</f>
        <v>29.4</v>
      </c>
      <c r="P23" s="65">
        <f>ROUND(N23-O23,2)</f>
        <v>1440.6</v>
      </c>
      <c r="Q23" s="65">
        <f>ROUND(P23*K23%,2)</f>
        <v>43.22</v>
      </c>
      <c r="R23" s="93">
        <f>ROUND(M23+O23+Q23,3)</f>
        <v>102.62</v>
      </c>
      <c r="S23" s="93">
        <f>(H23-R23)</f>
        <v>1397.38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251.53</v>
      </c>
      <c r="Y23" s="65">
        <f>IF($C$21=4,ROUND(((S23*U23)/2),2),0)</f>
        <v>0</v>
      </c>
      <c r="Z23" s="92">
        <v>0</v>
      </c>
      <c r="AA23" s="65">
        <f>IF($C21=3,0,S23*Z23)</f>
        <v>0</v>
      </c>
      <c r="AB23" s="65">
        <f>V23+W23+X23+Y23+AA23</f>
        <v>251.53</v>
      </c>
      <c r="AC23" s="65">
        <f>IF($V21=1,S23+AB23,S23)</f>
        <v>1648.91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1397.38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279.476</v>
      </c>
      <c r="AO23" s="65">
        <f>AJ23/AM23</f>
        <v>0</v>
      </c>
      <c r="AP23" s="65">
        <f>AK23/AM23</f>
        <v>0</v>
      </c>
      <c r="AQ23" s="65" t="s">
        <v>12</v>
      </c>
      <c r="AR23" s="0">
        <f>AN23+AO23+AP23</f>
        <v>279.476</v>
      </c>
      <c r="AS23" t="s" s="0">
        <v>187</v>
      </c>
      <c r="AT23" s="66" t="s">
        <v>12</v>
      </c>
      <c r="AU23" t="s" s="0">
        <v>108</v>
      </c>
      <c r="AV23" t="s" s="0">
        <v>206</v>
      </c>
      <c r="AW23" s="66">
        <f>AM23</f>
        <v>5</v>
      </c>
      <c r="AX23" s="66">
        <f>ROUND(AR23,3)</f>
        <v>279.476</v>
      </c>
      <c r="AY23" s="66">
        <f>AU23+AW23</f>
        <v>5</v>
      </c>
      <c r="AZ23" s="77">
        <f>ROUND(((AU23*AV23)+(AW23*AX23))/(AU23+AW23),5)</f>
        <v>279.476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 s="0">
        <v>212</v>
      </c>
      <c r="BN23" t="s" s="0">
        <v>211</v>
      </c>
      <c r="BO23" s="66">
        <f>ROUND((((AW23*AZ23)+(BN23*BM23))/(AW23+BN23)),5)</f>
        <v>186.5607</v>
      </c>
      <c r="BP23" s="4">
        <f>BN23+AW23</f>
        <v>2385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  <c r="BV23" t="s" s="0">
        <v>207</v>
      </c>
      <c r="BW23" t="s" s="0">
        <v>207</v>
      </c>
      <c r="BX23" t="s" s="0">
        <v>208</v>
      </c>
      <c r="BY23" t="s" s="0">
        <v>109</v>
      </c>
      <c r="BZ23" s="97">
        <f>S23+CB23+CC23</f>
        <v>2297.38</v>
      </c>
      <c r="CA23" s="97">
        <f>BZ23-BW23</f>
        <v>1365.79</v>
      </c>
      <c r="CB23" s="96">
        <v>300</v>
      </c>
      <c r="CC23" s="96">
        <v>600</v>
      </c>
    </row>
    <row r="24" spans="1:81" ht="15.75" thickBot="1">
      <c r="A24" s="74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251.53</v>
      </c>
      <c r="Y24" s="55"/>
      <c r="Z24" s="55"/>
      <c r="AA24" s="55"/>
      <c r="AB24" s="53">
        <f>SUM(AB23:AB23)</f>
        <v>251.53</v>
      </c>
      <c r="AC24" s="56">
        <f>SUM(AC23:AC23)</f>
        <v>1648.91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4"/>
    </row>
    <row r="25" spans="1:81">
      <c r="A25" s="74"/>
      <c r="B25" s="5"/>
      <c r="C25" s="5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C25"/>
  <sheetViews>
    <sheetView topLeftCell="A13" workbookViewId="0">
      <selection activeCell="C22" sqref="C22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8" max="78" bestFit="true" customWidth="true" width="17.5703125"/>
    <col min="79" max="79" bestFit="true" customWidth="true" width="14.0"/>
    <col min="81" max="81" bestFit="true" customWidth="true" width="17.285156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81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81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81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81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192</v>
      </c>
      <c r="BS22" s="69" t="s">
        <v>193</v>
      </c>
      <c r="BT22" s="69" t="s">
        <v>194</v>
      </c>
      <c r="BU22" s="95" t="s">
        <v>196</v>
      </c>
      <c r="BV22" s="89" t="s">
        <v>198</v>
      </c>
      <c r="BW22" s="89" t="s">
        <v>199</v>
      </c>
      <c r="BX22" s="89" t="s">
        <v>200</v>
      </c>
      <c r="BY22" s="89" t="s">
        <v>201</v>
      </c>
      <c r="BZ22" s="89" t="s">
        <v>202</v>
      </c>
      <c r="CA22" s="89" t="s">
        <v>203</v>
      </c>
      <c r="CB22" s="89" t="s">
        <v>209</v>
      </c>
      <c r="CC22" s="89" t="s">
        <v>210</v>
      </c>
    </row>
    <row r="23" spans="1:81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1500</v>
      </c>
      <c r="I23" t="s" s="0">
        <v>127</v>
      </c>
      <c r="J23" s="46">
        <v>2</v>
      </c>
      <c r="K23" s="46">
        <v>3</v>
      </c>
      <c r="L23" s="46">
        <f>H23</f>
        <v>1500</v>
      </c>
      <c r="M23" s="46">
        <f>ROUND(L23*I23%,2)</f>
        <v>30</v>
      </c>
      <c r="N23" s="46">
        <f>H23-M23</f>
        <v>1470</v>
      </c>
      <c r="O23" s="46">
        <f>ROUND(N23*J23%,2)</f>
        <v>29.4</v>
      </c>
      <c r="P23" s="46">
        <f>ROUND(N23-O23,2)</f>
        <v>1440.6</v>
      </c>
      <c r="Q23" s="46">
        <f>ROUND(P23*K23%,2)</f>
        <v>43.22</v>
      </c>
      <c r="R23" s="72">
        <f>ROUND(M23+O23+Q23,3)</f>
        <v>102.62</v>
      </c>
      <c r="S23" s="72">
        <f>(H23-R23)</f>
        <v>1397.38</v>
      </c>
      <c r="T23" s="65" t="s">
        <v>106</v>
      </c>
      <c r="U23" s="46">
        <v>0.18</v>
      </c>
      <c r="V23" s="72">
        <f>IF(OR($C$21=1,$C$21=4),ROUND(((S23*U23)/2),2),0)</f>
        <v>125.76</v>
      </c>
      <c r="W23" s="72">
        <f>IF($C$21=1,ROUND(((S23*U23)/2),2),0)</f>
        <v>125.76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251.52</v>
      </c>
      <c r="AC23" s="46">
        <f>IF($V21=1,S23+AB23,S23)</f>
        <v>1648.9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1397.38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279.476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279.476</v>
      </c>
      <c r="AS23" t="s" s="0">
        <v>187</v>
      </c>
      <c r="AT23" s="66" t="s">
        <v>12</v>
      </c>
      <c r="AU23" t="s" s="0">
        <v>108</v>
      </c>
      <c r="AV23" t="s" s="0">
        <v>206</v>
      </c>
      <c r="AW23" s="48">
        <f>AM23</f>
        <v>5</v>
      </c>
      <c r="AX23" s="48">
        <f>ROUND(AR23,2)</f>
        <v>279.48</v>
      </c>
      <c r="AY23" s="48">
        <f>AU23+AW23</f>
        <v>5</v>
      </c>
      <c r="AZ23" s="48">
        <f>ROUND(((AU23*AV23)+(AW23*AX23))/(AU23+AW23),5)</f>
        <v>279.48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214</v>
      </c>
      <c r="BN23" t="s" s="0">
        <v>213</v>
      </c>
      <c r="BO23" s="48">
        <f>ROUND((((AW23*AZ23)+(BN23*BM23))/(AW23+BN23)),5)</f>
        <v>186.56370999999999</v>
      </c>
      <c r="BP23" s="4">
        <f>BN23+AW23</f>
        <v>7174</v>
      </c>
      <c r="BQ23" s="50">
        <v>88363222</v>
      </c>
      <c r="BR23" s="4">
        <f>G23+100</f>
        <v>400</v>
      </c>
      <c r="BS23" s="4" t="s">
        <v>195</v>
      </c>
      <c r="BT23" s="70" t="s">
        <v>3</v>
      </c>
      <c r="BU23" t="s" s="0">
        <v>197</v>
      </c>
      <c r="BV23" s="74" t="s">
        <v>204</v>
      </c>
      <c r="BW23" s="74" t="s">
        <v>204</v>
      </c>
      <c r="BX23" s="74">
        <v>5</v>
      </c>
      <c r="BY23" s="74">
        <v>200</v>
      </c>
      <c r="BZ23" s="98">
        <f>AC23+CB23+CC23</f>
        <v>2710.9</v>
      </c>
      <c r="CA23" s="96">
        <f>BZ23-BW23</f>
        <v>2335.9</v>
      </c>
      <c r="CB23" s="96">
        <f>300+CB24</f>
        <v>354</v>
      </c>
      <c r="CC23" s="96">
        <f>600+CC24</f>
        <v>708</v>
      </c>
    </row>
    <row r="24" spans="1:81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125.76</v>
      </c>
      <c r="W24" s="55">
        <f>SUM(W23:W23)</f>
        <v>125.76</v>
      </c>
      <c r="X24" s="55">
        <f>SUM(X23:X23)</f>
        <v>0</v>
      </c>
      <c r="Y24" s="55"/>
      <c r="Z24" s="55"/>
      <c r="AA24" s="55"/>
      <c r="AB24" s="53">
        <f>SUM(AB23:AB23)</f>
        <v>251.52</v>
      </c>
      <c r="AC24" s="56">
        <f>SUM(AC23:AC23)</f>
        <v>1648.9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  <c r="CB24" s="0">
        <f>300*U23</f>
        <v>54</v>
      </c>
      <c r="CC24" s="0">
        <f>600*U23</f>
        <v>108</v>
      </c>
    </row>
    <row r="25" spans="1:81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45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IF([1]DirectGrnGenUD!$C$21=1,ROUND(((S23*U23)/2),2),0)</f>
        <v>50.82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33.879599999999996</v>
      </c>
      <c r="AB23" s="46">
        <f>V23+W23+X23+Y23+AA23</f>
        <v>135.5196</v>
      </c>
      <c r="AC23" s="46">
        <f>IF([1]DirectGrnGenUD!$V32=1,S23+AB23,S23)</f>
        <v>564.66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564.66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G13" workbookViewId="0">
      <selection activeCell="Z23" sqref="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181</v>
      </c>
      <c r="C23" s="2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33.879599999999996</v>
      </c>
      <c r="AB23" s="46">
        <f>V23+W23+X23+Y23+AA23</f>
        <v>135.5196</v>
      </c>
      <c r="AC23" s="46">
        <f>IF($V32=1,S23+AB23,S23)</f>
        <v>564.66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28233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14116.5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14116.5</v>
      </c>
      <c r="AS23" t="s" s="0">
        <v>187</v>
      </c>
      <c r="AT23" s="48" t="s">
        <v>12</v>
      </c>
      <c r="AW23" s="48">
        <f>AM23</f>
        <v>2</v>
      </c>
      <c r="AX23" s="48">
        <f>AR23</f>
        <v>14116.5</v>
      </c>
      <c r="AY23" s="48">
        <f>AU23+AW23</f>
        <v>2</v>
      </c>
      <c r="AZ23" s="48">
        <f>ROUND(((AU23*AV23)+(AW23*AX23))/(AU23+AW23),5)</f>
        <v>14116.5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14116.5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28233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158</v>
      </c>
      <c r="AV23" t="s" s="0">
        <v>176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177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BL7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178</v>
      </c>
      <c r="C23" s="2" t="s">
        <v>178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Q23" sqref="BQ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179</v>
      </c>
      <c r="C23" s="45" t="s">
        <v>179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K13" workbookViewId="0">
      <selection activeCell="V23" sqref="V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237</v>
      </c>
      <c r="BN23" t="s" s="0">
        <v>236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6"/>
  <sheetViews>
    <sheetView topLeftCell="K8" workbookViewId="0">
      <selection activeCell="AD23" sqref="AD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187</v>
      </c>
      <c r="AT23" s="48" t="s">
        <v>12</v>
      </c>
      <c r="AU23" t="s" s="0">
        <v>108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239</v>
      </c>
      <c r="BN23" t="s" s="0">
        <v>238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L10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183</v>
      </c>
      <c r="C23" s="45" t="s">
        <v>183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O23" sqref="BO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187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243</v>
      </c>
      <c r="BN23" t="s" s="0">
        <v>242</v>
      </c>
      <c r="BO23" s="48">
        <f>ROUND((((AW23*AZ23)+(BN23*BM23))/(AW23+BN23)),5)</f>
        <v>843.82912999999996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O10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187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191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topLeftCell="AS16" workbookViewId="0">
      <selection activeCell="BH23" sqref="B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M14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187</v>
      </c>
      <c r="AT23" s="48" t="s">
        <v>12</v>
      </c>
      <c r="AU23" t="s" s="0">
        <v>108</v>
      </c>
      <c r="AV23" t="s" s="0">
        <v>244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246</v>
      </c>
      <c r="BN23" t="s" s="0">
        <v>245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topLeftCell="E13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3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46">
        <f>M23+O23+Q23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33.536999999999999</v>
      </c>
      <c r="AB23" s="46">
        <f>V23+W23+X23+Y23+AA23</f>
        <v>134.15700000000001</v>
      </c>
      <c r="AC23" s="46">
        <f>IF($V21=1,S23+AB23,S23)</f>
        <v>693.10700000000008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558.95000000000005</v>
      </c>
      <c r="AO23" s="46">
        <f>AJ23/AM23</f>
        <v>0</v>
      </c>
      <c r="AP23" s="46">
        <f>AK23/AM23</f>
        <v>0</v>
      </c>
      <c r="AQ23" s="46" t="s">
        <v>12</v>
      </c>
      <c r="AR23" s="0">
        <f>AN23+AO23+AP23</f>
        <v>558.95000000000005</v>
      </c>
      <c r="AS23" t="s" s="0">
        <v>187</v>
      </c>
      <c r="AT23" s="48" t="s">
        <v>12</v>
      </c>
      <c r="AU23" t="s" s="0">
        <v>108</v>
      </c>
      <c r="AV23" t="s" s="0">
        <v>205</v>
      </c>
      <c r="AW23" s="48">
        <f>AM23</f>
        <v>1</v>
      </c>
      <c r="AX23" s="48">
        <f>AR23</f>
        <v>558.95000000000005</v>
      </c>
      <c r="AY23" s="48">
        <f>AU23+AW23</f>
        <v>1</v>
      </c>
      <c r="AZ23" s="48">
        <f>ROUND(((AU23*AV23)+(AW23*AX23))/(AU23+AW23),5)</f>
        <v>558.95000000000005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248</v>
      </c>
      <c r="BN23" t="s" s="0">
        <v>247</v>
      </c>
      <c r="BO23" s="48">
        <f>ROUND((((AW23*AZ23)+(BN23*BM23))/(AW23+BN23)),5)</f>
        <v>564.76169000000004</v>
      </c>
      <c r="BP23" s="4">
        <f>ROUND((BN23+AW23),3)</f>
        <v>230.44800000000001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134.15700000000001</v>
      </c>
      <c r="AC24" s="56">
        <f>SUM(AC23:AC23)</f>
        <v>693.10700000000008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O16" workbookViewId="0">
      <selection activeCell="V23" sqref="V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151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22.3584</v>
      </c>
      <c r="AB23" s="46">
        <f>V23+W23+X23+Y23+AA23</f>
        <v>89.438400000000001</v>
      </c>
      <c r="AC23" s="46">
        <f>IF($V32=1,S23+AB23,S23)</f>
        <v>372.64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18632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9316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9316</v>
      </c>
      <c r="AS23" t="s" s="0">
        <v>187</v>
      </c>
      <c r="AT23" s="48" t="s">
        <v>12</v>
      </c>
      <c r="AW23" s="48">
        <f>AM23</f>
        <v>2</v>
      </c>
      <c r="AX23" s="48">
        <f>AR23</f>
        <v>9316</v>
      </c>
      <c r="AY23" s="48">
        <f>AU23+AW23</f>
        <v>2</v>
      </c>
      <c r="AZ23" s="48">
        <f>ROUND(((AU23*AV23)+(AW23*AX23))/(AU23+AW23),5)</f>
        <v>9316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9316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 t="shared" ref="V24:AE24" si="1">SUM(V23:V23)</f>
        <v>33.54</v>
      </c>
      <c r="W24" s="55">
        <f t="shared" si="1"/>
        <v>33.54</v>
      </c>
      <c r="X24" s="55">
        <f t="shared" si="1"/>
        <v>0</v>
      </c>
      <c r="Y24" s="55"/>
      <c r="Z24" s="55"/>
      <c r="AA24" s="55"/>
      <c r="AB24" s="53">
        <f t="shared" si="1"/>
        <v>89.438400000000001</v>
      </c>
      <c r="AC24" s="56">
        <f t="shared" si="1"/>
        <v>372.64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18632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opLeftCell="M10" workbookViewId="0">
      <selection activeCell="V23" sqref="V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187</v>
      </c>
      <c r="AT23" s="48" t="s">
        <v>12</v>
      </c>
      <c r="AU23" t="s" s="0">
        <v>108</v>
      </c>
      <c r="AV23" t="s" s="0">
        <v>190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190</v>
      </c>
      <c r="BN23" t="s" s="0">
        <v>250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O13" workbookViewId="0">
      <selection activeCell="W23" sqref="W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187</v>
      </c>
      <c r="AT23" s="48" t="s">
        <v>12</v>
      </c>
      <c r="AU23" t="s" s="0">
        <v>108</v>
      </c>
      <c r="AV23" t="s" s="0">
        <v>190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190</v>
      </c>
      <c r="BN23" t="s" s="0">
        <v>241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V13" workbookViewId="0">
      <selection activeCell="AN23" sqref="AN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189</v>
      </c>
      <c r="C23" s="2" t="s">
        <v>189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IF(OR($C$21=1,$C$21=4),ROUND(((S23*U23)/2),2),0)</f>
        <v>3.39</v>
      </c>
      <c r="W23" s="46">
        <f>IF($C$21=1,ROUND(((S23*U23)/2),2),0)</f>
        <v>3.39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IF($C32=3,0,S23*Z23)</f>
        <v>2.2589999999999999</v>
      </c>
      <c r="AB23" s="46">
        <f>V23+W23+X23+Y23+AA23</f>
        <v>9.0389999999999997</v>
      </c>
      <c r="AC23" s="46">
        <f>IF($V32=1,S23+AB23,S23)</f>
        <v>37.65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1882.5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941.25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941.25</v>
      </c>
      <c r="AS23" t="s" s="0">
        <v>187</v>
      </c>
      <c r="AT23" s="48" t="s">
        <v>12</v>
      </c>
      <c r="AW23" s="48">
        <f>AM23</f>
        <v>2</v>
      </c>
      <c r="AX23" s="48">
        <f>AR23</f>
        <v>941.25</v>
      </c>
      <c r="AY23" s="48">
        <f>AU23+AW23</f>
        <v>2</v>
      </c>
      <c r="AZ23" s="48">
        <f>ROUND(((AU23*AV23)+(AW23*AX23))/(AU23+AW23),5)</f>
        <v>941.25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941.25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1882.5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DirectGrnGenUD</vt:lpstr>
      <vt:lpstr>DirectGrnGenUDMulti</vt:lpstr>
      <vt:lpstr>DirectGrnGenUDMulti50</vt:lpstr>
      <vt:lpstr>DirectGrnGenUD50</vt:lpstr>
      <vt:lpstr>DirectGrnGenUDMultiIMP</vt:lpstr>
      <vt:lpstr>DirectGrnGenUDIMP</vt:lpstr>
      <vt:lpstr>Sheet1</vt:lpstr>
      <vt:lpstr>GateEntry</vt:lpstr>
      <vt:lpstr>PurchaseBillSerIGST</vt:lpstr>
      <vt:lpstr>PurchaseBill</vt:lpstr>
      <vt:lpstr>PurchaseBillGRNIGST</vt:lpstr>
      <vt:lpstr>PurchaseBillGRN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2026-04-25T10:20:41Z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