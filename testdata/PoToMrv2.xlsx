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6" activeTab="18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Imp" sheetId="71" r:id="rId16"/>
    <sheet name="PoToMRVWFSUomWithReversePOA" sheetId="68" r:id="rId17"/>
    <sheet name="PoToMRVWFSUomWithReversePOAWOG" sheetId="72" r:id="rId18"/>
    <sheet name="PoToMRVWFSUomWithRevPOAWOGImp" sheetId="73" r:id="rId19"/>
    <sheet name="PoToMRVWFSUomWithReversePOAImp" sheetId="69" r:id="rId20"/>
    <sheet name="PoToMRVWFSUomWithReverseImp" sheetId="67" r:id="rId21"/>
    <sheet name="PoToMRVWFSUomserv" sheetId="16" r:id="rId22"/>
    <sheet name="PoToMRVWFSUomservImp" sheetId="56" r:id="rId23"/>
    <sheet name="PoToMRVWoQSUomRC" sheetId="34" r:id="rId24"/>
    <sheet name="PoToMRVExcessToleranceqty" sheetId="65" r:id="rId25"/>
    <sheet name="PoToMRVWoQSUomRCImp" sheetId="51" r:id="rId26"/>
    <sheet name="PoToMRVWFSUomRC" sheetId="18" r:id="rId27"/>
    <sheet name="PoToMRVWFSUomPl" sheetId="19" r:id="rId28"/>
    <sheet name="PoToMRVWoQUomPl" sheetId="36" r:id="rId29"/>
    <sheet name="PoToMRVWoQUomPlImp" sheetId="52" r:id="rId30"/>
    <sheet name="PoToMRVWFSUomservRc" sheetId="17" r:id="rId31"/>
    <sheet name="PoToMRVWoQSUomservRc" sheetId="35" r:id="rId32"/>
    <sheet name="PoToMRVWoQSUomservRcImp" sheetId="57" r:id="rId33"/>
    <sheet name="PoToMRVWFSUomservPl" sheetId="20" r:id="rId34"/>
    <sheet name="PoToMRVWoQSUomservPl" sheetId="37" r:id="rId35"/>
    <sheet name="PoToMRVWoQSUomservPlImp" sheetId="58" r:id="rId36"/>
    <sheet name="PoToMRVWOIpRc" sheetId="4" r:id="rId37"/>
    <sheet name="PoToMRVWOIpRcImp" sheetId="43" r:id="rId38"/>
    <sheet name="StPoToMRVWOIpDU" sheetId="28" r:id="rId39"/>
    <sheet name="StPoToMRVWOIpDURc" sheetId="62" r:id="rId40"/>
    <sheet name="StPoToMRVWOIpDUPl" sheetId="63" r:id="rId41"/>
    <sheet name="StPoToMRVWOIpPl" sheetId="27" r:id="rId42"/>
    <sheet name="StPoToMRVWOIpRc" sheetId="26" r:id="rId43"/>
    <sheet name="StPoToMRVWOIp" sheetId="24" r:id="rId44"/>
    <sheet name="PoToMRVWOIpRcServ" sheetId="5" r:id="rId45"/>
    <sheet name="PoToMRVWOIpRcServImp" sheetId="60" r:id="rId46"/>
    <sheet name="PoToMRVWOIpPl" sheetId="6" r:id="rId47"/>
    <sheet name="PoToMRVWOIpPlImp" sheetId="44" r:id="rId48"/>
    <sheet name="PoToMRVWOIpPlServ" sheetId="7" r:id="rId49"/>
    <sheet name="PoToMRVWOIpPlServImp" sheetId="61" r:id="rId50"/>
    <sheet name="DifferentUOMUD" sheetId="8" r:id="rId51"/>
    <sheet name="PoToMRVWOIpDUom" sheetId="9" r:id="rId52"/>
    <sheet name="PoToMRVWoQSUom" sheetId="49" r:id="rId53"/>
    <sheet name="PoToMRVWoQSUomImp" sheetId="50" r:id="rId54"/>
    <sheet name="PoToMRVWOIpDUomImp" sheetId="45" r:id="rId55"/>
    <sheet name="PoToMRVWOIpDUomRc" sheetId="10" r:id="rId56"/>
    <sheet name="PoToMRVWOIpDUomRcImp" sheetId="46" r:id="rId57"/>
    <sheet name="PoToMRVWFPDUomRc" sheetId="21" r:id="rId58"/>
    <sheet name="PoToMRVWoQDUomRc" sheetId="38" r:id="rId59"/>
    <sheet name="PoToMRVWoQDUomRcImp" sheetId="54" r:id="rId60"/>
    <sheet name="PoToMRVWFPDUomPl" sheetId="22" r:id="rId61"/>
    <sheet name="PoToMRVWoQDUomPl" sheetId="40" r:id="rId62"/>
    <sheet name="PoToMRVWoQDUomPlImp" sheetId="55" r:id="rId63"/>
    <sheet name="PoToMRVWOIpDUomPl" sheetId="11" r:id="rId6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<sst xmlns="http://schemas.openxmlformats.org/spreadsheetml/2006/main" count="9797" uniqueCount="449">
  <si>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</si>
  <si>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</si>
  <si>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</si>
  <si>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</si>
  <si>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</si>
  <si>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</si>
  <si>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</si>
  <si>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</si>
  <si>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</si>
  <si>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</si>
  <si>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</si>
  <si>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</si>
  <si>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</si>
  <si>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</si>
  <si>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</si>
  <si>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</si>
  <si>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</si>
  <si>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</si>
  <si>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</si>
  <si>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</si>
  <si>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</si>
  <si>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</si>
  <si>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</si>
  <si>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</si>
  <si>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</si>
  <si>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</si>
  <si>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</si>
  <si>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</si>
  <si>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</si>
  <si>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</si>
  <si>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</si>
  <si>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</si>
  <si>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</si>
  <si>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</si>
  <si>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</si>
  <si>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</si>
  <si>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</si>
  <si>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</si>
  <si>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</si>
  <si>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</si>
  <si>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</si>
  <si>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</si>
  <si>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</si>
  <si>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</si>
  <si>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</si>
  <si>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</si>
  <si>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</si>
  <si>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</si>
  <si>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</si>
  <si>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</si>
  <si>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</si>
  <si>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</si>
  <si>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</si>
  <si>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</si>
  <si>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</si>
  <si>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</si>
  <si>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</si>
  <si>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</si>
  <si>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</si>
  <si>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</si>
  <si>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</si>
  <si>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</si>
  <si>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</si>
  <si>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</si>
  <si>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</si>
  <si>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</si>
  <si>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</si>
  <si>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</si>
  <si>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</si>
  <si>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</si>
  <si>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</si>
  <si>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</si>
  <si>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</si>
  <si>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</si>
  <si>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</si>
  <si>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</si>
  <si>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</si>
  <si>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</si>
  <si>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</si>
  <si>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</si>
  <si>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</si>
  <si>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</si>
  <si>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</si>
  <si>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</si>
  <si>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</si>
  <si>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</si>
  <si>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</si>
  <si>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</si>
  <si>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</si>
  <si>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</si>
  <si>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</si>
  <si>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</si>
  <si>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</si>
  <si>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</si>
  <si>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</si>
  <si>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</si>
  <si>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</si>
  <si>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</si>
  <si>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</si>
  <si>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</si>
  <si>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</si>
  <si>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</si>
  <si>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</si>
  <si>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</si>
  <si>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</si>
  <si>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</si>
  <si>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</si>
  <si>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</si>
  <si>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</si>
  <si>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</si>
  <si>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</si>
  <si>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</si>
  <si>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</si>
  <si>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</si>
  <si>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</si>
  <si>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</si>
  <si>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</si>
  <si>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</si>
  <si>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</si>
  <si>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</si>
  <si>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</si>
  <si>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</si>
  <si>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</si>
  <si>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</si>
  <si>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</si>
  <si>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</si>
  <si>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</si>
  <si>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</si>
  <si>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</si>
  <si>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</si>
  <si>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</si>
  <si>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</si>
  <si>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</si>
  <si>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</si>
  <si>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</si>
  <si>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11292.73677</t>
  </si>
  <si>
    <t>220.33</t>
  </si>
  <si>
    <t>20940.31667</t>
  </si>
  <si>
    <t>2384.05426</t>
  </si>
  <si>
    <t>313.012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</si>
  <si>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</si>
  <si>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</si>
  <si>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</si>
  <si>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</si>
  <si>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</si>
  <si>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</si>
  <si>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</si>
  <si>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</si>
  <si>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</si>
  <si>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</si>
  <si>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</si>
  <si>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</si>
  <si>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</si>
  <si>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</si>
  <si>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</si>
  <si>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</si>
  <si>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</si>
  <si>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</si>
  <si>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</si>
  <si>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</si>
  <si>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</si>
  <si>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</si>
  <si>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</si>
  <si>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</si>
  <si>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</si>
  <si>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</si>
  <si>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</si>
  <si>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</si>
  <si>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</si>
  <si>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</si>
  <si>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</si>
  <si>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</si>
  <si>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</si>
  <si>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</si>
  <si>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</si>
  <si>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</si>
  <si>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</si>
  <si>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</si>
  <si>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</si>
  <si>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</si>
  <si>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</si>
  <si>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</si>
  <si>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</si>
  <si>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</si>
  <si>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</si>
  <si>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</si>
  <si>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</si>
  <si>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4100.07873</t>
  </si>
  <si>
    <t>846</t>
  </si>
  <si>
    <t>GWL_Item_WoQ_UD_Similar_02</t>
  </si>
  <si>
    <t>82.1175</t>
  </si>
  <si>
    <t>1037.2385</t>
  </si>
  <si>
    <t>GWL_Item_WoQ_UD_Similar_03</t>
  </si>
  <si>
    <t>43.301</t>
  </si>
  <si>
    <t>740.69834</t>
  </si>
  <si>
    <t>678</t>
  </si>
  <si>
    <t>767</t>
  </si>
  <si>
    <t>3193.3048</t>
  </si>
  <si>
    <t>2666.77503</t>
  </si>
  <si>
    <t>680</t>
  </si>
  <si>
    <t>INS</t>
  </si>
  <si>
    <t>9605.78234</t>
  </si>
  <si>
    <t>RM WH</t>
  </si>
  <si>
    <t>3339.36273</t>
  </si>
  <si>
    <t>30</t>
  </si>
  <si>
    <t>124.544</t>
  </si>
  <si>
    <t>2086.12875</t>
  </si>
  <si>
    <t>747</t>
  </si>
  <si>
    <t>3003.80743</t>
  </si>
  <si>
    <t>2655.24494</t>
  </si>
  <si>
    <t>Purchase Order Amendment</t>
  </si>
  <si>
    <t>2739.99</t>
  </si>
  <si>
    <t>15</t>
  </si>
  <si>
    <t>3290.94245</t>
  </si>
  <si>
    <t>3720.81297</t>
  </si>
  <si>
    <t>762</t>
  </si>
  <si>
    <t>3047.13629</t>
  </si>
  <si>
    <t>2659.74534</t>
  </si>
  <si>
    <t>732</t>
  </si>
  <si>
    <t>3167.58793</t>
  </si>
  <si>
    <t>2595.52877</t>
  </si>
  <si>
    <t>GWL_Item_FP_service_01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</si>
  <si>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</si>
  <si>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</si>
  <si>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</si>
  <si>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</si>
  <si>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</si>
  <si>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</si>
  <si>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</si>
  <si>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</si>
  <si>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</si>
  <si>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</si>
  <si>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</si>
  <si>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</si>
  <si>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</si>
  <si>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</si>
  <si>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</si>
  <si>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</si>
  <si>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</si>
  <si>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</si>
  <si>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</si>
  <si>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1342.29192</t>
  </si>
  <si>
    <t>840</t>
  </si>
  <si>
    <t>647.53619</t>
  </si>
  <si>
    <t>244</t>
  </si>
  <si>
    <t>447.43341</t>
  </si>
  <si>
    <t>630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</si>
  <si>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</si>
  <si>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</si>
  <si>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</si>
  <si>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</si>
  <si>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</si>
  <si>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</si>
  <si>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</si>
  <si>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</si>
  <si>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</si>
  <si>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965.16585</t>
  </si>
  <si>
    <t>875</t>
  </si>
  <si>
    <t>561.15301</t>
  </si>
  <si>
    <t>288</t>
  </si>
  <si>
    <t>387.35959</t>
  </si>
  <si>
    <t>740</t>
  </si>
  <si>
    <t>3714.5</t>
  </si>
  <si>
    <t>986.49226</t>
  </si>
  <si>
    <t>895</t>
  </si>
  <si>
    <t>6979.9875</t>
  </si>
  <si>
    <t>641.42056</t>
  </si>
  <si>
    <t>296</t>
  </si>
  <si>
    <t>3680.585</t>
  </si>
  <si>
    <t>426.16441</t>
  </si>
  <si>
    <t>760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</si>
  <si>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</si>
  <si>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</si>
  <si>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</si>
  <si>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</si>
  <si>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</si>
  <si>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</si>
  <si>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</si>
  <si>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</si>
  <si>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</si>
  <si>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</si>
  <si>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</si>
  <si>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</si>
  <si>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</si>
  <si>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</si>
  <si>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</si>
  <si>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</si>
  <si>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</si>
  <si>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</si>
  <si>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</si>
  <si>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</si>
  <si>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</si>
  <si>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</si>
  <si>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</si>
  <si>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</si>
  <si>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</si>
  <si>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</si>
  <si>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</si>
  <si>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</si>
  <si>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</si>
  <si>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</si>
  <si>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</si>
  <si>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</si>
  <si>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</si>
  <si>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</si>
  <si>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</si>
  <si>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</si>
  <si>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</si>
  <si>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</si>
  <si>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</si>
  <si>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</si>
  <si>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</si>
  <si>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</si>
  <si>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</si>
  <si>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</si>
  <si>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</si>
  <si>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</si>
  <si>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</si>
  <si>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</si>
  <si>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</si>
  <si>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</si>
  <si>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</si>
  <si>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</si>
  <si>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</si>
  <si>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</si>
  <si>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</si>
  <si>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</si>
  <si>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</si>
  <si>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</si>
  <si>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</si>
  <si>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</si>
  <si>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</si>
  <si>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</si>
  <si>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</si>
  <si>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</si>
  <si>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</si>
  <si>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</si>
  <si>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</si>
  <si>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</si>
  <si>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</si>
  <si>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</si>
  <si>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</si>
  <si>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</si>
  <si>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</si>
  <si>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</si>
  <si>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</si>
  <si>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</si>
  <si>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</si>
  <si>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</si>
  <si>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</si>
  <si>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</si>
  <si>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</si>
  <si>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</si>
  <si>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</si>
  <si>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</si>
  <si>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</si>
  <si>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</si>
  <si>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</si>
  <si>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</si>
  <si>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</si>
  <si>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</si>
  <si>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</si>
  <si>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</si>
  <si>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</si>
  <si>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</si>
  <si>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</si>
  <si>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</si>
  <si>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</si>
  <si>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</si>
  <si>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</si>
  <si>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</si>
  <si>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</si>
  <si>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</si>
  <si>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</si>
  <si>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</si>
  <si>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</si>
  <si>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</si>
  <si>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</si>
  <si>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</si>
  <si>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</si>
  <si>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</si>
  <si>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</si>
  <si>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</si>
  <si>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</si>
  <si>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</si>
  <si>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</si>
  <si>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</si>
  <si>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</si>
  <si>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</si>
  <si>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</si>
  <si>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</si>
  <si>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</si>
  <si>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</si>
  <si>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</si>
  <si>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</si>
  <si>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</si>
  <si>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</si>
  <si>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</si>
  <si>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</si>
  <si>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</si>
  <si>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</si>
  <si>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</si>
  <si>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</si>
  <si>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</si>
  <si>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</si>
  <si>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</si>
  <si>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</si>
  <si>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</si>
  <si>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</si>
  <si>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</si>
  <si>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</si>
  <si>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</si>
  <si>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</si>
  <si>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</si>
  <si>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</si>
  <si>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</si>
  <si>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</si>
  <si>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</si>
  <si>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</si>
  <si>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</si>
  <si>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</si>
  <si>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</si>
  <si>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</si>
  <si>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</si>
  <si>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</si>
  <si>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</si>
  <si>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</si>
  <si>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</si>
  <si>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</si>
  <si>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</si>
  <si>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</si>
  <si>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</si>
  <si>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</si>
  <si>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</si>
  <si>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</si>
  <si>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</si>
  <si>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</si>
  <si>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</si>
  <si>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</si>
  <si>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</si>
  <si>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</si>
  <si>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</si>
  <si>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</si>
  <si>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</si>
  <si>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</si>
  <si>
    <t>6209.09547</t>
  </si>
  <si>
    <t>4342.8836</t>
  </si>
  <si>
    <t>7959.98728</t>
  </si>
  <si>
    <t>5247.15952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</si>
</sst>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2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theme/theme1.xml" Type="http://schemas.openxmlformats.org/officeDocument/2006/relationships/theme"/><Relationship Id="rId66" Target="sharedStrings.xml" Type="http://schemas.openxmlformats.org/officeDocument/2006/relationships/sharedStrings"/><Relationship Id="rId67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0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0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1" sqref="BL1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52" max="52" customWidth="true" width="10.7142857142857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2</v>
      </c>
      <c r="AX4" s="26">
        <f t="shared" ref="AX4:AX5" si="14">AR4</f>
        <v>373.635</v>
      </c>
      <c r="AY4" s="25">
        <f t="shared" ref="AY4:AY5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25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246.3588</v>
      </c>
      <c r="BP5" s="31">
        <f t="shared" si="17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130</v>
      </c>
      <c r="BN4" t="s" s="0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132</v>
      </c>
      <c r="BN5" t="s" s="0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30.4285714285714"/>
    <col min="48" max="48" width="11.7142857142857"/>
    <col min="52" max="52" customWidth="true" width="19.4285714285714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134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135</v>
      </c>
      <c r="BN4" t="s" s="0">
        <v>136</v>
      </c>
      <c r="BO4" s="25">
        <f>ROUND((((AW4*AZ4)+(BN4*BM4))/(AW4+BN4)),5)</f>
        <v>10978.38233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739.07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62820.95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 s="0">
        <v>85</v>
      </c>
      <c r="AV5" t="s" s="0">
        <v>137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138</v>
      </c>
      <c r="BN5" t="s" s="0">
        <v>139</v>
      </c>
      <c r="BO5" s="25">
        <f>ROUND((((AW5*AZ5)+(BN5*BM5))/(AW5+BN5)),5)</f>
        <v>2384.05426</v>
      </c>
      <c r="BP5" s="31">
        <f>ROUND(BN5+AW5,3)</f>
        <v>306.345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1" t="s">
        <v>140</v>
      </c>
      <c r="B3" s="111" t="s">
        <v>10</v>
      </c>
      <c r="C3" s="112" t="s">
        <v>141</v>
      </c>
      <c r="D3" s="111" t="s">
        <v>12</v>
      </c>
      <c r="E3" s="111" t="s">
        <v>13</v>
      </c>
      <c r="F3" s="113" t="s">
        <v>142</v>
      </c>
      <c r="G3" s="111" t="s">
        <v>15</v>
      </c>
      <c r="H3" s="111" t="s">
        <v>16</v>
      </c>
      <c r="I3" s="114" t="s">
        <v>17</v>
      </c>
      <c r="J3" s="114" t="s">
        <v>19</v>
      </c>
      <c r="K3" s="114" t="s">
        <v>18</v>
      </c>
      <c r="L3" s="115" t="s">
        <v>20</v>
      </c>
      <c r="M3" s="115" t="s">
        <v>21</v>
      </c>
      <c r="N3" s="115" t="s">
        <v>143</v>
      </c>
      <c r="O3" s="115" t="s">
        <v>25</v>
      </c>
      <c r="P3" s="115" t="s">
        <v>22</v>
      </c>
      <c r="Q3" s="115" t="s">
        <v>23</v>
      </c>
      <c r="R3" s="114" t="s">
        <v>26</v>
      </c>
      <c r="S3" s="111" t="s">
        <v>144</v>
      </c>
      <c r="T3" s="111" t="s">
        <v>28</v>
      </c>
      <c r="U3" s="13" t="s">
        <v>145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6" t="s">
        <v>37</v>
      </c>
      <c r="AD3" s="116" t="s">
        <v>38</v>
      </c>
      <c r="AE3" s="117" t="s">
        <v>39</v>
      </c>
      <c r="AF3" s="117" t="s">
        <v>40</v>
      </c>
      <c r="AG3" s="117" t="s">
        <v>41</v>
      </c>
      <c r="AH3" s="116" t="s">
        <v>42</v>
      </c>
      <c r="AI3" s="116" t="s">
        <v>43</v>
      </c>
      <c r="AJ3" s="117" t="s">
        <v>44</v>
      </c>
      <c r="AK3" s="117" t="s">
        <v>45</v>
      </c>
      <c r="AL3" s="116" t="s">
        <v>46</v>
      </c>
      <c r="AM3" s="116" t="s">
        <v>47</v>
      </c>
      <c r="AN3" s="117" t="s">
        <v>48</v>
      </c>
      <c r="AO3" s="117" t="s">
        <v>49</v>
      </c>
      <c r="AP3" s="117" t="s">
        <v>50</v>
      </c>
      <c r="AQ3" s="116" t="s">
        <v>51</v>
      </c>
      <c r="AR3" s="118" t="s">
        <v>146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149</v>
      </c>
      <c r="AT4" s="25" t="s">
        <v>76</v>
      </c>
      <c r="AU4" s="5" t="s">
        <v>150</v>
      </c>
      <c r="AV4" s="5" t="s">
        <v>151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9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152</v>
      </c>
      <c r="BM4" s="5" t="s">
        <v>153</v>
      </c>
      <c r="BN4" s="5" t="s">
        <v>154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155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156</v>
      </c>
      <c r="AV5" t="s" s="0">
        <v>157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158</v>
      </c>
      <c r="BN5" t="s" s="0">
        <v>159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162</v>
      </c>
      <c r="AV6" t="s" s="0">
        <v>163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164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175</v>
      </c>
      <c r="AV4" t="s" s="0">
        <v>176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177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179</v>
      </c>
      <c r="AV5" t="s" s="0">
        <v>180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181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182</v>
      </c>
      <c r="AV6" t="s" s="0">
        <v>183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184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185</v>
      </c>
      <c r="C4" t="s" s="0">
        <v>185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8" sqref="BK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187</v>
      </c>
      <c r="BN4" t="s" s="0">
        <v>188</v>
      </c>
      <c r="BO4" s="25">
        <f t="shared" ref="BO4:BO6" si="16">ROUND((((AW4*AZ4)+(BN4*BM4))/(AW4+BN4)),5)</f>
        <v>3110.93313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191</v>
      </c>
      <c r="BN5" t="s" s="0">
        <v>182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194</v>
      </c>
      <c r="BN6" t="s" s="0">
        <v>195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G1" workbookViewId="0">
      <selection activeCell="AV8" sqref="AV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196</v>
      </c>
      <c r="AV4" t="s" s="0">
        <v>197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198</v>
      </c>
      <c r="BN4" t="s" s="0">
        <v>199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196</v>
      </c>
      <c r="AV7" t="s" s="0">
        <v>197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198</v>
      </c>
      <c r="BN7" t="s" s="0">
        <v>199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200</v>
      </c>
      <c r="AT4" s="25" t="s">
        <v>76</v>
      </c>
      <c r="AU4" t="s" s="0">
        <v>174</v>
      </c>
      <c r="AV4" t="s" s="0">
        <v>201</v>
      </c>
      <c r="AW4" s="25">
        <f>AM4</f>
        <v>10</v>
      </c>
      <c r="AX4" s="26">
        <f>AR4</f>
        <v>124.545</v>
      </c>
      <c r="AY4" s="25">
        <f>AU4+AW4</f>
        <v>777</v>
      </c>
      <c r="AZ4" s="25">
        <f>ROUND(((AU4*AV4)+(AW4*AX4))/(AU4+AW4),5)</f>
        <v>4865.16367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 s="0">
        <v>203</v>
      </c>
      <c r="BN4" t="s" s="0">
        <v>204</v>
      </c>
      <c r="BO4" s="25">
        <f>ROUND((((AW4*AZ4)+(BN4*BM4))/(AW4+BN4)),5)</f>
        <v>3720.81297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 s="0">
        <v>174</v>
      </c>
      <c r="AV7" t="s" s="0">
        <v>201</v>
      </c>
      <c r="AW7" s="25">
        <f>AM7</f>
        <v>5</v>
      </c>
      <c r="AX7" s="25">
        <f>AR7</f>
        <v>124.544</v>
      </c>
      <c r="AY7" s="25">
        <f>AU7+AW7</f>
        <v>772</v>
      </c>
      <c r="AZ7" s="25">
        <f>ROUND(((AU7*AV7)+(AW7*AX7))/(AU7+AW7),5)</f>
        <v>6445.36956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 s="0">
        <v>203</v>
      </c>
      <c r="BN7" t="s" s="0">
        <v>204</v>
      </c>
      <c r="BO7" s="25">
        <f>ROUND((((AW7*AZ7)+(BN7*BM7))/(AW7+BN7)),5)</f>
        <v>3783.07799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A1" workbookViewId="0">
      <selection activeCell="AT4" sqref="AT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200</v>
      </c>
      <c r="AT4" s="25" t="s">
        <v>76</v>
      </c>
      <c r="AU4" t="s" s="0">
        <v>78</v>
      </c>
      <c r="AV4" t="s" s="0">
        <v>205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 s="0">
        <v>206</v>
      </c>
      <c r="BN4" t="s" s="0">
        <v>204</v>
      </c>
      <c r="BO4" s="25">
        <f>ROUND((((AW4*AZ4)+(BN4*BM4))/(AW4+BN4)),5)</f>
        <v>5355.435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200</v>
      </c>
      <c r="AT7" s="25" t="s">
        <v>76</v>
      </c>
      <c r="AU7" t="s" s="0">
        <v>78</v>
      </c>
      <c r="AV7" t="s" s="0">
        <v>205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10586.24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 s="0">
        <v>206</v>
      </c>
      <c r="BN7" t="s" s="0">
        <v>204</v>
      </c>
      <c r="BO7" s="25">
        <f>ROUND((((AW7*AZ7)+(BN7*BM7))/(AW7+BN7)),5)</f>
        <v>3611.77667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L6" sqref="L6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207</v>
      </c>
      <c r="AV4" t="s" s="0">
        <v>208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209</v>
      </c>
      <c r="BN4" t="s" s="0">
        <v>199</v>
      </c>
      <c r="BO4" s="25">
        <f>ROUND((((AW4*AZ4)+(BN4*BM4))/(AW4+BN4)),5)</f>
        <v>2595.52877</v>
      </c>
      <c r="BP4" s="31">
        <f>ROUND(BN4+AW4,3)</f>
        <v>690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207</v>
      </c>
      <c r="AV7" t="s" s="0">
        <v>208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209</v>
      </c>
      <c r="BN7" t="s" s="0">
        <v>199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200</v>
      </c>
      <c r="AT4" s="25" t="s">
        <v>76</v>
      </c>
      <c r="AU4" t="s" s="0">
        <v>85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757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 s="0">
        <v>211</v>
      </c>
      <c r="BN4" t="s" s="0">
        <v>204</v>
      </c>
      <c r="BO4" s="25">
        <f>ROUND((((AW4*AZ4)+(BN4*BM4))/(AW4+BN4)),5)</f>
        <v>2739.99</v>
      </c>
      <c r="BP4" s="31">
        <f>ROUND(BN4+AW4,3)</f>
        <v>690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 s="0">
        <v>85</v>
      </c>
      <c r="AV7" t="s" s="0">
        <v>167</v>
      </c>
      <c r="AW7" s="25">
        <f>AM7</f>
        <v>5</v>
      </c>
      <c r="AX7" s="25">
        <f>AR7</f>
        <v>124.544</v>
      </c>
      <c r="AY7" s="25">
        <f>AU7+AW7</f>
        <v>752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 s="0">
        <v>211</v>
      </c>
      <c r="BN7" t="s" s="0">
        <v>204</v>
      </c>
      <c r="BO7" s="25">
        <f>ROUND((((AW7*AZ7)+(BN7*BM7))/(AW7+BN7)),5)</f>
        <v>3113.62486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abSelected="1" topLeftCell="C1" workbookViewId="0">
      <selection activeCell="M2" sqref="M2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200</v>
      </c>
      <c r="AT4" s="25" t="s">
        <v>76</v>
      </c>
      <c r="AU4" t="s" s="0">
        <v>212</v>
      </c>
      <c r="AV4" t="s" s="0">
        <v>447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6209.09547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202</v>
      </c>
      <c r="BM4" t="s" s="0">
        <v>448</v>
      </c>
      <c r="BN4" t="s" s="0">
        <v>204</v>
      </c>
      <c r="BO4" s="25">
        <f>ROUND((((AW4*AZ4)+(BN4*BM4))/(AW4+BN4)),5)</f>
        <v>4342.8836</v>
      </c>
      <c r="BP4" s="31">
        <f>ROUND(BN4+AW4,3)</f>
        <v>40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200</v>
      </c>
      <c r="AT7" s="25" t="s">
        <v>76</v>
      </c>
      <c r="AU7" t="s" s="0">
        <v>212</v>
      </c>
      <c r="AV7" t="s" s="0">
        <v>447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5114.76684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202</v>
      </c>
      <c r="BM7" t="s" s="0">
        <v>448</v>
      </c>
      <c r="BN7" t="s" s="0">
        <v>204</v>
      </c>
      <c r="BO7" s="25">
        <f>ROUND((((AW7*AZ7)+(BN7*BM7))/(AW7+BN7)),5)</f>
        <v>3919.94924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F14" sqref="F1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customWidth="true" width="14.7142857142857"/>
    <col min="40" max="40" width="9.0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215</v>
      </c>
      <c r="AV4" t="s" s="0">
        <v>216</v>
      </c>
      <c r="AW4" s="25">
        <f>AM4</f>
        <v>10</v>
      </c>
      <c r="AX4" s="26">
        <f>AR4</f>
        <v>10586.325</v>
      </c>
      <c r="AY4" s="25">
        <f>AU4+AW4</f>
        <v>757</v>
      </c>
      <c r="AZ4" s="25">
        <f>ROUND(((AU4*AV4)+(AW4*AX4))/(AU4+AW4),5)</f>
        <v>3103.97279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217</v>
      </c>
      <c r="BN4" t="s" s="0">
        <v>199</v>
      </c>
      <c r="BO4" s="25">
        <f>ROUND((((AW4*AZ4)+(BN4*BM4))/(AW4+BN4)),5)</f>
        <v>2661.74824</v>
      </c>
      <c r="BP4" s="31">
        <f>ROUND(BN4+AW4,3)</f>
        <v>690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215</v>
      </c>
      <c r="AV7" t="s" s="0">
        <v>216</v>
      </c>
      <c r="AW7" s="25">
        <f>AM7</f>
        <v>5</v>
      </c>
      <c r="AX7" s="25">
        <f>AR7</f>
        <v>10586.24</v>
      </c>
      <c r="AY7" s="25">
        <f>AU7+AW7</f>
        <v>752</v>
      </c>
      <c r="AZ7" s="25">
        <f>ROUND(((AU7*AV7)+(AW7*AX7))/(AU7+AW7),5)</f>
        <v>3054.22254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217</v>
      </c>
      <c r="BN7" t="s" s="0">
        <v>199</v>
      </c>
      <c r="BO7" s="25">
        <f>ROUND((((AW7*AZ7)+(BN7*BM7))/(AW7+BN7)),5)</f>
        <v>2658.15719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218</v>
      </c>
      <c r="AV4" t="s" s="0">
        <v>219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220</v>
      </c>
      <c r="BN4" t="s" s="0">
        <v>199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218</v>
      </c>
      <c r="AV7" t="s" s="0">
        <v>219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220</v>
      </c>
      <c r="BN7" t="s" s="0">
        <v>199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0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0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17" sqref="B1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221</v>
      </c>
      <c r="C4" s="105" t="s">
        <v>221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222</v>
      </c>
      <c r="C5" s="107" t="s">
        <v>222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223</v>
      </c>
      <c r="C6" s="107" t="s">
        <v>223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221</v>
      </c>
      <c r="C4" s="105" t="s">
        <v>221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222</v>
      </c>
      <c r="C5" s="107" t="s">
        <v>222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223</v>
      </c>
      <c r="C6" s="107" t="s">
        <v>223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224</v>
      </c>
      <c r="C4" s="19" t="s">
        <v>224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 t="shared" ref="H4:H6" si="0">F4*G4</f>
        <v>15000</v>
      </c>
      <c r="I4" t="s" s="0">
        <v>78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225</v>
      </c>
      <c r="BN4" t="s" s="0">
        <v>226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227</v>
      </c>
      <c r="C5" s="19" t="s">
        <v>227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228</v>
      </c>
      <c r="BN5" t="s" s="0">
        <v>229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230</v>
      </c>
      <c r="C6" s="19" t="s">
        <v>230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233</v>
      </c>
      <c r="BN6" t="s" s="0">
        <v>234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I23" sqref="I2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224</v>
      </c>
      <c r="C4" s="19" t="s">
        <v>224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>F4*G4</f>
        <v>15000</v>
      </c>
      <c r="I4" t="s" s="0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225</v>
      </c>
      <c r="BN4" t="s" s="0">
        <v>226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224</v>
      </c>
      <c r="C4" s="19" t="s">
        <v>224</v>
      </c>
      <c r="D4" s="19" t="s">
        <v>76</v>
      </c>
      <c r="E4" s="19" t="s">
        <v>76</v>
      </c>
      <c r="F4" s="20">
        <v>10</v>
      </c>
      <c r="G4" t="s" s="0">
        <v>231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235</v>
      </c>
      <c r="BN4" t="s" s="0">
        <v>236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227</v>
      </c>
      <c r="C5" s="19" t="s">
        <v>227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237</v>
      </c>
      <c r="BN5" t="s" s="0">
        <v>238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230</v>
      </c>
      <c r="C6" s="19" t="s">
        <v>230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239</v>
      </c>
      <c r="BN6" t="s" s="0">
        <v>240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224</v>
      </c>
      <c r="C4" s="19" t="s">
        <v>224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241</v>
      </c>
      <c r="BN4" t="s" s="0">
        <v>242</v>
      </c>
      <c r="BO4" s="25">
        <f t="shared" ref="BO4:BO6" si="16">ROUND((((AW4*AZ4)+(BN4*BM4))/(AW4+BN4)),5)</f>
        <v>925.99056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227</v>
      </c>
      <c r="C5" s="19" t="s">
        <v>227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243</v>
      </c>
      <c r="BN5" t="s" s="0">
        <v>244</v>
      </c>
      <c r="BO5" s="25">
        <f t="shared" si="16"/>
        <v>82.11993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230</v>
      </c>
      <c r="C6" s="19" t="s">
        <v>230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245</v>
      </c>
      <c r="BN6" t="s" s="0">
        <v>246</v>
      </c>
      <c r="BO6" s="25">
        <f t="shared" si="16"/>
        <v>43.30003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247</v>
      </c>
      <c r="C4" s="19" t="s">
        <v>247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248</v>
      </c>
      <c r="BN4" t="s" s="0">
        <v>249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250</v>
      </c>
      <c r="C5" s="19" t="s">
        <v>250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251</v>
      </c>
      <c r="BN5" t="s" s="0">
        <v>252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253</v>
      </c>
      <c r="C6" s="19" t="s">
        <v>253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254</v>
      </c>
      <c r="BN6" t="s" s="0">
        <v>255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247</v>
      </c>
      <c r="C4" s="19" t="s">
        <v>247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256</v>
      </c>
      <c r="BN4" t="s" s="0">
        <v>257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250</v>
      </c>
      <c r="C5" s="19" t="s">
        <v>250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258</v>
      </c>
      <c r="BN5" t="s" s="0">
        <v>259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253</v>
      </c>
      <c r="C6" s="19" t="s">
        <v>253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260</v>
      </c>
      <c r="BN6" t="s" s="0">
        <v>261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247</v>
      </c>
      <c r="C4" s="19" t="s">
        <v>247</v>
      </c>
      <c r="D4" s="19" t="s">
        <v>76</v>
      </c>
      <c r="E4" s="19" t="s">
        <v>76</v>
      </c>
      <c r="F4" s="20">
        <v>10</v>
      </c>
      <c r="G4" t="s" s="0">
        <v>231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262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263</v>
      </c>
      <c r="BN4" t="s" s="0">
        <v>264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250</v>
      </c>
      <c r="C5" s="19" t="s">
        <v>250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265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266</v>
      </c>
      <c r="BN5" t="s" s="0">
        <v>267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253</v>
      </c>
      <c r="C6" s="19" t="s">
        <v>253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268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269</v>
      </c>
      <c r="BN6" t="s" s="0">
        <v>270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271</v>
      </c>
      <c r="C4" s="105" t="s">
        <v>271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273</v>
      </c>
      <c r="C5" s="107" t="s">
        <v>273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274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275</v>
      </c>
      <c r="C6" s="107" t="s">
        <v>275</v>
      </c>
      <c r="D6" s="106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271</v>
      </c>
      <c r="C4" s="105" t="s">
        <v>271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273</v>
      </c>
      <c r="C5" s="107" t="s">
        <v>273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274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275</v>
      </c>
      <c r="C6" s="107" t="s">
        <v>275</v>
      </c>
      <c r="D6" s="106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271</v>
      </c>
      <c r="C4" s="105" t="s">
        <v>271</v>
      </c>
      <c r="D4" s="106" t="s">
        <v>76</v>
      </c>
      <c r="E4" s="19" t="s">
        <v>76</v>
      </c>
      <c r="F4" s="20">
        <v>10</v>
      </c>
      <c r="G4" t="s" s="0">
        <v>231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272</v>
      </c>
      <c r="AV4" t="s" s="0">
        <v>167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273</v>
      </c>
      <c r="C5" s="107" t="s">
        <v>273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274</v>
      </c>
      <c r="AV5" t="s" s="0">
        <v>157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274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275</v>
      </c>
      <c r="C6" s="107" t="s">
        <v>275</v>
      </c>
      <c r="D6" s="106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276</v>
      </c>
      <c r="C4" s="105" t="s">
        <v>276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277</v>
      </c>
      <c r="C5" s="105" t="s">
        <v>277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274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278</v>
      </c>
      <c r="C6" s="108" t="s">
        <v>278</v>
      </c>
      <c r="D6" s="106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276</v>
      </c>
      <c r="C4" s="105" t="s">
        <v>276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277</v>
      </c>
      <c r="C5" s="105" t="s">
        <v>277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274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278</v>
      </c>
      <c r="C6" s="108" t="s">
        <v>278</v>
      </c>
      <c r="D6" s="106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276</v>
      </c>
      <c r="C4" s="105" t="s">
        <v>276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272</v>
      </c>
      <c r="AV4" t="s" s="0">
        <v>167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277</v>
      </c>
      <c r="C5" s="105" t="s">
        <v>277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274</v>
      </c>
      <c r="AV5" t="s" s="0">
        <v>157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274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278</v>
      </c>
      <c r="C6" s="108" t="s">
        <v>278</v>
      </c>
      <c r="D6" s="106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279</v>
      </c>
      <c r="C4" s="19" t="s">
        <v>279</v>
      </c>
      <c r="D4" s="19" t="s">
        <v>76</v>
      </c>
      <c r="E4" s="19" t="s">
        <v>76</v>
      </c>
      <c r="F4" s="20">
        <v>5</v>
      </c>
      <c r="G4" t="s" s="0">
        <v>231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280</v>
      </c>
      <c r="AV4" t="s" s="0">
        <v>281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282</v>
      </c>
      <c r="C5" s="19" t="s">
        <v>282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283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284</v>
      </c>
      <c r="AV5" t="s" s="0">
        <v>285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286</v>
      </c>
      <c r="C6" s="19" t="s">
        <v>286</v>
      </c>
      <c r="D6" s="19" t="s">
        <v>76</v>
      </c>
      <c r="E6" s="19" t="s">
        <v>76</v>
      </c>
      <c r="F6" s="20">
        <v>10</v>
      </c>
      <c r="G6" t="s" s="0">
        <v>77</v>
      </c>
      <c r="H6" s="20">
        <f>F6*G6</f>
        <v>1500</v>
      </c>
      <c r="I6" t="s" s="0">
        <v>287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288</v>
      </c>
      <c r="AV6" t="s" s="0">
        <v>289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279</v>
      </c>
      <c r="C4" s="19" t="s">
        <v>279</v>
      </c>
      <c r="D4" s="19" t="s">
        <v>76</v>
      </c>
      <c r="E4" s="19" t="s">
        <v>76</v>
      </c>
      <c r="F4" s="20">
        <v>5</v>
      </c>
      <c r="G4" t="s" s="0">
        <v>231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 s="0">
        <v>290</v>
      </c>
      <c r="AV4" t="s" s="0">
        <v>291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282</v>
      </c>
      <c r="C5" s="19" t="s">
        <v>282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283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 s="0">
        <v>292</v>
      </c>
      <c r="AV5" t="s" s="0">
        <v>293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286</v>
      </c>
      <c r="C6" s="19" t="s">
        <v>286</v>
      </c>
      <c r="D6" s="19" t="s">
        <v>76</v>
      </c>
      <c r="E6" s="19" t="s">
        <v>76</v>
      </c>
      <c r="F6" s="20">
        <v>10</v>
      </c>
      <c r="G6" t="s" s="0">
        <v>77</v>
      </c>
      <c r="H6" s="20">
        <f t="shared" si="0"/>
        <v>1500</v>
      </c>
      <c r="I6" t="s" s="0">
        <v>287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 s="0">
        <v>77</v>
      </c>
      <c r="AV6" t="s" s="0">
        <v>294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295</v>
      </c>
      <c r="C4" s="19" t="s">
        <v>295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296</v>
      </c>
      <c r="C5" s="19" t="s">
        <v>296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297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298</v>
      </c>
      <c r="C4" s="19" t="s">
        <v>298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299</v>
      </c>
      <c r="C5" s="19" t="s">
        <v>299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U5" t="s" s="0">
        <v>78</v>
      </c>
      <c r="AV5" t="s" s="0">
        <v>297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300</v>
      </c>
      <c r="C4" s="19" t="s">
        <v>300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301</v>
      </c>
      <c r="C5" s="19" t="s">
        <v>301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302</v>
      </c>
      <c r="C4" s="19" t="s">
        <v>302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303</v>
      </c>
      <c r="BN4" t="s" s="0">
        <v>304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305</v>
      </c>
      <c r="C5" s="19" t="s">
        <v>305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306</v>
      </c>
      <c r="BN5" t="s" s="0">
        <v>307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308</v>
      </c>
      <c r="C4" s="19" t="s">
        <v>308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303</v>
      </c>
      <c r="BN4" t="s" s="0">
        <v>304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309</v>
      </c>
      <c r="C5" s="19" t="s">
        <v>309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306</v>
      </c>
      <c r="BN5" t="s" s="0">
        <v>307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310</v>
      </c>
      <c r="C4" s="19" t="s">
        <v>310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79</v>
      </c>
      <c r="AT4" s="25" t="s">
        <v>76</v>
      </c>
      <c r="AU4" t="s" s="0">
        <v>311</v>
      </c>
      <c r="AV4" t="s" s="0">
        <v>312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313</v>
      </c>
      <c r="BN4" t="s" s="0">
        <v>314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315</v>
      </c>
      <c r="C5" s="19" t="s">
        <v>315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79</v>
      </c>
      <c r="AT5" s="25" t="s">
        <v>76</v>
      </c>
      <c r="AU5" t="s" s="0">
        <v>284</v>
      </c>
      <c r="AV5" t="s" s="0">
        <v>316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317</v>
      </c>
      <c r="BN5" t="s" s="0">
        <v>318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319</v>
      </c>
      <c r="C4" s="19" t="s">
        <v>319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212</v>
      </c>
      <c r="AV4" t="s" s="0">
        <v>320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320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321</v>
      </c>
      <c r="C5" s="19" t="s">
        <v>321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322</v>
      </c>
      <c r="AV5" t="s" s="0">
        <v>323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323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324</v>
      </c>
      <c r="C6" s="102" t="s">
        <v>324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>F6*G6</f>
        <v>500</v>
      </c>
      <c r="I6" t="s" s="0">
        <v>232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204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319</v>
      </c>
      <c r="C4" s="19" t="s">
        <v>319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212</v>
      </c>
      <c r="AV4" t="s" s="0">
        <v>320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320</v>
      </c>
      <c r="BN4" t="s" s="0">
        <v>78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321</v>
      </c>
      <c r="C5" s="19" t="s">
        <v>321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322</v>
      </c>
      <c r="AV5" t="s" s="0">
        <v>323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323</v>
      </c>
      <c r="BN5" t="s" s="0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324</v>
      </c>
      <c r="C6" s="102" t="s">
        <v>324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204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325</v>
      </c>
      <c r="C4" s="19" t="s">
        <v>325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212</v>
      </c>
      <c r="AV4" t="s" s="0">
        <v>326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280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327</v>
      </c>
      <c r="C5" s="19" t="s">
        <v>327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328</v>
      </c>
      <c r="AV5" t="s" s="0">
        <v>329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292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330</v>
      </c>
      <c r="C6" s="102" t="s">
        <v>330</v>
      </c>
      <c r="D6" s="19" t="s">
        <v>76</v>
      </c>
      <c r="E6" s="19" t="s">
        <v>76</v>
      </c>
      <c r="F6" s="20">
        <v>20</v>
      </c>
      <c r="G6" t="s" s="0">
        <v>231</v>
      </c>
      <c r="H6" s="20">
        <f>F6*G6</f>
        <v>1000</v>
      </c>
      <c r="I6" t="s" s="0">
        <v>232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331</v>
      </c>
      <c r="AV6" t="s" s="0">
        <v>332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333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325</v>
      </c>
      <c r="C4" s="19" t="s">
        <v>325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174</v>
      </c>
      <c r="AV4" t="s" s="0">
        <v>167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327</v>
      </c>
      <c r="C5" s="19" t="s">
        <v>327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334</v>
      </c>
      <c r="AV5" t="s" s="0">
        <v>157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330</v>
      </c>
      <c r="C6" s="102" t="s">
        <v>330</v>
      </c>
      <c r="D6" s="19" t="s">
        <v>76</v>
      </c>
      <c r="E6" s="19" t="s">
        <v>76</v>
      </c>
      <c r="F6" s="20">
        <v>20</v>
      </c>
      <c r="G6" t="s" s="0">
        <v>231</v>
      </c>
      <c r="H6" s="20">
        <f t="shared" si="0"/>
        <v>1000</v>
      </c>
      <c r="I6" t="s" s="0">
        <v>232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204</v>
      </c>
      <c r="AV6" t="s" s="0">
        <v>163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335</v>
      </c>
      <c r="C4" s="19" t="s">
        <v>335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174</v>
      </c>
      <c r="AV4" t="s" s="0">
        <v>320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320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336</v>
      </c>
      <c r="C5" s="19" t="s">
        <v>336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334</v>
      </c>
      <c r="AV5" t="s" s="0">
        <v>323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323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337</v>
      </c>
      <c r="C6" s="102" t="s">
        <v>337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>F6*G6</f>
        <v>500</v>
      </c>
      <c r="I6" t="s" s="0">
        <v>232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272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335</v>
      </c>
      <c r="C4" s="19" t="s">
        <v>335</v>
      </c>
      <c r="D4" s="19" t="s">
        <v>76</v>
      </c>
      <c r="E4" s="19" t="s">
        <v>76</v>
      </c>
      <c r="F4" s="20">
        <v>5</v>
      </c>
      <c r="G4" t="s" s="0">
        <v>231</v>
      </c>
      <c r="H4" s="20">
        <f t="shared" ref="H4:H6" si="0">F4*G4</f>
        <v>250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 s="0">
        <v>174</v>
      </c>
      <c r="AV4" t="s" s="0">
        <v>320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320</v>
      </c>
      <c r="BN4" t="s" s="0">
        <v>78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336</v>
      </c>
      <c r="C5" s="19" t="s">
        <v>336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334</v>
      </c>
      <c r="AV5" t="s" s="0">
        <v>323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323</v>
      </c>
      <c r="BN5" t="s" s="0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337</v>
      </c>
      <c r="C6" s="102" t="s">
        <v>337</v>
      </c>
      <c r="D6" s="19" t="s">
        <v>76</v>
      </c>
      <c r="E6" s="19" t="s">
        <v>76</v>
      </c>
      <c r="F6" s="20">
        <v>10</v>
      </c>
      <c r="G6" t="s" s="0">
        <v>231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272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338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149</v>
      </c>
      <c r="AT4" s="75" t="s">
        <v>76</v>
      </c>
      <c r="AU4" s="50" t="s">
        <v>85</v>
      </c>
      <c r="AV4" s="50" t="s">
        <v>339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152</v>
      </c>
      <c r="BM4" s="50" t="s">
        <v>339</v>
      </c>
      <c r="BN4" s="50" t="s">
        <v>340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341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149</v>
      </c>
      <c r="AT5" s="75" t="s">
        <v>76</v>
      </c>
      <c r="AU5" s="50" t="s">
        <v>85</v>
      </c>
      <c r="AV5" s="50" t="s">
        <v>342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152</v>
      </c>
      <c r="BM5" s="50" t="s">
        <v>342</v>
      </c>
      <c r="BN5" s="50" t="s">
        <v>343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344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149</v>
      </c>
      <c r="AT6" s="79" t="s">
        <v>76</v>
      </c>
      <c r="AU6" s="50" t="s">
        <v>85</v>
      </c>
      <c r="AV6" s="50" t="s">
        <v>345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346</v>
      </c>
      <c r="BE6" s="79"/>
      <c r="BF6" s="79"/>
      <c r="BG6" s="79"/>
      <c r="BH6" s="79"/>
      <c r="BI6" s="79"/>
      <c r="BJ6" s="79"/>
      <c r="BK6" s="79"/>
      <c r="BL6" s="79" t="s">
        <v>152</v>
      </c>
      <c r="BM6" s="50" t="s">
        <v>345</v>
      </c>
      <c r="BN6" s="50" t="s">
        <v>347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21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21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348</v>
      </c>
      <c r="C4" s="19" t="s">
        <v>348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349</v>
      </c>
      <c r="AV4" t="s" s="0">
        <v>350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351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352</v>
      </c>
      <c r="C5" s="19" t="s">
        <v>352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353</v>
      </c>
      <c r="AV5" t="s" s="0">
        <v>354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356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357</v>
      </c>
      <c r="C6" s="19" t="s">
        <v>357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358</v>
      </c>
      <c r="AV6" t="s" s="0">
        <v>359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361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362</v>
      </c>
      <c r="BN4" t="s" s="0">
        <v>363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 s="0">
        <v>85</v>
      </c>
      <c r="AV5" t="s" s="0">
        <v>364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365</v>
      </c>
      <c r="BN5" t="s" s="0">
        <v>366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 s="0">
        <v>85</v>
      </c>
      <c r="AV6" t="s" s="0">
        <v>367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368</v>
      </c>
      <c r="BN6" t="s" s="0">
        <v>369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85</v>
      </c>
      <c r="AV4" t="s" s="0">
        <v>370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371</v>
      </c>
      <c r="BN4" t="s" s="0">
        <v>372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265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373</v>
      </c>
      <c r="BN5" t="s" s="0">
        <v>252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268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375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348</v>
      </c>
      <c r="C4" s="19" t="s">
        <v>348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376</v>
      </c>
      <c r="AV4" t="s" s="0">
        <v>377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351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352</v>
      </c>
      <c r="C5" s="19" t="s">
        <v>352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378</v>
      </c>
      <c r="AV5" t="s" s="0">
        <v>379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356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357</v>
      </c>
      <c r="C6" s="19" t="s">
        <v>357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380</v>
      </c>
      <c r="AV6" t="s" s="0">
        <v>381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361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382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383</v>
      </c>
      <c r="C4" s="19" t="s">
        <v>383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384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385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386</v>
      </c>
      <c r="C5" s="19" t="s">
        <v>386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 s="0">
        <v>387</v>
      </c>
      <c r="AV5" t="s" s="0">
        <v>355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351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388</v>
      </c>
      <c r="C6" s="19" t="s">
        <v>388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349</v>
      </c>
      <c r="AV6" t="s" s="0">
        <v>360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351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383</v>
      </c>
      <c r="C4" s="19" t="s">
        <v>383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384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385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386</v>
      </c>
      <c r="C5" s="19" t="s">
        <v>386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 s="0">
        <v>387</v>
      </c>
      <c r="AV5" t="s" s="0">
        <v>355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351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388</v>
      </c>
      <c r="C6" s="19" t="s">
        <v>388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349</v>
      </c>
      <c r="AV6" t="s" s="0">
        <v>360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351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389</v>
      </c>
      <c r="C4" s="19" t="s">
        <v>389</v>
      </c>
      <c r="D4" s="19" t="s">
        <v>76</v>
      </c>
      <c r="E4" s="19" t="s">
        <v>95</v>
      </c>
      <c r="F4" s="20">
        <v>6</v>
      </c>
      <c r="G4" t="s" s="0">
        <v>77</v>
      </c>
      <c r="H4" s="20">
        <f t="shared" ref="H4:H6" si="0">F4*G4</f>
        <v>900</v>
      </c>
      <c r="I4" t="s" s="0">
        <v>78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390</v>
      </c>
      <c r="BN4" t="s" s="0">
        <v>391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392</v>
      </c>
      <c r="C5" s="19" t="s">
        <v>392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 s="0">
        <v>85</v>
      </c>
      <c r="AV5" t="s" s="0">
        <v>393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394</v>
      </c>
      <c r="BN5" t="s" s="0">
        <v>395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95</v>
      </c>
      <c r="F6" s="20">
        <v>12</v>
      </c>
      <c r="G6" t="s" s="0">
        <v>231</v>
      </c>
      <c r="H6" s="20">
        <f t="shared" si="0"/>
        <v>600</v>
      </c>
      <c r="I6" t="s" s="0">
        <v>232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397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398</v>
      </c>
      <c r="BN6" t="s" s="0">
        <v>399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389</v>
      </c>
      <c r="C4" s="19" t="s">
        <v>389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400</v>
      </c>
      <c r="BN4" t="s" s="0">
        <v>401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392</v>
      </c>
      <c r="C5" s="19" t="s">
        <v>392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402</v>
      </c>
      <c r="BN5" t="s" s="0">
        <v>403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95</v>
      </c>
      <c r="F6" s="20">
        <v>12</v>
      </c>
      <c r="G6" t="s" s="0">
        <v>231</v>
      </c>
      <c r="H6" s="20">
        <f t="shared" si="0"/>
        <v>600</v>
      </c>
      <c r="I6" t="s" s="0">
        <v>232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397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404</v>
      </c>
      <c r="BN6" t="s" s="0">
        <v>405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389</v>
      </c>
      <c r="C4" s="19" t="s">
        <v>389</v>
      </c>
      <c r="D4" s="19" t="s">
        <v>76</v>
      </c>
      <c r="E4" s="19" t="s">
        <v>95</v>
      </c>
      <c r="F4" s="20">
        <v>3</v>
      </c>
      <c r="G4" t="s" s="0">
        <v>231</v>
      </c>
      <c r="H4" s="20">
        <f t="shared" ref="H4:H6" si="0">F4*G4</f>
        <v>150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406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407</v>
      </c>
      <c r="BN4" t="s" s="0">
        <v>408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392</v>
      </c>
      <c r="C5" s="19" t="s">
        <v>392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85</v>
      </c>
      <c r="AV5" t="s" s="0">
        <v>409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410</v>
      </c>
      <c r="BN5" t="s" s="0">
        <v>411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95</v>
      </c>
      <c r="F6" s="20">
        <v>9</v>
      </c>
      <c r="G6" t="s" s="0">
        <v>231</v>
      </c>
      <c r="H6" s="20">
        <f t="shared" si="0"/>
        <v>450</v>
      </c>
      <c r="I6" t="s" s="0">
        <v>232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 s="0">
        <v>85</v>
      </c>
      <c r="AV6" t="s" s="0">
        <v>412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413</v>
      </c>
      <c r="BN6" t="s" s="0">
        <v>414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416</v>
      </c>
      <c r="BN4" t="s" s="0">
        <v>417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419</v>
      </c>
      <c r="BN5" t="s" s="0">
        <v>420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12</v>
      </c>
      <c r="G6" t="s" s="0">
        <v>231</v>
      </c>
      <c r="H6" s="20">
        <f t="shared" si="0"/>
        <v>600</v>
      </c>
      <c r="I6" t="s" s="0">
        <v>232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397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422</v>
      </c>
      <c r="BN6" t="s" s="0">
        <v>423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424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425</v>
      </c>
      <c r="BN4" t="s" s="0">
        <v>426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427</v>
      </c>
      <c r="BN5" t="s" s="0">
        <v>428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9</v>
      </c>
      <c r="G6" t="s" s="0">
        <v>231</v>
      </c>
      <c r="H6" s="20">
        <f t="shared" si="0"/>
        <v>450</v>
      </c>
      <c r="I6" t="s" s="0">
        <v>232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85</v>
      </c>
      <c r="AV6" t="s" s="0">
        <v>360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429</v>
      </c>
      <c r="BN6" t="s" s="0">
        <v>430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424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95</v>
      </c>
      <c r="F4" s="20">
        <v>6</v>
      </c>
      <c r="G4" t="s" s="0">
        <v>231</v>
      </c>
      <c r="H4" s="20">
        <f t="shared" ref="H4:H6" si="0">F4*G4</f>
        <v>300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406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431</v>
      </c>
      <c r="BN4" t="s" s="0">
        <v>432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433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434</v>
      </c>
      <c r="BN5" t="s" s="0">
        <v>435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12</v>
      </c>
      <c r="G6" t="s" s="0">
        <v>231</v>
      </c>
      <c r="H6" s="20">
        <f t="shared" si="0"/>
        <v>600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436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437</v>
      </c>
      <c r="BN6" t="s" s="0">
        <v>438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439</v>
      </c>
      <c r="C4" s="19" t="s">
        <v>439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384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440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442</v>
      </c>
      <c r="AV5" t="s" s="0">
        <v>355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166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443</v>
      </c>
      <c r="C6" s="19" t="s">
        <v>443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376</v>
      </c>
      <c r="AV6" t="s" s="0">
        <v>360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444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64</vt:i4>
      </vt:variant>
    </vt:vector>
  </HeadingPairs>
  <TitlesOfParts>
    <vt:vector size="64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PoToMRVWFSUomWithReverseWOGImp</vt:lpstr>
      <vt:lpstr>PoToMRVWFSUomWithReversePOA</vt:lpstr>
      <vt:lpstr>PoToMRVWFSUomWithReversePOAWOG</vt:lpstr>
      <vt:lpstr>PoToMRVWFSUomWithRevPOAWOGImp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2026-04-02T11:10:32Z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