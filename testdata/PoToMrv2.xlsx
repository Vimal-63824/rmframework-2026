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0" activeTab="14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Imp" sheetId="67" r:id="rId15"/>
    <sheet name="PoToMRVWFSUomserv" sheetId="16" r:id="rId16"/>
    <sheet name="PoToMRVWFSUomservImp" sheetId="56" r:id="rId17"/>
    <sheet name="PoToMRVWoQSUomRC" sheetId="34" r:id="rId18"/>
    <sheet name="PoToMRVExcessToleranceqty" sheetId="65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" sheetId="6" r:id="rId41"/>
    <sheet name="PoToMRVWOIpPlImp" sheetId="44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FPDUomRc" sheetId="21" r:id="rId52"/>
    <sheet name="PoToMRVWoQDUomRc" sheetId="38" r:id="rId53"/>
    <sheet name="PoToMRVWoQDUomRcImp" sheetId="54" r:id="rId54"/>
    <sheet name="PoToMRVWFPDUomPl" sheetId="22" r:id="rId55"/>
    <sheet name="PoToMRVWoQDUomPl" sheetId="40" r:id="rId56"/>
    <sheet name="PoToMRVWoQDUomPlImp" sheetId="55" r:id="rId57"/>
    <sheet name="PoToMRVWOIpDUomPl" sheetId="11" r:id="rId5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<sst xmlns="http://schemas.openxmlformats.org/spreadsheetml/2006/main" count="8585" uniqueCount="427">
  <si>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</si>
  <si>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</si>
  <si>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</si>
  <si>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</si>
  <si>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</si>
  <si>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</si>
  <si>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</si>
  <si>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</si>
  <si>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</si>
  <si>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</si>
  <si>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</si>
  <si>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</si>
  <si>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</si>
  <si>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</si>
  <si>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</si>
  <si>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</si>
  <si>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</si>
  <si>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</si>
  <si>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</si>
  <si>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</si>
  <si>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</si>
  <si>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</si>
  <si>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</si>
  <si>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</si>
  <si>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</si>
  <si>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</si>
  <si>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</si>
  <si>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</si>
  <si>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</si>
  <si>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</si>
  <si>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</si>
  <si>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</si>
  <si>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</si>
  <si>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</si>
  <si>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</si>
  <si>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</si>
  <si>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</si>
  <si>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</si>
  <si>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</si>
  <si>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</si>
  <si>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</si>
  <si>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</si>
  <si>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</si>
  <si>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</si>
  <si>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</si>
  <si>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</si>
  <si>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</si>
  <si>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</si>
  <si>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</si>
  <si>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</si>
  <si>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</si>
  <si>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</si>
  <si>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</si>
  <si>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</si>
  <si>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</si>
  <si>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</si>
  <si>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</si>
  <si>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</si>
  <si>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</si>
  <si>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</si>
  <si>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</si>
  <si>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</si>
  <si>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</si>
  <si>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</si>
  <si>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</si>
  <si>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</si>
  <si>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</si>
  <si>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</si>
  <si>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</si>
  <si>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</si>
  <si>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</si>
  <si>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</si>
  <si>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</si>
  <si>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</si>
  <si>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</si>
  <si>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</si>
  <si>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</si>
  <si>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</si>
  <si>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</si>
  <si>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</si>
  <si>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</si>
  <si>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</si>
  <si>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</si>
  <si>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</si>
  <si>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</si>
  <si>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</si>
  <si>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</si>
  <si>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</si>
  <si>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</si>
  <si>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</si>
  <si>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</si>
  <si>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</si>
  <si>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</si>
  <si>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</si>
  <si>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</si>
  <si>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</si>
  <si>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</si>
  <si>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</si>
  <si>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</si>
  <si>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</si>
  <si>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</si>
  <si>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</si>
  <si>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</si>
  <si>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</si>
  <si>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</si>
  <si>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</si>
  <si>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</si>
  <si>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</si>
  <si>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</si>
  <si>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</si>
  <si>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</si>
  <si>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</si>
  <si>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</si>
  <si>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</si>
  <si>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</si>
  <si>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</si>
  <si>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</si>
  <si>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</si>
  <si>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</si>
  <si>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</si>
  <si>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</si>
  <si>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</si>
  <si>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</si>
  <si>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</si>
  <si>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</si>
  <si>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</si>
  <si>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</si>
  <si>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</si>
  <si>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</si>
  <si>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</si>
  <si>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</si>
  <si>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</si>
  <si>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</si>
  <si>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</si>
  <si>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</si>
  <si>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11292.73677</t>
  </si>
  <si>
    <t>220.33</t>
  </si>
  <si>
    <t>20940.31667</t>
  </si>
  <si>
    <t>2384.05426</t>
  </si>
  <si>
    <t>313.012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</si>
  <si>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</si>
  <si>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</si>
  <si>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</si>
  <si>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</si>
  <si>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</si>
  <si>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</si>
  <si>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</si>
  <si>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</si>
  <si>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</si>
  <si>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</si>
  <si>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</si>
  <si>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</si>
  <si>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</si>
  <si>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</si>
  <si>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</si>
  <si>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</si>
  <si>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</si>
  <si>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</si>
  <si>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</si>
  <si>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</si>
  <si>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</si>
  <si>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</si>
  <si>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</si>
  <si>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</si>
  <si>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</si>
  <si>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</si>
  <si>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</si>
  <si>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</si>
  <si>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</si>
  <si>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</si>
  <si>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</si>
  <si>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</si>
  <si>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</si>
  <si>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</si>
  <si>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</si>
  <si>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</si>
  <si>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</si>
  <si>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</si>
  <si>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</si>
  <si>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</si>
  <si>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</si>
  <si>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</si>
  <si>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</si>
  <si>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</si>
  <si>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</si>
  <si>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</si>
  <si>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</si>
  <si>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4100.07873</t>
  </si>
  <si>
    <t>846</t>
  </si>
  <si>
    <t>GWL_Item_WoQ_UD_Similar_02</t>
  </si>
  <si>
    <t>82.1175</t>
  </si>
  <si>
    <t>1037.2385</t>
  </si>
  <si>
    <t>GWL_Item_WoQ_UD_Similar_03</t>
  </si>
  <si>
    <t>43.301</t>
  </si>
  <si>
    <t>740.69834</t>
  </si>
  <si>
    <t>678</t>
  </si>
  <si>
    <t>2586.81018</t>
  </si>
  <si>
    <t>680</t>
  </si>
  <si>
    <t>732</t>
  </si>
  <si>
    <t>3167.58793</t>
  </si>
  <si>
    <t>2595.52877</t>
  </si>
  <si>
    <t>GWL_Item_FP_service_01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</si>
  <si>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</si>
  <si>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</si>
  <si>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</si>
  <si>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</si>
  <si>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</si>
  <si>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</si>
  <si>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</si>
  <si>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</si>
  <si>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</si>
  <si>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</si>
  <si>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</si>
  <si>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</si>
  <si>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</si>
  <si>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</si>
  <si>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</si>
  <si>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</si>
  <si>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</si>
  <si>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</si>
  <si>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</si>
  <si>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1342.29192</t>
  </si>
  <si>
    <t>840</t>
  </si>
  <si>
    <t>647.53619</t>
  </si>
  <si>
    <t>244</t>
  </si>
  <si>
    <t>447.43341</t>
  </si>
  <si>
    <t>630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</si>
  <si>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</si>
  <si>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</si>
  <si>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</si>
  <si>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</si>
  <si>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</si>
  <si>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</si>
  <si>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</si>
  <si>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</si>
  <si>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</si>
  <si>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965.16585</t>
  </si>
  <si>
    <t>875</t>
  </si>
  <si>
    <t>561.15301</t>
  </si>
  <si>
    <t>288</t>
  </si>
  <si>
    <t>387.35959</t>
  </si>
  <si>
    <t>740</t>
  </si>
  <si>
    <t>3714.5</t>
  </si>
  <si>
    <t>986.49226</t>
  </si>
  <si>
    <t>895</t>
  </si>
  <si>
    <t>6979.9875</t>
  </si>
  <si>
    <t>641.42056</t>
  </si>
  <si>
    <t>296</t>
  </si>
  <si>
    <t>3680.585</t>
  </si>
  <si>
    <t>426.16441</t>
  </si>
  <si>
    <t>760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</si>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</sst>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0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theme/theme1.xml" Type="http://schemas.openxmlformats.org/officeDocument/2006/relationships/theme"/><Relationship Id="rId6" Target="worksheets/sheet6.xml" Type="http://schemas.openxmlformats.org/officeDocument/2006/relationships/worksheet"/><Relationship Id="rId60" Target="sharedStrings.xml" Type="http://schemas.openxmlformats.org/officeDocument/2006/relationships/sharedStrings"/><Relationship Id="rId61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0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0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1" sqref="BL1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52" max="52" customWidth="true" width="10.7142857142857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2</v>
      </c>
      <c r="AX4" s="26">
        <f t="shared" ref="AX4:AX5" si="14">AR4</f>
        <v>373.635</v>
      </c>
      <c r="AY4" s="25">
        <f t="shared" ref="AY4:AY5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25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246.3588</v>
      </c>
      <c r="BP5" s="31">
        <f t="shared" si="17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130</v>
      </c>
      <c r="BN4" t="s" s="0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132</v>
      </c>
      <c r="BN5" t="s" s="0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30.4285714285714"/>
    <col min="48" max="48" width="11.7142857142857"/>
    <col min="52" max="52" customWidth="true" width="19.4285714285714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134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135</v>
      </c>
      <c r="BN4" t="s" s="0">
        <v>136</v>
      </c>
      <c r="BO4" s="25">
        <f>ROUND((((AW4*AZ4)+(BN4*BM4))/(AW4+BN4)),5)</f>
        <v>10978.38233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739.07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62820.95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 s="0">
        <v>85</v>
      </c>
      <c r="AV5" t="s" s="0">
        <v>137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138</v>
      </c>
      <c r="BN5" t="s" s="0">
        <v>139</v>
      </c>
      <c r="BO5" s="25">
        <f>ROUND((((AW5*AZ5)+(BN5*BM5))/(AW5+BN5)),5)</f>
        <v>2384.05426</v>
      </c>
      <c r="BP5" s="31">
        <f>ROUND(BN5+AW5,3)</f>
        <v>306.345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09" t="s">
        <v>140</v>
      </c>
      <c r="B3" s="109" t="s">
        <v>10</v>
      </c>
      <c r="C3" s="110" t="s">
        <v>141</v>
      </c>
      <c r="D3" s="109" t="s">
        <v>12</v>
      </c>
      <c r="E3" s="109" t="s">
        <v>13</v>
      </c>
      <c r="F3" s="111" t="s">
        <v>142</v>
      </c>
      <c r="G3" s="109" t="s">
        <v>15</v>
      </c>
      <c r="H3" s="109" t="s">
        <v>16</v>
      </c>
      <c r="I3" s="112" t="s">
        <v>17</v>
      </c>
      <c r="J3" s="112" t="s">
        <v>19</v>
      </c>
      <c r="K3" s="112" t="s">
        <v>18</v>
      </c>
      <c r="L3" s="113" t="s">
        <v>20</v>
      </c>
      <c r="M3" s="113" t="s">
        <v>21</v>
      </c>
      <c r="N3" s="113" t="s">
        <v>143</v>
      </c>
      <c r="O3" s="113" t="s">
        <v>25</v>
      </c>
      <c r="P3" s="113" t="s">
        <v>22</v>
      </c>
      <c r="Q3" s="113" t="s">
        <v>23</v>
      </c>
      <c r="R3" s="112" t="s">
        <v>26</v>
      </c>
      <c r="S3" s="109" t="s">
        <v>144</v>
      </c>
      <c r="T3" s="109" t="s">
        <v>28</v>
      </c>
      <c r="U3" s="13" t="s">
        <v>145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146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149</v>
      </c>
      <c r="AT4" s="25" t="s">
        <v>76</v>
      </c>
      <c r="AU4" s="5" t="s">
        <v>150</v>
      </c>
      <c r="AV4" s="5" t="s">
        <v>151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7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152</v>
      </c>
      <c r="BM4" s="5" t="s">
        <v>153</v>
      </c>
      <c r="BN4" s="5" t="s">
        <v>154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155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156</v>
      </c>
      <c r="AV5" t="s" s="0">
        <v>157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158</v>
      </c>
      <c r="BN5" t="s" s="0">
        <v>159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162</v>
      </c>
      <c r="AV6" t="s" s="0">
        <v>163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164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175</v>
      </c>
      <c r="AV4" t="s" s="0">
        <v>176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177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179</v>
      </c>
      <c r="AV5" t="s" s="0">
        <v>180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181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182</v>
      </c>
      <c r="AV6" t="s" s="0">
        <v>183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184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185</v>
      </c>
      <c r="C4" t="s" s="0">
        <v>185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8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8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8" sqref="BK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187</v>
      </c>
      <c r="BN4" t="s" s="0">
        <v>188</v>
      </c>
      <c r="BO4" s="25">
        <f t="shared" ref="BO4:BO6" si="16">ROUND((((AW4*AZ4)+(BN4*BM4))/(AW4+BN4)),5)</f>
        <v>3110.93313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191</v>
      </c>
      <c r="BN5" t="s" s="0">
        <v>182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194</v>
      </c>
      <c r="BN6" t="s" s="0">
        <v>195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G1" workbookViewId="0">
      <selection activeCell="AV8" sqref="AV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s="0">
        <v>727</v>
      </c>
      <c r="AV4" s="0">
        <v>3230.53693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196</v>
      </c>
      <c r="BN4" t="s" s="0">
        <v>197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s="0">
        <v>727</v>
      </c>
      <c r="AV7" s="0">
        <v>3188.393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196</v>
      </c>
      <c r="BN7" t="s" s="0">
        <v>197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18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18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abSelected="1" topLeftCell="Y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198</v>
      </c>
      <c r="AV4" t="s" s="0">
        <v>199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200</v>
      </c>
      <c r="BN4" t="s" s="0">
        <v>197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198</v>
      </c>
      <c r="AV7" t="s" s="0">
        <v>199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200</v>
      </c>
      <c r="BN7" t="s" s="0">
        <v>197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18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18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17" sqref="B1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201</v>
      </c>
      <c r="C4" s="105" t="s">
        <v>201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202</v>
      </c>
      <c r="C5" s="107" t="s">
        <v>202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203</v>
      </c>
      <c r="C6" s="107" t="s">
        <v>203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201</v>
      </c>
      <c r="C4" s="105" t="s">
        <v>201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202</v>
      </c>
      <c r="C5" s="107" t="s">
        <v>202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203</v>
      </c>
      <c r="C6" s="107" t="s">
        <v>203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204</v>
      </c>
      <c r="C4" s="19" t="s">
        <v>204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 t="shared" ref="H4:H6" si="0">F4*G4</f>
        <v>15000</v>
      </c>
      <c r="I4" t="s" s="0">
        <v>78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205</v>
      </c>
      <c r="BN4" t="s" s="0">
        <v>206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207</v>
      </c>
      <c r="C5" s="19" t="s">
        <v>207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208</v>
      </c>
      <c r="BN5" t="s" s="0">
        <v>209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210</v>
      </c>
      <c r="C6" s="19" t="s">
        <v>210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213</v>
      </c>
      <c r="BN6" t="s" s="0">
        <v>214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I23" sqref="I2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204</v>
      </c>
      <c r="C4" s="19" t="s">
        <v>204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>F4*G4</f>
        <v>15000</v>
      </c>
      <c r="I4" t="s" s="0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205</v>
      </c>
      <c r="BN4" t="s" s="0">
        <v>206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8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8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204</v>
      </c>
      <c r="C4" s="19" t="s">
        <v>204</v>
      </c>
      <c r="D4" s="19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215</v>
      </c>
      <c r="BN4" t="s" s="0">
        <v>216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207</v>
      </c>
      <c r="C5" s="19" t="s">
        <v>207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217</v>
      </c>
      <c r="BN5" t="s" s="0">
        <v>218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210</v>
      </c>
      <c r="C6" s="19" t="s">
        <v>210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219</v>
      </c>
      <c r="BN6" t="s" s="0">
        <v>220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204</v>
      </c>
      <c r="C4" s="19" t="s">
        <v>204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221</v>
      </c>
      <c r="BN4" t="s" s="0">
        <v>222</v>
      </c>
      <c r="BO4" s="25">
        <f t="shared" ref="BO4:BO6" si="16">ROUND((((AW4*AZ4)+(BN4*BM4))/(AW4+BN4)),5)</f>
        <v>925.99056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207</v>
      </c>
      <c r="C5" s="19" t="s">
        <v>207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223</v>
      </c>
      <c r="BN5" t="s" s="0">
        <v>224</v>
      </c>
      <c r="BO5" s="25">
        <f t="shared" si="16"/>
        <v>82.11993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210</v>
      </c>
      <c r="C6" s="19" t="s">
        <v>210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225</v>
      </c>
      <c r="BN6" t="s" s="0">
        <v>226</v>
      </c>
      <c r="BO6" s="25">
        <f t="shared" si="16"/>
        <v>43.30003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227</v>
      </c>
      <c r="C4" s="19" t="s">
        <v>227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228</v>
      </c>
      <c r="BN4" t="s" s="0">
        <v>229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230</v>
      </c>
      <c r="C5" s="19" t="s">
        <v>230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231</v>
      </c>
      <c r="BN5" t="s" s="0">
        <v>232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233</v>
      </c>
      <c r="C6" s="19" t="s">
        <v>233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234</v>
      </c>
      <c r="BN6" t="s" s="0">
        <v>235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227</v>
      </c>
      <c r="C4" s="19" t="s">
        <v>227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236</v>
      </c>
      <c r="BN4" t="s" s="0">
        <v>237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230</v>
      </c>
      <c r="C5" s="19" t="s">
        <v>230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238</v>
      </c>
      <c r="BN5" t="s" s="0">
        <v>239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233</v>
      </c>
      <c r="C6" s="19" t="s">
        <v>233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240</v>
      </c>
      <c r="BN6" t="s" s="0">
        <v>241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227</v>
      </c>
      <c r="C4" s="19" t="s">
        <v>227</v>
      </c>
      <c r="D4" s="19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242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243</v>
      </c>
      <c r="BN4" t="s" s="0">
        <v>244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230</v>
      </c>
      <c r="C5" s="19" t="s">
        <v>230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245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246</v>
      </c>
      <c r="BN5" t="s" s="0">
        <v>247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233</v>
      </c>
      <c r="C6" s="19" t="s">
        <v>233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248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249</v>
      </c>
      <c r="BN6" t="s" s="0">
        <v>250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251</v>
      </c>
      <c r="C4" s="105" t="s">
        <v>251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253</v>
      </c>
      <c r="C5" s="107" t="s">
        <v>253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254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255</v>
      </c>
      <c r="C6" s="107" t="s">
        <v>255</v>
      </c>
      <c r="D6" s="106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251</v>
      </c>
      <c r="C4" s="105" t="s">
        <v>251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253</v>
      </c>
      <c r="C5" s="107" t="s">
        <v>253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254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255</v>
      </c>
      <c r="C6" s="107" t="s">
        <v>255</v>
      </c>
      <c r="D6" s="106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251</v>
      </c>
      <c r="C4" s="105" t="s">
        <v>251</v>
      </c>
      <c r="D4" s="106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252</v>
      </c>
      <c r="AV4" t="s" s="0">
        <v>167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253</v>
      </c>
      <c r="C5" s="107" t="s">
        <v>253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254</v>
      </c>
      <c r="AV5" t="s" s="0">
        <v>157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254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255</v>
      </c>
      <c r="C6" s="107" t="s">
        <v>255</v>
      </c>
      <c r="D6" s="106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256</v>
      </c>
      <c r="C4" s="105" t="s">
        <v>256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257</v>
      </c>
      <c r="C5" s="105" t="s">
        <v>257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254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258</v>
      </c>
      <c r="C6" s="108" t="s">
        <v>258</v>
      </c>
      <c r="D6" s="106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256</v>
      </c>
      <c r="C4" s="105" t="s">
        <v>256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257</v>
      </c>
      <c r="C5" s="105" t="s">
        <v>257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254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258</v>
      </c>
      <c r="C6" s="108" t="s">
        <v>258</v>
      </c>
      <c r="D6" s="106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256</v>
      </c>
      <c r="C4" s="105" t="s">
        <v>256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252</v>
      </c>
      <c r="AV4" t="s" s="0">
        <v>167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257</v>
      </c>
      <c r="C5" s="105" t="s">
        <v>257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254</v>
      </c>
      <c r="AV5" t="s" s="0">
        <v>157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254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258</v>
      </c>
      <c r="C6" s="108" t="s">
        <v>258</v>
      </c>
      <c r="D6" s="106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259</v>
      </c>
      <c r="C4" s="19" t="s">
        <v>259</v>
      </c>
      <c r="D4" s="19" t="s">
        <v>76</v>
      </c>
      <c r="E4" s="19" t="s">
        <v>76</v>
      </c>
      <c r="F4" s="20">
        <v>5</v>
      </c>
      <c r="G4" t="s" s="0">
        <v>211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260</v>
      </c>
      <c r="AV4" t="s" s="0">
        <v>261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262</v>
      </c>
      <c r="C5" s="19" t="s">
        <v>262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263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264</v>
      </c>
      <c r="AV5" t="s" s="0">
        <v>265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266</v>
      </c>
      <c r="C6" s="19" t="s">
        <v>266</v>
      </c>
      <c r="D6" s="19" t="s">
        <v>76</v>
      </c>
      <c r="E6" s="19" t="s">
        <v>76</v>
      </c>
      <c r="F6" s="20">
        <v>10</v>
      </c>
      <c r="G6" t="s" s="0">
        <v>77</v>
      </c>
      <c r="H6" s="20">
        <f>F6*G6</f>
        <v>1500</v>
      </c>
      <c r="I6" t="s" s="0">
        <v>267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268</v>
      </c>
      <c r="AV6" t="s" s="0">
        <v>269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259</v>
      </c>
      <c r="C4" s="19" t="s">
        <v>259</v>
      </c>
      <c r="D4" s="19" t="s">
        <v>76</v>
      </c>
      <c r="E4" s="19" t="s">
        <v>76</v>
      </c>
      <c r="F4" s="20">
        <v>5</v>
      </c>
      <c r="G4" t="s" s="0">
        <v>211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 s="0">
        <v>270</v>
      </c>
      <c r="AV4" t="s" s="0">
        <v>271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262</v>
      </c>
      <c r="C5" s="19" t="s">
        <v>262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263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 s="0">
        <v>272</v>
      </c>
      <c r="AV5" t="s" s="0">
        <v>273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266</v>
      </c>
      <c r="C6" s="19" t="s">
        <v>266</v>
      </c>
      <c r="D6" s="19" t="s">
        <v>76</v>
      </c>
      <c r="E6" s="19" t="s">
        <v>76</v>
      </c>
      <c r="F6" s="20">
        <v>10</v>
      </c>
      <c r="G6" t="s" s="0">
        <v>77</v>
      </c>
      <c r="H6" s="20">
        <f t="shared" si="0"/>
        <v>1500</v>
      </c>
      <c r="I6" t="s" s="0">
        <v>267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 s="0">
        <v>77</v>
      </c>
      <c r="AV6" t="s" s="0">
        <v>274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275</v>
      </c>
      <c r="C4" s="19" t="s">
        <v>275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276</v>
      </c>
      <c r="C5" s="19" t="s">
        <v>276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277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278</v>
      </c>
      <c r="C4" s="19" t="s">
        <v>278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279</v>
      </c>
      <c r="C5" s="19" t="s">
        <v>279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U5" t="s" s="0">
        <v>78</v>
      </c>
      <c r="AV5" t="s" s="0">
        <v>277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280</v>
      </c>
      <c r="C4" s="19" t="s">
        <v>280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281</v>
      </c>
      <c r="C5" s="19" t="s">
        <v>281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282</v>
      </c>
      <c r="C4" s="19" t="s">
        <v>282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283</v>
      </c>
      <c r="BN4" t="s" s="0">
        <v>284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285</v>
      </c>
      <c r="C5" s="19" t="s">
        <v>285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286</v>
      </c>
      <c r="BN5" t="s" s="0">
        <v>287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283</v>
      </c>
      <c r="BN4" t="s" s="0">
        <v>284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289</v>
      </c>
      <c r="C5" s="19" t="s">
        <v>289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286</v>
      </c>
      <c r="BN5" t="s" s="0">
        <v>287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290</v>
      </c>
      <c r="C4" s="19" t="s">
        <v>290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79</v>
      </c>
      <c r="AT4" s="25" t="s">
        <v>76</v>
      </c>
      <c r="AU4" t="s" s="0">
        <v>291</v>
      </c>
      <c r="AV4" t="s" s="0">
        <v>292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293</v>
      </c>
      <c r="BN4" t="s" s="0">
        <v>294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295</v>
      </c>
      <c r="C5" s="19" t="s">
        <v>295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79</v>
      </c>
      <c r="AT5" s="25" t="s">
        <v>76</v>
      </c>
      <c r="AU5" t="s" s="0">
        <v>264</v>
      </c>
      <c r="AV5" t="s" s="0">
        <v>296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297</v>
      </c>
      <c r="BN5" t="s" s="0">
        <v>298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8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8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299</v>
      </c>
      <c r="C4" s="19" t="s">
        <v>299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300</v>
      </c>
      <c r="AV4" t="s" s="0">
        <v>301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301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303</v>
      </c>
      <c r="AV5" t="s" s="0">
        <v>304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304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305</v>
      </c>
      <c r="C6" s="102" t="s">
        <v>305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>F6*G6</f>
        <v>500</v>
      </c>
      <c r="I6" t="s" s="0">
        <v>212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306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299</v>
      </c>
      <c r="C4" s="19" t="s">
        <v>299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300</v>
      </c>
      <c r="AV4" t="s" s="0">
        <v>301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301</v>
      </c>
      <c r="BN4" t="s" s="0">
        <v>78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303</v>
      </c>
      <c r="AV5" t="s" s="0">
        <v>304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304</v>
      </c>
      <c r="BN5" t="s" s="0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305</v>
      </c>
      <c r="C6" s="102" t="s">
        <v>305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306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300</v>
      </c>
      <c r="AV4" t="s" s="0">
        <v>308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260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309</v>
      </c>
      <c r="C5" s="19" t="s">
        <v>309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310</v>
      </c>
      <c r="AV5" t="s" s="0">
        <v>311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272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312</v>
      </c>
      <c r="C6" s="102" t="s">
        <v>312</v>
      </c>
      <c r="D6" s="19" t="s">
        <v>76</v>
      </c>
      <c r="E6" s="19" t="s">
        <v>76</v>
      </c>
      <c r="F6" s="20">
        <v>20</v>
      </c>
      <c r="G6" t="s" s="0">
        <v>211</v>
      </c>
      <c r="H6" s="20">
        <f>F6*G6</f>
        <v>1000</v>
      </c>
      <c r="I6" t="s" s="0">
        <v>212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313</v>
      </c>
      <c r="AV6" t="s" s="0">
        <v>314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315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174</v>
      </c>
      <c r="AV4" t="s" s="0">
        <v>167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309</v>
      </c>
      <c r="C5" s="19" t="s">
        <v>309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316</v>
      </c>
      <c r="AV5" t="s" s="0">
        <v>157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312</v>
      </c>
      <c r="C6" s="102" t="s">
        <v>312</v>
      </c>
      <c r="D6" s="19" t="s">
        <v>76</v>
      </c>
      <c r="E6" s="19" t="s">
        <v>76</v>
      </c>
      <c r="F6" s="20">
        <v>20</v>
      </c>
      <c r="G6" t="s" s="0">
        <v>211</v>
      </c>
      <c r="H6" s="20">
        <f t="shared" si="0"/>
        <v>1000</v>
      </c>
      <c r="I6" t="s" s="0">
        <v>212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306</v>
      </c>
      <c r="AV6" t="s" s="0">
        <v>163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317</v>
      </c>
      <c r="C4" s="19" t="s">
        <v>317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174</v>
      </c>
      <c r="AV4" t="s" s="0">
        <v>301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301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318</v>
      </c>
      <c r="C5" s="19" t="s">
        <v>318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316</v>
      </c>
      <c r="AV5" t="s" s="0">
        <v>304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304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319</v>
      </c>
      <c r="C6" s="102" t="s">
        <v>319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>F6*G6</f>
        <v>500</v>
      </c>
      <c r="I6" t="s" s="0">
        <v>212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252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317</v>
      </c>
      <c r="C4" s="19" t="s">
        <v>317</v>
      </c>
      <c r="D4" s="19" t="s">
        <v>76</v>
      </c>
      <c r="E4" s="19" t="s">
        <v>76</v>
      </c>
      <c r="F4" s="20">
        <v>5</v>
      </c>
      <c r="G4" t="s" s="0">
        <v>211</v>
      </c>
      <c r="H4" s="20">
        <f t="shared" ref="H4:H6" si="0">F4*G4</f>
        <v>250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 s="0">
        <v>174</v>
      </c>
      <c r="AV4" t="s" s="0">
        <v>301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301</v>
      </c>
      <c r="BN4" t="s" s="0">
        <v>78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318</v>
      </c>
      <c r="C5" s="19" t="s">
        <v>318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316</v>
      </c>
      <c r="AV5" t="s" s="0">
        <v>304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304</v>
      </c>
      <c r="BN5" t="s" s="0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319</v>
      </c>
      <c r="C6" s="102" t="s">
        <v>319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212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252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320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149</v>
      </c>
      <c r="AT4" s="75" t="s">
        <v>76</v>
      </c>
      <c r="AU4" s="50" t="s">
        <v>85</v>
      </c>
      <c r="AV4" s="50" t="s">
        <v>321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152</v>
      </c>
      <c r="BM4" s="50" t="s">
        <v>321</v>
      </c>
      <c r="BN4" s="50" t="s">
        <v>322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323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149</v>
      </c>
      <c r="AT5" s="75" t="s">
        <v>76</v>
      </c>
      <c r="AU5" s="50" t="s">
        <v>85</v>
      </c>
      <c r="AV5" s="50" t="s">
        <v>324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152</v>
      </c>
      <c r="BM5" s="50" t="s">
        <v>324</v>
      </c>
      <c r="BN5" s="50" t="s">
        <v>325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326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149</v>
      </c>
      <c r="AT6" s="79" t="s">
        <v>76</v>
      </c>
      <c r="AU6" s="50" t="s">
        <v>85</v>
      </c>
      <c r="AV6" s="50" t="s">
        <v>327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328</v>
      </c>
      <c r="BE6" s="79"/>
      <c r="BF6" s="79"/>
      <c r="BG6" s="79"/>
      <c r="BH6" s="79"/>
      <c r="BI6" s="79"/>
      <c r="BJ6" s="79"/>
      <c r="BK6" s="79"/>
      <c r="BL6" s="79" t="s">
        <v>152</v>
      </c>
      <c r="BM6" s="50" t="s">
        <v>327</v>
      </c>
      <c r="BN6" s="50" t="s">
        <v>329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19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19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330</v>
      </c>
      <c r="C4" s="19" t="s">
        <v>330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331</v>
      </c>
      <c r="AV4" t="s" s="0">
        <v>332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333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334</v>
      </c>
      <c r="C5" s="19" t="s">
        <v>334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335</v>
      </c>
      <c r="AV5" t="s" s="0">
        <v>336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337</v>
      </c>
      <c r="BN5" t="s" s="0">
        <v>338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339</v>
      </c>
      <c r="C6" s="19" t="s">
        <v>339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340</v>
      </c>
      <c r="AV6" t="s" s="0">
        <v>341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342</v>
      </c>
      <c r="BN6" t="s" s="0">
        <v>343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344</v>
      </c>
      <c r="BN4" t="s" s="0">
        <v>345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 s="0">
        <v>85</v>
      </c>
      <c r="AV5" t="s" s="0">
        <v>346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347</v>
      </c>
      <c r="BN5" t="s" s="0">
        <v>348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 s="0">
        <v>85</v>
      </c>
      <c r="AV6" t="s" s="0">
        <v>349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350</v>
      </c>
      <c r="BN6" t="s" s="0">
        <v>351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85</v>
      </c>
      <c r="AV4" t="s" s="0">
        <v>352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353</v>
      </c>
      <c r="BN4" t="s" s="0">
        <v>354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245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232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248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356</v>
      </c>
      <c r="BN6" t="s" s="0">
        <v>357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330</v>
      </c>
      <c r="C4" s="19" t="s">
        <v>330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358</v>
      </c>
      <c r="AV4" t="s" s="0">
        <v>359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333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334</v>
      </c>
      <c r="C5" s="19" t="s">
        <v>334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360</v>
      </c>
      <c r="AV5" t="s" s="0">
        <v>361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337</v>
      </c>
      <c r="BN5" t="s" s="0">
        <v>338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339</v>
      </c>
      <c r="C6" s="19" t="s">
        <v>339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362</v>
      </c>
      <c r="AV6" t="s" s="0">
        <v>363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342</v>
      </c>
      <c r="BN6" t="s" s="0">
        <v>343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364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365</v>
      </c>
      <c r="C4" s="19" t="s">
        <v>365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366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367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368</v>
      </c>
      <c r="C5" s="19" t="s">
        <v>368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 s="0">
        <v>369</v>
      </c>
      <c r="AV5" t="s" s="0">
        <v>337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337</v>
      </c>
      <c r="BN5" t="s" s="0">
        <v>333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370</v>
      </c>
      <c r="C6" s="19" t="s">
        <v>370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331</v>
      </c>
      <c r="AV6" t="s" s="0">
        <v>342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342</v>
      </c>
      <c r="BN6" t="s" s="0">
        <v>333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365</v>
      </c>
      <c r="C4" s="19" t="s">
        <v>365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366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367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368</v>
      </c>
      <c r="C5" s="19" t="s">
        <v>368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 s="0">
        <v>369</v>
      </c>
      <c r="AV5" t="s" s="0">
        <v>337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337</v>
      </c>
      <c r="BN5" t="s" s="0">
        <v>333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370</v>
      </c>
      <c r="C6" s="19" t="s">
        <v>370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331</v>
      </c>
      <c r="AV6" t="s" s="0">
        <v>342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342</v>
      </c>
      <c r="BN6" t="s" s="0">
        <v>333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371</v>
      </c>
      <c r="C4" s="19" t="s">
        <v>371</v>
      </c>
      <c r="D4" s="19" t="s">
        <v>76</v>
      </c>
      <c r="E4" s="19" t="s">
        <v>95</v>
      </c>
      <c r="F4" s="20">
        <v>6</v>
      </c>
      <c r="G4" t="s" s="0">
        <v>77</v>
      </c>
      <c r="H4" s="20">
        <f t="shared" ref="H4:H6" si="0">F4*G4</f>
        <v>900</v>
      </c>
      <c r="I4" t="s" s="0">
        <v>78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372</v>
      </c>
      <c r="BN4" t="s" s="0">
        <v>373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374</v>
      </c>
      <c r="C5" s="19" t="s">
        <v>374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 s="0">
        <v>85</v>
      </c>
      <c r="AV5" t="s" s="0">
        <v>375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376</v>
      </c>
      <c r="BN5" t="s" s="0">
        <v>377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378</v>
      </c>
      <c r="C6" s="19" t="s">
        <v>378</v>
      </c>
      <c r="D6" s="19" t="s">
        <v>76</v>
      </c>
      <c r="E6" s="19" t="s">
        <v>95</v>
      </c>
      <c r="F6" s="20">
        <v>12</v>
      </c>
      <c r="G6" t="s" s="0">
        <v>211</v>
      </c>
      <c r="H6" s="20">
        <f t="shared" si="0"/>
        <v>600</v>
      </c>
      <c r="I6" t="s" s="0">
        <v>212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379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380</v>
      </c>
      <c r="BN6" t="s" s="0">
        <v>381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371</v>
      </c>
      <c r="C4" s="19" t="s">
        <v>371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382</v>
      </c>
      <c r="BN4" t="s" s="0">
        <v>383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374</v>
      </c>
      <c r="C5" s="19" t="s">
        <v>374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384</v>
      </c>
      <c r="BN5" t="s" s="0">
        <v>385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378</v>
      </c>
      <c r="C6" s="19" t="s">
        <v>378</v>
      </c>
      <c r="D6" s="19" t="s">
        <v>76</v>
      </c>
      <c r="E6" s="19" t="s">
        <v>95</v>
      </c>
      <c r="F6" s="20">
        <v>12</v>
      </c>
      <c r="G6" t="s" s="0">
        <v>211</v>
      </c>
      <c r="H6" s="20">
        <f t="shared" si="0"/>
        <v>600</v>
      </c>
      <c r="I6" t="s" s="0">
        <v>212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379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386</v>
      </c>
      <c r="BN6" t="s" s="0">
        <v>387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371</v>
      </c>
      <c r="C4" s="19" t="s">
        <v>371</v>
      </c>
      <c r="D4" s="19" t="s">
        <v>76</v>
      </c>
      <c r="E4" s="19" t="s">
        <v>95</v>
      </c>
      <c r="F4" s="20">
        <v>3</v>
      </c>
      <c r="G4" t="s" s="0">
        <v>211</v>
      </c>
      <c r="H4" s="20">
        <f t="shared" ref="H4:H6" si="0">F4*G4</f>
        <v>150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388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389</v>
      </c>
      <c r="BN4" t="s" s="0">
        <v>390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374</v>
      </c>
      <c r="C5" s="19" t="s">
        <v>374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85</v>
      </c>
      <c r="AV5" t="s" s="0">
        <v>391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392</v>
      </c>
      <c r="BN5" t="s" s="0">
        <v>393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378</v>
      </c>
      <c r="C6" s="19" t="s">
        <v>378</v>
      </c>
      <c r="D6" s="19" t="s">
        <v>76</v>
      </c>
      <c r="E6" s="19" t="s">
        <v>95</v>
      </c>
      <c r="F6" s="20">
        <v>9</v>
      </c>
      <c r="G6" t="s" s="0">
        <v>211</v>
      </c>
      <c r="H6" s="20">
        <f t="shared" si="0"/>
        <v>450</v>
      </c>
      <c r="I6" t="s" s="0">
        <v>212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 s="0">
        <v>85</v>
      </c>
      <c r="AV6" t="s" s="0">
        <v>394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395</v>
      </c>
      <c r="BN6" t="s" s="0">
        <v>396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398</v>
      </c>
      <c r="BN4" t="s" s="0">
        <v>399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400</v>
      </c>
      <c r="C5" s="19" t="s">
        <v>400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401</v>
      </c>
      <c r="BN5" t="s" s="0">
        <v>402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403</v>
      </c>
      <c r="C6" s="19" t="s">
        <v>403</v>
      </c>
      <c r="D6" s="19" t="s">
        <v>76</v>
      </c>
      <c r="E6" s="19" t="s">
        <v>95</v>
      </c>
      <c r="F6" s="20">
        <v>12</v>
      </c>
      <c r="G6" t="s" s="0">
        <v>211</v>
      </c>
      <c r="H6" s="20">
        <f t="shared" si="0"/>
        <v>600</v>
      </c>
      <c r="I6" t="s" s="0">
        <v>212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379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404</v>
      </c>
      <c r="BN6" t="s" s="0">
        <v>405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406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407</v>
      </c>
      <c r="BN4" t="s" s="0">
        <v>408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400</v>
      </c>
      <c r="C5" s="19" t="s">
        <v>400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409</v>
      </c>
      <c r="BN5" t="s" s="0">
        <v>410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403</v>
      </c>
      <c r="C6" s="19" t="s">
        <v>403</v>
      </c>
      <c r="D6" s="19" t="s">
        <v>76</v>
      </c>
      <c r="E6" s="19" t="s">
        <v>95</v>
      </c>
      <c r="F6" s="20">
        <v>9</v>
      </c>
      <c r="G6" t="s" s="0">
        <v>211</v>
      </c>
      <c r="H6" s="20">
        <f t="shared" si="0"/>
        <v>450</v>
      </c>
      <c r="I6" t="s" s="0">
        <v>212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85</v>
      </c>
      <c r="AV6" t="s" s="0">
        <v>342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411</v>
      </c>
      <c r="BN6" t="s" s="0">
        <v>412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406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95</v>
      </c>
      <c r="F4" s="20">
        <v>6</v>
      </c>
      <c r="G4" t="s" s="0">
        <v>211</v>
      </c>
      <c r="H4" s="20">
        <f t="shared" ref="H4:H6" si="0">F4*G4</f>
        <v>300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388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413</v>
      </c>
      <c r="BN4" t="s" s="0">
        <v>414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400</v>
      </c>
      <c r="C5" s="19" t="s">
        <v>400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415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416</v>
      </c>
      <c r="BN5" t="s" s="0">
        <v>417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403</v>
      </c>
      <c r="C6" s="19" t="s">
        <v>403</v>
      </c>
      <c r="D6" s="19" t="s">
        <v>76</v>
      </c>
      <c r="E6" s="19" t="s">
        <v>95</v>
      </c>
      <c r="F6" s="20">
        <v>12</v>
      </c>
      <c r="G6" t="s" s="0">
        <v>211</v>
      </c>
      <c r="H6" s="20">
        <f t="shared" si="0"/>
        <v>600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418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419</v>
      </c>
      <c r="BN6" t="s" s="0">
        <v>420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366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422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423</v>
      </c>
      <c r="C5" s="19" t="s">
        <v>423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424</v>
      </c>
      <c r="AV5" t="s" s="0">
        <v>337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337</v>
      </c>
      <c r="BN5" t="s" s="0">
        <v>166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358</v>
      </c>
      <c r="AV6" t="s" s="0">
        <v>342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342</v>
      </c>
      <c r="BN6" t="s" s="0">
        <v>426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8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8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2026-03-27T12:01:55Z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