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1600" windowHeight="9600" tabRatio="703" firstSheet="14" activeTab="15"/>
  </bookViews>
  <sheets>
    <sheet name="StPoToMRVWFPl" sheetId="32" r:id="rId1"/>
    <sheet name="StPoToMRVWFDURc" sheetId="64" r:id="rId2"/>
    <sheet name="StPoToMRVWFRc" sheetId="31" r:id="rId3"/>
    <sheet name="StPoToMRVWF" sheetId="30" r:id="rId4"/>
    <sheet name="PoToMRVWFDUom" sheetId="29" r:id="rId5"/>
    <sheet name="PoToMRVWoQDUom" sheetId="39" r:id="rId6"/>
    <sheet name="PoToMRVWoQDUomImp" sheetId="53" r:id="rId7"/>
    <sheet name="PoToGrnUdSWoIpUom" sheetId="1" r:id="rId8"/>
    <sheet name="PoToMRVWOIpSer" sheetId="3" r:id="rId9"/>
    <sheet name="PoToMRVWOIpSerImp" sheetId="59" r:id="rId10"/>
    <sheet name="PoToMRVWOIp" sheetId="2" r:id="rId11"/>
    <sheet name="PoToMRVWoQSUomSSO" sheetId="33" r:id="rId12"/>
    <sheet name="PoToMRVWFSUom" sheetId="14" r:id="rId13"/>
    <sheet name="PoToMRVWFSUomWithReverse" sheetId="66" r:id="rId14"/>
    <sheet name="PoToMRVWFSUomWithReverseWOG" sheetId="70" r:id="rId15"/>
    <sheet name="PoToMRVWFSUomWithReverseWOGServ" sheetId="80" r:id="rId16"/>
    <sheet name="PoToMRVWFSUomWithReverseWOGImp" sheetId="71" r:id="rId17"/>
    <sheet name="PoToMRVWFSUomWithReversePOA" sheetId="68" r:id="rId18"/>
    <sheet name="PoToMRVWFSUomWithReversePOAWOG" sheetId="72" r:id="rId19"/>
    <sheet name="PoToMRVWFSUomWithRevPOAWOGImp" sheetId="73" r:id="rId20"/>
    <sheet name="PoToMRVWithReverseGRNPRAmd" sheetId="74" r:id="rId21"/>
    <sheet name="PoToMRVWithReverseGRNPRAmdServ" sheetId="79" r:id="rId22"/>
    <sheet name="PoToMRVWithReverseGRNPRAmdWoG" sheetId="76" r:id="rId23"/>
    <sheet name="PoToMRVWithReverseGRNPRAmdWoQWL" sheetId="77" r:id="rId24"/>
    <sheet name="PoToMRVWithReverseGRNPRAmdWL" sheetId="75" r:id="rId25"/>
    <sheet name="PoToMRVWFSUomWithReversePOAImp" sheetId="69" r:id="rId26"/>
    <sheet name="PoToMRVWFSUomWithReverseImp" sheetId="67" r:id="rId27"/>
    <sheet name="PoToMRVWFSUomserv" sheetId="16" r:id="rId28"/>
    <sheet name="PoToMRVWFSUomservImp" sheetId="56" r:id="rId29"/>
    <sheet name="PoToMRVWoQSUomRC" sheetId="34" r:id="rId30"/>
    <sheet name="PoToMRVExcessToleranceqty" sheetId="65" r:id="rId31"/>
    <sheet name="PoToMRVWoQSUomRCImp" sheetId="51" r:id="rId32"/>
    <sheet name="PoToMRVWFSUomRC" sheetId="18" r:id="rId33"/>
    <sheet name="PoToMRVWFSUomPl" sheetId="19" r:id="rId34"/>
    <sheet name="PoToMrvWMoq" sheetId="78" r:id="rId35"/>
    <sheet name="PoToMRVWoQUomPl" sheetId="36" r:id="rId36"/>
    <sheet name="PoToMRVWoQUomPlImp" sheetId="52" r:id="rId37"/>
    <sheet name="PoToMRVWFSUomservRc" sheetId="17" r:id="rId38"/>
    <sheet name="PoToMRVWoQSUomservRc" sheetId="35" r:id="rId39"/>
    <sheet name="PoToMRVWoQSUomservRcImp" sheetId="57" r:id="rId40"/>
    <sheet name="PoToMRVWFSUomservPl" sheetId="20" r:id="rId41"/>
    <sheet name="PoToMRVWoQSUomservPl" sheetId="37" r:id="rId42"/>
    <sheet name="PoToMRVWoQSUomservPlImp" sheetId="58" r:id="rId43"/>
    <sheet name="PoToMRVWOIpRc" sheetId="4" r:id="rId44"/>
    <sheet name="PoToMRVWOIpRcImp" sheetId="43" r:id="rId45"/>
    <sheet name="StPoToMRVWOIpDU" sheetId="28" r:id="rId46"/>
    <sheet name="StPoToMRVWOIpDURc" sheetId="62" r:id="rId47"/>
    <sheet name="StPoToMRVWOIpDUPl" sheetId="63" r:id="rId48"/>
    <sheet name="StPoToMRVWOIpPl" sheetId="27" r:id="rId49"/>
    <sheet name="StPoToMRVWOIpRc" sheetId="26" r:id="rId50"/>
    <sheet name="StPoToMRVWOIp" sheetId="24" r:id="rId51"/>
    <sheet name="PoToMRVWOIpRcServ" sheetId="5" r:id="rId52"/>
    <sheet name="PoToMRVWOIpRcServImp" sheetId="60" r:id="rId53"/>
    <sheet name="PoToMRVWOIpPl" sheetId="6" r:id="rId54"/>
    <sheet name="PoToMRVWOIpPlImp" sheetId="44" r:id="rId55"/>
    <sheet name="PoToMRVWOIpPlServ" sheetId="7" r:id="rId56"/>
    <sheet name="PoToMRVWOIpPlServImp" sheetId="61" r:id="rId57"/>
    <sheet name="DifferentUOMUD" sheetId="8" r:id="rId58"/>
    <sheet name="PoToMRVWOIpDUom" sheetId="9" r:id="rId59"/>
    <sheet name="PoToMRVWoQSUom" sheetId="49" r:id="rId60"/>
    <sheet name="PoToMRVWoQSUomImp" sheetId="50" r:id="rId61"/>
    <sheet name="PoToMRVWOIpDUomImp" sheetId="45" r:id="rId62"/>
    <sheet name="PoToMRVWOIpDUomRc" sheetId="10" r:id="rId63"/>
    <sheet name="PoToMRVWOIpDUomRcImp" sheetId="46" r:id="rId64"/>
    <sheet name="PoToMRVWFPDUomRc" sheetId="21" r:id="rId65"/>
    <sheet name="PoToMRVWoQDUomRc" sheetId="38" r:id="rId66"/>
    <sheet name="PoToMRVWoQDUomRcImp" sheetId="54" r:id="rId67"/>
    <sheet name="PoToMRVWFPDUomPl" sheetId="22" r:id="rId68"/>
    <sheet name="PoToMRVWoQDUomPl" sheetId="40" r:id="rId69"/>
    <sheet name="PoToMRVWoQDUomPlImp" sheetId="55" r:id="rId70"/>
    <sheet name="PoToMRVWOIpDUomPl" sheetId="11" r:id="rId7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<sst xmlns="http://schemas.openxmlformats.org/spreadsheetml/2006/main" count="11089" uniqueCount="454">
  <si>
    <t>Purchase Order &amp; GRN</t>
  </si>
  <si>
    <t>GST Purchase</t>
  </si>
  <si>
    <t>(1 - Local Purchase,2 Interstate Purchase, 3 Import Purchase,4-UTGST)</t>
  </si>
  <si>
    <t xml:space="preserve">Cur. </t>
  </si>
  <si>
    <t>INR</t>
  </si>
  <si>
    <t>Ex. Rate</t>
  </si>
  <si>
    <t>Apportion Basis</t>
  </si>
  <si>
    <t>1 - Value Based, 2 Weight/Volume Based</t>
  </si>
  <si>
    <t>(1 - Registered, 2 - Unregistered)</t>
  </si>
  <si>
    <t>No.</t>
  </si>
  <si>
    <t>Item</t>
  </si>
  <si>
    <t>Item Desc</t>
  </si>
  <si>
    <t>Stk. UOM</t>
  </si>
  <si>
    <t>Pur. UOM</t>
  </si>
  <si>
    <t>Qty</t>
  </si>
  <si>
    <t>Unit Cost</t>
  </si>
  <si>
    <t>Gross Amt.</t>
  </si>
  <si>
    <t>TD%</t>
  </si>
  <si>
    <t>CD%</t>
  </si>
  <si>
    <t>SD%</t>
  </si>
  <si>
    <t>TD Asbl. Val.</t>
  </si>
  <si>
    <t>TD Amt.</t>
  </si>
  <si>
    <t>CD Asbl. Val.</t>
  </si>
  <si>
    <t>CD Amt.</t>
  </si>
  <si>
    <t>VD Asbl. Val.</t>
  </si>
  <si>
    <t>SD Amt.</t>
  </si>
  <si>
    <t>Disc. Amt.</t>
  </si>
  <si>
    <t>Pur. Value</t>
  </si>
  <si>
    <t>HSN</t>
  </si>
  <si>
    <t>Tax%</t>
  </si>
  <si>
    <t>CGST</t>
  </si>
  <si>
    <t>SGST</t>
  </si>
  <si>
    <t>IGST</t>
  </si>
  <si>
    <t>UTGST</t>
  </si>
  <si>
    <t>Cess%</t>
  </si>
  <si>
    <t>CESS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</si>
  <si>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</si>
  <si>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</si>
  <si>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</si>
  <si>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</si>
  <si>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</si>
  <si>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</si>
  <si>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</si>
  <si>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</si>
  <si>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</si>
  <si>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</si>
  <si>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</si>
  <si>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</si>
  <si>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</si>
  <si>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</si>
  <si>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</si>
  <si>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</si>
  <si>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(Stk. UOM)</t>
  </si>
  <si>
    <t>Ins.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</si>
  <si>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</si>
  <si>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</si>
  <si>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</si>
  <si>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</si>
  <si>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</si>
  <si>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</si>
  <si>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</si>
  <si>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</si>
  <si>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Type</t>
  </si>
  <si>
    <t>LOT_NUMBER</t>
  </si>
  <si>
    <t>SERIAL_NUMBER</t>
  </si>
  <si>
    <t>Lot / Serial Trans</t>
  </si>
  <si>
    <t>Locator Trans</t>
  </si>
  <si>
    <t>Batch Stocks</t>
  </si>
  <si>
    <t>Stock Ledger</t>
  </si>
  <si>
    <t>Stock As on Date (Qty)</t>
  </si>
  <si>
    <t>Stock As on Date (Qty &amp; vALUE)</t>
  </si>
  <si>
    <t>Sou.WH</t>
  </si>
  <si>
    <t>Unitcost Before Post For Source Warehouse</t>
  </si>
  <si>
    <t>Qty Before Post For Source WareHouse</t>
  </si>
  <si>
    <t>Qty After Post forSource Warehouse</t>
  </si>
  <si>
    <t>GWL_Similar_Wf_Pl_St_01</t>
  </si>
  <si>
    <t>NOS</t>
  </si>
  <si>
    <t>150</t>
  </si>
  <si>
    <t>5</t>
  </si>
  <si>
    <t>IN WH-7</t>
  </si>
  <si>
    <t>Receipt Qty &amp; Unit cost</t>
  </si>
  <si>
    <t>LOT</t>
  </si>
  <si>
    <t>RM</t>
  </si>
  <si>
    <t>RMS</t>
  </si>
  <si>
    <t>RM WH-7</t>
  </si>
  <si>
    <t>0</t>
  </si>
  <si>
    <t>GWL_Similar_Wf_Pl_St_02</t>
  </si>
  <si>
    <t>100</t>
  </si>
  <si>
    <t>4</t>
  </si>
  <si>
    <t>Total</t>
  </si>
  <si>
    <t>Gross Purchase</t>
  </si>
  <si>
    <t>Conv factor</t>
  </si>
  <si>
    <t>ACPT</t>
  </si>
  <si>
    <t>Acpt Qty. * Insp. Unit Cost + OLD. Qty in GRN WH * OLD Unitcost in GRN WH / Acpt. Qty + OLD. Qty in GRN WH</t>
  </si>
  <si>
    <t>Disc amt</t>
  </si>
  <si>
    <t>KGS</t>
  </si>
  <si>
    <t>REJ</t>
  </si>
  <si>
    <t>Rej Qty. * Insp. Unit Cost + OLD. Qty in REJ WH * OLD Unitcost in REJ WH / Acpt. Qty + OLD. Qty in REJ WH</t>
  </si>
  <si>
    <t>Net Purchase</t>
  </si>
  <si>
    <t>MTR</t>
  </si>
  <si>
    <t>Tax Amt</t>
  </si>
  <si>
    <t>MT</t>
  </si>
  <si>
    <t>Gross Amont</t>
  </si>
  <si>
    <t>old</t>
  </si>
  <si>
    <t>new</t>
  </si>
  <si>
    <t>acpt Qty</t>
  </si>
  <si>
    <t>Inspection Unit Cost</t>
  </si>
  <si>
    <t>old Qty</t>
  </si>
  <si>
    <t>old UnitCost</t>
  </si>
  <si>
    <t>GWL_Item_St_Fc_DU_Rc_01</t>
  </si>
  <si>
    <t>GWL_Item_St_Fc_DU_Rc_02</t>
  </si>
  <si>
    <t>GWL_Similar_Wf_Rc_St_01</t>
  </si>
  <si>
    <t>142.5</t>
  </si>
  <si>
    <t>GWL_Similar_Wf_Rc_St_02</t>
  </si>
  <si>
    <t>96</t>
  </si>
  <si>
    <t>GWL_Similar_Wf_St_01</t>
  </si>
  <si>
    <t>47.5</t>
  </si>
  <si>
    <t>GWL_Similar_Wf_St_02</t>
  </si>
  <si>
    <t>94</t>
  </si>
  <si>
    <t>GWL_Dissimilar_01</t>
  </si>
  <si>
    <t>INS WH-1</t>
  </si>
  <si>
    <t>373.635</t>
  </si>
  <si>
    <t>RM WH-49</t>
  </si>
  <si>
    <t>10982.44785</t>
  </si>
  <si>
    <t>210.997</t>
  </si>
  <si>
    <t>GWL_Dissimilar_02</t>
  </si>
  <si>
    <t>246.355</t>
  </si>
  <si>
    <t>1856.3969</t>
  </si>
  <si>
    <t>291.345</t>
  </si>
  <si>
    <t>373.63</t>
  </si>
  <si>
    <t>10833.72407</t>
  </si>
  <si>
    <t>213.997</t>
  </si>
  <si>
    <t>1813.3685</t>
  </si>
  <si>
    <t>299.345</t>
  </si>
  <si>
    <t>31758.975</t>
  </si>
  <si>
    <t>11292.73677</t>
  </si>
  <si>
    <t>220.33</t>
  </si>
  <si>
    <t>20940.31667</t>
  </si>
  <si>
    <t>2384.05426</t>
  </si>
  <si>
    <t>313.012</t>
  </si>
  <si>
    <t>S. No.</t>
  </si>
  <si>
    <t>Item Desc.</t>
  </si>
  <si>
    <t>Order Qty (Pur UOM)</t>
  </si>
  <si>
    <t>SD Asbl. Val.</t>
  </si>
  <si>
    <t>Pur. Val.</t>
  </si>
  <si>
    <t>Tax Rate</t>
  </si>
  <si>
    <t>Unit Cost (Stock UOM)</t>
  </si>
  <si>
    <t>GWL_Item_Similar_04</t>
  </si>
  <si>
    <t>GWL_Item_Similar_04_Desc</t>
  </si>
  <si>
    <t>INS KD</t>
  </si>
  <si>
    <t>14090</t>
  </si>
  <si>
    <t>121.22038</t>
  </si>
  <si>
    <t>RM KD</t>
  </si>
  <si>
    <t>146.85967</t>
  </si>
  <si>
    <t>691</t>
  </si>
  <si>
    <t>GWL_Item_Similar_02</t>
  </si>
  <si>
    <t>32</t>
  </si>
  <si>
    <t>82.12</t>
  </si>
  <si>
    <t>86.37714</t>
  </si>
  <si>
    <t>21</t>
  </si>
  <si>
    <t>GWL_Item_Similar_05</t>
  </si>
  <si>
    <t>GWL_Item_Similar_05_Desc</t>
  </si>
  <si>
    <t>120</t>
  </si>
  <si>
    <t>43.3</t>
  </si>
  <si>
    <t>RM WH-49-4</t>
  </si>
  <si>
    <t>GWL_ITem_service_03</t>
  </si>
  <si>
    <t>110</t>
  </si>
  <si>
    <t>124.545</t>
  </si>
  <si>
    <t>GWL_Item_service_04</t>
  </si>
  <si>
    <t>36</t>
  </si>
  <si>
    <t>83.94449</t>
  </si>
  <si>
    <t>49</t>
  </si>
  <si>
    <t>GWL_Item_service_05</t>
  </si>
  <si>
    <t>220</t>
  </si>
  <si>
    <t>10</t>
  </si>
  <si>
    <t>170</t>
  </si>
  <si>
    <t>4359.075</t>
  </si>
  <si>
    <t>290</t>
  </si>
  <si>
    <t>GWL_Item_Similar_2</t>
  </si>
  <si>
    <t>104</t>
  </si>
  <si>
    <t>1907.71076</t>
  </si>
  <si>
    <t>92</t>
  </si>
  <si>
    <t>260</t>
  </si>
  <si>
    <t>1005.89231</t>
  </si>
  <si>
    <t>230</t>
  </si>
  <si>
    <t>ROAU-SIM-496675</t>
  </si>
  <si>
    <t>GWL_Item_WoQ_UD_Similar_01</t>
  </si>
  <si>
    <t>4100.07873</t>
  </si>
  <si>
    <t>846</t>
  </si>
  <si>
    <t>GWL_Item_WoQ_UD_Similar_02</t>
  </si>
  <si>
    <t>82.1175</t>
  </si>
  <si>
    <t>1037.2385</t>
  </si>
  <si>
    <t>GWL_Item_WoQ_UD_Similar_03</t>
  </si>
  <si>
    <t>43.301</t>
  </si>
  <si>
    <t>740.69834</t>
  </si>
  <si>
    <t>678</t>
  </si>
  <si>
    <t>767</t>
  </si>
  <si>
    <t>3193.3048</t>
  </si>
  <si>
    <t>2666.77503</t>
  </si>
  <si>
    <t>680</t>
  </si>
  <si>
    <t>INS</t>
  </si>
  <si>
    <t>1671.19613</t>
  </si>
  <si>
    <t>RM WH</t>
  </si>
  <si>
    <t>6188.00023</t>
  </si>
  <si>
    <t>30</t>
  </si>
  <si>
    <t>GWL_Item_FP_service_01</t>
  </si>
  <si>
    <t>124.544</t>
  </si>
  <si>
    <t>2086.12875</t>
  </si>
  <si>
    <t>747</t>
  </si>
  <si>
    <t>3003.80743</t>
  </si>
  <si>
    <t>2655.24494</t>
  </si>
  <si>
    <t>Purchase Order Amendment</t>
  </si>
  <si>
    <t>2739.99</t>
  </si>
  <si>
    <t>15</t>
  </si>
  <si>
    <t>7959.98728</t>
  </si>
  <si>
    <t>5247.15952</t>
  </si>
  <si>
    <t>1899.07374</t>
  </si>
  <si>
    <t>1848</t>
  </si>
  <si>
    <t>138.86921</t>
  </si>
  <si>
    <t>180</t>
  </si>
  <si>
    <t>139.37215</t>
  </si>
  <si>
    <t>215</t>
  </si>
  <si>
    <t>1923.15387</t>
  </si>
  <si>
    <t>1843</t>
  </si>
  <si>
    <t>762</t>
  </si>
  <si>
    <t>3047.13629</t>
  </si>
  <si>
    <t>2659.74534</t>
  </si>
  <si>
    <t>732</t>
  </si>
  <si>
    <t>3167.58793</t>
  </si>
  <si>
    <t>2595.52877</t>
  </si>
  <si>
    <t>GWL_Item_FP_service_02</t>
  </si>
  <si>
    <t>GWL_Item_FP_service_03</t>
  </si>
  <si>
    <t>GWL_Item_FP_Rc_01</t>
  </si>
  <si>
    <t>1327.96549</t>
  </si>
  <si>
    <t>850</t>
  </si>
  <si>
    <t>GWL_Item_FP_Rc_02</t>
  </si>
  <si>
    <t>638.41653</t>
  </si>
  <si>
    <t>248</t>
  </si>
  <si>
    <t>GWL_Item_FP_Rc_03</t>
  </si>
  <si>
    <t>50</t>
  </si>
  <si>
    <t>3</t>
  </si>
  <si>
    <t>441.11884</t>
  </si>
  <si>
    <t>640</t>
  </si>
  <si>
    <t>1313.97223</t>
  </si>
  <si>
    <t>860</t>
  </si>
  <si>
    <t>629.58639</t>
  </si>
  <si>
    <t>252</t>
  </si>
  <si>
    <t>434.99857</t>
  </si>
  <si>
    <t>650</t>
  </si>
  <si>
    <t>1342.29192</t>
  </si>
  <si>
    <t>840</t>
  </si>
  <si>
    <t>647.53619</t>
  </si>
  <si>
    <t>244</t>
  </si>
  <si>
    <t>447.43341</t>
  </si>
  <si>
    <t>630</t>
  </si>
  <si>
    <t>GWL_Item_FP_Pl_Similar_01</t>
  </si>
  <si>
    <t>984.8295</t>
  </si>
  <si>
    <t>855</t>
  </si>
  <si>
    <t>GWL_Item_FP_Pl_Similar_02</t>
  </si>
  <si>
    <t>574.83974</t>
  </si>
  <si>
    <t>280</t>
  </si>
  <si>
    <t>GWL_Item_FP_Pl_Similar_03</t>
  </si>
  <si>
    <t>396.91677</t>
  </si>
  <si>
    <t>720</t>
  </si>
  <si>
    <t>GWL_Item_Moq_01</t>
  </si>
  <si>
    <t>965.16585</t>
  </si>
  <si>
    <t>875</t>
  </si>
  <si>
    <t>561.15301</t>
  </si>
  <si>
    <t>288</t>
  </si>
  <si>
    <t>387.35959</t>
  </si>
  <si>
    <t>740</t>
  </si>
  <si>
    <t>3714.5</t>
  </si>
  <si>
    <t>986.49226</t>
  </si>
  <si>
    <t>895</t>
  </si>
  <si>
    <t>6979.9875</t>
  </si>
  <si>
    <t>641.42056</t>
  </si>
  <si>
    <t>296</t>
  </si>
  <si>
    <t>3680.585</t>
  </si>
  <si>
    <t>426.16441</t>
  </si>
  <si>
    <t>760</t>
  </si>
  <si>
    <t>GWL_Item_FP_Rc_Service_01</t>
  </si>
  <si>
    <t>20</t>
  </si>
  <si>
    <t>GWL_Item_FP_Rc_Service_02</t>
  </si>
  <si>
    <t>40</t>
  </si>
  <si>
    <t>GWL_Item_FP_Rc_Service_03</t>
  </si>
  <si>
    <t>GWL_Item_FP_Pl_Service_01</t>
  </si>
  <si>
    <t>GWL_Item_FP_Pl_Service_02</t>
  </si>
  <si>
    <t>GWL_Item_FP_Pl_Service_03</t>
  </si>
  <si>
    <t>GWL_Item_Similar_Rc_01</t>
  </si>
  <si>
    <t>80</t>
  </si>
  <si>
    <t>444.72988</t>
  </si>
  <si>
    <t>GWL_Item_Similar_Rc_02</t>
  </si>
  <si>
    <t>6</t>
  </si>
  <si>
    <t>64</t>
  </si>
  <si>
    <t>857.17165</t>
  </si>
  <si>
    <t>GWL_Item_Similar_Rc_03</t>
  </si>
  <si>
    <t>7</t>
  </si>
  <si>
    <t>160</t>
  </si>
  <si>
    <t>1330.55575</t>
  </si>
  <si>
    <t>75</t>
  </si>
  <si>
    <t>239.12687</t>
  </si>
  <si>
    <t>60</t>
  </si>
  <si>
    <t>458.65976</t>
  </si>
  <si>
    <t>713.50447</t>
  </si>
  <si>
    <t>GWL_Dissimilar_St_01</t>
  </si>
  <si>
    <t>GWL_Dissimilar_St_02</t>
  </si>
  <si>
    <t>282</t>
  </si>
  <si>
    <t>GWL_St_Disimilar_Rc</t>
  </si>
  <si>
    <t>GWL_St_Disimilar_Rc_02</t>
  </si>
  <si>
    <t>GWL_St_Disimilar_Pl_01</t>
  </si>
  <si>
    <t>GWL_St_Disimilar_Pl_02</t>
  </si>
  <si>
    <t>GWL_similar_Pl_St_01</t>
  </si>
  <si>
    <t>100.00215</t>
  </si>
  <si>
    <t>99005</t>
  </si>
  <si>
    <t>GWL_similar_Pl_St_02</t>
  </si>
  <si>
    <t>99.99984</t>
  </si>
  <si>
    <t>99004</t>
  </si>
  <si>
    <t>GWL_Item_Similar_Rc_St_01</t>
  </si>
  <si>
    <t>GWL_Item_Similar_Rc_St_02</t>
  </si>
  <si>
    <t>GWL_Item_Similar_St_08</t>
  </si>
  <si>
    <t>46</t>
  </si>
  <si>
    <t>62.08823</t>
  </si>
  <si>
    <t>70.23124</t>
  </si>
  <si>
    <t>9</t>
  </si>
  <si>
    <t>GWL_Item_Similar_St_09</t>
  </si>
  <si>
    <t>120.76471</t>
  </si>
  <si>
    <t>123.46492</t>
  </si>
  <si>
    <t>14</t>
  </si>
  <si>
    <t>GWL_Item_Service_Rc_04</t>
  </si>
  <si>
    <t>41.515</t>
  </si>
  <si>
    <t>GWL_Item_Service_Rc_05</t>
  </si>
  <si>
    <t>12</t>
  </si>
  <si>
    <t>80.41</t>
  </si>
  <si>
    <t>GWL_Item_Service_Rc_06</t>
  </si>
  <si>
    <t>GWL_Item_Similar_Pl_01</t>
  </si>
  <si>
    <t>3611.805</t>
  </si>
  <si>
    <t>GWL_Item_Similar_Pl_02</t>
  </si>
  <si>
    <t>16</t>
  </si>
  <si>
    <t>1806.64</t>
  </si>
  <si>
    <t>GWL_Item_Similar_Pl_03</t>
  </si>
  <si>
    <t>70</t>
  </si>
  <si>
    <t>1082.5</t>
  </si>
  <si>
    <t>300</t>
  </si>
  <si>
    <t>8</t>
  </si>
  <si>
    <t>GWL_Item_Service_Pl_01</t>
  </si>
  <si>
    <t>GWL_Item_Service_Pl_02</t>
  </si>
  <si>
    <t>GWL_Item_Service_Pl_03</t>
  </si>
  <si>
    <t>HSN1</t>
  </si>
  <si>
    <t>487.4072</t>
  </si>
  <si>
    <t>337.5</t>
  </si>
  <si>
    <t>HSN2</t>
  </si>
  <si>
    <t>355.91161</t>
  </si>
  <si>
    <t>302.4</t>
  </si>
  <si>
    <t>HSN3</t>
  </si>
  <si>
    <t>0.0847</t>
  </si>
  <si>
    <t>RMN</t>
  </si>
  <si>
    <t>999000</t>
  </si>
  <si>
    <t>GWL_Item_Dissimilar_03</t>
  </si>
  <si>
    <t>6.666</t>
  </si>
  <si>
    <t>16066.305</t>
  </si>
  <si>
    <t>66.66</t>
  </si>
  <si>
    <t>GWL_Item_Dissimilar_04</t>
  </si>
  <si>
    <t>5.332</t>
  </si>
  <si>
    <t>5419.92</t>
  </si>
  <si>
    <t>246.36</t>
  </si>
  <si>
    <t>23.994</t>
  </si>
  <si>
    <t>GWL_Item_Dissimilar_05</t>
  </si>
  <si>
    <t>13.332</t>
  </si>
  <si>
    <t>2857.8</t>
  </si>
  <si>
    <t>129.9</t>
  </si>
  <si>
    <t>59.994</t>
  </si>
  <si>
    <t>4008.26502</t>
  </si>
  <si>
    <t>866</t>
  </si>
  <si>
    <t>82.11833</t>
  </si>
  <si>
    <t>1001.86367</t>
  </si>
  <si>
    <t>270</t>
  </si>
  <si>
    <t>43.30083</t>
  </si>
  <si>
    <t>718.78013</t>
  </si>
  <si>
    <t>700</t>
  </si>
  <si>
    <t>10586.325</t>
  </si>
  <si>
    <t>4038.67518</t>
  </si>
  <si>
    <t>886</t>
  </si>
  <si>
    <t>1067.55661</t>
  </si>
  <si>
    <t>748.57556</t>
  </si>
  <si>
    <t>722</t>
  </si>
  <si>
    <t>9.999</t>
  </si>
  <si>
    <t>10835.415</t>
  </si>
  <si>
    <t>6.665</t>
  </si>
  <si>
    <t>4385.208</t>
  </si>
  <si>
    <t>16.665</t>
  </si>
  <si>
    <t>2312.22</t>
  </si>
  <si>
    <t>\</t>
  </si>
  <si>
    <t>GWL_Item_Dissimilar_Rc_01</t>
  </si>
  <si>
    <t>3.333</t>
  </si>
  <si>
    <t>69.993</t>
  </si>
  <si>
    <t>GWL_Item_Dissimilar_Rc_02</t>
  </si>
  <si>
    <t>4.666</t>
  </si>
  <si>
    <t>GWL_Item_Dissimilar_Rc_03</t>
  </si>
  <si>
    <t>GWL_Item_FP_Rc_Dissimilar_01</t>
  </si>
  <si>
    <t>3515.09089</t>
  </si>
  <si>
    <t>210.993</t>
  </si>
  <si>
    <t>GWL_Item_FP_Rc_Dissimilar_02</t>
  </si>
  <si>
    <t>246.35667</t>
  </si>
  <si>
    <t>2613.88645</t>
  </si>
  <si>
    <t>314.68</t>
  </si>
  <si>
    <t>GWL_Item_FP_Rc_Dissimilar_03</t>
  </si>
  <si>
    <t>129.9025</t>
  </si>
  <si>
    <t>1855.88845</t>
  </si>
  <si>
    <t>189.652</t>
  </si>
  <si>
    <t>3471.05032</t>
  </si>
  <si>
    <t>213.993</t>
  </si>
  <si>
    <t>2576.85676</t>
  </si>
  <si>
    <t>319.68</t>
  </si>
  <si>
    <t>1786.02886</t>
  </si>
  <si>
    <t>197.652</t>
  </si>
  <si>
    <t>11143.5</t>
  </si>
  <si>
    <t>3527.49213</t>
  </si>
  <si>
    <t>216.993</t>
  </si>
  <si>
    <t>20940.175</t>
  </si>
  <si>
    <t>3008.32225</t>
  </si>
  <si>
    <t>329.68</t>
  </si>
  <si>
    <t>11041.5</t>
  </si>
  <si>
    <t>2021.55907</t>
  </si>
  <si>
    <t>207.652</t>
  </si>
  <si>
    <t>GWL_Item_FP_Pl_Dissimilar_01</t>
  </si>
  <si>
    <t>4329.63246</t>
  </si>
  <si>
    <t>172.997</t>
  </si>
  <si>
    <t>GWL_Item_FP_Pl_Dissimilar_02</t>
  </si>
  <si>
    <t>2790.32005</t>
  </si>
  <si>
    <t>248.678</t>
  </si>
  <si>
    <t>GWL_Item_FP_Pl_Dissimilar_03</t>
  </si>
  <si>
    <t>2194.83551</t>
  </si>
  <si>
    <t>145.322</t>
  </si>
  <si>
    <t>PoToMRVWOIpSheet</t>
  </si>
  <si>
    <t>4284.42023</t>
  </si>
  <si>
    <t>174.997</t>
  </si>
  <si>
    <t>2730.38636</t>
  </si>
  <si>
    <t>254.678</t>
  </si>
  <si>
    <t>2099.94089</t>
  </si>
  <si>
    <t>152.322</t>
  </si>
  <si>
    <t>4339.51874</t>
  </si>
  <si>
    <t>177.997</t>
  </si>
  <si>
    <t>21812.7</t>
  </si>
  <si>
    <t>2911.1842</t>
  </si>
  <si>
    <t>261.678</t>
  </si>
  <si>
    <t>11383.2</t>
  </si>
  <si>
    <t>2295.91454</t>
  </si>
  <si>
    <t>159.322</t>
  </si>
  <si>
    <t>GWL_Item_Dissimilar_Pl_01</t>
  </si>
  <si>
    <t>79.992</t>
  </si>
  <si>
    <t>GWL_Item_Dissimilar_Pl_02</t>
  </si>
  <si>
    <t>13.333</t>
  </si>
  <si>
    <t>GWL_Item_Dissimilar_Pl_03</t>
  </si>
  <si>
    <t>73.326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</si>
</sst>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0_);[Red]\(0.00\)"/>
    <numFmt numFmtId="181" formatCode="0.000"/>
  </numFmts>
  <fonts count="25">
    <font>
      <sz val="11"/>
      <color theme="1"/>
      <name val="Calibri"/>
      <charset val="134"/>
      <scheme val="minor"/>
    </font>
    <font>
      <b/>
      <sz val="11"/>
      <color theme="1"/>
      <name val="Calibri Light"/>
      <charset val="134"/>
      <scheme val="major"/>
    </font>
    <font>
      <sz val="11"/>
      <color theme="1"/>
      <name val="Calibri Light"/>
      <charset val="134"/>
      <scheme val="major"/>
    </font>
    <font>
      <sz val="9"/>
      <color rgb="FF004153"/>
      <name val="Arial"/>
      <charset val="134"/>
    </font>
    <font>
      <sz val="11"/>
      <color rgb="FF000000"/>
      <name val="Calibri Light"/>
      <charset val="134"/>
    </font>
    <font>
      <sz val="9"/>
      <color rgb="FF00000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73754081850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768059327982"/>
        <bgColor indexed="64"/>
      </patternFill>
    </fill>
    <fill>
      <patternFill patternType="solid">
        <fgColor theme="7" tint="0.7997070223090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21">
    <border>
      <left/>
      <right/>
      <top/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/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13" borderId="13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14" applyNumberFormat="0" applyFill="0" applyAlignment="0" applyProtection="0">
      <alignment vertical="center"/>
    </xf>
    <xf numFmtId="0" fontId="12" fillId="0" borderId="14" applyNumberFormat="0" applyFill="0" applyAlignment="0" applyProtection="0">
      <alignment vertical="center"/>
    </xf>
    <xf numFmtId="0" fontId="13" fillId="0" borderId="15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14" borderId="16" applyNumberFormat="0" applyAlignment="0" applyProtection="0">
      <alignment vertical="center"/>
    </xf>
    <xf numFmtId="0" fontId="15" fillId="15" borderId="17" applyNumberFormat="0" applyAlignment="0" applyProtection="0">
      <alignment vertical="center"/>
    </xf>
    <xf numFmtId="0" fontId="16" fillId="15" borderId="16" applyNumberFormat="0" applyAlignment="0" applyProtection="0">
      <alignment vertical="center"/>
    </xf>
    <xf numFmtId="0" fontId="17" fillId="16" borderId="18" applyNumberFormat="0" applyAlignment="0" applyProtection="0">
      <alignment vertical="center"/>
    </xf>
    <xf numFmtId="0" fontId="18" fillId="0" borderId="19" applyNumberFormat="0" applyFill="0" applyAlignment="0" applyProtection="0">
      <alignment vertical="center"/>
    </xf>
    <xf numFmtId="0" fontId="19" fillId="0" borderId="20" applyNumberFormat="0" applyFill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5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4" fillId="3" borderId="0" applyNumberFormat="0" applyBorder="0" applyAlignment="0" applyProtection="0">
      <alignment vertical="center"/>
    </xf>
    <xf numFmtId="0" fontId="23" fillId="39" borderId="0" applyNumberFormat="0" applyBorder="0" applyAlignment="0" applyProtection="0">
      <alignment vertical="center"/>
    </xf>
    <xf numFmtId="0" fontId="0" fillId="0" borderId="0"/>
    <xf numFmtId="0" fontId="0" fillId="0" borderId="0">
      <alignment vertical="center"/>
    </xf>
  </cellStyleXfs>
  <cellXfs count="121">
    <xf numFmtId="0" fontId="0" fillId="0" borderId="0" xfId="0">
      <alignment vertical="center"/>
    </xf>
    <xf numFmtId="0" fontId="1" fillId="0" borderId="0" xfId="0" applyFont="1" applyFill="1" applyBorder="1" applyAlignment="1"/>
    <xf numFmtId="0" fontId="1" fillId="0" borderId="0" xfId="0" applyFont="1" applyFill="1" applyBorder="1" applyAlignment="1">
      <alignment horizontal="center"/>
    </xf>
    <xf numFmtId="0" fontId="2" fillId="0" borderId="0" xfId="0" applyFont="1" applyFill="1" applyBorder="1" applyAlignment="1"/>
    <xf numFmtId="0" fontId="2" fillId="0" borderId="0" xfId="0" applyFont="1" applyFill="1" applyAlignment="1"/>
    <xf numFmtId="0" fontId="0" fillId="0" borderId="0" xfId="0" applyFill="1" applyAlignme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2" fillId="2" borderId="3" xfId="0" applyFont="1" applyFill="1" applyBorder="1" applyAlignment="1"/>
    <xf numFmtId="0" fontId="2" fillId="2" borderId="4" xfId="0" applyFont="1" applyFill="1" applyBorder="1" applyAlignment="1"/>
    <xf numFmtId="0" fontId="2" fillId="0" borderId="1" xfId="0" applyFont="1" applyFill="1" applyBorder="1" applyAlignment="1"/>
    <xf numFmtId="0" fontId="2" fillId="0" borderId="1" xfId="0" applyNumberFormat="1" applyFont="1" applyFill="1" applyBorder="1" applyAlignment="1"/>
    <xf numFmtId="180" fontId="2" fillId="0" borderId="1" xfId="0" applyNumberFormat="1" applyFont="1" applyFill="1" applyBorder="1" applyAlignment="1"/>
    <xf numFmtId="2" fontId="2" fillId="0" borderId="1" xfId="0" applyNumberFormat="1" applyFont="1" applyFill="1" applyBorder="1" applyAlignment="1"/>
    <xf numFmtId="181" fontId="2" fillId="0" borderId="1" xfId="0" applyNumberFormat="1" applyFont="1" applyFill="1" applyBorder="1" applyAlignment="1"/>
    <xf numFmtId="0" fontId="3" fillId="8" borderId="5" xfId="0" applyFont="1" applyFill="1" applyBorder="1">
      <alignment vertical="center"/>
    </xf>
    <xf numFmtId="0" fontId="2" fillId="0" borderId="6" xfId="0" applyNumberFormat="1" applyFont="1" applyFill="1" applyBorder="1" applyAlignment="1"/>
    <xf numFmtId="181" fontId="2" fillId="0" borderId="6" xfId="0" applyNumberFormat="1" applyFont="1" applyFill="1" applyBorder="1" applyAlignment="1"/>
    <xf numFmtId="0" fontId="0" fillId="0" borderId="6" xfId="0" applyNumberFormat="1" applyFill="1" applyBorder="1" applyAlignment="1"/>
    <xf numFmtId="0" fontId="0" fillId="0" borderId="7" xfId="0" applyNumberFormat="1" applyFill="1" applyBorder="1" applyAlignment="1"/>
    <xf numFmtId="0" fontId="0" fillId="0" borderId="7" xfId="0" applyNumberFormat="1" applyFont="1" applyFill="1" applyBorder="1" applyAlignment="1">
      <alignment vertical="center"/>
    </xf>
    <xf numFmtId="0" fontId="3" fillId="0" borderId="0" xfId="0" applyFont="1">
      <alignment vertical="center"/>
    </xf>
    <xf numFmtId="0" fontId="0" fillId="0" borderId="0" xfId="0" applyNumberFormat="1" applyFill="1" applyAlignment="1"/>
    <xf numFmtId="0" fontId="0" fillId="0" borderId="0" xfId="0" applyNumberFormat="1" applyFill="1" applyAlignment="1">
      <alignment horizontal="center"/>
    </xf>
    <xf numFmtId="180" fontId="2" fillId="0" borderId="6" xfId="0" applyNumberFormat="1" applyFont="1" applyFill="1" applyBorder="1" applyAlignment="1"/>
    <xf numFmtId="0" fontId="0" fillId="0" borderId="0" xfId="0" applyFill="1" applyBorder="1" applyAlignment="1"/>
    <xf numFmtId="0" fontId="1" fillId="9" borderId="8" xfId="0" applyFont="1" applyFill="1" applyBorder="1" applyAlignment="1"/>
    <xf numFmtId="0" fontId="1" fillId="9" borderId="9" xfId="0" applyFont="1" applyFill="1" applyBorder="1" applyAlignment="1"/>
    <xf numFmtId="0" fontId="1" fillId="9" borderId="1" xfId="0" applyNumberFormat="1" applyFont="1" applyFill="1" applyBorder="1" applyAlignment="1"/>
    <xf numFmtId="0" fontId="1" fillId="9" borderId="1" xfId="0" applyFont="1" applyFill="1" applyBorder="1" applyAlignment="1"/>
    <xf numFmtId="2" fontId="1" fillId="9" borderId="1" xfId="0" applyNumberFormat="1" applyFont="1" applyFill="1" applyBorder="1" applyAlignment="1"/>
    <xf numFmtId="0" fontId="1" fillId="6" borderId="1" xfId="0" applyFont="1" applyFill="1" applyBorder="1" applyAlignment="1"/>
    <xf numFmtId="2" fontId="1" fillId="6" borderId="1" xfId="0" applyNumberFormat="1" applyFont="1" applyFill="1" applyBorder="1" applyAlignment="1"/>
    <xf numFmtId="0" fontId="2" fillId="0" borderId="10" xfId="0" applyFont="1" applyFill="1" applyBorder="1" applyAlignment="1">
      <alignment horizontal="left"/>
    </xf>
    <xf numFmtId="0" fontId="2" fillId="0" borderId="9" xfId="0" applyFont="1" applyFill="1" applyBorder="1" applyAlignment="1">
      <alignment horizontal="left"/>
    </xf>
    <xf numFmtId="0" fontId="1" fillId="0" borderId="1" xfId="0" applyFont="1" applyFill="1" applyBorder="1" applyAlignment="1">
      <alignment horizontal="right"/>
    </xf>
    <xf numFmtId="0" fontId="1" fillId="10" borderId="10" xfId="0" applyFont="1" applyFill="1" applyBorder="1" applyAlignment="1">
      <alignment horizontal="center"/>
    </xf>
    <xf numFmtId="0" fontId="1" fillId="10" borderId="8" xfId="0" applyFont="1" applyFill="1" applyBorder="1" applyAlignment="1">
      <alignment horizontal="center"/>
    </xf>
    <xf numFmtId="0" fontId="1" fillId="10" borderId="9" xfId="0" applyFont="1" applyFill="1" applyBorder="1" applyAlignment="1">
      <alignment horizontal="center"/>
    </xf>
    <xf numFmtId="0" fontId="2" fillId="0" borderId="2" xfId="0" applyFont="1" applyFill="1" applyBorder="1" applyAlignment="1"/>
    <xf numFmtId="0" fontId="1" fillId="6" borderId="1" xfId="0" applyFont="1" applyFill="1" applyBorder="1" applyAlignment="1">
      <alignment horizontal="right"/>
    </xf>
    <xf numFmtId="0" fontId="0" fillId="0" borderId="0" xfId="49" applyFont="1"/>
    <xf numFmtId="0" fontId="1" fillId="0" borderId="0" xfId="49" applyFont="1" applyFill="1" applyBorder="1"/>
    <xf numFmtId="0" fontId="1" fillId="0" borderId="0" xfId="49" applyFont="1" applyFill="1" applyBorder="1" applyAlignment="1">
      <alignment horizontal="center"/>
    </xf>
    <xf numFmtId="0" fontId="2" fillId="0" borderId="0" xfId="49" applyFont="1" applyFill="1" applyBorder="1"/>
    <xf numFmtId="0" fontId="2" fillId="0" borderId="0" xfId="49" applyFont="1"/>
    <xf numFmtId="0" fontId="2" fillId="0" borderId="0" xfId="49" applyFont="1" applyFill="1" applyBorder="1" applyAlignment="1">
      <alignment horizontal="left" vertical="center"/>
    </xf>
    <xf numFmtId="0" fontId="1" fillId="0" borderId="0" xfId="49" applyFont="1" applyFill="1" applyBorder="1" applyAlignment="1">
      <alignment horizontal="center" vertical="center"/>
    </xf>
    <xf numFmtId="0" fontId="1" fillId="0" borderId="0" xfId="49" applyFont="1" applyFill="1" applyBorder="1" applyAlignment="1">
      <alignment horizontal="left" vertical="center"/>
    </xf>
    <xf numFmtId="0" fontId="1" fillId="2" borderId="1" xfId="49" applyFont="1" applyFill="1" applyBorder="1" applyAlignment="1">
      <alignment horizontal="center" vertical="center"/>
    </xf>
    <xf numFmtId="0" fontId="1" fillId="3" borderId="1" xfId="49" applyFont="1" applyFill="1" applyBorder="1" applyAlignment="1">
      <alignment horizontal="center" vertical="center"/>
    </xf>
    <xf numFmtId="0" fontId="1" fillId="11" borderId="1" xfId="49" applyFont="1" applyFill="1" applyBorder="1" applyAlignment="1">
      <alignment horizontal="center" vertical="center"/>
    </xf>
    <xf numFmtId="0" fontId="1" fillId="5" borderId="1" xfId="49" applyFont="1" applyFill="1" applyBorder="1" applyAlignment="1">
      <alignment horizontal="center" vertical="center"/>
    </xf>
    <xf numFmtId="0" fontId="1" fillId="5" borderId="2" xfId="49" applyFont="1" applyFill="1" applyBorder="1" applyAlignment="1">
      <alignment horizontal="center" vertical="center"/>
    </xf>
    <xf numFmtId="0" fontId="1" fillId="6" borderId="1" xfId="49" applyFont="1" applyFill="1" applyBorder="1" applyAlignment="1">
      <alignment horizontal="center" vertical="center"/>
    </xf>
    <xf numFmtId="0" fontId="1" fillId="7" borderId="1" xfId="49" applyFont="1" applyFill="1" applyBorder="1" applyAlignment="1">
      <alignment horizontal="center" vertical="center" wrapText="1"/>
    </xf>
    <xf numFmtId="0" fontId="1" fillId="2" borderId="3" xfId="49" applyFont="1" applyFill="1" applyBorder="1" applyAlignment="1">
      <alignment horizontal="center" vertical="center"/>
    </xf>
    <xf numFmtId="0" fontId="2" fillId="2" borderId="3" xfId="49" applyFont="1" applyFill="1" applyBorder="1"/>
    <xf numFmtId="0" fontId="2" fillId="2" borderId="4" xfId="49" applyFont="1" applyFill="1" applyBorder="1"/>
    <xf numFmtId="0" fontId="2" fillId="2" borderId="3" xfId="49" applyFont="1" applyFill="1" applyBorder="1" applyAlignment="1"/>
    <xf numFmtId="0" fontId="2" fillId="0" borderId="1" xfId="49" applyFont="1" applyBorder="1"/>
    <xf numFmtId="0" fontId="2" fillId="0" borderId="1" xfId="49" applyNumberFormat="1" applyFont="1" applyBorder="1"/>
    <xf numFmtId="2" fontId="2" fillId="0" borderId="1" xfId="49" applyNumberFormat="1" applyFont="1" applyBorder="1"/>
    <xf numFmtId="10" fontId="2" fillId="0" borderId="1" xfId="49" applyNumberFormat="1" applyFont="1" applyBorder="1"/>
    <xf numFmtId="9" fontId="2" fillId="0" borderId="1" xfId="49" applyNumberFormat="1" applyFont="1" applyBorder="1"/>
    <xf numFmtId="181" fontId="2" fillId="0" borderId="1" xfId="49" applyNumberFormat="1" applyFont="1" applyBorder="1"/>
    <xf numFmtId="0" fontId="2" fillId="0" borderId="6" xfId="49" applyNumberFormat="1" applyFont="1" applyBorder="1"/>
    <xf numFmtId="0" fontId="0" fillId="0" borderId="6" xfId="49" applyNumberFormat="1" applyFont="1" applyBorder="1"/>
    <xf numFmtId="0" fontId="0" fillId="0" borderId="7" xfId="49" applyNumberFormat="1" applyFont="1" applyBorder="1"/>
    <xf numFmtId="0" fontId="0" fillId="0" borderId="7" xfId="49" applyNumberFormat="1" applyFont="1" applyBorder="1" applyAlignment="1">
      <alignment vertical="center"/>
    </xf>
    <xf numFmtId="0" fontId="2" fillId="0" borderId="6" xfId="49" applyFont="1" applyBorder="1"/>
    <xf numFmtId="0" fontId="0" fillId="0" borderId="0" xfId="49" applyNumberFormat="1" applyFont="1"/>
    <xf numFmtId="0" fontId="0" fillId="0" borderId="0" xfId="49" applyNumberFormat="1" applyFont="1" applyAlignment="1">
      <alignment horizontal="center"/>
    </xf>
    <xf numFmtId="0" fontId="0" fillId="0" borderId="7" xfId="49" applyFont="1" applyBorder="1" applyAlignment="1">
      <alignment vertical="center"/>
    </xf>
    <xf numFmtId="0" fontId="1" fillId="9" borderId="10" xfId="49" applyFont="1" applyFill="1" applyBorder="1" applyAlignment="1"/>
    <xf numFmtId="0" fontId="1" fillId="9" borderId="8" xfId="49" applyFont="1" applyFill="1" applyBorder="1" applyAlignment="1"/>
    <xf numFmtId="0" fontId="1" fillId="9" borderId="9" xfId="49" applyFont="1" applyFill="1" applyBorder="1" applyAlignment="1"/>
    <xf numFmtId="0" fontId="1" fillId="9" borderId="1" xfId="49" applyFont="1" applyFill="1" applyBorder="1"/>
    <xf numFmtId="0" fontId="1" fillId="9" borderId="1" xfId="49" applyNumberFormat="1" applyFont="1" applyFill="1" applyBorder="1"/>
    <xf numFmtId="9" fontId="1" fillId="9" borderId="1" xfId="49" applyNumberFormat="1" applyFont="1" applyFill="1" applyBorder="1"/>
    <xf numFmtId="0" fontId="1" fillId="6" borderId="1" xfId="49" applyFont="1" applyFill="1" applyBorder="1"/>
    <xf numFmtId="2" fontId="1" fillId="6" borderId="1" xfId="49" applyNumberFormat="1" applyFont="1" applyFill="1" applyBorder="1"/>
    <xf numFmtId="0" fontId="2" fillId="0" borderId="10" xfId="49" applyFont="1" applyBorder="1" applyAlignment="1">
      <alignment horizontal="left"/>
    </xf>
    <xf numFmtId="0" fontId="2" fillId="0" borderId="9" xfId="49" applyFont="1" applyBorder="1" applyAlignment="1">
      <alignment horizontal="left"/>
    </xf>
    <xf numFmtId="0" fontId="1" fillId="0" borderId="1" xfId="49" applyFont="1" applyBorder="1" applyAlignment="1">
      <alignment horizontal="right"/>
    </xf>
    <xf numFmtId="0" fontId="2" fillId="0" borderId="0" xfId="49" applyFont="1" applyAlignment="1"/>
    <xf numFmtId="0" fontId="1" fillId="10" borderId="10" xfId="49" applyFont="1" applyFill="1" applyBorder="1" applyAlignment="1">
      <alignment horizontal="center"/>
    </xf>
    <xf numFmtId="0" fontId="1" fillId="10" borderId="8" xfId="49" applyFont="1" applyFill="1" applyBorder="1" applyAlignment="1">
      <alignment horizontal="center"/>
    </xf>
    <xf numFmtId="0" fontId="1" fillId="10" borderId="9" xfId="49" applyFont="1" applyFill="1" applyBorder="1" applyAlignment="1">
      <alignment horizontal="center"/>
    </xf>
    <xf numFmtId="0" fontId="2" fillId="0" borderId="2" xfId="49" applyFont="1" applyBorder="1"/>
    <xf numFmtId="0" fontId="1" fillId="6" borderId="1" xfId="49" applyFont="1" applyFill="1" applyBorder="1" applyAlignment="1">
      <alignment horizontal="right"/>
    </xf>
    <xf numFmtId="2" fontId="2" fillId="0" borderId="6" xfId="0" applyNumberFormat="1" applyFont="1" applyFill="1" applyBorder="1" applyAlignment="1"/>
    <xf numFmtId="0" fontId="2" fillId="0" borderId="1" xfId="0" applyFont="1" applyFill="1" applyBorder="1" applyAlignment="1">
      <alignment wrapText="1"/>
    </xf>
    <xf numFmtId="0" fontId="4" fillId="0" borderId="1" xfId="0" applyFont="1" applyBorder="1" applyAlignment="1"/>
    <xf numFmtId="0" fontId="1" fillId="2" borderId="11" xfId="0" applyFont="1" applyFill="1" applyBorder="1" applyAlignment="1">
      <alignment horizontal="center" vertical="center"/>
    </xf>
    <xf numFmtId="0" fontId="2" fillId="0" borderId="10" xfId="0" applyFont="1" applyFill="1" applyBorder="1" applyAlignment="1"/>
    <xf numFmtId="0" fontId="5" fillId="0" borderId="7" xfId="0" applyFont="1" applyBorder="1">
      <alignment vertical="center"/>
    </xf>
    <xf numFmtId="0" fontId="2" fillId="0" borderId="9" xfId="0" applyFont="1" applyFill="1" applyBorder="1" applyAlignment="1"/>
    <xf numFmtId="0" fontId="2" fillId="0" borderId="7" xfId="0" applyFont="1" applyFill="1" applyBorder="1" applyAlignment="1"/>
    <xf numFmtId="0" fontId="2" fillId="0" borderId="7" xfId="0" applyFont="1" applyFill="1" applyBorder="1" applyAlignment="1">
      <alignment wrapText="1"/>
    </xf>
    <xf numFmtId="0" fontId="1" fillId="0" borderId="10" xfId="0" applyFont="1" applyFill="1" applyBorder="1" applyAlignment="1">
      <alignment horizontal="center"/>
    </xf>
    <xf numFmtId="0" fontId="1" fillId="0" borderId="9" xfId="0" applyFont="1" applyFill="1" applyBorder="1" applyAlignment="1">
      <alignment horizontal="center"/>
    </xf>
    <xf numFmtId="0" fontId="5" fillId="0" borderId="12" xfId="0" applyFont="1" applyBorder="1">
      <alignment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/>
    </xf>
    <xf numFmtId="0" fontId="1" fillId="12" borderId="2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/>
    </xf>
    <xf numFmtId="0" fontId="0" fillId="0" borderId="7" xfId="0" applyFill="1" applyBorder="1" applyAlignment="1">
      <alignment vertical="center"/>
    </xf>
    <xf numFmtId="0" fontId="2" fillId="0" borderId="0" xfId="0" applyFont="1" applyFill="1" applyAlignment="1" quotePrefix="1"/>
    <xf numFmtId="0" fontId="2" fillId="0" borderId="0" xfId="49" applyFont="1" quotePrefix="1"/>
  </cellXfs>
  <cellStyles count="5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3" xfId="50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4" Type="http://schemas.openxmlformats.org/officeDocument/2006/relationships/styles" Target="styles.xml"/><Relationship Id="rId73" Type="http://schemas.openxmlformats.org/officeDocument/2006/relationships/sharedStrings" Target="sharedStrings.xml"/><Relationship Id="rId72" Type="http://schemas.openxmlformats.org/officeDocument/2006/relationships/theme" Target="theme/theme1.xml"/><Relationship Id="rId71" Type="http://schemas.openxmlformats.org/officeDocument/2006/relationships/worksheet" Target="worksheets/sheet71.xml"/><Relationship Id="rId70" Type="http://schemas.openxmlformats.org/officeDocument/2006/relationships/worksheet" Target="worksheets/sheet70.xml"/><Relationship Id="rId7" Type="http://schemas.openxmlformats.org/officeDocument/2006/relationships/worksheet" Target="worksheets/sheet7.xml"/><Relationship Id="rId69" Type="http://schemas.openxmlformats.org/officeDocument/2006/relationships/worksheet" Target="worksheets/sheet69.xml"/><Relationship Id="rId68" Type="http://schemas.openxmlformats.org/officeDocument/2006/relationships/worksheet" Target="worksheets/sheet68.xml"/><Relationship Id="rId67" Type="http://schemas.openxmlformats.org/officeDocument/2006/relationships/worksheet" Target="worksheets/sheet67.xml"/><Relationship Id="rId66" Type="http://schemas.openxmlformats.org/officeDocument/2006/relationships/worksheet" Target="worksheets/sheet66.xml"/><Relationship Id="rId65" Type="http://schemas.openxmlformats.org/officeDocument/2006/relationships/worksheet" Target="worksheets/sheet65.xml"/><Relationship Id="rId64" Type="http://schemas.openxmlformats.org/officeDocument/2006/relationships/worksheet" Target="worksheets/sheet64.xml"/><Relationship Id="rId63" Type="http://schemas.openxmlformats.org/officeDocument/2006/relationships/worksheet" Target="worksheets/sheet63.xml"/><Relationship Id="rId62" Type="http://schemas.openxmlformats.org/officeDocument/2006/relationships/worksheet" Target="worksheets/sheet62.xml"/><Relationship Id="rId61" Type="http://schemas.openxmlformats.org/officeDocument/2006/relationships/worksheet" Target="worksheets/sheet61.xml"/><Relationship Id="rId60" Type="http://schemas.openxmlformats.org/officeDocument/2006/relationships/worksheet" Target="worksheets/sheet60.xml"/><Relationship Id="rId6" Type="http://schemas.openxmlformats.org/officeDocument/2006/relationships/worksheet" Target="worksheets/sheet6.xml"/><Relationship Id="rId59" Type="http://schemas.openxmlformats.org/officeDocument/2006/relationships/worksheet" Target="worksheets/sheet59.xml"/><Relationship Id="rId58" Type="http://schemas.openxmlformats.org/officeDocument/2006/relationships/worksheet" Target="worksheets/sheet58.xml"/><Relationship Id="rId57" Type="http://schemas.openxmlformats.org/officeDocument/2006/relationships/worksheet" Target="worksheets/sheet57.xml"/><Relationship Id="rId56" Type="http://schemas.openxmlformats.org/officeDocument/2006/relationships/worksheet" Target="worksheets/sheet56.xml"/><Relationship Id="rId55" Type="http://schemas.openxmlformats.org/officeDocument/2006/relationships/worksheet" Target="worksheets/sheet55.xml"/><Relationship Id="rId54" Type="http://schemas.openxmlformats.org/officeDocument/2006/relationships/worksheet" Target="worksheets/sheet54.xml"/><Relationship Id="rId53" Type="http://schemas.openxmlformats.org/officeDocument/2006/relationships/worksheet" Target="worksheets/sheet53.xml"/><Relationship Id="rId52" Type="http://schemas.openxmlformats.org/officeDocument/2006/relationships/worksheet" Target="worksheets/sheet52.xml"/><Relationship Id="rId51" Type="http://schemas.openxmlformats.org/officeDocument/2006/relationships/worksheet" Target="worksheets/sheet51.xml"/><Relationship Id="rId50" Type="http://schemas.openxmlformats.org/officeDocument/2006/relationships/worksheet" Target="worksheets/sheet50.xml"/><Relationship Id="rId5" Type="http://schemas.openxmlformats.org/officeDocument/2006/relationships/worksheet" Target="worksheets/sheet5.xml"/><Relationship Id="rId49" Type="http://schemas.openxmlformats.org/officeDocument/2006/relationships/worksheet" Target="worksheets/sheet49.xml"/><Relationship Id="rId48" Type="http://schemas.openxmlformats.org/officeDocument/2006/relationships/worksheet" Target="worksheets/sheet48.xml"/><Relationship Id="rId47" Type="http://schemas.openxmlformats.org/officeDocument/2006/relationships/worksheet" Target="worksheets/sheet47.xml"/><Relationship Id="rId46" Type="http://schemas.openxmlformats.org/officeDocument/2006/relationships/worksheet" Target="worksheets/sheet46.xml"/><Relationship Id="rId45" Type="http://schemas.openxmlformats.org/officeDocument/2006/relationships/worksheet" Target="worksheets/sheet45.xml"/><Relationship Id="rId44" Type="http://schemas.openxmlformats.org/officeDocument/2006/relationships/worksheet" Target="worksheets/sheet44.xml"/><Relationship Id="rId43" Type="http://schemas.openxmlformats.org/officeDocument/2006/relationships/worksheet" Target="worksheets/sheet43.xml"/><Relationship Id="rId42" Type="http://schemas.openxmlformats.org/officeDocument/2006/relationships/worksheet" Target="worksheets/sheet42.xml"/><Relationship Id="rId41" Type="http://schemas.openxmlformats.org/officeDocument/2006/relationships/worksheet" Target="worksheets/sheet41.xml"/><Relationship Id="rId40" Type="http://schemas.openxmlformats.org/officeDocument/2006/relationships/worksheet" Target="worksheets/sheet40.xml"/><Relationship Id="rId4" Type="http://schemas.openxmlformats.org/officeDocument/2006/relationships/worksheet" Target="worksheets/sheet4.xml"/><Relationship Id="rId39" Type="http://schemas.openxmlformats.org/officeDocument/2006/relationships/worksheet" Target="worksheets/sheet39.xml"/><Relationship Id="rId38" Type="http://schemas.openxmlformats.org/officeDocument/2006/relationships/worksheet" Target="worksheets/sheet38.xml"/><Relationship Id="rId37" Type="http://schemas.openxmlformats.org/officeDocument/2006/relationships/worksheet" Target="worksheets/sheet37.xml"/><Relationship Id="rId36" Type="http://schemas.openxmlformats.org/officeDocument/2006/relationships/worksheet" Target="worksheets/sheet36.xml"/><Relationship Id="rId35" Type="http://schemas.openxmlformats.org/officeDocument/2006/relationships/worksheet" Target="worksheets/sheet35.xml"/><Relationship Id="rId34" Type="http://schemas.openxmlformats.org/officeDocument/2006/relationships/worksheet" Target="worksheets/sheet34.xml"/><Relationship Id="rId33" Type="http://schemas.openxmlformats.org/officeDocument/2006/relationships/worksheet" Target="worksheets/sheet33.xml"/><Relationship Id="rId32" Type="http://schemas.openxmlformats.org/officeDocument/2006/relationships/worksheet" Target="worksheets/sheet32.xml"/><Relationship Id="rId31" Type="http://schemas.openxmlformats.org/officeDocument/2006/relationships/worksheet" Target="worksheets/sheet31.xml"/><Relationship Id="rId30" Type="http://schemas.openxmlformats.org/officeDocument/2006/relationships/worksheet" Target="worksheets/sheet30.xml"/><Relationship Id="rId3" Type="http://schemas.openxmlformats.org/officeDocument/2006/relationships/worksheet" Target="worksheets/sheet3.xml"/><Relationship Id="rId29" Type="http://schemas.openxmlformats.org/officeDocument/2006/relationships/worksheet" Target="worksheets/sheet29.xml"/><Relationship Id="rId28" Type="http://schemas.openxmlformats.org/officeDocument/2006/relationships/worksheet" Target="worksheets/sheet28.xml"/><Relationship Id="rId27" Type="http://schemas.openxmlformats.org/officeDocument/2006/relationships/worksheet" Target="worksheets/sheet27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G12" sqref="G12:H12"/>
    </sheetView>
  </sheetViews>
  <sheetFormatPr defaultColWidth="8.84761904761905" defaultRowHeight="15"/>
  <cols>
    <col min="2" max="2" width="28" customWidth="1"/>
    <col min="3" max="3" width="24.1428571428571" customWidth="1"/>
    <col min="13" max="13" width="9.14285714285714" customWidth="1"/>
    <col min="14" max="14" width="13.847619047619" customWidth="1"/>
    <col min="52" max="52" width="10.7142857142857" customWidth="1"/>
    <col min="64" max="64" width="11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75</v>
      </c>
      <c r="C4" s="19" t="s">
        <v>75</v>
      </c>
      <c r="D4" s="19" t="s">
        <v>76</v>
      </c>
      <c r="E4" s="19" t="s">
        <v>76</v>
      </c>
      <c r="F4" s="20">
        <v>5</v>
      </c>
      <c r="G4" t="s">
        <v>77</v>
      </c>
      <c r="H4" s="20">
        <f>F4*G4</f>
        <v>750</v>
      </c>
      <c r="I4" t="s">
        <v>78</v>
      </c>
      <c r="J4" s="20">
        <v>0</v>
      </c>
      <c r="K4" s="20">
        <v>0</v>
      </c>
      <c r="L4" s="20">
        <f>IF(OR(I4=0,I4="0"),0,H4)</f>
        <v>750</v>
      </c>
      <c r="M4" s="20">
        <f>ROUND(L4*I4%,3)</f>
        <v>37.5</v>
      </c>
      <c r="N4" s="20">
        <v>0</v>
      </c>
      <c r="O4" s="20">
        <f>ROUND(N4*J4%,3)</f>
        <v>0</v>
      </c>
      <c r="P4" s="20">
        <f>ROUND(N4-O4,2)</f>
        <v>0</v>
      </c>
      <c r="Q4" s="20">
        <f>ROUND(P4*K4%,2)</f>
        <v>0</v>
      </c>
      <c r="R4" s="22">
        <f>ROUND(M4+O4+Q4,3)</f>
        <v>37.5</v>
      </c>
      <c r="S4" s="20">
        <f>(H4-R4)</f>
        <v>712.5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128.25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128.25</v>
      </c>
      <c r="AC4" s="21">
        <f>IF($V2=1,S4+AB4,S4)</f>
        <v>840.75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712.5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142.5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142.5</v>
      </c>
      <c r="AS4" s="24" t="s">
        <v>79</v>
      </c>
      <c r="AT4" s="25" t="s">
        <v>76</v>
      </c>
      <c r="AW4" s="25">
        <f>AM4</f>
        <v>5</v>
      </c>
      <c r="AX4" s="100">
        <f>AR4</f>
        <v>142.5</v>
      </c>
      <c r="AY4" s="25">
        <f>AU4+AW4</f>
        <v>5</v>
      </c>
      <c r="AZ4" s="25">
        <f>ROUND(((AU4*AV4)+(AW4*AX4))/(AU4+AW4),5)</f>
        <v>142.5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>
        <v>85</v>
      </c>
      <c r="BN4" t="s">
        <v>85</v>
      </c>
      <c r="BO4" s="25">
        <f>ROUND((((AW4*AZ4)+(BN4*BM4))/(AW4+BN4)),5)</f>
        <v>142.5</v>
      </c>
      <c r="BP4" s="31">
        <f>ROUND(BN4+AW4,3)</f>
        <v>5</v>
      </c>
      <c r="BQ4" s="32">
        <v>123562</v>
      </c>
    </row>
    <row r="5" ht="15.75" spans="1:69">
      <c r="A5" s="19">
        <v>1</v>
      </c>
      <c r="B5" s="19" t="s">
        <v>86</v>
      </c>
      <c r="C5" s="19" t="s">
        <v>86</v>
      </c>
      <c r="D5" s="19" t="s">
        <v>76</v>
      </c>
      <c r="E5" s="19" t="s">
        <v>76</v>
      </c>
      <c r="F5" s="20">
        <v>4</v>
      </c>
      <c r="G5" t="s">
        <v>87</v>
      </c>
      <c r="H5" s="20">
        <f>F5*G5</f>
        <v>400</v>
      </c>
      <c r="I5" t="s">
        <v>88</v>
      </c>
      <c r="J5" s="20">
        <v>0</v>
      </c>
      <c r="K5" s="20">
        <v>0</v>
      </c>
      <c r="L5" s="20">
        <f t="shared" ref="L5" si="0">IF(OR(I5=0,I5="0"),0,H5)</f>
        <v>400</v>
      </c>
      <c r="M5" s="20">
        <f>ROUND(L5*I5%,2)</f>
        <v>16</v>
      </c>
      <c r="N5" s="20">
        <v>0</v>
      </c>
      <c r="O5" s="20">
        <f>ROUND(N5*J5%,2)</f>
        <v>0</v>
      </c>
      <c r="P5" s="20">
        <f>ROUND(N5-O5,2)</f>
        <v>0</v>
      </c>
      <c r="Q5" s="20">
        <f>ROUND(P5*K5%,2)</f>
        <v>0</v>
      </c>
      <c r="R5" s="20">
        <f>M5+O5+Q5</f>
        <v>16</v>
      </c>
      <c r="S5" s="20">
        <f>(H5-R5)</f>
        <v>384</v>
      </c>
      <c r="T5" s="20">
        <v>88363222</v>
      </c>
      <c r="U5" s="20">
        <v>18</v>
      </c>
      <c r="V5" s="20">
        <f>IF(OR(StPoToMRVWFPl!$C$2=1,StPoToMRVWFPl!$C$2=4),ROUND((((S5*U5)/100)/2),2),0)</f>
        <v>0</v>
      </c>
      <c r="W5" s="20">
        <f>IF(StPoToMRVWFPl!$C$2=1,ROUND((((S5*U5)/100)/2),2),0)</f>
        <v>0</v>
      </c>
      <c r="X5" s="20">
        <f>IF(StPoToMRVWFPl!$C$2=2,ROUND(((S5*U5)/100),2),0)</f>
        <v>69.12</v>
      </c>
      <c r="Y5" s="20">
        <f>IF(StPoToMRVWFPl!$C$2=4,ROUND((((S5*U5)/100)/2),2),0)</f>
        <v>0</v>
      </c>
      <c r="Z5" s="20">
        <v>0</v>
      </c>
      <c r="AA5" s="20">
        <f>IF(StPoToMRVWFPl!$C3=3,0,(S5*Z5)/100)</f>
        <v>0</v>
      </c>
      <c r="AB5" s="20">
        <f>V5+W5+X5+Y5+AA5</f>
        <v>69.12</v>
      </c>
      <c r="AC5" s="20">
        <f>IF(StPoToMRVWFPl!$V3=1,S5+AB5,S5)</f>
        <v>384</v>
      </c>
      <c r="AD5" s="22">
        <v>120</v>
      </c>
      <c r="AE5" s="22">
        <f>IF(StPoToMRVWFPl!$P$2=1,(S5/StPoToMRVWFPl!$S$6)*StPoToMRVWFPl!$E$17,AD5/StPoToMRVWFPl!$AD$6*StPoToMRVWFPl!$E$17)</f>
        <v>0</v>
      </c>
      <c r="AF5" s="22"/>
      <c r="AG5" s="22">
        <f>IF(StPoToMRVWFPl!$P$2=1,(S5/StPoToMRVWFPl!$S$6)*StPoToMRVWFPl!$E$19,AD5/StPoToMRVWFPl!$AD$6*StPoToMRVWFPl!$E$19)</f>
        <v>0</v>
      </c>
      <c r="AH5" s="22">
        <f>IF(StPoToMRVWFPl!$P$2=1,(S5/StPoToMRVWFPl!$S$6)*StPoToMRVWFPl!$E$20,AD5/StPoToMRVWFPl!$AD$6*StPoToMRVWFPl!$E$20)</f>
        <v>0</v>
      </c>
      <c r="AI5" s="22">
        <f>S5*StPoToMRVWFPl!$M$2</f>
        <v>384</v>
      </c>
      <c r="AJ5" s="22">
        <f>IF(StPoToMRVWFPl!$C$2=3,0,AG5+AH5)</f>
        <v>0</v>
      </c>
      <c r="AK5" s="22">
        <f>IF(StPoToMRVWFPl!$C$2=3,AE5+AG5+AH5,0)</f>
        <v>0</v>
      </c>
      <c r="AL5" s="23">
        <v>1</v>
      </c>
      <c r="AM5" s="22">
        <f>F5/AL5</f>
        <v>4</v>
      </c>
      <c r="AN5" s="22">
        <f>ROUND(AI5/AM5,5)</f>
        <v>96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96</v>
      </c>
      <c r="AS5" s="24" t="s">
        <v>79</v>
      </c>
      <c r="AT5" s="25" t="s">
        <v>76</v>
      </c>
      <c r="AW5" s="25">
        <f>AM5</f>
        <v>4</v>
      </c>
      <c r="AX5" s="100">
        <f>AR5</f>
        <v>96</v>
      </c>
      <c r="AY5" s="25">
        <f>AU5+AW5</f>
        <v>4</v>
      </c>
      <c r="AZ5" s="25">
        <f>ROUND(((AU5*AV5)+(AW5*AX5))/(AU5+AW5),5)</f>
        <v>96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>
        <v>85</v>
      </c>
      <c r="BN5" t="s">
        <v>85</v>
      </c>
      <c r="BO5" s="25">
        <f>ROUND((((AW5*AZ5)+(BN5*BM5))/(AW5+BN5)),5)</f>
        <v>96</v>
      </c>
      <c r="BP5" s="31">
        <f>ROUND(BN5+AW5,3)</f>
        <v>4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750</v>
      </c>
      <c r="I6" s="19"/>
      <c r="J6" s="19"/>
      <c r="K6" s="19"/>
      <c r="L6" s="19"/>
      <c r="M6" s="19"/>
      <c r="N6" s="19"/>
      <c r="O6" s="19"/>
      <c r="P6" s="19"/>
      <c r="Q6" s="19"/>
      <c r="R6" s="38">
        <f>SUM(R4:R4)</f>
        <v>37.5</v>
      </c>
      <c r="S6" s="37">
        <f>SUM(S4:S4)</f>
        <v>712.5</v>
      </c>
      <c r="T6" s="38"/>
      <c r="U6" s="38"/>
      <c r="V6" s="39">
        <f>SUM(V4:V4)</f>
        <v>0</v>
      </c>
      <c r="W6" s="39">
        <f>SUM(W4:W4)</f>
        <v>0</v>
      </c>
      <c r="X6" s="39">
        <f>SUM(X4:X4)</f>
        <v>128.25</v>
      </c>
      <c r="Y6" s="39"/>
      <c r="Z6" s="39"/>
      <c r="AA6" s="39"/>
      <c r="AB6" s="38">
        <f>SUM(AB4:AB4)</f>
        <v>128.25</v>
      </c>
      <c r="AC6" s="40">
        <f>SUM(AC4:AC4)</f>
        <v>840.75</v>
      </c>
      <c r="AD6" s="41">
        <f>SUM(AD4:AD4)</f>
        <v>120</v>
      </c>
      <c r="AE6" s="41">
        <f>SUM(AE4:AE4)</f>
        <v>0</v>
      </c>
      <c r="AF6" s="40"/>
      <c r="AG6" s="41">
        <f>SUM(AG4:AG4)</f>
        <v>0</v>
      </c>
      <c r="AH6" s="41">
        <f>IF($P$2=1,(S6/$S$6)*$E$20,AD6/$AD$6*$E$20)</f>
        <v>0</v>
      </c>
      <c r="AI6" s="41">
        <f>SUM(AI4:AI4)</f>
        <v>712.5</v>
      </c>
      <c r="AJ6" s="41">
        <f>SUM(AJ4:AJ4)</f>
        <v>0</v>
      </c>
      <c r="AK6" s="41">
        <f>SUM(AK4:AK4)</f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750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21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37.5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21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712.5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128.25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840.75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opLeftCell="B1" workbookViewId="0">
      <selection activeCell="N6" sqref="N6"/>
    </sheetView>
  </sheetViews>
  <sheetFormatPr defaultColWidth="8.84761904761905" defaultRowHeight="15"/>
  <cols>
    <col min="2" max="2" width="28" customWidth="1"/>
    <col min="3" max="3" width="28.1428571428571" customWidth="1"/>
    <col min="13" max="13" width="9.14285714285714" customWidth="1"/>
    <col min="14" max="14" width="13.847619047619" customWidth="1"/>
    <col min="52" max="52" width="10.7142857142857" customWidth="1"/>
    <col min="64" max="64" width="11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109</v>
      </c>
      <c r="C4" s="19" t="s">
        <v>109</v>
      </c>
      <c r="D4" s="19" t="s">
        <v>76</v>
      </c>
      <c r="E4" s="19" t="s">
        <v>76</v>
      </c>
      <c r="F4" s="20">
        <v>5</v>
      </c>
      <c r="G4" t="s">
        <v>77</v>
      </c>
      <c r="H4" s="20">
        <f>F4*G4</f>
        <v>750</v>
      </c>
      <c r="I4" t="s">
        <v>78</v>
      </c>
      <c r="J4" s="20">
        <v>4</v>
      </c>
      <c r="K4" s="20">
        <v>3</v>
      </c>
      <c r="L4" s="20">
        <f>IF(OR(I4=0,I4="0"),0,H4)</f>
        <v>750</v>
      </c>
      <c r="M4" s="20">
        <f>ROUND(L4*I4%,3)</f>
        <v>37.5</v>
      </c>
      <c r="N4" s="20">
        <f>L4-M4</f>
        <v>712.5</v>
      </c>
      <c r="O4" s="20">
        <f>ROUND(N4*J4%,3)</f>
        <v>28.5</v>
      </c>
      <c r="P4" s="20">
        <f>ROUND(N4-O4,2)</f>
        <v>684</v>
      </c>
      <c r="Q4" s="20">
        <f>ROUND(P4*K4%,2)</f>
        <v>20.52</v>
      </c>
      <c r="R4" s="22">
        <f>ROUND(M4+O4+Q4,3)</f>
        <v>86.52</v>
      </c>
      <c r="S4" s="20">
        <f>(H4-R4)</f>
        <v>663.48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119.43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119.43</v>
      </c>
      <c r="AC4" s="21">
        <f>IF($V2=1,S4+AB4,S4)</f>
        <v>782.91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663.48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132.696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132.696</v>
      </c>
      <c r="AS4" s="24" t="s">
        <v>79</v>
      </c>
      <c r="AT4" s="25" t="s">
        <v>76</v>
      </c>
      <c r="AW4" s="25">
        <f>AM4</f>
        <v>5</v>
      </c>
      <c r="AX4" s="100">
        <f>AR4</f>
        <v>132.696</v>
      </c>
      <c r="AY4" s="25">
        <f>AU4+AW4</f>
        <v>5</v>
      </c>
      <c r="AZ4" s="25">
        <f>ROUND(((AU4*AV4)+(AW4*AX4))/(AU4+AW4),5)</f>
        <v>132.696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>
        <v>85</v>
      </c>
      <c r="BN4" t="s">
        <v>85</v>
      </c>
      <c r="BO4" s="25">
        <f>ROUND((((AW4*AZ4)+(BN4*BM4))/(AW4+BN4)),5)</f>
        <v>132.696</v>
      </c>
      <c r="BP4" s="31">
        <f>ROUND(BN4+AW4,3)</f>
        <v>5</v>
      </c>
      <c r="BQ4" s="32">
        <v>123562</v>
      </c>
    </row>
    <row r="5" ht="15.75" spans="1:69">
      <c r="A5" s="19">
        <v>1</v>
      </c>
      <c r="B5" s="19" t="s">
        <v>110</v>
      </c>
      <c r="C5" s="19" t="s">
        <v>110</v>
      </c>
      <c r="D5" s="19" t="s">
        <v>76</v>
      </c>
      <c r="E5" s="19" t="s">
        <v>76</v>
      </c>
      <c r="F5" s="20">
        <v>4</v>
      </c>
      <c r="G5" t="s">
        <v>87</v>
      </c>
      <c r="H5" s="20">
        <f>F5*G5</f>
        <v>400</v>
      </c>
      <c r="I5" t="s">
        <v>88</v>
      </c>
      <c r="J5" s="20">
        <v>5</v>
      </c>
      <c r="K5" s="20">
        <v>7</v>
      </c>
      <c r="L5" s="20">
        <f>IF(OR(I5=0,I5="0"),0,H5)</f>
        <v>400</v>
      </c>
      <c r="M5" s="20">
        <f>ROUND(L5*I5%,2)</f>
        <v>16</v>
      </c>
      <c r="N5" s="20">
        <f>L5-M5</f>
        <v>384</v>
      </c>
      <c r="O5" s="20">
        <f>ROUND(N5*J5%,2)</f>
        <v>19.2</v>
      </c>
      <c r="P5" s="20">
        <f>ROUND(N5-O5,2)</f>
        <v>364.8</v>
      </c>
      <c r="Q5" s="20">
        <f>ROUND(P5*K5%,2)</f>
        <v>25.54</v>
      </c>
      <c r="R5" s="20">
        <f>M5+O5+Q5</f>
        <v>60.74</v>
      </c>
      <c r="S5" s="20">
        <f>(H5-R5)</f>
        <v>339.26</v>
      </c>
      <c r="T5" s="20">
        <v>88363222</v>
      </c>
      <c r="U5" s="20">
        <v>18</v>
      </c>
      <c r="V5" s="20">
        <f>IF(OR(StPoToMRVWFDURc!$C$2=1,StPoToMRVWFDURc!$C$2=4),ROUND((((S5*U5)/100)/2),2),0)</f>
        <v>0</v>
      </c>
      <c r="W5" s="20">
        <f>IF(StPoToMRVWFDURc!$C$2=1,ROUND((((S5*U5)/100)/2),2),0)</f>
        <v>0</v>
      </c>
      <c r="X5" s="20">
        <f>IF(StPoToMRVWFDURc!$C$2=2,ROUND(((S5*U5)/100),2),0)</f>
        <v>61.07</v>
      </c>
      <c r="Y5" s="20">
        <f>IF(StPoToMRVWFDURc!$C$2=4,ROUND((((S5*U5)/100)/2),2),0)</f>
        <v>0</v>
      </c>
      <c r="Z5" s="20">
        <v>0</v>
      </c>
      <c r="AA5" s="20">
        <f>IF(StPoToMRVWFDURc!$C3=3,0,(S5*Z5)/100)</f>
        <v>0</v>
      </c>
      <c r="AB5" s="20">
        <f>V5+W5+X5+Y5+AA5</f>
        <v>61.07</v>
      </c>
      <c r="AC5" s="20">
        <f>IF(StPoToMRVWFDURc!$V3=1,S5+AB5,S5)</f>
        <v>339.26</v>
      </c>
      <c r="AD5" s="22">
        <v>120</v>
      </c>
      <c r="AE5" s="22">
        <f>IF(StPoToMRVWFDURc!$P$2=1,(S5/StPoToMRVWFDURc!$S$6)*StPoToMRVWFDURc!$E$17,AD5/StPoToMRVWFDURc!$AD$6*StPoToMRVWFDURc!$E$17)</f>
        <v>0</v>
      </c>
      <c r="AF5" s="22"/>
      <c r="AG5" s="22">
        <f>IF(StPoToMRVWFDURc!$P$2=1,(S5/StPoToMRVWFDURc!$S$6)*StPoToMRVWFDURc!$E$19,AD5/StPoToMRVWFDURc!$AD$6*StPoToMRVWFDURc!$E$19)</f>
        <v>0</v>
      </c>
      <c r="AH5" s="22">
        <f>IF(StPoToMRVWFDURc!$P$2=1,(S5/StPoToMRVWFDURc!$S$6)*StPoToMRVWFDURc!$E$20,AD5/StPoToMRVWFDURc!$AD$6*StPoToMRVWFDURc!$E$20)</f>
        <v>0</v>
      </c>
      <c r="AI5" s="22">
        <f>S5*StPoToMRVWFDURc!$M$2</f>
        <v>339.26</v>
      </c>
      <c r="AJ5" s="22">
        <f>IF(StPoToMRVWFDURc!$C$2=3,0,AG5+AH5)</f>
        <v>0</v>
      </c>
      <c r="AK5" s="22">
        <f>IF(StPoToMRVWFDURc!$C$2=3,AE5+AG5+AH5,0)</f>
        <v>0</v>
      </c>
      <c r="AL5" s="23">
        <v>1</v>
      </c>
      <c r="AM5" s="22">
        <f>F5/AL5</f>
        <v>4</v>
      </c>
      <c r="AN5" s="22">
        <f>ROUND(AI5/AM5,5)</f>
        <v>84.815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84.815</v>
      </c>
      <c r="AS5" s="24" t="s">
        <v>79</v>
      </c>
      <c r="AT5" s="25" t="s">
        <v>76</v>
      </c>
      <c r="AW5" s="25">
        <f>AM5</f>
        <v>4</v>
      </c>
      <c r="AX5" s="100">
        <f>AR5</f>
        <v>84.815</v>
      </c>
      <c r="AY5" s="25">
        <f>AU5+AW5</f>
        <v>4</v>
      </c>
      <c r="AZ5" s="25">
        <f>ROUND(((AU5*AV5)+(AW5*AX5))/(AU5+AW5),5)</f>
        <v>84.815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>
        <v>85</v>
      </c>
      <c r="BN5" t="s">
        <v>85</v>
      </c>
      <c r="BO5" s="25">
        <f>ROUND((((AW5*AZ5)+(BN5*BM5))/(AW5+BN5)),5)</f>
        <v>84.815</v>
      </c>
      <c r="BP5" s="31">
        <f>ROUND(BN5+AW5,3)</f>
        <v>4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750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0">SUM(R4:R4)</f>
        <v>86.52</v>
      </c>
      <c r="S6" s="37">
        <f t="shared" si="0"/>
        <v>663.48</v>
      </c>
      <c r="T6" s="38"/>
      <c r="U6" s="38"/>
      <c r="V6" s="39">
        <f t="shared" si="0"/>
        <v>0</v>
      </c>
      <c r="W6" s="39">
        <f t="shared" si="0"/>
        <v>0</v>
      </c>
      <c r="X6" s="39">
        <f t="shared" si="0"/>
        <v>119.43</v>
      </c>
      <c r="Y6" s="39"/>
      <c r="Z6" s="39"/>
      <c r="AA6" s="39"/>
      <c r="AB6" s="38">
        <f t="shared" ref="AB6:AE6" si="1">SUM(AB4:AB4)</f>
        <v>119.43</v>
      </c>
      <c r="AC6" s="40">
        <f t="shared" si="1"/>
        <v>782.91</v>
      </c>
      <c r="AD6" s="41">
        <f t="shared" si="1"/>
        <v>120</v>
      </c>
      <c r="AE6" s="41">
        <f t="shared" si="1"/>
        <v>0</v>
      </c>
      <c r="AF6" s="40"/>
      <c r="AG6" s="41">
        <f t="shared" ref="AG6:AK6" si="2">SUM(AG4:AG4)</f>
        <v>0</v>
      </c>
      <c r="AH6" s="41">
        <f>IF($P$2=1,(S6/$S$6)*$E$20,AD6/$AD$6*$E$20)</f>
        <v>0</v>
      </c>
      <c r="AI6" s="41">
        <f t="shared" si="2"/>
        <v>663.48</v>
      </c>
      <c r="AJ6" s="41">
        <f t="shared" si="2"/>
        <v>0</v>
      </c>
      <c r="AK6" s="41">
        <f t="shared" si="2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750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21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86.52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21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663.48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119.43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782.91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C19" sqref="C19"/>
    </sheetView>
  </sheetViews>
  <sheetFormatPr defaultColWidth="8.84761904761905" defaultRowHeight="15"/>
  <cols>
    <col min="2" max="2" width="28" customWidth="1"/>
    <col min="3" max="3" width="24.1428571428571" customWidth="1"/>
    <col min="13" max="13" width="9.14285714285714" customWidth="1"/>
    <col min="14" max="14" width="13.847619047619" customWidth="1"/>
    <col min="52" max="52" width="10.7142857142857" customWidth="1"/>
    <col min="64" max="64" width="11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111</v>
      </c>
      <c r="C4" s="19" t="s">
        <v>111</v>
      </c>
      <c r="D4" s="19" t="s">
        <v>76</v>
      </c>
      <c r="E4" s="19" t="s">
        <v>76</v>
      </c>
      <c r="F4" s="20">
        <v>5</v>
      </c>
      <c r="G4" t="s">
        <v>77</v>
      </c>
      <c r="H4" s="20">
        <f>F4*G4</f>
        <v>750</v>
      </c>
      <c r="I4" t="s">
        <v>78</v>
      </c>
      <c r="J4" s="20">
        <v>0</v>
      </c>
      <c r="K4" s="20">
        <v>0</v>
      </c>
      <c r="L4" s="20">
        <f>IF(OR(I4=0,I4="0"),0,H4)</f>
        <v>750</v>
      </c>
      <c r="M4" s="20">
        <f>ROUND(L4*I4%,3)</f>
        <v>37.5</v>
      </c>
      <c r="N4" s="20">
        <v>0</v>
      </c>
      <c r="O4" s="20">
        <f>ROUND(N4*J4%,3)</f>
        <v>0</v>
      </c>
      <c r="P4" s="20">
        <f>ROUND(N4-O4,2)</f>
        <v>0</v>
      </c>
      <c r="Q4" s="20">
        <f>ROUND(P4*K4%,2)</f>
        <v>0</v>
      </c>
      <c r="R4" s="22">
        <f>ROUND(M4+O4+Q4,3)</f>
        <v>37.5</v>
      </c>
      <c r="S4" s="20">
        <f>(H4-R4)</f>
        <v>712.5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128.25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128.25</v>
      </c>
      <c r="AC4" s="21">
        <f>IF($V2=1,S4+AB4,S4)</f>
        <v>840.75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712.5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142.5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142.5</v>
      </c>
      <c r="AS4" s="24" t="s">
        <v>79</v>
      </c>
      <c r="AT4" s="25" t="s">
        <v>76</v>
      </c>
      <c r="AU4" t="s">
        <v>85</v>
      </c>
      <c r="AV4" t="s">
        <v>112</v>
      </c>
      <c r="AW4" s="25">
        <f>AM4</f>
        <v>5</v>
      </c>
      <c r="AX4" s="100">
        <f>AR4</f>
        <v>142.5</v>
      </c>
      <c r="AY4" s="25">
        <f>AU4+AW4</f>
        <v>5</v>
      </c>
      <c r="AZ4" s="25">
        <f>ROUND(((AU4*AV4)+(AW4*AX4))/(AU4+AW4),5)</f>
        <v>142.5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>
        <v>112</v>
      </c>
      <c r="BN4" t="s">
        <v>78</v>
      </c>
      <c r="BO4" s="25">
        <f>ROUND((((AW4*AZ4)+(BN4*BM4))/(AW4+BN4)),5)</f>
        <v>142.5</v>
      </c>
      <c r="BP4" s="31">
        <f>ROUND(BN4+AW4,3)</f>
        <v>10</v>
      </c>
      <c r="BQ4" s="32">
        <v>123562</v>
      </c>
    </row>
    <row r="5" ht="15.75" spans="1:69">
      <c r="A5" s="19">
        <v>1</v>
      </c>
      <c r="B5" s="19" t="s">
        <v>113</v>
      </c>
      <c r="C5" s="19" t="s">
        <v>113</v>
      </c>
      <c r="D5" s="19" t="s">
        <v>76</v>
      </c>
      <c r="E5" s="19" t="s">
        <v>76</v>
      </c>
      <c r="F5" s="20">
        <v>4</v>
      </c>
      <c r="G5" t="s">
        <v>87</v>
      </c>
      <c r="H5" s="20">
        <f>F5*G5</f>
        <v>400</v>
      </c>
      <c r="I5" t="s">
        <v>88</v>
      </c>
      <c r="J5" s="20">
        <v>0</v>
      </c>
      <c r="K5" s="20">
        <v>0</v>
      </c>
      <c r="L5" s="20">
        <f t="shared" ref="L5" si="0">IF(OR(I5=0,I5="0"),0,H5)</f>
        <v>400</v>
      </c>
      <c r="M5" s="20">
        <f>ROUND(L5*I5%,2)</f>
        <v>16</v>
      </c>
      <c r="N5" s="20">
        <v>0</v>
      </c>
      <c r="O5" s="20">
        <f>ROUND(N5*J5%,2)</f>
        <v>0</v>
      </c>
      <c r="P5" s="20">
        <f>ROUND(N5-O5,2)</f>
        <v>0</v>
      </c>
      <c r="Q5" s="20">
        <f>ROUND(P5*K5%,2)</f>
        <v>0</v>
      </c>
      <c r="R5" s="20">
        <f>M5+O5+Q5</f>
        <v>16</v>
      </c>
      <c r="S5" s="20">
        <f>(H5-R5)</f>
        <v>384</v>
      </c>
      <c r="T5" s="20">
        <v>88363222</v>
      </c>
      <c r="U5" s="20">
        <v>18</v>
      </c>
      <c r="V5" s="20">
        <f>IF(OR(StPoToMRVWFRc!$C$2=1,StPoToMRVWFRc!$C$2=4),ROUND((((S5*U5)/100)/2),2),0)</f>
        <v>0</v>
      </c>
      <c r="W5" s="20">
        <f>IF(StPoToMRVWFRc!$C$2=1,ROUND((((S5*U5)/100)/2),2),0)</f>
        <v>0</v>
      </c>
      <c r="X5" s="20">
        <f>IF(StPoToMRVWFRc!$C$2=2,ROUND(((S5*U5)/100),2),0)</f>
        <v>69.12</v>
      </c>
      <c r="Y5" s="20">
        <f>IF(StPoToMRVWFRc!$C$2=4,ROUND((((S5*U5)/100)/2),2),0)</f>
        <v>0</v>
      </c>
      <c r="Z5" s="20">
        <v>0</v>
      </c>
      <c r="AA5" s="20">
        <f>IF(StPoToMRVWFRc!$C3=3,0,(S5*Z5)/100)</f>
        <v>0</v>
      </c>
      <c r="AB5" s="20">
        <f>V5+W5+X5+Y5+AA5</f>
        <v>69.12</v>
      </c>
      <c r="AC5" s="20">
        <f>IF(StPoToMRVWFRc!$V3=1,S5+AB5,S5)</f>
        <v>384</v>
      </c>
      <c r="AD5" s="22">
        <v>120</v>
      </c>
      <c r="AE5" s="22">
        <f>IF(StPoToMRVWFRc!$P$2=1,(S5/StPoToMRVWFRc!$S$6)*StPoToMRVWFRc!$E$17,AD5/StPoToMRVWFRc!$AD$6*StPoToMRVWFRc!$E$17)</f>
        <v>0</v>
      </c>
      <c r="AF5" s="22"/>
      <c r="AG5" s="22">
        <f>IF(StPoToMRVWFRc!$P$2=1,(S5/StPoToMRVWFRc!$S$6)*StPoToMRVWFRc!$E$19,AD5/StPoToMRVWFRc!$AD$6*StPoToMRVWFRc!$E$19)</f>
        <v>0</v>
      </c>
      <c r="AH5" s="22">
        <f>IF(StPoToMRVWFRc!$P$2=1,(S5/StPoToMRVWFRc!$S$6)*StPoToMRVWFRc!$E$20,AD5/StPoToMRVWFRc!$AD$6*StPoToMRVWFRc!$E$20)</f>
        <v>0</v>
      </c>
      <c r="AI5" s="22">
        <f>S5*StPoToMRVWFRc!$M$2</f>
        <v>384</v>
      </c>
      <c r="AJ5" s="22">
        <f>IF(StPoToMRVWFRc!$C$2=3,0,AG5+AH5)</f>
        <v>0</v>
      </c>
      <c r="AK5" s="22">
        <f>IF(StPoToMRVWFRc!$C$2=3,AE5+AG5+AH5,0)</f>
        <v>0</v>
      </c>
      <c r="AL5" s="23">
        <v>1</v>
      </c>
      <c r="AM5" s="22">
        <f>F5/AL5</f>
        <v>4</v>
      </c>
      <c r="AN5" s="22">
        <f>ROUND(AI5/AM5,5)</f>
        <v>96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96</v>
      </c>
      <c r="AS5" s="24" t="s">
        <v>79</v>
      </c>
      <c r="AT5" s="25" t="s">
        <v>76</v>
      </c>
      <c r="AU5" t="s">
        <v>85</v>
      </c>
      <c r="AV5" t="s">
        <v>114</v>
      </c>
      <c r="AW5" s="25">
        <f>AM5</f>
        <v>4</v>
      </c>
      <c r="AX5" s="100">
        <f>AR5</f>
        <v>96</v>
      </c>
      <c r="AY5" s="25">
        <f>AU5+AW5</f>
        <v>4</v>
      </c>
      <c r="AZ5" s="25">
        <f>ROUND(((AU5*AV5)+(AW5*AX5))/(AU5+AW5),5)</f>
        <v>96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>
        <v>114</v>
      </c>
      <c r="BN5" t="s">
        <v>88</v>
      </c>
      <c r="BO5" s="25">
        <f>ROUND((((AW5*AZ5)+(BN5*BM5))/(AW5+BN5)),5)</f>
        <v>96</v>
      </c>
      <c r="BP5" s="31">
        <f>ROUND(BN5+AW5,3)</f>
        <v>8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750</v>
      </c>
      <c r="I6" s="19"/>
      <c r="J6" s="19"/>
      <c r="K6" s="19"/>
      <c r="L6" s="19"/>
      <c r="M6" s="19"/>
      <c r="N6" s="19"/>
      <c r="O6" s="19"/>
      <c r="P6" s="19"/>
      <c r="Q6" s="19"/>
      <c r="R6" s="38">
        <f>SUM(R4:R4)</f>
        <v>37.5</v>
      </c>
      <c r="S6" s="37">
        <f>SUM(S4:S4)</f>
        <v>712.5</v>
      </c>
      <c r="T6" s="38"/>
      <c r="U6" s="38"/>
      <c r="V6" s="39">
        <f>SUM(V4:V4)</f>
        <v>0</v>
      </c>
      <c r="W6" s="39">
        <f>SUM(W4:W4)</f>
        <v>0</v>
      </c>
      <c r="X6" s="39">
        <f>SUM(X4:X4)</f>
        <v>128.25</v>
      </c>
      <c r="Y6" s="39"/>
      <c r="Z6" s="39"/>
      <c r="AA6" s="39"/>
      <c r="AB6" s="38">
        <f>SUM(AB4:AB4)</f>
        <v>128.25</v>
      </c>
      <c r="AC6" s="40">
        <f>SUM(AC4:AC4)</f>
        <v>840.75</v>
      </c>
      <c r="AD6" s="41">
        <f>SUM(AD4:AD4)</f>
        <v>120</v>
      </c>
      <c r="AE6" s="41">
        <f>SUM(AE4:AE4)</f>
        <v>0</v>
      </c>
      <c r="AF6" s="40"/>
      <c r="AG6" s="41">
        <f>SUM(AG4:AG4)</f>
        <v>0</v>
      </c>
      <c r="AH6" s="41">
        <f>IF($P$2=1,(S6/$S$6)*$E$20,AD6/$AD$6*$E$20)</f>
        <v>0</v>
      </c>
      <c r="AI6" s="41">
        <f>SUM(AI4:AI4)</f>
        <v>712.5</v>
      </c>
      <c r="AJ6" s="41">
        <f>SUM(AJ4:AJ4)</f>
        <v>0</v>
      </c>
      <c r="AK6" s="41">
        <f>SUM(AK4:AK4)</f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750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21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37.5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21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712.5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128.25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840.75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B4" sqref="B4"/>
    </sheetView>
  </sheetViews>
  <sheetFormatPr defaultColWidth="8.84761904761905" defaultRowHeight="15"/>
  <cols>
    <col min="2" max="2" width="28" customWidth="1"/>
    <col min="3" max="3" width="24.1428571428571" customWidth="1"/>
    <col min="13" max="13" width="9.14285714285714" customWidth="1"/>
    <col min="14" max="14" width="13.847619047619" customWidth="1"/>
    <col min="52" max="52" width="10.7142857142857" customWidth="1"/>
    <col min="64" max="64" width="11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115</v>
      </c>
      <c r="C4" s="19" t="s">
        <v>115</v>
      </c>
      <c r="D4" s="19" t="s">
        <v>76</v>
      </c>
      <c r="E4" s="19" t="s">
        <v>76</v>
      </c>
      <c r="F4" s="20">
        <v>5</v>
      </c>
      <c r="G4">
        <v>50</v>
      </c>
      <c r="H4" s="20">
        <f>F4*G4</f>
        <v>250</v>
      </c>
      <c r="I4">
        <v>5</v>
      </c>
      <c r="J4" s="20">
        <v>0</v>
      </c>
      <c r="K4" s="20">
        <v>0</v>
      </c>
      <c r="L4" s="20">
        <f>IF(OR(I4=0,I4="0"),0,H4)</f>
        <v>250</v>
      </c>
      <c r="M4" s="20">
        <f>ROUND(L4*I4%,3)</f>
        <v>12.5</v>
      </c>
      <c r="N4" s="20">
        <v>0</v>
      </c>
      <c r="O4" s="20">
        <f>ROUND(N4*J4%,3)</f>
        <v>0</v>
      </c>
      <c r="P4" s="20">
        <f>ROUND(N4-O4,2)</f>
        <v>0</v>
      </c>
      <c r="Q4" s="20">
        <f>ROUND(P4*K4%,2)</f>
        <v>0</v>
      </c>
      <c r="R4" s="22">
        <f>ROUND(M4+O4+Q4,3)</f>
        <v>12.5</v>
      </c>
      <c r="S4" s="20">
        <f>(H4-R4)</f>
        <v>237.5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42.75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42.75</v>
      </c>
      <c r="AC4" s="21">
        <f>IF($V2=1,S4+AB4,S4)</f>
        <v>280.25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237.5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47.5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47.5</v>
      </c>
      <c r="AS4" s="24" t="s">
        <v>79</v>
      </c>
      <c r="AT4" s="25" t="s">
        <v>76</v>
      </c>
      <c r="AU4" t="s">
        <v>85</v>
      </c>
      <c r="AV4" t="s">
        <v>116</v>
      </c>
      <c r="AW4" s="25">
        <f>AM4</f>
        <v>5</v>
      </c>
      <c r="AX4" s="100">
        <f>AR4</f>
        <v>47.5</v>
      </c>
      <c r="AY4" s="25">
        <f>AU4+AW4</f>
        <v>5</v>
      </c>
      <c r="AZ4" s="25">
        <f>ROUND(((AU4*AV4)+(AW4*AX4))/(AU4+AW4),5)</f>
        <v>47.5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>
        <v>116</v>
      </c>
      <c r="BN4" t="s">
        <v>78</v>
      </c>
      <c r="BO4" s="25">
        <f>ROUND((((AW4*AZ4)+(BN4*BM4))/(AW4+BN4)),5)</f>
        <v>47.5</v>
      </c>
      <c r="BP4" s="31">
        <f>ROUND(BN4+AW4,3)</f>
        <v>10</v>
      </c>
      <c r="BQ4" s="32">
        <v>123562</v>
      </c>
    </row>
    <row r="5" ht="15.75" spans="1:69">
      <c r="A5" s="19">
        <v>1</v>
      </c>
      <c r="B5" s="19" t="s">
        <v>117</v>
      </c>
      <c r="C5" s="19" t="s">
        <v>117</v>
      </c>
      <c r="D5" s="19" t="s">
        <v>76</v>
      </c>
      <c r="E5" s="19" t="s">
        <v>76</v>
      </c>
      <c r="F5" s="20">
        <v>4</v>
      </c>
      <c r="G5">
        <v>100</v>
      </c>
      <c r="H5" s="20">
        <f>F5*G5</f>
        <v>400</v>
      </c>
      <c r="I5">
        <v>6</v>
      </c>
      <c r="J5" s="20">
        <v>0</v>
      </c>
      <c r="K5" s="20">
        <v>0</v>
      </c>
      <c r="L5" s="20">
        <f t="shared" ref="L5" si="0">IF(OR(I5=0,I5="0"),0,H5)</f>
        <v>400</v>
      </c>
      <c r="M5" s="20">
        <f>ROUND(L5*I5%,2)</f>
        <v>24</v>
      </c>
      <c r="N5" s="20">
        <v>0</v>
      </c>
      <c r="O5" s="20">
        <f>ROUND(N5*J5%,2)</f>
        <v>0</v>
      </c>
      <c r="P5" s="20">
        <f>ROUND(N5-O5,2)</f>
        <v>0</v>
      </c>
      <c r="Q5" s="20">
        <f>ROUND(P5*K5%,2)</f>
        <v>0</v>
      </c>
      <c r="R5" s="20">
        <f>M5+O5+Q5</f>
        <v>24</v>
      </c>
      <c r="S5" s="20">
        <f>(H5-R5)</f>
        <v>376</v>
      </c>
      <c r="T5" s="20">
        <v>88363222</v>
      </c>
      <c r="U5" s="20">
        <v>18</v>
      </c>
      <c r="V5" s="20">
        <f>IF(OR(StPoToMRVWF!$C$2=1,StPoToMRVWF!$C$2=4),ROUND((((S5*U5)/100)/2),2),0)</f>
        <v>0</v>
      </c>
      <c r="W5" s="20">
        <f>IF(StPoToMRVWF!$C$2=1,ROUND((((S5*U5)/100)/2),2),0)</f>
        <v>0</v>
      </c>
      <c r="X5" s="20">
        <f>IF(StPoToMRVWF!$C$2=2,ROUND(((S5*U5)/100),2),0)</f>
        <v>67.68</v>
      </c>
      <c r="Y5" s="20">
        <f>IF(StPoToMRVWF!$C$2=4,ROUND((((S5*U5)/100)/2),2),0)</f>
        <v>0</v>
      </c>
      <c r="Z5" s="20">
        <v>0</v>
      </c>
      <c r="AA5" s="20">
        <f>IF(StPoToMRVWF!$C3=3,0,(S5*Z5)/100)</f>
        <v>0</v>
      </c>
      <c r="AB5" s="20">
        <f>V5+W5+X5+Y5+AA5</f>
        <v>67.68</v>
      </c>
      <c r="AC5" s="20">
        <f>IF(StPoToMRVWF!$V3=1,S5+AB5,S5)</f>
        <v>376</v>
      </c>
      <c r="AD5" s="22">
        <v>120</v>
      </c>
      <c r="AE5" s="22">
        <f>IF(StPoToMRVWF!$P$2=1,(S5/StPoToMRVWF!$S$6)*StPoToMRVWF!$E$17,AD5/StPoToMRVWF!$AD$6*StPoToMRVWF!$E$17)</f>
        <v>0</v>
      </c>
      <c r="AF5" s="22"/>
      <c r="AG5" s="22">
        <f>IF(StPoToMRVWF!$P$2=1,(S5/StPoToMRVWF!$S$6)*StPoToMRVWF!$E$19,AD5/StPoToMRVWF!$AD$6*StPoToMRVWF!$E$19)</f>
        <v>0</v>
      </c>
      <c r="AH5" s="22">
        <f>IF(StPoToMRVWF!$P$2=1,(S5/StPoToMRVWF!$S$6)*StPoToMRVWF!$E$20,AD5/StPoToMRVWF!$AD$6*StPoToMRVWF!$E$20)</f>
        <v>0</v>
      </c>
      <c r="AI5" s="22">
        <f>S5*StPoToMRVWF!$M$2</f>
        <v>376</v>
      </c>
      <c r="AJ5" s="22">
        <f>IF(StPoToMRVWF!$C$2=3,0,AG5+AH5)</f>
        <v>0</v>
      </c>
      <c r="AK5" s="22">
        <f>IF(StPoToMRVWF!$C$2=3,AE5+AG5+AH5,0)</f>
        <v>0</v>
      </c>
      <c r="AL5" s="23">
        <v>1</v>
      </c>
      <c r="AM5" s="22">
        <f>F5/AL5</f>
        <v>4</v>
      </c>
      <c r="AN5" s="22">
        <f>ROUND(AI5/AM5,5)</f>
        <v>94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94</v>
      </c>
      <c r="AS5" s="24" t="s">
        <v>79</v>
      </c>
      <c r="AT5" s="25" t="s">
        <v>76</v>
      </c>
      <c r="AU5" t="s">
        <v>85</v>
      </c>
      <c r="AV5" t="s">
        <v>118</v>
      </c>
      <c r="AW5" s="25">
        <f>AM5</f>
        <v>4</v>
      </c>
      <c r="AX5" s="100">
        <f>AR5</f>
        <v>94</v>
      </c>
      <c r="AY5" s="25">
        <f>AU5+AW5</f>
        <v>4</v>
      </c>
      <c r="AZ5" s="25">
        <f>ROUND(((AU5*AV5)+(AW5*AX5))/(AU5+AW5),5)</f>
        <v>94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>
        <v>118</v>
      </c>
      <c r="BN5" t="s">
        <v>88</v>
      </c>
      <c r="BO5" s="25">
        <f>ROUND((((AW5*AZ5)+(BN5*BM5))/(AW5+BN5)),5)</f>
        <v>94</v>
      </c>
      <c r="BP5" s="31">
        <f>ROUND(BN5+AW5,3)</f>
        <v>8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250</v>
      </c>
      <c r="I6" s="19"/>
      <c r="J6" s="19"/>
      <c r="K6" s="19"/>
      <c r="L6" s="19"/>
      <c r="M6" s="19"/>
      <c r="N6" s="19"/>
      <c r="O6" s="19"/>
      <c r="P6" s="19"/>
      <c r="Q6" s="19"/>
      <c r="R6" s="38">
        <f>SUM(R4:R4)</f>
        <v>12.5</v>
      </c>
      <c r="S6" s="37">
        <f>SUM(S4:S4)</f>
        <v>237.5</v>
      </c>
      <c r="T6" s="38"/>
      <c r="U6" s="38"/>
      <c r="V6" s="39">
        <f>SUM(V4:V4)</f>
        <v>0</v>
      </c>
      <c r="W6" s="39">
        <f>SUM(W4:W4)</f>
        <v>0</v>
      </c>
      <c r="X6" s="39">
        <f>SUM(X4:X4)</f>
        <v>42.75</v>
      </c>
      <c r="Y6" s="39"/>
      <c r="Z6" s="39"/>
      <c r="AA6" s="39"/>
      <c r="AB6" s="38">
        <f>SUM(AB4:AB4)</f>
        <v>42.75</v>
      </c>
      <c r="AC6" s="40">
        <f>SUM(AC4:AC4)</f>
        <v>280.25</v>
      </c>
      <c r="AD6" s="41">
        <f>SUM(AD4:AD4)</f>
        <v>120</v>
      </c>
      <c r="AE6" s="41">
        <f>SUM(AE4:AE4)</f>
        <v>0</v>
      </c>
      <c r="AF6" s="40"/>
      <c r="AG6" s="41">
        <f>SUM(AG4:AG4)</f>
        <v>0</v>
      </c>
      <c r="AH6" s="41">
        <f>IF($P$2=1,(S6/$S$6)*$E$20,AD6/$AD$6*$E$20)</f>
        <v>0</v>
      </c>
      <c r="AI6" s="41">
        <f>SUM(AI4:AI4)</f>
        <v>237.5</v>
      </c>
      <c r="AJ6" s="41">
        <f>SUM(AJ4:AJ4)</f>
        <v>0</v>
      </c>
      <c r="AK6" s="41">
        <f>SUM(AK4:AK4)</f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250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21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12.5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21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237.5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42.75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280.25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opLeftCell="AM1" workbookViewId="0">
      <selection activeCell="AR4" sqref="AR4"/>
    </sheetView>
  </sheetViews>
  <sheetFormatPr defaultColWidth="8.84761904761905" defaultRowHeight="15"/>
  <cols>
    <col min="2" max="2" width="28" customWidth="1"/>
    <col min="3" max="3" width="30.4285714285714" customWidth="1"/>
    <col min="29" max="29" width="9.28571428571429"/>
    <col min="39" max="39" width="17.4285714285714" customWidth="1"/>
    <col min="44" max="44" width="9"/>
    <col min="50" max="50" width="16.7142857142857" customWidth="1"/>
    <col min="52" max="52" width="19.4285714285714" customWidth="1"/>
    <col min="64" max="64" width="11" customWidth="1"/>
    <col min="67" max="67" width="11.8571428571429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119</v>
      </c>
      <c r="C4" s="19" t="s">
        <v>119</v>
      </c>
      <c r="D4" s="19" t="s">
        <v>76</v>
      </c>
      <c r="E4" s="19" t="s">
        <v>76</v>
      </c>
      <c r="F4" s="20">
        <v>6</v>
      </c>
      <c r="G4" s="20">
        <v>150</v>
      </c>
      <c r="H4" s="20">
        <f t="shared" ref="H4:H5" si="0">F4*G4</f>
        <v>900</v>
      </c>
      <c r="I4" s="20">
        <v>5</v>
      </c>
      <c r="J4" s="20">
        <v>8</v>
      </c>
      <c r="K4" s="20">
        <v>5</v>
      </c>
      <c r="L4" s="20">
        <f t="shared" ref="L4:L5" si="1">H4</f>
        <v>900</v>
      </c>
      <c r="M4" s="20">
        <f t="shared" ref="M4:M5" si="2">ROUND(L4*I4%,2)</f>
        <v>45</v>
      </c>
      <c r="N4" s="20">
        <f t="shared" ref="N4:N5" si="3">H4-M4</f>
        <v>855</v>
      </c>
      <c r="O4" s="20">
        <f t="shared" ref="O4:O5" si="4">ROUND(N4*J4%,2)</f>
        <v>68.4</v>
      </c>
      <c r="P4" s="20">
        <f t="shared" ref="P4:P5" si="5">ROUND(N4-O4,2)</f>
        <v>786.6</v>
      </c>
      <c r="Q4" s="20">
        <f t="shared" ref="Q4:Q5" si="6">ROUND(P4*K4%,2)</f>
        <v>39.33</v>
      </c>
      <c r="R4" s="20">
        <f t="shared" ref="R4:R5" si="7">M4+O4+Q4</f>
        <v>152.73</v>
      </c>
      <c r="S4" s="20">
        <f t="shared" ref="S4:S5" si="8">(H4-R4)</f>
        <v>747.27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134.51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5" si="9">V4+W4+X4+Y4+AA4</f>
        <v>134.51</v>
      </c>
      <c r="AC4" s="21">
        <f>IF($V2=1,S4+AB4,S4)</f>
        <v>881.78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S4*$M$2</f>
        <v>747.27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5" si="10">F4/AL4</f>
        <v>2</v>
      </c>
      <c r="AN4" s="23">
        <f>ROUND(AI4/AM4,3)</f>
        <v>373.635</v>
      </c>
      <c r="AO4" s="22">
        <f t="shared" ref="AO4:AO5" si="11">AJ4/AM4</f>
        <v>0</v>
      </c>
      <c r="AP4" s="22">
        <f t="shared" ref="AP4:AP5" si="12">AK4/AM4</f>
        <v>0</v>
      </c>
      <c r="AQ4" s="22" t="s">
        <v>76</v>
      </c>
      <c r="AR4" s="23">
        <f>ROUND(AN4+AO4+AP4,3)</f>
        <v>373.635</v>
      </c>
      <c r="AS4" s="24" t="s">
        <v>120</v>
      </c>
      <c r="AT4" s="25" t="s">
        <v>76</v>
      </c>
      <c r="AU4" t="s">
        <v>85</v>
      </c>
      <c r="AV4" t="s">
        <v>121</v>
      </c>
      <c r="AW4" s="25">
        <f t="shared" ref="AW4:AW5" si="13">AM4</f>
        <v>2</v>
      </c>
      <c r="AX4" s="26">
        <f>AR4</f>
        <v>373.635</v>
      </c>
      <c r="AY4" s="25">
        <f t="shared" ref="AY4:AY5" si="14">AU4+AW4</f>
        <v>2</v>
      </c>
      <c r="AZ4" s="25">
        <f>ROUND(((AU4*AV4)+(AW4*AX4))/(AU4+AW4),5)</f>
        <v>373.635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123</v>
      </c>
      <c r="BN4" t="s">
        <v>124</v>
      </c>
      <c r="BO4" s="25">
        <f t="shared" ref="BO4:BO5" si="15">ROUND((((AW4*AZ4)+(BN4*BM4))/(AW4+BN4)),5)</f>
        <v>10882.83318</v>
      </c>
      <c r="BP4" s="31">
        <f t="shared" ref="BP4:BP5" si="16">ROUND(BN4+AW4,3)</f>
        <v>15.332</v>
      </c>
      <c r="BQ4" s="32">
        <v>123562</v>
      </c>
    </row>
    <row r="5" ht="15.75" spans="1:69">
      <c r="A5" s="19">
        <v>1</v>
      </c>
      <c r="B5" s="19" t="s">
        <v>125</v>
      </c>
      <c r="C5" s="19" t="s">
        <v>125</v>
      </c>
      <c r="D5" s="19" t="s">
        <v>76</v>
      </c>
      <c r="E5" s="19" t="s">
        <v>76</v>
      </c>
      <c r="F5" s="20">
        <v>12</v>
      </c>
      <c r="G5" s="20">
        <v>100</v>
      </c>
      <c r="H5" s="20">
        <f t="shared" si="0"/>
        <v>1200</v>
      </c>
      <c r="I5" s="20">
        <v>4</v>
      </c>
      <c r="J5" s="20">
        <v>9</v>
      </c>
      <c r="K5" s="20">
        <v>6</v>
      </c>
      <c r="L5" s="20">
        <f t="shared" si="1"/>
        <v>1200</v>
      </c>
      <c r="M5" s="20">
        <f t="shared" si="2"/>
        <v>48</v>
      </c>
      <c r="N5" s="20">
        <f t="shared" si="3"/>
        <v>1152</v>
      </c>
      <c r="O5" s="20">
        <f t="shared" si="4"/>
        <v>103.68</v>
      </c>
      <c r="P5" s="20">
        <f t="shared" si="5"/>
        <v>1048.32</v>
      </c>
      <c r="Q5" s="20">
        <f t="shared" si="6"/>
        <v>62.9</v>
      </c>
      <c r="R5" s="20">
        <f t="shared" si="7"/>
        <v>214.58</v>
      </c>
      <c r="S5" s="20">
        <f t="shared" si="8"/>
        <v>985.42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177.38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9"/>
        <v>177.38</v>
      </c>
      <c r="AC5" s="20">
        <f>IF($V3=1,S5+AB5,S5)</f>
        <v>985.42</v>
      </c>
      <c r="AD5" s="22">
        <v>120</v>
      </c>
      <c r="AE5" s="22">
        <f>IF($P$2=1,(S5/$S$6)*$E$17,AD5/$AD$6*$E$17)</f>
        <v>0</v>
      </c>
      <c r="AF5" s="22"/>
      <c r="AG5" s="22">
        <f>IF($P$2=1,(S5/$S$6)*$E$19,AD5/$AD$6*$E$19)</f>
        <v>0</v>
      </c>
      <c r="AH5" s="22">
        <f>IF($P$2=1,(S5/$S$6)*$E$20,AD5/$AD$6*$E$20)</f>
        <v>0</v>
      </c>
      <c r="AI5" s="22">
        <f>S5*$M$2</f>
        <v>985.42</v>
      </c>
      <c r="AJ5" s="22">
        <f>IF($C$2=3,0,AG5+AH5)</f>
        <v>0</v>
      </c>
      <c r="AK5" s="22">
        <f>IF($C$2=3,AE5+AG5+AH5,0)</f>
        <v>0</v>
      </c>
      <c r="AL5" s="23">
        <v>3</v>
      </c>
      <c r="AM5" s="22">
        <f t="shared" si="10"/>
        <v>4</v>
      </c>
      <c r="AN5" s="22">
        <f>ROUND(AI5/AM5,5)</f>
        <v>246.355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246.355</v>
      </c>
      <c r="AS5" s="24" t="s">
        <v>120</v>
      </c>
      <c r="AT5" s="25" t="s">
        <v>76</v>
      </c>
      <c r="AU5" t="s">
        <v>85</v>
      </c>
      <c r="AV5" t="s">
        <v>126</v>
      </c>
      <c r="AW5" s="25">
        <f t="shared" si="13"/>
        <v>4</v>
      </c>
      <c r="AX5" s="25">
        <f t="shared" ref="AX4:AX5" si="17">AR5</f>
        <v>246.355</v>
      </c>
      <c r="AY5" s="25">
        <f t="shared" si="14"/>
        <v>4</v>
      </c>
      <c r="AZ5" s="25">
        <f>ROUND(((AU5*AV5)+(AW5*AX5))/(AU5+AW5),5)</f>
        <v>246.355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127</v>
      </c>
      <c r="BN5" t="s">
        <v>128</v>
      </c>
      <c r="BO5" s="25">
        <f t="shared" si="15"/>
        <v>1834.59132</v>
      </c>
      <c r="BP5" s="31">
        <f t="shared" si="16"/>
        <v>16.666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900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18">SUM(R4:R4)</f>
        <v>152.73</v>
      </c>
      <c r="S6" s="37">
        <f t="shared" si="18"/>
        <v>747.27</v>
      </c>
      <c r="T6" s="38"/>
      <c r="U6" s="38"/>
      <c r="V6" s="39">
        <f t="shared" si="18"/>
        <v>0</v>
      </c>
      <c r="W6" s="39">
        <f t="shared" si="18"/>
        <v>0</v>
      </c>
      <c r="X6" s="39">
        <f t="shared" si="18"/>
        <v>134.51</v>
      </c>
      <c r="Y6" s="39"/>
      <c r="Z6" s="39"/>
      <c r="AA6" s="39"/>
      <c r="AB6" s="38">
        <f t="shared" ref="AB6:AE6" si="19">SUM(AB4:AB4)</f>
        <v>134.51</v>
      </c>
      <c r="AC6" s="40">
        <f t="shared" si="19"/>
        <v>881.78</v>
      </c>
      <c r="AD6" s="41">
        <f t="shared" si="19"/>
        <v>120</v>
      </c>
      <c r="AE6" s="41">
        <f t="shared" si="19"/>
        <v>0</v>
      </c>
      <c r="AF6" s="40"/>
      <c r="AG6" s="41">
        <f t="shared" ref="AG6:AK6" si="20">SUM(AG4:AG4)</f>
        <v>0</v>
      </c>
      <c r="AH6" s="41">
        <f>IF($P$2=1,(S6/$S$6)*$E$20,AD6/$AD$6*$E$20)</f>
        <v>0</v>
      </c>
      <c r="AI6" s="41">
        <f t="shared" si="20"/>
        <v>747.27</v>
      </c>
      <c r="AJ6" s="41">
        <f t="shared" si="20"/>
        <v>0</v>
      </c>
      <c r="AK6" s="41">
        <f t="shared" si="20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900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21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152.73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21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747.27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134.51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881.78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opLeftCell="AW1" workbookViewId="0">
      <selection activeCell="BL6" sqref="BL6"/>
    </sheetView>
  </sheetViews>
  <sheetFormatPr defaultColWidth="8.84761904761905" defaultRowHeight="15"/>
  <cols>
    <col min="2" max="2" width="28" customWidth="1"/>
    <col min="3" max="3" width="30.4285714285714" customWidth="1"/>
    <col min="29" max="29" width="10.5714285714286"/>
    <col min="35" max="35" width="10"/>
    <col min="52" max="52" width="10.7142857142857" customWidth="1"/>
    <col min="64" max="64" width="11" customWidth="1"/>
    <col min="67" max="67" width="14.5714285714286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119</v>
      </c>
      <c r="C4" s="19" t="s">
        <v>119</v>
      </c>
      <c r="D4" s="19" t="s">
        <v>76</v>
      </c>
      <c r="E4" s="19" t="s">
        <v>76</v>
      </c>
      <c r="F4" s="20">
        <v>3</v>
      </c>
      <c r="G4" s="20">
        <v>150</v>
      </c>
      <c r="H4" s="20">
        <f>F4*G4</f>
        <v>450</v>
      </c>
      <c r="I4" s="20">
        <v>5</v>
      </c>
      <c r="J4" s="20">
        <v>8</v>
      </c>
      <c r="K4" s="20">
        <v>5</v>
      </c>
      <c r="L4" s="20">
        <f>H4</f>
        <v>450</v>
      </c>
      <c r="M4" s="20">
        <f>ROUND(L4*I4%,2)</f>
        <v>22.5</v>
      </c>
      <c r="N4" s="20">
        <f>H4-M4</f>
        <v>427.5</v>
      </c>
      <c r="O4" s="20">
        <f>ROUND(N4*J4%,2)</f>
        <v>34.2</v>
      </c>
      <c r="P4" s="20">
        <f>ROUND(N4-O4,2)</f>
        <v>393.3</v>
      </c>
      <c r="Q4" s="20">
        <f>ROUND(P4*K4%,2)</f>
        <v>19.67</v>
      </c>
      <c r="R4" s="20">
        <f>M4+O4+Q4</f>
        <v>76.37</v>
      </c>
      <c r="S4" s="20">
        <f>(H4-R4)</f>
        <v>373.63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67.25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67.25</v>
      </c>
      <c r="AC4" s="21">
        <f>IF($V2=1,S4+AB4,S4)</f>
        <v>373.63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S4*$M$2</f>
        <v>373.63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>F4/AL4</f>
        <v>1</v>
      </c>
      <c r="AN4" s="23">
        <f>ROUND(AI4/AM4,3)</f>
        <v>373.63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373.63</v>
      </c>
      <c r="AS4" s="24" t="s">
        <v>120</v>
      </c>
      <c r="AT4" s="25" t="s">
        <v>76</v>
      </c>
      <c r="AU4" t="s">
        <v>85</v>
      </c>
      <c r="AV4" t="s">
        <v>129</v>
      </c>
      <c r="AW4" s="25">
        <f>AM4</f>
        <v>1</v>
      </c>
      <c r="AX4" s="26">
        <f>AR4</f>
        <v>373.63</v>
      </c>
      <c r="AY4" s="25">
        <f>AU4+AW4</f>
        <v>1</v>
      </c>
      <c r="AZ4" s="25">
        <f>ROUND(((AU4*AV4)+(AW4*AX4))/(AU4+AW4),5)</f>
        <v>373.63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130</v>
      </c>
      <c r="BN4" t="s">
        <v>131</v>
      </c>
      <c r="BO4" s="25">
        <f>ROUND((((AW4*AZ4)+(BN4*BM4))/(AW4+BN4)),5)</f>
        <v>13425.04317</v>
      </c>
      <c r="BP4" s="31">
        <f>ROUND(BN4+AW4,3)</f>
        <v>34.334</v>
      </c>
      <c r="BQ4" s="32">
        <v>123562</v>
      </c>
    </row>
    <row r="5" ht="15.75" spans="1:69">
      <c r="A5" s="19">
        <v>1</v>
      </c>
      <c r="B5" s="19" t="s">
        <v>125</v>
      </c>
      <c r="C5" s="19" t="s">
        <v>125</v>
      </c>
      <c r="D5" s="19" t="s">
        <v>76</v>
      </c>
      <c r="E5" s="19" t="s">
        <v>76</v>
      </c>
      <c r="F5" s="20">
        <v>12</v>
      </c>
      <c r="G5" s="20">
        <v>100</v>
      </c>
      <c r="H5" s="20">
        <f>F5*G5</f>
        <v>1200</v>
      </c>
      <c r="I5" s="20">
        <v>4</v>
      </c>
      <c r="J5" s="20">
        <v>9</v>
      </c>
      <c r="K5" s="20">
        <v>6</v>
      </c>
      <c r="L5" s="20">
        <f>H5</f>
        <v>1200</v>
      </c>
      <c r="M5" s="20">
        <f>ROUND(L5*I5%,2)</f>
        <v>48</v>
      </c>
      <c r="N5" s="20">
        <f>H5-M5</f>
        <v>1152</v>
      </c>
      <c r="O5" s="20">
        <f>ROUND(N5*J5%,2)</f>
        <v>103.68</v>
      </c>
      <c r="P5" s="20">
        <f>ROUND(N5-O5,2)</f>
        <v>1048.32</v>
      </c>
      <c r="Q5" s="20">
        <f>ROUND(P5*K5%,2)</f>
        <v>62.9</v>
      </c>
      <c r="R5" s="20">
        <f>M5+O5+Q5</f>
        <v>214.58</v>
      </c>
      <c r="S5" s="20">
        <f>(H5-R5)</f>
        <v>985.42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177.38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>V5+W5+X5+Y5+AA5</f>
        <v>177.38</v>
      </c>
      <c r="AC5" s="20">
        <f>IF($V3=1,S5+AB5,S5)</f>
        <v>985.42</v>
      </c>
      <c r="AD5" s="22">
        <v>120</v>
      </c>
      <c r="AE5" s="22">
        <f>IF($P$2=1,(S5/$S$6)*$E$17,AD5/$AD$6*$E$17)</f>
        <v>0</v>
      </c>
      <c r="AF5" s="22"/>
      <c r="AG5" s="22">
        <f>IF($P$2=1,(S5/$S$6)*$E$19,AD5/$AD$6*$E$19)</f>
        <v>0</v>
      </c>
      <c r="AH5" s="22">
        <f>IF($P$2=1,(S5/$S$6)*$E$20,AD5/$AD$6*$E$20)</f>
        <v>0</v>
      </c>
      <c r="AI5" s="22">
        <f>S5*$M$2</f>
        <v>985.42</v>
      </c>
      <c r="AJ5" s="22">
        <f>IF($C$2=3,0,AG5+AH5)</f>
        <v>0</v>
      </c>
      <c r="AK5" s="22">
        <f>IF($C$2=3,AE5+AG5+AH5,0)</f>
        <v>0</v>
      </c>
      <c r="AL5" s="23">
        <v>3</v>
      </c>
      <c r="AM5" s="22">
        <f>F5/AL5</f>
        <v>4</v>
      </c>
      <c r="AN5" s="22">
        <f>ROUND(AI5/AM5,5)</f>
        <v>246.355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246.355</v>
      </c>
      <c r="AS5" s="24" t="s">
        <v>120</v>
      </c>
      <c r="AT5" s="25" t="s">
        <v>76</v>
      </c>
      <c r="AU5" t="s">
        <v>85</v>
      </c>
      <c r="AV5" t="s">
        <v>126</v>
      </c>
      <c r="AW5" s="25">
        <f>AM5</f>
        <v>4</v>
      </c>
      <c r="AX5" s="25">
        <f>AR5</f>
        <v>246.355</v>
      </c>
      <c r="AY5" s="25">
        <f>AU5+AW5</f>
        <v>4</v>
      </c>
      <c r="AZ5" s="25">
        <f>ROUND(((AU5*AV5)+(AW5*AX5))/(AU5+AW5),5)</f>
        <v>246.355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132</v>
      </c>
      <c r="BN5" t="s">
        <v>133</v>
      </c>
      <c r="BO5" s="25">
        <f>ROUND((((AW5*AZ5)+(BN5*BM5))/(AW5+BN5)),5)</f>
        <v>246.35933</v>
      </c>
      <c r="BP5" s="31">
        <f>ROUND(BN5+AW5,3)</f>
        <v>30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450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0">SUM(R4:R4)</f>
        <v>76.37</v>
      </c>
      <c r="S6" s="37">
        <f t="shared" si="0"/>
        <v>373.63</v>
      </c>
      <c r="T6" s="38"/>
      <c r="U6" s="38"/>
      <c r="V6" s="39">
        <f t="shared" si="0"/>
        <v>0</v>
      </c>
      <c r="W6" s="39">
        <f t="shared" si="0"/>
        <v>0</v>
      </c>
      <c r="X6" s="39">
        <f t="shared" si="0"/>
        <v>67.25</v>
      </c>
      <c r="Y6" s="39"/>
      <c r="Z6" s="39"/>
      <c r="AA6" s="39"/>
      <c r="AB6" s="38">
        <f t="shared" ref="AB6:AE6" si="1">SUM(AB4:AB4)</f>
        <v>67.25</v>
      </c>
      <c r="AC6" s="40">
        <f t="shared" si="1"/>
        <v>373.63</v>
      </c>
      <c r="AD6" s="41">
        <f t="shared" si="1"/>
        <v>120</v>
      </c>
      <c r="AE6" s="41">
        <f t="shared" si="1"/>
        <v>0</v>
      </c>
      <c r="AF6" s="40"/>
      <c r="AG6" s="41">
        <f t="shared" ref="AG6:AK6" si="2">SUM(AG4:AG4)</f>
        <v>0</v>
      </c>
      <c r="AH6" s="41">
        <f>IF($P$2=1,(S6/$S$6)*$E$20,AD6/$AD$6*$E$20)</f>
        <v>0</v>
      </c>
      <c r="AI6" s="41">
        <f t="shared" si="2"/>
        <v>373.63</v>
      </c>
      <c r="AJ6" s="41">
        <f t="shared" si="2"/>
        <v>0</v>
      </c>
      <c r="AK6" s="41">
        <f t="shared" si="2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450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21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76.37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21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373.63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67.25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440.88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opLeftCell="B1" workbookViewId="0">
      <selection activeCell="BM7" sqref="BM7"/>
    </sheetView>
  </sheetViews>
  <sheetFormatPr defaultColWidth="8.84761904761905" defaultRowHeight="15"/>
  <cols>
    <col min="2" max="2" width="28" customWidth="1"/>
    <col min="3" max="3" width="30.4285714285714" customWidth="1"/>
    <col min="48" max="48" width="11.7142857142857"/>
    <col min="52" max="52" width="19.4285714285714" customWidth="1"/>
    <col min="64" max="64" width="11" customWidth="1"/>
    <col min="67" max="67" width="14.5714285714286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119</v>
      </c>
      <c r="C4" s="19" t="s">
        <v>119</v>
      </c>
      <c r="D4" s="19" t="s">
        <v>76</v>
      </c>
      <c r="E4" s="19" t="s">
        <v>76</v>
      </c>
      <c r="F4" s="20">
        <v>6</v>
      </c>
      <c r="G4" s="20">
        <v>150</v>
      </c>
      <c r="H4" s="20">
        <f>F4*G4</f>
        <v>900</v>
      </c>
      <c r="I4" s="20">
        <v>5</v>
      </c>
      <c r="J4" s="20">
        <v>8</v>
      </c>
      <c r="K4" s="20">
        <v>5</v>
      </c>
      <c r="L4" s="20">
        <f>H4</f>
        <v>900</v>
      </c>
      <c r="M4" s="20">
        <f>ROUND(L4*I4%,2)</f>
        <v>45</v>
      </c>
      <c r="N4" s="20">
        <f>H4-M4</f>
        <v>855</v>
      </c>
      <c r="O4" s="20">
        <f>ROUND(N4*J4%,2)</f>
        <v>68.4</v>
      </c>
      <c r="P4" s="20">
        <f>ROUND(N4-O4,2)</f>
        <v>786.6</v>
      </c>
      <c r="Q4" s="20">
        <f>ROUND(P4*K4%,2)</f>
        <v>39.33</v>
      </c>
      <c r="R4" s="20">
        <f>M4+O4+Q4</f>
        <v>152.73</v>
      </c>
      <c r="S4" s="20">
        <f>(H4-R4)</f>
        <v>747.27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0</v>
      </c>
      <c r="AC4" s="21">
        <f>IF($V2=1,S4+AB4,S4)</f>
        <v>747.27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S4*$M$2</f>
        <v>63517.95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>F4/AL4</f>
        <v>2</v>
      </c>
      <c r="AN4" s="23">
        <f>ROUND(AI4/AM4,3)</f>
        <v>31758.975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31758.975</v>
      </c>
      <c r="AS4" s="24" t="s">
        <v>120</v>
      </c>
      <c r="AT4" s="25" t="s">
        <v>76</v>
      </c>
      <c r="AU4" t="s">
        <v>85</v>
      </c>
      <c r="AV4" t="s">
        <v>134</v>
      </c>
      <c r="AW4" s="25">
        <f>AM4</f>
        <v>2</v>
      </c>
      <c r="AX4" s="26">
        <f>AR4</f>
        <v>31758.975</v>
      </c>
      <c r="AY4" s="25">
        <f>AU4+AW4</f>
        <v>2</v>
      </c>
      <c r="AZ4" s="25">
        <f>ROUND(((AU4*AV4)+(AW4*AX4))/(AU4+AW4),5)</f>
        <v>31758.975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135</v>
      </c>
      <c r="BN4" t="s">
        <v>136</v>
      </c>
      <c r="BO4" s="25">
        <f>ROUND((((AW4*AZ4)+(BN4*BM4))/(AW4+BN4)),5)</f>
        <v>10978.38233</v>
      </c>
      <c r="BP4" s="31">
        <f>ROUND(BN4+AW4,3)</f>
        <v>216.997</v>
      </c>
      <c r="BQ4" s="32">
        <v>123562</v>
      </c>
    </row>
    <row r="5" ht="15.75" spans="1:69">
      <c r="A5" s="19">
        <v>1</v>
      </c>
      <c r="B5" s="19" t="s">
        <v>125</v>
      </c>
      <c r="C5" s="19" t="s">
        <v>125</v>
      </c>
      <c r="D5" s="19" t="s">
        <v>76</v>
      </c>
      <c r="E5" s="19" t="s">
        <v>76</v>
      </c>
      <c r="F5" s="20">
        <v>9</v>
      </c>
      <c r="G5" s="20">
        <v>100</v>
      </c>
      <c r="H5" s="20">
        <f>F5*G5</f>
        <v>900</v>
      </c>
      <c r="I5" s="20">
        <v>4</v>
      </c>
      <c r="J5" s="20">
        <v>9</v>
      </c>
      <c r="K5" s="20">
        <v>6</v>
      </c>
      <c r="L5" s="20">
        <f>H5</f>
        <v>900</v>
      </c>
      <c r="M5" s="20">
        <f>ROUND(L5*I5%,2)</f>
        <v>36</v>
      </c>
      <c r="N5" s="20">
        <f>H5-M5</f>
        <v>864</v>
      </c>
      <c r="O5" s="20">
        <f>ROUND(N5*J5%,2)</f>
        <v>77.76</v>
      </c>
      <c r="P5" s="20">
        <f>ROUND(N5-O5,2)</f>
        <v>786.24</v>
      </c>
      <c r="Q5" s="20">
        <f>ROUND(P5*K5%,2)</f>
        <v>47.17</v>
      </c>
      <c r="R5" s="20">
        <f>M5+O5+Q5</f>
        <v>160.93</v>
      </c>
      <c r="S5" s="20">
        <f>(H5-R5)</f>
        <v>739.07</v>
      </c>
      <c r="T5" s="20">
        <v>88363222</v>
      </c>
      <c r="U5" s="20">
        <v>18</v>
      </c>
      <c r="V5" s="20">
        <f>IF(OR(PoToMRVWoQDUomImp!$C$2=1,PoToMRVWoQDUomImp!$C$2=4),ROUND((((S5*U5)/100)/2),2),0)</f>
        <v>0</v>
      </c>
      <c r="W5" s="20">
        <f>IF(PoToMRVWoQDUomImp!$C$2=1,ROUND((((S5*U5)/100)/2),2),0)</f>
        <v>0</v>
      </c>
      <c r="X5" s="20">
        <f>IF(PoToMRVWoQDUomImp!$C$2=2,ROUND(((S5*U5)/100),2),0)</f>
        <v>0</v>
      </c>
      <c r="Y5" s="20">
        <f>IF(PoToMRVWoQDUomImp!$C$2=4,ROUND((((S5*U5)/100)/2),2),0)</f>
        <v>0</v>
      </c>
      <c r="Z5" s="20">
        <v>0</v>
      </c>
      <c r="AA5" s="20">
        <f>IF(PoToMRVWoQDUomImp!$C3=3,0,(S5*Z5)/100)</f>
        <v>0</v>
      </c>
      <c r="AB5" s="20">
        <f>V5+W5+X5+Y5+AA5</f>
        <v>0</v>
      </c>
      <c r="AC5" s="20">
        <f>IF(PoToMRVWoQDUomImp!$V3=1,S5+AB5,S5)</f>
        <v>739.07</v>
      </c>
      <c r="AD5" s="22">
        <v>120</v>
      </c>
      <c r="AE5" s="22">
        <f>IF(PoToMRVWoQDUomImp!$P$2=1,(S5/PoToMRVWoQDUomImp!$S$6)*PoToMRVWoQDUomImp!$E$17,AD5/PoToMRVWoQDUomImp!$AD$6*PoToMRVWoQDUomImp!$E$17)</f>
        <v>0</v>
      </c>
      <c r="AF5" s="22"/>
      <c r="AG5" s="22">
        <f>IF(PoToMRVWoQDUomImp!$P$2=1,(S5/PoToMRVWoQDUomImp!$S$6)*PoToMRVWoQDUomImp!$E$19,AD5/PoToMRVWoQDUomImp!$AD$6*PoToMRVWoQDUomImp!$E$19)</f>
        <v>0</v>
      </c>
      <c r="AH5" s="22">
        <f>IF(PoToMRVWoQDUomImp!$P$2=1,(S5/PoToMRVWoQDUomImp!$S$6)*PoToMRVWoQDUomImp!$E$20,AD5/PoToMRVWoQDUomImp!$AD$6*PoToMRVWoQDUomImp!$E$20)</f>
        <v>0</v>
      </c>
      <c r="AI5" s="22">
        <f>S5*PoToMRVWoQDUomImp!$M$2</f>
        <v>62820.95</v>
      </c>
      <c r="AJ5" s="22">
        <f>IF(PoToMRVWoQDUomImp!$C$2=3,0,AG5+AH5)</f>
        <v>0</v>
      </c>
      <c r="AK5" s="22">
        <f>IF(PoToMRVWoQDUomImp!$C$2=3,AE5+AG5+AH5,0)</f>
        <v>0</v>
      </c>
      <c r="AL5" s="23">
        <v>3</v>
      </c>
      <c r="AM5" s="22">
        <f>F5/AL5</f>
        <v>3</v>
      </c>
      <c r="AN5" s="22">
        <f>ROUND(AI5/AM5,5)</f>
        <v>20940.31667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20940.31667</v>
      </c>
      <c r="AS5" s="24" t="s">
        <v>120</v>
      </c>
      <c r="AT5" s="25" t="s">
        <v>76</v>
      </c>
      <c r="AU5" t="s">
        <v>85</v>
      </c>
      <c r="AV5" t="s">
        <v>137</v>
      </c>
      <c r="AW5" s="25">
        <f>AM5</f>
        <v>3</v>
      </c>
      <c r="AX5" s="25">
        <f>AR5</f>
        <v>20940.31667</v>
      </c>
      <c r="AY5" s="25">
        <f>AU5+AW5</f>
        <v>3</v>
      </c>
      <c r="AZ5" s="25">
        <f>ROUND(((AU5*AV5)+(AW5*AX5))/(AU5+AW5),5)</f>
        <v>20940.31667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138</v>
      </c>
      <c r="BN5" t="s">
        <v>139</v>
      </c>
      <c r="BO5" s="25">
        <f>ROUND((((AW5*AZ5)+(BN5*BM5))/(AW5+BN5)),5)</f>
        <v>2384.05426</v>
      </c>
      <c r="BP5" s="31">
        <f>ROUND(BN5+AW5,3)</f>
        <v>306.345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900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0">SUM(R4:R4)</f>
        <v>152.73</v>
      </c>
      <c r="S6" s="37">
        <f t="shared" si="0"/>
        <v>747.27</v>
      </c>
      <c r="T6" s="38"/>
      <c r="U6" s="38"/>
      <c r="V6" s="39">
        <f t="shared" si="0"/>
        <v>0</v>
      </c>
      <c r="W6" s="39">
        <f t="shared" si="0"/>
        <v>0</v>
      </c>
      <c r="X6" s="39">
        <f t="shared" si="0"/>
        <v>0</v>
      </c>
      <c r="Y6" s="39"/>
      <c r="Z6" s="39"/>
      <c r="AA6" s="39"/>
      <c r="AB6" s="38">
        <f t="shared" ref="AB6:AE6" si="1">SUM(AB4:AB4)</f>
        <v>0</v>
      </c>
      <c r="AC6" s="40">
        <f t="shared" si="1"/>
        <v>747.27</v>
      </c>
      <c r="AD6" s="41">
        <f t="shared" si="1"/>
        <v>120</v>
      </c>
      <c r="AE6" s="41">
        <f t="shared" si="1"/>
        <v>0</v>
      </c>
      <c r="AF6" s="40"/>
      <c r="AG6" s="41">
        <f t="shared" ref="AG6:AK6" si="2">SUM(AG4:AG4)</f>
        <v>0</v>
      </c>
      <c r="AH6" s="41">
        <f>IF($P$2=1,(S6/$S$6)*$E$20,AD6/$AD$6*$E$20)</f>
        <v>0</v>
      </c>
      <c r="AI6" s="41">
        <f t="shared" si="2"/>
        <v>63517.95</v>
      </c>
      <c r="AJ6" s="41">
        <f t="shared" si="2"/>
        <v>0</v>
      </c>
      <c r="AK6" s="41">
        <f t="shared" si="2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900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21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152.73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21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747.27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0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747.27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7"/>
  <sheetViews>
    <sheetView topLeftCell="AY1" workbookViewId="0">
      <selection activeCell="AS9" sqref="AS9"/>
    </sheetView>
  </sheetViews>
  <sheetFormatPr defaultColWidth="8.84761904761905" defaultRowHeight="15" outlineLevelRow="6"/>
  <cols>
    <col min="2" max="2" width="20.7142857142857" customWidth="1"/>
    <col min="3" max="3" width="26.2857142857143" customWidth="1"/>
    <col min="20" max="20" width="10.1428571428571" customWidth="1"/>
    <col min="52" max="52" width="10.7142857142857"/>
    <col min="67" max="67" width="10.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4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</row>
    <row r="2" ht="15.75" spans="1:69">
      <c r="A2" s="6" t="s">
        <v>1</v>
      </c>
      <c r="B2" s="6"/>
      <c r="C2" s="7">
        <v>1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1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4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</row>
    <row r="3" ht="61.5" spans="1:69">
      <c r="A3" s="112" t="s">
        <v>140</v>
      </c>
      <c r="B3" s="112" t="s">
        <v>10</v>
      </c>
      <c r="C3" s="113" t="s">
        <v>141</v>
      </c>
      <c r="D3" s="112" t="s">
        <v>12</v>
      </c>
      <c r="E3" s="112" t="s">
        <v>13</v>
      </c>
      <c r="F3" s="114" t="s">
        <v>142</v>
      </c>
      <c r="G3" s="112" t="s">
        <v>15</v>
      </c>
      <c r="H3" s="112" t="s">
        <v>16</v>
      </c>
      <c r="I3" s="115" t="s">
        <v>17</v>
      </c>
      <c r="J3" s="115" t="s">
        <v>19</v>
      </c>
      <c r="K3" s="115" t="s">
        <v>18</v>
      </c>
      <c r="L3" s="116" t="s">
        <v>20</v>
      </c>
      <c r="M3" s="116" t="s">
        <v>21</v>
      </c>
      <c r="N3" s="116" t="s">
        <v>143</v>
      </c>
      <c r="O3" s="116" t="s">
        <v>25</v>
      </c>
      <c r="P3" s="116" t="s">
        <v>22</v>
      </c>
      <c r="Q3" s="116" t="s">
        <v>23</v>
      </c>
      <c r="R3" s="115" t="s">
        <v>26</v>
      </c>
      <c r="S3" s="112" t="s">
        <v>144</v>
      </c>
      <c r="T3" s="112" t="s">
        <v>28</v>
      </c>
      <c r="U3" s="13" t="s">
        <v>145</v>
      </c>
      <c r="V3" s="13" t="s">
        <v>30</v>
      </c>
      <c r="W3" s="13" t="s">
        <v>31</v>
      </c>
      <c r="X3" s="13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17" t="s">
        <v>37</v>
      </c>
      <c r="AD3" s="117" t="s">
        <v>38</v>
      </c>
      <c r="AE3" s="118" t="s">
        <v>39</v>
      </c>
      <c r="AF3" s="118" t="s">
        <v>40</v>
      </c>
      <c r="AG3" s="118" t="s">
        <v>41</v>
      </c>
      <c r="AH3" s="117" t="s">
        <v>42</v>
      </c>
      <c r="AI3" s="117" t="s">
        <v>43</v>
      </c>
      <c r="AJ3" s="118" t="s">
        <v>44</v>
      </c>
      <c r="AK3" s="118" t="s">
        <v>45</v>
      </c>
      <c r="AL3" s="117" t="s">
        <v>46</v>
      </c>
      <c r="AM3" s="117" t="s">
        <v>47</v>
      </c>
      <c r="AN3" s="118" t="s">
        <v>48</v>
      </c>
      <c r="AO3" s="118" t="s">
        <v>49</v>
      </c>
      <c r="AP3" s="118" t="s">
        <v>50</v>
      </c>
      <c r="AQ3" s="117" t="s">
        <v>51</v>
      </c>
      <c r="AR3" s="119" t="s">
        <v>146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147</v>
      </c>
      <c r="C4" s="19" t="s">
        <v>148</v>
      </c>
      <c r="D4" s="19" t="s">
        <v>76</v>
      </c>
      <c r="E4" s="19" t="s">
        <v>76</v>
      </c>
      <c r="F4" s="20">
        <v>5</v>
      </c>
      <c r="G4" s="20">
        <v>150</v>
      </c>
      <c r="H4" s="20">
        <f t="shared" ref="H4:H6" si="0">F4*G4</f>
        <v>750</v>
      </c>
      <c r="I4" s="20">
        <v>5</v>
      </c>
      <c r="J4" s="20">
        <v>8</v>
      </c>
      <c r="K4" s="20">
        <v>5</v>
      </c>
      <c r="L4" s="20">
        <f t="shared" ref="L4:L6" si="1">H4</f>
        <v>750</v>
      </c>
      <c r="M4" s="20">
        <f t="shared" ref="M4:M6" si="2">ROUND(L4*I4%,2)</f>
        <v>37.5</v>
      </c>
      <c r="N4" s="20">
        <f t="shared" ref="N4:N6" si="3">H4-M4</f>
        <v>712.5</v>
      </c>
      <c r="O4" s="20">
        <f t="shared" ref="O4:O6" si="4">ROUND(N4*J4%,2)</f>
        <v>57</v>
      </c>
      <c r="P4" s="20">
        <f t="shared" ref="P4:P6" si="5">ROUND(N4-O4,2)</f>
        <v>655.5</v>
      </c>
      <c r="Q4" s="20">
        <f t="shared" ref="Q4:Q6" si="6">ROUND(P4*K4%,2)</f>
        <v>32.78</v>
      </c>
      <c r="R4" s="20">
        <f t="shared" ref="R4:R6" si="7">M4+O4+Q4</f>
        <v>127.28</v>
      </c>
      <c r="S4" s="20">
        <f t="shared" ref="S4:S6" si="8">(H4-R4)</f>
        <v>622.72</v>
      </c>
      <c r="T4" s="20">
        <v>85080200</v>
      </c>
      <c r="U4" s="20">
        <v>18</v>
      </c>
      <c r="V4" s="20">
        <f>IF(OR($C$2=1,$C$2=4),ROUND((((S4*U4)/100)/2),2),0)</f>
        <v>56.04</v>
      </c>
      <c r="W4" s="20">
        <f>IF($C$2=1,ROUND((((S4*U4)/100)/2),2),0)</f>
        <v>56.04</v>
      </c>
      <c r="X4" s="20">
        <f>IF($C$2=2,ROUND(((S4*U4)/100),2),0)</f>
        <v>0</v>
      </c>
      <c r="Y4" s="20">
        <f>IF($C$2=4,ROUND((((S4*U4)/100)/2),2),0)</f>
        <v>0</v>
      </c>
      <c r="Z4" s="20">
        <v>4</v>
      </c>
      <c r="AA4" s="20">
        <f>IF($C2=3,0,(S4*Z4)/100)</f>
        <v>24.9088</v>
      </c>
      <c r="AB4" s="20">
        <f t="shared" ref="AB4:AB6" si="9">V4+W4+X4+Y4+AA4</f>
        <v>136.9888</v>
      </c>
      <c r="AC4" s="20">
        <f>IF($V2=1,S4+AB4,S4)</f>
        <v>759.7088</v>
      </c>
      <c r="AD4" s="20">
        <v>120</v>
      </c>
      <c r="AE4" s="20">
        <f>IF($P$2=1,(S4/$S$7)*$E$18,AD4/$AD$7*$E$18)</f>
        <v>0</v>
      </c>
      <c r="AF4" s="20"/>
      <c r="AG4" s="20">
        <f>IF($P$2=1,(S4/$S$7)*$E$20,AD4/$AD$7*$E$20)</f>
        <v>0</v>
      </c>
      <c r="AH4" s="20">
        <f>IF($P$2=1,(S4/$S$7)*$E$20,AD4/$AD$7*$E$20)</f>
        <v>0</v>
      </c>
      <c r="AI4" s="20">
        <f>S4*$M$2</f>
        <v>622.72</v>
      </c>
      <c r="AJ4" s="20">
        <f>IF($C$2=3,0,AG4+AH4)</f>
        <v>0</v>
      </c>
      <c r="AK4" s="20">
        <f>IF($C$2=3,AE4+AG4+AH4,0)</f>
        <v>0</v>
      </c>
      <c r="AL4" s="20">
        <v>1</v>
      </c>
      <c r="AM4" s="20">
        <f t="shared" ref="AM4:AM6" si="10">F4/AL4</f>
        <v>5</v>
      </c>
      <c r="AN4" s="20">
        <f t="shared" ref="AN4" si="11">AI4/AM4</f>
        <v>124.544</v>
      </c>
      <c r="AO4" s="20">
        <f t="shared" ref="AO4:AO6" si="12">AJ4/AM4</f>
        <v>0</v>
      </c>
      <c r="AP4" s="20">
        <f t="shared" ref="AP4:AP6" si="13">AK4/AM4</f>
        <v>0</v>
      </c>
      <c r="AQ4" s="20" t="s">
        <v>76</v>
      </c>
      <c r="AR4" s="5">
        <f t="shared" ref="AR4:AR6" si="14">ROUND(AN4+AO4+AP4,5)</f>
        <v>124.544</v>
      </c>
      <c r="AS4" s="5" t="s">
        <v>149</v>
      </c>
      <c r="AT4" s="25" t="s">
        <v>76</v>
      </c>
      <c r="AU4" s="5" t="s">
        <v>150</v>
      </c>
      <c r="AV4" s="5" t="s">
        <v>151</v>
      </c>
      <c r="AW4" s="25">
        <f t="shared" ref="AW4:AW6" si="15">AM4</f>
        <v>5</v>
      </c>
      <c r="AX4" s="25">
        <f t="shared" ref="AX4:AX6" si="16">AR4</f>
        <v>124.544</v>
      </c>
      <c r="AY4" s="25">
        <f t="shared" ref="AY4:AY6" si="17">AU4+AW4</f>
        <v>14095</v>
      </c>
      <c r="AZ4" s="25">
        <f t="shared" ref="AZ4" si="18">ROUND(((AU4*AV4)+(AW4*AX4))/(AU4+AW4),5)</f>
        <v>121.22156</v>
      </c>
      <c r="BA4" s="27"/>
      <c r="BB4" s="27" t="s">
        <v>80</v>
      </c>
      <c r="BC4" s="120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5"/>
      <c r="BK4" s="5"/>
      <c r="BL4" s="25" t="s">
        <v>152</v>
      </c>
      <c r="BM4" s="5" t="s">
        <v>153</v>
      </c>
      <c r="BN4" s="5" t="s">
        <v>154</v>
      </c>
      <c r="BO4" s="25">
        <f t="shared" ref="BO4:BO6" si="19">ROUND((((AW4*AZ4)+(BN4*BM4))/(AW4+BN4)),5)</f>
        <v>146.67549</v>
      </c>
      <c r="BP4" s="31">
        <f t="shared" ref="BP4" si="20">BN4+AW4</f>
        <v>696</v>
      </c>
      <c r="BQ4" s="32">
        <v>123562</v>
      </c>
    </row>
    <row r="5" ht="15.75" spans="1:69">
      <c r="A5" s="19">
        <v>1</v>
      </c>
      <c r="B5" s="19" t="s">
        <v>155</v>
      </c>
      <c r="C5" s="19" t="s">
        <v>155</v>
      </c>
      <c r="D5" s="19" t="s">
        <v>76</v>
      </c>
      <c r="E5" s="19" t="s">
        <v>76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IF(OR(PoToMRVWOIp!$C$2=1,PoToMRVWOIp!$C$2=4),ROUND((((S5*U5)/100)/2),2),0)</f>
        <v>0</v>
      </c>
      <c r="W5" s="20">
        <f>IF(PoToMRVWOIp!$C$2=1,ROUND((((S5*U5)/100)/2),2),0)</f>
        <v>0</v>
      </c>
      <c r="X5" s="20">
        <f>IF(PoToMRVWOIp!$C$2=2,ROUND(((S5*U5)/100),2),0)</f>
        <v>59.12</v>
      </c>
      <c r="Y5" s="20">
        <f>IF(PoToMRVWOIp!$C$2=4,ROUND((((S5*U5)/100)/2),2),0)</f>
        <v>0</v>
      </c>
      <c r="Z5" s="20">
        <v>0</v>
      </c>
      <c r="AA5" s="20">
        <f>IF(PoToMRVWOIp!$C3=3,0,(S5*Z5)/100)</f>
        <v>0</v>
      </c>
      <c r="AB5" s="20">
        <f t="shared" si="9"/>
        <v>59.12</v>
      </c>
      <c r="AC5" s="20">
        <f>IF(PoToMRVWOIp!$V3=1,S5+AB5,S5)</f>
        <v>328.47</v>
      </c>
      <c r="AD5" s="22">
        <v>120</v>
      </c>
      <c r="AE5" s="22">
        <f>IF(PoToMRVWOIp!$P$2=1,(S5/PoToMRVWOIp!$S$7)*PoToMRVWOIp!$E$18,AD5/PoToMRVWOIp!$AD$7*PoToMRVWOIp!$E$18)</f>
        <v>0</v>
      </c>
      <c r="AF5" s="22"/>
      <c r="AG5" s="22">
        <f>IF(PoToMRVWOIp!$P$2=1,(S5/PoToMRVWOIp!$S$7)*PoToMRVWOIp!$E$20,AD5/PoToMRVWOIp!$AD$7*PoToMRVWOIp!$E$20)</f>
        <v>0</v>
      </c>
      <c r="AH5" s="22">
        <f>IF(PoToMRVWOIp!$P$2=1,(S5/PoToMRVWOIp!$S$7)*PoToMRVWOIp!$E$21,AD5/PoToMRVWOIp!$AD$7*PoToMRVWOIp!$E$21)</f>
        <v>0</v>
      </c>
      <c r="AI5" s="22">
        <f>S5*PoToMRVWOIp!$M$2</f>
        <v>328.47</v>
      </c>
      <c r="AJ5" s="22">
        <f>IF(PoToMRVWOIp!$C$2=3,0,AG5+AH5)</f>
        <v>0</v>
      </c>
      <c r="AK5" s="22">
        <f>IF(PoToMRVWOIp!$C$2=3,AE5+AG5+AH5,0)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2"/>
        <v>0</v>
      </c>
      <c r="AP5" s="22">
        <f t="shared" si="13"/>
        <v>0</v>
      </c>
      <c r="AQ5" s="22" t="s">
        <v>76</v>
      </c>
      <c r="AR5" s="22">
        <f t="shared" si="14"/>
        <v>82.1175</v>
      </c>
      <c r="AS5" s="24" t="s">
        <v>120</v>
      </c>
      <c r="AT5" s="25" t="s">
        <v>76</v>
      </c>
      <c r="AU5" t="s">
        <v>156</v>
      </c>
      <c r="AV5" t="s">
        <v>157</v>
      </c>
      <c r="AW5" s="25">
        <f t="shared" si="15"/>
        <v>4</v>
      </c>
      <c r="AX5" s="25">
        <f t="shared" si="16"/>
        <v>82.1175</v>
      </c>
      <c r="AY5" s="25">
        <f t="shared" si="17"/>
        <v>36</v>
      </c>
      <c r="AZ5" s="25">
        <f>ROUND(((AU5*AV5)+(AW5*AX5))/(AU5+AW5),3)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158</v>
      </c>
      <c r="BN5" t="s">
        <v>159</v>
      </c>
      <c r="BO5" s="25">
        <f t="shared" si="19"/>
        <v>85.696</v>
      </c>
      <c r="BP5" s="31">
        <f>ROUND(BN5+AW5,3)</f>
        <v>25</v>
      </c>
      <c r="BQ5" s="32">
        <v>123562</v>
      </c>
    </row>
    <row r="6" ht="15.75" spans="1:69">
      <c r="A6" s="19">
        <v>1</v>
      </c>
      <c r="B6" s="19" t="s">
        <v>160</v>
      </c>
      <c r="C6" s="19" t="s">
        <v>161</v>
      </c>
      <c r="D6" s="19" t="s">
        <v>76</v>
      </c>
      <c r="E6" s="19" t="s">
        <v>76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IF(OR(PoToMRVWOIp!$C$2=1,PoToMRVWOIp!$C$2=4),ROUND((((S6*U6)/100)/2),2),0)</f>
        <v>0</v>
      </c>
      <c r="W6" s="20">
        <f>IF(PoToMRVWOIp!$C$2=1,ROUND((((S6*U6)/100)/2),2),0)</f>
        <v>0</v>
      </c>
      <c r="X6" s="20">
        <f>IF(PoToMRVWOIp!$C$2=2,ROUND(((S6*U6)/100),2),0)</f>
        <v>77.94</v>
      </c>
      <c r="Y6" s="20">
        <f>IF(PoToMRVWOIp!$C$2=4,ROUND((((S6*U6)/100)/2),2),0)</f>
        <v>0</v>
      </c>
      <c r="Z6" s="20">
        <v>0</v>
      </c>
      <c r="AA6" s="20">
        <f>IF(PoToMRVWOIp!$C4=3,0,(S6*Z6)/100)</f>
        <v>0</v>
      </c>
      <c r="AB6" s="20">
        <f t="shared" si="9"/>
        <v>77.94</v>
      </c>
      <c r="AC6" s="20">
        <f>IF(PoToMRVWOIp!$V4=1,S6+AB6,S6)</f>
        <v>433.01</v>
      </c>
      <c r="AD6" s="22">
        <v>120</v>
      </c>
      <c r="AE6" s="22">
        <f>IF(PoToMRVWOIp!$P$2=1,(S6/PoToMRVWOIp!$S$7)*PoToMRVWOIp!$E$18,AD6/PoToMRVWOIp!$AD$7*PoToMRVWOIp!$E$18)</f>
        <v>0</v>
      </c>
      <c r="AF6" s="22"/>
      <c r="AG6" s="22">
        <f>IF(PoToMRVWOIp!$P$2=1,(S6/PoToMRVWOIp!$S$7)*PoToMRVWOIp!$E$20,AD6/PoToMRVWOIp!$AD$7*PoToMRVWOIp!$E$20)</f>
        <v>0</v>
      </c>
      <c r="AH6" s="22">
        <f>IF(PoToMRVWOIp!$P$2=1,(S6/PoToMRVWOIp!$S$7)*PoToMRVWOIp!$E$21,AD6/PoToMRVWOIp!$AD$7*PoToMRVWOIp!$E$21)</f>
        <v>0</v>
      </c>
      <c r="AI6" s="22">
        <f>S6*PoToMRVWOIp!$M$2</f>
        <v>433.01</v>
      </c>
      <c r="AJ6" s="22">
        <f>IF(PoToMRVWOIp!$C$2=3,0,AG6+AH6)</f>
        <v>0</v>
      </c>
      <c r="AK6" s="22">
        <f>IF(PoToMRVWOIp!$C$2=3,AE6+AG6+AH6,0)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2"/>
        <v>0</v>
      </c>
      <c r="AP6" s="22">
        <f t="shared" si="13"/>
        <v>0</v>
      </c>
      <c r="AQ6" s="22" t="s">
        <v>76</v>
      </c>
      <c r="AR6" s="22">
        <f t="shared" si="14"/>
        <v>43.301</v>
      </c>
      <c r="AS6" s="24" t="s">
        <v>120</v>
      </c>
      <c r="AT6" s="25" t="s">
        <v>76</v>
      </c>
      <c r="AU6" t="s">
        <v>162</v>
      </c>
      <c r="AV6" t="s">
        <v>163</v>
      </c>
      <c r="AW6" s="25">
        <f t="shared" si="15"/>
        <v>10</v>
      </c>
      <c r="AX6" s="25">
        <f t="shared" si="16"/>
        <v>43.301</v>
      </c>
      <c r="AY6" s="25">
        <f t="shared" si="17"/>
        <v>130</v>
      </c>
      <c r="AZ6" s="25">
        <f>ROUND(((AU6*AV6)+(AW6*AX6))/(AU6+AW6),3)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164</v>
      </c>
      <c r="BM6" t="s">
        <v>85</v>
      </c>
      <c r="BN6" t="s">
        <v>85</v>
      </c>
      <c r="BO6" s="25">
        <f t="shared" si="19"/>
        <v>43.3</v>
      </c>
      <c r="BP6" s="31">
        <f>ROUND(BN6+AW6,3)</f>
        <v>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SUM(H4:H6)</f>
        <v>1650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21">SUM(R4:R4)</f>
        <v>127.28</v>
      </c>
      <c r="S7" s="37">
        <f t="shared" si="21"/>
        <v>622.72</v>
      </c>
      <c r="T7" s="38"/>
      <c r="U7" s="38"/>
      <c r="V7" s="39">
        <f t="shared" si="21"/>
        <v>56.04</v>
      </c>
      <c r="W7" s="39">
        <f t="shared" si="21"/>
        <v>56.04</v>
      </c>
      <c r="X7" s="39">
        <f t="shared" si="21"/>
        <v>0</v>
      </c>
      <c r="Y7" s="39"/>
      <c r="Z7" s="39"/>
      <c r="AA7" s="39"/>
      <c r="AB7" s="38">
        <f t="shared" ref="AB7:AE7" si="22">SUM(AB4:AB4)</f>
        <v>136.9888</v>
      </c>
      <c r="AC7" s="40">
        <f t="shared" si="22"/>
        <v>759.7088</v>
      </c>
      <c r="AD7" s="41">
        <f t="shared" si="22"/>
        <v>120</v>
      </c>
      <c r="AE7" s="41">
        <f t="shared" si="22"/>
        <v>0</v>
      </c>
      <c r="AF7" s="40"/>
      <c r="AG7" s="41">
        <f t="shared" ref="AG7:AK7" si="23">SUM(AG4:AG4)</f>
        <v>0</v>
      </c>
      <c r="AH7" s="41">
        <f t="shared" si="23"/>
        <v>0</v>
      </c>
      <c r="AI7" s="41">
        <f t="shared" si="23"/>
        <v>622.72</v>
      </c>
      <c r="AJ7" s="41">
        <f t="shared" si="23"/>
        <v>0</v>
      </c>
      <c r="AK7" s="41">
        <f t="shared" si="23"/>
        <v>0</v>
      </c>
      <c r="AL7" s="40"/>
      <c r="AM7" s="40"/>
      <c r="AN7" s="40"/>
      <c r="AO7" s="40"/>
      <c r="AP7" s="40"/>
      <c r="AQ7" s="40"/>
      <c r="AR7" s="40"/>
      <c r="AS7" s="4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</row>
  </sheetData>
  <mergeCells count="1">
    <mergeCell ref="A2:B2"/>
  </mergeCells>
  <hyperlinks>
    <hyperlink ref="BL5" r:id="rId1" display="RM WH-49" tooltip="https://webappqc.roadmaperp.com:8765/ords/r/rmqc27/scm-us9011/warehouse1?p367019101_rowid=AAATkUAAHAADnlgAAE&amp;p367019101_store_id=RM WH-49-4&amp;session=1523407412914"/>
    <hyperlink ref="BL6" r:id="rId1" display="RM WH-49-4" tooltip="https://webappqc.roadmaperp.com:8765/ords/r/rmqc27/scm-us9011/warehouse1?p367019101_rowid=AAATkUAAHAADnlgAAE&amp;p367019101_store_id=RM WH-49-4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AC16" sqref="AC16"/>
    </sheetView>
  </sheetViews>
  <sheetFormatPr defaultColWidth="8.84761904761905" defaultRowHeight="15"/>
  <cols>
    <col min="2" max="2" width="28" customWidth="1"/>
    <col min="3" max="3" width="25.5714285714286" customWidth="1"/>
    <col min="64" max="64" width="11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165</v>
      </c>
      <c r="C4" s="19" t="s">
        <v>165</v>
      </c>
      <c r="D4" s="19" t="s">
        <v>76</v>
      </c>
      <c r="E4" s="19" t="s">
        <v>76</v>
      </c>
      <c r="F4" s="20">
        <v>5</v>
      </c>
      <c r="G4" s="20">
        <v>150</v>
      </c>
      <c r="H4" s="20">
        <f>F4*G4</f>
        <v>750</v>
      </c>
      <c r="I4" s="20">
        <v>5</v>
      </c>
      <c r="J4" s="20">
        <v>8</v>
      </c>
      <c r="K4" s="20">
        <v>5</v>
      </c>
      <c r="L4" s="20">
        <f>H4</f>
        <v>750</v>
      </c>
      <c r="M4" s="20">
        <f>ROUND(L4*I4%,2)</f>
        <v>37.5</v>
      </c>
      <c r="N4" s="20">
        <f>H4-M4</f>
        <v>712.5</v>
      </c>
      <c r="O4" s="20">
        <f>ROUND(N4*J4%,2)</f>
        <v>57</v>
      </c>
      <c r="P4" s="20">
        <f>ROUND(N4-O4,2)</f>
        <v>655.5</v>
      </c>
      <c r="Q4" s="20">
        <f>ROUND(P4*K4%,2)</f>
        <v>32.78</v>
      </c>
      <c r="R4" s="20">
        <f>M4+O4+Q4</f>
        <v>127.28</v>
      </c>
      <c r="S4" s="20">
        <f>(H4-R4)</f>
        <v>622.72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112.09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112.09</v>
      </c>
      <c r="AC4" s="21">
        <f>IF($V2=1,S4+AB4,S4)</f>
        <v>734.81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622.72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124.544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124.544</v>
      </c>
      <c r="AS4" s="24" t="s">
        <v>120</v>
      </c>
      <c r="AT4" s="25" t="s">
        <v>76</v>
      </c>
      <c r="AU4" t="s">
        <v>166</v>
      </c>
      <c r="AV4" t="s">
        <v>167</v>
      </c>
      <c r="AW4" s="25">
        <f>AM4</f>
        <v>5</v>
      </c>
      <c r="AX4" s="25">
        <f>AR4</f>
        <v>124.544</v>
      </c>
      <c r="AY4" s="25">
        <f>AU4+AW4</f>
        <v>115</v>
      </c>
      <c r="AZ4" s="25">
        <f>ROUND(((AU4*AV4)+(AW4*AX4))/(AU4+AW4),3)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167</v>
      </c>
      <c r="BN4" t="s">
        <v>78</v>
      </c>
      <c r="BO4" s="25">
        <f>ROUND((((AW4*AZ4)+(BN4*BM4))/(AW4+BN4)),5)</f>
        <v>124.545</v>
      </c>
      <c r="BP4" s="31">
        <f>ROUND(BN4+AW4,3)</f>
        <v>10</v>
      </c>
      <c r="BQ4" s="32">
        <v>123562</v>
      </c>
    </row>
    <row r="5" ht="15.75" spans="1:69">
      <c r="A5" s="19">
        <v>1</v>
      </c>
      <c r="B5" s="19" t="s">
        <v>168</v>
      </c>
      <c r="C5" s="19" t="s">
        <v>168</v>
      </c>
      <c r="D5" s="19" t="s">
        <v>76</v>
      </c>
      <c r="E5" s="19" t="s">
        <v>76</v>
      </c>
      <c r="F5" s="20">
        <v>4</v>
      </c>
      <c r="G5" s="20">
        <v>100</v>
      </c>
      <c r="H5" s="20">
        <f>F5*G5</f>
        <v>400</v>
      </c>
      <c r="I5" s="20">
        <v>4</v>
      </c>
      <c r="J5" s="20">
        <v>9</v>
      </c>
      <c r="K5" s="20">
        <v>6</v>
      </c>
      <c r="L5" s="20">
        <f>H5</f>
        <v>400</v>
      </c>
      <c r="M5" s="20">
        <f>ROUND(L5*I5%,2)</f>
        <v>16</v>
      </c>
      <c r="N5" s="20">
        <f>H5-M5</f>
        <v>384</v>
      </c>
      <c r="O5" s="20">
        <f>ROUND(N5*J5%,2)</f>
        <v>34.56</v>
      </c>
      <c r="P5" s="20">
        <f>ROUND(N5-O5,2)</f>
        <v>349.44</v>
      </c>
      <c r="Q5" s="20">
        <f>ROUND(P5*K5%,2)</f>
        <v>20.97</v>
      </c>
      <c r="R5" s="20">
        <f>M5+O5+Q5</f>
        <v>71.53</v>
      </c>
      <c r="S5" s="20">
        <f>(H5-R5)</f>
        <v>328.47</v>
      </c>
      <c r="T5" s="20">
        <v>88363222</v>
      </c>
      <c r="U5" s="20">
        <v>18</v>
      </c>
      <c r="V5" s="20">
        <f>IF(OR(PoToMRVWOIpSer!$C$2=1,PoToMRVWOIpSer!$C$2=4),ROUND((((S5*U5)/100)/2),2),0)</f>
        <v>0</v>
      </c>
      <c r="W5" s="20">
        <f>IF(PoToMRVWOIpSer!$C$2=1,ROUND((((S5*U5)/100)/2),2),0)</f>
        <v>0</v>
      </c>
      <c r="X5" s="20">
        <f>IF(PoToMRVWOIpSer!$C$2=2,ROUND(((S5*U5)/100),2),0)</f>
        <v>59.12</v>
      </c>
      <c r="Y5" s="20">
        <f>IF(PoToMRVWOIpSer!$C$2=4,ROUND((((S5*U5)/100)/2),2),0)</f>
        <v>0</v>
      </c>
      <c r="Z5" s="20">
        <v>0</v>
      </c>
      <c r="AA5" s="20">
        <f>IF(PoToMRVWOIpSer!$C3=3,0,(S5*Z5)/100)</f>
        <v>0</v>
      </c>
      <c r="AB5" s="20">
        <f>V5+W5+X5+Y5+AA5</f>
        <v>59.12</v>
      </c>
      <c r="AC5" s="20">
        <f>IF(PoToMRVWOIpSer!$V3=1,S5+AB5,S5)</f>
        <v>328.47</v>
      </c>
      <c r="AD5" s="22">
        <v>120</v>
      </c>
      <c r="AE5" s="22">
        <f>IF(PoToMRVWOIpSer!$P$2=1,(S5/PoToMRVWOIpSer!$S$7)*PoToMRVWOIpSer!$E$18,AD5/PoToMRVWOIpSer!$AD$7*PoToMRVWOIpSer!$E$18)</f>
        <v>0</v>
      </c>
      <c r="AF5" s="22"/>
      <c r="AG5" s="22">
        <f>IF(PoToMRVWOIpSer!$P$2=1,(S5/PoToMRVWOIpSer!$S$7)*PoToMRVWOIpSer!$E$20,AD5/PoToMRVWOIpSer!$AD$7*PoToMRVWOIpSer!$E$20)</f>
        <v>0</v>
      </c>
      <c r="AH5" s="22">
        <f>IF(PoToMRVWOIpSer!$P$2=1,(S5/PoToMRVWOIpSer!$S$7)*PoToMRVWOIpSer!$E$21,AD5/PoToMRVWOIpSer!$AD$7*PoToMRVWOIpSer!$E$21)</f>
        <v>0</v>
      </c>
      <c r="AI5" s="22">
        <f>S5*PoToMRVWOIpSer!$M$2</f>
        <v>328.47</v>
      </c>
      <c r="AJ5" s="22">
        <f>IF(PoToMRVWOIpSer!$C$2=3,0,AG5+AH5)</f>
        <v>0</v>
      </c>
      <c r="AK5" s="22">
        <f>IF(PoToMRVWOIpSer!$C$2=3,AE5+AG5+AH5,0)</f>
        <v>0</v>
      </c>
      <c r="AL5" s="23">
        <v>1</v>
      </c>
      <c r="AM5" s="22">
        <f>F5/AL5</f>
        <v>4</v>
      </c>
      <c r="AN5" s="22">
        <f>ROUND(AI5/AM5,5)</f>
        <v>82.1175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>
        <v>169</v>
      </c>
      <c r="AV5" t="s">
        <v>157</v>
      </c>
      <c r="AW5" s="25">
        <f>AM5</f>
        <v>4</v>
      </c>
      <c r="AX5" s="25">
        <f>AR5</f>
        <v>82.1175</v>
      </c>
      <c r="AY5" s="25">
        <f>AU5+AW5</f>
        <v>40</v>
      </c>
      <c r="AZ5" s="25">
        <f>ROUND(((AU5*AV5)+(AW5*AX5))/(AU5+AW5),3)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170</v>
      </c>
      <c r="BN5" t="s">
        <v>171</v>
      </c>
      <c r="BO5" s="25">
        <f>ROUND((((AW5*AZ5)+(BN5*BM5))/(AW5+BN5)),5)</f>
        <v>83.80679</v>
      </c>
      <c r="BP5" s="31">
        <f>ROUND(BN5+AW5,3)</f>
        <v>53</v>
      </c>
      <c r="BQ5" s="32">
        <v>123562</v>
      </c>
    </row>
    <row r="6" ht="15.75" spans="1:69">
      <c r="A6" s="19">
        <v>1</v>
      </c>
      <c r="B6" s="19" t="s">
        <v>172</v>
      </c>
      <c r="C6" s="19" t="s">
        <v>172</v>
      </c>
      <c r="D6" s="19" t="s">
        <v>76</v>
      </c>
      <c r="E6" s="19" t="s">
        <v>76</v>
      </c>
      <c r="F6" s="20">
        <v>10</v>
      </c>
      <c r="G6" s="20">
        <v>50</v>
      </c>
      <c r="H6" s="20">
        <f>F6*G6</f>
        <v>500</v>
      </c>
      <c r="I6" s="20">
        <v>3</v>
      </c>
      <c r="J6" s="20">
        <v>7</v>
      </c>
      <c r="K6" s="20">
        <v>4</v>
      </c>
      <c r="L6" s="20">
        <f>H6</f>
        <v>500</v>
      </c>
      <c r="M6" s="20">
        <f>ROUND(L6*I6%,2)</f>
        <v>15</v>
      </c>
      <c r="N6" s="20">
        <f>H6-M6</f>
        <v>485</v>
      </c>
      <c r="O6" s="20">
        <f>ROUND(N6*J6%,2)</f>
        <v>33.95</v>
      </c>
      <c r="P6" s="20">
        <f>ROUND(N6-O6,2)</f>
        <v>451.05</v>
      </c>
      <c r="Q6" s="20">
        <f>ROUND(P6*K6%,2)</f>
        <v>18.04</v>
      </c>
      <c r="R6" s="20">
        <f>M6+O6+Q6</f>
        <v>66.99</v>
      </c>
      <c r="S6" s="20">
        <f>(H6-R6)</f>
        <v>433.01</v>
      </c>
      <c r="T6" s="20">
        <v>88363222</v>
      </c>
      <c r="U6" s="20">
        <v>18</v>
      </c>
      <c r="V6" s="20">
        <f>IF(OR(PoToMRVWOIpSer!$C$2=1,PoToMRVWOIpSer!$C$2=4),ROUND((((S6*U6)/100)/2),2),0)</f>
        <v>0</v>
      </c>
      <c r="W6" s="20">
        <f>IF(PoToMRVWOIpSer!$C$2=1,ROUND((((S6*U6)/100)/2),2),0)</f>
        <v>0</v>
      </c>
      <c r="X6" s="20">
        <f>IF(PoToMRVWOIpSer!$C$2=2,ROUND(((S6*U6)/100),2),0)</f>
        <v>77.94</v>
      </c>
      <c r="Y6" s="20">
        <f>IF(PoToMRVWOIpSer!$C$2=4,ROUND((((S6*U6)/100)/2),2),0)</f>
        <v>0</v>
      </c>
      <c r="Z6" s="20">
        <v>0</v>
      </c>
      <c r="AA6" s="20">
        <f>IF(PoToMRVWOIpSer!$C4=3,0,(S6*Z6)/100)</f>
        <v>0</v>
      </c>
      <c r="AB6" s="20">
        <f>V6+W6+X6+Y6+AA6</f>
        <v>77.94</v>
      </c>
      <c r="AC6" s="20">
        <f>IF(PoToMRVWOIpSer!$V4=1,S6+AB6,S6)</f>
        <v>433.01</v>
      </c>
      <c r="AD6" s="22">
        <v>120</v>
      </c>
      <c r="AE6" s="22">
        <f>IF(PoToMRVWOIpSer!$P$2=1,(S6/PoToMRVWOIpSer!$S$7)*PoToMRVWOIpSer!$E$18,AD6/PoToMRVWOIpSer!$AD$7*PoToMRVWOIpSer!$E$18)</f>
        <v>0</v>
      </c>
      <c r="AF6" s="22"/>
      <c r="AG6" s="22">
        <f>IF(PoToMRVWOIpSer!$P$2=1,(S6/PoToMRVWOIpSer!$S$7)*PoToMRVWOIpSer!$E$20,AD6/PoToMRVWOIpSer!$AD$7*PoToMRVWOIpSer!$E$20)</f>
        <v>0</v>
      </c>
      <c r="AH6" s="22">
        <f>IF(PoToMRVWOIpSer!$P$2=1,(S6/PoToMRVWOIpSer!$S$7)*PoToMRVWOIpSer!$E$21,AD6/PoToMRVWOIpSer!$AD$7*PoToMRVWOIpSer!$E$21)</f>
        <v>0</v>
      </c>
      <c r="AI6" s="22">
        <f>S6*PoToMRVWOIpSer!$M$2</f>
        <v>433.01</v>
      </c>
      <c r="AJ6" s="22">
        <f>IF(PoToMRVWOIpSer!$C$2=3,0,AG6+AH6)</f>
        <v>0</v>
      </c>
      <c r="AK6" s="22">
        <f>IF(PoToMRVWOIpSer!$C$2=3,AE6+AG6+AH6,0)</f>
        <v>0</v>
      </c>
      <c r="AL6" s="23">
        <v>1</v>
      </c>
      <c r="AM6" s="22">
        <f>F6/AL6</f>
        <v>10</v>
      </c>
      <c r="AN6" s="22">
        <f>ROUND(AI6/AM6,5)</f>
        <v>43.301</v>
      </c>
      <c r="AO6" s="22">
        <f>AJ6/AM6</f>
        <v>0</v>
      </c>
      <c r="AP6" s="22">
        <f>AK6/AM6</f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>
        <v>173</v>
      </c>
      <c r="AV6" t="s">
        <v>163</v>
      </c>
      <c r="AW6" s="25">
        <f>AM6</f>
        <v>10</v>
      </c>
      <c r="AX6" s="25">
        <f>AR6</f>
        <v>43.301</v>
      </c>
      <c r="AY6" s="25">
        <f>AU6+AW6</f>
        <v>230</v>
      </c>
      <c r="AZ6" s="25">
        <f>ROUND(((AU6*AV6)+(AW6*AX6))/(AU6+AW6),3)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>
        <v>163</v>
      </c>
      <c r="BN6" t="s">
        <v>174</v>
      </c>
      <c r="BO6" s="25">
        <f>ROUND((((AW6*AZ6)+(BN6*BM6))/(AW6+BN6)),5)</f>
        <v>43.3</v>
      </c>
      <c r="BP6" s="31">
        <f>ROUND(BN6+AW6,3)</f>
        <v>20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750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0">SUM(R4:R4)</f>
        <v>127.28</v>
      </c>
      <c r="S7" s="37">
        <f t="shared" si="0"/>
        <v>622.72</v>
      </c>
      <c r="T7" s="38"/>
      <c r="U7" s="38"/>
      <c r="V7" s="39">
        <f t="shared" si="0"/>
        <v>0</v>
      </c>
      <c r="W7" s="39">
        <f t="shared" si="0"/>
        <v>0</v>
      </c>
      <c r="X7" s="39">
        <f t="shared" si="0"/>
        <v>112.09</v>
      </c>
      <c r="Y7" s="39"/>
      <c r="Z7" s="39"/>
      <c r="AA7" s="39"/>
      <c r="AB7" s="38">
        <f>SUM(AB4:AB4)</f>
        <v>112.09</v>
      </c>
      <c r="AC7" s="40">
        <f>SUM(AC4:AC4)</f>
        <v>734.81</v>
      </c>
      <c r="AD7" s="41">
        <f>SUM(AD4:AD4)</f>
        <v>120</v>
      </c>
      <c r="AE7" s="41">
        <f>SUM(AE4:AE4)</f>
        <v>0</v>
      </c>
      <c r="AF7" s="40"/>
      <c r="AG7" s="41">
        <f t="shared" ref="AG7:AK7" si="1">SUM(AG4:AG4)</f>
        <v>0</v>
      </c>
      <c r="AH7" s="41">
        <f>IF($P$2=1,(S7/$S$7)*$E$21,AD7/$AD$7*$E$21)</f>
        <v>0</v>
      </c>
      <c r="AI7" s="41">
        <f t="shared" si="1"/>
        <v>622.72</v>
      </c>
      <c r="AJ7" s="41">
        <f t="shared" si="1"/>
        <v>0</v>
      </c>
      <c r="AK7" s="41">
        <f t="shared" si="1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750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127.28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622.72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112.09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734.81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K10" sqref="K10"/>
    </sheetView>
  </sheetViews>
  <sheetFormatPr defaultColWidth="8.84761904761905" defaultRowHeight="15"/>
  <cols>
    <col min="2" max="2" width="28" customWidth="1"/>
    <col min="3" max="3" width="25.5714285714286" customWidth="1"/>
    <col min="64" max="64" width="11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165</v>
      </c>
      <c r="C4" s="19" t="s">
        <v>165</v>
      </c>
      <c r="D4" s="19" t="s">
        <v>76</v>
      </c>
      <c r="E4" s="19" t="s">
        <v>76</v>
      </c>
      <c r="F4" s="20">
        <v>5</v>
      </c>
      <c r="G4" s="20">
        <v>150</v>
      </c>
      <c r="H4" s="20">
        <f t="shared" ref="H4:H6" si="0">F4*G4</f>
        <v>750</v>
      </c>
      <c r="I4" s="20">
        <v>5</v>
      </c>
      <c r="J4" s="20">
        <v>8</v>
      </c>
      <c r="K4" s="20">
        <v>5</v>
      </c>
      <c r="L4" s="20">
        <f t="shared" ref="L4:L6" si="1">H4</f>
        <v>750</v>
      </c>
      <c r="M4" s="20">
        <f t="shared" ref="M4:M6" si="2">ROUND(L4*I4%,2)</f>
        <v>37.5</v>
      </c>
      <c r="N4" s="20">
        <f t="shared" ref="N4:N6" si="3">H4-M4</f>
        <v>712.5</v>
      </c>
      <c r="O4" s="20">
        <f t="shared" ref="O4:O6" si="4">ROUND(N4*J4%,2)</f>
        <v>57</v>
      </c>
      <c r="P4" s="20">
        <f t="shared" ref="P4:P6" si="5">ROUND(N4-O4,2)</f>
        <v>655.5</v>
      </c>
      <c r="Q4" s="20">
        <f t="shared" ref="Q4:Q6" si="6">ROUND(P4*K4%,2)</f>
        <v>32.78</v>
      </c>
      <c r="R4" s="20">
        <f t="shared" ref="R4:R6" si="7">M4+O4+Q4</f>
        <v>127.28</v>
      </c>
      <c r="S4" s="20">
        <f t="shared" ref="S4:S6" si="8">(H4-R4)</f>
        <v>622.72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0</v>
      </c>
      <c r="AC4" s="21">
        <f>IF($V2=1,S4+AB4,S4)</f>
        <v>622.72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52931.2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5</v>
      </c>
      <c r="AN4" s="22">
        <f t="shared" ref="AN4:AN6" si="11">ROUND(AI4/AM4,5)</f>
        <v>10586.24</v>
      </c>
      <c r="AO4" s="22">
        <f t="shared" ref="AO4:AO6" si="12">AJ4/AM4</f>
        <v>0</v>
      </c>
      <c r="AP4" s="22">
        <f t="shared" ref="AP4:AP6" si="13">AK4/AM4</f>
        <v>0</v>
      </c>
      <c r="AQ4" s="22" t="s">
        <v>76</v>
      </c>
      <c r="AR4" s="22">
        <f t="shared" ref="AR4:AR6" si="14">ROUND(AN4+AO4+AP4,5)</f>
        <v>10586.24</v>
      </c>
      <c r="AS4" s="24" t="s">
        <v>120</v>
      </c>
      <c r="AT4" s="25" t="s">
        <v>76</v>
      </c>
      <c r="AU4" t="s">
        <v>166</v>
      </c>
      <c r="AV4" t="s">
        <v>167</v>
      </c>
      <c r="AW4" s="25">
        <f t="shared" ref="AW4:AW6" si="15">AM4</f>
        <v>5</v>
      </c>
      <c r="AX4" s="25">
        <f t="shared" ref="AX4:AX6" si="16">AR4</f>
        <v>10586.24</v>
      </c>
      <c r="AY4" s="25">
        <f t="shared" ref="AY4:AY6" si="17">AU4+AW4</f>
        <v>115</v>
      </c>
      <c r="AZ4" s="25">
        <f t="shared" ref="AZ4:AZ6" si="18">ROUND(((AU4*AV4)+(AW4*AX4))/(AU4+AW4),3)</f>
        <v>579.401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167</v>
      </c>
      <c r="BN4" t="s">
        <v>78</v>
      </c>
      <c r="BO4" s="25">
        <f t="shared" ref="BO4:BO6" si="19">ROUND((((AW4*AZ4)+(BN4*BM4))/(AW4+BN4)),5)</f>
        <v>351.973</v>
      </c>
      <c r="BP4" s="31">
        <f t="shared" ref="BP4:BP6" si="20">ROUND(BN4+AW4,3)</f>
        <v>10</v>
      </c>
      <c r="BQ4" s="32">
        <v>123562</v>
      </c>
    </row>
    <row r="5" ht="15.75" spans="1:69">
      <c r="A5" s="19">
        <v>1</v>
      </c>
      <c r="B5" s="19" t="s">
        <v>168</v>
      </c>
      <c r="C5" s="19" t="s">
        <v>168</v>
      </c>
      <c r="D5" s="19" t="s">
        <v>76</v>
      </c>
      <c r="E5" s="19" t="s">
        <v>76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IF(OR(PoToMRVWOIpSerImp!$C$2=1,PoToMRVWOIpSerImp!$C$2=4),ROUND((((S5*U5)/100)/2),2),0)</f>
        <v>0</v>
      </c>
      <c r="W5" s="20">
        <f>IF(PoToMRVWOIpSerImp!$C$2=1,ROUND((((S5*U5)/100)/2),2),0)</f>
        <v>0</v>
      </c>
      <c r="X5" s="20">
        <f>IF(PoToMRVWOIpSerImp!$C$2=2,ROUND(((S5*U5)/100),2),0)</f>
        <v>0</v>
      </c>
      <c r="Y5" s="20">
        <f>IF(PoToMRVWOIpSerImp!$C$2=4,ROUND((((S5*U5)/100)/2),2),0)</f>
        <v>0</v>
      </c>
      <c r="Z5" s="20">
        <v>0</v>
      </c>
      <c r="AA5" s="20">
        <f>IF(PoToMRVWOIpSerImp!$C3=3,0,(S5*Z5)/100)</f>
        <v>0</v>
      </c>
      <c r="AB5" s="20">
        <f t="shared" si="9"/>
        <v>0</v>
      </c>
      <c r="AC5" s="20">
        <f>IF(PoToMRVWOIpSerImp!$V3=1,S5+AB5,S5)</f>
        <v>328.47</v>
      </c>
      <c r="AD5" s="22">
        <v>120</v>
      </c>
      <c r="AE5" s="22">
        <f>IF(PoToMRVWOIpSerImp!$P$2=1,(S5/PoToMRVWOIpSerImp!$S$7)*PoToMRVWOIpSerImp!$E$18,AD5/PoToMRVWOIpSerImp!$AD$7*PoToMRVWOIpSerImp!$E$18)</f>
        <v>0</v>
      </c>
      <c r="AF5" s="22"/>
      <c r="AG5" s="22">
        <f>IF(PoToMRVWOIpSerImp!$P$2=1,(S5/PoToMRVWOIpSerImp!$S$7)*PoToMRVWOIpSerImp!$E$20,AD5/PoToMRVWOIpSerImp!$AD$7*PoToMRVWOIpSerImp!$E$20)</f>
        <v>0</v>
      </c>
      <c r="AH5" s="22">
        <f>IF(PoToMRVWOIpSerImp!$P$2=1,(S5/PoToMRVWOIpSerImp!$S$7)*PoToMRVWOIpSerImp!$E$21,AD5/PoToMRVWOIpSerImp!$AD$7*PoToMRVWOIpSerImp!$E$21)</f>
        <v>0</v>
      </c>
      <c r="AI5" s="22">
        <f>S5*PoToMRVWOIpSerImp!$M$2</f>
        <v>27919.95</v>
      </c>
      <c r="AJ5" s="22">
        <f>IF(PoToMRVWOIpSerImp!$C$2=3,0,AG5+AH5)</f>
        <v>0</v>
      </c>
      <c r="AK5" s="22">
        <f>IF(PoToMRVWOIpSerImp!$C$2=3,AE5+AG5+AH5,0)</f>
        <v>0</v>
      </c>
      <c r="AL5" s="23">
        <v>1</v>
      </c>
      <c r="AM5" s="22">
        <f t="shared" si="10"/>
        <v>4</v>
      </c>
      <c r="AN5" s="22">
        <f t="shared" si="11"/>
        <v>6979.9875</v>
      </c>
      <c r="AO5" s="22">
        <f t="shared" si="12"/>
        <v>0</v>
      </c>
      <c r="AP5" s="22">
        <f t="shared" si="13"/>
        <v>0</v>
      </c>
      <c r="AQ5" s="22" t="s">
        <v>76</v>
      </c>
      <c r="AR5" s="22">
        <f t="shared" si="14"/>
        <v>6979.9875</v>
      </c>
      <c r="AS5" s="24" t="s">
        <v>120</v>
      </c>
      <c r="AT5" s="25" t="s">
        <v>76</v>
      </c>
      <c r="AU5" t="s">
        <v>169</v>
      </c>
      <c r="AV5" t="s">
        <v>157</v>
      </c>
      <c r="AW5" s="25">
        <f t="shared" si="15"/>
        <v>4</v>
      </c>
      <c r="AX5" s="25">
        <f t="shared" si="16"/>
        <v>6979.9875</v>
      </c>
      <c r="AY5" s="25">
        <f t="shared" si="17"/>
        <v>40</v>
      </c>
      <c r="AZ5" s="25">
        <f t="shared" si="18"/>
        <v>771.907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170</v>
      </c>
      <c r="BN5" t="s">
        <v>171</v>
      </c>
      <c r="BO5" s="25">
        <f t="shared" si="19"/>
        <v>135.86619</v>
      </c>
      <c r="BP5" s="31">
        <f t="shared" si="20"/>
        <v>53</v>
      </c>
      <c r="BQ5" s="32">
        <v>123562</v>
      </c>
    </row>
    <row r="6" ht="15.75" spans="1:69">
      <c r="A6" s="19">
        <v>1</v>
      </c>
      <c r="B6" s="19" t="s">
        <v>172</v>
      </c>
      <c r="C6" s="19" t="s">
        <v>172</v>
      </c>
      <c r="D6" s="19" t="s">
        <v>76</v>
      </c>
      <c r="E6" s="19" t="s">
        <v>76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IF(OR(PoToMRVWOIpSerImp!$C$2=1,PoToMRVWOIpSerImp!$C$2=4),ROUND((((S6*U6)/100)/2),2),0)</f>
        <v>0</v>
      </c>
      <c r="W6" s="20">
        <f>IF(PoToMRVWOIpSerImp!$C$2=1,ROUND((((S6*U6)/100)/2),2),0)</f>
        <v>0</v>
      </c>
      <c r="X6" s="20">
        <f>IF(PoToMRVWOIpSerImp!$C$2=2,ROUND(((S6*U6)/100),2),0)</f>
        <v>0</v>
      </c>
      <c r="Y6" s="20">
        <f>IF(PoToMRVWOIpSerImp!$C$2=4,ROUND((((S6*U6)/100)/2),2),0)</f>
        <v>0</v>
      </c>
      <c r="Z6" s="20">
        <v>0</v>
      </c>
      <c r="AA6" s="20">
        <f>IF(PoToMRVWOIpSerImp!$C4=3,0,(S6*Z6)/100)</f>
        <v>0</v>
      </c>
      <c r="AB6" s="20">
        <f t="shared" si="9"/>
        <v>0</v>
      </c>
      <c r="AC6" s="20">
        <f>IF(PoToMRVWOIpSerImp!$V4=1,S6+AB6,S6)</f>
        <v>433.01</v>
      </c>
      <c r="AD6" s="22">
        <v>120</v>
      </c>
      <c r="AE6" s="22">
        <f>IF(PoToMRVWOIpSerImp!$P$2=1,(S6/PoToMRVWOIpSerImp!$S$7)*PoToMRVWOIpSerImp!$E$18,AD6/PoToMRVWOIpSerImp!$AD$7*PoToMRVWOIpSerImp!$E$18)</f>
        <v>0</v>
      </c>
      <c r="AF6" s="22"/>
      <c r="AG6" s="22">
        <f>IF(PoToMRVWOIpSerImp!$P$2=1,(S6/PoToMRVWOIpSerImp!$S$7)*PoToMRVWOIpSerImp!$E$20,AD6/PoToMRVWOIpSerImp!$AD$7*PoToMRVWOIpSerImp!$E$20)</f>
        <v>0</v>
      </c>
      <c r="AH6" s="22">
        <f>IF(PoToMRVWOIpSerImp!$P$2=1,(S6/PoToMRVWOIpSerImp!$S$7)*PoToMRVWOIpSerImp!$E$21,AD6/PoToMRVWOIpSerImp!$AD$7*PoToMRVWOIpSerImp!$E$21)</f>
        <v>0</v>
      </c>
      <c r="AI6" s="22">
        <f>S6*PoToMRVWOIpSerImp!$M$2</f>
        <v>36805.85</v>
      </c>
      <c r="AJ6" s="22">
        <f>IF(PoToMRVWOIpSerImp!$C$2=3,0,AG6+AH6)</f>
        <v>0</v>
      </c>
      <c r="AK6" s="22">
        <f>IF(PoToMRVWOIpSerImp!$C$2=3,AE6+AG6+AH6,0)</f>
        <v>0</v>
      </c>
      <c r="AL6" s="23">
        <v>1</v>
      </c>
      <c r="AM6" s="22">
        <f t="shared" si="10"/>
        <v>10</v>
      </c>
      <c r="AN6" s="22">
        <f t="shared" si="11"/>
        <v>3680.585</v>
      </c>
      <c r="AO6" s="22">
        <f t="shared" si="12"/>
        <v>0</v>
      </c>
      <c r="AP6" s="22">
        <f t="shared" si="13"/>
        <v>0</v>
      </c>
      <c r="AQ6" s="22" t="s">
        <v>76</v>
      </c>
      <c r="AR6" s="22">
        <f t="shared" si="14"/>
        <v>3680.585</v>
      </c>
      <c r="AS6" s="24" t="s">
        <v>120</v>
      </c>
      <c r="AT6" s="25" t="s">
        <v>76</v>
      </c>
      <c r="AU6" t="s">
        <v>173</v>
      </c>
      <c r="AV6" t="s">
        <v>163</v>
      </c>
      <c r="AW6" s="25">
        <f t="shared" si="15"/>
        <v>10</v>
      </c>
      <c r="AX6" s="25">
        <f t="shared" si="16"/>
        <v>3680.585</v>
      </c>
      <c r="AY6" s="25">
        <f t="shared" si="17"/>
        <v>230</v>
      </c>
      <c r="AZ6" s="25">
        <f t="shared" si="18"/>
        <v>201.443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>
        <v>163</v>
      </c>
      <c r="BN6" t="s">
        <v>174</v>
      </c>
      <c r="BO6" s="25">
        <f t="shared" si="19"/>
        <v>122.3715</v>
      </c>
      <c r="BP6" s="31">
        <f t="shared" si="20"/>
        <v>20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750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21">SUM(R4:R4)</f>
        <v>127.28</v>
      </c>
      <c r="S7" s="37">
        <f t="shared" si="21"/>
        <v>622.72</v>
      </c>
      <c r="T7" s="38"/>
      <c r="U7" s="38"/>
      <c r="V7" s="39">
        <f t="shared" si="21"/>
        <v>0</v>
      </c>
      <c r="W7" s="39">
        <f t="shared" si="21"/>
        <v>0</v>
      </c>
      <c r="X7" s="39">
        <f t="shared" si="21"/>
        <v>0</v>
      </c>
      <c r="Y7" s="39"/>
      <c r="Z7" s="39"/>
      <c r="AA7" s="39"/>
      <c r="AB7" s="38">
        <f t="shared" ref="AB7:AE7" si="22">SUM(AB4:AB4)</f>
        <v>0</v>
      </c>
      <c r="AC7" s="40">
        <f t="shared" si="22"/>
        <v>622.72</v>
      </c>
      <c r="AD7" s="41">
        <f t="shared" si="22"/>
        <v>120</v>
      </c>
      <c r="AE7" s="41">
        <f t="shared" si="22"/>
        <v>0</v>
      </c>
      <c r="AF7" s="40"/>
      <c r="AG7" s="41">
        <f t="shared" ref="AG7:AK7" si="23">SUM(AG4:AG4)</f>
        <v>0</v>
      </c>
      <c r="AH7" s="41">
        <f>IF($P$2=1,(S7/$S$7)*$E$21,AD7/$AD$7*$E$21)</f>
        <v>0</v>
      </c>
      <c r="AI7" s="41">
        <f t="shared" si="23"/>
        <v>52931.2</v>
      </c>
      <c r="AJ7" s="41">
        <f t="shared" si="23"/>
        <v>0</v>
      </c>
      <c r="AK7" s="41">
        <f t="shared" si="23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750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127.28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622.72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622.72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G15" sqref="G15"/>
    </sheetView>
  </sheetViews>
  <sheetFormatPr defaultColWidth="8.84761904761905" defaultRowHeight="15"/>
  <cols>
    <col min="2" max="2" width="28" customWidth="1"/>
    <col min="3" max="3" width="23.2857142857143" customWidth="1"/>
    <col min="20" max="20" width="9.71428571428571"/>
    <col min="49" max="49" width="12.847619047619"/>
    <col min="51" max="51" width="12.847619047619"/>
    <col min="52" max="52" width="10.7142857142857" customWidth="1"/>
    <col min="64" max="64" width="11" customWidth="1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147</v>
      </c>
      <c r="C4" s="19" t="s">
        <v>148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8</v>
      </c>
      <c r="K4" s="20">
        <v>5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114</v>
      </c>
      <c r="P4" s="20">
        <f>ROUND(N4-O4,2)</f>
        <v>1311</v>
      </c>
      <c r="Q4" s="20">
        <f>ROUND(P4*K4%,2)</f>
        <v>65.55</v>
      </c>
      <c r="R4" s="20">
        <f>M4+O4+Q4</f>
        <v>254.55</v>
      </c>
      <c r="S4" s="20">
        <f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</v>
      </c>
      <c r="AN4" s="23">
        <f>ROUND(AI4/AM4,3)</f>
        <v>124.545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>
        <v>175</v>
      </c>
      <c r="AV4" t="s">
        <v>176</v>
      </c>
      <c r="AW4" s="25">
        <f>AM4</f>
        <v>10</v>
      </c>
      <c r="AX4" s="26">
        <f>AR4</f>
        <v>124.545</v>
      </c>
      <c r="AY4" s="25">
        <f>AU4+AW4</f>
        <v>40</v>
      </c>
      <c r="AZ4" s="26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167</v>
      </c>
      <c r="BN4" t="s">
        <v>177</v>
      </c>
      <c r="BO4" s="25">
        <f>ROUND((((AW4*AZ4)+(BN4*BM4))/(AW4+BN4)),5)</f>
        <v>124.545</v>
      </c>
      <c r="BP4" s="31">
        <f>ROUND(BN4+AW4,3)</f>
        <v>200</v>
      </c>
      <c r="BQ4" s="32">
        <v>123562</v>
      </c>
    </row>
    <row r="5" ht="15.75" spans="1:69">
      <c r="A5" s="19">
        <v>1</v>
      </c>
      <c r="B5" s="19" t="s">
        <v>178</v>
      </c>
      <c r="C5" s="19" t="s">
        <v>155</v>
      </c>
      <c r="D5" s="19" t="s">
        <v>76</v>
      </c>
      <c r="E5" s="19" t="s">
        <v>76</v>
      </c>
      <c r="F5" s="20">
        <v>4</v>
      </c>
      <c r="G5" s="20">
        <v>100</v>
      </c>
      <c r="H5" s="20">
        <f>F5*G5</f>
        <v>400</v>
      </c>
      <c r="I5" s="20">
        <v>4</v>
      </c>
      <c r="J5" s="20">
        <v>9</v>
      </c>
      <c r="K5" s="20">
        <v>6</v>
      </c>
      <c r="L5" s="20">
        <f>H5</f>
        <v>400</v>
      </c>
      <c r="M5" s="20">
        <f>ROUND(L5*I5%,2)</f>
        <v>16</v>
      </c>
      <c r="N5" s="20">
        <f>H5-M5</f>
        <v>384</v>
      </c>
      <c r="O5" s="20">
        <f>ROUND(N5*J5%,2)</f>
        <v>34.56</v>
      </c>
      <c r="P5" s="20">
        <f>ROUND(N5-O5,2)</f>
        <v>349.44</v>
      </c>
      <c r="Q5" s="20">
        <f>ROUND(P5*K5%,2)</f>
        <v>20.97</v>
      </c>
      <c r="R5" s="20">
        <f>M5+O5+Q5</f>
        <v>71.53</v>
      </c>
      <c r="S5" s="20">
        <f>(H5-R5)</f>
        <v>328.47</v>
      </c>
      <c r="T5" s="20">
        <v>88363222</v>
      </c>
      <c r="U5" s="20">
        <v>18</v>
      </c>
      <c r="V5" s="20">
        <f>IF(OR(PoToMRVWOIp!$C$2=1,PoToMRVWOIp!$C$2=4),ROUND((((S5*U5)/100)/2),2),0)</f>
        <v>0</v>
      </c>
      <c r="W5" s="20">
        <f>IF(PoToMRVWOIp!$C$2=1,ROUND((((S5*U5)/100)/2),2),0)</f>
        <v>0</v>
      </c>
      <c r="X5" s="20">
        <f>IF(PoToMRVWOIp!$C$2=2,ROUND(((S5*U5)/100),2),0)</f>
        <v>59.12</v>
      </c>
      <c r="Y5" s="20">
        <f>IF(PoToMRVWOIp!$C$2=4,ROUND((((S5*U5)/100)/2),2),0)</f>
        <v>0</v>
      </c>
      <c r="Z5" s="20">
        <v>0</v>
      </c>
      <c r="AA5" s="20">
        <f>IF(PoToMRVWOIp!$C3=3,0,(S5*Z5)/100)</f>
        <v>0</v>
      </c>
      <c r="AB5" s="20">
        <f>V5+W5+X5+Y5+AA5</f>
        <v>59.12</v>
      </c>
      <c r="AC5" s="20">
        <f>IF(PoToMRVWOIp!$V3=1,S5+AB5,S5)</f>
        <v>328.47</v>
      </c>
      <c r="AD5" s="22">
        <v>120</v>
      </c>
      <c r="AE5" s="22">
        <f>IF(PoToMRVWOIp!$P$2=1,(S5/PoToMRVWOIp!$S$7)*PoToMRVWOIp!$E$18,AD5/PoToMRVWOIp!$AD$7*PoToMRVWOIp!$E$18)</f>
        <v>0</v>
      </c>
      <c r="AF5" s="22"/>
      <c r="AG5" s="22">
        <f>IF(PoToMRVWOIp!$P$2=1,(S5/PoToMRVWOIp!$S$7)*PoToMRVWOIp!$E$20,AD5/PoToMRVWOIp!$AD$7*PoToMRVWOIp!$E$20)</f>
        <v>0</v>
      </c>
      <c r="AH5" s="22">
        <f>IF(PoToMRVWOIp!$P$2=1,(S5/PoToMRVWOIp!$S$7)*PoToMRVWOIp!$E$21,AD5/PoToMRVWOIp!$AD$7*PoToMRVWOIp!$E$21)</f>
        <v>0</v>
      </c>
      <c r="AI5" s="22">
        <f>S5*PoToMRVWOIp!$M$2</f>
        <v>328.47</v>
      </c>
      <c r="AJ5" s="22">
        <f>IF(PoToMRVWOIp!$C$2=3,0,AG5+AH5)</f>
        <v>0</v>
      </c>
      <c r="AK5" s="22">
        <f>IF(PoToMRVWOIp!$C$2=3,AE5+AG5+AH5,0)</f>
        <v>0</v>
      </c>
      <c r="AL5" s="23">
        <v>1</v>
      </c>
      <c r="AM5" s="22">
        <f>F5/AL5</f>
        <v>4</v>
      </c>
      <c r="AN5" s="22">
        <f>ROUND(AI5/AM5,5)</f>
        <v>82.1175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>
        <v>179</v>
      </c>
      <c r="AV5" t="s">
        <v>180</v>
      </c>
      <c r="AW5" s="25">
        <f>AM5</f>
        <v>4</v>
      </c>
      <c r="AX5" s="25">
        <f>AR5</f>
        <v>82.1175</v>
      </c>
      <c r="AY5" s="25">
        <f>AU5+AW5</f>
        <v>52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157</v>
      </c>
      <c r="BN5" t="s">
        <v>181</v>
      </c>
      <c r="BO5" s="25">
        <f>ROUND((((AW5*AZ5)+(BN5*BM5))/(AW5+BN5)),5)</f>
        <v>82.12</v>
      </c>
      <c r="BP5" s="31">
        <f>ROUND(BN5+AW5,3)</f>
        <v>56</v>
      </c>
      <c r="BQ5" s="32">
        <v>123562</v>
      </c>
    </row>
    <row r="6" ht="15.75" spans="1:69">
      <c r="A6" s="19">
        <v>1</v>
      </c>
      <c r="B6" s="19" t="s">
        <v>160</v>
      </c>
      <c r="C6" s="19" t="s">
        <v>161</v>
      </c>
      <c r="D6" s="19" t="s">
        <v>76</v>
      </c>
      <c r="E6" s="19" t="s">
        <v>76</v>
      </c>
      <c r="F6" s="20">
        <v>10</v>
      </c>
      <c r="G6" s="20">
        <v>50</v>
      </c>
      <c r="H6" s="20">
        <f>F6*G6</f>
        <v>500</v>
      </c>
      <c r="I6" s="20">
        <v>3</v>
      </c>
      <c r="J6" s="20">
        <v>7</v>
      </c>
      <c r="K6" s="20">
        <v>4</v>
      </c>
      <c r="L6" s="20">
        <f>H6</f>
        <v>500</v>
      </c>
      <c r="M6" s="20">
        <f>ROUND(L6*I6%,2)</f>
        <v>15</v>
      </c>
      <c r="N6" s="20">
        <f>H6-M6</f>
        <v>485</v>
      </c>
      <c r="O6" s="20">
        <f>ROUND(N6*J6%,2)</f>
        <v>33.95</v>
      </c>
      <c r="P6" s="20">
        <f>ROUND(N6-O6,2)</f>
        <v>451.05</v>
      </c>
      <c r="Q6" s="20">
        <f>ROUND(P6*K6%,2)</f>
        <v>18.04</v>
      </c>
      <c r="R6" s="20">
        <f>M6+O6+Q6</f>
        <v>66.99</v>
      </c>
      <c r="S6" s="20">
        <f>(H6-R6)</f>
        <v>433.01</v>
      </c>
      <c r="T6" s="20">
        <v>88363222</v>
      </c>
      <c r="U6" s="20">
        <v>18</v>
      </c>
      <c r="V6" s="20">
        <f>IF(OR(PoToMRVWOIp!$C$2=1,PoToMRVWOIp!$C$2=4),ROUND((((S6*U6)/100)/2),2),0)</f>
        <v>0</v>
      </c>
      <c r="W6" s="20">
        <f>IF(PoToMRVWOIp!$C$2=1,ROUND((((S6*U6)/100)/2),2),0)</f>
        <v>0</v>
      </c>
      <c r="X6" s="20">
        <f>IF(PoToMRVWOIp!$C$2=2,ROUND(((S6*U6)/100),2),0)</f>
        <v>77.94</v>
      </c>
      <c r="Y6" s="20">
        <f>IF(PoToMRVWOIp!$C$2=4,ROUND((((S6*U6)/100)/2),2),0)</f>
        <v>0</v>
      </c>
      <c r="Z6" s="20">
        <v>0</v>
      </c>
      <c r="AA6" s="20">
        <f>IF(PoToMRVWOIp!$C4=3,0,(S6*Z6)/100)</f>
        <v>0</v>
      </c>
      <c r="AB6" s="20">
        <f>V6+W6+X6+Y6+AA6</f>
        <v>77.94</v>
      </c>
      <c r="AC6" s="20">
        <f>IF(PoToMRVWOIp!$V4=1,S6+AB6,S6)</f>
        <v>433.01</v>
      </c>
      <c r="AD6" s="22">
        <v>120</v>
      </c>
      <c r="AE6" s="22">
        <f>IF(PoToMRVWOIp!$P$2=1,(S6/PoToMRVWOIp!$S$7)*PoToMRVWOIp!$E$18,AD6/PoToMRVWOIp!$AD$7*PoToMRVWOIp!$E$18)</f>
        <v>0</v>
      </c>
      <c r="AF6" s="22"/>
      <c r="AG6" s="22">
        <f>IF(PoToMRVWOIp!$P$2=1,(S6/PoToMRVWOIp!$S$7)*PoToMRVWOIp!$E$20,AD6/PoToMRVWOIp!$AD$7*PoToMRVWOIp!$E$20)</f>
        <v>0</v>
      </c>
      <c r="AH6" s="22">
        <f>IF(PoToMRVWOIp!$P$2=1,(S6/PoToMRVWOIp!$S$7)*PoToMRVWOIp!$E$21,AD6/PoToMRVWOIp!$AD$7*PoToMRVWOIp!$E$21)</f>
        <v>0</v>
      </c>
      <c r="AI6" s="22">
        <f>S6*PoToMRVWOIp!$M$2</f>
        <v>433.01</v>
      </c>
      <c r="AJ6" s="22">
        <f>IF(PoToMRVWOIp!$C$2=3,0,AG6+AH6)</f>
        <v>0</v>
      </c>
      <c r="AK6" s="22">
        <f>IF(PoToMRVWOIp!$C$2=3,AE6+AG6+AH6,0)</f>
        <v>0</v>
      </c>
      <c r="AL6" s="23">
        <v>1</v>
      </c>
      <c r="AM6" s="22">
        <f>F6/AL6</f>
        <v>10</v>
      </c>
      <c r="AN6" s="22">
        <f>ROUND(AI6/AM6,5)</f>
        <v>43.301</v>
      </c>
      <c r="AO6" s="22">
        <f>AJ6/AM6</f>
        <v>0</v>
      </c>
      <c r="AP6" s="22">
        <f>AK6/AM6</f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>
        <v>182</v>
      </c>
      <c r="AV6" t="s">
        <v>183</v>
      </c>
      <c r="AW6" s="25">
        <f>AM6</f>
        <v>10</v>
      </c>
      <c r="AX6" s="25">
        <f>AR6</f>
        <v>43.301</v>
      </c>
      <c r="AY6" s="25">
        <f>AU6+AW6</f>
        <v>130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>
        <v>163</v>
      </c>
      <c r="BN6" t="s">
        <v>184</v>
      </c>
      <c r="BO6" s="25">
        <f>ROUND((((AW6*AZ6)+(BN6*BM6))/(AW6+BN6)),5)</f>
        <v>43.3</v>
      </c>
      <c r="BP6" s="31">
        <f>ROUND(BN6+AW6,3)</f>
        <v>140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0">SUM(R4:R4)</f>
        <v>254.55</v>
      </c>
      <c r="S7" s="37">
        <f t="shared" si="0"/>
        <v>1245.45</v>
      </c>
      <c r="T7" s="38"/>
      <c r="U7" s="38"/>
      <c r="V7" s="39">
        <f t="shared" si="0"/>
        <v>0</v>
      </c>
      <c r="W7" s="39">
        <f t="shared" si="0"/>
        <v>0</v>
      </c>
      <c r="X7" s="39">
        <f t="shared" si="0"/>
        <v>224.18</v>
      </c>
      <c r="Y7" s="39"/>
      <c r="Z7" s="39"/>
      <c r="AA7" s="39"/>
      <c r="AB7" s="38">
        <f>SUM(AB4:AB4)</f>
        <v>224.18</v>
      </c>
      <c r="AC7" s="40">
        <f>SUM(AC4:AC4)</f>
        <v>1469.63</v>
      </c>
      <c r="AD7" s="41">
        <f>SUM(AD4:AD4)</f>
        <v>120</v>
      </c>
      <c r="AE7" s="41">
        <f>SUM(AE4:AE4)</f>
        <v>0</v>
      </c>
      <c r="AF7" s="40"/>
      <c r="AG7" s="41">
        <f t="shared" ref="AG7:AK7" si="1">SUM(AG4:AG4)</f>
        <v>0</v>
      </c>
      <c r="AH7" s="41">
        <f>IF($P$2=1,(S7/$S$7)*$E$21,AD7/$AD$7*$E$21)</f>
        <v>0</v>
      </c>
      <c r="AI7" s="41">
        <f t="shared" si="1"/>
        <v>1245.45</v>
      </c>
      <c r="AJ7" s="41">
        <f t="shared" si="1"/>
        <v>0</v>
      </c>
      <c r="AK7" s="41">
        <f t="shared" si="1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8"/>
  <sheetViews>
    <sheetView workbookViewId="0">
      <selection activeCell="D10" sqref="D10"/>
    </sheetView>
  </sheetViews>
  <sheetFormatPr defaultColWidth="8.84761904761905" defaultRowHeight="15"/>
  <cols>
    <col min="2" max="2" width="28" customWidth="1"/>
    <col min="3" max="3" width="30.4285714285714" customWidth="1"/>
    <col min="19" max="19" width="9.42857142857143"/>
    <col min="20" max="20" width="9.71428571428571"/>
    <col min="29" max="29" width="9.42857142857143"/>
    <col min="52" max="52" width="10.7142857142857" customWidth="1"/>
    <col min="64" max="64" width="11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t="s">
        <v>185</v>
      </c>
      <c r="C4" t="s">
        <v>185</v>
      </c>
      <c r="D4" s="19" t="s">
        <v>76</v>
      </c>
      <c r="E4" s="19" t="s">
        <v>76</v>
      </c>
      <c r="F4" s="20">
        <v>5</v>
      </c>
      <c r="H4" s="20">
        <f>F4*G4</f>
        <v>750</v>
      </c>
      <c r="I4" s="20">
        <v>5</v>
      </c>
      <c r="J4" s="20">
        <v>0</v>
      </c>
      <c r="K4" s="20">
        <v>0</v>
      </c>
      <c r="L4" s="20">
        <f>H4</f>
        <v>750</v>
      </c>
      <c r="M4" s="20">
        <f>ROUND(L4*I4%,2)</f>
        <v>37.5</v>
      </c>
      <c r="N4" s="20">
        <f>H4-M4</f>
        <v>712.5</v>
      </c>
      <c r="O4" s="20">
        <f>ROUND(N4*J4%,2)</f>
        <v>0</v>
      </c>
      <c r="P4" s="20">
        <f>ROUND(N4-O4,2)</f>
        <v>712.5</v>
      </c>
      <c r="Q4" s="20">
        <f>ROUND(P4*K4%,2)</f>
        <v>0</v>
      </c>
      <c r="R4" s="20">
        <f>M4+O4+Q4</f>
        <v>37.5</v>
      </c>
      <c r="S4" s="20">
        <f>(H4-R4)</f>
        <v>712.5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128.25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128.25</v>
      </c>
      <c r="AC4" s="21">
        <f>IF($V2=1,S4+AB4,S4)</f>
        <v>712.5</v>
      </c>
      <c r="AD4" s="22">
        <v>120</v>
      </c>
      <c r="AE4" s="22">
        <f>IF($P$2=1,(S4/$S$5)*$E$16,AD4/$AD$5*$E$16)</f>
        <v>0</v>
      </c>
      <c r="AF4" s="22"/>
      <c r="AG4" s="22">
        <f>IF($P$2=1,(S4/$S$5)*$E$18,AD4/$AD$5*$E$18)</f>
        <v>0</v>
      </c>
      <c r="AH4" s="22">
        <f>IF($P$2=1,(S4/$S$5)*$E$19,AD4/$AD$5*$E$19)</f>
        <v>0</v>
      </c>
      <c r="AI4" s="22">
        <f>S4*$M$2</f>
        <v>712.5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3">
        <f>ROUND(AI4/AM4,3)</f>
        <v>142.5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142.5</v>
      </c>
      <c r="AS4" s="24" t="s">
        <v>120</v>
      </c>
      <c r="AT4" s="25" t="s">
        <v>76</v>
      </c>
      <c r="AW4" s="25">
        <f>AM4</f>
        <v>5</v>
      </c>
      <c r="AX4" s="26">
        <f>AR4</f>
        <v>142.5</v>
      </c>
      <c r="AY4" s="25">
        <f>AU4+AW4</f>
        <v>5</v>
      </c>
      <c r="AZ4" s="25">
        <f>ROUND(((AU4*AV4)+(AW4*AX4))/(AU4+AW4),5)</f>
        <v>142.5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85</v>
      </c>
      <c r="BN4" t="s">
        <v>85</v>
      </c>
      <c r="BO4" s="25">
        <f>ROUND((((AW4*AZ4)+(BN4*BM4))/(AW4+BN4)),5)</f>
        <v>142.5</v>
      </c>
      <c r="BP4" s="31">
        <f>ROUND(BN4+AW4,3)</f>
        <v>5</v>
      </c>
      <c r="BQ4" s="32">
        <v>123562</v>
      </c>
    </row>
    <row r="5" ht="15.75" spans="1:69">
      <c r="A5" s="4"/>
      <c r="B5" s="34"/>
      <c r="C5" s="34"/>
      <c r="D5" s="35" t="s">
        <v>89</v>
      </c>
      <c r="E5" s="35"/>
      <c r="F5" s="35"/>
      <c r="G5" s="36"/>
      <c r="H5" s="37">
        <f>SUM(H4:H4)</f>
        <v>750</v>
      </c>
      <c r="I5" s="19"/>
      <c r="J5" s="19"/>
      <c r="K5" s="19"/>
      <c r="L5" s="19"/>
      <c r="M5" s="19"/>
      <c r="N5" s="19"/>
      <c r="O5" s="19"/>
      <c r="P5" s="19"/>
      <c r="Q5" s="19"/>
      <c r="R5" s="38">
        <f t="shared" ref="R5:X5" si="0">SUM(R4:R4)</f>
        <v>37.5</v>
      </c>
      <c r="S5" s="37">
        <f t="shared" si="0"/>
        <v>712.5</v>
      </c>
      <c r="T5" s="38"/>
      <c r="U5" s="38"/>
      <c r="V5" s="39">
        <f t="shared" si="0"/>
        <v>0</v>
      </c>
      <c r="W5" s="39">
        <f t="shared" si="0"/>
        <v>0</v>
      </c>
      <c r="X5" s="39">
        <f t="shared" si="0"/>
        <v>128.25</v>
      </c>
      <c r="Y5" s="39"/>
      <c r="Z5" s="39"/>
      <c r="AA5" s="39"/>
      <c r="AB5" s="38">
        <f t="shared" ref="AB5:AE5" si="1">SUM(AB4:AB4)</f>
        <v>128.25</v>
      </c>
      <c r="AC5" s="40">
        <f t="shared" si="1"/>
        <v>712.5</v>
      </c>
      <c r="AD5" s="41">
        <f t="shared" si="1"/>
        <v>120</v>
      </c>
      <c r="AE5" s="41">
        <f t="shared" si="1"/>
        <v>0</v>
      </c>
      <c r="AF5" s="40"/>
      <c r="AG5" s="41">
        <f t="shared" ref="AG5:AK5" si="2">SUM(AG4:AG4)</f>
        <v>0</v>
      </c>
      <c r="AH5" s="41">
        <f>IF($P$2=1,(S5/$S$5)*$E$19,AD5/$AD$5*$E$19)</f>
        <v>0</v>
      </c>
      <c r="AI5" s="41">
        <f t="shared" si="2"/>
        <v>712.5</v>
      </c>
      <c r="AJ5" s="41">
        <f t="shared" si="2"/>
        <v>0</v>
      </c>
      <c r="AK5" s="41">
        <f t="shared" si="2"/>
        <v>0</v>
      </c>
      <c r="AL5" s="40"/>
      <c r="AM5" s="40"/>
      <c r="AN5" s="40"/>
      <c r="AO5" s="40"/>
      <c r="AP5" s="40"/>
      <c r="AQ5" s="40"/>
      <c r="AR5" s="40"/>
      <c r="AS5" s="4"/>
      <c r="AT5" s="4"/>
      <c r="AU5" s="5"/>
      <c r="AV5" s="5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5"/>
      <c r="BQ5" s="5"/>
    </row>
    <row r="6" ht="15.75" spans="1:69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2" t="s">
        <v>90</v>
      </c>
      <c r="H7" s="43"/>
      <c r="I7" s="44">
        <f>H5</f>
        <v>750</v>
      </c>
      <c r="J7" s="44"/>
      <c r="K7" s="4"/>
      <c r="L7" s="4"/>
      <c r="M7" s="45" t="s">
        <v>91</v>
      </c>
      <c r="N7" s="46"/>
      <c r="O7" s="46"/>
      <c r="P7" s="47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 t="s">
        <v>92</v>
      </c>
      <c r="BI7" s="121" t="s">
        <v>93</v>
      </c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94</v>
      </c>
      <c r="H8" s="43"/>
      <c r="I8" s="44">
        <f>R5</f>
        <v>37.5</v>
      </c>
      <c r="J8" s="44"/>
      <c r="K8" s="4"/>
      <c r="L8" s="4"/>
      <c r="M8" s="48">
        <v>1</v>
      </c>
      <c r="N8" s="48" t="s">
        <v>76</v>
      </c>
      <c r="O8" s="48">
        <v>2</v>
      </c>
      <c r="P8" s="48" t="s">
        <v>95</v>
      </c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96</v>
      </c>
      <c r="BI8" s="121" t="s">
        <v>97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98</v>
      </c>
      <c r="H9" s="43"/>
      <c r="I9" s="44">
        <f>S5</f>
        <v>712.5</v>
      </c>
      <c r="J9" s="44"/>
      <c r="K9" s="4"/>
      <c r="L9" s="4"/>
      <c r="M9" s="19">
        <v>1</v>
      </c>
      <c r="N9" s="19" t="s">
        <v>76</v>
      </c>
      <c r="O9" s="19">
        <v>2.5</v>
      </c>
      <c r="P9" s="19" t="s">
        <v>99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100</v>
      </c>
      <c r="H10" s="43"/>
      <c r="I10" s="44">
        <f>AB5</f>
        <v>128.25</v>
      </c>
      <c r="J10" s="44"/>
      <c r="K10" s="4"/>
      <c r="L10" s="4"/>
      <c r="M10" s="19">
        <v>1</v>
      </c>
      <c r="N10" s="19" t="s">
        <v>95</v>
      </c>
      <c r="O10" s="19">
        <v>0.001</v>
      </c>
      <c r="P10" s="19" t="s">
        <v>101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102</v>
      </c>
      <c r="H11" s="43"/>
      <c r="I11" s="49">
        <f>I9+I10</f>
        <v>840.75</v>
      </c>
      <c r="J11" s="49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spans="1:69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 t="s">
        <v>103</v>
      </c>
      <c r="BN12" s="4" t="s">
        <v>104</v>
      </c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 t="s">
        <v>105</v>
      </c>
      <c r="BL13" s="4">
        <v>12.5</v>
      </c>
      <c r="BM13" s="4">
        <f>BL15*BL16</f>
        <v>18277.77</v>
      </c>
      <c r="BN13" s="4">
        <f>BL13*BL14</f>
        <v>6092.59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106</v>
      </c>
      <c r="BL14" s="4">
        <v>487.4072</v>
      </c>
      <c r="BM14" s="4">
        <f>BL13+BL15</f>
        <v>50</v>
      </c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107</v>
      </c>
      <c r="BL15" s="4">
        <v>37.5</v>
      </c>
      <c r="BM15" s="4"/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108</v>
      </c>
      <c r="BL16" s="4">
        <v>487.4072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>
        <f>BM13+BN13</f>
        <v>24370.36</v>
      </c>
      <c r="BN17" s="4">
        <f>BM17/BM14</f>
        <v>487.4072</v>
      </c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5"/>
      <c r="BQ18" s="5"/>
    </row>
  </sheetData>
  <mergeCells count="12">
    <mergeCell ref="A2:B2"/>
    <mergeCell ref="G7:H7"/>
    <mergeCell ref="I7:J7"/>
    <mergeCell ref="M7:P7"/>
    <mergeCell ref="G8:H8"/>
    <mergeCell ref="I8:J8"/>
    <mergeCell ref="G9:H9"/>
    <mergeCell ref="I9:J9"/>
    <mergeCell ref="G10:H10"/>
    <mergeCell ref="I10:J10"/>
    <mergeCell ref="G11:H11"/>
    <mergeCell ref="I11:J11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P1" workbookViewId="0">
      <selection activeCell="AA2" sqref="AA2"/>
    </sheetView>
  </sheetViews>
  <sheetFormatPr defaultColWidth="8.84761904761905" defaultRowHeight="15"/>
  <cols>
    <col min="2" max="2" width="28" customWidth="1"/>
    <col min="3" max="3" width="30.4285714285714" customWidth="1"/>
    <col min="20" max="20" width="9.71428571428571"/>
    <col min="29" max="29" width="10.5714285714286"/>
    <col min="35" max="35" width="10"/>
    <col min="49" max="49" width="12.847619047619"/>
    <col min="51" max="51" width="12.847619047619"/>
    <col min="52" max="52" width="10.7142857142857" customWidth="1"/>
    <col min="64" max="64" width="11" customWidth="1"/>
    <col min="65" max="66" width="9.71428571428571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186</v>
      </c>
      <c r="C4" s="19" t="s">
        <v>186</v>
      </c>
      <c r="D4" s="19" t="s">
        <v>76</v>
      </c>
      <c r="E4" s="19" t="s">
        <v>76</v>
      </c>
      <c r="F4" s="20">
        <v>10</v>
      </c>
      <c r="G4" s="20">
        <v>150</v>
      </c>
      <c r="H4" s="20">
        <f t="shared" ref="H4:H6" si="0">F4*G4</f>
        <v>1500</v>
      </c>
      <c r="I4" s="20">
        <v>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>
        <v>85</v>
      </c>
      <c r="AV4" t="s">
        <v>167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10</v>
      </c>
      <c r="AZ4" s="25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187</v>
      </c>
      <c r="BN4" t="s">
        <v>188</v>
      </c>
      <c r="BO4" s="25">
        <f t="shared" ref="BO4:BO6" si="16">ROUND((((AW4*AZ4)+(BN4*BM4))/(AW4+BN4)),5)</f>
        <v>4053.63558</v>
      </c>
      <c r="BP4" s="31">
        <f t="shared" ref="BP4:BP6" si="17">ROUND(BN4+AW4,3)</f>
        <v>40</v>
      </c>
      <c r="BQ4" s="32">
        <v>123562</v>
      </c>
    </row>
    <row r="5" ht="15.75" spans="1:69">
      <c r="A5" s="19">
        <v>1</v>
      </c>
      <c r="B5" s="19" t="s">
        <v>189</v>
      </c>
      <c r="C5" s="19" t="s">
        <v>189</v>
      </c>
      <c r="D5" s="19" t="s">
        <v>76</v>
      </c>
      <c r="E5" s="19" t="s">
        <v>76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59.12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9"/>
        <v>59.12</v>
      </c>
      <c r="AC5" s="20">
        <f>IF($V3=1,S5+AB5,S5)</f>
        <v>328.47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328.47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>
        <v>85</v>
      </c>
      <c r="AV5" t="s">
        <v>190</v>
      </c>
      <c r="AW5" s="25">
        <f t="shared" si="13"/>
        <v>4</v>
      </c>
      <c r="AX5" s="25">
        <f t="shared" si="14"/>
        <v>82.1175</v>
      </c>
      <c r="AY5" s="25">
        <f t="shared" si="15"/>
        <v>4</v>
      </c>
      <c r="AZ5" s="25">
        <f>ROUND(((AU5*AV5)+(AW5*AX5))/(AU5+AW5),5)</f>
        <v>82.1175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191</v>
      </c>
      <c r="BN5" t="s">
        <v>182</v>
      </c>
      <c r="BO5" s="25">
        <f t="shared" si="16"/>
        <v>82.11993</v>
      </c>
      <c r="BP5" s="31">
        <f t="shared" si="17"/>
        <v>16</v>
      </c>
      <c r="BQ5" s="32">
        <v>123562</v>
      </c>
    </row>
    <row r="6" ht="15.75" spans="1:69">
      <c r="A6" s="19">
        <v>1</v>
      </c>
      <c r="B6" s="19" t="s">
        <v>192</v>
      </c>
      <c r="C6" s="19" t="s">
        <v>192</v>
      </c>
      <c r="D6" s="19" t="s">
        <v>76</v>
      </c>
      <c r="E6" s="19" t="s">
        <v>76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77.94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9"/>
        <v>77.94</v>
      </c>
      <c r="AC6" s="20">
        <f>IF($V4=1,S6+AB6,S6)</f>
        <v>433.01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433.01</v>
      </c>
      <c r="AJ6" s="22">
        <f>IF($C$2=3,0,AG6+AH6)</f>
        <v>0</v>
      </c>
      <c r="AK6" s="22">
        <f>IF($C$2=3,AE6+AG6+AH6,0)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>
        <v>85</v>
      </c>
      <c r="AV6" t="s">
        <v>193</v>
      </c>
      <c r="AW6" s="25">
        <f t="shared" si="13"/>
        <v>10</v>
      </c>
      <c r="AX6" s="25">
        <f t="shared" si="14"/>
        <v>43.301</v>
      </c>
      <c r="AY6" s="25">
        <f t="shared" si="15"/>
        <v>10</v>
      </c>
      <c r="AZ6" s="25">
        <f>ROUND(((AU6*AV6)+(AW6*AX6))/(AU6+AW6),5)</f>
        <v>43.301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>
        <v>194</v>
      </c>
      <c r="BN6" t="s">
        <v>195</v>
      </c>
      <c r="BO6" s="25">
        <f t="shared" si="16"/>
        <v>43.30003</v>
      </c>
      <c r="BP6" s="31">
        <f t="shared" si="17"/>
        <v>40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1469.63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1"/>
  <sheetViews>
    <sheetView topLeftCell="AR1" workbookViewId="0">
      <selection activeCell="AT8" sqref="AT8"/>
    </sheetView>
  </sheetViews>
  <sheetFormatPr defaultColWidth="8.84761904761905" defaultRowHeight="15"/>
  <cols>
    <col min="2" max="2" width="28" customWidth="1"/>
    <col min="3" max="3" width="30.4285714285714" customWidth="1"/>
    <col min="18" max="18" width="9.28571428571429"/>
    <col min="19" max="19" width="10.5714285714286"/>
    <col min="20" max="20" width="10.7142857142857"/>
    <col min="28" max="28" width="9.28571428571429"/>
    <col min="29" max="29" width="10.5714285714286"/>
    <col min="35" max="35" width="10"/>
    <col min="40" max="40" width="9"/>
    <col min="44" max="44" width="9"/>
    <col min="48" max="48" width="11.7142857142857"/>
    <col min="49" max="49" width="12.847619047619"/>
    <col min="50" max="50" width="9.57142857142857"/>
    <col min="51" max="51" width="12.847619047619"/>
    <col min="52" max="52" width="10.7142857142857" customWidth="1"/>
    <col min="64" max="64" width="11" customWidth="1"/>
    <col min="65" max="65" width="11.7142857142857"/>
    <col min="66" max="66" width="9.71428571428571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147</v>
      </c>
      <c r="C4" s="19" t="s">
        <v>147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8</v>
      </c>
      <c r="K4" s="20">
        <v>5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114</v>
      </c>
      <c r="P4" s="20">
        <f>ROUND(N4-O4,2)</f>
        <v>1311</v>
      </c>
      <c r="Q4" s="20">
        <f>ROUND(P4*K4%,2)</f>
        <v>65.55</v>
      </c>
      <c r="R4" s="20">
        <f>M4+O4+Q4</f>
        <v>254.55</v>
      </c>
      <c r="S4" s="20">
        <f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224.18</v>
      </c>
      <c r="AC4" s="21">
        <f>IF($V2=1,S4+AB4,S4)</f>
        <v>1469.63</v>
      </c>
      <c r="AD4" s="22">
        <v>120</v>
      </c>
      <c r="AE4" s="22">
        <f>IF($P$2=1,(S4/$S$8)*$E$19,AD4/$AD$8*$E$19)</f>
        <v>0</v>
      </c>
      <c r="AF4" s="22"/>
      <c r="AG4" s="22">
        <f>IF($P$2=1,(S4/$S$8)*$E$21,AD4/$AD$8*$E$21)</f>
        <v>0</v>
      </c>
      <c r="AH4" s="22">
        <f>IF($P$2=1,(S4/$S$8)*$E$22,AD4/$AD$8*$E$22)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</v>
      </c>
      <c r="AN4" s="23">
        <f>ROUND(AI4/AM4,3)</f>
        <v>124.545</v>
      </c>
      <c r="AO4" s="22">
        <f>AJ4/AM4</f>
        <v>0</v>
      </c>
      <c r="AP4" s="22">
        <f>AK4/AM4</f>
        <v>0</v>
      </c>
      <c r="AQ4" s="22" t="s">
        <v>76</v>
      </c>
      <c r="AR4" s="23">
        <f>AN4+AO4+AP4</f>
        <v>124.545</v>
      </c>
      <c r="AS4" s="24" t="s">
        <v>120</v>
      </c>
      <c r="AT4" s="25" t="s">
        <v>76</v>
      </c>
      <c r="AU4" t="s">
        <v>196</v>
      </c>
      <c r="AV4" t="s">
        <v>197</v>
      </c>
      <c r="AW4" s="25">
        <f>AM4</f>
        <v>10</v>
      </c>
      <c r="AX4" s="26">
        <f>AR4</f>
        <v>124.545</v>
      </c>
      <c r="AY4" s="25">
        <f>AU4+AW4</f>
        <v>737</v>
      </c>
      <c r="AZ4" s="25">
        <f>ROUND(((AU4*AV4)+(AW4*AX4))/(AU4+AW4),5)</f>
        <v>3188.39321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198</v>
      </c>
      <c r="BN4" t="s">
        <v>199</v>
      </c>
      <c r="BO4" s="25">
        <f>ROUND((((AW4*AZ4)+(BN4*BM4))/(AW4+BN4)),5)</f>
        <v>2595.52877</v>
      </c>
      <c r="BP4" s="31">
        <f>ROUND(BN4+AW4,3)</f>
        <v>1093</v>
      </c>
      <c r="BQ4" s="32">
        <v>123562</v>
      </c>
    </row>
    <row r="5" ht="15.75" spans="1:69">
      <c r="A5" s="19"/>
      <c r="B5" s="19"/>
      <c r="C5" s="19"/>
      <c r="D5" s="19"/>
      <c r="E5" s="19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1"/>
      <c r="AD5" s="22"/>
      <c r="AE5" s="22"/>
      <c r="AF5" s="22"/>
      <c r="AG5" s="22"/>
      <c r="AH5" s="22"/>
      <c r="AI5" s="22"/>
      <c r="AJ5" s="22"/>
      <c r="AK5" s="22"/>
      <c r="AL5" s="23"/>
      <c r="AM5" s="22"/>
      <c r="AN5" s="23"/>
      <c r="AO5" s="22"/>
      <c r="AP5" s="22"/>
      <c r="AQ5" s="22"/>
      <c r="AR5" s="23"/>
      <c r="AS5" s="24"/>
      <c r="AT5" s="25"/>
      <c r="AW5" s="25"/>
      <c r="AX5" s="26"/>
      <c r="AY5" s="25"/>
      <c r="AZ5" s="25"/>
      <c r="BA5" s="27"/>
      <c r="BB5" s="27"/>
      <c r="BC5" s="28"/>
      <c r="BD5" s="29"/>
      <c r="BE5" s="29"/>
      <c r="BF5" s="27"/>
      <c r="BG5" s="27"/>
      <c r="BH5" s="27"/>
      <c r="BI5" s="25"/>
      <c r="BJ5" s="25"/>
      <c r="BK5" s="25"/>
      <c r="BL5" s="30"/>
      <c r="BO5" s="25"/>
      <c r="BP5" s="31"/>
      <c r="BQ5" s="32"/>
    </row>
    <row r="6" ht="61.5" spans="1:69">
      <c r="A6" s="9" t="s">
        <v>9</v>
      </c>
      <c r="B6" s="9" t="s">
        <v>10</v>
      </c>
      <c r="C6" s="9" t="s">
        <v>11</v>
      </c>
      <c r="D6" s="9" t="s">
        <v>12</v>
      </c>
      <c r="E6" s="9" t="s">
        <v>13</v>
      </c>
      <c r="F6" s="9" t="s">
        <v>14</v>
      </c>
      <c r="G6" s="9" t="s">
        <v>15</v>
      </c>
      <c r="H6" s="9" t="s">
        <v>16</v>
      </c>
      <c r="I6" s="10" t="s">
        <v>17</v>
      </c>
      <c r="J6" s="10" t="s">
        <v>18</v>
      </c>
      <c r="K6" s="10" t="s">
        <v>19</v>
      </c>
      <c r="L6" s="11" t="s">
        <v>20</v>
      </c>
      <c r="M6" s="11" t="s">
        <v>21</v>
      </c>
      <c r="N6" s="11" t="s">
        <v>22</v>
      </c>
      <c r="O6" s="11" t="s">
        <v>23</v>
      </c>
      <c r="P6" s="11" t="s">
        <v>24</v>
      </c>
      <c r="Q6" s="11" t="s">
        <v>25</v>
      </c>
      <c r="R6" s="10" t="s">
        <v>26</v>
      </c>
      <c r="S6" s="9" t="s">
        <v>27</v>
      </c>
      <c r="T6" s="9" t="s">
        <v>28</v>
      </c>
      <c r="U6" s="12" t="s">
        <v>29</v>
      </c>
      <c r="V6" s="12" t="s">
        <v>30</v>
      </c>
      <c r="W6" s="12" t="s">
        <v>31</v>
      </c>
      <c r="X6" s="12" t="s">
        <v>32</v>
      </c>
      <c r="Y6" s="13" t="s">
        <v>33</v>
      </c>
      <c r="Z6" s="13" t="s">
        <v>34</v>
      </c>
      <c r="AA6" s="13" t="s">
        <v>35</v>
      </c>
      <c r="AB6" s="13" t="s">
        <v>36</v>
      </c>
      <c r="AC6" s="14" t="s">
        <v>37</v>
      </c>
      <c r="AD6" s="14" t="s">
        <v>38</v>
      </c>
      <c r="AE6" s="14" t="s">
        <v>39</v>
      </c>
      <c r="AF6" s="14" t="s">
        <v>40</v>
      </c>
      <c r="AG6" s="14" t="s">
        <v>41</v>
      </c>
      <c r="AH6" s="14" t="s">
        <v>42</v>
      </c>
      <c r="AI6" s="14" t="s">
        <v>43</v>
      </c>
      <c r="AJ6" s="14" t="s">
        <v>44</v>
      </c>
      <c r="AK6" s="14" t="s">
        <v>45</v>
      </c>
      <c r="AL6" s="14" t="s">
        <v>46</v>
      </c>
      <c r="AM6" s="14" t="s">
        <v>47</v>
      </c>
      <c r="AN6" s="14" t="s">
        <v>48</v>
      </c>
      <c r="AO6" s="14" t="s">
        <v>49</v>
      </c>
      <c r="AP6" s="14" t="s">
        <v>50</v>
      </c>
      <c r="AQ6" s="14" t="s">
        <v>51</v>
      </c>
      <c r="AR6" s="15" t="s">
        <v>52</v>
      </c>
      <c r="AS6" s="16" t="s">
        <v>53</v>
      </c>
      <c r="AT6" s="16" t="s">
        <v>51</v>
      </c>
      <c r="AW6" s="17" t="s">
        <v>56</v>
      </c>
      <c r="AX6" s="17" t="s">
        <v>57</v>
      </c>
      <c r="AY6" s="17" t="s">
        <v>58</v>
      </c>
      <c r="AZ6" s="17" t="s">
        <v>59</v>
      </c>
      <c r="BA6" s="17" t="s">
        <v>60</v>
      </c>
      <c r="BB6" s="17" t="s">
        <v>61</v>
      </c>
      <c r="BC6" s="18" t="s">
        <v>62</v>
      </c>
      <c r="BD6" s="18" t="s">
        <v>63</v>
      </c>
      <c r="BE6" s="18" t="s">
        <v>64</v>
      </c>
      <c r="BF6" s="17" t="s">
        <v>65</v>
      </c>
      <c r="BG6" s="17" t="s">
        <v>66</v>
      </c>
      <c r="BH6" s="17" t="s">
        <v>67</v>
      </c>
      <c r="BI6" s="17" t="s">
        <v>68</v>
      </c>
      <c r="BJ6" s="17" t="s">
        <v>69</v>
      </c>
      <c r="BK6" s="17" t="s">
        <v>70</v>
      </c>
      <c r="BL6" s="17" t="s">
        <v>71</v>
      </c>
      <c r="BO6" s="17" t="s">
        <v>59</v>
      </c>
      <c r="BP6" s="17" t="s">
        <v>74</v>
      </c>
      <c r="BQ6" s="17" t="s">
        <v>28</v>
      </c>
    </row>
    <row r="7" ht="15.75" spans="1:69">
      <c r="A7" s="19">
        <v>1</v>
      </c>
      <c r="B7" s="19" t="s">
        <v>147</v>
      </c>
      <c r="C7" s="19" t="s">
        <v>147</v>
      </c>
      <c r="D7" s="19" t="s">
        <v>76</v>
      </c>
      <c r="E7" s="19" t="s">
        <v>76</v>
      </c>
      <c r="F7" s="20">
        <v>5</v>
      </c>
      <c r="G7" s="20">
        <v>150</v>
      </c>
      <c r="H7" s="20">
        <f>F7*G7</f>
        <v>750</v>
      </c>
      <c r="I7" s="20">
        <v>5</v>
      </c>
      <c r="J7" s="20">
        <v>8</v>
      </c>
      <c r="K7" s="20">
        <v>5</v>
      </c>
      <c r="L7" s="20">
        <f>H7</f>
        <v>750</v>
      </c>
      <c r="M7" s="20">
        <f>ROUND(L7*I7%,2)</f>
        <v>37.5</v>
      </c>
      <c r="N7" s="20">
        <f>H7-M7</f>
        <v>712.5</v>
      </c>
      <c r="O7" s="20">
        <f>ROUND(N7*J7%,2)</f>
        <v>57</v>
      </c>
      <c r="P7" s="20">
        <f>ROUND(N7-O7,2)</f>
        <v>655.5</v>
      </c>
      <c r="Q7" s="20">
        <f>ROUND(P7*K7%,2)</f>
        <v>32.78</v>
      </c>
      <c r="R7" s="20">
        <f>M7+O7+Q7</f>
        <v>127.28</v>
      </c>
      <c r="S7" s="20">
        <f>(H7-R7)</f>
        <v>622.72</v>
      </c>
      <c r="T7" s="20">
        <v>88363222</v>
      </c>
      <c r="U7" s="20">
        <v>18</v>
      </c>
      <c r="V7" s="20">
        <f>IF(OR($C$2=1,$C$2=4),ROUND((((S7*U7)/100)/2),2),0)</f>
        <v>0</v>
      </c>
      <c r="W7" s="20">
        <f>IF($C$2=1,ROUND((((S7*U7)/100)/2),2),0)</f>
        <v>0</v>
      </c>
      <c r="X7" s="20">
        <f>IF($C$2=2,ROUND(((S7*U7)/100),2),0)</f>
        <v>112.09</v>
      </c>
      <c r="Y7" s="20">
        <f>IF($C$2=4,ROUND((((S7*U7)/100)/2),2),0)</f>
        <v>0</v>
      </c>
      <c r="Z7" s="20">
        <v>0</v>
      </c>
      <c r="AA7" s="20">
        <f>IF($C3=3,0,(S7*Z7)/100)</f>
        <v>0</v>
      </c>
      <c r="AB7" s="20">
        <f>V7+W7+X7+Y7+AA7</f>
        <v>112.09</v>
      </c>
      <c r="AC7" s="20">
        <f>IF($V3=1,S7+AB7,S7)</f>
        <v>622.72</v>
      </c>
      <c r="AD7" s="22">
        <v>120</v>
      </c>
      <c r="AE7" s="22">
        <f>IF($P$2=1,(S7/$S$8)*$E$19,AD7/$AD$8*$E$19)</f>
        <v>0</v>
      </c>
      <c r="AF7" s="22"/>
      <c r="AG7" s="22">
        <f>IF($P$2=1,(S7/$S$8)*$E$21,AD7/$AD$8*$E$21)</f>
        <v>0</v>
      </c>
      <c r="AH7" s="22">
        <f>IF($P$2=1,(S7/$S$8)*$E$22,AD7/$AD$8*$E$22)</f>
        <v>0</v>
      </c>
      <c r="AI7" s="22">
        <f>S7*$M$2</f>
        <v>622.72</v>
      </c>
      <c r="AJ7" s="22">
        <f>IF($C$2=3,0,AG7+AH7)</f>
        <v>0</v>
      </c>
      <c r="AK7" s="22">
        <f>IF($C$2=3,AE7+AG7+AH7,0)</f>
        <v>0</v>
      </c>
      <c r="AL7" s="23">
        <v>1</v>
      </c>
      <c r="AM7" s="22">
        <f>F7/AL7</f>
        <v>5</v>
      </c>
      <c r="AN7" s="22">
        <f>AI7/AM7</f>
        <v>124.544</v>
      </c>
      <c r="AO7" s="22">
        <f>AJ7/AM7</f>
        <v>0</v>
      </c>
      <c r="AP7" s="22">
        <f>AK7/AM7</f>
        <v>0</v>
      </c>
      <c r="AQ7" s="22" t="s">
        <v>76</v>
      </c>
      <c r="AR7" s="22">
        <f>AN7+AO7+AP7</f>
        <v>124.544</v>
      </c>
      <c r="AS7" s="24" t="s">
        <v>120</v>
      </c>
      <c r="AT7" s="25" t="s">
        <v>76</v>
      </c>
      <c r="AU7" t="s">
        <v>196</v>
      </c>
      <c r="AV7" t="s">
        <v>197</v>
      </c>
      <c r="AW7" s="25">
        <f>AM7</f>
        <v>5</v>
      </c>
      <c r="AX7" s="25">
        <f>AR7</f>
        <v>124.544</v>
      </c>
      <c r="AY7" s="25">
        <f>AU7+AW7</f>
        <v>732</v>
      </c>
      <c r="AZ7" s="25">
        <f>ROUND(((AU7*AV7)+(AW7*AX7))/(AU7+AW7),5)</f>
        <v>3167.46507</v>
      </c>
      <c r="BA7" s="27"/>
      <c r="BB7" s="27" t="s">
        <v>80</v>
      </c>
      <c r="BC7" s="28" t="s">
        <v>81</v>
      </c>
      <c r="BD7" s="29" t="s">
        <v>82</v>
      </c>
      <c r="BE7" s="29" t="s">
        <v>83</v>
      </c>
      <c r="BF7" s="27"/>
      <c r="BG7" s="27"/>
      <c r="BH7" s="27"/>
      <c r="BI7" s="25"/>
      <c r="BJ7" s="25"/>
      <c r="BK7" s="25"/>
      <c r="BL7" s="30" t="s">
        <v>122</v>
      </c>
      <c r="BM7" t="s">
        <v>198</v>
      </c>
      <c r="BN7" t="s">
        <v>199</v>
      </c>
      <c r="BO7" s="25">
        <f>ROUND((((AW7*AZ7)+(BN7*BM7))/(AW7+BN7)),5)</f>
        <v>2591.04854</v>
      </c>
      <c r="BP7" s="31">
        <f>ROUND(BN7+AW7,3)</f>
        <v>685</v>
      </c>
      <c r="BQ7" s="32">
        <v>123562</v>
      </c>
    </row>
    <row r="8" ht="15.75" spans="1:69">
      <c r="A8" s="4"/>
      <c r="B8" s="34"/>
      <c r="C8" s="34"/>
      <c r="D8" s="35" t="s">
        <v>89</v>
      </c>
      <c r="E8" s="35"/>
      <c r="F8" s="35"/>
      <c r="G8" s="36"/>
      <c r="H8" s="37">
        <f>SUM(H4:H4)</f>
        <v>1500</v>
      </c>
      <c r="I8" s="19"/>
      <c r="J8" s="19"/>
      <c r="K8" s="19"/>
      <c r="L8" s="19"/>
      <c r="M8" s="19"/>
      <c r="N8" s="19"/>
      <c r="O8" s="19"/>
      <c r="P8" s="19"/>
      <c r="Q8" s="19"/>
      <c r="R8" s="38">
        <f t="shared" ref="R8:X8" si="0">SUM(R4:R4)</f>
        <v>254.55</v>
      </c>
      <c r="S8" s="37">
        <f t="shared" si="0"/>
        <v>1245.45</v>
      </c>
      <c r="T8" s="38"/>
      <c r="U8" s="38"/>
      <c r="V8" s="39">
        <f t="shared" si="0"/>
        <v>0</v>
      </c>
      <c r="W8" s="39">
        <f t="shared" si="0"/>
        <v>0</v>
      </c>
      <c r="X8" s="39">
        <f t="shared" si="0"/>
        <v>224.18</v>
      </c>
      <c r="Y8" s="39"/>
      <c r="Z8" s="39"/>
      <c r="AA8" s="39"/>
      <c r="AB8" s="38">
        <f t="shared" ref="AB8:AE8" si="1">SUM(AB4:AB4)</f>
        <v>224.18</v>
      </c>
      <c r="AC8" s="40">
        <f t="shared" si="1"/>
        <v>1469.63</v>
      </c>
      <c r="AD8" s="41">
        <f t="shared" si="1"/>
        <v>120</v>
      </c>
      <c r="AE8" s="41">
        <f t="shared" si="1"/>
        <v>0</v>
      </c>
      <c r="AF8" s="40"/>
      <c r="AG8" s="41">
        <f t="shared" ref="AG8:AK8" si="2">SUM(AG4:AG4)</f>
        <v>0</v>
      </c>
      <c r="AH8" s="41">
        <f>IF($P$2=1,(S8/$S$8)*$E$22,AD8/$AD$8*$E$22)</f>
        <v>0</v>
      </c>
      <c r="AI8" s="41">
        <f t="shared" si="2"/>
        <v>1245.45</v>
      </c>
      <c r="AJ8" s="41">
        <f t="shared" si="2"/>
        <v>0</v>
      </c>
      <c r="AK8" s="41">
        <f t="shared" si="2"/>
        <v>0</v>
      </c>
      <c r="AL8" s="40"/>
      <c r="AM8" s="40"/>
      <c r="AN8" s="40"/>
      <c r="AO8" s="40"/>
      <c r="AP8" s="40"/>
      <c r="AQ8" s="40"/>
      <c r="AR8" s="40"/>
      <c r="AS8" s="4"/>
      <c r="AT8" s="4"/>
      <c r="AU8" s="5"/>
      <c r="AV8" s="5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90</v>
      </c>
      <c r="H10" s="43"/>
      <c r="I10" s="44">
        <f>H8</f>
        <v>1500</v>
      </c>
      <c r="J10" s="44"/>
      <c r="K10" s="4"/>
      <c r="L10" s="4"/>
      <c r="M10" s="45" t="s">
        <v>91</v>
      </c>
      <c r="N10" s="46"/>
      <c r="O10" s="46"/>
      <c r="P10" s="47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92</v>
      </c>
      <c r="BI10" s="121" t="s">
        <v>93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94</v>
      </c>
      <c r="H11" s="43"/>
      <c r="I11" s="44">
        <f>R8</f>
        <v>254.55</v>
      </c>
      <c r="J11" s="44"/>
      <c r="K11" s="4"/>
      <c r="L11" s="4"/>
      <c r="M11" s="48">
        <v>1</v>
      </c>
      <c r="N11" s="48" t="s">
        <v>76</v>
      </c>
      <c r="O11" s="48">
        <v>2</v>
      </c>
      <c r="P11" s="48" t="s">
        <v>95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 t="s">
        <v>96</v>
      </c>
      <c r="BI11" s="121" t="s">
        <v>97</v>
      </c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98</v>
      </c>
      <c r="H12" s="43"/>
      <c r="I12" s="44">
        <f>S8</f>
        <v>1245.45</v>
      </c>
      <c r="J12" s="44"/>
      <c r="K12" s="4"/>
      <c r="L12" s="4"/>
      <c r="M12" s="19">
        <v>1</v>
      </c>
      <c r="N12" s="19" t="s">
        <v>76</v>
      </c>
      <c r="O12" s="19">
        <v>2.5</v>
      </c>
      <c r="P12" s="19" t="s">
        <v>99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100</v>
      </c>
      <c r="H13" s="43"/>
      <c r="I13" s="44">
        <f>AB8</f>
        <v>224.18</v>
      </c>
      <c r="J13" s="44"/>
      <c r="K13" s="4"/>
      <c r="L13" s="4"/>
      <c r="M13" s="19">
        <v>1</v>
      </c>
      <c r="N13" s="19" t="s">
        <v>95</v>
      </c>
      <c r="O13" s="19">
        <v>0.001</v>
      </c>
      <c r="P13" s="19" t="s">
        <v>101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ht="15.75" spans="1:69">
      <c r="A14" s="4"/>
      <c r="B14" s="4"/>
      <c r="C14" s="4"/>
      <c r="D14" s="4"/>
      <c r="E14" s="4"/>
      <c r="F14" s="4"/>
      <c r="G14" s="42" t="s">
        <v>102</v>
      </c>
      <c r="H14" s="43"/>
      <c r="I14" s="49">
        <f>I12+I13</f>
        <v>1469.63</v>
      </c>
      <c r="J14" s="49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 t="s">
        <v>103</v>
      </c>
      <c r="BN15" s="4" t="s">
        <v>104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105</v>
      </c>
      <c r="BL16" s="4">
        <v>12.5</v>
      </c>
      <c r="BM16" s="4">
        <f>BL18*BL19</f>
        <v>18277.77</v>
      </c>
      <c r="BN16" s="4">
        <f>BL16*BL17</f>
        <v>6092.59</v>
      </c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106</v>
      </c>
      <c r="BL17" s="4">
        <v>487.4072</v>
      </c>
      <c r="BM17" s="4">
        <f>BL16+BL18</f>
        <v>50</v>
      </c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107</v>
      </c>
      <c r="BL18" s="4">
        <v>37.5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 t="s">
        <v>108</v>
      </c>
      <c r="BL19" s="4">
        <v>487.4072</v>
      </c>
      <c r="BM19" s="4"/>
      <c r="BN19" s="4"/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>
        <f>BM16+BN16</f>
        <v>24370.36</v>
      </c>
      <c r="BN20" s="4">
        <f>BM20/BM17</f>
        <v>487.4072</v>
      </c>
      <c r="BO20" s="4"/>
      <c r="BP20" s="5"/>
      <c r="BQ20" s="5"/>
    </row>
    <row r="21" spans="1:69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5"/>
      <c r="BQ21" s="5"/>
    </row>
  </sheetData>
  <mergeCells count="12">
    <mergeCell ref="A2:B2"/>
    <mergeCell ref="G10:H10"/>
    <mergeCell ref="I10:J10"/>
    <mergeCell ref="M10:P10"/>
    <mergeCell ref="G11:H11"/>
    <mergeCell ref="I11:J11"/>
    <mergeCell ref="G12:H12"/>
    <mergeCell ref="I12:J12"/>
    <mergeCell ref="G13:H13"/>
    <mergeCell ref="I13:J13"/>
    <mergeCell ref="G14:H14"/>
    <mergeCell ref="I14:J14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7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1"/>
  <sheetViews>
    <sheetView topLeftCell="K1" workbookViewId="0">
      <selection activeCell="C3" sqref="C3"/>
    </sheetView>
  </sheetViews>
  <sheetFormatPr defaultColWidth="8.84761904761905" defaultRowHeight="15"/>
  <cols>
    <col min="2" max="2" width="28" customWidth="1"/>
    <col min="3" max="3" width="30.4285714285714" customWidth="1"/>
    <col min="18" max="18" width="9.28571428571429"/>
    <col min="19" max="19" width="10.5714285714286"/>
    <col min="20" max="20" width="10.7142857142857"/>
    <col min="28" max="28" width="9.28571428571429"/>
    <col min="29" max="29" width="10.5714285714286"/>
    <col min="35" max="35" width="10"/>
    <col min="40" max="40" width="9"/>
    <col min="44" max="44" width="9"/>
    <col min="48" max="48" width="11.7142857142857"/>
    <col min="49" max="49" width="12.847619047619"/>
    <col min="50" max="50" width="9.57142857142857"/>
    <col min="51" max="51" width="12.847619047619"/>
    <col min="52" max="52" width="10.7142857142857" customWidth="1"/>
    <col min="64" max="64" width="11" customWidth="1"/>
    <col min="65" max="65" width="11.7142857142857"/>
    <col min="66" max="66" width="9.71428571428571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1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147</v>
      </c>
      <c r="C4" s="19" t="s">
        <v>147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8</v>
      </c>
      <c r="K4" s="20">
        <v>5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114</v>
      </c>
      <c r="P4" s="20">
        <f>ROUND(N4-O4,2)</f>
        <v>1311</v>
      </c>
      <c r="Q4" s="20">
        <f>ROUND(P4*K4%,2)</f>
        <v>65.55</v>
      </c>
      <c r="R4" s="20">
        <f>M4+O4+Q4</f>
        <v>254.55</v>
      </c>
      <c r="S4" s="20">
        <f>(H4-R4)</f>
        <v>1245.45</v>
      </c>
      <c r="T4" s="20">
        <v>88363222</v>
      </c>
      <c r="U4" s="20">
        <v>18</v>
      </c>
      <c r="V4" s="20">
        <f>IF(OR($C$2=1,$C$2=4),ROUND((((S4*U4)/100)/2),2),0)</f>
        <v>112.09</v>
      </c>
      <c r="W4" s="20">
        <f>IF($C$2=1,ROUND((((S4*U4)/100)/2),2),0)</f>
        <v>112.09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224.18</v>
      </c>
      <c r="AC4" s="21">
        <f>IF($V2=1,S4+AB4,S4)</f>
        <v>1469.63</v>
      </c>
      <c r="AD4" s="22">
        <v>120</v>
      </c>
      <c r="AE4" s="22">
        <f>IF($P$2=1,(S4/$S$8)*$E$19,AD4/$AD$8*$E$19)</f>
        <v>0</v>
      </c>
      <c r="AF4" s="22"/>
      <c r="AG4" s="22">
        <f>IF($P$2=1,(S4/$S$8)*$E$21,AD4/$AD$8*$E$21)</f>
        <v>0</v>
      </c>
      <c r="AH4" s="22">
        <f t="shared" ref="AH4:AH8" si="0">IF($P$2=1,(S4/$S$8)*$E$22,AD4/$AD$8*$E$22)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</v>
      </c>
      <c r="AN4" s="23">
        <f>ROUND(AI4/AM4,3)</f>
        <v>124.545</v>
      </c>
      <c r="AO4" s="22">
        <f>AJ4/AM4</f>
        <v>0</v>
      </c>
      <c r="AP4" s="22">
        <f>AK4/AM4</f>
        <v>0</v>
      </c>
      <c r="AQ4" s="22" t="s">
        <v>76</v>
      </c>
      <c r="AR4" s="23">
        <f>AN4+AO4+AP4</f>
        <v>124.545</v>
      </c>
      <c r="AS4" s="24" t="s">
        <v>200</v>
      </c>
      <c r="AT4" s="25" t="s">
        <v>76</v>
      </c>
      <c r="AU4" t="s">
        <v>162</v>
      </c>
      <c r="AV4" t="s">
        <v>201</v>
      </c>
      <c r="AW4" s="25">
        <f>AM4</f>
        <v>10</v>
      </c>
      <c r="AX4" s="26">
        <f>AR4</f>
        <v>124.545</v>
      </c>
      <c r="AY4" s="25">
        <f>AU4+AW4</f>
        <v>777</v>
      </c>
      <c r="AZ4" s="25">
        <f>ROUND(((AU4*AV4)+(AW4*AX4))/(AU4+AW4),5)</f>
        <v>4865.16367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202</v>
      </c>
      <c r="BM4" t="s">
        <v>203</v>
      </c>
      <c r="BN4" t="s">
        <v>204</v>
      </c>
      <c r="BO4" s="25">
        <f>ROUND((((AW4*AZ4)+(BN4*BM4))/(AW4+BN4)),5)</f>
        <v>3720.81297</v>
      </c>
      <c r="BP4" s="31">
        <f>ROUND(BN4+AW4,3)</f>
        <v>690</v>
      </c>
      <c r="BQ4" s="32">
        <v>123562</v>
      </c>
    </row>
    <row r="5" ht="15.75" spans="1:69">
      <c r="A5" s="19"/>
      <c r="B5" s="19"/>
      <c r="C5" s="19"/>
      <c r="D5" s="19"/>
      <c r="E5" s="19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1"/>
      <c r="AD5" s="22"/>
      <c r="AE5" s="22"/>
      <c r="AF5" s="22"/>
      <c r="AG5" s="22"/>
      <c r="AH5" s="22"/>
      <c r="AI5" s="22"/>
      <c r="AJ5" s="22"/>
      <c r="AK5" s="22"/>
      <c r="AL5" s="23"/>
      <c r="AM5" s="22"/>
      <c r="AN5" s="23"/>
      <c r="AO5" s="22"/>
      <c r="AP5" s="22"/>
      <c r="AQ5" s="22"/>
      <c r="AR5" s="23"/>
      <c r="AS5" s="24"/>
      <c r="AT5" s="25"/>
      <c r="AW5" s="25"/>
      <c r="AX5" s="26"/>
      <c r="AY5" s="25"/>
      <c r="AZ5" s="25"/>
      <c r="BA5" s="27"/>
      <c r="BB5" s="27"/>
      <c r="BC5" s="28"/>
      <c r="BD5" s="29"/>
      <c r="BE5" s="29"/>
      <c r="BF5" s="27"/>
      <c r="BG5" s="27"/>
      <c r="BH5" s="27"/>
      <c r="BI5" s="25"/>
      <c r="BJ5" s="25"/>
      <c r="BK5" s="25"/>
      <c r="BL5" s="30"/>
      <c r="BO5" s="25"/>
      <c r="BP5" s="31"/>
      <c r="BQ5" s="32"/>
    </row>
    <row r="6" ht="61.5" spans="1:69">
      <c r="A6" s="9" t="s">
        <v>9</v>
      </c>
      <c r="B6" s="9" t="s">
        <v>10</v>
      </c>
      <c r="C6" s="9" t="s">
        <v>11</v>
      </c>
      <c r="D6" s="9" t="s">
        <v>12</v>
      </c>
      <c r="E6" s="9" t="s">
        <v>13</v>
      </c>
      <c r="F6" s="9" t="s">
        <v>14</v>
      </c>
      <c r="G6" s="9" t="s">
        <v>15</v>
      </c>
      <c r="H6" s="9" t="s">
        <v>16</v>
      </c>
      <c r="I6" s="10" t="s">
        <v>17</v>
      </c>
      <c r="J6" s="10" t="s">
        <v>18</v>
      </c>
      <c r="K6" s="10" t="s">
        <v>19</v>
      </c>
      <c r="L6" s="11" t="s">
        <v>20</v>
      </c>
      <c r="M6" s="11" t="s">
        <v>21</v>
      </c>
      <c r="N6" s="11" t="s">
        <v>22</v>
      </c>
      <c r="O6" s="11" t="s">
        <v>23</v>
      </c>
      <c r="P6" s="11" t="s">
        <v>24</v>
      </c>
      <c r="Q6" s="11" t="s">
        <v>25</v>
      </c>
      <c r="R6" s="10" t="s">
        <v>26</v>
      </c>
      <c r="S6" s="9" t="s">
        <v>27</v>
      </c>
      <c r="T6" s="9" t="s">
        <v>28</v>
      </c>
      <c r="U6" s="12" t="s">
        <v>29</v>
      </c>
      <c r="V6" s="12" t="s">
        <v>30</v>
      </c>
      <c r="W6" s="12" t="s">
        <v>31</v>
      </c>
      <c r="X6" s="12" t="s">
        <v>32</v>
      </c>
      <c r="Y6" s="13" t="s">
        <v>33</v>
      </c>
      <c r="Z6" s="13" t="s">
        <v>34</v>
      </c>
      <c r="AA6" s="13" t="s">
        <v>35</v>
      </c>
      <c r="AB6" s="13" t="s">
        <v>36</v>
      </c>
      <c r="AC6" s="14" t="s">
        <v>37</v>
      </c>
      <c r="AD6" s="14" t="s">
        <v>38</v>
      </c>
      <c r="AE6" s="14" t="s">
        <v>39</v>
      </c>
      <c r="AF6" s="14" t="s">
        <v>40</v>
      </c>
      <c r="AG6" s="14" t="s">
        <v>41</v>
      </c>
      <c r="AH6" s="14" t="s">
        <v>42</v>
      </c>
      <c r="AI6" s="14" t="s">
        <v>43</v>
      </c>
      <c r="AJ6" s="14" t="s">
        <v>44</v>
      </c>
      <c r="AK6" s="14" t="s">
        <v>45</v>
      </c>
      <c r="AL6" s="14" t="s">
        <v>46</v>
      </c>
      <c r="AM6" s="14" t="s">
        <v>47</v>
      </c>
      <c r="AN6" s="14" t="s">
        <v>48</v>
      </c>
      <c r="AO6" s="14" t="s">
        <v>49</v>
      </c>
      <c r="AP6" s="14" t="s">
        <v>50</v>
      </c>
      <c r="AQ6" s="14" t="s">
        <v>51</v>
      </c>
      <c r="AR6" s="15" t="s">
        <v>52</v>
      </c>
      <c r="AS6" s="16" t="s">
        <v>53</v>
      </c>
      <c r="AT6" s="16" t="s">
        <v>51</v>
      </c>
      <c r="AW6" s="17" t="s">
        <v>56</v>
      </c>
      <c r="AX6" s="17" t="s">
        <v>57</v>
      </c>
      <c r="AY6" s="17" t="s">
        <v>58</v>
      </c>
      <c r="AZ6" s="17" t="s">
        <v>59</v>
      </c>
      <c r="BA6" s="17" t="s">
        <v>60</v>
      </c>
      <c r="BB6" s="17" t="s">
        <v>61</v>
      </c>
      <c r="BC6" s="18" t="s">
        <v>62</v>
      </c>
      <c r="BD6" s="18" t="s">
        <v>63</v>
      </c>
      <c r="BE6" s="18" t="s">
        <v>64</v>
      </c>
      <c r="BF6" s="17" t="s">
        <v>65</v>
      </c>
      <c r="BG6" s="17" t="s">
        <v>66</v>
      </c>
      <c r="BH6" s="17" t="s">
        <v>67</v>
      </c>
      <c r="BI6" s="17" t="s">
        <v>68</v>
      </c>
      <c r="BJ6" s="17" t="s">
        <v>69</v>
      </c>
      <c r="BK6" s="17" t="s">
        <v>70</v>
      </c>
      <c r="BL6" s="17" t="s">
        <v>71</v>
      </c>
      <c r="BO6" s="17" t="s">
        <v>59</v>
      </c>
      <c r="BP6" s="17" t="s">
        <v>74</v>
      </c>
      <c r="BQ6" s="17" t="s">
        <v>28</v>
      </c>
    </row>
    <row r="7" ht="15.75" spans="1:69">
      <c r="A7" s="19">
        <v>1</v>
      </c>
      <c r="B7" s="19" t="s">
        <v>147</v>
      </c>
      <c r="C7" s="19" t="s">
        <v>147</v>
      </c>
      <c r="D7" s="19" t="s">
        <v>76</v>
      </c>
      <c r="E7" s="19" t="s">
        <v>76</v>
      </c>
      <c r="F7" s="20">
        <v>5</v>
      </c>
      <c r="G7" s="20">
        <v>150</v>
      </c>
      <c r="H7" s="20">
        <f>F7*G7</f>
        <v>750</v>
      </c>
      <c r="I7" s="20">
        <v>5</v>
      </c>
      <c r="J7" s="20">
        <v>8</v>
      </c>
      <c r="K7" s="20">
        <v>5</v>
      </c>
      <c r="L7" s="20">
        <f>H7</f>
        <v>750</v>
      </c>
      <c r="M7" s="20">
        <f>ROUND(L7*I7%,2)</f>
        <v>37.5</v>
      </c>
      <c r="N7" s="20">
        <f>H7-M7</f>
        <v>712.5</v>
      </c>
      <c r="O7" s="20">
        <f>ROUND(N7*J7%,2)</f>
        <v>57</v>
      </c>
      <c r="P7" s="20">
        <f>ROUND(N7-O7,2)</f>
        <v>655.5</v>
      </c>
      <c r="Q7" s="20">
        <f>ROUND(P7*K7%,2)</f>
        <v>32.78</v>
      </c>
      <c r="R7" s="20">
        <f>M7+O7+Q7</f>
        <v>127.28</v>
      </c>
      <c r="S7" s="20">
        <f>(H7-R7)</f>
        <v>622.72</v>
      </c>
      <c r="T7" s="20">
        <v>88363222</v>
      </c>
      <c r="U7" s="20">
        <v>18</v>
      </c>
      <c r="V7" s="20">
        <f>IF(OR($C$2=1,$C$2=4),ROUND((((S7*U7)/100)/2),2),0)</f>
        <v>56.04</v>
      </c>
      <c r="W7" s="20">
        <f>IF($C$2=1,ROUND((((S7*U7)/100)/2),2),0)</f>
        <v>56.04</v>
      </c>
      <c r="X7" s="20">
        <f>IF($C$2=2,ROUND(((S7*U7)/100),2),0)</f>
        <v>0</v>
      </c>
      <c r="Y7" s="20">
        <f>IF($C$2=4,ROUND((((S7*U7)/100)/2),2),0)</f>
        <v>0</v>
      </c>
      <c r="Z7" s="20">
        <v>0</v>
      </c>
      <c r="AA7" s="20">
        <f>IF($C3=3,0,(S7*Z7)/100)</f>
        <v>0</v>
      </c>
      <c r="AB7" s="20">
        <f>V7+W7+X7+Y7+AA7</f>
        <v>112.08</v>
      </c>
      <c r="AC7" s="20">
        <f>IF($V3=1,S7+AB7,S7)</f>
        <v>622.72</v>
      </c>
      <c r="AD7" s="22">
        <v>120</v>
      </c>
      <c r="AE7" s="22">
        <f>IF($P$2=1,(S7/$S$8)*$E$19,AD7/$AD$8*$E$19)</f>
        <v>0</v>
      </c>
      <c r="AF7" s="22"/>
      <c r="AG7" s="22">
        <f>IF($P$2=1,(S7/$S$8)*$E$21,AD7/$AD$8*$E$21)</f>
        <v>0</v>
      </c>
      <c r="AH7" s="22">
        <f t="shared" si="0"/>
        <v>0</v>
      </c>
      <c r="AI7" s="22">
        <f>S7*$M$2</f>
        <v>622.72</v>
      </c>
      <c r="AJ7" s="22">
        <f>IF($C$2=3,0,AG7+AH7)</f>
        <v>0</v>
      </c>
      <c r="AK7" s="22">
        <f>IF($C$2=3,AE7+AG7+AH7,0)</f>
        <v>0</v>
      </c>
      <c r="AL7" s="23">
        <v>1</v>
      </c>
      <c r="AM7" s="22">
        <f>F7/AL7</f>
        <v>5</v>
      </c>
      <c r="AN7" s="22">
        <f>AI7/AM7</f>
        <v>124.544</v>
      </c>
      <c r="AO7" s="22">
        <f>AJ7/AM7</f>
        <v>0</v>
      </c>
      <c r="AP7" s="22">
        <f>AK7/AM7</f>
        <v>0</v>
      </c>
      <c r="AQ7" s="22" t="s">
        <v>76</v>
      </c>
      <c r="AR7" s="22">
        <f>AN7+AO7+AP7</f>
        <v>124.544</v>
      </c>
      <c r="AS7" s="24" t="s">
        <v>200</v>
      </c>
      <c r="AT7" s="25" t="s">
        <v>76</v>
      </c>
      <c r="AU7" t="s">
        <v>162</v>
      </c>
      <c r="AV7" t="s">
        <v>201</v>
      </c>
      <c r="AW7" s="25">
        <f>AM7</f>
        <v>5</v>
      </c>
      <c r="AX7" s="25">
        <f>AR7</f>
        <v>124.544</v>
      </c>
      <c r="AY7" s="25">
        <f>AU7+AW7</f>
        <v>772</v>
      </c>
      <c r="AZ7" s="25">
        <f>ROUND(((AU7*AV7)+(AW7*AX7))/(AU7+AW7),5)</f>
        <v>6445.36956</v>
      </c>
      <c r="BA7" s="27"/>
      <c r="BB7" s="27" t="s">
        <v>80</v>
      </c>
      <c r="BC7" s="28" t="s">
        <v>81</v>
      </c>
      <c r="BD7" s="29" t="s">
        <v>82</v>
      </c>
      <c r="BE7" s="29" t="s">
        <v>83</v>
      </c>
      <c r="BF7" s="27"/>
      <c r="BG7" s="27"/>
      <c r="BH7" s="27"/>
      <c r="BI7" s="25"/>
      <c r="BJ7" s="25"/>
      <c r="BK7" s="25"/>
      <c r="BL7" s="30" t="s">
        <v>202</v>
      </c>
      <c r="BM7" t="s">
        <v>203</v>
      </c>
      <c r="BN7" t="s">
        <v>204</v>
      </c>
      <c r="BO7" s="25">
        <f>ROUND((((AW7*AZ7)+(BN7*BM7))/(AW7+BN7)),5)</f>
        <v>3783.07799</v>
      </c>
      <c r="BP7" s="31">
        <f>ROUND(BN7+AW7,3)</f>
        <v>685</v>
      </c>
      <c r="BQ7" s="32">
        <v>123562</v>
      </c>
    </row>
    <row r="8" ht="15.75" spans="1:69">
      <c r="A8" s="4"/>
      <c r="B8" s="34"/>
      <c r="C8" s="34"/>
      <c r="D8" s="35" t="s">
        <v>89</v>
      </c>
      <c r="E8" s="35"/>
      <c r="F8" s="35"/>
      <c r="G8" s="36"/>
      <c r="H8" s="37">
        <f>SUM(H4:H4)</f>
        <v>1500</v>
      </c>
      <c r="I8" s="19"/>
      <c r="J8" s="19"/>
      <c r="K8" s="19"/>
      <c r="L8" s="19"/>
      <c r="M8" s="19"/>
      <c r="N8" s="19"/>
      <c r="O8" s="19"/>
      <c r="P8" s="19"/>
      <c r="Q8" s="19"/>
      <c r="R8" s="38">
        <f t="shared" ref="R8:X8" si="1">SUM(R4:R4)</f>
        <v>254.55</v>
      </c>
      <c r="S8" s="37">
        <f t="shared" si="1"/>
        <v>1245.45</v>
      </c>
      <c r="T8" s="38"/>
      <c r="U8" s="38"/>
      <c r="V8" s="39">
        <f t="shared" si="1"/>
        <v>112.09</v>
      </c>
      <c r="W8" s="39">
        <f t="shared" si="1"/>
        <v>112.09</v>
      </c>
      <c r="X8" s="39">
        <f t="shared" si="1"/>
        <v>0</v>
      </c>
      <c r="Y8" s="39"/>
      <c r="Z8" s="39"/>
      <c r="AA8" s="39"/>
      <c r="AB8" s="38">
        <f t="shared" ref="AB8:AE8" si="2">SUM(AB4:AB4)</f>
        <v>224.18</v>
      </c>
      <c r="AC8" s="40">
        <f t="shared" si="2"/>
        <v>1469.63</v>
      </c>
      <c r="AD8" s="41">
        <f t="shared" si="2"/>
        <v>120</v>
      </c>
      <c r="AE8" s="41">
        <f t="shared" si="2"/>
        <v>0</v>
      </c>
      <c r="AF8" s="40"/>
      <c r="AG8" s="41">
        <f t="shared" ref="AG8:AK8" si="3">SUM(AG4:AG4)</f>
        <v>0</v>
      </c>
      <c r="AH8" s="41">
        <f t="shared" si="0"/>
        <v>0</v>
      </c>
      <c r="AI8" s="41">
        <f t="shared" si="3"/>
        <v>1245.45</v>
      </c>
      <c r="AJ8" s="41">
        <f t="shared" si="3"/>
        <v>0</v>
      </c>
      <c r="AK8" s="41">
        <f t="shared" si="3"/>
        <v>0</v>
      </c>
      <c r="AL8" s="40"/>
      <c r="AM8" s="40"/>
      <c r="AN8" s="40"/>
      <c r="AO8" s="40"/>
      <c r="AP8" s="40"/>
      <c r="AQ8" s="40"/>
      <c r="AR8" s="40"/>
      <c r="AS8" s="4"/>
      <c r="AT8" s="4"/>
      <c r="AU8" s="5"/>
      <c r="AV8" s="5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90</v>
      </c>
      <c r="H10" s="43"/>
      <c r="I10" s="44">
        <f>H8</f>
        <v>1500</v>
      </c>
      <c r="J10" s="44"/>
      <c r="K10" s="4"/>
      <c r="L10" s="4"/>
      <c r="M10" s="45" t="s">
        <v>91</v>
      </c>
      <c r="N10" s="46"/>
      <c r="O10" s="46"/>
      <c r="P10" s="47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92</v>
      </c>
      <c r="BI10" s="121" t="s">
        <v>93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94</v>
      </c>
      <c r="H11" s="43"/>
      <c r="I11" s="44">
        <f>R8</f>
        <v>254.55</v>
      </c>
      <c r="J11" s="44"/>
      <c r="K11" s="4"/>
      <c r="L11" s="4"/>
      <c r="M11" s="48">
        <v>1</v>
      </c>
      <c r="N11" s="48" t="s">
        <v>76</v>
      </c>
      <c r="O11" s="48">
        <v>2</v>
      </c>
      <c r="P11" s="48" t="s">
        <v>95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 t="s">
        <v>96</v>
      </c>
      <c r="BI11" s="121" t="s">
        <v>97</v>
      </c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98</v>
      </c>
      <c r="H12" s="43"/>
      <c r="I12" s="44">
        <f>S8</f>
        <v>1245.45</v>
      </c>
      <c r="J12" s="44"/>
      <c r="K12" s="4"/>
      <c r="L12" s="4"/>
      <c r="M12" s="19">
        <v>1</v>
      </c>
      <c r="N12" s="19" t="s">
        <v>76</v>
      </c>
      <c r="O12" s="19">
        <v>2.5</v>
      </c>
      <c r="P12" s="19" t="s">
        <v>99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100</v>
      </c>
      <c r="H13" s="43"/>
      <c r="I13" s="44">
        <f>AB8</f>
        <v>224.18</v>
      </c>
      <c r="J13" s="44"/>
      <c r="K13" s="4"/>
      <c r="L13" s="4"/>
      <c r="M13" s="19">
        <v>1</v>
      </c>
      <c r="N13" s="19" t="s">
        <v>95</v>
      </c>
      <c r="O13" s="19">
        <v>0.001</v>
      </c>
      <c r="P13" s="19" t="s">
        <v>101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ht="15.75" spans="1:69">
      <c r="A14" s="4"/>
      <c r="B14" s="4"/>
      <c r="C14" s="4"/>
      <c r="D14" s="4"/>
      <c r="E14" s="4"/>
      <c r="F14" s="4"/>
      <c r="G14" s="42" t="s">
        <v>102</v>
      </c>
      <c r="H14" s="43"/>
      <c r="I14" s="49">
        <f>I12+I13</f>
        <v>1469.63</v>
      </c>
      <c r="J14" s="49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 t="s">
        <v>103</v>
      </c>
      <c r="BN15" s="4" t="s">
        <v>104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105</v>
      </c>
      <c r="BL16" s="4">
        <v>12.5</v>
      </c>
      <c r="BM16" s="4">
        <f>BL18*BL19</f>
        <v>18277.77</v>
      </c>
      <c r="BN16" s="4">
        <f>BL16*BL17</f>
        <v>6092.59</v>
      </c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106</v>
      </c>
      <c r="BL17" s="4">
        <v>487.4072</v>
      </c>
      <c r="BM17" s="4">
        <f>BL16+BL18</f>
        <v>50</v>
      </c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107</v>
      </c>
      <c r="BL18" s="4">
        <v>37.5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 t="s">
        <v>108</v>
      </c>
      <c r="BL19" s="4">
        <v>487.4072</v>
      </c>
      <c r="BM19" s="4"/>
      <c r="BN19" s="4"/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>
        <f>BM16+BN16</f>
        <v>24370.36</v>
      </c>
      <c r="BN20" s="4">
        <f>BM20/BM17</f>
        <v>487.4072</v>
      </c>
      <c r="BO20" s="4"/>
      <c r="BP20" s="5"/>
      <c r="BQ20" s="5"/>
    </row>
    <row r="21" spans="1:69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5"/>
      <c r="BQ21" s="5"/>
    </row>
  </sheetData>
  <mergeCells count="12">
    <mergeCell ref="A2:B2"/>
    <mergeCell ref="G10:H10"/>
    <mergeCell ref="I10:J10"/>
    <mergeCell ref="M10:P10"/>
    <mergeCell ref="G11:H11"/>
    <mergeCell ref="I11:J11"/>
    <mergeCell ref="G12:H12"/>
    <mergeCell ref="I12:J12"/>
    <mergeCell ref="G13:H13"/>
    <mergeCell ref="I13:J13"/>
    <mergeCell ref="G14:H14"/>
    <mergeCell ref="I14:J14"/>
  </mergeCells>
  <hyperlinks>
    <hyperlink ref="AS4" r:id="rId1" display="INS" tooltip="https://webappqc.roadmaperp.com:8765/ords/r/rmqc27/scm-us9011/warehouse1?p367019101_rowid=AAATkUAAHAADnkPAAX&amp;p367019101_store_id=INS WH-1&amp;session=1523407412914"/>
    <hyperlink ref="AS7" r:id="rId1" display="INS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1"/>
  <sheetViews>
    <sheetView tabSelected="1" workbookViewId="0">
      <selection activeCell="B4" sqref="B4:C4"/>
    </sheetView>
  </sheetViews>
  <sheetFormatPr defaultColWidth="8.84761904761905" defaultRowHeight="15"/>
  <cols>
    <col min="2" max="2" width="28" customWidth="1"/>
    <col min="3" max="3" width="30.4285714285714" customWidth="1"/>
    <col min="18" max="18" width="9.28571428571429"/>
    <col min="19" max="19" width="10.5714285714286"/>
    <col min="20" max="20" width="10.7142857142857"/>
    <col min="28" max="28" width="9.28571428571429"/>
    <col min="29" max="29" width="10.5714285714286"/>
    <col min="35" max="35" width="10"/>
    <col min="40" max="40" width="9"/>
    <col min="44" max="44" width="9"/>
    <col min="48" max="48" width="11.7142857142857"/>
    <col min="49" max="49" width="12.847619047619"/>
    <col min="50" max="50" width="9.57142857142857"/>
    <col min="51" max="51" width="12.847619047619"/>
    <col min="52" max="52" width="10.7142857142857" customWidth="1"/>
    <col min="64" max="64" width="11" customWidth="1"/>
    <col min="65" max="65" width="11.7142857142857"/>
    <col min="66" max="66" width="9.71428571428571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1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11" t="s">
        <v>205</v>
      </c>
      <c r="C4" s="111" t="s">
        <v>205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8</v>
      </c>
      <c r="K4" s="20">
        <v>5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114</v>
      </c>
      <c r="P4" s="20">
        <f>ROUND(N4-O4,2)</f>
        <v>1311</v>
      </c>
      <c r="Q4" s="20">
        <f>ROUND(P4*K4%,2)</f>
        <v>65.55</v>
      </c>
      <c r="R4" s="20">
        <f>M4+O4+Q4</f>
        <v>254.55</v>
      </c>
      <c r="S4" s="20">
        <f>(H4-R4)</f>
        <v>1245.45</v>
      </c>
      <c r="T4" s="20">
        <v>88363222</v>
      </c>
      <c r="U4" s="20">
        <v>18</v>
      </c>
      <c r="V4" s="20">
        <f>IF(OR($C$2=1,$C$2=4),ROUND((((S4*U4)/100)/2),2),0)</f>
        <v>112.09</v>
      </c>
      <c r="W4" s="20">
        <f>IF($C$2=1,ROUND((((S4*U4)/100)/2),2),0)</f>
        <v>112.09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224.18</v>
      </c>
      <c r="AC4" s="21">
        <f>IF($V2=1,S4+AB4,S4)</f>
        <v>1469.63</v>
      </c>
      <c r="AD4" s="22">
        <v>120</v>
      </c>
      <c r="AE4" s="22">
        <f>IF($P$2=1,(S4/$S$8)*$E$19,AD4/$AD$8*$E$19)</f>
        <v>0</v>
      </c>
      <c r="AF4" s="22"/>
      <c r="AG4" s="22">
        <f>IF($P$2=1,(S4/$S$8)*$E$21,AD4/$AD$8*$E$21)</f>
        <v>0</v>
      </c>
      <c r="AH4" s="22">
        <f t="shared" ref="AH4:AH8" si="0">IF($P$2=1,(S4/$S$8)*$E$22,AD4/$AD$8*$E$22)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</v>
      </c>
      <c r="AN4" s="23">
        <f>ROUND(AI4/AM4,3)</f>
        <v>124.545</v>
      </c>
      <c r="AO4" s="22">
        <f>AJ4/AM4</f>
        <v>0</v>
      </c>
      <c r="AP4" s="22">
        <f>AK4/AM4</f>
        <v>0</v>
      </c>
      <c r="AQ4" s="22" t="s">
        <v>76</v>
      </c>
      <c r="AR4" s="23">
        <f>AN4+AO4+AP4</f>
        <v>124.545</v>
      </c>
      <c r="AS4" s="24" t="s">
        <v>200</v>
      </c>
      <c r="AT4" s="25" t="s">
        <v>76</v>
      </c>
      <c r="AU4" t="s">
        <v>162</v>
      </c>
      <c r="AV4" t="s">
        <v>201</v>
      </c>
      <c r="AW4" s="25">
        <f>AM4</f>
        <v>10</v>
      </c>
      <c r="AX4" s="26">
        <f>AR4</f>
        <v>124.545</v>
      </c>
      <c r="AY4" s="25">
        <f>AU4+AW4</f>
        <v>130</v>
      </c>
      <c r="AZ4" s="25">
        <f>ROUND(((AU4*AV4)+(AW4*AX4))/(AU4+AW4),5)</f>
        <v>1552.22297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202</v>
      </c>
      <c r="BM4" t="s">
        <v>203</v>
      </c>
      <c r="BN4" t="s">
        <v>204</v>
      </c>
      <c r="BO4" s="25">
        <f>ROUND((((AW4*AZ4)+(BN4*BM4))/(AW4+BN4)),5)</f>
        <v>5029.05592</v>
      </c>
      <c r="BP4" s="31">
        <f>ROUND(BN4+AW4,3)</f>
        <v>40</v>
      </c>
      <c r="BQ4" s="32">
        <v>123562</v>
      </c>
    </row>
    <row r="5" ht="15.75" spans="1:69">
      <c r="A5" s="19"/>
      <c r="B5" s="19"/>
      <c r="C5" s="19"/>
      <c r="D5" s="19"/>
      <c r="E5" s="19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1"/>
      <c r="AD5" s="22"/>
      <c r="AE5" s="22"/>
      <c r="AF5" s="22"/>
      <c r="AG5" s="22"/>
      <c r="AH5" s="22"/>
      <c r="AI5" s="22"/>
      <c r="AJ5" s="22"/>
      <c r="AK5" s="22"/>
      <c r="AL5" s="23"/>
      <c r="AM5" s="22"/>
      <c r="AN5" s="23"/>
      <c r="AO5" s="22"/>
      <c r="AP5" s="22"/>
      <c r="AQ5" s="22"/>
      <c r="AR5" s="23"/>
      <c r="AS5" s="24"/>
      <c r="AT5" s="25"/>
      <c r="AW5" s="25"/>
      <c r="AX5" s="26"/>
      <c r="AY5" s="25"/>
      <c r="AZ5" s="25"/>
      <c r="BA5" s="27"/>
      <c r="BB5" s="27"/>
      <c r="BC5" s="28"/>
      <c r="BD5" s="29"/>
      <c r="BE5" s="29"/>
      <c r="BF5" s="27"/>
      <c r="BG5" s="27"/>
      <c r="BH5" s="27"/>
      <c r="BI5" s="25"/>
      <c r="BJ5" s="25"/>
      <c r="BK5" s="25"/>
      <c r="BL5" s="30"/>
      <c r="BO5" s="25"/>
      <c r="BP5" s="31"/>
      <c r="BQ5" s="32"/>
    </row>
    <row r="6" ht="61.5" spans="1:69">
      <c r="A6" s="9" t="s">
        <v>9</v>
      </c>
      <c r="B6" s="9" t="s">
        <v>10</v>
      </c>
      <c r="C6" s="9" t="s">
        <v>11</v>
      </c>
      <c r="D6" s="9" t="s">
        <v>12</v>
      </c>
      <c r="E6" s="9" t="s">
        <v>13</v>
      </c>
      <c r="F6" s="9" t="s">
        <v>14</v>
      </c>
      <c r="G6" s="9" t="s">
        <v>15</v>
      </c>
      <c r="H6" s="9" t="s">
        <v>16</v>
      </c>
      <c r="I6" s="10" t="s">
        <v>17</v>
      </c>
      <c r="J6" s="10" t="s">
        <v>18</v>
      </c>
      <c r="K6" s="10" t="s">
        <v>19</v>
      </c>
      <c r="L6" s="11" t="s">
        <v>20</v>
      </c>
      <c r="M6" s="11" t="s">
        <v>21</v>
      </c>
      <c r="N6" s="11" t="s">
        <v>22</v>
      </c>
      <c r="O6" s="11" t="s">
        <v>23</v>
      </c>
      <c r="P6" s="11" t="s">
        <v>24</v>
      </c>
      <c r="Q6" s="11" t="s">
        <v>25</v>
      </c>
      <c r="R6" s="10" t="s">
        <v>26</v>
      </c>
      <c r="S6" s="9" t="s">
        <v>27</v>
      </c>
      <c r="T6" s="9" t="s">
        <v>28</v>
      </c>
      <c r="U6" s="12" t="s">
        <v>29</v>
      </c>
      <c r="V6" s="12" t="s">
        <v>30</v>
      </c>
      <c r="W6" s="12" t="s">
        <v>31</v>
      </c>
      <c r="X6" s="12" t="s">
        <v>32</v>
      </c>
      <c r="Y6" s="13" t="s">
        <v>33</v>
      </c>
      <c r="Z6" s="13" t="s">
        <v>34</v>
      </c>
      <c r="AA6" s="13" t="s">
        <v>35</v>
      </c>
      <c r="AB6" s="13" t="s">
        <v>36</v>
      </c>
      <c r="AC6" s="14" t="s">
        <v>37</v>
      </c>
      <c r="AD6" s="14" t="s">
        <v>38</v>
      </c>
      <c r="AE6" s="14" t="s">
        <v>39</v>
      </c>
      <c r="AF6" s="14" t="s">
        <v>40</v>
      </c>
      <c r="AG6" s="14" t="s">
        <v>41</v>
      </c>
      <c r="AH6" s="14" t="s">
        <v>42</v>
      </c>
      <c r="AI6" s="14" t="s">
        <v>43</v>
      </c>
      <c r="AJ6" s="14" t="s">
        <v>44</v>
      </c>
      <c r="AK6" s="14" t="s">
        <v>45</v>
      </c>
      <c r="AL6" s="14" t="s">
        <v>46</v>
      </c>
      <c r="AM6" s="14" t="s">
        <v>47</v>
      </c>
      <c r="AN6" s="14" t="s">
        <v>48</v>
      </c>
      <c r="AO6" s="14" t="s">
        <v>49</v>
      </c>
      <c r="AP6" s="14" t="s">
        <v>50</v>
      </c>
      <c r="AQ6" s="14" t="s">
        <v>51</v>
      </c>
      <c r="AR6" s="15" t="s">
        <v>52</v>
      </c>
      <c r="AS6" s="16" t="s">
        <v>53</v>
      </c>
      <c r="AT6" s="16" t="s">
        <v>51</v>
      </c>
      <c r="AW6" s="17" t="s">
        <v>56</v>
      </c>
      <c r="AX6" s="17" t="s">
        <v>57</v>
      </c>
      <c r="AY6" s="17" t="s">
        <v>58</v>
      </c>
      <c r="AZ6" s="17" t="s">
        <v>59</v>
      </c>
      <c r="BA6" s="17" t="s">
        <v>60</v>
      </c>
      <c r="BB6" s="17" t="s">
        <v>61</v>
      </c>
      <c r="BC6" s="18" t="s">
        <v>62</v>
      </c>
      <c r="BD6" s="18" t="s">
        <v>63</v>
      </c>
      <c r="BE6" s="18" t="s">
        <v>64</v>
      </c>
      <c r="BF6" s="17" t="s">
        <v>65</v>
      </c>
      <c r="BG6" s="17" t="s">
        <v>66</v>
      </c>
      <c r="BH6" s="17" t="s">
        <v>67</v>
      </c>
      <c r="BI6" s="17" t="s">
        <v>68</v>
      </c>
      <c r="BJ6" s="17" t="s">
        <v>69</v>
      </c>
      <c r="BK6" s="17" t="s">
        <v>70</v>
      </c>
      <c r="BL6" s="17" t="s">
        <v>71</v>
      </c>
      <c r="BO6" s="17" t="s">
        <v>59</v>
      </c>
      <c r="BP6" s="17" t="s">
        <v>74</v>
      </c>
      <c r="BQ6" s="17" t="s">
        <v>28</v>
      </c>
    </row>
    <row r="7" ht="15.75" spans="1:69">
      <c r="A7" s="19">
        <v>1</v>
      </c>
      <c r="B7" s="111" t="s">
        <v>205</v>
      </c>
      <c r="C7" s="111" t="s">
        <v>205</v>
      </c>
      <c r="D7" s="19" t="s">
        <v>76</v>
      </c>
      <c r="E7" s="19" t="s">
        <v>76</v>
      </c>
      <c r="F7" s="20">
        <v>5</v>
      </c>
      <c r="G7" s="20">
        <v>150</v>
      </c>
      <c r="H7" s="20">
        <f>F7*G7</f>
        <v>750</v>
      </c>
      <c r="I7" s="20">
        <v>5</v>
      </c>
      <c r="J7" s="20">
        <v>8</v>
      </c>
      <c r="K7" s="20">
        <v>5</v>
      </c>
      <c r="L7" s="20">
        <f>H7</f>
        <v>750</v>
      </c>
      <c r="M7" s="20">
        <f>ROUND(L7*I7%,2)</f>
        <v>37.5</v>
      </c>
      <c r="N7" s="20">
        <f>H7-M7</f>
        <v>712.5</v>
      </c>
      <c r="O7" s="20">
        <f>ROUND(N7*J7%,2)</f>
        <v>57</v>
      </c>
      <c r="P7" s="20">
        <f>ROUND(N7-O7,2)</f>
        <v>655.5</v>
      </c>
      <c r="Q7" s="20">
        <f>ROUND(P7*K7%,2)</f>
        <v>32.78</v>
      </c>
      <c r="R7" s="20">
        <f>M7+O7+Q7</f>
        <v>127.28</v>
      </c>
      <c r="S7" s="20">
        <f>(H7-R7)</f>
        <v>622.72</v>
      </c>
      <c r="T7" s="20">
        <v>88363222</v>
      </c>
      <c r="U7" s="20">
        <v>18</v>
      </c>
      <c r="V7" s="20">
        <f>IF(OR($C$2=1,$C$2=4),ROUND((((S7*U7)/100)/2),2),0)</f>
        <v>56.04</v>
      </c>
      <c r="W7" s="20">
        <f>IF($C$2=1,ROUND((((S7*U7)/100)/2),2),0)</f>
        <v>56.04</v>
      </c>
      <c r="X7" s="20">
        <f>IF($C$2=2,ROUND(((S7*U7)/100),2),0)</f>
        <v>0</v>
      </c>
      <c r="Y7" s="20">
        <f>IF($C$2=4,ROUND((((S7*U7)/100)/2),2),0)</f>
        <v>0</v>
      </c>
      <c r="Z7" s="20">
        <v>0</v>
      </c>
      <c r="AA7" s="20">
        <f>IF($C3=3,0,(S7*Z7)/100)</f>
        <v>0</v>
      </c>
      <c r="AB7" s="20">
        <f>V7+W7+X7+Y7+AA7</f>
        <v>112.08</v>
      </c>
      <c r="AC7" s="20">
        <f>IF($V3=1,S7+AB7,S7)</f>
        <v>622.72</v>
      </c>
      <c r="AD7" s="22">
        <v>120</v>
      </c>
      <c r="AE7" s="22">
        <f>IF($P$2=1,(S7/$S$8)*$E$19,AD7/$AD$8*$E$19)</f>
        <v>0</v>
      </c>
      <c r="AF7" s="22"/>
      <c r="AG7" s="22">
        <f>IF($P$2=1,(S7/$S$8)*$E$21,AD7/$AD$8*$E$21)</f>
        <v>0</v>
      </c>
      <c r="AH7" s="22">
        <f t="shared" si="0"/>
        <v>0</v>
      </c>
      <c r="AI7" s="22">
        <f>S7*$M$2</f>
        <v>622.72</v>
      </c>
      <c r="AJ7" s="22">
        <f>IF($C$2=3,0,AG7+AH7)</f>
        <v>0</v>
      </c>
      <c r="AK7" s="22">
        <f>IF($C$2=3,AE7+AG7+AH7,0)</f>
        <v>0</v>
      </c>
      <c r="AL7" s="23">
        <v>1</v>
      </c>
      <c r="AM7" s="22">
        <f>F7/AL7</f>
        <v>5</v>
      </c>
      <c r="AN7" s="22">
        <f>AI7/AM7</f>
        <v>124.544</v>
      </c>
      <c r="AO7" s="22">
        <f>AJ7/AM7</f>
        <v>0</v>
      </c>
      <c r="AP7" s="22">
        <f>AK7/AM7</f>
        <v>0</v>
      </c>
      <c r="AQ7" s="22" t="s">
        <v>76</v>
      </c>
      <c r="AR7" s="22">
        <f>AN7+AO7+AP7</f>
        <v>124.544</v>
      </c>
      <c r="AS7" s="24" t="s">
        <v>200</v>
      </c>
      <c r="AT7" s="25" t="s">
        <v>76</v>
      </c>
      <c r="AU7" t="s">
        <v>162</v>
      </c>
      <c r="AV7" t="s">
        <v>201</v>
      </c>
      <c r="AW7" s="25">
        <f>AM7</f>
        <v>5</v>
      </c>
      <c r="AX7" s="25">
        <f>AR7</f>
        <v>124.544</v>
      </c>
      <c r="AY7" s="25">
        <f>AU7+AW7</f>
        <v>125</v>
      </c>
      <c r="AZ7" s="25">
        <f>ROUND(((AU7*AV7)+(AW7*AX7))/(AU7+AW7),5)</f>
        <v>1609.33004</v>
      </c>
      <c r="BA7" s="27"/>
      <c r="BB7" s="27" t="s">
        <v>80</v>
      </c>
      <c r="BC7" s="28" t="s">
        <v>81</v>
      </c>
      <c r="BD7" s="29" t="s">
        <v>82</v>
      </c>
      <c r="BE7" s="29" t="s">
        <v>83</v>
      </c>
      <c r="BF7" s="27"/>
      <c r="BG7" s="27"/>
      <c r="BH7" s="27"/>
      <c r="BI7" s="25"/>
      <c r="BJ7" s="25"/>
      <c r="BK7" s="25"/>
      <c r="BL7" s="30" t="s">
        <v>202</v>
      </c>
      <c r="BM7" t="s">
        <v>203</v>
      </c>
      <c r="BN7" t="s">
        <v>204</v>
      </c>
      <c r="BO7" s="25">
        <f>ROUND((((AW7*AZ7)+(BN7*BM7))/(AW7+BN7)),5)</f>
        <v>5533.90449</v>
      </c>
      <c r="BP7" s="31">
        <f>ROUND(BN7+AW7,3)</f>
        <v>35</v>
      </c>
      <c r="BQ7" s="32">
        <v>123562</v>
      </c>
    </row>
    <row r="8" ht="15.75" spans="1:69">
      <c r="A8" s="4"/>
      <c r="B8" s="34"/>
      <c r="C8" s="34"/>
      <c r="D8" s="35" t="s">
        <v>89</v>
      </c>
      <c r="E8" s="35"/>
      <c r="F8" s="35"/>
      <c r="G8" s="36"/>
      <c r="H8" s="37">
        <f>SUM(H4:H4)</f>
        <v>1500</v>
      </c>
      <c r="I8" s="19"/>
      <c r="J8" s="19"/>
      <c r="K8" s="19"/>
      <c r="L8" s="19"/>
      <c r="M8" s="19"/>
      <c r="N8" s="19"/>
      <c r="O8" s="19"/>
      <c r="P8" s="19"/>
      <c r="Q8" s="19"/>
      <c r="R8" s="38">
        <f t="shared" ref="R8:X8" si="1">SUM(R4:R4)</f>
        <v>254.55</v>
      </c>
      <c r="S8" s="37">
        <f t="shared" si="1"/>
        <v>1245.45</v>
      </c>
      <c r="T8" s="38"/>
      <c r="U8" s="38"/>
      <c r="V8" s="39">
        <f t="shared" si="1"/>
        <v>112.09</v>
      </c>
      <c r="W8" s="39">
        <f t="shared" si="1"/>
        <v>112.09</v>
      </c>
      <c r="X8" s="39">
        <f t="shared" si="1"/>
        <v>0</v>
      </c>
      <c r="Y8" s="39"/>
      <c r="Z8" s="39"/>
      <c r="AA8" s="39"/>
      <c r="AB8" s="38">
        <f t="shared" ref="AB8:AE8" si="2">SUM(AB4:AB4)</f>
        <v>224.18</v>
      </c>
      <c r="AC8" s="40">
        <f t="shared" si="2"/>
        <v>1469.63</v>
      </c>
      <c r="AD8" s="41">
        <f t="shared" si="2"/>
        <v>120</v>
      </c>
      <c r="AE8" s="41">
        <f t="shared" si="2"/>
        <v>0</v>
      </c>
      <c r="AF8" s="40"/>
      <c r="AG8" s="41">
        <f t="shared" ref="AG8:AK8" si="3">SUM(AG4:AG4)</f>
        <v>0</v>
      </c>
      <c r="AH8" s="41">
        <f t="shared" si="0"/>
        <v>0</v>
      </c>
      <c r="AI8" s="41">
        <f t="shared" si="3"/>
        <v>1245.45</v>
      </c>
      <c r="AJ8" s="41">
        <f t="shared" si="3"/>
        <v>0</v>
      </c>
      <c r="AK8" s="41">
        <f t="shared" si="3"/>
        <v>0</v>
      </c>
      <c r="AL8" s="40"/>
      <c r="AM8" s="40"/>
      <c r="AN8" s="40"/>
      <c r="AO8" s="40"/>
      <c r="AP8" s="40"/>
      <c r="AQ8" s="40"/>
      <c r="AR8" s="40"/>
      <c r="AS8" s="4"/>
      <c r="AT8" s="4"/>
      <c r="AU8" s="5"/>
      <c r="AV8" s="5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90</v>
      </c>
      <c r="H10" s="43"/>
      <c r="I10" s="44">
        <f>H8</f>
        <v>1500</v>
      </c>
      <c r="J10" s="44"/>
      <c r="K10" s="4"/>
      <c r="L10" s="4"/>
      <c r="M10" s="45" t="s">
        <v>91</v>
      </c>
      <c r="N10" s="46"/>
      <c r="O10" s="46"/>
      <c r="P10" s="47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92</v>
      </c>
      <c r="BI10" s="121" t="s">
        <v>93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94</v>
      </c>
      <c r="H11" s="43"/>
      <c r="I11" s="44">
        <f>R8</f>
        <v>254.55</v>
      </c>
      <c r="J11" s="44"/>
      <c r="K11" s="4"/>
      <c r="L11" s="4"/>
      <c r="M11" s="48">
        <v>1</v>
      </c>
      <c r="N11" s="48" t="s">
        <v>76</v>
      </c>
      <c r="O11" s="48">
        <v>2</v>
      </c>
      <c r="P11" s="48" t="s">
        <v>95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 t="s">
        <v>96</v>
      </c>
      <c r="BI11" s="121" t="s">
        <v>97</v>
      </c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98</v>
      </c>
      <c r="H12" s="43"/>
      <c r="I12" s="44">
        <f>S8</f>
        <v>1245.45</v>
      </c>
      <c r="J12" s="44"/>
      <c r="K12" s="4"/>
      <c r="L12" s="4"/>
      <c r="M12" s="19">
        <v>1</v>
      </c>
      <c r="N12" s="19" t="s">
        <v>76</v>
      </c>
      <c r="O12" s="19">
        <v>2.5</v>
      </c>
      <c r="P12" s="19" t="s">
        <v>99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100</v>
      </c>
      <c r="H13" s="43"/>
      <c r="I13" s="44">
        <f>AB8</f>
        <v>224.18</v>
      </c>
      <c r="J13" s="44"/>
      <c r="K13" s="4"/>
      <c r="L13" s="4"/>
      <c r="M13" s="19">
        <v>1</v>
      </c>
      <c r="N13" s="19" t="s">
        <v>95</v>
      </c>
      <c r="O13" s="19">
        <v>0.001</v>
      </c>
      <c r="P13" s="19" t="s">
        <v>101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ht="15.75" spans="1:69">
      <c r="A14" s="4"/>
      <c r="B14" s="4"/>
      <c r="C14" s="4"/>
      <c r="D14" s="4"/>
      <c r="E14" s="4"/>
      <c r="F14" s="4"/>
      <c r="G14" s="42" t="s">
        <v>102</v>
      </c>
      <c r="H14" s="43"/>
      <c r="I14" s="49">
        <f>I12+I13</f>
        <v>1469.63</v>
      </c>
      <c r="J14" s="49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 t="s">
        <v>103</v>
      </c>
      <c r="BN15" s="4" t="s">
        <v>104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105</v>
      </c>
      <c r="BL16" s="4">
        <v>12.5</v>
      </c>
      <c r="BM16" s="4">
        <f>BL18*BL19</f>
        <v>18277.77</v>
      </c>
      <c r="BN16" s="4">
        <f>BL16*BL17</f>
        <v>6092.59</v>
      </c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106</v>
      </c>
      <c r="BL17" s="4">
        <v>487.4072</v>
      </c>
      <c r="BM17" s="4">
        <f>BL16+BL18</f>
        <v>50</v>
      </c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107</v>
      </c>
      <c r="BL18" s="4">
        <v>37.5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 t="s">
        <v>108</v>
      </c>
      <c r="BL19" s="4">
        <v>487.4072</v>
      </c>
      <c r="BM19" s="4"/>
      <c r="BN19" s="4"/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>
        <f>BM16+BN16</f>
        <v>24370.36</v>
      </c>
      <c r="BN20" s="4">
        <f>BM20/BM17</f>
        <v>487.4072</v>
      </c>
      <c r="BO20" s="4"/>
      <c r="BP20" s="5"/>
      <c r="BQ20" s="5"/>
    </row>
    <row r="21" spans="1:69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5"/>
      <c r="BQ21" s="5"/>
    </row>
  </sheetData>
  <mergeCells count="12">
    <mergeCell ref="A2:B2"/>
    <mergeCell ref="G10:H10"/>
    <mergeCell ref="I10:J10"/>
    <mergeCell ref="M10:P10"/>
    <mergeCell ref="G11:H11"/>
    <mergeCell ref="I11:J11"/>
    <mergeCell ref="G12:H12"/>
    <mergeCell ref="I12:J12"/>
    <mergeCell ref="G13:H13"/>
    <mergeCell ref="I13:J13"/>
    <mergeCell ref="G14:H14"/>
    <mergeCell ref="I14:J14"/>
  </mergeCells>
  <hyperlinks>
    <hyperlink ref="AS4" r:id="rId1" display="INS" tooltip="https://webappqc.roadmaperp.com:8765/ords/r/rmqc27/scm-us9011/warehouse1?p367019101_rowid=AAATkUAAHAADnkPAAX&amp;p367019101_store_id=INS WH-1&amp;session=1523407412914"/>
    <hyperlink ref="AS7" r:id="rId1" display="INS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1"/>
  <sheetViews>
    <sheetView topLeftCell="AA1" workbookViewId="0">
      <selection activeCell="AT4" sqref="AT4"/>
    </sheetView>
  </sheetViews>
  <sheetFormatPr defaultColWidth="8.84761904761905" defaultRowHeight="15"/>
  <cols>
    <col min="2" max="2" width="28" customWidth="1"/>
    <col min="3" max="3" width="30.4285714285714" customWidth="1"/>
    <col min="18" max="18" width="9.28571428571429"/>
    <col min="19" max="19" width="10.5714285714286"/>
    <col min="20" max="20" width="10.7142857142857"/>
    <col min="28" max="28" width="9.28571428571429"/>
    <col min="29" max="29" width="10.5714285714286"/>
    <col min="35" max="35" width="10"/>
    <col min="40" max="40" width="22" customWidth="1"/>
    <col min="44" max="44" width="11.4285714285714" customWidth="1"/>
    <col min="48" max="48" width="11.7142857142857"/>
    <col min="49" max="49" width="12.847619047619"/>
    <col min="50" max="50" width="16.7142857142857" customWidth="1"/>
    <col min="51" max="51" width="12.847619047619"/>
    <col min="52" max="52" width="10.7142857142857" customWidth="1"/>
    <col min="64" max="64" width="11" customWidth="1"/>
    <col min="65" max="65" width="11.7142857142857"/>
    <col min="66" max="66" width="9.71428571428571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46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147</v>
      </c>
      <c r="C4" s="19" t="s">
        <v>147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8</v>
      </c>
      <c r="K4" s="20">
        <v>5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114</v>
      </c>
      <c r="P4" s="20">
        <f>ROUND(N4-O4,2)</f>
        <v>1311</v>
      </c>
      <c r="Q4" s="20">
        <f>ROUND(P4*K4%,2)</f>
        <v>65.55</v>
      </c>
      <c r="R4" s="20">
        <f>M4+O4+Q4</f>
        <v>254.55</v>
      </c>
      <c r="S4" s="20">
        <f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0</v>
      </c>
      <c r="AC4" s="21">
        <f>IF($V2=1,S4+AB4,S4)</f>
        <v>1245.45</v>
      </c>
      <c r="AD4" s="22">
        <v>120</v>
      </c>
      <c r="AE4" s="22">
        <f>IF($P$2=1,(S4/$S$8)*$E$19,AD4/$AD$8*$E$19)</f>
        <v>0</v>
      </c>
      <c r="AF4" s="22"/>
      <c r="AG4" s="22">
        <f>IF($P$2=1,(S4/$S$8)*$E$21,AD4/$AD$8*$E$21)</f>
        <v>0</v>
      </c>
      <c r="AH4" s="22">
        <f t="shared" ref="AH4:AH8" si="0">IF($P$2=1,(S4/$S$8)*$E$22,AD4/$AD$8*$E$22)</f>
        <v>0</v>
      </c>
      <c r="AI4" s="22">
        <f>S4*$M$2</f>
        <v>105863.25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</v>
      </c>
      <c r="AN4" s="23">
        <f>ROUND(AI4/AM4,3)</f>
        <v>10586.325</v>
      </c>
      <c r="AO4" s="22">
        <f>AJ4/AM4</f>
        <v>0</v>
      </c>
      <c r="AP4" s="22">
        <f>AK4/AM4</f>
        <v>0</v>
      </c>
      <c r="AQ4" s="22" t="s">
        <v>76</v>
      </c>
      <c r="AR4" s="23">
        <f>AN4+AO4+AP4</f>
        <v>10586.325</v>
      </c>
      <c r="AS4" s="24" t="s">
        <v>200</v>
      </c>
      <c r="AT4" s="25" t="s">
        <v>76</v>
      </c>
      <c r="AU4" t="s">
        <v>78</v>
      </c>
      <c r="AV4" t="s">
        <v>206</v>
      </c>
      <c r="AW4" s="25">
        <f>AM4</f>
        <v>10</v>
      </c>
      <c r="AX4" s="26">
        <f>AR4</f>
        <v>10586.325</v>
      </c>
      <c r="AY4" s="25">
        <f>AU4+AW4</f>
        <v>10</v>
      </c>
      <c r="AZ4" s="25">
        <f>ROUND(((AU4*AV4)+(AW4*AX4))/(AU4+AW4),5)</f>
        <v>10586.325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202</v>
      </c>
      <c r="BM4" t="s">
        <v>207</v>
      </c>
      <c r="BN4" t="s">
        <v>204</v>
      </c>
      <c r="BO4" s="25">
        <f>ROUND((((AW4*AZ4)+(BN4*BM4))/(AW4+BN4)),5)</f>
        <v>5355.435</v>
      </c>
      <c r="BP4" s="31">
        <f>ROUND(BN4+AW4,3)</f>
        <v>20</v>
      </c>
      <c r="BQ4" s="32">
        <v>123562</v>
      </c>
    </row>
    <row r="5" ht="15.75" spans="1:69">
      <c r="A5" s="19"/>
      <c r="B5" s="19"/>
      <c r="C5" s="19"/>
      <c r="D5" s="19"/>
      <c r="E5" s="19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1"/>
      <c r="AD5" s="22"/>
      <c r="AE5" s="22"/>
      <c r="AF5" s="22"/>
      <c r="AG5" s="22"/>
      <c r="AH5" s="22"/>
      <c r="AI5" s="22"/>
      <c r="AJ5" s="22"/>
      <c r="AK5" s="22"/>
      <c r="AL5" s="23"/>
      <c r="AM5" s="22"/>
      <c r="AN5" s="23"/>
      <c r="AO5" s="22"/>
      <c r="AP5" s="22"/>
      <c r="AQ5" s="22"/>
      <c r="AR5" s="23"/>
      <c r="AS5" s="24"/>
      <c r="AT5" s="25"/>
      <c r="AW5" s="25"/>
      <c r="AX5" s="26"/>
      <c r="AY5" s="25"/>
      <c r="AZ5" s="25"/>
      <c r="BA5" s="27"/>
      <c r="BB5" s="27"/>
      <c r="BC5" s="28"/>
      <c r="BD5" s="29"/>
      <c r="BE5" s="29"/>
      <c r="BF5" s="27"/>
      <c r="BG5" s="27"/>
      <c r="BH5" s="27"/>
      <c r="BI5" s="25"/>
      <c r="BJ5" s="25"/>
      <c r="BK5" s="25"/>
      <c r="BL5" s="30"/>
      <c r="BO5" s="25"/>
      <c r="BP5" s="31"/>
      <c r="BQ5" s="32"/>
    </row>
    <row r="6" ht="46.5" spans="1:69">
      <c r="A6" s="9" t="s">
        <v>9</v>
      </c>
      <c r="B6" s="9" t="s">
        <v>10</v>
      </c>
      <c r="C6" s="9" t="s">
        <v>11</v>
      </c>
      <c r="D6" s="9" t="s">
        <v>12</v>
      </c>
      <c r="E6" s="9" t="s">
        <v>13</v>
      </c>
      <c r="F6" s="9" t="s">
        <v>14</v>
      </c>
      <c r="G6" s="9" t="s">
        <v>15</v>
      </c>
      <c r="H6" s="9" t="s">
        <v>16</v>
      </c>
      <c r="I6" s="10" t="s">
        <v>17</v>
      </c>
      <c r="J6" s="10" t="s">
        <v>18</v>
      </c>
      <c r="K6" s="10" t="s">
        <v>19</v>
      </c>
      <c r="L6" s="11" t="s">
        <v>20</v>
      </c>
      <c r="M6" s="11" t="s">
        <v>21</v>
      </c>
      <c r="N6" s="11" t="s">
        <v>22</v>
      </c>
      <c r="O6" s="11" t="s">
        <v>23</v>
      </c>
      <c r="P6" s="11" t="s">
        <v>24</v>
      </c>
      <c r="Q6" s="11" t="s">
        <v>25</v>
      </c>
      <c r="R6" s="10" t="s">
        <v>26</v>
      </c>
      <c r="S6" s="9" t="s">
        <v>27</v>
      </c>
      <c r="T6" s="9" t="s">
        <v>28</v>
      </c>
      <c r="U6" s="12" t="s">
        <v>29</v>
      </c>
      <c r="V6" s="12" t="s">
        <v>30</v>
      </c>
      <c r="W6" s="12" t="s">
        <v>31</v>
      </c>
      <c r="X6" s="12" t="s">
        <v>32</v>
      </c>
      <c r="Y6" s="13" t="s">
        <v>33</v>
      </c>
      <c r="Z6" s="13" t="s">
        <v>34</v>
      </c>
      <c r="AA6" s="13" t="s">
        <v>35</v>
      </c>
      <c r="AB6" s="13" t="s">
        <v>36</v>
      </c>
      <c r="AC6" s="14" t="s">
        <v>37</v>
      </c>
      <c r="AD6" s="14" t="s">
        <v>38</v>
      </c>
      <c r="AE6" s="14" t="s">
        <v>39</v>
      </c>
      <c r="AF6" s="14" t="s">
        <v>40</v>
      </c>
      <c r="AG6" s="14" t="s">
        <v>41</v>
      </c>
      <c r="AH6" s="14" t="s">
        <v>42</v>
      </c>
      <c r="AI6" s="14" t="s">
        <v>43</v>
      </c>
      <c r="AJ6" s="14" t="s">
        <v>44</v>
      </c>
      <c r="AK6" s="14" t="s">
        <v>45</v>
      </c>
      <c r="AL6" s="14" t="s">
        <v>46</v>
      </c>
      <c r="AM6" s="14" t="s">
        <v>47</v>
      </c>
      <c r="AN6" s="14" t="s">
        <v>48</v>
      </c>
      <c r="AO6" s="14" t="s">
        <v>49</v>
      </c>
      <c r="AP6" s="14" t="s">
        <v>50</v>
      </c>
      <c r="AQ6" s="14" t="s">
        <v>51</v>
      </c>
      <c r="AR6" s="15" t="s">
        <v>52</v>
      </c>
      <c r="AS6" s="16" t="s">
        <v>53</v>
      </c>
      <c r="AT6" s="16" t="s">
        <v>51</v>
      </c>
      <c r="AW6" s="17" t="s">
        <v>56</v>
      </c>
      <c r="AX6" s="17" t="s">
        <v>57</v>
      </c>
      <c r="AY6" s="17" t="s">
        <v>58</v>
      </c>
      <c r="AZ6" s="17" t="s">
        <v>59</v>
      </c>
      <c r="BA6" s="17" t="s">
        <v>60</v>
      </c>
      <c r="BB6" s="17" t="s">
        <v>61</v>
      </c>
      <c r="BC6" s="18" t="s">
        <v>62</v>
      </c>
      <c r="BD6" s="18" t="s">
        <v>63</v>
      </c>
      <c r="BE6" s="18" t="s">
        <v>64</v>
      </c>
      <c r="BF6" s="17" t="s">
        <v>65</v>
      </c>
      <c r="BG6" s="17" t="s">
        <v>66</v>
      </c>
      <c r="BH6" s="17" t="s">
        <v>67</v>
      </c>
      <c r="BI6" s="17" t="s">
        <v>68</v>
      </c>
      <c r="BJ6" s="17" t="s">
        <v>69</v>
      </c>
      <c r="BK6" s="17" t="s">
        <v>70</v>
      </c>
      <c r="BL6" s="17" t="s">
        <v>71</v>
      </c>
      <c r="BO6" s="17" t="s">
        <v>59</v>
      </c>
      <c r="BP6" s="17" t="s">
        <v>74</v>
      </c>
      <c r="BQ6" s="17" t="s">
        <v>28</v>
      </c>
    </row>
    <row r="7" ht="15.75" spans="1:69">
      <c r="A7" s="19">
        <v>1</v>
      </c>
      <c r="B7" s="19" t="s">
        <v>147</v>
      </c>
      <c r="C7" s="19" t="s">
        <v>147</v>
      </c>
      <c r="D7" s="19" t="s">
        <v>76</v>
      </c>
      <c r="E7" s="19" t="s">
        <v>76</v>
      </c>
      <c r="F7" s="20">
        <v>5</v>
      </c>
      <c r="G7" s="20">
        <v>150</v>
      </c>
      <c r="H7" s="20">
        <f>F7*G7</f>
        <v>750</v>
      </c>
      <c r="I7" s="20">
        <v>5</v>
      </c>
      <c r="J7" s="20">
        <v>8</v>
      </c>
      <c r="K7" s="20">
        <v>5</v>
      </c>
      <c r="L7" s="20">
        <f>H7</f>
        <v>750</v>
      </c>
      <c r="M7" s="20">
        <f>ROUND(L7*I7%,2)</f>
        <v>37.5</v>
      </c>
      <c r="N7" s="20">
        <f>H7-M7</f>
        <v>712.5</v>
      </c>
      <c r="O7" s="20">
        <f>ROUND(N7*J7%,2)</f>
        <v>57</v>
      </c>
      <c r="P7" s="20">
        <f>ROUND(N7-O7,2)</f>
        <v>655.5</v>
      </c>
      <c r="Q7" s="20">
        <f>ROUND(P7*K7%,2)</f>
        <v>32.78</v>
      </c>
      <c r="R7" s="20">
        <f>M7+O7+Q7</f>
        <v>127.28</v>
      </c>
      <c r="S7" s="20">
        <f>(H7-R7)</f>
        <v>622.72</v>
      </c>
      <c r="T7" s="20">
        <v>88363222</v>
      </c>
      <c r="U7" s="20">
        <v>18</v>
      </c>
      <c r="V7" s="20">
        <f>IF(OR($C$2=1,$C$2=4),ROUND((((S7*U7)/100)/2),2),0)</f>
        <v>0</v>
      </c>
      <c r="W7" s="20">
        <f>IF($C$2=1,ROUND((((S7*U7)/100)/2),2),0)</f>
        <v>0</v>
      </c>
      <c r="X7" s="20">
        <f>IF($C$2=2,ROUND(((S7*U7)/100),2),0)</f>
        <v>0</v>
      </c>
      <c r="Y7" s="20">
        <f>IF($C$2=4,ROUND((((S7*U7)/100)/2),2),0)</f>
        <v>0</v>
      </c>
      <c r="Z7" s="20">
        <v>0</v>
      </c>
      <c r="AA7" s="20">
        <f>IF($C3=3,0,(S7*Z7)/100)</f>
        <v>0</v>
      </c>
      <c r="AB7" s="20">
        <f>V7+W7+X7+Y7+AA7</f>
        <v>0</v>
      </c>
      <c r="AC7" s="20">
        <f>IF($V3=1,S7+AB7,S7)</f>
        <v>622.72</v>
      </c>
      <c r="AD7" s="22">
        <v>120</v>
      </c>
      <c r="AE7" s="22">
        <f>IF($P$2=1,(S7/$S$8)*$E$19,AD7/$AD$8*$E$19)</f>
        <v>0</v>
      </c>
      <c r="AF7" s="22"/>
      <c r="AG7" s="22">
        <f>IF($P$2=1,(S7/$S$8)*$E$21,AD7/$AD$8*$E$21)</f>
        <v>0</v>
      </c>
      <c r="AH7" s="22">
        <f t="shared" si="0"/>
        <v>0</v>
      </c>
      <c r="AI7" s="22">
        <f>S7*$M$2</f>
        <v>52931.2</v>
      </c>
      <c r="AJ7" s="22">
        <f>IF($C$2=3,0,AG7+AH7)</f>
        <v>0</v>
      </c>
      <c r="AK7" s="22">
        <f>IF($C$2=3,AE7+AG7+AH7,0)</f>
        <v>0</v>
      </c>
      <c r="AL7" s="23">
        <v>1</v>
      </c>
      <c r="AM7" s="22">
        <f>F7/AL7</f>
        <v>5</v>
      </c>
      <c r="AN7" s="22">
        <f>AI7/AM7</f>
        <v>10586.24</v>
      </c>
      <c r="AO7" s="22">
        <f>AJ7/AM7</f>
        <v>0</v>
      </c>
      <c r="AP7" s="22">
        <f>AK7/AM7</f>
        <v>0</v>
      </c>
      <c r="AQ7" s="22" t="s">
        <v>76</v>
      </c>
      <c r="AR7" s="22">
        <f>AN7+AO7+AP7</f>
        <v>10586.24</v>
      </c>
      <c r="AS7" s="24" t="s">
        <v>200</v>
      </c>
      <c r="AT7" s="25" t="s">
        <v>76</v>
      </c>
      <c r="AU7" t="s">
        <v>78</v>
      </c>
      <c r="AV7" t="s">
        <v>206</v>
      </c>
      <c r="AW7" s="25">
        <f>AM7</f>
        <v>5</v>
      </c>
      <c r="AX7" s="25">
        <f>AR7</f>
        <v>10586.24</v>
      </c>
      <c r="AY7" s="25">
        <f>AU7+AW7</f>
        <v>5</v>
      </c>
      <c r="AZ7" s="25">
        <f>ROUND(((AU7*AV7)+(AW7*AX7))/(AU7+AW7),5)</f>
        <v>10586.24</v>
      </c>
      <c r="BA7" s="27"/>
      <c r="BB7" s="27" t="s">
        <v>80</v>
      </c>
      <c r="BC7" s="28" t="s">
        <v>81</v>
      </c>
      <c r="BD7" s="29" t="s">
        <v>82</v>
      </c>
      <c r="BE7" s="29" t="s">
        <v>83</v>
      </c>
      <c r="BF7" s="27"/>
      <c r="BG7" s="27"/>
      <c r="BH7" s="27"/>
      <c r="BI7" s="25"/>
      <c r="BJ7" s="25"/>
      <c r="BK7" s="25"/>
      <c r="BL7" s="30" t="s">
        <v>202</v>
      </c>
      <c r="BM7" t="s">
        <v>207</v>
      </c>
      <c r="BN7" t="s">
        <v>204</v>
      </c>
      <c r="BO7" s="25">
        <f>ROUND((((AW7*AZ7)+(BN7*BM7))/(AW7+BN7)),5)</f>
        <v>3611.77667</v>
      </c>
      <c r="BP7" s="31">
        <f>ROUND(BN7+AW7,3)</f>
        <v>15</v>
      </c>
      <c r="BQ7" s="32">
        <v>123562</v>
      </c>
    </row>
    <row r="8" ht="15.75" spans="1:69">
      <c r="A8" s="4"/>
      <c r="B8" s="34"/>
      <c r="C8" s="34"/>
      <c r="D8" s="35" t="s">
        <v>89</v>
      </c>
      <c r="E8" s="35"/>
      <c r="F8" s="35"/>
      <c r="G8" s="36"/>
      <c r="H8" s="37">
        <f>SUM(H4:H4)</f>
        <v>1500</v>
      </c>
      <c r="I8" s="19"/>
      <c r="J8" s="19"/>
      <c r="K8" s="19"/>
      <c r="L8" s="19"/>
      <c r="M8" s="19"/>
      <c r="N8" s="19"/>
      <c r="O8" s="19"/>
      <c r="P8" s="19"/>
      <c r="Q8" s="19"/>
      <c r="R8" s="38">
        <f t="shared" ref="R8:X8" si="1">SUM(R4:R4)</f>
        <v>254.55</v>
      </c>
      <c r="S8" s="37">
        <f t="shared" si="1"/>
        <v>1245.45</v>
      </c>
      <c r="T8" s="38"/>
      <c r="U8" s="38"/>
      <c r="V8" s="39">
        <f t="shared" si="1"/>
        <v>0</v>
      </c>
      <c r="W8" s="39">
        <f t="shared" si="1"/>
        <v>0</v>
      </c>
      <c r="X8" s="39">
        <f t="shared" si="1"/>
        <v>0</v>
      </c>
      <c r="Y8" s="39"/>
      <c r="Z8" s="39"/>
      <c r="AA8" s="39"/>
      <c r="AB8" s="38">
        <f t="shared" ref="AB8:AE8" si="2">SUM(AB4:AB4)</f>
        <v>0</v>
      </c>
      <c r="AC8" s="40">
        <f t="shared" si="2"/>
        <v>1245.45</v>
      </c>
      <c r="AD8" s="41">
        <f t="shared" si="2"/>
        <v>120</v>
      </c>
      <c r="AE8" s="41">
        <f t="shared" si="2"/>
        <v>0</v>
      </c>
      <c r="AF8" s="40"/>
      <c r="AG8" s="41">
        <f t="shared" ref="AG8:AK8" si="3">SUM(AG4:AG4)</f>
        <v>0</v>
      </c>
      <c r="AH8" s="41">
        <f t="shared" si="0"/>
        <v>0</v>
      </c>
      <c r="AI8" s="41">
        <f t="shared" si="3"/>
        <v>105863.25</v>
      </c>
      <c r="AJ8" s="41">
        <f t="shared" si="3"/>
        <v>0</v>
      </c>
      <c r="AK8" s="41">
        <f t="shared" si="3"/>
        <v>0</v>
      </c>
      <c r="AL8" s="40"/>
      <c r="AM8" s="40"/>
      <c r="AN8" s="40"/>
      <c r="AO8" s="40"/>
      <c r="AP8" s="40"/>
      <c r="AQ8" s="40"/>
      <c r="AR8" s="40"/>
      <c r="AS8" s="4"/>
      <c r="AT8" s="4"/>
      <c r="AU8" s="5"/>
      <c r="AV8" s="5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90</v>
      </c>
      <c r="H10" s="43"/>
      <c r="I10" s="44">
        <f>H8</f>
        <v>1500</v>
      </c>
      <c r="J10" s="44"/>
      <c r="K10" s="4"/>
      <c r="L10" s="4"/>
      <c r="M10" s="45" t="s">
        <v>91</v>
      </c>
      <c r="N10" s="46"/>
      <c r="O10" s="46"/>
      <c r="P10" s="47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92</v>
      </c>
      <c r="BI10" s="121" t="s">
        <v>93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94</v>
      </c>
      <c r="H11" s="43"/>
      <c r="I11" s="44">
        <f>R8</f>
        <v>254.55</v>
      </c>
      <c r="J11" s="44"/>
      <c r="K11" s="4"/>
      <c r="L11" s="4"/>
      <c r="M11" s="48">
        <v>1</v>
      </c>
      <c r="N11" s="48" t="s">
        <v>76</v>
      </c>
      <c r="O11" s="48">
        <v>2</v>
      </c>
      <c r="P11" s="48" t="s">
        <v>95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 t="s">
        <v>96</v>
      </c>
      <c r="BI11" s="121" t="s">
        <v>97</v>
      </c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98</v>
      </c>
      <c r="H12" s="43"/>
      <c r="I12" s="44">
        <f>S8</f>
        <v>1245.45</v>
      </c>
      <c r="J12" s="44"/>
      <c r="K12" s="4"/>
      <c r="L12" s="4"/>
      <c r="M12" s="19">
        <v>1</v>
      </c>
      <c r="N12" s="19" t="s">
        <v>76</v>
      </c>
      <c r="O12" s="19">
        <v>2.5</v>
      </c>
      <c r="P12" s="19" t="s">
        <v>99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100</v>
      </c>
      <c r="H13" s="43"/>
      <c r="I13" s="44">
        <f>AB8</f>
        <v>0</v>
      </c>
      <c r="J13" s="44"/>
      <c r="K13" s="4"/>
      <c r="L13" s="4"/>
      <c r="M13" s="19">
        <v>1</v>
      </c>
      <c r="N13" s="19" t="s">
        <v>95</v>
      </c>
      <c r="O13" s="19">
        <v>0.001</v>
      </c>
      <c r="P13" s="19" t="s">
        <v>101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ht="15.75" spans="1:69">
      <c r="A14" s="4"/>
      <c r="B14" s="4"/>
      <c r="C14" s="4"/>
      <c r="D14" s="4"/>
      <c r="E14" s="4"/>
      <c r="F14" s="4"/>
      <c r="G14" s="42" t="s">
        <v>102</v>
      </c>
      <c r="H14" s="43"/>
      <c r="I14" s="49">
        <f>I12+I13</f>
        <v>1245.45</v>
      </c>
      <c r="J14" s="49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 t="s">
        <v>103</v>
      </c>
      <c r="BN15" s="4" t="s">
        <v>104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105</v>
      </c>
      <c r="BL16" s="4">
        <v>12.5</v>
      </c>
      <c r="BM16" s="4">
        <f>BL18*BL19</f>
        <v>18277.77</v>
      </c>
      <c r="BN16" s="4">
        <f>BL16*BL17</f>
        <v>6092.59</v>
      </c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106</v>
      </c>
      <c r="BL17" s="4">
        <v>487.4072</v>
      </c>
      <c r="BM17" s="4">
        <f>BL16+BL18</f>
        <v>50</v>
      </c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107</v>
      </c>
      <c r="BL18" s="4">
        <v>37.5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 t="s">
        <v>108</v>
      </c>
      <c r="BL19" s="4">
        <v>487.4072</v>
      </c>
      <c r="BM19" s="4"/>
      <c r="BN19" s="4"/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>
        <f>BM16+BN16</f>
        <v>24370.36</v>
      </c>
      <c r="BN20" s="4">
        <f>BM20/BM17</f>
        <v>487.4072</v>
      </c>
      <c r="BO20" s="4"/>
      <c r="BP20" s="5"/>
      <c r="BQ20" s="5"/>
    </row>
    <row r="21" spans="1:69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5"/>
      <c r="BQ21" s="5"/>
    </row>
  </sheetData>
  <mergeCells count="12">
    <mergeCell ref="A2:B2"/>
    <mergeCell ref="G10:H10"/>
    <mergeCell ref="I10:J10"/>
    <mergeCell ref="M10:P10"/>
    <mergeCell ref="G11:H11"/>
    <mergeCell ref="I11:J11"/>
    <mergeCell ref="G12:H12"/>
    <mergeCell ref="I12:J12"/>
    <mergeCell ref="G13:H13"/>
    <mergeCell ref="I13:J13"/>
    <mergeCell ref="G14:H14"/>
    <mergeCell ref="I14:J14"/>
  </mergeCells>
  <hyperlinks>
    <hyperlink ref="AS4" r:id="rId1" display="INS" tooltip="https://webappqc.roadmaperp.com:8765/ords/r/rmqc27/scm-us9011/warehouse1?p367019101_rowid=AAATkUAAHAADnkPAAX&amp;p367019101_store_id=INS WH-1&amp;session=1523407412914"/>
    <hyperlink ref="AS7" r:id="rId1" display="INS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1"/>
  <sheetViews>
    <sheetView workbookViewId="0">
      <selection activeCell="L6" sqref="L6"/>
    </sheetView>
  </sheetViews>
  <sheetFormatPr defaultColWidth="8.84761904761905" defaultRowHeight="15"/>
  <cols>
    <col min="2" max="2" width="28" customWidth="1"/>
    <col min="3" max="3" width="30.4285714285714" customWidth="1"/>
    <col min="18" max="18" width="9.28571428571429"/>
    <col min="19" max="19" width="10.5714285714286"/>
    <col min="20" max="20" width="10.7142857142857"/>
    <col min="28" max="28" width="9.28571428571429"/>
    <col min="29" max="29" width="10.5714285714286"/>
    <col min="35" max="35" width="10"/>
    <col min="40" max="40" width="9"/>
    <col min="44" max="44" width="9"/>
    <col min="48" max="48" width="11.7142857142857"/>
    <col min="49" max="49" width="12.847619047619"/>
    <col min="50" max="50" width="9.57142857142857"/>
    <col min="51" max="51" width="12.847619047619"/>
    <col min="52" max="52" width="10.7142857142857" customWidth="1"/>
    <col min="64" max="64" width="11" customWidth="1"/>
    <col min="65" max="65" width="11.7142857142857"/>
    <col min="66" max="66" width="9.71428571428571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147</v>
      </c>
      <c r="C4" s="19" t="s">
        <v>147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8</v>
      </c>
      <c r="K4" s="20">
        <v>5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114</v>
      </c>
      <c r="P4" s="20">
        <f>ROUND(N4-O4,2)</f>
        <v>1311</v>
      </c>
      <c r="Q4" s="20">
        <f>ROUND(P4*K4%,2)</f>
        <v>65.55</v>
      </c>
      <c r="R4" s="20">
        <f>M4+O4+Q4</f>
        <v>254.55</v>
      </c>
      <c r="S4" s="20">
        <f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224.18</v>
      </c>
      <c r="AC4" s="21">
        <f>IF($V2=1,S4+AB4,S4)</f>
        <v>1469.63</v>
      </c>
      <c r="AD4" s="22">
        <v>120</v>
      </c>
      <c r="AE4" s="22">
        <f>IF($P$2=1,(S4/$S$8)*$E$19,AD4/$AD$8*$E$19)</f>
        <v>0</v>
      </c>
      <c r="AF4" s="22"/>
      <c r="AG4" s="22">
        <f>IF($P$2=1,(S4/$S$8)*$E$21,AD4/$AD$8*$E$21)</f>
        <v>0</v>
      </c>
      <c r="AH4" s="22">
        <f>IF($P$2=1,(S4/$S$8)*$E$22,AD4/$AD$8*$E$22)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</v>
      </c>
      <c r="AN4" s="23">
        <f>ROUND(AI4/AM4,3)</f>
        <v>124.545</v>
      </c>
      <c r="AO4" s="22">
        <f>AJ4/AM4</f>
        <v>0</v>
      </c>
      <c r="AP4" s="22">
        <f>AK4/AM4</f>
        <v>0</v>
      </c>
      <c r="AQ4" s="22" t="s">
        <v>76</v>
      </c>
      <c r="AR4" s="23">
        <f>AN4+AO4+AP4</f>
        <v>124.545</v>
      </c>
      <c r="AS4" s="24" t="s">
        <v>120</v>
      </c>
      <c r="AT4" s="25" t="s">
        <v>76</v>
      </c>
      <c r="AU4" t="s">
        <v>208</v>
      </c>
      <c r="AV4" t="s">
        <v>209</v>
      </c>
      <c r="AW4" s="25">
        <f>AM4</f>
        <v>10</v>
      </c>
      <c r="AX4" s="26">
        <f>AR4</f>
        <v>124.545</v>
      </c>
      <c r="AY4" s="25">
        <f>AU4+AW4</f>
        <v>737</v>
      </c>
      <c r="AZ4" s="25">
        <f>ROUND(((AU4*AV4)+(AW4*AX4))/(AU4+AW4),5)</f>
        <v>3188.39321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210</v>
      </c>
      <c r="BN4" t="s">
        <v>199</v>
      </c>
      <c r="BO4" s="25">
        <f>ROUND((((AW4*AZ4)+(BN4*BM4))/(AW4+BN4)),5)</f>
        <v>2595.52877</v>
      </c>
      <c r="BP4" s="31">
        <f>ROUND(BN4+AW4,3)</f>
        <v>690</v>
      </c>
      <c r="BQ4" s="32">
        <v>123562</v>
      </c>
    </row>
    <row r="5" ht="15.75" spans="1:69">
      <c r="A5" s="109" t="s">
        <v>211</v>
      </c>
      <c r="B5" s="110"/>
      <c r="C5" s="19"/>
      <c r="D5" s="19"/>
      <c r="E5" s="19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1"/>
      <c r="AD5" s="22"/>
      <c r="AE5" s="22"/>
      <c r="AF5" s="22"/>
      <c r="AG5" s="22"/>
      <c r="AH5" s="22"/>
      <c r="AI5" s="22"/>
      <c r="AJ5" s="22"/>
      <c r="AK5" s="22"/>
      <c r="AL5" s="23"/>
      <c r="AM5" s="22"/>
      <c r="AN5" s="23"/>
      <c r="AO5" s="22"/>
      <c r="AP5" s="22"/>
      <c r="AQ5" s="22"/>
      <c r="AR5" s="23"/>
      <c r="AS5" s="24"/>
      <c r="AT5" s="25"/>
      <c r="AW5" s="25"/>
      <c r="AX5" s="26"/>
      <c r="AY5" s="25"/>
      <c r="AZ5" s="25"/>
      <c r="BA5" s="27"/>
      <c r="BB5" s="27"/>
      <c r="BC5" s="28"/>
      <c r="BD5" s="29"/>
      <c r="BE5" s="29"/>
      <c r="BF5" s="27"/>
      <c r="BG5" s="27"/>
      <c r="BH5" s="27"/>
      <c r="BI5" s="25"/>
      <c r="BJ5" s="25"/>
      <c r="BK5" s="25"/>
      <c r="BL5" s="30"/>
      <c r="BO5" s="25"/>
      <c r="BP5" s="31"/>
      <c r="BQ5" s="32"/>
    </row>
    <row r="6" ht="61.5" spans="1:69">
      <c r="A6" s="9" t="s">
        <v>9</v>
      </c>
      <c r="B6" s="9" t="s">
        <v>10</v>
      </c>
      <c r="C6" s="9" t="s">
        <v>11</v>
      </c>
      <c r="D6" s="9" t="s">
        <v>12</v>
      </c>
      <c r="E6" s="9" t="s">
        <v>13</v>
      </c>
      <c r="F6" s="9" t="s">
        <v>14</v>
      </c>
      <c r="G6" s="9" t="s">
        <v>15</v>
      </c>
      <c r="H6" s="9" t="s">
        <v>16</v>
      </c>
      <c r="I6" s="10" t="s">
        <v>17</v>
      </c>
      <c r="J6" s="10" t="s">
        <v>18</v>
      </c>
      <c r="K6" s="10" t="s">
        <v>19</v>
      </c>
      <c r="L6" s="11" t="s">
        <v>20</v>
      </c>
      <c r="M6" s="11" t="s">
        <v>21</v>
      </c>
      <c r="N6" s="11" t="s">
        <v>22</v>
      </c>
      <c r="O6" s="11" t="s">
        <v>23</v>
      </c>
      <c r="P6" s="11" t="s">
        <v>24</v>
      </c>
      <c r="Q6" s="11" t="s">
        <v>25</v>
      </c>
      <c r="R6" s="10" t="s">
        <v>26</v>
      </c>
      <c r="S6" s="9" t="s">
        <v>27</v>
      </c>
      <c r="T6" s="9" t="s">
        <v>28</v>
      </c>
      <c r="U6" s="12" t="s">
        <v>29</v>
      </c>
      <c r="V6" s="12" t="s">
        <v>30</v>
      </c>
      <c r="W6" s="12" t="s">
        <v>31</v>
      </c>
      <c r="X6" s="12" t="s">
        <v>32</v>
      </c>
      <c r="Y6" s="13" t="s">
        <v>33</v>
      </c>
      <c r="Z6" s="13" t="s">
        <v>34</v>
      </c>
      <c r="AA6" s="13" t="s">
        <v>35</v>
      </c>
      <c r="AB6" s="13" t="s">
        <v>36</v>
      </c>
      <c r="AC6" s="14" t="s">
        <v>37</v>
      </c>
      <c r="AD6" s="14" t="s">
        <v>38</v>
      </c>
      <c r="AE6" s="14" t="s">
        <v>39</v>
      </c>
      <c r="AF6" s="14" t="s">
        <v>40</v>
      </c>
      <c r="AG6" s="14" t="s">
        <v>41</v>
      </c>
      <c r="AH6" s="14" t="s">
        <v>42</v>
      </c>
      <c r="AI6" s="14" t="s">
        <v>43</v>
      </c>
      <c r="AJ6" s="14" t="s">
        <v>44</v>
      </c>
      <c r="AK6" s="14" t="s">
        <v>45</v>
      </c>
      <c r="AL6" s="14" t="s">
        <v>46</v>
      </c>
      <c r="AM6" s="14" t="s">
        <v>47</v>
      </c>
      <c r="AN6" s="14" t="s">
        <v>48</v>
      </c>
      <c r="AO6" s="14" t="s">
        <v>49</v>
      </c>
      <c r="AP6" s="14" t="s">
        <v>50</v>
      </c>
      <c r="AQ6" s="14" t="s">
        <v>51</v>
      </c>
      <c r="AR6" s="15" t="s">
        <v>52</v>
      </c>
      <c r="AS6" s="16" t="s">
        <v>53</v>
      </c>
      <c r="AT6" s="16" t="s">
        <v>51</v>
      </c>
      <c r="AW6" s="17" t="s">
        <v>56</v>
      </c>
      <c r="AX6" s="17" t="s">
        <v>57</v>
      </c>
      <c r="AY6" s="17" t="s">
        <v>58</v>
      </c>
      <c r="AZ6" s="17" t="s">
        <v>59</v>
      </c>
      <c r="BA6" s="17" t="s">
        <v>60</v>
      </c>
      <c r="BB6" s="17" t="s">
        <v>61</v>
      </c>
      <c r="BC6" s="18" t="s">
        <v>62</v>
      </c>
      <c r="BD6" s="18" t="s">
        <v>63</v>
      </c>
      <c r="BE6" s="18" t="s">
        <v>64</v>
      </c>
      <c r="BF6" s="17" t="s">
        <v>65</v>
      </c>
      <c r="BG6" s="17" t="s">
        <v>66</v>
      </c>
      <c r="BH6" s="17" t="s">
        <v>67</v>
      </c>
      <c r="BI6" s="17" t="s">
        <v>68</v>
      </c>
      <c r="BJ6" s="17" t="s">
        <v>69</v>
      </c>
      <c r="BK6" s="17" t="s">
        <v>70</v>
      </c>
      <c r="BL6" s="17" t="s">
        <v>71</v>
      </c>
      <c r="BO6" s="17" t="s">
        <v>59</v>
      </c>
      <c r="BP6" s="17" t="s">
        <v>74</v>
      </c>
      <c r="BQ6" s="17" t="s">
        <v>28</v>
      </c>
    </row>
    <row r="7" ht="15.75" spans="1:69">
      <c r="A7" s="19">
        <v>1</v>
      </c>
      <c r="B7" s="19" t="s">
        <v>147</v>
      </c>
      <c r="C7" s="19" t="s">
        <v>147</v>
      </c>
      <c r="D7" s="19" t="s">
        <v>76</v>
      </c>
      <c r="E7" s="19" t="s">
        <v>76</v>
      </c>
      <c r="F7" s="20">
        <v>5</v>
      </c>
      <c r="G7" s="20">
        <v>150</v>
      </c>
      <c r="H7" s="20">
        <f>F7*G7</f>
        <v>750</v>
      </c>
      <c r="I7" s="20">
        <v>5</v>
      </c>
      <c r="J7" s="20">
        <v>8</v>
      </c>
      <c r="K7" s="20">
        <v>5</v>
      </c>
      <c r="L7" s="20">
        <f>H7</f>
        <v>750</v>
      </c>
      <c r="M7" s="20">
        <f>ROUND(L7*I7%,2)</f>
        <v>37.5</v>
      </c>
      <c r="N7" s="20">
        <f>H7-M7</f>
        <v>712.5</v>
      </c>
      <c r="O7" s="20">
        <f>ROUND(N7*J7%,2)</f>
        <v>57</v>
      </c>
      <c r="P7" s="20">
        <f>ROUND(N7-O7,2)</f>
        <v>655.5</v>
      </c>
      <c r="Q7" s="20">
        <f>ROUND(P7*K7%,2)</f>
        <v>32.78</v>
      </c>
      <c r="R7" s="20">
        <f>M7+O7+Q7</f>
        <v>127.28</v>
      </c>
      <c r="S7" s="20">
        <f>(H7-R7)</f>
        <v>622.72</v>
      </c>
      <c r="T7" s="20">
        <v>88363222</v>
      </c>
      <c r="U7" s="20">
        <v>18</v>
      </c>
      <c r="V7" s="20">
        <f>IF(OR($C$2=1,$C$2=4),ROUND((((S7*U7)/100)/2),2),0)</f>
        <v>0</v>
      </c>
      <c r="W7" s="20">
        <f>IF($C$2=1,ROUND((((S7*U7)/100)/2),2),0)</f>
        <v>0</v>
      </c>
      <c r="X7" s="20">
        <f>IF($C$2=2,ROUND(((S7*U7)/100),2),0)</f>
        <v>112.09</v>
      </c>
      <c r="Y7" s="20">
        <f>IF($C$2=4,ROUND((((S7*U7)/100)/2),2),0)</f>
        <v>0</v>
      </c>
      <c r="Z7" s="20">
        <v>0</v>
      </c>
      <c r="AA7" s="20">
        <f>IF($C3=3,0,(S7*Z7)/100)</f>
        <v>0</v>
      </c>
      <c r="AB7" s="20">
        <f>V7+W7+X7+Y7+AA7</f>
        <v>112.09</v>
      </c>
      <c r="AC7" s="20">
        <f>IF($V3=1,S7+AB7,S7)</f>
        <v>622.72</v>
      </c>
      <c r="AD7" s="22">
        <v>120</v>
      </c>
      <c r="AE7" s="22">
        <f>IF($P$2=1,(S7/$S$8)*$E$19,AD7/$AD$8*$E$19)</f>
        <v>0</v>
      </c>
      <c r="AF7" s="22"/>
      <c r="AG7" s="22">
        <f>IF($P$2=1,(S7/$S$8)*$E$21,AD7/$AD$8*$E$21)</f>
        <v>0</v>
      </c>
      <c r="AH7" s="22">
        <f>IF($P$2=1,(S7/$S$8)*$E$22,AD7/$AD$8*$E$22)</f>
        <v>0</v>
      </c>
      <c r="AI7" s="22">
        <f>S7*$M$2</f>
        <v>622.72</v>
      </c>
      <c r="AJ7" s="22">
        <f>IF($C$2=3,0,AG7+AH7)</f>
        <v>0</v>
      </c>
      <c r="AK7" s="22">
        <f>IF($C$2=3,AE7+AG7+AH7,0)</f>
        <v>0</v>
      </c>
      <c r="AL7" s="23">
        <v>1</v>
      </c>
      <c r="AM7" s="22">
        <f>F7/AL7</f>
        <v>5</v>
      </c>
      <c r="AN7" s="22">
        <f>AI7/AM7</f>
        <v>124.544</v>
      </c>
      <c r="AO7" s="22">
        <f>AJ7/AM7</f>
        <v>0</v>
      </c>
      <c r="AP7" s="22">
        <f>AK7/AM7</f>
        <v>0</v>
      </c>
      <c r="AQ7" s="22" t="s">
        <v>76</v>
      </c>
      <c r="AR7" s="22">
        <f>AN7+AO7+AP7</f>
        <v>124.544</v>
      </c>
      <c r="AS7" s="24" t="s">
        <v>120</v>
      </c>
      <c r="AT7" s="25" t="s">
        <v>76</v>
      </c>
      <c r="AU7" t="s">
        <v>208</v>
      </c>
      <c r="AV7" t="s">
        <v>209</v>
      </c>
      <c r="AW7" s="25">
        <f>AM7</f>
        <v>5</v>
      </c>
      <c r="AX7" s="25">
        <f>AR7</f>
        <v>124.544</v>
      </c>
      <c r="AY7" s="25">
        <f>AU7+AW7</f>
        <v>732</v>
      </c>
      <c r="AZ7" s="25">
        <f>ROUND(((AU7*AV7)+(AW7*AX7))/(AU7+AW7),5)</f>
        <v>3167.46507</v>
      </c>
      <c r="BA7" s="27"/>
      <c r="BB7" s="27" t="s">
        <v>80</v>
      </c>
      <c r="BC7" s="28" t="s">
        <v>81</v>
      </c>
      <c r="BD7" s="29" t="s">
        <v>82</v>
      </c>
      <c r="BE7" s="29" t="s">
        <v>83</v>
      </c>
      <c r="BF7" s="27"/>
      <c r="BG7" s="27"/>
      <c r="BH7" s="27"/>
      <c r="BI7" s="25"/>
      <c r="BJ7" s="25"/>
      <c r="BK7" s="25"/>
      <c r="BL7" s="30" t="s">
        <v>122</v>
      </c>
      <c r="BM7" t="s">
        <v>210</v>
      </c>
      <c r="BN7" t="s">
        <v>199</v>
      </c>
      <c r="BO7" s="25">
        <f>ROUND((((AW7*AZ7)+(BN7*BM7))/(AW7+BN7)),5)</f>
        <v>2591.04854</v>
      </c>
      <c r="BP7" s="31">
        <f>ROUND(BN7+AW7,3)</f>
        <v>685</v>
      </c>
      <c r="BQ7" s="32">
        <v>123562</v>
      </c>
    </row>
    <row r="8" ht="15.75" spans="1:69">
      <c r="A8" s="4"/>
      <c r="B8" s="34"/>
      <c r="C8" s="34"/>
      <c r="D8" s="35" t="s">
        <v>89</v>
      </c>
      <c r="E8" s="35"/>
      <c r="F8" s="35"/>
      <c r="G8" s="36"/>
      <c r="H8" s="37">
        <f>SUM(H4:H4)</f>
        <v>1500</v>
      </c>
      <c r="I8" s="19"/>
      <c r="J8" s="19"/>
      <c r="K8" s="19"/>
      <c r="L8" s="19"/>
      <c r="M8" s="19"/>
      <c r="N8" s="19"/>
      <c r="O8" s="19"/>
      <c r="P8" s="19"/>
      <c r="Q8" s="19"/>
      <c r="R8" s="38">
        <f t="shared" ref="R8:X8" si="0">SUM(R4:R4)</f>
        <v>254.55</v>
      </c>
      <c r="S8" s="37">
        <f t="shared" si="0"/>
        <v>1245.45</v>
      </c>
      <c r="T8" s="38"/>
      <c r="U8" s="38"/>
      <c r="V8" s="39">
        <f t="shared" si="0"/>
        <v>0</v>
      </c>
      <c r="W8" s="39">
        <f t="shared" si="0"/>
        <v>0</v>
      </c>
      <c r="X8" s="39">
        <f t="shared" si="0"/>
        <v>224.18</v>
      </c>
      <c r="Y8" s="39"/>
      <c r="Z8" s="39"/>
      <c r="AA8" s="39"/>
      <c r="AB8" s="38">
        <f t="shared" ref="AB8:AE8" si="1">SUM(AB4:AB4)</f>
        <v>224.18</v>
      </c>
      <c r="AC8" s="40">
        <f t="shared" si="1"/>
        <v>1469.63</v>
      </c>
      <c r="AD8" s="41">
        <f t="shared" si="1"/>
        <v>120</v>
      </c>
      <c r="AE8" s="41">
        <f t="shared" si="1"/>
        <v>0</v>
      </c>
      <c r="AF8" s="40"/>
      <c r="AG8" s="41">
        <f t="shared" ref="AG8:AK8" si="2">SUM(AG4:AG4)</f>
        <v>0</v>
      </c>
      <c r="AH8" s="41">
        <f>IF($P$2=1,(S8/$S$8)*$E$22,AD8/$AD$8*$E$22)</f>
        <v>0</v>
      </c>
      <c r="AI8" s="41">
        <f t="shared" si="2"/>
        <v>1245.45</v>
      </c>
      <c r="AJ8" s="41">
        <f t="shared" si="2"/>
        <v>0</v>
      </c>
      <c r="AK8" s="41">
        <f t="shared" si="2"/>
        <v>0</v>
      </c>
      <c r="AL8" s="40"/>
      <c r="AM8" s="40"/>
      <c r="AN8" s="40"/>
      <c r="AO8" s="40"/>
      <c r="AP8" s="40"/>
      <c r="AQ8" s="40"/>
      <c r="AR8" s="40"/>
      <c r="AS8" s="4"/>
      <c r="AT8" s="4"/>
      <c r="AU8" s="5"/>
      <c r="AV8" s="5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90</v>
      </c>
      <c r="H10" s="43"/>
      <c r="I10" s="44">
        <f>H8</f>
        <v>1500</v>
      </c>
      <c r="J10" s="44"/>
      <c r="K10" s="4"/>
      <c r="L10" s="4"/>
      <c r="M10" s="45" t="s">
        <v>91</v>
      </c>
      <c r="N10" s="46"/>
      <c r="O10" s="46"/>
      <c r="P10" s="47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92</v>
      </c>
      <c r="BI10" s="121" t="s">
        <v>93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94</v>
      </c>
      <c r="H11" s="43"/>
      <c r="I11" s="44">
        <f>R8</f>
        <v>254.55</v>
      </c>
      <c r="J11" s="44"/>
      <c r="K11" s="4"/>
      <c r="L11" s="4"/>
      <c r="M11" s="48">
        <v>1</v>
      </c>
      <c r="N11" s="48" t="s">
        <v>76</v>
      </c>
      <c r="O11" s="48">
        <v>2</v>
      </c>
      <c r="P11" s="48" t="s">
        <v>95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 t="s">
        <v>96</v>
      </c>
      <c r="BI11" s="121" t="s">
        <v>97</v>
      </c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98</v>
      </c>
      <c r="H12" s="43"/>
      <c r="I12" s="44">
        <f>S8</f>
        <v>1245.45</v>
      </c>
      <c r="J12" s="44"/>
      <c r="K12" s="4"/>
      <c r="L12" s="4"/>
      <c r="M12" s="19">
        <v>1</v>
      </c>
      <c r="N12" s="19" t="s">
        <v>76</v>
      </c>
      <c r="O12" s="19">
        <v>2.5</v>
      </c>
      <c r="P12" s="19" t="s">
        <v>99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100</v>
      </c>
      <c r="H13" s="43"/>
      <c r="I13" s="44">
        <f>AB8</f>
        <v>224.18</v>
      </c>
      <c r="J13" s="44"/>
      <c r="K13" s="4"/>
      <c r="L13" s="4"/>
      <c r="M13" s="19">
        <v>1</v>
      </c>
      <c r="N13" s="19" t="s">
        <v>95</v>
      </c>
      <c r="O13" s="19">
        <v>0.001</v>
      </c>
      <c r="P13" s="19" t="s">
        <v>101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ht="15.75" spans="1:69">
      <c r="A14" s="4"/>
      <c r="B14" s="4"/>
      <c r="C14" s="4"/>
      <c r="D14" s="4"/>
      <c r="E14" s="4"/>
      <c r="F14" s="4"/>
      <c r="G14" s="42" t="s">
        <v>102</v>
      </c>
      <c r="H14" s="43"/>
      <c r="I14" s="49">
        <f>I12+I13</f>
        <v>1469.63</v>
      </c>
      <c r="J14" s="49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 t="s">
        <v>103</v>
      </c>
      <c r="BN15" s="4" t="s">
        <v>104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105</v>
      </c>
      <c r="BL16" s="4">
        <v>12.5</v>
      </c>
      <c r="BM16" s="4">
        <f>BL18*BL19</f>
        <v>18277.77</v>
      </c>
      <c r="BN16" s="4">
        <f>BL16*BL17</f>
        <v>6092.59</v>
      </c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106</v>
      </c>
      <c r="BL17" s="4">
        <v>487.4072</v>
      </c>
      <c r="BM17" s="4">
        <f>BL16+BL18</f>
        <v>50</v>
      </c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107</v>
      </c>
      <c r="BL18" s="4">
        <v>37.5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 t="s">
        <v>108</v>
      </c>
      <c r="BL19" s="4">
        <v>487.4072</v>
      </c>
      <c r="BM19" s="4"/>
      <c r="BN19" s="4"/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>
        <f>BM16+BN16</f>
        <v>24370.36</v>
      </c>
      <c r="BN20" s="4">
        <f>BM20/BM17</f>
        <v>487.4072</v>
      </c>
      <c r="BO20" s="4"/>
      <c r="BP20" s="5"/>
      <c r="BQ20" s="5"/>
    </row>
    <row r="21" spans="1:69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5"/>
      <c r="BQ21" s="5"/>
    </row>
  </sheetData>
  <mergeCells count="13">
    <mergeCell ref="A2:B2"/>
    <mergeCell ref="A5:B5"/>
    <mergeCell ref="G10:H10"/>
    <mergeCell ref="I10:J10"/>
    <mergeCell ref="M10:P10"/>
    <mergeCell ref="G11:H11"/>
    <mergeCell ref="I11:J11"/>
    <mergeCell ref="G12:H12"/>
    <mergeCell ref="I12:J12"/>
    <mergeCell ref="G13:H13"/>
    <mergeCell ref="I13:J13"/>
    <mergeCell ref="G14:H14"/>
    <mergeCell ref="I14:J14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7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1"/>
  <sheetViews>
    <sheetView topLeftCell="AO1" workbookViewId="0">
      <selection activeCell="C3" sqref="C3"/>
    </sheetView>
  </sheetViews>
  <sheetFormatPr defaultColWidth="8.84761904761905" defaultRowHeight="15"/>
  <cols>
    <col min="2" max="2" width="28" customWidth="1"/>
    <col min="3" max="3" width="30.4285714285714" customWidth="1"/>
    <col min="18" max="18" width="9.28571428571429"/>
    <col min="19" max="19" width="10.5714285714286"/>
    <col min="20" max="20" width="10.7142857142857"/>
    <col min="28" max="28" width="9.28571428571429"/>
    <col min="29" max="29" width="10.5714285714286"/>
    <col min="35" max="35" width="10"/>
    <col min="40" max="40" width="9"/>
    <col min="44" max="44" width="9"/>
    <col min="48" max="48" width="11.7142857142857"/>
    <col min="49" max="49" width="12.847619047619"/>
    <col min="50" max="50" width="9.57142857142857"/>
    <col min="51" max="51" width="12.847619047619"/>
    <col min="52" max="52" width="10.7142857142857" customWidth="1"/>
    <col min="64" max="64" width="11" customWidth="1"/>
    <col min="65" max="65" width="11.7142857142857"/>
    <col min="66" max="66" width="9.71428571428571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1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147</v>
      </c>
      <c r="C4" s="19" t="s">
        <v>147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8</v>
      </c>
      <c r="K4" s="20">
        <v>5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114</v>
      </c>
      <c r="P4" s="20">
        <f>ROUND(N4-O4,2)</f>
        <v>1311</v>
      </c>
      <c r="Q4" s="20">
        <f>ROUND(P4*K4%,2)</f>
        <v>65.55</v>
      </c>
      <c r="R4" s="20">
        <f>M4+O4+Q4</f>
        <v>254.55</v>
      </c>
      <c r="S4" s="20">
        <f>(H4-R4)</f>
        <v>1245.45</v>
      </c>
      <c r="T4" s="20">
        <v>88363222</v>
      </c>
      <c r="U4" s="20">
        <v>18</v>
      </c>
      <c r="V4" s="20">
        <f>IF(OR($C$2=1,$C$2=4),ROUND((((S4*U4)/100)/2),2),0)</f>
        <v>112.09</v>
      </c>
      <c r="W4" s="20">
        <f>IF($C$2=1,ROUND((((S4*U4)/100)/2),2),0)</f>
        <v>112.09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224.18</v>
      </c>
      <c r="AC4" s="21">
        <f>IF($V2=1,S4+AB4,S4)</f>
        <v>1469.63</v>
      </c>
      <c r="AD4" s="22">
        <v>120</v>
      </c>
      <c r="AE4" s="22">
        <f>IF($P$2=1,(S4/$S$8)*$E$19,AD4/$AD$8*$E$19)</f>
        <v>0</v>
      </c>
      <c r="AF4" s="22"/>
      <c r="AG4" s="22">
        <f>IF($P$2=1,(S4/$S$8)*$E$21,AD4/$AD$8*$E$21)</f>
        <v>0</v>
      </c>
      <c r="AH4" s="22">
        <f t="shared" ref="AH4:AH8" si="0">IF($P$2=1,(S4/$S$8)*$E$22,AD4/$AD$8*$E$22)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</v>
      </c>
      <c r="AN4" s="23">
        <f>ROUND(AI4/AM4,3)</f>
        <v>124.545</v>
      </c>
      <c r="AO4" s="22">
        <f>AJ4/AM4</f>
        <v>0</v>
      </c>
      <c r="AP4" s="22">
        <f>AK4/AM4</f>
        <v>0</v>
      </c>
      <c r="AQ4" s="22" t="s">
        <v>76</v>
      </c>
      <c r="AR4" s="23">
        <f>AN4+AO4+AP4</f>
        <v>124.545</v>
      </c>
      <c r="AS4" s="24" t="s">
        <v>200</v>
      </c>
      <c r="AT4" s="25" t="s">
        <v>76</v>
      </c>
      <c r="AU4" t="s">
        <v>85</v>
      </c>
      <c r="AV4" t="s">
        <v>167</v>
      </c>
      <c r="AW4" s="25">
        <f>AM4</f>
        <v>10</v>
      </c>
      <c r="AX4" s="26">
        <f>AR4</f>
        <v>124.545</v>
      </c>
      <c r="AY4" s="25">
        <f>AU4+AW4</f>
        <v>757</v>
      </c>
      <c r="AZ4" s="25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202</v>
      </c>
      <c r="BM4" t="s">
        <v>212</v>
      </c>
      <c r="BN4" t="s">
        <v>204</v>
      </c>
      <c r="BO4" s="25">
        <f>ROUND((((AW4*AZ4)+(BN4*BM4))/(AW4+BN4)),5)</f>
        <v>2739.99</v>
      </c>
      <c r="BP4" s="31">
        <f>ROUND(BN4+AW4,3)</f>
        <v>690</v>
      </c>
      <c r="BQ4" s="32">
        <v>123562</v>
      </c>
    </row>
    <row r="5" ht="15.75" spans="1:69">
      <c r="A5" s="109" t="s">
        <v>211</v>
      </c>
      <c r="B5" s="110"/>
      <c r="C5" s="19"/>
      <c r="D5" s="19"/>
      <c r="E5" s="19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1"/>
      <c r="AD5" s="22"/>
      <c r="AE5" s="22"/>
      <c r="AF5" s="22"/>
      <c r="AG5" s="22"/>
      <c r="AH5" s="22"/>
      <c r="AI5" s="22"/>
      <c r="AJ5" s="22"/>
      <c r="AK5" s="22"/>
      <c r="AL5" s="23"/>
      <c r="AM5" s="22"/>
      <c r="AN5" s="23"/>
      <c r="AO5" s="22"/>
      <c r="AP5" s="22"/>
      <c r="AQ5" s="22"/>
      <c r="AR5" s="23"/>
      <c r="AS5" s="24"/>
      <c r="AT5" s="25"/>
      <c r="AW5" s="25"/>
      <c r="AX5" s="26"/>
      <c r="AY5" s="25"/>
      <c r="AZ5" s="25"/>
      <c r="BA5" s="27"/>
      <c r="BB5" s="27"/>
      <c r="BC5" s="28"/>
      <c r="BD5" s="29"/>
      <c r="BE5" s="29"/>
      <c r="BF5" s="27"/>
      <c r="BG5" s="27"/>
      <c r="BH5" s="27"/>
      <c r="BI5" s="25"/>
      <c r="BJ5" s="25"/>
      <c r="BK5" s="25"/>
      <c r="BL5" s="30"/>
      <c r="BO5" s="25"/>
      <c r="BP5" s="31"/>
      <c r="BQ5" s="32"/>
    </row>
    <row r="6" ht="61.5" spans="1:69">
      <c r="A6" s="9" t="s">
        <v>9</v>
      </c>
      <c r="B6" s="9" t="s">
        <v>10</v>
      </c>
      <c r="C6" s="9" t="s">
        <v>11</v>
      </c>
      <c r="D6" s="9" t="s">
        <v>12</v>
      </c>
      <c r="E6" s="9" t="s">
        <v>13</v>
      </c>
      <c r="F6" s="9" t="s">
        <v>14</v>
      </c>
      <c r="G6" s="9" t="s">
        <v>15</v>
      </c>
      <c r="H6" s="9" t="s">
        <v>16</v>
      </c>
      <c r="I6" s="10" t="s">
        <v>17</v>
      </c>
      <c r="J6" s="10" t="s">
        <v>18</v>
      </c>
      <c r="K6" s="10" t="s">
        <v>19</v>
      </c>
      <c r="L6" s="11" t="s">
        <v>20</v>
      </c>
      <c r="M6" s="11" t="s">
        <v>21</v>
      </c>
      <c r="N6" s="11" t="s">
        <v>22</v>
      </c>
      <c r="O6" s="11" t="s">
        <v>23</v>
      </c>
      <c r="P6" s="11" t="s">
        <v>24</v>
      </c>
      <c r="Q6" s="11" t="s">
        <v>25</v>
      </c>
      <c r="R6" s="10" t="s">
        <v>26</v>
      </c>
      <c r="S6" s="9" t="s">
        <v>27</v>
      </c>
      <c r="T6" s="9" t="s">
        <v>28</v>
      </c>
      <c r="U6" s="12" t="s">
        <v>29</v>
      </c>
      <c r="V6" s="12" t="s">
        <v>30</v>
      </c>
      <c r="W6" s="12" t="s">
        <v>31</v>
      </c>
      <c r="X6" s="12" t="s">
        <v>32</v>
      </c>
      <c r="Y6" s="13" t="s">
        <v>33</v>
      </c>
      <c r="Z6" s="13" t="s">
        <v>34</v>
      </c>
      <c r="AA6" s="13" t="s">
        <v>35</v>
      </c>
      <c r="AB6" s="13" t="s">
        <v>36</v>
      </c>
      <c r="AC6" s="14" t="s">
        <v>37</v>
      </c>
      <c r="AD6" s="14" t="s">
        <v>38</v>
      </c>
      <c r="AE6" s="14" t="s">
        <v>39</v>
      </c>
      <c r="AF6" s="14" t="s">
        <v>40</v>
      </c>
      <c r="AG6" s="14" t="s">
        <v>41</v>
      </c>
      <c r="AH6" s="14" t="s">
        <v>42</v>
      </c>
      <c r="AI6" s="14" t="s">
        <v>43</v>
      </c>
      <c r="AJ6" s="14" t="s">
        <v>44</v>
      </c>
      <c r="AK6" s="14" t="s">
        <v>45</v>
      </c>
      <c r="AL6" s="14" t="s">
        <v>46</v>
      </c>
      <c r="AM6" s="14" t="s">
        <v>47</v>
      </c>
      <c r="AN6" s="14" t="s">
        <v>48</v>
      </c>
      <c r="AO6" s="14" t="s">
        <v>49</v>
      </c>
      <c r="AP6" s="14" t="s">
        <v>50</v>
      </c>
      <c r="AQ6" s="14" t="s">
        <v>51</v>
      </c>
      <c r="AR6" s="15" t="s">
        <v>52</v>
      </c>
      <c r="AS6" s="16" t="s">
        <v>53</v>
      </c>
      <c r="AT6" s="16" t="s">
        <v>51</v>
      </c>
      <c r="AW6" s="17" t="s">
        <v>56</v>
      </c>
      <c r="AX6" s="17" t="s">
        <v>57</v>
      </c>
      <c r="AY6" s="17" t="s">
        <v>58</v>
      </c>
      <c r="AZ6" s="17" t="s">
        <v>59</v>
      </c>
      <c r="BA6" s="17" t="s">
        <v>60</v>
      </c>
      <c r="BB6" s="17" t="s">
        <v>61</v>
      </c>
      <c r="BC6" s="18" t="s">
        <v>62</v>
      </c>
      <c r="BD6" s="18" t="s">
        <v>63</v>
      </c>
      <c r="BE6" s="18" t="s">
        <v>64</v>
      </c>
      <c r="BF6" s="17" t="s">
        <v>65</v>
      </c>
      <c r="BG6" s="17" t="s">
        <v>66</v>
      </c>
      <c r="BH6" s="17" t="s">
        <v>67</v>
      </c>
      <c r="BI6" s="17" t="s">
        <v>68</v>
      </c>
      <c r="BJ6" s="17" t="s">
        <v>69</v>
      </c>
      <c r="BK6" s="17" t="s">
        <v>70</v>
      </c>
      <c r="BL6" s="17" t="s">
        <v>71</v>
      </c>
      <c r="BO6" s="17" t="s">
        <v>59</v>
      </c>
      <c r="BP6" s="17" t="s">
        <v>74</v>
      </c>
      <c r="BQ6" s="17" t="s">
        <v>28</v>
      </c>
    </row>
    <row r="7" ht="15.75" spans="1:69">
      <c r="A7" s="19">
        <v>1</v>
      </c>
      <c r="B7" s="19" t="s">
        <v>147</v>
      </c>
      <c r="C7" s="19" t="s">
        <v>147</v>
      </c>
      <c r="D7" s="19" t="s">
        <v>76</v>
      </c>
      <c r="E7" s="19" t="s">
        <v>76</v>
      </c>
      <c r="F7" s="20">
        <v>5</v>
      </c>
      <c r="G7" s="20">
        <v>150</v>
      </c>
      <c r="H7" s="20">
        <f>F7*G7</f>
        <v>750</v>
      </c>
      <c r="I7" s="20">
        <v>5</v>
      </c>
      <c r="J7" s="20">
        <v>8</v>
      </c>
      <c r="K7" s="20">
        <v>5</v>
      </c>
      <c r="L7" s="20">
        <f>H7</f>
        <v>750</v>
      </c>
      <c r="M7" s="20">
        <f>ROUND(L7*I7%,2)</f>
        <v>37.5</v>
      </c>
      <c r="N7" s="20">
        <f>H7-M7</f>
        <v>712.5</v>
      </c>
      <c r="O7" s="20">
        <f>ROUND(N7*J7%,2)</f>
        <v>57</v>
      </c>
      <c r="P7" s="20">
        <f>ROUND(N7-O7,2)</f>
        <v>655.5</v>
      </c>
      <c r="Q7" s="20">
        <f>ROUND(P7*K7%,2)</f>
        <v>32.78</v>
      </c>
      <c r="R7" s="20">
        <f>M7+O7+Q7</f>
        <v>127.28</v>
      </c>
      <c r="S7" s="20">
        <f>(H7-R7)</f>
        <v>622.72</v>
      </c>
      <c r="T7" s="20">
        <v>88363222</v>
      </c>
      <c r="U7" s="20">
        <v>18</v>
      </c>
      <c r="V7" s="20">
        <f>IF(OR($C$2=1,$C$2=4),ROUND((((S7*U7)/100)/2),2),0)</f>
        <v>56.04</v>
      </c>
      <c r="W7" s="20">
        <f>IF($C$2=1,ROUND((((S7*U7)/100)/2),2),0)</f>
        <v>56.04</v>
      </c>
      <c r="X7" s="20">
        <f>IF($C$2=2,ROUND(((S7*U7)/100),2),0)</f>
        <v>0</v>
      </c>
      <c r="Y7" s="20">
        <f>IF($C$2=4,ROUND((((S7*U7)/100)/2),2),0)</f>
        <v>0</v>
      </c>
      <c r="Z7" s="20">
        <v>0</v>
      </c>
      <c r="AA7" s="20">
        <f>IF($C3=3,0,(S7*Z7)/100)</f>
        <v>0</v>
      </c>
      <c r="AB7" s="20">
        <f>V7+W7+X7+Y7+AA7</f>
        <v>112.08</v>
      </c>
      <c r="AC7" s="20">
        <f>IF($V3=1,S7+AB7,S7)</f>
        <v>622.72</v>
      </c>
      <c r="AD7" s="22">
        <v>120</v>
      </c>
      <c r="AE7" s="22">
        <f>IF($P$2=1,(S7/$S$8)*$E$19,AD7/$AD$8*$E$19)</f>
        <v>0</v>
      </c>
      <c r="AF7" s="22"/>
      <c r="AG7" s="22">
        <f>IF($P$2=1,(S7/$S$8)*$E$21,AD7/$AD$8*$E$21)</f>
        <v>0</v>
      </c>
      <c r="AH7" s="22">
        <f t="shared" si="0"/>
        <v>0</v>
      </c>
      <c r="AI7" s="22">
        <f>S7*$M$2</f>
        <v>622.72</v>
      </c>
      <c r="AJ7" s="22">
        <f>IF($C$2=3,0,AG7+AH7)</f>
        <v>0</v>
      </c>
      <c r="AK7" s="22">
        <f>IF($C$2=3,AE7+AG7+AH7,0)</f>
        <v>0</v>
      </c>
      <c r="AL7" s="23">
        <v>1</v>
      </c>
      <c r="AM7" s="22">
        <f>F7/AL7</f>
        <v>5</v>
      </c>
      <c r="AN7" s="22">
        <f>AI7/AM7</f>
        <v>124.544</v>
      </c>
      <c r="AO7" s="22">
        <f>AJ7/AM7</f>
        <v>0</v>
      </c>
      <c r="AP7" s="22">
        <f>AK7/AM7</f>
        <v>0</v>
      </c>
      <c r="AQ7" s="22" t="s">
        <v>76</v>
      </c>
      <c r="AR7" s="22">
        <f>AN7+AO7+AP7</f>
        <v>124.544</v>
      </c>
      <c r="AS7" s="24" t="s">
        <v>200</v>
      </c>
      <c r="AT7" s="25" t="s">
        <v>76</v>
      </c>
      <c r="AU7" t="s">
        <v>85</v>
      </c>
      <c r="AV7" t="s">
        <v>167</v>
      </c>
      <c r="AW7" s="25">
        <f>AM7</f>
        <v>5</v>
      </c>
      <c r="AX7" s="25">
        <f>AR7</f>
        <v>124.544</v>
      </c>
      <c r="AY7" s="25">
        <f>AU7+AW7</f>
        <v>752</v>
      </c>
      <c r="AZ7" s="25">
        <f>ROUND(((AU7*AV7)+(AW7*AX7))/(AU7+AW7),5)</f>
        <v>124.544</v>
      </c>
      <c r="BA7" s="27"/>
      <c r="BB7" s="27" t="s">
        <v>80</v>
      </c>
      <c r="BC7" s="28" t="s">
        <v>81</v>
      </c>
      <c r="BD7" s="29" t="s">
        <v>82</v>
      </c>
      <c r="BE7" s="29" t="s">
        <v>83</v>
      </c>
      <c r="BF7" s="27"/>
      <c r="BG7" s="27"/>
      <c r="BH7" s="27"/>
      <c r="BI7" s="25"/>
      <c r="BJ7" s="25"/>
      <c r="BK7" s="25"/>
      <c r="BL7" s="30" t="s">
        <v>202</v>
      </c>
      <c r="BM7" t="s">
        <v>212</v>
      </c>
      <c r="BN7" t="s">
        <v>204</v>
      </c>
      <c r="BO7" s="25">
        <f>ROUND((((AW7*AZ7)+(BN7*BM7))/(AW7+BN7)),5)</f>
        <v>3113.62486</v>
      </c>
      <c r="BP7" s="31">
        <f>ROUND(BN7+AW7,3)</f>
        <v>685</v>
      </c>
      <c r="BQ7" s="32">
        <v>123562</v>
      </c>
    </row>
    <row r="8" ht="15.75" spans="1:69">
      <c r="A8" s="4"/>
      <c r="B8" s="34"/>
      <c r="C8" s="34"/>
      <c r="D8" s="35" t="s">
        <v>89</v>
      </c>
      <c r="E8" s="35"/>
      <c r="F8" s="35"/>
      <c r="G8" s="36"/>
      <c r="H8" s="37">
        <f>SUM(H4:H4)</f>
        <v>1500</v>
      </c>
      <c r="I8" s="19"/>
      <c r="J8" s="19"/>
      <c r="K8" s="19"/>
      <c r="L8" s="19"/>
      <c r="M8" s="19"/>
      <c r="N8" s="19"/>
      <c r="O8" s="19"/>
      <c r="P8" s="19"/>
      <c r="Q8" s="19"/>
      <c r="R8" s="38">
        <f t="shared" ref="R8:X8" si="1">SUM(R4:R4)</f>
        <v>254.55</v>
      </c>
      <c r="S8" s="37">
        <f t="shared" si="1"/>
        <v>1245.45</v>
      </c>
      <c r="T8" s="38"/>
      <c r="U8" s="38"/>
      <c r="V8" s="39">
        <f t="shared" si="1"/>
        <v>112.09</v>
      </c>
      <c r="W8" s="39">
        <f t="shared" si="1"/>
        <v>112.09</v>
      </c>
      <c r="X8" s="39">
        <f t="shared" si="1"/>
        <v>0</v>
      </c>
      <c r="Y8" s="39"/>
      <c r="Z8" s="39"/>
      <c r="AA8" s="39"/>
      <c r="AB8" s="38">
        <f t="shared" ref="AB8:AE8" si="2">SUM(AB4:AB4)</f>
        <v>224.18</v>
      </c>
      <c r="AC8" s="40">
        <f t="shared" si="2"/>
        <v>1469.63</v>
      </c>
      <c r="AD8" s="41">
        <f t="shared" si="2"/>
        <v>120</v>
      </c>
      <c r="AE8" s="41">
        <f t="shared" si="2"/>
        <v>0</v>
      </c>
      <c r="AF8" s="40"/>
      <c r="AG8" s="41">
        <f t="shared" ref="AG8:AK8" si="3">SUM(AG4:AG4)</f>
        <v>0</v>
      </c>
      <c r="AH8" s="41">
        <f t="shared" si="0"/>
        <v>0</v>
      </c>
      <c r="AI8" s="41">
        <f t="shared" si="3"/>
        <v>1245.45</v>
      </c>
      <c r="AJ8" s="41">
        <f t="shared" si="3"/>
        <v>0</v>
      </c>
      <c r="AK8" s="41">
        <f t="shared" si="3"/>
        <v>0</v>
      </c>
      <c r="AL8" s="40"/>
      <c r="AM8" s="40"/>
      <c r="AN8" s="40"/>
      <c r="AO8" s="40"/>
      <c r="AP8" s="40"/>
      <c r="AQ8" s="40"/>
      <c r="AR8" s="40"/>
      <c r="AS8" s="4"/>
      <c r="AT8" s="4"/>
      <c r="AU8" s="5"/>
      <c r="AV8" s="5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90</v>
      </c>
      <c r="H10" s="43"/>
      <c r="I10" s="44">
        <f>H8</f>
        <v>1500</v>
      </c>
      <c r="J10" s="44"/>
      <c r="K10" s="4"/>
      <c r="L10" s="4"/>
      <c r="M10" s="45" t="s">
        <v>91</v>
      </c>
      <c r="N10" s="46"/>
      <c r="O10" s="46"/>
      <c r="P10" s="47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92</v>
      </c>
      <c r="BI10" s="121" t="s">
        <v>93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94</v>
      </c>
      <c r="H11" s="43"/>
      <c r="I11" s="44">
        <f>R8</f>
        <v>254.55</v>
      </c>
      <c r="J11" s="44"/>
      <c r="K11" s="4"/>
      <c r="L11" s="4"/>
      <c r="M11" s="48">
        <v>1</v>
      </c>
      <c r="N11" s="48" t="s">
        <v>76</v>
      </c>
      <c r="O11" s="48">
        <v>2</v>
      </c>
      <c r="P11" s="48" t="s">
        <v>95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 t="s">
        <v>96</v>
      </c>
      <c r="BI11" s="121" t="s">
        <v>97</v>
      </c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98</v>
      </c>
      <c r="H12" s="43"/>
      <c r="I12" s="44">
        <f>S8</f>
        <v>1245.45</v>
      </c>
      <c r="J12" s="44"/>
      <c r="K12" s="4"/>
      <c r="L12" s="4"/>
      <c r="M12" s="19">
        <v>1</v>
      </c>
      <c r="N12" s="19" t="s">
        <v>76</v>
      </c>
      <c r="O12" s="19">
        <v>2.5</v>
      </c>
      <c r="P12" s="19" t="s">
        <v>99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100</v>
      </c>
      <c r="H13" s="43"/>
      <c r="I13" s="44">
        <f>AB8</f>
        <v>224.18</v>
      </c>
      <c r="J13" s="44"/>
      <c r="K13" s="4"/>
      <c r="L13" s="4"/>
      <c r="M13" s="19">
        <v>1</v>
      </c>
      <c r="N13" s="19" t="s">
        <v>95</v>
      </c>
      <c r="O13" s="19">
        <v>0.001</v>
      </c>
      <c r="P13" s="19" t="s">
        <v>101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ht="15.75" spans="1:69">
      <c r="A14" s="4"/>
      <c r="B14" s="4"/>
      <c r="C14" s="4"/>
      <c r="D14" s="4"/>
      <c r="E14" s="4"/>
      <c r="F14" s="4"/>
      <c r="G14" s="42" t="s">
        <v>102</v>
      </c>
      <c r="H14" s="43"/>
      <c r="I14" s="49">
        <f>I12+I13</f>
        <v>1469.63</v>
      </c>
      <c r="J14" s="49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 t="s">
        <v>103</v>
      </c>
      <c r="BN15" s="4" t="s">
        <v>104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105</v>
      </c>
      <c r="BL16" s="4">
        <v>12.5</v>
      </c>
      <c r="BM16" s="4">
        <f>BL18*BL19</f>
        <v>18277.77</v>
      </c>
      <c r="BN16" s="4">
        <f>BL16*BL17</f>
        <v>6092.59</v>
      </c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106</v>
      </c>
      <c r="BL17" s="4">
        <v>487.4072</v>
      </c>
      <c r="BM17" s="4">
        <f>BL16+BL18</f>
        <v>50</v>
      </c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107</v>
      </c>
      <c r="BL18" s="4">
        <v>37.5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 t="s">
        <v>108</v>
      </c>
      <c r="BL19" s="4">
        <v>487.4072</v>
      </c>
      <c r="BM19" s="4"/>
      <c r="BN19" s="4"/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>
        <f>BM16+BN16</f>
        <v>24370.36</v>
      </c>
      <c r="BN20" s="4">
        <f>BM20/BM17</f>
        <v>487.4072</v>
      </c>
      <c r="BO20" s="4"/>
      <c r="BP20" s="5"/>
      <c r="BQ20" s="5"/>
    </row>
    <row r="21" spans="1:69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5"/>
      <c r="BQ21" s="5"/>
    </row>
  </sheetData>
  <mergeCells count="13">
    <mergeCell ref="A2:B2"/>
    <mergeCell ref="A5:B5"/>
    <mergeCell ref="G10:H10"/>
    <mergeCell ref="I10:J10"/>
    <mergeCell ref="M10:P10"/>
    <mergeCell ref="G11:H11"/>
    <mergeCell ref="I11:J11"/>
    <mergeCell ref="G12:H12"/>
    <mergeCell ref="I12:J12"/>
    <mergeCell ref="G13:H13"/>
    <mergeCell ref="I13:J13"/>
    <mergeCell ref="G14:H14"/>
    <mergeCell ref="I14:J14"/>
  </mergeCells>
  <hyperlinks>
    <hyperlink ref="AS4" r:id="rId1" display="INS" tooltip="https://webappqc.roadmaperp.com:8765/ords/r/rmqc27/scm-us9011/warehouse1?p367019101_rowid=AAATkUAAHAADnkPAAX&amp;p367019101_store_id=INS WH-1&amp;session=1523407412914"/>
    <hyperlink ref="AS7" r:id="rId1" display="INS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1"/>
  <sheetViews>
    <sheetView workbookViewId="0">
      <selection activeCell="M2" sqref="M2"/>
    </sheetView>
  </sheetViews>
  <sheetFormatPr defaultColWidth="8.84761904761905" defaultRowHeight="15"/>
  <cols>
    <col min="2" max="2" width="28" customWidth="1"/>
    <col min="3" max="3" width="30.4285714285714" customWidth="1"/>
    <col min="18" max="18" width="9.28571428571429"/>
    <col min="19" max="19" width="10.5714285714286"/>
    <col min="20" max="20" width="10.7142857142857"/>
    <col min="28" max="28" width="9.28571428571429"/>
    <col min="29" max="29" width="10.5714285714286"/>
    <col min="35" max="35" width="10"/>
    <col min="40" max="40" width="9"/>
    <col min="44" max="44" width="9"/>
    <col min="48" max="48" width="11.7142857142857"/>
    <col min="49" max="49" width="12.847619047619"/>
    <col min="50" max="50" width="9.57142857142857"/>
    <col min="51" max="51" width="12.847619047619"/>
    <col min="52" max="52" width="10.7142857142857" customWidth="1"/>
    <col min="64" max="64" width="11" customWidth="1"/>
    <col min="65" max="65" width="11.7142857142857"/>
    <col min="66" max="66" width="9.71428571428571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147</v>
      </c>
      <c r="C4" s="19" t="s">
        <v>147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8</v>
      </c>
      <c r="K4" s="20">
        <v>5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114</v>
      </c>
      <c r="P4" s="20">
        <f>ROUND(N4-O4,2)</f>
        <v>1311</v>
      </c>
      <c r="Q4" s="20">
        <f>ROUND(P4*K4%,2)</f>
        <v>65.55</v>
      </c>
      <c r="R4" s="20">
        <f>M4+O4+Q4</f>
        <v>254.55</v>
      </c>
      <c r="S4" s="20">
        <f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0</v>
      </c>
      <c r="AC4" s="21">
        <f>IF($V2=1,S4+AB4,S4)</f>
        <v>1245.45</v>
      </c>
      <c r="AD4" s="22">
        <v>120</v>
      </c>
      <c r="AE4" s="22">
        <f>IF($P$2=1,(S4/$S$8)*$E$19,AD4/$AD$8*$E$19)</f>
        <v>0</v>
      </c>
      <c r="AF4" s="22"/>
      <c r="AG4" s="22">
        <f>IF($P$2=1,(S4/$S$8)*$E$21,AD4/$AD$8*$E$21)</f>
        <v>0</v>
      </c>
      <c r="AH4" s="22">
        <f t="shared" ref="AH4:AH8" si="0">IF($P$2=1,(S4/$S$8)*$E$22,AD4/$AD$8*$E$22)</f>
        <v>0</v>
      </c>
      <c r="AI4" s="22">
        <f>S4*$M$2</f>
        <v>105863.25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</v>
      </c>
      <c r="AN4" s="23">
        <f>ROUND(AI4/AM4,3)</f>
        <v>10586.325</v>
      </c>
      <c r="AO4" s="22">
        <f>AJ4/AM4</f>
        <v>0</v>
      </c>
      <c r="AP4" s="22">
        <f>AK4/AM4</f>
        <v>0</v>
      </c>
      <c r="AQ4" s="22" t="s">
        <v>76</v>
      </c>
      <c r="AR4" s="23">
        <f>AN4+AO4+AP4</f>
        <v>10586.325</v>
      </c>
      <c r="AS4" s="24" t="s">
        <v>200</v>
      </c>
      <c r="AT4" s="25" t="s">
        <v>76</v>
      </c>
      <c r="AU4" t="s">
        <v>213</v>
      </c>
      <c r="AV4" t="s">
        <v>214</v>
      </c>
      <c r="AW4" s="25">
        <f>AM4</f>
        <v>10</v>
      </c>
      <c r="AX4" s="26">
        <f>AR4</f>
        <v>10586.325</v>
      </c>
      <c r="AY4" s="25">
        <f>AU4+AW4</f>
        <v>10</v>
      </c>
      <c r="AZ4" s="25">
        <f>ROUND(((AU4*AV4)+(AW4*AX4))/(AU4+AW4),5)</f>
        <v>6209.09547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202</v>
      </c>
      <c r="BM4" t="s">
        <v>215</v>
      </c>
      <c r="BN4" t="s">
        <v>204</v>
      </c>
      <c r="BO4" s="25">
        <f>ROUND((((AW4*AZ4)+(BN4*BM4))/(AW4+BN4)),5)</f>
        <v>4342.8836</v>
      </c>
      <c r="BP4" s="31">
        <f>ROUND(BN4+AW4,3)</f>
        <v>40</v>
      </c>
      <c r="BQ4" s="32">
        <v>123562</v>
      </c>
    </row>
    <row r="5" ht="15.75" spans="1:69">
      <c r="A5" s="109" t="s">
        <v>211</v>
      </c>
      <c r="B5" s="110"/>
      <c r="C5" s="19"/>
      <c r="D5" s="19"/>
      <c r="E5" s="19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1"/>
      <c r="AD5" s="22"/>
      <c r="AE5" s="22"/>
      <c r="AF5" s="22"/>
      <c r="AG5" s="22"/>
      <c r="AH5" s="22"/>
      <c r="AI5" s="22"/>
      <c r="AJ5" s="22"/>
      <c r="AK5" s="22"/>
      <c r="AL5" s="23"/>
      <c r="AM5" s="22"/>
      <c r="AN5" s="23"/>
      <c r="AO5" s="22"/>
      <c r="AP5" s="22"/>
      <c r="AQ5" s="22"/>
      <c r="AR5" s="23"/>
      <c r="AS5" s="24"/>
      <c r="AT5" s="25"/>
      <c r="AW5" s="25"/>
      <c r="AX5" s="26"/>
      <c r="AY5" s="25"/>
      <c r="AZ5" s="25"/>
      <c r="BA5" s="27"/>
      <c r="BB5" s="27"/>
      <c r="BC5" s="28"/>
      <c r="BD5" s="29"/>
      <c r="BE5" s="29"/>
      <c r="BF5" s="27"/>
      <c r="BG5" s="27"/>
      <c r="BH5" s="27"/>
      <c r="BI5" s="25"/>
      <c r="BJ5" s="25"/>
      <c r="BK5" s="25"/>
      <c r="BL5" s="30"/>
      <c r="BO5" s="25"/>
      <c r="BP5" s="31"/>
      <c r="BQ5" s="32"/>
    </row>
    <row r="6" ht="61.5" spans="1:69">
      <c r="A6" s="9" t="s">
        <v>9</v>
      </c>
      <c r="B6" s="9" t="s">
        <v>10</v>
      </c>
      <c r="C6" s="9" t="s">
        <v>11</v>
      </c>
      <c r="D6" s="9" t="s">
        <v>12</v>
      </c>
      <c r="E6" s="9" t="s">
        <v>13</v>
      </c>
      <c r="F6" s="9" t="s">
        <v>14</v>
      </c>
      <c r="G6" s="9" t="s">
        <v>15</v>
      </c>
      <c r="H6" s="9" t="s">
        <v>16</v>
      </c>
      <c r="I6" s="10" t="s">
        <v>17</v>
      </c>
      <c r="J6" s="10" t="s">
        <v>18</v>
      </c>
      <c r="K6" s="10" t="s">
        <v>19</v>
      </c>
      <c r="L6" s="11" t="s">
        <v>20</v>
      </c>
      <c r="M6" s="11" t="s">
        <v>21</v>
      </c>
      <c r="N6" s="11" t="s">
        <v>22</v>
      </c>
      <c r="O6" s="11" t="s">
        <v>23</v>
      </c>
      <c r="P6" s="11" t="s">
        <v>24</v>
      </c>
      <c r="Q6" s="11" t="s">
        <v>25</v>
      </c>
      <c r="R6" s="10" t="s">
        <v>26</v>
      </c>
      <c r="S6" s="9" t="s">
        <v>27</v>
      </c>
      <c r="T6" s="9" t="s">
        <v>28</v>
      </c>
      <c r="U6" s="12" t="s">
        <v>29</v>
      </c>
      <c r="V6" s="12" t="s">
        <v>30</v>
      </c>
      <c r="W6" s="12" t="s">
        <v>31</v>
      </c>
      <c r="X6" s="12" t="s">
        <v>32</v>
      </c>
      <c r="Y6" s="13" t="s">
        <v>33</v>
      </c>
      <c r="Z6" s="13" t="s">
        <v>34</v>
      </c>
      <c r="AA6" s="13" t="s">
        <v>35</v>
      </c>
      <c r="AB6" s="13" t="s">
        <v>36</v>
      </c>
      <c r="AC6" s="14" t="s">
        <v>37</v>
      </c>
      <c r="AD6" s="14" t="s">
        <v>38</v>
      </c>
      <c r="AE6" s="14" t="s">
        <v>39</v>
      </c>
      <c r="AF6" s="14" t="s">
        <v>40</v>
      </c>
      <c r="AG6" s="14" t="s">
        <v>41</v>
      </c>
      <c r="AH6" s="14" t="s">
        <v>42</v>
      </c>
      <c r="AI6" s="14" t="s">
        <v>43</v>
      </c>
      <c r="AJ6" s="14" t="s">
        <v>44</v>
      </c>
      <c r="AK6" s="14" t="s">
        <v>45</v>
      </c>
      <c r="AL6" s="14" t="s">
        <v>46</v>
      </c>
      <c r="AM6" s="14" t="s">
        <v>47</v>
      </c>
      <c r="AN6" s="14" t="s">
        <v>48</v>
      </c>
      <c r="AO6" s="14" t="s">
        <v>49</v>
      </c>
      <c r="AP6" s="14" t="s">
        <v>50</v>
      </c>
      <c r="AQ6" s="14" t="s">
        <v>51</v>
      </c>
      <c r="AR6" s="15" t="s">
        <v>52</v>
      </c>
      <c r="AS6" s="16" t="s">
        <v>53</v>
      </c>
      <c r="AT6" s="16" t="s">
        <v>51</v>
      </c>
      <c r="AW6" s="17" t="s">
        <v>56</v>
      </c>
      <c r="AX6" s="17" t="s">
        <v>57</v>
      </c>
      <c r="AY6" s="17" t="s">
        <v>58</v>
      </c>
      <c r="AZ6" s="17" t="s">
        <v>59</v>
      </c>
      <c r="BA6" s="17" t="s">
        <v>60</v>
      </c>
      <c r="BB6" s="17" t="s">
        <v>61</v>
      </c>
      <c r="BC6" s="18" t="s">
        <v>62</v>
      </c>
      <c r="BD6" s="18" t="s">
        <v>63</v>
      </c>
      <c r="BE6" s="18" t="s">
        <v>64</v>
      </c>
      <c r="BF6" s="17" t="s">
        <v>65</v>
      </c>
      <c r="BG6" s="17" t="s">
        <v>66</v>
      </c>
      <c r="BH6" s="17" t="s">
        <v>67</v>
      </c>
      <c r="BI6" s="17" t="s">
        <v>68</v>
      </c>
      <c r="BJ6" s="17" t="s">
        <v>69</v>
      </c>
      <c r="BK6" s="17" t="s">
        <v>70</v>
      </c>
      <c r="BL6" s="17" t="s">
        <v>71</v>
      </c>
      <c r="BO6" s="17" t="s">
        <v>59</v>
      </c>
      <c r="BP6" s="17" t="s">
        <v>74</v>
      </c>
      <c r="BQ6" s="17" t="s">
        <v>28</v>
      </c>
    </row>
    <row r="7" ht="15.75" spans="1:69">
      <c r="A7" s="19">
        <v>1</v>
      </c>
      <c r="B7" s="19" t="s">
        <v>147</v>
      </c>
      <c r="C7" s="19" t="s">
        <v>147</v>
      </c>
      <c r="D7" s="19" t="s">
        <v>76</v>
      </c>
      <c r="E7" s="19" t="s">
        <v>76</v>
      </c>
      <c r="F7" s="20">
        <v>5</v>
      </c>
      <c r="G7" s="20">
        <v>150</v>
      </c>
      <c r="H7" s="20">
        <f>F7*G7</f>
        <v>750</v>
      </c>
      <c r="I7" s="20">
        <v>5</v>
      </c>
      <c r="J7" s="20">
        <v>8</v>
      </c>
      <c r="K7" s="20">
        <v>5</v>
      </c>
      <c r="L7" s="20">
        <f>H7</f>
        <v>750</v>
      </c>
      <c r="M7" s="20">
        <f>ROUND(L7*I7%,2)</f>
        <v>37.5</v>
      </c>
      <c r="N7" s="20">
        <f>H7-M7</f>
        <v>712.5</v>
      </c>
      <c r="O7" s="20">
        <f>ROUND(N7*J7%,2)</f>
        <v>57</v>
      </c>
      <c r="P7" s="20">
        <f>ROUND(N7-O7,2)</f>
        <v>655.5</v>
      </c>
      <c r="Q7" s="20">
        <f>ROUND(P7*K7%,2)</f>
        <v>32.78</v>
      </c>
      <c r="R7" s="20">
        <f>M7+O7+Q7</f>
        <v>127.28</v>
      </c>
      <c r="S7" s="20">
        <f>(H7-R7)</f>
        <v>622.72</v>
      </c>
      <c r="T7" s="20">
        <v>88363222</v>
      </c>
      <c r="U7" s="20">
        <v>18</v>
      </c>
      <c r="V7" s="20">
        <f>IF(OR($C$2=1,$C$2=4),ROUND((((S7*U7)/100)/2),2),0)</f>
        <v>0</v>
      </c>
      <c r="W7" s="20">
        <f>IF($C$2=1,ROUND((((S7*U7)/100)/2),2),0)</f>
        <v>0</v>
      </c>
      <c r="X7" s="20">
        <f>IF($C$2=2,ROUND(((S7*U7)/100),2),0)</f>
        <v>0</v>
      </c>
      <c r="Y7" s="20">
        <f>IF($C$2=4,ROUND((((S7*U7)/100)/2),2),0)</f>
        <v>0</v>
      </c>
      <c r="Z7" s="20">
        <v>0</v>
      </c>
      <c r="AA7" s="20">
        <f>IF($C3=3,0,(S7*Z7)/100)</f>
        <v>0</v>
      </c>
      <c r="AB7" s="20">
        <f>V7+W7+X7+Y7+AA7</f>
        <v>0</v>
      </c>
      <c r="AC7" s="20">
        <f>IF($V3=1,S7+AB7,S7)</f>
        <v>622.72</v>
      </c>
      <c r="AD7" s="22">
        <v>120</v>
      </c>
      <c r="AE7" s="22">
        <f>IF($P$2=1,(S7/$S$8)*$E$19,AD7/$AD$8*$E$19)</f>
        <v>0</v>
      </c>
      <c r="AF7" s="22"/>
      <c r="AG7" s="22">
        <f>IF($P$2=1,(S7/$S$8)*$E$21,AD7/$AD$8*$E$21)</f>
        <v>0</v>
      </c>
      <c r="AH7" s="22">
        <f t="shared" si="0"/>
        <v>0</v>
      </c>
      <c r="AI7" s="22">
        <f>S7*$M$2</f>
        <v>52931.2</v>
      </c>
      <c r="AJ7" s="22">
        <f>IF($C$2=3,0,AG7+AH7)</f>
        <v>0</v>
      </c>
      <c r="AK7" s="22">
        <f>IF($C$2=3,AE7+AG7+AH7,0)</f>
        <v>0</v>
      </c>
      <c r="AL7" s="23">
        <v>1</v>
      </c>
      <c r="AM7" s="22">
        <f>F7/AL7</f>
        <v>5</v>
      </c>
      <c r="AN7" s="22">
        <f>AI7/AM7</f>
        <v>10586.24</v>
      </c>
      <c r="AO7" s="22">
        <f>AJ7/AM7</f>
        <v>0</v>
      </c>
      <c r="AP7" s="22">
        <f>AK7/AM7</f>
        <v>0</v>
      </c>
      <c r="AQ7" s="22" t="s">
        <v>76</v>
      </c>
      <c r="AR7" s="22">
        <f>AN7+AO7+AP7</f>
        <v>10586.24</v>
      </c>
      <c r="AS7" s="24" t="s">
        <v>200</v>
      </c>
      <c r="AT7" s="25" t="s">
        <v>76</v>
      </c>
      <c r="AU7" t="s">
        <v>213</v>
      </c>
      <c r="AV7" t="s">
        <v>214</v>
      </c>
      <c r="AW7" s="25">
        <f>AM7</f>
        <v>5</v>
      </c>
      <c r="AX7" s="25">
        <f>AR7</f>
        <v>10586.24</v>
      </c>
      <c r="AY7" s="25">
        <f>AU7+AW7</f>
        <v>5</v>
      </c>
      <c r="AZ7" s="25">
        <f>ROUND(((AU7*AV7)+(AW7*AX7))/(AU7+AW7),5)</f>
        <v>5114.76684</v>
      </c>
      <c r="BA7" s="27"/>
      <c r="BB7" s="27" t="s">
        <v>80</v>
      </c>
      <c r="BC7" s="28" t="s">
        <v>81</v>
      </c>
      <c r="BD7" s="29" t="s">
        <v>82</v>
      </c>
      <c r="BE7" s="29" t="s">
        <v>83</v>
      </c>
      <c r="BF7" s="27"/>
      <c r="BG7" s="27"/>
      <c r="BH7" s="27"/>
      <c r="BI7" s="25"/>
      <c r="BJ7" s="25"/>
      <c r="BK7" s="25"/>
      <c r="BL7" s="30" t="s">
        <v>202</v>
      </c>
      <c r="BM7" t="s">
        <v>215</v>
      </c>
      <c r="BN7" t="s">
        <v>204</v>
      </c>
      <c r="BO7" s="25">
        <f>ROUND((((AW7*AZ7)+(BN7*BM7))/(AW7+BN7)),5)</f>
        <v>3919.94924</v>
      </c>
      <c r="BP7" s="31">
        <f>ROUND(BN7+AW7,3)</f>
        <v>35</v>
      </c>
      <c r="BQ7" s="32">
        <v>123562</v>
      </c>
    </row>
    <row r="8" ht="15.75" spans="1:69">
      <c r="A8" s="4"/>
      <c r="B8" s="34"/>
      <c r="C8" s="34"/>
      <c r="D8" s="35" t="s">
        <v>89</v>
      </c>
      <c r="E8" s="35"/>
      <c r="F8" s="35"/>
      <c r="G8" s="36"/>
      <c r="H8" s="37">
        <f>SUM(H4:H4)</f>
        <v>1500</v>
      </c>
      <c r="I8" s="19"/>
      <c r="J8" s="19"/>
      <c r="K8" s="19"/>
      <c r="L8" s="19"/>
      <c r="M8" s="19"/>
      <c r="N8" s="19"/>
      <c r="O8" s="19"/>
      <c r="P8" s="19"/>
      <c r="Q8" s="19"/>
      <c r="R8" s="38">
        <f t="shared" ref="R8:X8" si="1">SUM(R4:R4)</f>
        <v>254.55</v>
      </c>
      <c r="S8" s="37">
        <f t="shared" si="1"/>
        <v>1245.45</v>
      </c>
      <c r="T8" s="38"/>
      <c r="U8" s="38"/>
      <c r="V8" s="39">
        <f t="shared" si="1"/>
        <v>0</v>
      </c>
      <c r="W8" s="39">
        <f t="shared" si="1"/>
        <v>0</v>
      </c>
      <c r="X8" s="39">
        <f t="shared" si="1"/>
        <v>0</v>
      </c>
      <c r="Y8" s="39"/>
      <c r="Z8" s="39"/>
      <c r="AA8" s="39"/>
      <c r="AB8" s="38">
        <f t="shared" ref="AB8:AE8" si="2">SUM(AB4:AB4)</f>
        <v>0</v>
      </c>
      <c r="AC8" s="40">
        <f t="shared" si="2"/>
        <v>1245.45</v>
      </c>
      <c r="AD8" s="41">
        <f t="shared" si="2"/>
        <v>120</v>
      </c>
      <c r="AE8" s="41">
        <f t="shared" si="2"/>
        <v>0</v>
      </c>
      <c r="AF8" s="40"/>
      <c r="AG8" s="41">
        <f t="shared" ref="AG8:AK8" si="3">SUM(AG4:AG4)</f>
        <v>0</v>
      </c>
      <c r="AH8" s="41">
        <f t="shared" si="0"/>
        <v>0</v>
      </c>
      <c r="AI8" s="41">
        <f t="shared" si="3"/>
        <v>105863.25</v>
      </c>
      <c r="AJ8" s="41">
        <f t="shared" si="3"/>
        <v>0</v>
      </c>
      <c r="AK8" s="41">
        <f t="shared" si="3"/>
        <v>0</v>
      </c>
      <c r="AL8" s="40"/>
      <c r="AM8" s="40"/>
      <c r="AN8" s="40"/>
      <c r="AO8" s="40"/>
      <c r="AP8" s="40"/>
      <c r="AQ8" s="40"/>
      <c r="AR8" s="40"/>
      <c r="AS8" s="4"/>
      <c r="AT8" s="4"/>
      <c r="AU8" s="5"/>
      <c r="AV8" s="5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90</v>
      </c>
      <c r="H10" s="43"/>
      <c r="I10" s="44">
        <f>H8</f>
        <v>1500</v>
      </c>
      <c r="J10" s="44"/>
      <c r="K10" s="4"/>
      <c r="L10" s="4"/>
      <c r="M10" s="45" t="s">
        <v>91</v>
      </c>
      <c r="N10" s="46"/>
      <c r="O10" s="46"/>
      <c r="P10" s="47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92</v>
      </c>
      <c r="BI10" s="121" t="s">
        <v>93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94</v>
      </c>
      <c r="H11" s="43"/>
      <c r="I11" s="44">
        <f>R8</f>
        <v>254.55</v>
      </c>
      <c r="J11" s="44"/>
      <c r="K11" s="4"/>
      <c r="L11" s="4"/>
      <c r="M11" s="48">
        <v>1</v>
      </c>
      <c r="N11" s="48" t="s">
        <v>76</v>
      </c>
      <c r="O11" s="48">
        <v>2</v>
      </c>
      <c r="P11" s="48" t="s">
        <v>95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 t="s">
        <v>96</v>
      </c>
      <c r="BI11" s="121" t="s">
        <v>97</v>
      </c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98</v>
      </c>
      <c r="H12" s="43"/>
      <c r="I12" s="44">
        <f>S8</f>
        <v>1245.45</v>
      </c>
      <c r="J12" s="44"/>
      <c r="K12" s="4"/>
      <c r="L12" s="4"/>
      <c r="M12" s="19">
        <v>1</v>
      </c>
      <c r="N12" s="19" t="s">
        <v>76</v>
      </c>
      <c r="O12" s="19">
        <v>2.5</v>
      </c>
      <c r="P12" s="19" t="s">
        <v>99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100</v>
      </c>
      <c r="H13" s="43"/>
      <c r="I13" s="44">
        <f>AB8</f>
        <v>0</v>
      </c>
      <c r="J13" s="44"/>
      <c r="K13" s="4"/>
      <c r="L13" s="4"/>
      <c r="M13" s="19">
        <v>1</v>
      </c>
      <c r="N13" s="19" t="s">
        <v>95</v>
      </c>
      <c r="O13" s="19">
        <v>0.001</v>
      </c>
      <c r="P13" s="19" t="s">
        <v>101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ht="15.75" spans="1:69">
      <c r="A14" s="4"/>
      <c r="B14" s="4"/>
      <c r="C14" s="4"/>
      <c r="D14" s="4"/>
      <c r="E14" s="4"/>
      <c r="F14" s="4"/>
      <c r="G14" s="42" t="s">
        <v>102</v>
      </c>
      <c r="H14" s="43"/>
      <c r="I14" s="49">
        <f>I12+I13</f>
        <v>1245.45</v>
      </c>
      <c r="J14" s="49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 t="s">
        <v>103</v>
      </c>
      <c r="BN15" s="4" t="s">
        <v>104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105</v>
      </c>
      <c r="BL16" s="4">
        <v>12.5</v>
      </c>
      <c r="BM16" s="4">
        <f>BL18*BL19</f>
        <v>18277.77</v>
      </c>
      <c r="BN16" s="4">
        <f>BL16*BL17</f>
        <v>6092.59</v>
      </c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106</v>
      </c>
      <c r="BL17" s="4">
        <v>487.4072</v>
      </c>
      <c r="BM17" s="4">
        <f>BL16+BL18</f>
        <v>50</v>
      </c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107</v>
      </c>
      <c r="BL18" s="4">
        <v>37.5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 t="s">
        <v>108</v>
      </c>
      <c r="BL19" s="4">
        <v>487.4072</v>
      </c>
      <c r="BM19" s="4"/>
      <c r="BN19" s="4"/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>
        <f>BM16+BN16</f>
        <v>24370.36</v>
      </c>
      <c r="BN20" s="4">
        <f>BM20/BM17</f>
        <v>487.4072</v>
      </c>
      <c r="BO20" s="4"/>
      <c r="BP20" s="5"/>
      <c r="BQ20" s="5"/>
    </row>
    <row r="21" spans="1:69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5"/>
      <c r="BQ21" s="5"/>
    </row>
  </sheetData>
  <mergeCells count="13">
    <mergeCell ref="A2:B2"/>
    <mergeCell ref="A5:B5"/>
    <mergeCell ref="G10:H10"/>
    <mergeCell ref="I10:J10"/>
    <mergeCell ref="M10:P10"/>
    <mergeCell ref="G11:H11"/>
    <mergeCell ref="I11:J11"/>
    <mergeCell ref="G12:H12"/>
    <mergeCell ref="I12:J12"/>
    <mergeCell ref="G13:H13"/>
    <mergeCell ref="I13:J13"/>
    <mergeCell ref="G14:H14"/>
    <mergeCell ref="I14:J14"/>
  </mergeCells>
  <hyperlinks>
    <hyperlink ref="AS4" r:id="rId1" display="INS" tooltip="https://webappqc.roadmaperp.com:8765/ords/r/rmqc27/scm-us9011/warehouse1?p367019101_rowid=AAATkUAAHAADnkPAAX&amp;p367019101_store_id=INS WH-1&amp;session=1523407412914"/>
    <hyperlink ref="AS7" r:id="rId1" display="INS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1"/>
  <sheetViews>
    <sheetView workbookViewId="0">
      <selection activeCell="BN5" sqref="BN5"/>
    </sheetView>
  </sheetViews>
  <sheetFormatPr defaultColWidth="8.84761904761905" defaultRowHeight="15"/>
  <cols>
    <col min="1" max="1" width="25.5714285714286" customWidth="1"/>
    <col min="2" max="3" width="32.1428571428571" customWidth="1"/>
    <col min="4" max="4" width="79.4285714285714" customWidth="1"/>
    <col min="5" max="5" width="11.5714285714286" customWidth="1"/>
    <col min="6" max="6" width="5.14285714285714" customWidth="1"/>
    <col min="7" max="7" width="11" customWidth="1"/>
    <col min="8" max="8" width="12.7142857142857" customWidth="1"/>
    <col min="9" max="9" width="5.85714285714286" customWidth="1"/>
    <col min="10" max="10" width="6" customWidth="1"/>
    <col min="11" max="11" width="5.85714285714286" customWidth="1"/>
    <col min="12" max="12" width="14.2857142857143" customWidth="1"/>
    <col min="13" max="13" width="9.42857142857143" customWidth="1"/>
    <col min="14" max="14" width="14.4285714285714" customWidth="1"/>
    <col min="15" max="15" width="15.5714285714286" customWidth="1"/>
    <col min="16" max="16" width="14.4285714285714" customWidth="1"/>
    <col min="17" max="17" width="39.4285714285714" customWidth="1"/>
    <col min="18" max="18" width="11.7142857142857" customWidth="1"/>
    <col min="19" max="19" width="11.8571428571429" customWidth="1"/>
    <col min="20" max="20" width="10.7142857142857" customWidth="1"/>
    <col min="21" max="22" width="6.57142857142857" customWidth="1"/>
    <col min="23" max="23" width="37.1428571428571" customWidth="1"/>
    <col min="24" max="24" width="8.71428571428571" customWidth="1"/>
    <col min="25" max="25" width="8" customWidth="1"/>
    <col min="26" max="26" width="7.71428571428571" customWidth="1"/>
    <col min="27" max="27" width="6.28571428571429" customWidth="1"/>
    <col min="28" max="28" width="9.28571428571429" customWidth="1"/>
    <col min="29" max="29" width="10.5714285714286" customWidth="1"/>
    <col min="30" max="30" width="12.8571428571429" customWidth="1"/>
    <col min="31" max="31" width="16.1428571428571" customWidth="1"/>
    <col min="32" max="32" width="15.4285714285714" customWidth="1"/>
    <col min="33" max="33" width="24.5714285714286" customWidth="1"/>
    <col min="34" max="34" width="8.57142857142857" customWidth="1"/>
    <col min="35" max="35" width="14.7142857142857" customWidth="1"/>
    <col min="36" max="36" width="18.5714285714286" customWidth="1"/>
    <col min="37" max="37" width="14.1428571428571" customWidth="1"/>
    <col min="38" max="38" width="14.7142857142857" customWidth="1"/>
    <col min="39" max="39" width="17.4285714285714" customWidth="1"/>
    <col min="40" max="40" width="22" customWidth="1"/>
    <col min="41" max="41" width="17.5714285714286" customWidth="1"/>
    <col min="42" max="42" width="25.2857142857143" customWidth="1"/>
    <col min="43" max="43" width="13" customWidth="1"/>
    <col min="44" max="44" width="9" customWidth="1"/>
    <col min="45" max="45" width="9.28571428571429" customWidth="1"/>
    <col min="46" max="46" width="13" customWidth="1"/>
    <col min="47" max="47" width="15.5714285714286" customWidth="1"/>
    <col min="48" max="48" width="21.1428571428571" customWidth="1"/>
    <col min="49" max="49" width="11.5714285714286" customWidth="1"/>
    <col min="50" max="50" width="16.7142857142857" customWidth="1"/>
    <col min="51" max="51" width="14" customWidth="1"/>
    <col min="52" max="52" width="19.4285714285714" customWidth="1"/>
    <col min="53" max="53" width="18.8571428571429" customWidth="1"/>
    <col min="54" max="54" width="23.2857142857143" customWidth="1"/>
    <col min="55" max="55" width="15.5714285714286" customWidth="1"/>
    <col min="56" max="56" width="14.2857142857143" customWidth="1"/>
    <col min="57" max="57" width="17" customWidth="1"/>
    <col min="58" max="58" width="16.2857142857143" customWidth="1"/>
    <col min="59" max="59" width="13.5714285714286" customWidth="1"/>
    <col min="60" max="60" width="12.7142857142857" customWidth="1"/>
    <col min="61" max="61" width="106.285714285714" customWidth="1"/>
    <col min="62" max="62" width="21.8571428571429" customWidth="1"/>
    <col min="63" max="63" width="30.5714285714286" customWidth="1"/>
    <col min="64" max="64" width="10.7142857142857" customWidth="1"/>
    <col min="65" max="65" width="42.5714285714286" customWidth="1"/>
    <col min="66" max="66" width="38.1428571428571" customWidth="1"/>
    <col min="67" max="67" width="19.4285714285714" customWidth="1"/>
    <col min="68" max="68" width="35.4285714285714" customWidth="1"/>
    <col min="69" max="69" width="7.57142857142857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186</v>
      </c>
      <c r="C4" s="19" t="s">
        <v>186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8</v>
      </c>
      <c r="K4" s="20">
        <v>5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114</v>
      </c>
      <c r="P4" s="20">
        <f>ROUND(N4-O4,2)</f>
        <v>1311</v>
      </c>
      <c r="Q4" s="20">
        <f>ROUND(P4*K4%,2)</f>
        <v>65.55</v>
      </c>
      <c r="R4" s="20">
        <f>M4+O4+Q4</f>
        <v>254.55</v>
      </c>
      <c r="S4" s="20">
        <f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224.18</v>
      </c>
      <c r="AC4" s="21">
        <f>IF($V2=1,S4+AB4,S4)</f>
        <v>1469.63</v>
      </c>
      <c r="AD4" s="22">
        <v>120</v>
      </c>
      <c r="AE4" s="22">
        <f>IF($P$2=1,(S4/$S$8)*$E$19,AD4/$AD$8*$E$19)</f>
        <v>0</v>
      </c>
      <c r="AF4" s="22"/>
      <c r="AG4" s="22">
        <f>IF($P$2=1,(S4/$S$8)*$E$21,AD4/$AD$8*$E$21)</f>
        <v>0</v>
      </c>
      <c r="AH4" s="22">
        <f t="shared" ref="AH4:AH8" si="0">IF($P$2=1,(S4/$S$8)*$E$22,AD4/$AD$8*$E$22)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</v>
      </c>
      <c r="AN4" s="23">
        <f>ROUND(AI4/AM4,3)</f>
        <v>124.545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>
        <v>85</v>
      </c>
      <c r="AV4" t="s">
        <v>167</v>
      </c>
      <c r="AW4" s="25">
        <f>AM4</f>
        <v>10</v>
      </c>
      <c r="AX4" s="26">
        <f>AR4</f>
        <v>124.545</v>
      </c>
      <c r="AY4" s="25">
        <f>AU4+AW4</f>
        <v>10</v>
      </c>
      <c r="AZ4" s="25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216</v>
      </c>
      <c r="BN4" t="s">
        <v>217</v>
      </c>
      <c r="BO4" s="25">
        <f>ROUND((((AW4*AZ4)+(BN4*BM4))/(AW4+BN4)),5)</f>
        <v>1982.41818</v>
      </c>
      <c r="BP4" s="31">
        <f>ROUND(BN4+AW4,3)</f>
        <v>1823</v>
      </c>
      <c r="BQ4" s="32">
        <v>123562</v>
      </c>
    </row>
    <row r="5" ht="15.75" spans="1:69">
      <c r="A5" s="109" t="s">
        <v>211</v>
      </c>
      <c r="B5" s="110"/>
      <c r="C5" s="19"/>
      <c r="D5" s="19"/>
      <c r="E5" s="19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1"/>
      <c r="AD5" s="22"/>
      <c r="AE5" s="22"/>
      <c r="AF5" s="22"/>
      <c r="AG5" s="22"/>
      <c r="AH5" s="22"/>
      <c r="AI5" s="22"/>
      <c r="AJ5" s="22"/>
      <c r="AK5" s="22"/>
      <c r="AL5" s="23"/>
      <c r="AM5" s="22"/>
      <c r="AN5" s="23"/>
      <c r="AO5" s="22"/>
      <c r="AP5" s="22"/>
      <c r="AQ5" s="22"/>
      <c r="AR5" s="23"/>
      <c r="AS5" s="24"/>
      <c r="AT5" s="25"/>
      <c r="AW5" s="25"/>
      <c r="AX5" s="26"/>
      <c r="AY5" s="25"/>
      <c r="AZ5" s="25"/>
      <c r="BA5" s="27"/>
      <c r="BB5" s="27"/>
      <c r="BC5" s="28"/>
      <c r="BD5" s="29"/>
      <c r="BE5" s="29"/>
      <c r="BF5" s="27"/>
      <c r="BG5" s="27"/>
      <c r="BH5" s="27"/>
      <c r="BI5" s="25"/>
      <c r="BJ5" s="25"/>
      <c r="BK5" s="25"/>
      <c r="BL5" s="30"/>
      <c r="BO5" s="25"/>
      <c r="BP5" s="31"/>
      <c r="BQ5" s="32"/>
    </row>
    <row r="6" ht="61.5" spans="1:69">
      <c r="A6" s="9" t="s">
        <v>9</v>
      </c>
      <c r="B6" s="9" t="s">
        <v>10</v>
      </c>
      <c r="C6" s="9" t="s">
        <v>11</v>
      </c>
      <c r="D6" s="9" t="s">
        <v>12</v>
      </c>
      <c r="E6" s="9" t="s">
        <v>13</v>
      </c>
      <c r="F6" s="9" t="s">
        <v>14</v>
      </c>
      <c r="G6" s="9" t="s">
        <v>15</v>
      </c>
      <c r="H6" s="9" t="s">
        <v>16</v>
      </c>
      <c r="I6" s="10" t="s">
        <v>17</v>
      </c>
      <c r="J6" s="10" t="s">
        <v>18</v>
      </c>
      <c r="K6" s="10" t="s">
        <v>19</v>
      </c>
      <c r="L6" s="11" t="s">
        <v>20</v>
      </c>
      <c r="M6" s="11" t="s">
        <v>21</v>
      </c>
      <c r="N6" s="11" t="s">
        <v>22</v>
      </c>
      <c r="O6" s="11" t="s">
        <v>23</v>
      </c>
      <c r="P6" s="11" t="s">
        <v>24</v>
      </c>
      <c r="Q6" s="11" t="s">
        <v>25</v>
      </c>
      <c r="R6" s="10" t="s">
        <v>26</v>
      </c>
      <c r="S6" s="9" t="s">
        <v>27</v>
      </c>
      <c r="T6" s="9" t="s">
        <v>28</v>
      </c>
      <c r="U6" s="12" t="s">
        <v>29</v>
      </c>
      <c r="V6" s="12" t="s">
        <v>30</v>
      </c>
      <c r="W6" s="12" t="s">
        <v>31</v>
      </c>
      <c r="X6" s="12" t="s">
        <v>32</v>
      </c>
      <c r="Y6" s="13" t="s">
        <v>33</v>
      </c>
      <c r="Z6" s="13" t="s">
        <v>34</v>
      </c>
      <c r="AA6" s="13" t="s">
        <v>35</v>
      </c>
      <c r="AB6" s="13" t="s">
        <v>36</v>
      </c>
      <c r="AC6" s="14" t="s">
        <v>37</v>
      </c>
      <c r="AD6" s="14" t="s">
        <v>38</v>
      </c>
      <c r="AE6" s="14" t="s">
        <v>39</v>
      </c>
      <c r="AF6" s="14" t="s">
        <v>40</v>
      </c>
      <c r="AG6" s="14" t="s">
        <v>41</v>
      </c>
      <c r="AH6" s="14" t="s">
        <v>42</v>
      </c>
      <c r="AI6" s="14" t="s">
        <v>43</v>
      </c>
      <c r="AJ6" s="14" t="s">
        <v>44</v>
      </c>
      <c r="AK6" s="14" t="s">
        <v>45</v>
      </c>
      <c r="AL6" s="14" t="s">
        <v>46</v>
      </c>
      <c r="AM6" s="14" t="s">
        <v>47</v>
      </c>
      <c r="AN6" s="14" t="s">
        <v>48</v>
      </c>
      <c r="AO6" s="14" t="s">
        <v>49</v>
      </c>
      <c r="AP6" s="14" t="s">
        <v>50</v>
      </c>
      <c r="AQ6" s="14" t="s">
        <v>51</v>
      </c>
      <c r="AR6" s="15" t="s">
        <v>52</v>
      </c>
      <c r="AS6" s="16" t="s">
        <v>53</v>
      </c>
      <c r="AT6" s="16" t="s">
        <v>51</v>
      </c>
      <c r="AW6" s="17" t="s">
        <v>56</v>
      </c>
      <c r="AX6" s="17" t="s">
        <v>57</v>
      </c>
      <c r="AY6" s="17" t="s">
        <v>58</v>
      </c>
      <c r="AZ6" s="17" t="s">
        <v>59</v>
      </c>
      <c r="BA6" s="17" t="s">
        <v>60</v>
      </c>
      <c r="BB6" s="17" t="s">
        <v>61</v>
      </c>
      <c r="BC6" s="18" t="s">
        <v>62</v>
      </c>
      <c r="BD6" s="18" t="s">
        <v>63</v>
      </c>
      <c r="BE6" s="18" t="s">
        <v>64</v>
      </c>
      <c r="BF6" s="17" t="s">
        <v>65</v>
      </c>
      <c r="BG6" s="17" t="s">
        <v>66</v>
      </c>
      <c r="BH6" s="17" t="s">
        <v>67</v>
      </c>
      <c r="BI6" s="17" t="s">
        <v>68</v>
      </c>
      <c r="BJ6" s="17" t="s">
        <v>69</v>
      </c>
      <c r="BK6" s="17" t="s">
        <v>70</v>
      </c>
      <c r="BL6" s="17" t="s">
        <v>71</v>
      </c>
      <c r="BO6" s="17" t="s">
        <v>59</v>
      </c>
      <c r="BP6" s="17" t="s">
        <v>74</v>
      </c>
      <c r="BQ6" s="17" t="s">
        <v>28</v>
      </c>
    </row>
    <row r="7" ht="15.75" spans="1:69">
      <c r="A7" s="19">
        <v>1</v>
      </c>
      <c r="B7" s="19" t="s">
        <v>186</v>
      </c>
      <c r="C7" s="19" t="s">
        <v>186</v>
      </c>
      <c r="D7" s="19" t="s">
        <v>76</v>
      </c>
      <c r="E7" s="19" t="s">
        <v>76</v>
      </c>
      <c r="F7" s="20">
        <v>30</v>
      </c>
      <c r="G7" s="20">
        <v>150</v>
      </c>
      <c r="H7" s="20">
        <f>F7*G7</f>
        <v>4500</v>
      </c>
      <c r="I7" s="20">
        <v>5</v>
      </c>
      <c r="J7" s="20">
        <v>8</v>
      </c>
      <c r="K7" s="20">
        <v>5</v>
      </c>
      <c r="L7" s="20">
        <f>H7</f>
        <v>4500</v>
      </c>
      <c r="M7" s="20">
        <f>ROUND(L7*I7%,2)</f>
        <v>225</v>
      </c>
      <c r="N7" s="20">
        <f>H7-M7</f>
        <v>4275</v>
      </c>
      <c r="O7" s="20">
        <f>ROUND(N7*J7%,2)</f>
        <v>342</v>
      </c>
      <c r="P7" s="20">
        <f>ROUND(N7-O7,2)</f>
        <v>3933</v>
      </c>
      <c r="Q7" s="20">
        <f>ROUND(P7*K7%,2)</f>
        <v>196.65</v>
      </c>
      <c r="R7" s="20">
        <f>M7+O7+Q7</f>
        <v>763.65</v>
      </c>
      <c r="S7" s="20">
        <f>(H7-R7)</f>
        <v>3736.35</v>
      </c>
      <c r="T7" s="20">
        <v>88363222</v>
      </c>
      <c r="U7" s="20">
        <v>18</v>
      </c>
      <c r="V7" s="20">
        <f>IF(OR($C$2=1,$C$2=4),ROUND((((S7*U7)/100)/2),2),0)</f>
        <v>0</v>
      </c>
      <c r="W7" s="20">
        <f>IF($C$2=1,ROUND((((S7*U7)/100)/2),2),0)</f>
        <v>0</v>
      </c>
      <c r="X7" s="20">
        <f>IF($C$2=2,ROUND(((S7*U7)/100),2),0)</f>
        <v>672.54</v>
      </c>
      <c r="Y7" s="20">
        <f>IF($C$2=4,ROUND((((S7*U7)/100)/2),2),0)</f>
        <v>0</v>
      </c>
      <c r="Z7" s="20">
        <v>0</v>
      </c>
      <c r="AA7" s="20">
        <f>IF($C3=3,0,(S7*Z7)/100)</f>
        <v>0</v>
      </c>
      <c r="AB7" s="20">
        <f>V7+W7+X7+Y7+AA7</f>
        <v>672.54</v>
      </c>
      <c r="AC7" s="20">
        <f>IF($V3=1,S7+AB7,S7)</f>
        <v>3736.35</v>
      </c>
      <c r="AD7" s="22">
        <v>120</v>
      </c>
      <c r="AE7" s="22">
        <f>IF($P$2=1,(S7/$S$8)*$E$19,AD7/$AD$8*$E$19)</f>
        <v>0</v>
      </c>
      <c r="AF7" s="22"/>
      <c r="AG7" s="22">
        <f>IF($P$2=1,(S7/$S$8)*$E$21,AD7/$AD$8*$E$21)</f>
        <v>0</v>
      </c>
      <c r="AH7" s="22">
        <f t="shared" si="0"/>
        <v>0</v>
      </c>
      <c r="AI7" s="22">
        <f>S7*$M$2</f>
        <v>3736.35</v>
      </c>
      <c r="AJ7" s="22">
        <f>IF($C$2=3,0,AG7+AH7)</f>
        <v>0</v>
      </c>
      <c r="AK7" s="22">
        <f>IF($C$2=3,AE7+AG7+AH7,0)</f>
        <v>0</v>
      </c>
      <c r="AL7" s="23">
        <v>1</v>
      </c>
      <c r="AM7" s="22">
        <f>F7/AL7</f>
        <v>30</v>
      </c>
      <c r="AN7" s="22">
        <f>AI7/AM7</f>
        <v>124.545</v>
      </c>
      <c r="AO7" s="22">
        <f>AJ7/AM7</f>
        <v>0</v>
      </c>
      <c r="AP7" s="22">
        <f>AK7/AM7</f>
        <v>0</v>
      </c>
      <c r="AQ7" s="22" t="s">
        <v>76</v>
      </c>
      <c r="AR7" s="22">
        <f>AN7+AO7+AP7</f>
        <v>124.545</v>
      </c>
      <c r="AS7" s="24" t="s">
        <v>120</v>
      </c>
      <c r="AT7" s="25" t="s">
        <v>76</v>
      </c>
      <c r="AU7" t="s">
        <v>85</v>
      </c>
      <c r="AV7" t="s">
        <v>167</v>
      </c>
      <c r="AW7" s="25">
        <f>AM7</f>
        <v>30</v>
      </c>
      <c r="AX7" s="25">
        <f>AR7</f>
        <v>124.545</v>
      </c>
      <c r="AY7" s="25">
        <f>AU7+AW7</f>
        <v>45</v>
      </c>
      <c r="AZ7" s="25">
        <f>ROUND(((AU7*AV7)+(AW7*AX7))/(AU7+AW7),5)</f>
        <v>124.545</v>
      </c>
      <c r="BA7" s="27"/>
      <c r="BB7" s="27" t="s">
        <v>80</v>
      </c>
      <c r="BC7" s="28" t="s">
        <v>81</v>
      </c>
      <c r="BD7" s="29" t="s">
        <v>82</v>
      </c>
      <c r="BE7" s="29" t="s">
        <v>83</v>
      </c>
      <c r="BF7" s="27"/>
      <c r="BG7" s="27"/>
      <c r="BH7" s="27"/>
      <c r="BI7" s="25"/>
      <c r="BJ7" s="25"/>
      <c r="BK7" s="25"/>
      <c r="BL7" s="30" t="s">
        <v>122</v>
      </c>
      <c r="BM7" t="s">
        <v>216</v>
      </c>
      <c r="BN7" t="s">
        <v>217</v>
      </c>
      <c r="BO7" s="25">
        <f>ROUND((((AW7*AZ7)+(BN7*BM7))/(AW7+BN7)),5)</f>
        <v>1962.25678</v>
      </c>
      <c r="BP7" s="31">
        <f>ROUND(BN7+AW7,3)</f>
        <v>1843</v>
      </c>
      <c r="BQ7" s="32">
        <v>123562</v>
      </c>
    </row>
    <row r="8" ht="15.75" spans="1:69">
      <c r="A8" s="4"/>
      <c r="B8" s="34"/>
      <c r="C8" s="34"/>
      <c r="D8" s="35" t="s">
        <v>89</v>
      </c>
      <c r="E8" s="35"/>
      <c r="F8" s="35"/>
      <c r="G8" s="36"/>
      <c r="H8" s="37">
        <f>SUM(H4:H4)</f>
        <v>1500</v>
      </c>
      <c r="I8" s="19"/>
      <c r="J8" s="19"/>
      <c r="K8" s="19"/>
      <c r="L8" s="19"/>
      <c r="M8" s="19"/>
      <c r="N8" s="19"/>
      <c r="O8" s="19"/>
      <c r="P8" s="19"/>
      <c r="Q8" s="19"/>
      <c r="R8" s="38">
        <f t="shared" ref="R8:X8" si="1">SUM(R4:R4)</f>
        <v>254.55</v>
      </c>
      <c r="S8" s="37">
        <f t="shared" si="1"/>
        <v>1245.45</v>
      </c>
      <c r="T8" s="38"/>
      <c r="U8" s="38"/>
      <c r="V8" s="39">
        <f t="shared" si="1"/>
        <v>0</v>
      </c>
      <c r="W8" s="39">
        <f t="shared" si="1"/>
        <v>0</v>
      </c>
      <c r="X8" s="39">
        <f t="shared" si="1"/>
        <v>224.18</v>
      </c>
      <c r="Y8" s="39"/>
      <c r="Z8" s="39"/>
      <c r="AA8" s="39"/>
      <c r="AB8" s="38">
        <f t="shared" ref="AB8:AE8" si="2">SUM(AB4:AB4)</f>
        <v>224.18</v>
      </c>
      <c r="AC8" s="40">
        <f t="shared" si="2"/>
        <v>1469.63</v>
      </c>
      <c r="AD8" s="41">
        <f t="shared" si="2"/>
        <v>120</v>
      </c>
      <c r="AE8" s="41">
        <f t="shared" si="2"/>
        <v>0</v>
      </c>
      <c r="AF8" s="40"/>
      <c r="AG8" s="41">
        <f t="shared" ref="AG8:AK8" si="3">SUM(AG4:AG4)</f>
        <v>0</v>
      </c>
      <c r="AH8" s="41">
        <f t="shared" si="0"/>
        <v>0</v>
      </c>
      <c r="AI8" s="41">
        <f t="shared" si="3"/>
        <v>1245.45</v>
      </c>
      <c r="AJ8" s="41">
        <f t="shared" si="3"/>
        <v>0</v>
      </c>
      <c r="AK8" s="41">
        <f t="shared" si="3"/>
        <v>0</v>
      </c>
      <c r="AL8" s="40"/>
      <c r="AM8" s="40"/>
      <c r="AN8" s="40"/>
      <c r="AO8" s="40"/>
      <c r="AP8" s="40"/>
      <c r="AQ8" s="40"/>
      <c r="AR8" s="40"/>
      <c r="AS8" s="4"/>
      <c r="AT8" s="4"/>
      <c r="AU8" s="5"/>
      <c r="AV8" s="5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90</v>
      </c>
      <c r="H10" s="43"/>
      <c r="I10" s="44">
        <f>H8</f>
        <v>1500</v>
      </c>
      <c r="J10" s="44"/>
      <c r="K10" s="4"/>
      <c r="L10" s="4"/>
      <c r="M10" s="45" t="s">
        <v>91</v>
      </c>
      <c r="N10" s="46"/>
      <c r="O10" s="46"/>
      <c r="P10" s="47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92</v>
      </c>
      <c r="BI10" s="121" t="s">
        <v>93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94</v>
      </c>
      <c r="H11" s="43"/>
      <c r="I11" s="44">
        <f>R8</f>
        <v>254.55</v>
      </c>
      <c r="J11" s="44"/>
      <c r="K11" s="4"/>
      <c r="L11" s="4"/>
      <c r="M11" s="48">
        <v>1</v>
      </c>
      <c r="N11" s="48" t="s">
        <v>76</v>
      </c>
      <c r="O11" s="48">
        <v>2</v>
      </c>
      <c r="P11" s="48" t="s">
        <v>95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 t="s">
        <v>96</v>
      </c>
      <c r="BI11" s="121" t="s">
        <v>97</v>
      </c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98</v>
      </c>
      <c r="H12" s="43"/>
      <c r="I12" s="44">
        <f>S8</f>
        <v>1245.45</v>
      </c>
      <c r="J12" s="44"/>
      <c r="K12" s="4"/>
      <c r="L12" s="4"/>
      <c r="M12" s="19">
        <v>1</v>
      </c>
      <c r="N12" s="19" t="s">
        <v>76</v>
      </c>
      <c r="O12" s="19">
        <v>2.5</v>
      </c>
      <c r="P12" s="19" t="s">
        <v>99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100</v>
      </c>
      <c r="H13" s="43"/>
      <c r="I13" s="44">
        <f>AB8</f>
        <v>224.18</v>
      </c>
      <c r="J13" s="44"/>
      <c r="K13" s="4"/>
      <c r="L13" s="4"/>
      <c r="M13" s="19">
        <v>1</v>
      </c>
      <c r="N13" s="19" t="s">
        <v>95</v>
      </c>
      <c r="O13" s="19">
        <v>0.001</v>
      </c>
      <c r="P13" s="19" t="s">
        <v>101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ht="15.75" spans="1:69">
      <c r="A14" s="4"/>
      <c r="B14" s="4"/>
      <c r="C14" s="4"/>
      <c r="D14" s="4"/>
      <c r="E14" s="4"/>
      <c r="F14" s="4"/>
      <c r="G14" s="42" t="s">
        <v>102</v>
      </c>
      <c r="H14" s="43"/>
      <c r="I14" s="49">
        <f>I12+I13</f>
        <v>1469.63</v>
      </c>
      <c r="J14" s="49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 t="s">
        <v>103</v>
      </c>
      <c r="BN15" s="4" t="s">
        <v>104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105</v>
      </c>
      <c r="BL16" s="4">
        <v>12.5</v>
      </c>
      <c r="BM16" s="4">
        <f>BL18*BL19</f>
        <v>18277.77</v>
      </c>
      <c r="BN16" s="4">
        <f>BL16*BL17</f>
        <v>6092.59</v>
      </c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106</v>
      </c>
      <c r="BL17" s="4">
        <v>487.4072</v>
      </c>
      <c r="BM17" s="4">
        <f>BL16+BL18</f>
        <v>50</v>
      </c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107</v>
      </c>
      <c r="BL18" s="4">
        <v>37.5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 t="s">
        <v>108</v>
      </c>
      <c r="BL19" s="4">
        <v>487.4072</v>
      </c>
      <c r="BM19" s="4"/>
      <c r="BN19" s="4"/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>
        <f>BM16+BN16</f>
        <v>24370.36</v>
      </c>
      <c r="BN20" s="4">
        <f>BM20/BM17</f>
        <v>487.4072</v>
      </c>
      <c r="BO20" s="4"/>
      <c r="BP20" s="5"/>
      <c r="BQ20" s="5"/>
    </row>
    <row r="21" spans="1:69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5"/>
      <c r="BQ21" s="5"/>
    </row>
  </sheetData>
  <mergeCells count="13">
    <mergeCell ref="A2:B2"/>
    <mergeCell ref="A5:B5"/>
    <mergeCell ref="G10:H10"/>
    <mergeCell ref="I10:J10"/>
    <mergeCell ref="M10:P10"/>
    <mergeCell ref="G11:H11"/>
    <mergeCell ref="I11:J11"/>
    <mergeCell ref="G12:H12"/>
    <mergeCell ref="I12:J12"/>
    <mergeCell ref="G13:H13"/>
    <mergeCell ref="I13:J13"/>
    <mergeCell ref="G14:H14"/>
    <mergeCell ref="I14:J14"/>
  </mergeCells>
  <pageMargins left="0.75" right="0.75" top="1" bottom="1" header="0.5" footer="0.5"/>
  <pageSetup paperSize="1" orientation="portrait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1"/>
  <sheetViews>
    <sheetView topLeftCell="D1" workbookViewId="0">
      <selection activeCell="B7" sqref="B7:C7"/>
    </sheetView>
  </sheetViews>
  <sheetFormatPr defaultColWidth="8.84761904761905" defaultRowHeight="15"/>
  <cols>
    <col min="1" max="1" width="25.5714285714286" customWidth="1"/>
    <col min="2" max="3" width="32.1428571428571" customWidth="1"/>
    <col min="4" max="4" width="79.4285714285714" customWidth="1"/>
    <col min="5" max="5" width="11.5714285714286" customWidth="1"/>
    <col min="6" max="6" width="5.14285714285714" customWidth="1"/>
    <col min="7" max="7" width="11" customWidth="1"/>
    <col min="8" max="8" width="12.7142857142857" customWidth="1"/>
    <col min="9" max="9" width="5.85714285714286" customWidth="1"/>
    <col min="10" max="10" width="6" customWidth="1"/>
    <col min="11" max="11" width="5.85714285714286" customWidth="1"/>
    <col min="12" max="12" width="14.2857142857143" customWidth="1"/>
    <col min="13" max="13" width="9.42857142857143" customWidth="1"/>
    <col min="14" max="14" width="14.4285714285714" customWidth="1"/>
    <col min="15" max="15" width="15.5714285714286" customWidth="1"/>
    <col min="16" max="16" width="14.4285714285714" customWidth="1"/>
    <col min="17" max="17" width="39.4285714285714" customWidth="1"/>
    <col min="18" max="18" width="11.7142857142857" customWidth="1"/>
    <col min="19" max="19" width="11.8571428571429" customWidth="1"/>
    <col min="20" max="20" width="10.7142857142857" customWidth="1"/>
    <col min="21" max="22" width="6.57142857142857" customWidth="1"/>
    <col min="23" max="23" width="37.1428571428571" customWidth="1"/>
    <col min="24" max="24" width="8.71428571428571" customWidth="1"/>
    <col min="25" max="25" width="8" customWidth="1"/>
    <col min="26" max="26" width="7.71428571428571" customWidth="1"/>
    <col min="27" max="27" width="6.28571428571429" customWidth="1"/>
    <col min="28" max="28" width="9.28571428571429" customWidth="1"/>
    <col min="29" max="29" width="10.5714285714286" customWidth="1"/>
    <col min="30" max="30" width="12.8571428571429" customWidth="1"/>
    <col min="31" max="31" width="16.1428571428571" customWidth="1"/>
    <col min="32" max="32" width="15.4285714285714" customWidth="1"/>
    <col min="33" max="33" width="24.5714285714286" customWidth="1"/>
    <col min="34" max="34" width="8.57142857142857" customWidth="1"/>
    <col min="35" max="35" width="14.7142857142857" customWidth="1"/>
    <col min="36" max="36" width="18.5714285714286" customWidth="1"/>
    <col min="37" max="37" width="14.1428571428571" customWidth="1"/>
    <col min="38" max="38" width="14.7142857142857" customWidth="1"/>
    <col min="39" max="39" width="17.4285714285714" customWidth="1"/>
    <col min="40" max="40" width="22" customWidth="1"/>
    <col min="41" max="41" width="17.5714285714286" customWidth="1"/>
    <col min="42" max="42" width="25.2857142857143" customWidth="1"/>
    <col min="43" max="43" width="13" customWidth="1"/>
    <col min="44" max="44" width="9" customWidth="1"/>
    <col min="45" max="45" width="9.28571428571429" customWidth="1"/>
    <col min="46" max="46" width="13" customWidth="1"/>
    <col min="47" max="47" width="15.5714285714286" customWidth="1"/>
    <col min="48" max="48" width="21.1428571428571" customWidth="1"/>
    <col min="49" max="49" width="11.5714285714286" customWidth="1"/>
    <col min="50" max="50" width="16.7142857142857" customWidth="1"/>
    <col min="51" max="51" width="14" customWidth="1"/>
    <col min="52" max="52" width="19.4285714285714" customWidth="1"/>
    <col min="53" max="53" width="18.8571428571429" customWidth="1"/>
    <col min="54" max="54" width="23.2857142857143" customWidth="1"/>
    <col min="55" max="55" width="15.5714285714286" customWidth="1"/>
    <col min="56" max="56" width="14.2857142857143" customWidth="1"/>
    <col min="57" max="57" width="17" customWidth="1"/>
    <col min="58" max="58" width="16.2857142857143" customWidth="1"/>
    <col min="59" max="59" width="13.5714285714286" customWidth="1"/>
    <col min="60" max="60" width="12.7142857142857" customWidth="1"/>
    <col min="61" max="61" width="106.285714285714" customWidth="1"/>
    <col min="62" max="62" width="21.8571428571429" customWidth="1"/>
    <col min="63" max="63" width="30.5714285714286" customWidth="1"/>
    <col min="64" max="64" width="10.7142857142857" customWidth="1"/>
    <col min="65" max="65" width="42.5714285714286" customWidth="1"/>
    <col min="66" max="66" width="38.1428571428571" customWidth="1"/>
    <col min="67" max="67" width="19.4285714285714" customWidth="1"/>
    <col min="68" max="68" width="35.4285714285714" customWidth="1"/>
    <col min="69" max="69" width="7.57142857142857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05" t="s">
        <v>205</v>
      </c>
      <c r="C4" s="105" t="s">
        <v>205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8</v>
      </c>
      <c r="K4" s="20">
        <v>5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114</v>
      </c>
      <c r="P4" s="20">
        <f>ROUND(N4-O4,2)</f>
        <v>1311</v>
      </c>
      <c r="Q4" s="20">
        <f>ROUND(P4*K4%,2)</f>
        <v>65.55</v>
      </c>
      <c r="R4" s="20">
        <f>M4+O4+Q4</f>
        <v>254.55</v>
      </c>
      <c r="S4" s="20">
        <f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224.18</v>
      </c>
      <c r="AC4" s="21">
        <f>IF($V2=1,S4+AB4,S4)</f>
        <v>1469.63</v>
      </c>
      <c r="AD4" s="22">
        <v>120</v>
      </c>
      <c r="AE4" s="22">
        <f>IF($P$2=1,(S4/$S$8)*$E$19,AD4/$AD$8*$E$19)</f>
        <v>0</v>
      </c>
      <c r="AF4" s="22"/>
      <c r="AG4" s="22">
        <f>IF($P$2=1,(S4/$S$8)*$E$21,AD4/$AD$8*$E$21)</f>
        <v>0</v>
      </c>
      <c r="AH4" s="22">
        <f t="shared" ref="AH4:AH8" si="0">IF($P$2=1,(S4/$S$8)*$E$22,AD4/$AD$8*$E$22)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</v>
      </c>
      <c r="AN4" s="23">
        <f>ROUND(AI4/AM4,3)</f>
        <v>124.545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>
        <v>85</v>
      </c>
      <c r="AV4" t="s">
        <v>167</v>
      </c>
      <c r="AW4" s="25">
        <f>AM4</f>
        <v>10</v>
      </c>
      <c r="AX4" s="26">
        <f>AR4</f>
        <v>124.545</v>
      </c>
      <c r="AY4" s="25">
        <f>AU4+AW4</f>
        <v>10</v>
      </c>
      <c r="AZ4" s="25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216</v>
      </c>
      <c r="BN4" t="s">
        <v>217</v>
      </c>
      <c r="BO4" s="25">
        <f>ROUND((((AW4*AZ4)+(BN4*BM4))/(AW4+BN4)),5)</f>
        <v>1889.52299</v>
      </c>
      <c r="BP4" s="31">
        <f>ROUND(BN4+AW4,3)</f>
        <v>1858</v>
      </c>
      <c r="BQ4" s="32">
        <v>123562</v>
      </c>
    </row>
    <row r="5" ht="15.75" spans="1:69">
      <c r="A5" s="109" t="s">
        <v>211</v>
      </c>
      <c r="B5" s="110"/>
      <c r="C5" s="19"/>
      <c r="D5" s="19"/>
      <c r="E5" s="19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1"/>
      <c r="AD5" s="22"/>
      <c r="AE5" s="22"/>
      <c r="AF5" s="22"/>
      <c r="AG5" s="22"/>
      <c r="AH5" s="22"/>
      <c r="AI5" s="22"/>
      <c r="AJ5" s="22"/>
      <c r="AK5" s="22"/>
      <c r="AL5" s="23"/>
      <c r="AM5" s="22"/>
      <c r="AN5" s="23"/>
      <c r="AO5" s="22"/>
      <c r="AP5" s="22"/>
      <c r="AQ5" s="22"/>
      <c r="AR5" s="23"/>
      <c r="AS5" s="24"/>
      <c r="AT5" s="25"/>
      <c r="AW5" s="25"/>
      <c r="AX5" s="26"/>
      <c r="AY5" s="25"/>
      <c r="AZ5" s="25"/>
      <c r="BA5" s="27"/>
      <c r="BB5" s="27"/>
      <c r="BC5" s="28"/>
      <c r="BD5" s="29"/>
      <c r="BE5" s="29"/>
      <c r="BF5" s="27"/>
      <c r="BG5" s="27"/>
      <c r="BH5" s="27"/>
      <c r="BI5" s="25"/>
      <c r="BJ5" s="25"/>
      <c r="BK5" s="25"/>
      <c r="BL5" s="30"/>
      <c r="BO5" s="25"/>
      <c r="BP5" s="31"/>
      <c r="BQ5" s="32"/>
    </row>
    <row r="6" ht="61.5" spans="1:69">
      <c r="A6" s="9" t="s">
        <v>9</v>
      </c>
      <c r="B6" s="9" t="s">
        <v>10</v>
      </c>
      <c r="C6" s="9" t="s">
        <v>11</v>
      </c>
      <c r="D6" s="9" t="s">
        <v>12</v>
      </c>
      <c r="E6" s="9" t="s">
        <v>13</v>
      </c>
      <c r="F6" s="9" t="s">
        <v>14</v>
      </c>
      <c r="G6" s="9" t="s">
        <v>15</v>
      </c>
      <c r="H6" s="9" t="s">
        <v>16</v>
      </c>
      <c r="I6" s="10" t="s">
        <v>17</v>
      </c>
      <c r="J6" s="10" t="s">
        <v>18</v>
      </c>
      <c r="K6" s="10" t="s">
        <v>19</v>
      </c>
      <c r="L6" s="11" t="s">
        <v>20</v>
      </c>
      <c r="M6" s="11" t="s">
        <v>21</v>
      </c>
      <c r="N6" s="11" t="s">
        <v>22</v>
      </c>
      <c r="O6" s="11" t="s">
        <v>23</v>
      </c>
      <c r="P6" s="11" t="s">
        <v>24</v>
      </c>
      <c r="Q6" s="11" t="s">
        <v>25</v>
      </c>
      <c r="R6" s="10" t="s">
        <v>26</v>
      </c>
      <c r="S6" s="9" t="s">
        <v>27</v>
      </c>
      <c r="T6" s="9" t="s">
        <v>28</v>
      </c>
      <c r="U6" s="12" t="s">
        <v>29</v>
      </c>
      <c r="V6" s="12" t="s">
        <v>30</v>
      </c>
      <c r="W6" s="12" t="s">
        <v>31</v>
      </c>
      <c r="X6" s="12" t="s">
        <v>32</v>
      </c>
      <c r="Y6" s="13" t="s">
        <v>33</v>
      </c>
      <c r="Z6" s="13" t="s">
        <v>34</v>
      </c>
      <c r="AA6" s="13" t="s">
        <v>35</v>
      </c>
      <c r="AB6" s="13" t="s">
        <v>36</v>
      </c>
      <c r="AC6" s="14" t="s">
        <v>37</v>
      </c>
      <c r="AD6" s="14" t="s">
        <v>38</v>
      </c>
      <c r="AE6" s="14" t="s">
        <v>39</v>
      </c>
      <c r="AF6" s="14" t="s">
        <v>40</v>
      </c>
      <c r="AG6" s="14" t="s">
        <v>41</v>
      </c>
      <c r="AH6" s="14" t="s">
        <v>42</v>
      </c>
      <c r="AI6" s="14" t="s">
        <v>43</v>
      </c>
      <c r="AJ6" s="14" t="s">
        <v>44</v>
      </c>
      <c r="AK6" s="14" t="s">
        <v>45</v>
      </c>
      <c r="AL6" s="14" t="s">
        <v>46</v>
      </c>
      <c r="AM6" s="14" t="s">
        <v>47</v>
      </c>
      <c r="AN6" s="14" t="s">
        <v>48</v>
      </c>
      <c r="AO6" s="14" t="s">
        <v>49</v>
      </c>
      <c r="AP6" s="14" t="s">
        <v>50</v>
      </c>
      <c r="AQ6" s="14" t="s">
        <v>51</v>
      </c>
      <c r="AR6" s="15" t="s">
        <v>52</v>
      </c>
      <c r="AS6" s="16" t="s">
        <v>53</v>
      </c>
      <c r="AT6" s="16" t="s">
        <v>51</v>
      </c>
      <c r="AW6" s="17" t="s">
        <v>56</v>
      </c>
      <c r="AX6" s="17" t="s">
        <v>57</v>
      </c>
      <c r="AY6" s="17" t="s">
        <v>58</v>
      </c>
      <c r="AZ6" s="17" t="s">
        <v>59</v>
      </c>
      <c r="BA6" s="17" t="s">
        <v>60</v>
      </c>
      <c r="BB6" s="17" t="s">
        <v>61</v>
      </c>
      <c r="BC6" s="18" t="s">
        <v>62</v>
      </c>
      <c r="BD6" s="18" t="s">
        <v>63</v>
      </c>
      <c r="BE6" s="18" t="s">
        <v>64</v>
      </c>
      <c r="BF6" s="17" t="s">
        <v>65</v>
      </c>
      <c r="BG6" s="17" t="s">
        <v>66</v>
      </c>
      <c r="BH6" s="17" t="s">
        <v>67</v>
      </c>
      <c r="BI6" s="17" t="s">
        <v>68</v>
      </c>
      <c r="BJ6" s="17" t="s">
        <v>69</v>
      </c>
      <c r="BK6" s="17" t="s">
        <v>70</v>
      </c>
      <c r="BL6" s="17" t="s">
        <v>71</v>
      </c>
      <c r="BO6" s="17" t="s">
        <v>59</v>
      </c>
      <c r="BP6" s="17" t="s">
        <v>74</v>
      </c>
      <c r="BQ6" s="17" t="s">
        <v>28</v>
      </c>
    </row>
    <row r="7" ht="15.75" spans="1:69">
      <c r="A7" s="19">
        <v>1</v>
      </c>
      <c r="B7" s="105" t="s">
        <v>205</v>
      </c>
      <c r="C7" s="105" t="s">
        <v>205</v>
      </c>
      <c r="D7" s="19" t="s">
        <v>76</v>
      </c>
      <c r="E7" s="19" t="s">
        <v>76</v>
      </c>
      <c r="F7" s="20">
        <v>30</v>
      </c>
      <c r="G7" s="20">
        <v>150</v>
      </c>
      <c r="H7" s="20">
        <f>F7*G7</f>
        <v>4500</v>
      </c>
      <c r="I7" s="20">
        <v>5</v>
      </c>
      <c r="J7" s="20">
        <v>8</v>
      </c>
      <c r="K7" s="20">
        <v>5</v>
      </c>
      <c r="L7" s="20">
        <f>H7</f>
        <v>4500</v>
      </c>
      <c r="M7" s="20">
        <f>ROUND(L7*I7%,2)</f>
        <v>225</v>
      </c>
      <c r="N7" s="20">
        <f>H7-M7</f>
        <v>4275</v>
      </c>
      <c r="O7" s="20">
        <f>ROUND(N7*J7%,2)</f>
        <v>342</v>
      </c>
      <c r="P7" s="20">
        <f>ROUND(N7-O7,2)</f>
        <v>3933</v>
      </c>
      <c r="Q7" s="20">
        <f>ROUND(P7*K7%,2)</f>
        <v>196.65</v>
      </c>
      <c r="R7" s="20">
        <f>M7+O7+Q7</f>
        <v>763.65</v>
      </c>
      <c r="S7" s="20">
        <f>(H7-R7)</f>
        <v>3736.35</v>
      </c>
      <c r="T7" s="20">
        <v>88363222</v>
      </c>
      <c r="U7" s="20">
        <v>18</v>
      </c>
      <c r="V7" s="20">
        <f>IF(OR($C$2=1,$C$2=4),ROUND((((S7*U7)/100)/2),2),0)</f>
        <v>0</v>
      </c>
      <c r="W7" s="20">
        <f>IF($C$2=1,ROUND((((S7*U7)/100)/2),2),0)</f>
        <v>0</v>
      </c>
      <c r="X7" s="20">
        <f>IF($C$2=2,ROUND(((S7*U7)/100),2),0)</f>
        <v>672.54</v>
      </c>
      <c r="Y7" s="20">
        <f>IF($C$2=4,ROUND((((S7*U7)/100)/2),2),0)</f>
        <v>0</v>
      </c>
      <c r="Z7" s="20">
        <v>0</v>
      </c>
      <c r="AA7" s="20">
        <f>IF($C3=3,0,(S7*Z7)/100)</f>
        <v>0</v>
      </c>
      <c r="AB7" s="20">
        <f>V7+W7+X7+Y7+AA7</f>
        <v>672.54</v>
      </c>
      <c r="AC7" s="20">
        <f>IF($V3=1,S7+AB7,S7)</f>
        <v>3736.35</v>
      </c>
      <c r="AD7" s="22">
        <v>120</v>
      </c>
      <c r="AE7" s="22">
        <f>IF($P$2=1,(S7/$S$8)*$E$19,AD7/$AD$8*$E$19)</f>
        <v>0</v>
      </c>
      <c r="AF7" s="22"/>
      <c r="AG7" s="22">
        <f>IF($P$2=1,(S7/$S$8)*$E$21,AD7/$AD$8*$E$21)</f>
        <v>0</v>
      </c>
      <c r="AH7" s="22">
        <f t="shared" si="0"/>
        <v>0</v>
      </c>
      <c r="AI7" s="22">
        <f>S7*$M$2</f>
        <v>3736.35</v>
      </c>
      <c r="AJ7" s="22">
        <f>IF($C$2=3,0,AG7+AH7)</f>
        <v>0</v>
      </c>
      <c r="AK7" s="22">
        <f>IF($C$2=3,AE7+AG7+AH7,0)</f>
        <v>0</v>
      </c>
      <c r="AL7" s="23">
        <v>1</v>
      </c>
      <c r="AM7" s="22">
        <f>F7/AL7</f>
        <v>30</v>
      </c>
      <c r="AN7" s="22">
        <f>AI7/AM7</f>
        <v>124.545</v>
      </c>
      <c r="AO7" s="22">
        <f>AJ7/AM7</f>
        <v>0</v>
      </c>
      <c r="AP7" s="22">
        <f>AK7/AM7</f>
        <v>0</v>
      </c>
      <c r="AQ7" s="22" t="s">
        <v>76</v>
      </c>
      <c r="AR7" s="22">
        <f>AN7+AO7+AP7</f>
        <v>124.545</v>
      </c>
      <c r="AS7" s="24" t="s">
        <v>120</v>
      </c>
      <c r="AT7" s="25" t="s">
        <v>76</v>
      </c>
      <c r="AU7" t="s">
        <v>85</v>
      </c>
      <c r="AV7" t="s">
        <v>167</v>
      </c>
      <c r="AW7" s="25">
        <f>AM7</f>
        <v>30</v>
      </c>
      <c r="AX7" s="25">
        <f>AR7</f>
        <v>124.545</v>
      </c>
      <c r="AY7" s="25">
        <f>AU7+AW7</f>
        <v>30</v>
      </c>
      <c r="AZ7" s="25">
        <f>ROUND(((AU7*AV7)+(AW7*AX7))/(AU7+AW7),5)</f>
        <v>124.545</v>
      </c>
      <c r="BA7" s="27"/>
      <c r="BB7" s="27" t="s">
        <v>80</v>
      </c>
      <c r="BC7" s="28" t="s">
        <v>81</v>
      </c>
      <c r="BD7" s="29" t="s">
        <v>82</v>
      </c>
      <c r="BE7" s="29" t="s">
        <v>83</v>
      </c>
      <c r="BF7" s="27"/>
      <c r="BG7" s="27"/>
      <c r="BH7" s="27"/>
      <c r="BI7" s="25"/>
      <c r="BJ7" s="25"/>
      <c r="BK7" s="25"/>
      <c r="BL7" s="30" t="s">
        <v>122</v>
      </c>
      <c r="BM7" t="s">
        <v>216</v>
      </c>
      <c r="BN7" t="s">
        <v>217</v>
      </c>
      <c r="BO7" s="25">
        <f>ROUND((((AW7*AZ7)+(BN7*BM7))/(AW7+BN7)),5)</f>
        <v>1870.72664</v>
      </c>
      <c r="BP7" s="31">
        <f>ROUND(BN7+AW7,3)</f>
        <v>1878</v>
      </c>
      <c r="BQ7" s="32">
        <v>123562</v>
      </c>
    </row>
    <row r="8" ht="15.75" spans="1:69">
      <c r="A8" s="4"/>
      <c r="B8" s="34"/>
      <c r="C8" s="34"/>
      <c r="D8" s="35" t="s">
        <v>89</v>
      </c>
      <c r="E8" s="35"/>
      <c r="F8" s="35"/>
      <c r="G8" s="36"/>
      <c r="H8" s="37">
        <f>SUM(H4:H4)</f>
        <v>1500</v>
      </c>
      <c r="I8" s="19"/>
      <c r="J8" s="19"/>
      <c r="K8" s="19"/>
      <c r="L8" s="19"/>
      <c r="M8" s="19"/>
      <c r="N8" s="19"/>
      <c r="O8" s="19"/>
      <c r="P8" s="19"/>
      <c r="Q8" s="19"/>
      <c r="R8" s="38">
        <f t="shared" ref="R8:X8" si="1">SUM(R4:R4)</f>
        <v>254.55</v>
      </c>
      <c r="S8" s="37">
        <f t="shared" si="1"/>
        <v>1245.45</v>
      </c>
      <c r="T8" s="38"/>
      <c r="U8" s="38"/>
      <c r="V8" s="39">
        <f t="shared" si="1"/>
        <v>0</v>
      </c>
      <c r="W8" s="39">
        <f t="shared" si="1"/>
        <v>0</v>
      </c>
      <c r="X8" s="39">
        <f t="shared" si="1"/>
        <v>224.18</v>
      </c>
      <c r="Y8" s="39"/>
      <c r="Z8" s="39"/>
      <c r="AA8" s="39"/>
      <c r="AB8" s="38">
        <f t="shared" ref="AB8:AE8" si="2">SUM(AB4:AB4)</f>
        <v>224.18</v>
      </c>
      <c r="AC8" s="40">
        <f t="shared" si="2"/>
        <v>1469.63</v>
      </c>
      <c r="AD8" s="41">
        <f t="shared" si="2"/>
        <v>120</v>
      </c>
      <c r="AE8" s="41">
        <f t="shared" si="2"/>
        <v>0</v>
      </c>
      <c r="AF8" s="40"/>
      <c r="AG8" s="41">
        <f t="shared" ref="AG8:AK8" si="3">SUM(AG4:AG4)</f>
        <v>0</v>
      </c>
      <c r="AH8" s="41">
        <f t="shared" si="0"/>
        <v>0</v>
      </c>
      <c r="AI8" s="41">
        <f t="shared" si="3"/>
        <v>1245.45</v>
      </c>
      <c r="AJ8" s="41">
        <f t="shared" si="3"/>
        <v>0</v>
      </c>
      <c r="AK8" s="41">
        <f t="shared" si="3"/>
        <v>0</v>
      </c>
      <c r="AL8" s="40"/>
      <c r="AM8" s="40"/>
      <c r="AN8" s="40"/>
      <c r="AO8" s="40"/>
      <c r="AP8" s="40"/>
      <c r="AQ8" s="40"/>
      <c r="AR8" s="40"/>
      <c r="AS8" s="4"/>
      <c r="AT8" s="4"/>
      <c r="AU8" s="5"/>
      <c r="AV8" s="5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90</v>
      </c>
      <c r="H10" s="43"/>
      <c r="I10" s="44">
        <f>H8</f>
        <v>1500</v>
      </c>
      <c r="J10" s="44"/>
      <c r="K10" s="4"/>
      <c r="L10" s="4"/>
      <c r="M10" s="45" t="s">
        <v>91</v>
      </c>
      <c r="N10" s="46"/>
      <c r="O10" s="46"/>
      <c r="P10" s="47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92</v>
      </c>
      <c r="BI10" s="121" t="s">
        <v>93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94</v>
      </c>
      <c r="H11" s="43"/>
      <c r="I11" s="44">
        <f>R8</f>
        <v>254.55</v>
      </c>
      <c r="J11" s="44"/>
      <c r="K11" s="4"/>
      <c r="L11" s="4"/>
      <c r="M11" s="48">
        <v>1</v>
      </c>
      <c r="N11" s="48" t="s">
        <v>76</v>
      </c>
      <c r="O11" s="48">
        <v>2</v>
      </c>
      <c r="P11" s="48" t="s">
        <v>95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 t="s">
        <v>96</v>
      </c>
      <c r="BI11" s="121" t="s">
        <v>97</v>
      </c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98</v>
      </c>
      <c r="H12" s="43"/>
      <c r="I12" s="44">
        <f>S8</f>
        <v>1245.45</v>
      </c>
      <c r="J12" s="44"/>
      <c r="K12" s="4"/>
      <c r="L12" s="4"/>
      <c r="M12" s="19">
        <v>1</v>
      </c>
      <c r="N12" s="19" t="s">
        <v>76</v>
      </c>
      <c r="O12" s="19">
        <v>2.5</v>
      </c>
      <c r="P12" s="19" t="s">
        <v>99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100</v>
      </c>
      <c r="H13" s="43"/>
      <c r="I13" s="44">
        <f>AB8</f>
        <v>224.18</v>
      </c>
      <c r="J13" s="44"/>
      <c r="K13" s="4"/>
      <c r="L13" s="4"/>
      <c r="M13" s="19">
        <v>1</v>
      </c>
      <c r="N13" s="19" t="s">
        <v>95</v>
      </c>
      <c r="O13" s="19">
        <v>0.001</v>
      </c>
      <c r="P13" s="19" t="s">
        <v>101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ht="15.75" spans="1:69">
      <c r="A14" s="4"/>
      <c r="B14" s="4"/>
      <c r="C14" s="4"/>
      <c r="D14" s="4"/>
      <c r="E14" s="4"/>
      <c r="F14" s="4"/>
      <c r="G14" s="42" t="s">
        <v>102</v>
      </c>
      <c r="H14" s="43"/>
      <c r="I14" s="49">
        <f>I12+I13</f>
        <v>1469.63</v>
      </c>
      <c r="J14" s="49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 t="s">
        <v>103</v>
      </c>
      <c r="BN15" s="4" t="s">
        <v>104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105</v>
      </c>
      <c r="BL16" s="4">
        <v>12.5</v>
      </c>
      <c r="BM16" s="4">
        <f>BL18*BL19</f>
        <v>18277.77</v>
      </c>
      <c r="BN16" s="4">
        <f>BL16*BL17</f>
        <v>6092.59</v>
      </c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106</v>
      </c>
      <c r="BL17" s="4">
        <v>487.4072</v>
      </c>
      <c r="BM17" s="4">
        <f>BL16+BL18</f>
        <v>50</v>
      </c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107</v>
      </c>
      <c r="BL18" s="4">
        <v>37.5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 t="s">
        <v>108</v>
      </c>
      <c r="BL19" s="4">
        <v>487.4072</v>
      </c>
      <c r="BM19" s="4"/>
      <c r="BN19" s="4"/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>
        <f>BM16+BN16</f>
        <v>24370.36</v>
      </c>
      <c r="BN20" s="4">
        <f>BM20/BM17</f>
        <v>487.4072</v>
      </c>
      <c r="BO20" s="4"/>
      <c r="BP20" s="5"/>
      <c r="BQ20" s="5"/>
    </row>
    <row r="21" spans="1:69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5"/>
      <c r="BQ21" s="5"/>
    </row>
  </sheetData>
  <mergeCells count="13">
    <mergeCell ref="A2:B2"/>
    <mergeCell ref="A5:B5"/>
    <mergeCell ref="G10:H10"/>
    <mergeCell ref="I10:J10"/>
    <mergeCell ref="M10:P10"/>
    <mergeCell ref="G11:H11"/>
    <mergeCell ref="I11:J11"/>
    <mergeCell ref="G12:H12"/>
    <mergeCell ref="I12:J12"/>
    <mergeCell ref="G13:H13"/>
    <mergeCell ref="I13:J13"/>
    <mergeCell ref="G14:H14"/>
    <mergeCell ref="I14:J14"/>
  </mergeCells>
  <pageMargins left="0.75" right="0.75" top="1" bottom="1" header="0.5" footer="0.5"/>
  <pageSetup paperSize="1" orientation="portrait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1"/>
  <sheetViews>
    <sheetView topLeftCell="D1" workbookViewId="0">
      <selection activeCell="C3" sqref="C3"/>
    </sheetView>
  </sheetViews>
  <sheetFormatPr defaultColWidth="8.84761904761905" defaultRowHeight="15"/>
  <cols>
    <col min="1" max="1" width="25.5714285714286" customWidth="1"/>
    <col min="2" max="3" width="32.1428571428571" customWidth="1"/>
    <col min="4" max="4" width="79.4285714285714" customWidth="1"/>
    <col min="5" max="5" width="11.5714285714286" customWidth="1"/>
    <col min="6" max="6" width="5.14285714285714" customWidth="1"/>
    <col min="7" max="7" width="11" customWidth="1"/>
    <col min="8" max="8" width="12.7142857142857" customWidth="1"/>
    <col min="9" max="9" width="5.85714285714286" customWidth="1"/>
    <col min="10" max="10" width="6" customWidth="1"/>
    <col min="11" max="11" width="5.85714285714286" customWidth="1"/>
    <col min="12" max="12" width="14.2857142857143" customWidth="1"/>
    <col min="13" max="13" width="9.42857142857143" customWidth="1"/>
    <col min="14" max="14" width="14.4285714285714" customWidth="1"/>
    <col min="15" max="15" width="15.5714285714286" customWidth="1"/>
    <col min="16" max="16" width="14.4285714285714" customWidth="1"/>
    <col min="17" max="17" width="39.4285714285714" customWidth="1"/>
    <col min="18" max="18" width="11.7142857142857" customWidth="1"/>
    <col min="19" max="19" width="11.8571428571429" customWidth="1"/>
    <col min="20" max="20" width="10.7142857142857" customWidth="1"/>
    <col min="21" max="22" width="6.57142857142857" customWidth="1"/>
    <col min="23" max="23" width="37.1428571428571" customWidth="1"/>
    <col min="24" max="24" width="8.71428571428571" customWidth="1"/>
    <col min="25" max="25" width="8" customWidth="1"/>
    <col min="26" max="26" width="7.71428571428571" customWidth="1"/>
    <col min="27" max="27" width="6.28571428571429" customWidth="1"/>
    <col min="28" max="28" width="9.28571428571429" customWidth="1"/>
    <col min="29" max="29" width="10.5714285714286" customWidth="1"/>
    <col min="30" max="30" width="12.8571428571429" customWidth="1"/>
    <col min="31" max="31" width="16.1428571428571" customWidth="1"/>
    <col min="32" max="32" width="15.4285714285714" customWidth="1"/>
    <col min="33" max="33" width="24.5714285714286" customWidth="1"/>
    <col min="34" max="34" width="8.57142857142857" customWidth="1"/>
    <col min="35" max="35" width="14.7142857142857" customWidth="1"/>
    <col min="36" max="36" width="18.5714285714286" customWidth="1"/>
    <col min="37" max="37" width="14.1428571428571" customWidth="1"/>
    <col min="38" max="38" width="14.7142857142857" customWidth="1"/>
    <col min="39" max="39" width="17.4285714285714" customWidth="1"/>
    <col min="40" max="40" width="22" customWidth="1"/>
    <col min="41" max="41" width="17.5714285714286" customWidth="1"/>
    <col min="42" max="42" width="25.2857142857143" customWidth="1"/>
    <col min="43" max="43" width="13" customWidth="1"/>
    <col min="44" max="44" width="9" customWidth="1"/>
    <col min="45" max="45" width="9.28571428571429" customWidth="1"/>
    <col min="46" max="46" width="13" customWidth="1"/>
    <col min="47" max="47" width="15.5714285714286" customWidth="1"/>
    <col min="48" max="48" width="21.1428571428571" customWidth="1"/>
    <col min="49" max="49" width="11.5714285714286" customWidth="1"/>
    <col min="50" max="50" width="16.7142857142857" customWidth="1"/>
    <col min="51" max="51" width="14" customWidth="1"/>
    <col min="52" max="52" width="19.4285714285714" customWidth="1"/>
    <col min="53" max="53" width="18.8571428571429" customWidth="1"/>
    <col min="54" max="54" width="23.2857142857143" customWidth="1"/>
    <col min="55" max="55" width="15.5714285714286" customWidth="1"/>
    <col min="56" max="56" width="14.2857142857143" customWidth="1"/>
    <col min="57" max="57" width="17" customWidth="1"/>
    <col min="58" max="58" width="16.2857142857143" customWidth="1"/>
    <col min="59" max="59" width="13.5714285714286" customWidth="1"/>
    <col min="60" max="60" width="12.7142857142857" customWidth="1"/>
    <col min="61" max="61" width="106.285714285714" customWidth="1"/>
    <col min="62" max="62" width="21.8571428571429" customWidth="1"/>
    <col min="63" max="63" width="30.5714285714286" customWidth="1"/>
    <col min="64" max="64" width="10.7142857142857" customWidth="1"/>
    <col min="65" max="65" width="42.5714285714286" customWidth="1"/>
    <col min="66" max="66" width="38.1428571428571" customWidth="1"/>
    <col min="67" max="67" width="19.4285714285714" customWidth="1"/>
    <col min="68" max="68" width="35.4285714285714" customWidth="1"/>
    <col min="69" max="69" width="7.57142857142857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1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186</v>
      </c>
      <c r="C4" s="19" t="s">
        <v>186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8</v>
      </c>
      <c r="K4" s="20">
        <v>5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114</v>
      </c>
      <c r="P4" s="20">
        <f>ROUND(N4-O4,2)</f>
        <v>1311</v>
      </c>
      <c r="Q4" s="20">
        <f>ROUND(P4*K4%,2)</f>
        <v>65.55</v>
      </c>
      <c r="R4" s="20">
        <f>M4+O4+Q4</f>
        <v>254.55</v>
      </c>
      <c r="S4" s="20">
        <f>(H4-R4)</f>
        <v>1245.45</v>
      </c>
      <c r="T4" s="20">
        <v>88363222</v>
      </c>
      <c r="U4" s="20">
        <v>18</v>
      </c>
      <c r="V4" s="20">
        <f>IF(OR($C$2=1,$C$2=4),ROUND((((S4*U4)/100)/2),2),0)</f>
        <v>112.09</v>
      </c>
      <c r="W4" s="20">
        <f>IF($C$2=1,ROUND((((S4*U4)/100)/2),2),0)</f>
        <v>112.09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224.18</v>
      </c>
      <c r="AC4" s="21">
        <f>IF($V2=1,S4+AB4,S4)</f>
        <v>1469.63</v>
      </c>
      <c r="AD4" s="22">
        <v>120</v>
      </c>
      <c r="AE4" s="22">
        <f>IF($P$2=1,(S4/$S$8)*$E$19,AD4/$AD$8*$E$19)</f>
        <v>0</v>
      </c>
      <c r="AF4" s="22"/>
      <c r="AG4" s="22">
        <f>IF($P$2=1,(S4/$S$8)*$E$21,AD4/$AD$8*$E$21)</f>
        <v>0</v>
      </c>
      <c r="AH4" s="22">
        <f t="shared" ref="AH4:AH8" si="0">IF($P$2=1,(S4/$S$8)*$E$22,AD4/$AD$8*$E$22)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</v>
      </c>
      <c r="AN4" s="23">
        <f>ROUND(AI4/AM4,3)</f>
        <v>124.545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124.545</v>
      </c>
      <c r="AS4" s="24" t="s">
        <v>200</v>
      </c>
      <c r="AT4" s="25" t="s">
        <v>76</v>
      </c>
      <c r="AU4" t="s">
        <v>85</v>
      </c>
      <c r="AV4" t="s">
        <v>167</v>
      </c>
      <c r="AW4" s="25">
        <f>AM4</f>
        <v>10</v>
      </c>
      <c r="AX4" s="26">
        <f>AR4</f>
        <v>124.545</v>
      </c>
      <c r="AY4" s="25">
        <f>AU4+AW4</f>
        <v>10</v>
      </c>
      <c r="AZ4" s="25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202</v>
      </c>
      <c r="BM4" t="s">
        <v>218</v>
      </c>
      <c r="BN4" t="s">
        <v>219</v>
      </c>
      <c r="BO4" s="25">
        <f>ROUND((((AW4*AZ4)+(BN4*BM4))/(AW4+BN4)),5)</f>
        <v>1982.41818</v>
      </c>
      <c r="BP4" s="31">
        <f>ROUND(BN4+AW4,3)</f>
        <v>1823</v>
      </c>
      <c r="BQ4" s="32">
        <v>123562</v>
      </c>
    </row>
    <row r="5" ht="15.75" spans="1:69">
      <c r="A5" s="109" t="s">
        <v>211</v>
      </c>
      <c r="B5" s="110"/>
      <c r="C5" s="19"/>
      <c r="D5" s="19"/>
      <c r="E5" s="19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1"/>
      <c r="AD5" s="22"/>
      <c r="AE5" s="22"/>
      <c r="AF5" s="22"/>
      <c r="AG5" s="22"/>
      <c r="AH5" s="22"/>
      <c r="AI5" s="22"/>
      <c r="AJ5" s="22"/>
      <c r="AK5" s="22"/>
      <c r="AL5" s="23"/>
      <c r="AM5" s="22"/>
      <c r="AN5" s="23"/>
      <c r="AO5" s="22"/>
      <c r="AP5" s="22"/>
      <c r="AQ5" s="22"/>
      <c r="AR5" s="23"/>
      <c r="AS5" s="24"/>
      <c r="AT5" s="25"/>
      <c r="AW5" s="25"/>
      <c r="AX5" s="26"/>
      <c r="AY5" s="25"/>
      <c r="AZ5" s="25"/>
      <c r="BA5" s="27"/>
      <c r="BB5" s="27"/>
      <c r="BC5" s="28"/>
      <c r="BD5" s="29"/>
      <c r="BE5" s="29"/>
      <c r="BF5" s="27"/>
      <c r="BG5" s="27"/>
      <c r="BH5" s="27"/>
      <c r="BI5" s="25"/>
      <c r="BJ5" s="25"/>
      <c r="BK5" s="25"/>
      <c r="BL5" s="30"/>
      <c r="BO5" s="25"/>
      <c r="BP5" s="31"/>
      <c r="BQ5" s="32"/>
    </row>
    <row r="6" ht="61.5" spans="1:69">
      <c r="A6" s="9" t="s">
        <v>9</v>
      </c>
      <c r="B6" s="9" t="s">
        <v>10</v>
      </c>
      <c r="C6" s="9" t="s">
        <v>11</v>
      </c>
      <c r="D6" s="9" t="s">
        <v>12</v>
      </c>
      <c r="E6" s="9" t="s">
        <v>13</v>
      </c>
      <c r="F6" s="9" t="s">
        <v>14</v>
      </c>
      <c r="G6" s="9" t="s">
        <v>15</v>
      </c>
      <c r="H6" s="9" t="s">
        <v>16</v>
      </c>
      <c r="I6" s="10" t="s">
        <v>17</v>
      </c>
      <c r="J6" s="10" t="s">
        <v>18</v>
      </c>
      <c r="K6" s="10" t="s">
        <v>19</v>
      </c>
      <c r="L6" s="11" t="s">
        <v>20</v>
      </c>
      <c r="M6" s="11" t="s">
        <v>21</v>
      </c>
      <c r="N6" s="11" t="s">
        <v>22</v>
      </c>
      <c r="O6" s="11" t="s">
        <v>23</v>
      </c>
      <c r="P6" s="11" t="s">
        <v>24</v>
      </c>
      <c r="Q6" s="11" t="s">
        <v>25</v>
      </c>
      <c r="R6" s="10" t="s">
        <v>26</v>
      </c>
      <c r="S6" s="9" t="s">
        <v>27</v>
      </c>
      <c r="T6" s="9" t="s">
        <v>28</v>
      </c>
      <c r="U6" s="12" t="s">
        <v>29</v>
      </c>
      <c r="V6" s="12" t="s">
        <v>30</v>
      </c>
      <c r="W6" s="12" t="s">
        <v>31</v>
      </c>
      <c r="X6" s="12" t="s">
        <v>32</v>
      </c>
      <c r="Y6" s="13" t="s">
        <v>33</v>
      </c>
      <c r="Z6" s="13" t="s">
        <v>34</v>
      </c>
      <c r="AA6" s="13" t="s">
        <v>35</v>
      </c>
      <c r="AB6" s="13" t="s">
        <v>36</v>
      </c>
      <c r="AC6" s="14" t="s">
        <v>37</v>
      </c>
      <c r="AD6" s="14" t="s">
        <v>38</v>
      </c>
      <c r="AE6" s="14" t="s">
        <v>39</v>
      </c>
      <c r="AF6" s="14" t="s">
        <v>40</v>
      </c>
      <c r="AG6" s="14" t="s">
        <v>41</v>
      </c>
      <c r="AH6" s="14" t="s">
        <v>42</v>
      </c>
      <c r="AI6" s="14" t="s">
        <v>43</v>
      </c>
      <c r="AJ6" s="14" t="s">
        <v>44</v>
      </c>
      <c r="AK6" s="14" t="s">
        <v>45</v>
      </c>
      <c r="AL6" s="14" t="s">
        <v>46</v>
      </c>
      <c r="AM6" s="14" t="s">
        <v>47</v>
      </c>
      <c r="AN6" s="14" t="s">
        <v>48</v>
      </c>
      <c r="AO6" s="14" t="s">
        <v>49</v>
      </c>
      <c r="AP6" s="14" t="s">
        <v>50</v>
      </c>
      <c r="AQ6" s="14" t="s">
        <v>51</v>
      </c>
      <c r="AR6" s="15" t="s">
        <v>52</v>
      </c>
      <c r="AS6" s="16" t="s">
        <v>53</v>
      </c>
      <c r="AT6" s="16" t="s">
        <v>51</v>
      </c>
      <c r="AW6" s="17" t="s">
        <v>56</v>
      </c>
      <c r="AX6" s="17" t="s">
        <v>57</v>
      </c>
      <c r="AY6" s="17" t="s">
        <v>58</v>
      </c>
      <c r="AZ6" s="17" t="s">
        <v>59</v>
      </c>
      <c r="BA6" s="17" t="s">
        <v>60</v>
      </c>
      <c r="BB6" s="17" t="s">
        <v>61</v>
      </c>
      <c r="BC6" s="18" t="s">
        <v>62</v>
      </c>
      <c r="BD6" s="18" t="s">
        <v>63</v>
      </c>
      <c r="BE6" s="18" t="s">
        <v>64</v>
      </c>
      <c r="BF6" s="17" t="s">
        <v>65</v>
      </c>
      <c r="BG6" s="17" t="s">
        <v>66</v>
      </c>
      <c r="BH6" s="17" t="s">
        <v>67</v>
      </c>
      <c r="BI6" s="17" t="s">
        <v>68</v>
      </c>
      <c r="BJ6" s="17" t="s">
        <v>69</v>
      </c>
      <c r="BK6" s="17" t="s">
        <v>70</v>
      </c>
      <c r="BL6" s="17" t="s">
        <v>71</v>
      </c>
      <c r="BM6" s="17" t="s">
        <v>72</v>
      </c>
      <c r="BN6" s="17" t="s">
        <v>73</v>
      </c>
      <c r="BO6" s="17" t="s">
        <v>59</v>
      </c>
      <c r="BP6" s="17" t="s">
        <v>74</v>
      </c>
      <c r="BQ6" s="17" t="s">
        <v>28</v>
      </c>
    </row>
    <row r="7" ht="15.75" spans="1:69">
      <c r="A7" s="19">
        <v>1</v>
      </c>
      <c r="B7" s="19" t="s">
        <v>186</v>
      </c>
      <c r="C7" s="19" t="s">
        <v>186</v>
      </c>
      <c r="D7" s="19" t="s">
        <v>76</v>
      </c>
      <c r="E7" s="19" t="s">
        <v>76</v>
      </c>
      <c r="F7" s="20">
        <v>30</v>
      </c>
      <c r="G7" s="20">
        <v>150</v>
      </c>
      <c r="H7" s="20">
        <f>F7*G7</f>
        <v>4500</v>
      </c>
      <c r="I7" s="20">
        <v>5</v>
      </c>
      <c r="J7" s="20">
        <v>8</v>
      </c>
      <c r="K7" s="20">
        <v>5</v>
      </c>
      <c r="L7" s="20">
        <f>H7</f>
        <v>4500</v>
      </c>
      <c r="M7" s="20">
        <f>ROUND(L7*I7%,2)</f>
        <v>225</v>
      </c>
      <c r="N7" s="20">
        <f>H7-M7</f>
        <v>4275</v>
      </c>
      <c r="O7" s="20">
        <f>ROUND(N7*J7%,2)</f>
        <v>342</v>
      </c>
      <c r="P7" s="20">
        <f>ROUND(N7-O7,2)</f>
        <v>3933</v>
      </c>
      <c r="Q7" s="20">
        <f>ROUND(P7*K7%,2)</f>
        <v>196.65</v>
      </c>
      <c r="R7" s="20">
        <f>M7+O7+Q7</f>
        <v>763.65</v>
      </c>
      <c r="S7" s="20">
        <f>(H7-R7)</f>
        <v>3736.35</v>
      </c>
      <c r="T7" s="20">
        <v>88363222</v>
      </c>
      <c r="U7" s="20">
        <v>18</v>
      </c>
      <c r="V7" s="20">
        <f>IF(OR($C$2=1,$C$2=4),ROUND((((S7*U7)/100)/2),2),0)</f>
        <v>336.27</v>
      </c>
      <c r="W7" s="20">
        <f>IF($C$2=1,ROUND((((S7*U7)/100)/2),2),0)</f>
        <v>336.27</v>
      </c>
      <c r="X7" s="20">
        <f>IF($C$2=2,ROUND(((S7*U7)/100),2),0)</f>
        <v>0</v>
      </c>
      <c r="Y7" s="20">
        <f>IF($C$2=4,ROUND((((S7*U7)/100)/2),2),0)</f>
        <v>0</v>
      </c>
      <c r="Z7" s="20">
        <v>0</v>
      </c>
      <c r="AA7" s="20">
        <f>IF($C3=3,0,(S7*Z7)/100)</f>
        <v>0</v>
      </c>
      <c r="AB7" s="20">
        <f>V7+W7+X7+Y7+AA7</f>
        <v>672.54</v>
      </c>
      <c r="AC7" s="20">
        <f>IF($V3=1,S7+AB7,S7)</f>
        <v>3736.35</v>
      </c>
      <c r="AD7" s="22">
        <v>120</v>
      </c>
      <c r="AE7" s="22">
        <f>IF($P$2=1,(S7/$S$8)*$E$19,AD7/$AD$8*$E$19)</f>
        <v>0</v>
      </c>
      <c r="AF7" s="22"/>
      <c r="AG7" s="22">
        <f>IF($P$2=1,(S7/$S$8)*$E$21,AD7/$AD$8*$E$21)</f>
        <v>0</v>
      </c>
      <c r="AH7" s="22">
        <f t="shared" si="0"/>
        <v>0</v>
      </c>
      <c r="AI7" s="22">
        <f>S7*$M$2</f>
        <v>3736.35</v>
      </c>
      <c r="AJ7" s="22">
        <f>IF($C$2=3,0,AG7+AH7)</f>
        <v>0</v>
      </c>
      <c r="AK7" s="22">
        <f>IF($C$2=3,AE7+AG7+AH7,0)</f>
        <v>0</v>
      </c>
      <c r="AL7" s="23">
        <v>1</v>
      </c>
      <c r="AM7" s="22">
        <f>F7/AL7</f>
        <v>30</v>
      </c>
      <c r="AN7" s="22">
        <f>AI7/AM7</f>
        <v>124.545</v>
      </c>
      <c r="AO7" s="22">
        <f>AJ7/AM7</f>
        <v>0</v>
      </c>
      <c r="AP7" s="22">
        <f>AK7/AM7</f>
        <v>0</v>
      </c>
      <c r="AQ7" s="22" t="s">
        <v>76</v>
      </c>
      <c r="AR7" s="22">
        <f>AN7+AO7+AP7</f>
        <v>124.545</v>
      </c>
      <c r="AS7" s="24" t="s">
        <v>200</v>
      </c>
      <c r="AT7" s="25" t="s">
        <v>76</v>
      </c>
      <c r="AU7" t="s">
        <v>85</v>
      </c>
      <c r="AV7" t="s">
        <v>167</v>
      </c>
      <c r="AW7" s="25">
        <f>AM7</f>
        <v>30</v>
      </c>
      <c r="AX7" s="25">
        <f>AR7</f>
        <v>124.545</v>
      </c>
      <c r="AY7" s="25">
        <f>AU7+AW7</f>
        <v>30</v>
      </c>
      <c r="AZ7" s="25">
        <f>ROUND(((AU7*AV7)+(AW7*AX7))/(AU7+AW7),5)</f>
        <v>124.545</v>
      </c>
      <c r="BA7" s="27"/>
      <c r="BB7" s="27" t="s">
        <v>80</v>
      </c>
      <c r="BC7" s="28" t="s">
        <v>81</v>
      </c>
      <c r="BD7" s="29" t="s">
        <v>82</v>
      </c>
      <c r="BE7" s="29" t="s">
        <v>83</v>
      </c>
      <c r="BF7" s="27"/>
      <c r="BG7" s="27"/>
      <c r="BH7" s="27"/>
      <c r="BI7" s="25"/>
      <c r="BJ7" s="25"/>
      <c r="BK7" s="25"/>
      <c r="BL7" s="30" t="s">
        <v>202</v>
      </c>
      <c r="BM7" t="s">
        <v>218</v>
      </c>
      <c r="BN7" t="s">
        <v>219</v>
      </c>
      <c r="BO7" s="25">
        <f>ROUND((((AW7*AZ7)+(BN7*BM7))/(AW7+BN7)),5)</f>
        <v>1962.25678</v>
      </c>
      <c r="BP7" s="31">
        <f>ROUND(BN7+AW7,3)</f>
        <v>1843</v>
      </c>
      <c r="BQ7" s="32">
        <v>123562</v>
      </c>
    </row>
    <row r="8" ht="15.75" spans="1:69">
      <c r="A8" s="4"/>
      <c r="B8" s="34"/>
      <c r="C8" s="34"/>
      <c r="D8" s="35" t="s">
        <v>89</v>
      </c>
      <c r="E8" s="35"/>
      <c r="F8" s="35"/>
      <c r="G8" s="36"/>
      <c r="H8" s="37">
        <f>SUM(H4:H4)</f>
        <v>1500</v>
      </c>
      <c r="I8" s="19"/>
      <c r="J8" s="19"/>
      <c r="K8" s="19"/>
      <c r="L8" s="19"/>
      <c r="M8" s="19"/>
      <c r="N8" s="19"/>
      <c r="O8" s="19"/>
      <c r="P8" s="19"/>
      <c r="Q8" s="19"/>
      <c r="R8" s="38">
        <f t="shared" ref="R8:X8" si="1">SUM(R4:R4)</f>
        <v>254.55</v>
      </c>
      <c r="S8" s="37">
        <f t="shared" si="1"/>
        <v>1245.45</v>
      </c>
      <c r="T8" s="38"/>
      <c r="U8" s="38"/>
      <c r="V8" s="39">
        <f t="shared" si="1"/>
        <v>112.09</v>
      </c>
      <c r="W8" s="39">
        <f t="shared" si="1"/>
        <v>112.09</v>
      </c>
      <c r="X8" s="39">
        <f t="shared" si="1"/>
        <v>0</v>
      </c>
      <c r="Y8" s="39"/>
      <c r="Z8" s="39"/>
      <c r="AA8" s="39"/>
      <c r="AB8" s="38">
        <f t="shared" ref="AB8:AE8" si="2">SUM(AB4:AB4)</f>
        <v>224.18</v>
      </c>
      <c r="AC8" s="40">
        <f t="shared" si="2"/>
        <v>1469.63</v>
      </c>
      <c r="AD8" s="41">
        <f t="shared" si="2"/>
        <v>120</v>
      </c>
      <c r="AE8" s="41">
        <f t="shared" si="2"/>
        <v>0</v>
      </c>
      <c r="AF8" s="40"/>
      <c r="AG8" s="41">
        <f t="shared" ref="AG8:AK8" si="3">SUM(AG4:AG4)</f>
        <v>0</v>
      </c>
      <c r="AH8" s="41">
        <f t="shared" si="0"/>
        <v>0</v>
      </c>
      <c r="AI8" s="41">
        <f t="shared" si="3"/>
        <v>1245.45</v>
      </c>
      <c r="AJ8" s="41">
        <f t="shared" si="3"/>
        <v>0</v>
      </c>
      <c r="AK8" s="41">
        <f t="shared" si="3"/>
        <v>0</v>
      </c>
      <c r="AL8" s="40"/>
      <c r="AM8" s="40"/>
      <c r="AN8" s="40"/>
      <c r="AO8" s="40"/>
      <c r="AP8" s="40"/>
      <c r="AQ8" s="40"/>
      <c r="AR8" s="40"/>
      <c r="AS8" s="4"/>
      <c r="AT8" s="4"/>
      <c r="AU8" s="5"/>
      <c r="AV8" s="5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90</v>
      </c>
      <c r="H10" s="43"/>
      <c r="I10" s="44">
        <f>H8</f>
        <v>1500</v>
      </c>
      <c r="J10" s="44"/>
      <c r="K10" s="4"/>
      <c r="L10" s="4"/>
      <c r="M10" s="45" t="s">
        <v>91</v>
      </c>
      <c r="N10" s="46"/>
      <c r="O10" s="46"/>
      <c r="P10" s="47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92</v>
      </c>
      <c r="BI10" s="121" t="s">
        <v>93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94</v>
      </c>
      <c r="H11" s="43"/>
      <c r="I11" s="44">
        <f>R8</f>
        <v>254.55</v>
      </c>
      <c r="J11" s="44"/>
      <c r="K11" s="4"/>
      <c r="L11" s="4"/>
      <c r="M11" s="48">
        <v>1</v>
      </c>
      <c r="N11" s="48" t="s">
        <v>76</v>
      </c>
      <c r="O11" s="48">
        <v>2</v>
      </c>
      <c r="P11" s="48" t="s">
        <v>95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 t="s">
        <v>96</v>
      </c>
      <c r="BI11" s="121" t="s">
        <v>97</v>
      </c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98</v>
      </c>
      <c r="H12" s="43"/>
      <c r="I12" s="44">
        <f>S8</f>
        <v>1245.45</v>
      </c>
      <c r="J12" s="44"/>
      <c r="K12" s="4"/>
      <c r="L12" s="4"/>
      <c r="M12" s="19">
        <v>1</v>
      </c>
      <c r="N12" s="19" t="s">
        <v>76</v>
      </c>
      <c r="O12" s="19">
        <v>2.5</v>
      </c>
      <c r="P12" s="19" t="s">
        <v>99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100</v>
      </c>
      <c r="H13" s="43"/>
      <c r="I13" s="44">
        <f>AB8</f>
        <v>224.18</v>
      </c>
      <c r="J13" s="44"/>
      <c r="K13" s="4"/>
      <c r="L13" s="4"/>
      <c r="M13" s="19">
        <v>1</v>
      </c>
      <c r="N13" s="19" t="s">
        <v>95</v>
      </c>
      <c r="O13" s="19">
        <v>0.001</v>
      </c>
      <c r="P13" s="19" t="s">
        <v>101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ht="15.75" spans="1:69">
      <c r="A14" s="4"/>
      <c r="B14" s="4"/>
      <c r="C14" s="4"/>
      <c r="D14" s="4"/>
      <c r="E14" s="4"/>
      <c r="F14" s="4"/>
      <c r="G14" s="42" t="s">
        <v>102</v>
      </c>
      <c r="H14" s="43"/>
      <c r="I14" s="49">
        <f>I12+I13</f>
        <v>1469.63</v>
      </c>
      <c r="J14" s="49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 t="s">
        <v>103</v>
      </c>
      <c r="BN15" s="4" t="s">
        <v>104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105</v>
      </c>
      <c r="BL16" s="4">
        <v>12.5</v>
      </c>
      <c r="BM16" s="4">
        <f>BL18*BL19</f>
        <v>18277.77</v>
      </c>
      <c r="BN16" s="4">
        <f>BL16*BL17</f>
        <v>6092.59</v>
      </c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106</v>
      </c>
      <c r="BL17" s="4">
        <v>487.4072</v>
      </c>
      <c r="BM17" s="4">
        <f>BL16+BL18</f>
        <v>50</v>
      </c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107</v>
      </c>
      <c r="BL18" s="4">
        <v>37.5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 t="s">
        <v>108</v>
      </c>
      <c r="BL19" s="4">
        <v>487.4072</v>
      </c>
      <c r="BM19" s="4"/>
      <c r="BN19" s="4"/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>
        <f>BM16+BN16</f>
        <v>24370.36</v>
      </c>
      <c r="BN20" s="4">
        <f>BM20/BM17</f>
        <v>487.4072</v>
      </c>
      <c r="BO20" s="4"/>
      <c r="BP20" s="5"/>
      <c r="BQ20" s="5"/>
    </row>
    <row r="21" spans="1:69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5"/>
      <c r="BQ21" s="5"/>
    </row>
  </sheetData>
  <mergeCells count="13">
    <mergeCell ref="A2:B2"/>
    <mergeCell ref="A5:B5"/>
    <mergeCell ref="G10:H10"/>
    <mergeCell ref="I10:J10"/>
    <mergeCell ref="M10:P10"/>
    <mergeCell ref="G11:H11"/>
    <mergeCell ref="I11:J11"/>
    <mergeCell ref="G12:H12"/>
    <mergeCell ref="I12:J12"/>
    <mergeCell ref="G13:H13"/>
    <mergeCell ref="I13:J13"/>
    <mergeCell ref="G14:H14"/>
    <mergeCell ref="I14:J14"/>
  </mergeCells>
  <pageMargins left="0.75" right="0.75" top="1" bottom="1" header="0.5" footer="0.5"/>
  <pageSetup paperSize="1" orientation="portrait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1"/>
  <sheetViews>
    <sheetView workbookViewId="0">
      <selection activeCell="D11" sqref="D11"/>
    </sheetView>
  </sheetViews>
  <sheetFormatPr defaultColWidth="8.84761904761905" defaultRowHeight="15"/>
  <cols>
    <col min="1" max="1" width="25.5714285714286" customWidth="1"/>
    <col min="2" max="3" width="32.1428571428571" customWidth="1"/>
    <col min="4" max="4" width="79.4285714285714" customWidth="1"/>
    <col min="5" max="5" width="11.5714285714286" customWidth="1"/>
    <col min="6" max="6" width="5.14285714285714" customWidth="1"/>
    <col min="7" max="7" width="11" customWidth="1"/>
    <col min="8" max="8" width="12.7142857142857" customWidth="1"/>
    <col min="9" max="9" width="5.85714285714286" customWidth="1"/>
    <col min="10" max="10" width="6" customWidth="1"/>
    <col min="11" max="11" width="5.85714285714286" customWidth="1"/>
    <col min="12" max="12" width="14.2857142857143" customWidth="1"/>
    <col min="13" max="13" width="9.42857142857143" customWidth="1"/>
    <col min="14" max="14" width="14.4285714285714" customWidth="1"/>
    <col min="15" max="15" width="15.5714285714286" customWidth="1"/>
    <col min="16" max="16" width="14.4285714285714" customWidth="1"/>
    <col min="17" max="17" width="39.4285714285714" customWidth="1"/>
    <col min="18" max="18" width="11.7142857142857" customWidth="1"/>
    <col min="19" max="19" width="11.8571428571429" customWidth="1"/>
    <col min="20" max="20" width="10.7142857142857" customWidth="1"/>
    <col min="21" max="22" width="6.57142857142857" customWidth="1"/>
    <col min="23" max="23" width="37.1428571428571" customWidth="1"/>
    <col min="24" max="24" width="8.71428571428571" customWidth="1"/>
    <col min="25" max="25" width="8" customWidth="1"/>
    <col min="26" max="26" width="7.71428571428571" customWidth="1"/>
    <col min="27" max="27" width="6.28571428571429" customWidth="1"/>
    <col min="28" max="28" width="9.28571428571429" customWidth="1"/>
    <col min="29" max="29" width="10.5714285714286" customWidth="1"/>
    <col min="30" max="30" width="12.8571428571429" customWidth="1"/>
    <col min="31" max="31" width="16.1428571428571" customWidth="1"/>
    <col min="32" max="32" width="15.4285714285714" customWidth="1"/>
    <col min="33" max="33" width="24.5714285714286" customWidth="1"/>
    <col min="34" max="34" width="8.57142857142857" customWidth="1"/>
    <col min="35" max="35" width="14.7142857142857" customWidth="1"/>
    <col min="36" max="36" width="18.5714285714286" customWidth="1"/>
    <col min="37" max="37" width="14.1428571428571" customWidth="1"/>
    <col min="38" max="38" width="14.7142857142857" customWidth="1"/>
    <col min="39" max="39" width="17.4285714285714" customWidth="1"/>
    <col min="40" max="40" width="22" customWidth="1"/>
    <col min="41" max="41" width="17.5714285714286" customWidth="1"/>
    <col min="42" max="42" width="25.2857142857143" customWidth="1"/>
    <col min="43" max="43" width="13" customWidth="1"/>
    <col min="44" max="44" width="9" customWidth="1"/>
    <col min="45" max="45" width="9.28571428571429" customWidth="1"/>
    <col min="46" max="46" width="13" customWidth="1"/>
    <col min="47" max="47" width="15.5714285714286" customWidth="1"/>
    <col min="48" max="48" width="21.1428571428571" customWidth="1"/>
    <col min="49" max="49" width="11.5714285714286" customWidth="1"/>
    <col min="50" max="50" width="16.7142857142857" customWidth="1"/>
    <col min="51" max="51" width="14" customWidth="1"/>
    <col min="52" max="52" width="19.4285714285714" customWidth="1"/>
    <col min="53" max="53" width="18.8571428571429" customWidth="1"/>
    <col min="54" max="54" width="23.2857142857143" customWidth="1"/>
    <col min="55" max="55" width="15.5714285714286" customWidth="1"/>
    <col min="56" max="56" width="14.2857142857143" customWidth="1"/>
    <col min="57" max="57" width="17" customWidth="1"/>
    <col min="58" max="58" width="16.2857142857143" customWidth="1"/>
    <col min="59" max="59" width="13.5714285714286" customWidth="1"/>
    <col min="60" max="60" width="12.7142857142857" customWidth="1"/>
    <col min="61" max="61" width="106.285714285714" customWidth="1"/>
    <col min="62" max="62" width="21.8571428571429" customWidth="1"/>
    <col min="63" max="63" width="30.5714285714286" customWidth="1"/>
    <col min="64" max="64" width="10.7142857142857" customWidth="1"/>
    <col min="65" max="65" width="42.5714285714286" customWidth="1"/>
    <col min="66" max="66" width="38.1428571428571" customWidth="1"/>
    <col min="67" max="67" width="19.4285714285714" customWidth="1"/>
    <col min="68" max="68" width="35.4285714285714" customWidth="1"/>
    <col min="69" max="69" width="7.57142857142857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1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186</v>
      </c>
      <c r="C4" s="19" t="s">
        <v>186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8</v>
      </c>
      <c r="K4" s="20">
        <v>5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114</v>
      </c>
      <c r="P4" s="20">
        <f>ROUND(N4-O4,2)</f>
        <v>1311</v>
      </c>
      <c r="Q4" s="20">
        <f>ROUND(P4*K4%,2)</f>
        <v>65.55</v>
      </c>
      <c r="R4" s="20">
        <f>M4+O4+Q4</f>
        <v>254.55</v>
      </c>
      <c r="S4" s="20">
        <f>(H4-R4)</f>
        <v>1245.45</v>
      </c>
      <c r="T4" s="20">
        <v>88363222</v>
      </c>
      <c r="U4" s="20">
        <v>18</v>
      </c>
      <c r="V4" s="20">
        <f>IF(OR($C$2=1,$C$2=4),ROUND((((S4*U4)/100)/2),2),0)</f>
        <v>112.09</v>
      </c>
      <c r="W4" s="20">
        <f>IF($C$2=1,ROUND((((S4*U4)/100)/2),2),0)</f>
        <v>112.09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224.18</v>
      </c>
      <c r="AC4" s="21">
        <f>IF($V2=1,S4+AB4,S4)</f>
        <v>1469.63</v>
      </c>
      <c r="AD4" s="22">
        <v>120</v>
      </c>
      <c r="AE4" s="22">
        <f>IF($P$2=1,(S4/$S$8)*$E$19,AD4/$AD$8*$E$19)</f>
        <v>0</v>
      </c>
      <c r="AF4" s="22"/>
      <c r="AG4" s="22">
        <f>IF($P$2=1,(S4/$S$8)*$E$21,AD4/$AD$8*$E$21)</f>
        <v>0</v>
      </c>
      <c r="AH4" s="22">
        <f t="shared" ref="AH4:AH8" si="0">IF($P$2=1,(S4/$S$8)*$E$22,AD4/$AD$8*$E$22)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</v>
      </c>
      <c r="AN4" s="23">
        <f>ROUND(AI4/AM4,3)</f>
        <v>124.545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124.545</v>
      </c>
      <c r="AS4" s="24" t="s">
        <v>200</v>
      </c>
      <c r="AT4" s="25" t="s">
        <v>76</v>
      </c>
      <c r="AU4" t="s">
        <v>85</v>
      </c>
      <c r="AV4" t="s">
        <v>77</v>
      </c>
      <c r="AW4" s="25">
        <f>AM4</f>
        <v>10</v>
      </c>
      <c r="AX4" s="26">
        <f>AR4</f>
        <v>124.545</v>
      </c>
      <c r="AY4" s="25">
        <f>AU4+AW4</f>
        <v>10</v>
      </c>
      <c r="AZ4" s="25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202</v>
      </c>
      <c r="BM4" t="s">
        <v>220</v>
      </c>
      <c r="BN4" t="s">
        <v>221</v>
      </c>
      <c r="BO4" s="25">
        <f>ROUND((((AW4*AZ4)+(BN4*BM4))/(AW4+BN4)),5)</f>
        <v>138.1153</v>
      </c>
      <c r="BP4" s="31">
        <f>ROUND(BN4+AW4,3)</f>
        <v>190</v>
      </c>
      <c r="BQ4" s="32">
        <v>123562</v>
      </c>
    </row>
    <row r="5" ht="15.75" spans="1:69">
      <c r="A5" s="109" t="s">
        <v>211</v>
      </c>
      <c r="B5" s="110"/>
      <c r="C5" s="19"/>
      <c r="D5" s="19"/>
      <c r="E5" s="19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1"/>
      <c r="AD5" s="22"/>
      <c r="AE5" s="22"/>
      <c r="AF5" s="22"/>
      <c r="AG5" s="22"/>
      <c r="AH5" s="22"/>
      <c r="AI5" s="22"/>
      <c r="AJ5" s="22"/>
      <c r="AK5" s="22"/>
      <c r="AL5" s="23"/>
      <c r="AM5" s="22"/>
      <c r="AN5" s="23"/>
      <c r="AO5" s="22"/>
      <c r="AP5" s="22"/>
      <c r="AQ5" s="22"/>
      <c r="AR5" s="23"/>
      <c r="AS5" s="24"/>
      <c r="AT5" s="25"/>
      <c r="AW5" s="25"/>
      <c r="AX5" s="26"/>
      <c r="AY5" s="25"/>
      <c r="AZ5" s="25"/>
      <c r="BA5" s="27"/>
      <c r="BB5" s="27"/>
      <c r="BC5" s="28"/>
      <c r="BD5" s="29"/>
      <c r="BE5" s="29"/>
      <c r="BF5" s="27"/>
      <c r="BG5" s="27"/>
      <c r="BH5" s="27"/>
      <c r="BI5" s="25"/>
      <c r="BJ5" s="25"/>
      <c r="BK5" s="25"/>
      <c r="BL5" s="30"/>
      <c r="BO5" s="25"/>
      <c r="BP5" s="31"/>
      <c r="BQ5" s="32"/>
    </row>
    <row r="6" ht="61.5" spans="1:69">
      <c r="A6" s="9" t="s">
        <v>9</v>
      </c>
      <c r="B6" s="9" t="s">
        <v>10</v>
      </c>
      <c r="C6" s="9" t="s">
        <v>11</v>
      </c>
      <c r="D6" s="9" t="s">
        <v>12</v>
      </c>
      <c r="E6" s="9" t="s">
        <v>13</v>
      </c>
      <c r="F6" s="9" t="s">
        <v>14</v>
      </c>
      <c r="G6" s="9" t="s">
        <v>15</v>
      </c>
      <c r="H6" s="9" t="s">
        <v>16</v>
      </c>
      <c r="I6" s="10" t="s">
        <v>17</v>
      </c>
      <c r="J6" s="10" t="s">
        <v>18</v>
      </c>
      <c r="K6" s="10" t="s">
        <v>19</v>
      </c>
      <c r="L6" s="11" t="s">
        <v>20</v>
      </c>
      <c r="M6" s="11" t="s">
        <v>21</v>
      </c>
      <c r="N6" s="11" t="s">
        <v>22</v>
      </c>
      <c r="O6" s="11" t="s">
        <v>23</v>
      </c>
      <c r="P6" s="11" t="s">
        <v>24</v>
      </c>
      <c r="Q6" s="11" t="s">
        <v>25</v>
      </c>
      <c r="R6" s="10" t="s">
        <v>26</v>
      </c>
      <c r="S6" s="9" t="s">
        <v>27</v>
      </c>
      <c r="T6" s="9" t="s">
        <v>28</v>
      </c>
      <c r="U6" s="12" t="s">
        <v>29</v>
      </c>
      <c r="V6" s="12" t="s">
        <v>30</v>
      </c>
      <c r="W6" s="12" t="s">
        <v>31</v>
      </c>
      <c r="X6" s="12" t="s">
        <v>32</v>
      </c>
      <c r="Y6" s="13" t="s">
        <v>33</v>
      </c>
      <c r="Z6" s="13" t="s">
        <v>34</v>
      </c>
      <c r="AA6" s="13" t="s">
        <v>35</v>
      </c>
      <c r="AB6" s="13" t="s">
        <v>36</v>
      </c>
      <c r="AC6" s="14" t="s">
        <v>37</v>
      </c>
      <c r="AD6" s="14" t="s">
        <v>38</v>
      </c>
      <c r="AE6" s="14" t="s">
        <v>39</v>
      </c>
      <c r="AF6" s="14" t="s">
        <v>40</v>
      </c>
      <c r="AG6" s="14" t="s">
        <v>41</v>
      </c>
      <c r="AH6" s="14" t="s">
        <v>42</v>
      </c>
      <c r="AI6" s="14" t="s">
        <v>43</v>
      </c>
      <c r="AJ6" s="14" t="s">
        <v>44</v>
      </c>
      <c r="AK6" s="14" t="s">
        <v>45</v>
      </c>
      <c r="AL6" s="14" t="s">
        <v>46</v>
      </c>
      <c r="AM6" s="14" t="s">
        <v>47</v>
      </c>
      <c r="AN6" s="14" t="s">
        <v>48</v>
      </c>
      <c r="AO6" s="14" t="s">
        <v>49</v>
      </c>
      <c r="AP6" s="14" t="s">
        <v>50</v>
      </c>
      <c r="AQ6" s="14" t="s">
        <v>51</v>
      </c>
      <c r="AR6" s="15" t="s">
        <v>52</v>
      </c>
      <c r="AS6" s="16" t="s">
        <v>53</v>
      </c>
      <c r="AT6" s="16" t="s">
        <v>51</v>
      </c>
      <c r="AW6" s="17" t="s">
        <v>56</v>
      </c>
      <c r="AX6" s="17" t="s">
        <v>57</v>
      </c>
      <c r="AY6" s="17" t="s">
        <v>58</v>
      </c>
      <c r="AZ6" s="17" t="s">
        <v>59</v>
      </c>
      <c r="BA6" s="17" t="s">
        <v>60</v>
      </c>
      <c r="BB6" s="17" t="s">
        <v>61</v>
      </c>
      <c r="BC6" s="18" t="s">
        <v>62</v>
      </c>
      <c r="BD6" s="18" t="s">
        <v>63</v>
      </c>
      <c r="BE6" s="18" t="s">
        <v>64</v>
      </c>
      <c r="BF6" s="17" t="s">
        <v>65</v>
      </c>
      <c r="BG6" s="17" t="s">
        <v>66</v>
      </c>
      <c r="BH6" s="17" t="s">
        <v>67</v>
      </c>
      <c r="BI6" s="17" t="s">
        <v>68</v>
      </c>
      <c r="BJ6" s="17" t="s">
        <v>69</v>
      </c>
      <c r="BK6" s="17" t="s">
        <v>70</v>
      </c>
      <c r="BL6" s="17" t="s">
        <v>71</v>
      </c>
      <c r="BM6" s="17" t="s">
        <v>72</v>
      </c>
      <c r="BN6" s="17" t="s">
        <v>73</v>
      </c>
      <c r="BO6" s="17" t="s">
        <v>59</v>
      </c>
      <c r="BP6" s="17" t="s">
        <v>74</v>
      </c>
      <c r="BQ6" s="17" t="s">
        <v>28</v>
      </c>
    </row>
    <row r="7" ht="15.75" spans="1:69">
      <c r="A7" s="19">
        <v>1</v>
      </c>
      <c r="B7" s="19" t="s">
        <v>186</v>
      </c>
      <c r="C7" s="19" t="s">
        <v>186</v>
      </c>
      <c r="D7" s="19" t="s">
        <v>76</v>
      </c>
      <c r="E7" s="19" t="s">
        <v>76</v>
      </c>
      <c r="F7" s="20">
        <v>5</v>
      </c>
      <c r="G7" s="20">
        <v>150</v>
      </c>
      <c r="H7" s="20">
        <f>F7*G7</f>
        <v>750</v>
      </c>
      <c r="I7" s="20">
        <v>5</v>
      </c>
      <c r="J7" s="20">
        <v>8</v>
      </c>
      <c r="K7" s="20">
        <v>5</v>
      </c>
      <c r="L7" s="20">
        <f>H7</f>
        <v>750</v>
      </c>
      <c r="M7" s="20">
        <f>ROUND(L7*I7%,2)</f>
        <v>37.5</v>
      </c>
      <c r="N7" s="20">
        <f>H7-M7</f>
        <v>712.5</v>
      </c>
      <c r="O7" s="20">
        <f>ROUND(N7*J7%,2)</f>
        <v>57</v>
      </c>
      <c r="P7" s="20">
        <f>ROUND(N7-O7,2)</f>
        <v>655.5</v>
      </c>
      <c r="Q7" s="20">
        <f>ROUND(P7*K7%,2)</f>
        <v>32.78</v>
      </c>
      <c r="R7" s="20">
        <f>M7+O7+Q7</f>
        <v>127.28</v>
      </c>
      <c r="S7" s="20">
        <f>(H7-R7)</f>
        <v>622.72</v>
      </c>
      <c r="T7" s="20">
        <v>88363222</v>
      </c>
      <c r="U7" s="20">
        <v>18</v>
      </c>
      <c r="V7" s="20">
        <f>IF(OR($C$2=1,$C$2=4),ROUND((((S7*U7)/100)/2),2),0)</f>
        <v>56.04</v>
      </c>
      <c r="W7" s="20">
        <f>IF($C$2=1,ROUND((((S7*U7)/100)/2),2),0)</f>
        <v>56.04</v>
      </c>
      <c r="X7" s="20">
        <f>IF($C$2=2,ROUND(((S7*U7)/100),2),0)</f>
        <v>0</v>
      </c>
      <c r="Y7" s="20">
        <f>IF($C$2=4,ROUND((((S7*U7)/100)/2),2),0)</f>
        <v>0</v>
      </c>
      <c r="Z7" s="20">
        <v>0</v>
      </c>
      <c r="AA7" s="20">
        <f>IF($C3=3,0,(S7*Z7)/100)</f>
        <v>0</v>
      </c>
      <c r="AB7" s="20">
        <f>V7+W7+X7+Y7+AA7</f>
        <v>112.08</v>
      </c>
      <c r="AC7" s="20">
        <f>IF($V3=1,S7+AB7,S7)</f>
        <v>622.72</v>
      </c>
      <c r="AD7" s="22">
        <v>120</v>
      </c>
      <c r="AE7" s="22">
        <f>IF($P$2=1,(S7/$S$8)*$E$19,AD7/$AD$8*$E$19)</f>
        <v>0</v>
      </c>
      <c r="AF7" s="22"/>
      <c r="AG7" s="22">
        <f>IF($P$2=1,(S7/$S$8)*$E$21,AD7/$AD$8*$E$21)</f>
        <v>0</v>
      </c>
      <c r="AH7" s="22">
        <f t="shared" si="0"/>
        <v>0</v>
      </c>
      <c r="AI7" s="22">
        <f>S7*$M$2</f>
        <v>622.72</v>
      </c>
      <c r="AJ7" s="22">
        <f>IF($C$2=3,0,AG7+AH7)</f>
        <v>0</v>
      </c>
      <c r="AK7" s="22">
        <f>IF($C$2=3,AE7+AG7+AH7,0)</f>
        <v>0</v>
      </c>
      <c r="AL7" s="23">
        <v>1</v>
      </c>
      <c r="AM7" s="22">
        <f>F7/AL7</f>
        <v>5</v>
      </c>
      <c r="AN7" s="22">
        <f>AI7/AM7</f>
        <v>124.544</v>
      </c>
      <c r="AO7" s="22">
        <f>AJ7/AM7</f>
        <v>0</v>
      </c>
      <c r="AP7" s="22">
        <f>AK7/AM7</f>
        <v>0</v>
      </c>
      <c r="AQ7" s="22" t="s">
        <v>76</v>
      </c>
      <c r="AR7" s="22">
        <f>AN7+AO7+AP7</f>
        <v>124.544</v>
      </c>
      <c r="AS7" s="24" t="s">
        <v>200</v>
      </c>
      <c r="AT7" s="25" t="s">
        <v>76</v>
      </c>
      <c r="AU7" t="s">
        <v>85</v>
      </c>
      <c r="AV7" t="s">
        <v>77</v>
      </c>
      <c r="AW7" s="25">
        <f>AM7</f>
        <v>5</v>
      </c>
      <c r="AX7" s="25">
        <f>AR7</f>
        <v>124.544</v>
      </c>
      <c r="AY7" s="25">
        <f>AU7+AW7</f>
        <v>5</v>
      </c>
      <c r="AZ7" s="25">
        <f>ROUND(((AU7*AV7)+(AW7*AX7))/(AU7+AW7),5)</f>
        <v>124.544</v>
      </c>
      <c r="BA7" s="27"/>
      <c r="BB7" s="27" t="s">
        <v>80</v>
      </c>
      <c r="BC7" s="28" t="s">
        <v>81</v>
      </c>
      <c r="BD7" s="29" t="s">
        <v>82</v>
      </c>
      <c r="BE7" s="29" t="s">
        <v>83</v>
      </c>
      <c r="BF7" s="27"/>
      <c r="BG7" s="27"/>
      <c r="BH7" s="27"/>
      <c r="BI7" s="25"/>
      <c r="BJ7" s="25"/>
      <c r="BK7" s="25"/>
      <c r="BL7" s="30" t="s">
        <v>202</v>
      </c>
      <c r="BM7" t="s">
        <v>220</v>
      </c>
      <c r="BN7" t="s">
        <v>221</v>
      </c>
      <c r="BO7" s="25">
        <f>ROUND((((AW7*AZ7)+(BN7*BM7))/(AW7+BN7)),5)</f>
        <v>138.48204</v>
      </c>
      <c r="BP7" s="31">
        <f>ROUND(BN7+AW7,3)</f>
        <v>185</v>
      </c>
      <c r="BQ7" s="32">
        <v>123562</v>
      </c>
    </row>
    <row r="8" ht="15.75" spans="1:69">
      <c r="A8" s="4"/>
      <c r="B8" s="34"/>
      <c r="C8" s="34"/>
      <c r="D8" s="35" t="s">
        <v>89</v>
      </c>
      <c r="E8" s="35"/>
      <c r="F8" s="35"/>
      <c r="G8" s="36"/>
      <c r="H8" s="37">
        <f>SUM(H4:H4)</f>
        <v>1500</v>
      </c>
      <c r="I8" s="19"/>
      <c r="J8" s="19"/>
      <c r="K8" s="19"/>
      <c r="L8" s="19"/>
      <c r="M8" s="19"/>
      <c r="N8" s="19"/>
      <c r="O8" s="19"/>
      <c r="P8" s="19"/>
      <c r="Q8" s="19"/>
      <c r="R8" s="38">
        <f t="shared" ref="R8:X8" si="1">SUM(R4:R4)</f>
        <v>254.55</v>
      </c>
      <c r="S8" s="37">
        <f t="shared" si="1"/>
        <v>1245.45</v>
      </c>
      <c r="T8" s="38"/>
      <c r="U8" s="38"/>
      <c r="V8" s="39">
        <f t="shared" si="1"/>
        <v>112.09</v>
      </c>
      <c r="W8" s="39">
        <f t="shared" si="1"/>
        <v>112.09</v>
      </c>
      <c r="X8" s="39">
        <f t="shared" si="1"/>
        <v>0</v>
      </c>
      <c r="Y8" s="39"/>
      <c r="Z8" s="39"/>
      <c r="AA8" s="39"/>
      <c r="AB8" s="38">
        <f t="shared" ref="AB8:AE8" si="2">SUM(AB4:AB4)</f>
        <v>224.18</v>
      </c>
      <c r="AC8" s="40">
        <f t="shared" si="2"/>
        <v>1469.63</v>
      </c>
      <c r="AD8" s="41">
        <f t="shared" si="2"/>
        <v>120</v>
      </c>
      <c r="AE8" s="41">
        <f t="shared" si="2"/>
        <v>0</v>
      </c>
      <c r="AF8" s="40"/>
      <c r="AG8" s="41">
        <f t="shared" ref="AG8:AK8" si="3">SUM(AG4:AG4)</f>
        <v>0</v>
      </c>
      <c r="AH8" s="41">
        <f t="shared" si="0"/>
        <v>0</v>
      </c>
      <c r="AI8" s="41">
        <f t="shared" si="3"/>
        <v>1245.45</v>
      </c>
      <c r="AJ8" s="41">
        <f t="shared" si="3"/>
        <v>0</v>
      </c>
      <c r="AK8" s="41">
        <f t="shared" si="3"/>
        <v>0</v>
      </c>
      <c r="AL8" s="40"/>
      <c r="AM8" s="40"/>
      <c r="AN8" s="40"/>
      <c r="AO8" s="40"/>
      <c r="AP8" s="40"/>
      <c r="AQ8" s="40"/>
      <c r="AR8" s="40"/>
      <c r="AS8" s="4"/>
      <c r="AT8" s="4"/>
      <c r="AU8" s="5"/>
      <c r="AV8" s="5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90</v>
      </c>
      <c r="H10" s="43"/>
      <c r="I10" s="44">
        <f>H8</f>
        <v>1500</v>
      </c>
      <c r="J10" s="44"/>
      <c r="K10" s="4"/>
      <c r="L10" s="4"/>
      <c r="M10" s="45" t="s">
        <v>91</v>
      </c>
      <c r="N10" s="46"/>
      <c r="O10" s="46"/>
      <c r="P10" s="47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92</v>
      </c>
      <c r="BI10" s="121" t="s">
        <v>93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94</v>
      </c>
      <c r="H11" s="43"/>
      <c r="I11" s="44">
        <f>R8</f>
        <v>254.55</v>
      </c>
      <c r="J11" s="44"/>
      <c r="K11" s="4"/>
      <c r="L11" s="4"/>
      <c r="M11" s="48">
        <v>1</v>
      </c>
      <c r="N11" s="48" t="s">
        <v>76</v>
      </c>
      <c r="O11" s="48">
        <v>2</v>
      </c>
      <c r="P11" s="48" t="s">
        <v>95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 t="s">
        <v>96</v>
      </c>
      <c r="BI11" s="121" t="s">
        <v>97</v>
      </c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98</v>
      </c>
      <c r="H12" s="43"/>
      <c r="I12" s="44">
        <f>S8</f>
        <v>1245.45</v>
      </c>
      <c r="J12" s="44"/>
      <c r="K12" s="4"/>
      <c r="L12" s="4"/>
      <c r="M12" s="19">
        <v>1</v>
      </c>
      <c r="N12" s="19" t="s">
        <v>76</v>
      </c>
      <c r="O12" s="19">
        <v>2.5</v>
      </c>
      <c r="P12" s="19" t="s">
        <v>99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100</v>
      </c>
      <c r="H13" s="43"/>
      <c r="I13" s="44">
        <f>AB8</f>
        <v>224.18</v>
      </c>
      <c r="J13" s="44"/>
      <c r="K13" s="4"/>
      <c r="L13" s="4"/>
      <c r="M13" s="19">
        <v>1</v>
      </c>
      <c r="N13" s="19" t="s">
        <v>95</v>
      </c>
      <c r="O13" s="19">
        <v>0.001</v>
      </c>
      <c r="P13" s="19" t="s">
        <v>101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ht="15.75" spans="1:69">
      <c r="A14" s="4"/>
      <c r="B14" s="4"/>
      <c r="C14" s="4"/>
      <c r="D14" s="4"/>
      <c r="E14" s="4"/>
      <c r="F14" s="4"/>
      <c r="G14" s="42" t="s">
        <v>102</v>
      </c>
      <c r="H14" s="43"/>
      <c r="I14" s="49">
        <f>I12+I13</f>
        <v>1469.63</v>
      </c>
      <c r="J14" s="49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 t="s">
        <v>103</v>
      </c>
      <c r="BN15" s="4" t="s">
        <v>104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105</v>
      </c>
      <c r="BL16" s="4">
        <v>12.5</v>
      </c>
      <c r="BM16" s="4">
        <f>BL18*BL19</f>
        <v>18277.77</v>
      </c>
      <c r="BN16" s="4">
        <f>BL16*BL17</f>
        <v>6092.59</v>
      </c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106</v>
      </c>
      <c r="BL17" s="4">
        <v>487.4072</v>
      </c>
      <c r="BM17" s="4">
        <f>BL16+BL18</f>
        <v>50</v>
      </c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107</v>
      </c>
      <c r="BL18" s="4">
        <v>37.5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 t="s">
        <v>108</v>
      </c>
      <c r="BL19" s="4">
        <v>487.4072</v>
      </c>
      <c r="BM19" s="4"/>
      <c r="BN19" s="4"/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>
        <f>BM16+BN16</f>
        <v>24370.36</v>
      </c>
      <c r="BN20" s="4">
        <f>BM20/BM17</f>
        <v>487.4072</v>
      </c>
      <c r="BO20" s="4"/>
      <c r="BP20" s="5"/>
      <c r="BQ20" s="5"/>
    </row>
    <row r="21" spans="1:69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5"/>
      <c r="BQ21" s="5"/>
    </row>
  </sheetData>
  <mergeCells count="13">
    <mergeCell ref="A2:B2"/>
    <mergeCell ref="A5:B5"/>
    <mergeCell ref="G10:H10"/>
    <mergeCell ref="I10:J10"/>
    <mergeCell ref="M10:P10"/>
    <mergeCell ref="G11:H11"/>
    <mergeCell ref="I11:J11"/>
    <mergeCell ref="G12:H12"/>
    <mergeCell ref="I12:J12"/>
    <mergeCell ref="G13:H13"/>
    <mergeCell ref="I13:J13"/>
    <mergeCell ref="G14:H14"/>
    <mergeCell ref="I14:J14"/>
  </mergeCells>
  <pageMargins left="0.75" right="0.75" top="1" bottom="1" header="0.5" footer="0.5"/>
  <pageSetup paperSize="1" orientation="portrait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1"/>
  <sheetViews>
    <sheetView zoomScale="115" zoomScaleNormal="115" topLeftCell="D1" workbookViewId="0">
      <selection activeCell="F8" sqref="F8"/>
    </sheetView>
  </sheetViews>
  <sheetFormatPr defaultColWidth="8.84761904761905" defaultRowHeight="15"/>
  <cols>
    <col min="1" max="1" width="25.5714285714286" customWidth="1"/>
    <col min="2" max="3" width="32.1428571428571" customWidth="1"/>
    <col min="4" max="4" width="79.4285714285714" customWidth="1"/>
    <col min="5" max="5" width="11.5714285714286" customWidth="1"/>
    <col min="6" max="6" width="5.14285714285714" customWidth="1"/>
    <col min="7" max="7" width="11" customWidth="1"/>
    <col min="8" max="8" width="12.7142857142857" customWidth="1"/>
    <col min="9" max="9" width="5.85714285714286" customWidth="1"/>
    <col min="10" max="10" width="6" customWidth="1"/>
    <col min="11" max="11" width="5.85714285714286" customWidth="1"/>
    <col min="12" max="12" width="14.2857142857143" customWidth="1"/>
    <col min="13" max="13" width="9.42857142857143" customWidth="1"/>
    <col min="14" max="14" width="14.4285714285714" customWidth="1"/>
    <col min="15" max="15" width="15.5714285714286" customWidth="1"/>
    <col min="16" max="16" width="14.4285714285714" customWidth="1"/>
    <col min="17" max="17" width="39.4285714285714" customWidth="1"/>
    <col min="18" max="18" width="11.7142857142857" customWidth="1"/>
    <col min="19" max="19" width="11.8571428571429" customWidth="1"/>
    <col min="20" max="20" width="10.7142857142857" customWidth="1"/>
    <col min="21" max="22" width="6.57142857142857" customWidth="1"/>
    <col min="23" max="23" width="37.1428571428571" customWidth="1"/>
    <col min="24" max="24" width="8.71428571428571" customWidth="1"/>
    <col min="25" max="25" width="8" customWidth="1"/>
    <col min="26" max="26" width="7.71428571428571" customWidth="1"/>
    <col min="27" max="27" width="6.28571428571429" customWidth="1"/>
    <col min="28" max="28" width="9.28571428571429" customWidth="1"/>
    <col min="29" max="29" width="10.5714285714286" customWidth="1"/>
    <col min="30" max="30" width="12.8571428571429" customWidth="1"/>
    <col min="31" max="31" width="16.1428571428571" customWidth="1"/>
    <col min="32" max="32" width="15.4285714285714" customWidth="1"/>
    <col min="33" max="33" width="24.5714285714286" customWidth="1"/>
    <col min="34" max="34" width="8.57142857142857" customWidth="1"/>
    <col min="35" max="35" width="14.7142857142857" customWidth="1"/>
    <col min="36" max="36" width="18.5714285714286" customWidth="1"/>
    <col min="37" max="37" width="14.1428571428571" customWidth="1"/>
    <col min="38" max="38" width="14.7142857142857" customWidth="1"/>
    <col min="39" max="39" width="17.4285714285714" customWidth="1"/>
    <col min="40" max="40" width="22" customWidth="1"/>
    <col min="41" max="41" width="17.5714285714286" customWidth="1"/>
    <col min="42" max="42" width="25.2857142857143" customWidth="1"/>
    <col min="43" max="43" width="13" customWidth="1"/>
    <col min="44" max="44" width="9" customWidth="1"/>
    <col min="45" max="45" width="9.28571428571429" customWidth="1"/>
    <col min="46" max="46" width="13" customWidth="1"/>
    <col min="47" max="47" width="15.5714285714286" customWidth="1"/>
    <col min="48" max="48" width="21.1428571428571" customWidth="1"/>
    <col min="49" max="49" width="11.5714285714286" customWidth="1"/>
    <col min="50" max="50" width="16.7142857142857" customWidth="1"/>
    <col min="51" max="51" width="14" customWidth="1"/>
    <col min="52" max="52" width="19.4285714285714" customWidth="1"/>
    <col min="53" max="53" width="18.8571428571429" customWidth="1"/>
    <col min="54" max="54" width="23.2857142857143" customWidth="1"/>
    <col min="55" max="55" width="15.5714285714286" customWidth="1"/>
    <col min="56" max="56" width="14.2857142857143" customWidth="1"/>
    <col min="57" max="57" width="17" customWidth="1"/>
    <col min="58" max="58" width="16.2857142857143" customWidth="1"/>
    <col min="59" max="59" width="13.5714285714286" customWidth="1"/>
    <col min="60" max="60" width="12.7142857142857" customWidth="1"/>
    <col min="61" max="61" width="106.285714285714" customWidth="1"/>
    <col min="62" max="62" width="21.8571428571429" customWidth="1"/>
    <col min="63" max="63" width="30.5714285714286" customWidth="1"/>
    <col min="64" max="64" width="10.7142857142857" customWidth="1"/>
    <col min="65" max="65" width="42.5714285714286" customWidth="1"/>
    <col min="66" max="66" width="38.1428571428571" customWidth="1"/>
    <col min="67" max="67" width="19.4285714285714" customWidth="1"/>
    <col min="68" max="68" width="35.4285714285714" customWidth="1"/>
    <col min="69" max="69" width="7.57142857142857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186</v>
      </c>
      <c r="C4" s="19" t="s">
        <v>186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8</v>
      </c>
      <c r="K4" s="20">
        <v>5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114</v>
      </c>
      <c r="P4" s="20">
        <f>ROUND(N4-O4,2)</f>
        <v>1311</v>
      </c>
      <c r="Q4" s="20">
        <f>ROUND(P4*K4%,2)</f>
        <v>65.55</v>
      </c>
      <c r="R4" s="20">
        <f>M4+O4+Q4</f>
        <v>254.55</v>
      </c>
      <c r="S4" s="20">
        <f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224.18</v>
      </c>
      <c r="AC4" s="21">
        <f>IF($V2=1,S4+AB4,S4)</f>
        <v>1469.63</v>
      </c>
      <c r="AD4" s="22">
        <v>120</v>
      </c>
      <c r="AE4" s="22">
        <f>IF($P$2=1,(S4/$S$8)*$E$19,AD4/$AD$8*$E$19)</f>
        <v>0</v>
      </c>
      <c r="AF4" s="22"/>
      <c r="AG4" s="22">
        <f>IF($P$2=1,(S4/$S$8)*$E$21,AD4/$AD$8*$E$21)</f>
        <v>0</v>
      </c>
      <c r="AH4" s="22">
        <f t="shared" ref="AH4:AH8" si="0">IF($P$2=1,(S4/$S$8)*$E$22,AD4/$AD$8*$E$22)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</v>
      </c>
      <c r="AN4" s="23">
        <f>ROUND(AI4/AM4,3)</f>
        <v>124.545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>
        <v>85</v>
      </c>
      <c r="AV4" t="s">
        <v>167</v>
      </c>
      <c r="AW4" s="25">
        <f>AM4</f>
        <v>10</v>
      </c>
      <c r="AX4" s="26">
        <f>AR4</f>
        <v>124.545</v>
      </c>
      <c r="AY4" s="25">
        <f>AU4+AW4</f>
        <v>10</v>
      </c>
      <c r="AZ4" s="25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222</v>
      </c>
      <c r="BN4" t="s">
        <v>223</v>
      </c>
      <c r="BO4" s="25">
        <f>ROUND((((AW4*AZ4)+(BN4*BM4))/(AW4+BN4)),5)</f>
        <v>1982.41818</v>
      </c>
      <c r="BP4" s="31">
        <f>ROUND(BN4+AW4,3)</f>
        <v>1823</v>
      </c>
      <c r="BQ4" s="32">
        <v>123562</v>
      </c>
    </row>
    <row r="5" ht="15.75" spans="1:69">
      <c r="A5" s="109" t="s">
        <v>211</v>
      </c>
      <c r="B5" s="110"/>
      <c r="C5" s="19"/>
      <c r="D5" s="19"/>
      <c r="E5" s="19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1"/>
      <c r="AD5" s="22"/>
      <c r="AE5" s="22"/>
      <c r="AF5" s="22"/>
      <c r="AG5" s="22"/>
      <c r="AH5" s="22"/>
      <c r="AI5" s="22"/>
      <c r="AJ5" s="22"/>
      <c r="AK5" s="22"/>
      <c r="AL5" s="23"/>
      <c r="AM5" s="22"/>
      <c r="AN5" s="23"/>
      <c r="AO5" s="22"/>
      <c r="AP5" s="22"/>
      <c r="AQ5" s="22"/>
      <c r="AR5" s="23"/>
      <c r="AS5" s="24"/>
      <c r="AT5" s="25"/>
      <c r="AW5" s="25"/>
      <c r="AX5" s="26"/>
      <c r="AY5" s="25"/>
      <c r="AZ5" s="25"/>
      <c r="BA5" s="27"/>
      <c r="BB5" s="27"/>
      <c r="BC5" s="28"/>
      <c r="BD5" s="29"/>
      <c r="BE5" s="29"/>
      <c r="BF5" s="27"/>
      <c r="BG5" s="27"/>
      <c r="BH5" s="27"/>
      <c r="BI5" s="25"/>
      <c r="BJ5" s="25"/>
      <c r="BK5" s="25"/>
      <c r="BL5" s="30"/>
      <c r="BO5" s="25"/>
      <c r="BP5" s="31"/>
      <c r="BQ5" s="32"/>
    </row>
    <row r="6" ht="61.5" spans="1:69">
      <c r="A6" s="9" t="s">
        <v>9</v>
      </c>
      <c r="B6" s="9" t="s">
        <v>10</v>
      </c>
      <c r="C6" s="9" t="s">
        <v>11</v>
      </c>
      <c r="D6" s="9" t="s">
        <v>12</v>
      </c>
      <c r="E6" s="9" t="s">
        <v>13</v>
      </c>
      <c r="F6" s="9" t="s">
        <v>14</v>
      </c>
      <c r="G6" s="9" t="s">
        <v>15</v>
      </c>
      <c r="H6" s="9" t="s">
        <v>16</v>
      </c>
      <c r="I6" s="10" t="s">
        <v>17</v>
      </c>
      <c r="J6" s="10" t="s">
        <v>18</v>
      </c>
      <c r="K6" s="10" t="s">
        <v>19</v>
      </c>
      <c r="L6" s="11" t="s">
        <v>20</v>
      </c>
      <c r="M6" s="11" t="s">
        <v>21</v>
      </c>
      <c r="N6" s="11" t="s">
        <v>22</v>
      </c>
      <c r="O6" s="11" t="s">
        <v>23</v>
      </c>
      <c r="P6" s="11" t="s">
        <v>24</v>
      </c>
      <c r="Q6" s="11" t="s">
        <v>25</v>
      </c>
      <c r="R6" s="10" t="s">
        <v>26</v>
      </c>
      <c r="S6" s="9" t="s">
        <v>27</v>
      </c>
      <c r="T6" s="9" t="s">
        <v>28</v>
      </c>
      <c r="U6" s="12" t="s">
        <v>29</v>
      </c>
      <c r="V6" s="12" t="s">
        <v>30</v>
      </c>
      <c r="W6" s="12" t="s">
        <v>31</v>
      </c>
      <c r="X6" s="12" t="s">
        <v>32</v>
      </c>
      <c r="Y6" s="13" t="s">
        <v>33</v>
      </c>
      <c r="Z6" s="13" t="s">
        <v>34</v>
      </c>
      <c r="AA6" s="13" t="s">
        <v>35</v>
      </c>
      <c r="AB6" s="13" t="s">
        <v>36</v>
      </c>
      <c r="AC6" s="14" t="s">
        <v>37</v>
      </c>
      <c r="AD6" s="14" t="s">
        <v>38</v>
      </c>
      <c r="AE6" s="14" t="s">
        <v>39</v>
      </c>
      <c r="AF6" s="14" t="s">
        <v>40</v>
      </c>
      <c r="AG6" s="14" t="s">
        <v>41</v>
      </c>
      <c r="AH6" s="14" t="s">
        <v>42</v>
      </c>
      <c r="AI6" s="14" t="s">
        <v>43</v>
      </c>
      <c r="AJ6" s="14" t="s">
        <v>44</v>
      </c>
      <c r="AK6" s="14" t="s">
        <v>45</v>
      </c>
      <c r="AL6" s="14" t="s">
        <v>46</v>
      </c>
      <c r="AM6" s="14" t="s">
        <v>47</v>
      </c>
      <c r="AN6" s="14" t="s">
        <v>48</v>
      </c>
      <c r="AO6" s="14" t="s">
        <v>49</v>
      </c>
      <c r="AP6" s="14" t="s">
        <v>50</v>
      </c>
      <c r="AQ6" s="14" t="s">
        <v>51</v>
      </c>
      <c r="AR6" s="15" t="s">
        <v>52</v>
      </c>
      <c r="AS6" s="16" t="s">
        <v>53</v>
      </c>
      <c r="AT6" s="16" t="s">
        <v>51</v>
      </c>
      <c r="AW6" s="17" t="s">
        <v>56</v>
      </c>
      <c r="AX6" s="17" t="s">
        <v>57</v>
      </c>
      <c r="AY6" s="17" t="s">
        <v>58</v>
      </c>
      <c r="AZ6" s="17" t="s">
        <v>59</v>
      </c>
      <c r="BA6" s="17" t="s">
        <v>60</v>
      </c>
      <c r="BB6" s="17" t="s">
        <v>61</v>
      </c>
      <c r="BC6" s="18" t="s">
        <v>62</v>
      </c>
      <c r="BD6" s="18" t="s">
        <v>63</v>
      </c>
      <c r="BE6" s="18" t="s">
        <v>64</v>
      </c>
      <c r="BF6" s="17" t="s">
        <v>65</v>
      </c>
      <c r="BG6" s="17" t="s">
        <v>66</v>
      </c>
      <c r="BH6" s="17" t="s">
        <v>67</v>
      </c>
      <c r="BI6" s="17" t="s">
        <v>68</v>
      </c>
      <c r="BJ6" s="17" t="s">
        <v>69</v>
      </c>
      <c r="BK6" s="17" t="s">
        <v>70</v>
      </c>
      <c r="BL6" s="17" t="s">
        <v>71</v>
      </c>
      <c r="BO6" s="17" t="s">
        <v>59</v>
      </c>
      <c r="BP6" s="17" t="s">
        <v>74</v>
      </c>
      <c r="BQ6" s="17" t="s">
        <v>28</v>
      </c>
    </row>
    <row r="7" ht="15.75" spans="1:69">
      <c r="A7" s="19">
        <v>1</v>
      </c>
      <c r="B7" s="19" t="s">
        <v>186</v>
      </c>
      <c r="C7" s="19" t="s">
        <v>186</v>
      </c>
      <c r="D7" s="19" t="s">
        <v>76</v>
      </c>
      <c r="E7" s="19" t="s">
        <v>76</v>
      </c>
      <c r="F7" s="20">
        <v>5</v>
      </c>
      <c r="G7" s="20">
        <v>150</v>
      </c>
      <c r="H7" s="20">
        <f>F7*G7</f>
        <v>750</v>
      </c>
      <c r="I7" s="20">
        <v>5</v>
      </c>
      <c r="J7" s="20">
        <v>8</v>
      </c>
      <c r="K7" s="20">
        <v>5</v>
      </c>
      <c r="L7" s="20">
        <f>H7</f>
        <v>750</v>
      </c>
      <c r="M7" s="20">
        <f>ROUND(L7*I7%,2)</f>
        <v>37.5</v>
      </c>
      <c r="N7" s="20">
        <f>H7-M7</f>
        <v>712.5</v>
      </c>
      <c r="O7" s="20">
        <f>ROUND(N7*J7%,2)</f>
        <v>57</v>
      </c>
      <c r="P7" s="20">
        <f>ROUND(N7-O7,2)</f>
        <v>655.5</v>
      </c>
      <c r="Q7" s="20">
        <f>ROUND(P7*K7%,2)</f>
        <v>32.78</v>
      </c>
      <c r="R7" s="20">
        <f>M7+O7+Q7</f>
        <v>127.28</v>
      </c>
      <c r="S7" s="20">
        <f>(H7-R7)</f>
        <v>622.72</v>
      </c>
      <c r="T7" s="20">
        <v>88363222</v>
      </c>
      <c r="U7" s="20">
        <v>18</v>
      </c>
      <c r="V7" s="20">
        <f>IF(OR($C$2=1,$C$2=4),ROUND((((S7*U7)/100)/2),2),0)</f>
        <v>0</v>
      </c>
      <c r="W7" s="20">
        <f>IF($C$2=1,ROUND((((S7*U7)/100)/2),2),0)</f>
        <v>0</v>
      </c>
      <c r="X7" s="20">
        <f>IF($C$2=2,ROUND(((S7*U7)/100),2),0)</f>
        <v>112.09</v>
      </c>
      <c r="Y7" s="20">
        <f>IF($C$2=4,ROUND((((S7*U7)/100)/2),2),0)</f>
        <v>0</v>
      </c>
      <c r="Z7" s="20">
        <v>0</v>
      </c>
      <c r="AA7" s="20">
        <f>IF($C3=3,0,(S7*Z7)/100)</f>
        <v>0</v>
      </c>
      <c r="AB7" s="20">
        <f>V7+W7+X7+Y7+AA7</f>
        <v>112.09</v>
      </c>
      <c r="AC7" s="20">
        <f>IF($V3=1,S7+AB7,S7)</f>
        <v>622.72</v>
      </c>
      <c r="AD7" s="22">
        <v>120</v>
      </c>
      <c r="AE7" s="22">
        <f>IF($P$2=1,(S7/$S$8)*$E$19,AD7/$AD$8*$E$19)</f>
        <v>0</v>
      </c>
      <c r="AF7" s="22"/>
      <c r="AG7" s="22">
        <f>IF($P$2=1,(S7/$S$8)*$E$21,AD7/$AD$8*$E$21)</f>
        <v>0</v>
      </c>
      <c r="AH7" s="22">
        <f t="shared" si="0"/>
        <v>0</v>
      </c>
      <c r="AI7" s="22">
        <f>S7*$M$2</f>
        <v>622.72</v>
      </c>
      <c r="AJ7" s="22">
        <f>IF($C$2=3,0,AG7+AH7)</f>
        <v>0</v>
      </c>
      <c r="AK7" s="22">
        <f>IF($C$2=3,AE7+AG7+AH7,0)</f>
        <v>0</v>
      </c>
      <c r="AL7" s="23">
        <v>1</v>
      </c>
      <c r="AM7" s="22">
        <f>F7/AL7</f>
        <v>5</v>
      </c>
      <c r="AN7" s="22">
        <f>AI7/AM7</f>
        <v>124.544</v>
      </c>
      <c r="AO7" s="22">
        <f>AJ7/AM7</f>
        <v>0</v>
      </c>
      <c r="AP7" s="22">
        <f>AK7/AM7</f>
        <v>0</v>
      </c>
      <c r="AQ7" s="22" t="s">
        <v>76</v>
      </c>
      <c r="AR7" s="22">
        <f>AN7+AO7+AP7</f>
        <v>124.544</v>
      </c>
      <c r="AS7" s="24" t="s">
        <v>120</v>
      </c>
      <c r="AT7" s="25" t="s">
        <v>76</v>
      </c>
      <c r="AU7" t="s">
        <v>85</v>
      </c>
      <c r="AV7" t="s">
        <v>167</v>
      </c>
      <c r="AW7" s="25">
        <f>AM7</f>
        <v>5</v>
      </c>
      <c r="AX7" s="25">
        <f>AR7</f>
        <v>124.544</v>
      </c>
      <c r="AY7" s="25">
        <f>AU7+AW7</f>
        <v>5</v>
      </c>
      <c r="AZ7" s="25">
        <f>ROUND(((AU7*AV7)+(AW7*AX7))/(AU7+AW7),5)</f>
        <v>124.544</v>
      </c>
      <c r="BA7" s="27"/>
      <c r="BB7" s="27" t="s">
        <v>80</v>
      </c>
      <c r="BC7" s="28" t="s">
        <v>81</v>
      </c>
      <c r="BD7" s="29" t="s">
        <v>82</v>
      </c>
      <c r="BE7" s="29" t="s">
        <v>83</v>
      </c>
      <c r="BF7" s="27"/>
      <c r="BG7" s="27"/>
      <c r="BH7" s="27"/>
      <c r="BI7" s="25"/>
      <c r="BJ7" s="25"/>
      <c r="BK7" s="25"/>
      <c r="BL7" s="30" t="s">
        <v>122</v>
      </c>
      <c r="BM7" t="s">
        <v>222</v>
      </c>
      <c r="BN7" t="s">
        <v>223</v>
      </c>
      <c r="BO7" s="25">
        <f>ROUND((((AW7*AZ7)+(BN7*BM7))/(AW7+BN7)),5)</f>
        <v>1987.52784</v>
      </c>
      <c r="BP7" s="31">
        <f>ROUND(BN7+AW7,3)</f>
        <v>1818</v>
      </c>
      <c r="BQ7" s="32">
        <v>123562</v>
      </c>
    </row>
    <row r="8" ht="15.75" spans="1:69">
      <c r="A8" s="4"/>
      <c r="B8" s="34"/>
      <c r="C8" s="34"/>
      <c r="D8" s="35" t="s">
        <v>89</v>
      </c>
      <c r="E8" s="35"/>
      <c r="F8" s="35"/>
      <c r="G8" s="36"/>
      <c r="H8" s="37">
        <f>SUM(H4:H4)</f>
        <v>1500</v>
      </c>
      <c r="I8" s="19"/>
      <c r="J8" s="19"/>
      <c r="K8" s="19"/>
      <c r="L8" s="19"/>
      <c r="M8" s="19"/>
      <c r="N8" s="19"/>
      <c r="O8" s="19"/>
      <c r="P8" s="19"/>
      <c r="Q8" s="19"/>
      <c r="R8" s="38">
        <f t="shared" ref="R8:X8" si="1">SUM(R4:R4)</f>
        <v>254.55</v>
      </c>
      <c r="S8" s="37">
        <f t="shared" si="1"/>
        <v>1245.45</v>
      </c>
      <c r="T8" s="38"/>
      <c r="U8" s="38"/>
      <c r="V8" s="39">
        <f t="shared" si="1"/>
        <v>0</v>
      </c>
      <c r="W8" s="39">
        <f t="shared" si="1"/>
        <v>0</v>
      </c>
      <c r="X8" s="39">
        <f t="shared" si="1"/>
        <v>224.18</v>
      </c>
      <c r="Y8" s="39"/>
      <c r="Z8" s="39"/>
      <c r="AA8" s="39"/>
      <c r="AB8" s="38">
        <f t="shared" ref="AB8:AE8" si="2">SUM(AB4:AB4)</f>
        <v>224.18</v>
      </c>
      <c r="AC8" s="40">
        <f t="shared" si="2"/>
        <v>1469.63</v>
      </c>
      <c r="AD8" s="41">
        <f t="shared" si="2"/>
        <v>120</v>
      </c>
      <c r="AE8" s="41">
        <f t="shared" si="2"/>
        <v>0</v>
      </c>
      <c r="AF8" s="40"/>
      <c r="AG8" s="41">
        <f t="shared" ref="AG8:AK8" si="3">SUM(AG4:AG4)</f>
        <v>0</v>
      </c>
      <c r="AH8" s="41">
        <f t="shared" si="0"/>
        <v>0</v>
      </c>
      <c r="AI8" s="41">
        <f t="shared" si="3"/>
        <v>1245.45</v>
      </c>
      <c r="AJ8" s="41">
        <f t="shared" si="3"/>
        <v>0</v>
      </c>
      <c r="AK8" s="41">
        <f t="shared" si="3"/>
        <v>0</v>
      </c>
      <c r="AL8" s="40"/>
      <c r="AM8" s="40"/>
      <c r="AN8" s="40"/>
      <c r="AO8" s="40"/>
      <c r="AP8" s="40"/>
      <c r="AQ8" s="40"/>
      <c r="AR8" s="40"/>
      <c r="AS8" s="4"/>
      <c r="AT8" s="4"/>
      <c r="AU8" s="5"/>
      <c r="AV8" s="5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90</v>
      </c>
      <c r="H10" s="43"/>
      <c r="I10" s="44">
        <f>H8</f>
        <v>1500</v>
      </c>
      <c r="J10" s="44"/>
      <c r="K10" s="4"/>
      <c r="L10" s="4"/>
      <c r="M10" s="45" t="s">
        <v>91</v>
      </c>
      <c r="N10" s="46"/>
      <c r="O10" s="46"/>
      <c r="P10" s="47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92</v>
      </c>
      <c r="BI10" s="121" t="s">
        <v>93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94</v>
      </c>
      <c r="H11" s="43"/>
      <c r="I11" s="44">
        <f>R8</f>
        <v>254.55</v>
      </c>
      <c r="J11" s="44"/>
      <c r="K11" s="4"/>
      <c r="L11" s="4"/>
      <c r="M11" s="48">
        <v>1</v>
      </c>
      <c r="N11" s="48" t="s">
        <v>76</v>
      </c>
      <c r="O11" s="48">
        <v>2</v>
      </c>
      <c r="P11" s="48" t="s">
        <v>95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 t="s">
        <v>96</v>
      </c>
      <c r="BI11" s="121" t="s">
        <v>97</v>
      </c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98</v>
      </c>
      <c r="H12" s="43"/>
      <c r="I12" s="44">
        <f>S8</f>
        <v>1245.45</v>
      </c>
      <c r="J12" s="44"/>
      <c r="K12" s="4"/>
      <c r="L12" s="4"/>
      <c r="M12" s="19">
        <v>1</v>
      </c>
      <c r="N12" s="19" t="s">
        <v>76</v>
      </c>
      <c r="O12" s="19">
        <v>2.5</v>
      </c>
      <c r="P12" s="19" t="s">
        <v>99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100</v>
      </c>
      <c r="H13" s="43"/>
      <c r="I13" s="44">
        <f>AB8</f>
        <v>224.18</v>
      </c>
      <c r="J13" s="44"/>
      <c r="K13" s="4"/>
      <c r="L13" s="4"/>
      <c r="M13" s="19">
        <v>1</v>
      </c>
      <c r="N13" s="19" t="s">
        <v>95</v>
      </c>
      <c r="O13" s="19">
        <v>0.001</v>
      </c>
      <c r="P13" s="19" t="s">
        <v>101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ht="15.75" spans="1:69">
      <c r="A14" s="4"/>
      <c r="B14" s="4"/>
      <c r="C14" s="4"/>
      <c r="D14" s="4"/>
      <c r="E14" s="4"/>
      <c r="F14" s="4"/>
      <c r="G14" s="42" t="s">
        <v>102</v>
      </c>
      <c r="H14" s="43"/>
      <c r="I14" s="49">
        <f>I12+I13</f>
        <v>1469.63</v>
      </c>
      <c r="J14" s="49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 t="s">
        <v>103</v>
      </c>
      <c r="BN15" s="4" t="s">
        <v>104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105</v>
      </c>
      <c r="BL16" s="4">
        <v>12.5</v>
      </c>
      <c r="BM16" s="4">
        <f>BL18*BL19</f>
        <v>18277.77</v>
      </c>
      <c r="BN16" s="4">
        <f>BL16*BL17</f>
        <v>6092.59</v>
      </c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106</v>
      </c>
      <c r="BL17" s="4">
        <v>487.4072</v>
      </c>
      <c r="BM17" s="4">
        <f>BL16+BL18</f>
        <v>50</v>
      </c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107</v>
      </c>
      <c r="BL18" s="4">
        <v>37.5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 t="s">
        <v>108</v>
      </c>
      <c r="BL19" s="4">
        <v>487.4072</v>
      </c>
      <c r="BM19" s="4"/>
      <c r="BN19" s="4"/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>
        <f>BM16+BN16</f>
        <v>24370.36</v>
      </c>
      <c r="BN20" s="4">
        <f>BM20/BM17</f>
        <v>487.4072</v>
      </c>
      <c r="BO20" s="4"/>
      <c r="BP20" s="5"/>
      <c r="BQ20" s="5"/>
    </row>
    <row r="21" spans="1:69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5"/>
      <c r="BQ21" s="5"/>
    </row>
  </sheetData>
  <mergeCells count="13">
    <mergeCell ref="A2:B2"/>
    <mergeCell ref="A5:B5"/>
    <mergeCell ref="G10:H10"/>
    <mergeCell ref="I10:J10"/>
    <mergeCell ref="M10:P10"/>
    <mergeCell ref="G11:H11"/>
    <mergeCell ref="I11:J11"/>
    <mergeCell ref="G12:H12"/>
    <mergeCell ref="I12:J12"/>
    <mergeCell ref="G13:H13"/>
    <mergeCell ref="I13:J13"/>
    <mergeCell ref="G14:H14"/>
    <mergeCell ref="I14:J14"/>
  </mergeCells>
  <pageMargins left="0.75" right="0.75" top="1" bottom="1" header="0.5" footer="0.5"/>
  <pageSetup paperSize="1" orientation="portrait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1"/>
  <sheetViews>
    <sheetView workbookViewId="0">
      <selection activeCell="F14" sqref="F14"/>
    </sheetView>
  </sheetViews>
  <sheetFormatPr defaultColWidth="8.84761904761905" defaultRowHeight="15"/>
  <cols>
    <col min="2" max="2" width="28" customWidth="1"/>
    <col min="3" max="3" width="30.4285714285714" customWidth="1"/>
    <col min="18" max="18" width="9.28571428571429"/>
    <col min="19" max="19" width="10.5714285714286"/>
    <col min="20" max="20" width="10.7142857142857"/>
    <col min="28" max="28" width="9.28571428571429"/>
    <col min="29" max="29" width="10.5714285714286"/>
    <col min="35" max="35" width="14.7142857142857" customWidth="1"/>
    <col min="40" max="40" width="9"/>
    <col min="44" max="44" width="9"/>
    <col min="48" max="48" width="11.7142857142857"/>
    <col min="49" max="49" width="12.847619047619"/>
    <col min="50" max="50" width="16.7142857142857" customWidth="1"/>
    <col min="51" max="51" width="12.847619047619"/>
    <col min="52" max="52" width="10.7142857142857" customWidth="1"/>
    <col min="64" max="64" width="11" customWidth="1"/>
    <col min="65" max="65" width="11.7142857142857"/>
    <col min="66" max="66" width="9.71428571428571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147</v>
      </c>
      <c r="C4" s="19" t="s">
        <v>147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8</v>
      </c>
      <c r="K4" s="20">
        <v>5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114</v>
      </c>
      <c r="P4" s="20">
        <f>ROUND(N4-O4,2)</f>
        <v>1311</v>
      </c>
      <c r="Q4" s="20">
        <f>ROUND(P4*K4%,2)</f>
        <v>65.55</v>
      </c>
      <c r="R4" s="20">
        <f>M4+O4+Q4</f>
        <v>254.55</v>
      </c>
      <c r="S4" s="20">
        <f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0</v>
      </c>
      <c r="AC4" s="21">
        <f>IF($V2=1,S4+AB4,S4)</f>
        <v>1245.45</v>
      </c>
      <c r="AD4" s="22">
        <v>120</v>
      </c>
      <c r="AE4" s="22">
        <f>IF($P$2=1,(S4/$S$8)*$E$19,AD4/$AD$8*$E$19)</f>
        <v>0</v>
      </c>
      <c r="AF4" s="22"/>
      <c r="AG4" s="22">
        <f>IF($P$2=1,(S4/$S$8)*$E$21,AD4/$AD$8*$E$21)</f>
        <v>0</v>
      </c>
      <c r="AH4" s="22">
        <f t="shared" ref="AH4:AH8" si="0">IF($P$2=1,(S4/$S$8)*$E$22,AD4/$AD$8*$E$22)</f>
        <v>0</v>
      </c>
      <c r="AI4" s="22">
        <f>S4*$M$2</f>
        <v>105863.25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</v>
      </c>
      <c r="AN4" s="23">
        <f>ROUND(AI4/AM4,3)</f>
        <v>10586.325</v>
      </c>
      <c r="AO4" s="22">
        <f>AJ4/AM4</f>
        <v>0</v>
      </c>
      <c r="AP4" s="22">
        <f>AK4/AM4</f>
        <v>0</v>
      </c>
      <c r="AQ4" s="22" t="s">
        <v>76</v>
      </c>
      <c r="AR4" s="23">
        <f>AN4+AO4+AP4</f>
        <v>10586.325</v>
      </c>
      <c r="AS4" s="24" t="s">
        <v>120</v>
      </c>
      <c r="AT4" s="25" t="s">
        <v>76</v>
      </c>
      <c r="AU4" t="s">
        <v>224</v>
      </c>
      <c r="AV4" t="s">
        <v>225</v>
      </c>
      <c r="AW4" s="25">
        <f>AM4</f>
        <v>10</v>
      </c>
      <c r="AX4" s="26">
        <f>AR4</f>
        <v>10586.325</v>
      </c>
      <c r="AY4" s="25">
        <f>AU4+AW4</f>
        <v>757</v>
      </c>
      <c r="AZ4" s="25">
        <f>ROUND(((AU4*AV4)+(AW4*AX4))/(AU4+AW4),5)</f>
        <v>3103.97279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226</v>
      </c>
      <c r="BN4" t="s">
        <v>199</v>
      </c>
      <c r="BO4" s="25">
        <f>ROUND((((AW4*AZ4)+(BN4*BM4))/(AW4+BN4)),5)</f>
        <v>2661.74824</v>
      </c>
      <c r="BP4" s="31">
        <f>ROUND(BN4+AW4,3)</f>
        <v>690</v>
      </c>
      <c r="BQ4" s="32">
        <v>123562</v>
      </c>
    </row>
    <row r="5" ht="15.75" spans="1:69">
      <c r="A5" s="109" t="s">
        <v>211</v>
      </c>
      <c r="B5" s="110"/>
      <c r="C5" s="19"/>
      <c r="D5" s="19"/>
      <c r="E5" s="19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1"/>
      <c r="AD5" s="22"/>
      <c r="AE5" s="22"/>
      <c r="AF5" s="22"/>
      <c r="AG5" s="22"/>
      <c r="AH5" s="22"/>
      <c r="AI5" s="22"/>
      <c r="AJ5" s="22"/>
      <c r="AK5" s="22"/>
      <c r="AL5" s="23"/>
      <c r="AM5" s="22"/>
      <c r="AN5" s="23"/>
      <c r="AO5" s="22"/>
      <c r="AP5" s="22"/>
      <c r="AQ5" s="22"/>
      <c r="AR5" s="23"/>
      <c r="AS5" s="24"/>
      <c r="AT5" s="25"/>
      <c r="AW5" s="25"/>
      <c r="AX5" s="26"/>
      <c r="AY5" s="25"/>
      <c r="AZ5" s="25"/>
      <c r="BA5" s="27"/>
      <c r="BB5" s="27"/>
      <c r="BC5" s="28"/>
      <c r="BD5" s="29"/>
      <c r="BE5" s="29"/>
      <c r="BF5" s="27"/>
      <c r="BG5" s="27"/>
      <c r="BH5" s="27"/>
      <c r="BI5" s="25"/>
      <c r="BJ5" s="25"/>
      <c r="BK5" s="25"/>
      <c r="BL5" s="30"/>
      <c r="BO5" s="25"/>
      <c r="BP5" s="31"/>
      <c r="BQ5" s="32"/>
    </row>
    <row r="6" ht="61.5" spans="1:69">
      <c r="A6" s="9" t="s">
        <v>9</v>
      </c>
      <c r="B6" s="9" t="s">
        <v>10</v>
      </c>
      <c r="C6" s="9" t="s">
        <v>11</v>
      </c>
      <c r="D6" s="9" t="s">
        <v>12</v>
      </c>
      <c r="E6" s="9" t="s">
        <v>13</v>
      </c>
      <c r="F6" s="9" t="s">
        <v>14</v>
      </c>
      <c r="G6" s="9" t="s">
        <v>15</v>
      </c>
      <c r="H6" s="9" t="s">
        <v>16</v>
      </c>
      <c r="I6" s="10" t="s">
        <v>17</v>
      </c>
      <c r="J6" s="10" t="s">
        <v>18</v>
      </c>
      <c r="K6" s="10" t="s">
        <v>19</v>
      </c>
      <c r="L6" s="11" t="s">
        <v>20</v>
      </c>
      <c r="M6" s="11" t="s">
        <v>21</v>
      </c>
      <c r="N6" s="11" t="s">
        <v>22</v>
      </c>
      <c r="O6" s="11" t="s">
        <v>23</v>
      </c>
      <c r="P6" s="11" t="s">
        <v>24</v>
      </c>
      <c r="Q6" s="11" t="s">
        <v>25</v>
      </c>
      <c r="R6" s="10" t="s">
        <v>26</v>
      </c>
      <c r="S6" s="9" t="s">
        <v>27</v>
      </c>
      <c r="T6" s="9" t="s">
        <v>28</v>
      </c>
      <c r="U6" s="12" t="s">
        <v>29</v>
      </c>
      <c r="V6" s="12" t="s">
        <v>30</v>
      </c>
      <c r="W6" s="12" t="s">
        <v>31</v>
      </c>
      <c r="X6" s="12" t="s">
        <v>32</v>
      </c>
      <c r="Y6" s="13" t="s">
        <v>33</v>
      </c>
      <c r="Z6" s="13" t="s">
        <v>34</v>
      </c>
      <c r="AA6" s="13" t="s">
        <v>35</v>
      </c>
      <c r="AB6" s="13" t="s">
        <v>36</v>
      </c>
      <c r="AC6" s="14" t="s">
        <v>37</v>
      </c>
      <c r="AD6" s="14" t="s">
        <v>38</v>
      </c>
      <c r="AE6" s="14" t="s">
        <v>39</v>
      </c>
      <c r="AF6" s="14" t="s">
        <v>40</v>
      </c>
      <c r="AG6" s="14" t="s">
        <v>41</v>
      </c>
      <c r="AH6" s="14" t="s">
        <v>42</v>
      </c>
      <c r="AI6" s="14" t="s">
        <v>43</v>
      </c>
      <c r="AJ6" s="14" t="s">
        <v>44</v>
      </c>
      <c r="AK6" s="14" t="s">
        <v>45</v>
      </c>
      <c r="AL6" s="14" t="s">
        <v>46</v>
      </c>
      <c r="AM6" s="14" t="s">
        <v>47</v>
      </c>
      <c r="AN6" s="14" t="s">
        <v>48</v>
      </c>
      <c r="AO6" s="14" t="s">
        <v>49</v>
      </c>
      <c r="AP6" s="14" t="s">
        <v>50</v>
      </c>
      <c r="AQ6" s="14" t="s">
        <v>51</v>
      </c>
      <c r="AR6" s="15" t="s">
        <v>52</v>
      </c>
      <c r="AS6" s="16" t="s">
        <v>53</v>
      </c>
      <c r="AT6" s="16" t="s">
        <v>51</v>
      </c>
      <c r="AW6" s="17" t="s">
        <v>56</v>
      </c>
      <c r="AX6" s="17" t="s">
        <v>57</v>
      </c>
      <c r="AY6" s="17" t="s">
        <v>58</v>
      </c>
      <c r="AZ6" s="17" t="s">
        <v>59</v>
      </c>
      <c r="BA6" s="17" t="s">
        <v>60</v>
      </c>
      <c r="BB6" s="17" t="s">
        <v>61</v>
      </c>
      <c r="BC6" s="18" t="s">
        <v>62</v>
      </c>
      <c r="BD6" s="18" t="s">
        <v>63</v>
      </c>
      <c r="BE6" s="18" t="s">
        <v>64</v>
      </c>
      <c r="BF6" s="17" t="s">
        <v>65</v>
      </c>
      <c r="BG6" s="17" t="s">
        <v>66</v>
      </c>
      <c r="BH6" s="17" t="s">
        <v>67</v>
      </c>
      <c r="BI6" s="17" t="s">
        <v>68</v>
      </c>
      <c r="BJ6" s="17" t="s">
        <v>69</v>
      </c>
      <c r="BK6" s="17" t="s">
        <v>70</v>
      </c>
      <c r="BL6" s="17" t="s">
        <v>71</v>
      </c>
      <c r="BO6" s="17" t="s">
        <v>59</v>
      </c>
      <c r="BP6" s="17" t="s">
        <v>74</v>
      </c>
      <c r="BQ6" s="17" t="s">
        <v>28</v>
      </c>
    </row>
    <row r="7" ht="15.75" spans="1:69">
      <c r="A7" s="19">
        <v>1</v>
      </c>
      <c r="B7" s="19" t="s">
        <v>147</v>
      </c>
      <c r="C7" s="19" t="s">
        <v>147</v>
      </c>
      <c r="D7" s="19" t="s">
        <v>76</v>
      </c>
      <c r="E7" s="19" t="s">
        <v>76</v>
      </c>
      <c r="F7" s="20">
        <v>5</v>
      </c>
      <c r="G7" s="20">
        <v>150</v>
      </c>
      <c r="H7" s="20">
        <f>F7*G7</f>
        <v>750</v>
      </c>
      <c r="I7" s="20">
        <v>5</v>
      </c>
      <c r="J7" s="20">
        <v>8</v>
      </c>
      <c r="K7" s="20">
        <v>5</v>
      </c>
      <c r="L7" s="20">
        <f>H7</f>
        <v>750</v>
      </c>
      <c r="M7" s="20">
        <f>ROUND(L7*I7%,2)</f>
        <v>37.5</v>
      </c>
      <c r="N7" s="20">
        <f>H7-M7</f>
        <v>712.5</v>
      </c>
      <c r="O7" s="20">
        <f>ROUND(N7*J7%,2)</f>
        <v>57</v>
      </c>
      <c r="P7" s="20">
        <f>ROUND(N7-O7,2)</f>
        <v>655.5</v>
      </c>
      <c r="Q7" s="20">
        <f>ROUND(P7*K7%,2)</f>
        <v>32.78</v>
      </c>
      <c r="R7" s="20">
        <f>M7+O7+Q7</f>
        <v>127.28</v>
      </c>
      <c r="S7" s="20">
        <f>(H7-R7)</f>
        <v>622.72</v>
      </c>
      <c r="T7" s="20">
        <v>88363222</v>
      </c>
      <c r="U7" s="20">
        <v>18</v>
      </c>
      <c r="V7" s="20">
        <f>IF(OR($C$2=1,$C$2=4),ROUND((((S7*U7)/100)/2),2),0)</f>
        <v>0</v>
      </c>
      <c r="W7" s="20">
        <f>IF($C$2=1,ROUND((((S7*U7)/100)/2),2),0)</f>
        <v>0</v>
      </c>
      <c r="X7" s="20">
        <f>IF($C$2=2,ROUND(((S7*U7)/100),2),0)</f>
        <v>0</v>
      </c>
      <c r="Y7" s="20">
        <f>IF($C$2=4,ROUND((((S7*U7)/100)/2),2),0)</f>
        <v>0</v>
      </c>
      <c r="Z7" s="20">
        <v>0</v>
      </c>
      <c r="AA7" s="20">
        <f>IF($C3=3,0,(S7*Z7)/100)</f>
        <v>0</v>
      </c>
      <c r="AB7" s="20">
        <f>V7+W7+X7+Y7+AA7</f>
        <v>0</v>
      </c>
      <c r="AC7" s="20">
        <f>IF($V3=1,S7+AB7,S7)</f>
        <v>622.72</v>
      </c>
      <c r="AD7" s="22">
        <v>120</v>
      </c>
      <c r="AE7" s="22">
        <f>IF($P$2=1,(S7/$S$8)*$E$19,AD7/$AD$8*$E$19)</f>
        <v>0</v>
      </c>
      <c r="AF7" s="22"/>
      <c r="AG7" s="22">
        <f>IF($P$2=1,(S7/$S$8)*$E$21,AD7/$AD$8*$E$21)</f>
        <v>0</v>
      </c>
      <c r="AH7" s="22">
        <f t="shared" si="0"/>
        <v>0</v>
      </c>
      <c r="AI7" s="22">
        <f>S7*$M$2</f>
        <v>52931.2</v>
      </c>
      <c r="AJ7" s="22">
        <f>IF($C$2=3,0,AG7+AH7)</f>
        <v>0</v>
      </c>
      <c r="AK7" s="22">
        <f>IF($C$2=3,AE7+AG7+AH7,0)</f>
        <v>0</v>
      </c>
      <c r="AL7" s="23">
        <v>1</v>
      </c>
      <c r="AM7" s="22">
        <f>F7/AL7</f>
        <v>5</v>
      </c>
      <c r="AN7" s="22">
        <f>AI7/AM7</f>
        <v>10586.24</v>
      </c>
      <c r="AO7" s="22">
        <f>AJ7/AM7</f>
        <v>0</v>
      </c>
      <c r="AP7" s="22">
        <f>AK7/AM7</f>
        <v>0</v>
      </c>
      <c r="AQ7" s="22" t="s">
        <v>76</v>
      </c>
      <c r="AR7" s="22">
        <f>AN7+AO7+AP7</f>
        <v>10586.24</v>
      </c>
      <c r="AS7" s="24" t="s">
        <v>120</v>
      </c>
      <c r="AT7" s="25" t="s">
        <v>76</v>
      </c>
      <c r="AU7" t="s">
        <v>224</v>
      </c>
      <c r="AV7" t="s">
        <v>225</v>
      </c>
      <c r="AW7" s="25">
        <f>AM7</f>
        <v>5</v>
      </c>
      <c r="AX7" s="25">
        <f>AR7</f>
        <v>10586.24</v>
      </c>
      <c r="AY7" s="25">
        <f>AU7+AW7</f>
        <v>752</v>
      </c>
      <c r="AZ7" s="25">
        <f>ROUND(((AU7*AV7)+(AW7*AX7))/(AU7+AW7),5)</f>
        <v>3054.22254</v>
      </c>
      <c r="BA7" s="27"/>
      <c r="BB7" s="27" t="s">
        <v>80</v>
      </c>
      <c r="BC7" s="28" t="s">
        <v>81</v>
      </c>
      <c r="BD7" s="29" t="s">
        <v>82</v>
      </c>
      <c r="BE7" s="29" t="s">
        <v>83</v>
      </c>
      <c r="BF7" s="27"/>
      <c r="BG7" s="27"/>
      <c r="BH7" s="27"/>
      <c r="BI7" s="25"/>
      <c r="BJ7" s="25"/>
      <c r="BK7" s="25"/>
      <c r="BL7" s="30" t="s">
        <v>122</v>
      </c>
      <c r="BM7" t="s">
        <v>226</v>
      </c>
      <c r="BN7" t="s">
        <v>199</v>
      </c>
      <c r="BO7" s="25">
        <f>ROUND((((AW7*AZ7)+(BN7*BM7))/(AW7+BN7)),5)</f>
        <v>2658.15719</v>
      </c>
      <c r="BP7" s="31">
        <f>ROUND(BN7+AW7,3)</f>
        <v>685</v>
      </c>
      <c r="BQ7" s="32">
        <v>123562</v>
      </c>
    </row>
    <row r="8" ht="15.75" spans="1:69">
      <c r="A8" s="4"/>
      <c r="B8" s="34"/>
      <c r="C8" s="34"/>
      <c r="D8" s="35" t="s">
        <v>89</v>
      </c>
      <c r="E8" s="35"/>
      <c r="F8" s="35"/>
      <c r="G8" s="36"/>
      <c r="H8" s="37">
        <f>SUM(H4:H4)</f>
        <v>1500</v>
      </c>
      <c r="I8" s="19"/>
      <c r="J8" s="19"/>
      <c r="K8" s="19"/>
      <c r="L8" s="19"/>
      <c r="M8" s="19"/>
      <c r="N8" s="19"/>
      <c r="O8" s="19"/>
      <c r="P8" s="19"/>
      <c r="Q8" s="19"/>
      <c r="R8" s="38">
        <f t="shared" ref="R8:X8" si="1">SUM(R4:R4)</f>
        <v>254.55</v>
      </c>
      <c r="S8" s="37">
        <f t="shared" si="1"/>
        <v>1245.45</v>
      </c>
      <c r="T8" s="38"/>
      <c r="U8" s="38"/>
      <c r="V8" s="39">
        <f t="shared" si="1"/>
        <v>0</v>
      </c>
      <c r="W8" s="39">
        <f t="shared" si="1"/>
        <v>0</v>
      </c>
      <c r="X8" s="39">
        <f t="shared" si="1"/>
        <v>0</v>
      </c>
      <c r="Y8" s="39"/>
      <c r="Z8" s="39"/>
      <c r="AA8" s="39"/>
      <c r="AB8" s="38">
        <f t="shared" ref="AB8:AE8" si="2">SUM(AB4:AB4)</f>
        <v>0</v>
      </c>
      <c r="AC8" s="40">
        <f t="shared" si="2"/>
        <v>1245.45</v>
      </c>
      <c r="AD8" s="41">
        <f t="shared" si="2"/>
        <v>120</v>
      </c>
      <c r="AE8" s="41">
        <f t="shared" si="2"/>
        <v>0</v>
      </c>
      <c r="AF8" s="40"/>
      <c r="AG8" s="41">
        <f t="shared" ref="AG8:AK8" si="3">SUM(AG4:AG4)</f>
        <v>0</v>
      </c>
      <c r="AH8" s="41">
        <f t="shared" si="0"/>
        <v>0</v>
      </c>
      <c r="AI8" s="41">
        <f t="shared" si="3"/>
        <v>105863.25</v>
      </c>
      <c r="AJ8" s="41">
        <f t="shared" si="3"/>
        <v>0</v>
      </c>
      <c r="AK8" s="41">
        <f t="shared" si="3"/>
        <v>0</v>
      </c>
      <c r="AL8" s="40"/>
      <c r="AM8" s="40"/>
      <c r="AN8" s="40"/>
      <c r="AO8" s="40"/>
      <c r="AP8" s="40"/>
      <c r="AQ8" s="40"/>
      <c r="AR8" s="40"/>
      <c r="AS8" s="4"/>
      <c r="AT8" s="4"/>
      <c r="AU8" s="5"/>
      <c r="AV8" s="5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90</v>
      </c>
      <c r="H10" s="43"/>
      <c r="I10" s="44">
        <f>H8</f>
        <v>1500</v>
      </c>
      <c r="J10" s="44"/>
      <c r="K10" s="4"/>
      <c r="L10" s="4"/>
      <c r="M10" s="45" t="s">
        <v>91</v>
      </c>
      <c r="N10" s="46"/>
      <c r="O10" s="46"/>
      <c r="P10" s="47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92</v>
      </c>
      <c r="BI10" s="121" t="s">
        <v>93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94</v>
      </c>
      <c r="H11" s="43"/>
      <c r="I11" s="44">
        <f>R8</f>
        <v>254.55</v>
      </c>
      <c r="J11" s="44"/>
      <c r="K11" s="4"/>
      <c r="L11" s="4"/>
      <c r="M11" s="48">
        <v>1</v>
      </c>
      <c r="N11" s="48" t="s">
        <v>76</v>
      </c>
      <c r="O11" s="48">
        <v>2</v>
      </c>
      <c r="P11" s="48" t="s">
        <v>95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 t="s">
        <v>96</v>
      </c>
      <c r="BI11" s="121" t="s">
        <v>97</v>
      </c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98</v>
      </c>
      <c r="H12" s="43"/>
      <c r="I12" s="44">
        <f>S8</f>
        <v>1245.45</v>
      </c>
      <c r="J12" s="44"/>
      <c r="K12" s="4"/>
      <c r="L12" s="4"/>
      <c r="M12" s="19">
        <v>1</v>
      </c>
      <c r="N12" s="19" t="s">
        <v>76</v>
      </c>
      <c r="O12" s="19">
        <v>2.5</v>
      </c>
      <c r="P12" s="19" t="s">
        <v>99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100</v>
      </c>
      <c r="H13" s="43"/>
      <c r="I13" s="44">
        <f>AB8</f>
        <v>0</v>
      </c>
      <c r="J13" s="44"/>
      <c r="K13" s="4"/>
      <c r="L13" s="4"/>
      <c r="M13" s="19">
        <v>1</v>
      </c>
      <c r="N13" s="19" t="s">
        <v>95</v>
      </c>
      <c r="O13" s="19">
        <v>0.001</v>
      </c>
      <c r="P13" s="19" t="s">
        <v>101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ht="15.75" spans="1:69">
      <c r="A14" s="4"/>
      <c r="B14" s="4"/>
      <c r="C14" s="4"/>
      <c r="D14" s="4"/>
      <c r="E14" s="4"/>
      <c r="F14" s="4"/>
      <c r="G14" s="42" t="s">
        <v>102</v>
      </c>
      <c r="H14" s="43"/>
      <c r="I14" s="49">
        <f>I12+I13</f>
        <v>1245.45</v>
      </c>
      <c r="J14" s="49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 t="s">
        <v>103</v>
      </c>
      <c r="BN15" s="4" t="s">
        <v>104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105</v>
      </c>
      <c r="BL16" s="4">
        <v>12.5</v>
      </c>
      <c r="BM16" s="4">
        <f>BL18*BL19</f>
        <v>18277.77</v>
      </c>
      <c r="BN16" s="4">
        <f>BL16*BL17</f>
        <v>6092.59</v>
      </c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106</v>
      </c>
      <c r="BL17" s="4">
        <v>487.4072</v>
      </c>
      <c r="BM17" s="4">
        <f>BL16+BL18</f>
        <v>50</v>
      </c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107</v>
      </c>
      <c r="BL18" s="4">
        <v>37.5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 t="s">
        <v>108</v>
      </c>
      <c r="BL19" s="4">
        <v>487.4072</v>
      </c>
      <c r="BM19" s="4"/>
      <c r="BN19" s="4"/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>
        <f>BM16+BN16</f>
        <v>24370.36</v>
      </c>
      <c r="BN20" s="4">
        <f>BM20/BM17</f>
        <v>487.4072</v>
      </c>
      <c r="BO20" s="4"/>
      <c r="BP20" s="5"/>
      <c r="BQ20" s="5"/>
    </row>
    <row r="21" spans="1:69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5"/>
      <c r="BQ21" s="5"/>
    </row>
  </sheetData>
  <mergeCells count="13">
    <mergeCell ref="A2:B2"/>
    <mergeCell ref="A5:B5"/>
    <mergeCell ref="G10:H10"/>
    <mergeCell ref="I10:J10"/>
    <mergeCell ref="M10:P10"/>
    <mergeCell ref="G11:H11"/>
    <mergeCell ref="I11:J11"/>
    <mergeCell ref="G12:H12"/>
    <mergeCell ref="I12:J12"/>
    <mergeCell ref="G13:H13"/>
    <mergeCell ref="I13:J13"/>
    <mergeCell ref="G14:H14"/>
    <mergeCell ref="I14:J14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7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1"/>
  <sheetViews>
    <sheetView workbookViewId="0">
      <selection activeCell="C3" sqref="C3"/>
    </sheetView>
  </sheetViews>
  <sheetFormatPr defaultColWidth="8.84761904761905" defaultRowHeight="15"/>
  <cols>
    <col min="2" max="2" width="28" customWidth="1"/>
    <col min="3" max="3" width="30.4285714285714" customWidth="1"/>
    <col min="18" max="18" width="9.28571428571429"/>
    <col min="19" max="19" width="10.5714285714286"/>
    <col min="20" max="20" width="10.7142857142857"/>
    <col min="28" max="28" width="9.28571428571429"/>
    <col min="29" max="29" width="10.5714285714286"/>
    <col min="35" max="35" width="10"/>
    <col min="40" max="40" width="22" customWidth="1"/>
    <col min="44" max="44" width="11.4285714285714" customWidth="1"/>
    <col min="48" max="48" width="11.7142857142857"/>
    <col min="49" max="49" width="12.847619047619"/>
    <col min="50" max="50" width="16.7142857142857" customWidth="1"/>
    <col min="51" max="51" width="12.847619047619"/>
    <col min="52" max="52" width="10.7142857142857" customWidth="1"/>
    <col min="64" max="64" width="11" customWidth="1"/>
    <col min="65" max="65" width="11.7142857142857"/>
    <col min="66" max="66" width="9.71428571428571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46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147</v>
      </c>
      <c r="C4" s="19" t="s">
        <v>147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8</v>
      </c>
      <c r="K4" s="20">
        <v>5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114</v>
      </c>
      <c r="P4" s="20">
        <f>ROUND(N4-O4,2)</f>
        <v>1311</v>
      </c>
      <c r="Q4" s="20">
        <f>ROUND(P4*K4%,2)</f>
        <v>65.55</v>
      </c>
      <c r="R4" s="20">
        <f>M4+O4+Q4</f>
        <v>254.55</v>
      </c>
      <c r="S4" s="20">
        <f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0</v>
      </c>
      <c r="AC4" s="21">
        <f>IF($V2=1,S4+AB4,S4)</f>
        <v>1245.45</v>
      </c>
      <c r="AD4" s="22">
        <v>120</v>
      </c>
      <c r="AE4" s="22">
        <f>IF($P$2=1,(S4/$S$8)*$E$19,AD4/$AD$8*$E$19)</f>
        <v>0</v>
      </c>
      <c r="AF4" s="22"/>
      <c r="AG4" s="22">
        <f>IF($P$2=1,(S4/$S$8)*$E$21,AD4/$AD$8*$E$21)</f>
        <v>0</v>
      </c>
      <c r="AH4" s="22">
        <f t="shared" ref="AH4:AH8" si="0">IF($P$2=1,(S4/$S$8)*$E$22,AD4/$AD$8*$E$22)</f>
        <v>0</v>
      </c>
      <c r="AI4" s="22">
        <f>S4*$M$2</f>
        <v>105863.25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</v>
      </c>
      <c r="AN4" s="23">
        <f>ROUND(AI4/AM4,3)</f>
        <v>10586.325</v>
      </c>
      <c r="AO4" s="22">
        <f>AJ4/AM4</f>
        <v>0</v>
      </c>
      <c r="AP4" s="22">
        <f>AK4/AM4</f>
        <v>0</v>
      </c>
      <c r="AQ4" s="22" t="s">
        <v>76</v>
      </c>
      <c r="AR4" s="23">
        <f>AN4+AO4+AP4</f>
        <v>10586.325</v>
      </c>
      <c r="AS4" s="24" t="s">
        <v>120</v>
      </c>
      <c r="AT4" s="25" t="s">
        <v>76</v>
      </c>
      <c r="AU4" t="s">
        <v>227</v>
      </c>
      <c r="AV4" t="s">
        <v>228</v>
      </c>
      <c r="AW4" s="25">
        <f>AM4</f>
        <v>10</v>
      </c>
      <c r="AX4" s="26">
        <f>AR4</f>
        <v>10586.325</v>
      </c>
      <c r="AY4" s="25">
        <f>AU4+AW4</f>
        <v>737</v>
      </c>
      <c r="AZ4" s="25">
        <f>ROUND(((AU4*AV4)+(AW4*AX4))/(AU4+AW4),5)</f>
        <v>3267.57091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229</v>
      </c>
      <c r="BN4" t="s">
        <v>199</v>
      </c>
      <c r="BO4" s="25">
        <f>ROUND((((AW4*AZ4)+(BN4*BM4))/(AW4+BN4)),5)</f>
        <v>2605.26851</v>
      </c>
      <c r="BP4" s="31">
        <f>ROUND(BN4+AW4,3)</f>
        <v>690</v>
      </c>
      <c r="BQ4" s="32">
        <v>123562</v>
      </c>
    </row>
    <row r="5" ht="15.75" spans="1:69">
      <c r="A5" s="19"/>
      <c r="B5" s="19"/>
      <c r="C5" s="19"/>
      <c r="D5" s="19"/>
      <c r="E5" s="19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1"/>
      <c r="AD5" s="22"/>
      <c r="AE5" s="22"/>
      <c r="AF5" s="22"/>
      <c r="AG5" s="22"/>
      <c r="AH5" s="22"/>
      <c r="AI5" s="22"/>
      <c r="AJ5" s="22"/>
      <c r="AK5" s="22"/>
      <c r="AL5" s="23"/>
      <c r="AM5" s="22"/>
      <c r="AN5" s="23"/>
      <c r="AO5" s="22"/>
      <c r="AP5" s="22"/>
      <c r="AQ5" s="22"/>
      <c r="AR5" s="23"/>
      <c r="AS5" s="24"/>
      <c r="AT5" s="25"/>
      <c r="AW5" s="25"/>
      <c r="AX5" s="26"/>
      <c r="AY5" s="25"/>
      <c r="AZ5" s="25"/>
      <c r="BA5" s="27"/>
      <c r="BB5" s="27"/>
      <c r="BC5" s="28"/>
      <c r="BD5" s="29"/>
      <c r="BE5" s="29"/>
      <c r="BF5" s="27"/>
      <c r="BG5" s="27"/>
      <c r="BH5" s="27"/>
      <c r="BI5" s="25"/>
      <c r="BJ5" s="25"/>
      <c r="BK5" s="25"/>
      <c r="BL5" s="30"/>
      <c r="BO5" s="25"/>
      <c r="BP5" s="31"/>
      <c r="BQ5" s="32"/>
    </row>
    <row r="6" ht="46.5" spans="1:69">
      <c r="A6" s="9" t="s">
        <v>9</v>
      </c>
      <c r="B6" s="9" t="s">
        <v>10</v>
      </c>
      <c r="C6" s="9" t="s">
        <v>11</v>
      </c>
      <c r="D6" s="9" t="s">
        <v>12</v>
      </c>
      <c r="E6" s="9" t="s">
        <v>13</v>
      </c>
      <c r="F6" s="9" t="s">
        <v>14</v>
      </c>
      <c r="G6" s="9" t="s">
        <v>15</v>
      </c>
      <c r="H6" s="9" t="s">
        <v>16</v>
      </c>
      <c r="I6" s="10" t="s">
        <v>17</v>
      </c>
      <c r="J6" s="10" t="s">
        <v>18</v>
      </c>
      <c r="K6" s="10" t="s">
        <v>19</v>
      </c>
      <c r="L6" s="11" t="s">
        <v>20</v>
      </c>
      <c r="M6" s="11" t="s">
        <v>21</v>
      </c>
      <c r="N6" s="11" t="s">
        <v>22</v>
      </c>
      <c r="O6" s="11" t="s">
        <v>23</v>
      </c>
      <c r="P6" s="11" t="s">
        <v>24</v>
      </c>
      <c r="Q6" s="11" t="s">
        <v>25</v>
      </c>
      <c r="R6" s="10" t="s">
        <v>26</v>
      </c>
      <c r="S6" s="9" t="s">
        <v>27</v>
      </c>
      <c r="T6" s="9" t="s">
        <v>28</v>
      </c>
      <c r="U6" s="12" t="s">
        <v>29</v>
      </c>
      <c r="V6" s="12" t="s">
        <v>30</v>
      </c>
      <c r="W6" s="12" t="s">
        <v>31</v>
      </c>
      <c r="X6" s="12" t="s">
        <v>32</v>
      </c>
      <c r="Y6" s="13" t="s">
        <v>33</v>
      </c>
      <c r="Z6" s="13" t="s">
        <v>34</v>
      </c>
      <c r="AA6" s="13" t="s">
        <v>35</v>
      </c>
      <c r="AB6" s="13" t="s">
        <v>36</v>
      </c>
      <c r="AC6" s="14" t="s">
        <v>37</v>
      </c>
      <c r="AD6" s="14" t="s">
        <v>38</v>
      </c>
      <c r="AE6" s="14" t="s">
        <v>39</v>
      </c>
      <c r="AF6" s="14" t="s">
        <v>40</v>
      </c>
      <c r="AG6" s="14" t="s">
        <v>41</v>
      </c>
      <c r="AH6" s="14" t="s">
        <v>42</v>
      </c>
      <c r="AI6" s="14" t="s">
        <v>43</v>
      </c>
      <c r="AJ6" s="14" t="s">
        <v>44</v>
      </c>
      <c r="AK6" s="14" t="s">
        <v>45</v>
      </c>
      <c r="AL6" s="14" t="s">
        <v>46</v>
      </c>
      <c r="AM6" s="14" t="s">
        <v>47</v>
      </c>
      <c r="AN6" s="14" t="s">
        <v>48</v>
      </c>
      <c r="AO6" s="14" t="s">
        <v>49</v>
      </c>
      <c r="AP6" s="14" t="s">
        <v>50</v>
      </c>
      <c r="AQ6" s="14" t="s">
        <v>51</v>
      </c>
      <c r="AR6" s="15" t="s">
        <v>52</v>
      </c>
      <c r="AS6" s="16" t="s">
        <v>53</v>
      </c>
      <c r="AT6" s="16" t="s">
        <v>51</v>
      </c>
      <c r="AW6" s="17" t="s">
        <v>56</v>
      </c>
      <c r="AX6" s="17" t="s">
        <v>57</v>
      </c>
      <c r="AY6" s="17" t="s">
        <v>58</v>
      </c>
      <c r="AZ6" s="17" t="s">
        <v>59</v>
      </c>
      <c r="BA6" s="17" t="s">
        <v>60</v>
      </c>
      <c r="BB6" s="17" t="s">
        <v>61</v>
      </c>
      <c r="BC6" s="18" t="s">
        <v>62</v>
      </c>
      <c r="BD6" s="18" t="s">
        <v>63</v>
      </c>
      <c r="BE6" s="18" t="s">
        <v>64</v>
      </c>
      <c r="BF6" s="17" t="s">
        <v>65</v>
      </c>
      <c r="BG6" s="17" t="s">
        <v>66</v>
      </c>
      <c r="BH6" s="17" t="s">
        <v>67</v>
      </c>
      <c r="BI6" s="17" t="s">
        <v>68</v>
      </c>
      <c r="BJ6" s="17" t="s">
        <v>69</v>
      </c>
      <c r="BK6" s="17" t="s">
        <v>70</v>
      </c>
      <c r="BL6" s="17" t="s">
        <v>71</v>
      </c>
      <c r="BO6" s="17" t="s">
        <v>59</v>
      </c>
      <c r="BP6" s="17" t="s">
        <v>74</v>
      </c>
      <c r="BQ6" s="17" t="s">
        <v>28</v>
      </c>
    </row>
    <row r="7" ht="15.75" spans="1:69">
      <c r="A7" s="19">
        <v>1</v>
      </c>
      <c r="B7" s="19" t="s">
        <v>147</v>
      </c>
      <c r="C7" s="19" t="s">
        <v>147</v>
      </c>
      <c r="D7" s="19" t="s">
        <v>76</v>
      </c>
      <c r="E7" s="19" t="s">
        <v>76</v>
      </c>
      <c r="F7" s="20">
        <v>5</v>
      </c>
      <c r="G7" s="20">
        <v>150</v>
      </c>
      <c r="H7" s="20">
        <f>F7*G7</f>
        <v>750</v>
      </c>
      <c r="I7" s="20">
        <v>5</v>
      </c>
      <c r="J7" s="20">
        <v>8</v>
      </c>
      <c r="K7" s="20">
        <v>5</v>
      </c>
      <c r="L7" s="20">
        <f>H7</f>
        <v>750</v>
      </c>
      <c r="M7" s="20">
        <f>ROUND(L7*I7%,2)</f>
        <v>37.5</v>
      </c>
      <c r="N7" s="20">
        <f>H7-M7</f>
        <v>712.5</v>
      </c>
      <c r="O7" s="20">
        <f>ROUND(N7*J7%,2)</f>
        <v>57</v>
      </c>
      <c r="P7" s="20">
        <f>ROUND(N7-O7,2)</f>
        <v>655.5</v>
      </c>
      <c r="Q7" s="20">
        <f>ROUND(P7*K7%,2)</f>
        <v>32.78</v>
      </c>
      <c r="R7" s="20">
        <f>M7+O7+Q7</f>
        <v>127.28</v>
      </c>
      <c r="S7" s="20">
        <f>(H7-R7)</f>
        <v>622.72</v>
      </c>
      <c r="T7" s="20">
        <v>88363222</v>
      </c>
      <c r="U7" s="20">
        <v>18</v>
      </c>
      <c r="V7" s="20">
        <f>IF(OR($C$2=1,$C$2=4),ROUND((((S7*U7)/100)/2),2),0)</f>
        <v>0</v>
      </c>
      <c r="W7" s="20">
        <f>IF($C$2=1,ROUND((((S7*U7)/100)/2),2),0)</f>
        <v>0</v>
      </c>
      <c r="X7" s="20">
        <f>IF($C$2=2,ROUND(((S7*U7)/100),2),0)</f>
        <v>0</v>
      </c>
      <c r="Y7" s="20">
        <f>IF($C$2=4,ROUND((((S7*U7)/100)/2),2),0)</f>
        <v>0</v>
      </c>
      <c r="Z7" s="20">
        <v>0</v>
      </c>
      <c r="AA7" s="20">
        <f>IF($C3=3,0,(S7*Z7)/100)</f>
        <v>0</v>
      </c>
      <c r="AB7" s="20">
        <f>V7+W7+X7+Y7+AA7</f>
        <v>0</v>
      </c>
      <c r="AC7" s="20">
        <f>IF($V3=1,S7+AB7,S7)</f>
        <v>622.72</v>
      </c>
      <c r="AD7" s="22">
        <v>120</v>
      </c>
      <c r="AE7" s="22">
        <f>IF($P$2=1,(S7/$S$8)*$E$19,AD7/$AD$8*$E$19)</f>
        <v>0</v>
      </c>
      <c r="AF7" s="22"/>
      <c r="AG7" s="22">
        <f>IF($P$2=1,(S7/$S$8)*$E$21,AD7/$AD$8*$E$21)</f>
        <v>0</v>
      </c>
      <c r="AH7" s="22">
        <f t="shared" si="0"/>
        <v>0</v>
      </c>
      <c r="AI7" s="22">
        <f>S7*$M$2</f>
        <v>52931.2</v>
      </c>
      <c r="AJ7" s="22">
        <f>IF($C$2=3,0,AG7+AH7)</f>
        <v>0</v>
      </c>
      <c r="AK7" s="22">
        <f>IF($C$2=3,AE7+AG7+AH7,0)</f>
        <v>0</v>
      </c>
      <c r="AL7" s="23">
        <v>1</v>
      </c>
      <c r="AM7" s="22">
        <f>F7/AL7</f>
        <v>5</v>
      </c>
      <c r="AN7" s="22">
        <f>AI7/AM7</f>
        <v>10586.24</v>
      </c>
      <c r="AO7" s="22">
        <f>AJ7/AM7</f>
        <v>0</v>
      </c>
      <c r="AP7" s="22">
        <f>AK7/AM7</f>
        <v>0</v>
      </c>
      <c r="AQ7" s="22" t="s">
        <v>76</v>
      </c>
      <c r="AR7" s="22">
        <f>AN7+AO7+AP7</f>
        <v>10586.24</v>
      </c>
      <c r="AS7" s="24" t="s">
        <v>120</v>
      </c>
      <c r="AT7" s="25" t="s">
        <v>76</v>
      </c>
      <c r="AU7" t="s">
        <v>227</v>
      </c>
      <c r="AV7" t="s">
        <v>228</v>
      </c>
      <c r="AW7" s="25">
        <f>AM7</f>
        <v>5</v>
      </c>
      <c r="AX7" s="25">
        <f>AR7</f>
        <v>10586.24</v>
      </c>
      <c r="AY7" s="25">
        <f>AU7+AW7</f>
        <v>732</v>
      </c>
      <c r="AZ7" s="25">
        <f>ROUND(((AU7*AV7)+(AW7*AX7))/(AU7+AW7),5)</f>
        <v>3217.918</v>
      </c>
      <c r="BA7" s="27"/>
      <c r="BB7" s="27" t="s">
        <v>80</v>
      </c>
      <c r="BC7" s="28" t="s">
        <v>81</v>
      </c>
      <c r="BD7" s="29" t="s">
        <v>82</v>
      </c>
      <c r="BE7" s="29" t="s">
        <v>83</v>
      </c>
      <c r="BF7" s="27"/>
      <c r="BG7" s="27"/>
      <c r="BH7" s="27"/>
      <c r="BI7" s="25"/>
      <c r="BJ7" s="25"/>
      <c r="BK7" s="25"/>
      <c r="BL7" s="30" t="s">
        <v>122</v>
      </c>
      <c r="BM7" t="s">
        <v>229</v>
      </c>
      <c r="BN7" t="s">
        <v>199</v>
      </c>
      <c r="BO7" s="25">
        <f>ROUND((((AW7*AZ7)+(BN7*BM7))/(AW7+BN7)),5)</f>
        <v>2600.07176</v>
      </c>
      <c r="BP7" s="31">
        <f>ROUND(BN7+AW7,3)</f>
        <v>685</v>
      </c>
      <c r="BQ7" s="32">
        <v>123562</v>
      </c>
    </row>
    <row r="8" ht="15.75" spans="1:69">
      <c r="A8" s="4"/>
      <c r="B8" s="34"/>
      <c r="C8" s="34"/>
      <c r="D8" s="35" t="s">
        <v>89</v>
      </c>
      <c r="E8" s="35"/>
      <c r="F8" s="35"/>
      <c r="G8" s="36"/>
      <c r="H8" s="37">
        <f>SUM(H4:H4)</f>
        <v>1500</v>
      </c>
      <c r="I8" s="19"/>
      <c r="J8" s="19"/>
      <c r="K8" s="19"/>
      <c r="L8" s="19"/>
      <c r="M8" s="19"/>
      <c r="N8" s="19"/>
      <c r="O8" s="19"/>
      <c r="P8" s="19"/>
      <c r="Q8" s="19"/>
      <c r="R8" s="38">
        <f t="shared" ref="R8:X8" si="1">SUM(R4:R4)</f>
        <v>254.55</v>
      </c>
      <c r="S8" s="37">
        <f t="shared" si="1"/>
        <v>1245.45</v>
      </c>
      <c r="T8" s="38"/>
      <c r="U8" s="38"/>
      <c r="V8" s="39">
        <f t="shared" si="1"/>
        <v>0</v>
      </c>
      <c r="W8" s="39">
        <f t="shared" si="1"/>
        <v>0</v>
      </c>
      <c r="X8" s="39">
        <f t="shared" si="1"/>
        <v>0</v>
      </c>
      <c r="Y8" s="39"/>
      <c r="Z8" s="39"/>
      <c r="AA8" s="39"/>
      <c r="AB8" s="38">
        <f t="shared" ref="AB8:AE8" si="2">SUM(AB4:AB4)</f>
        <v>0</v>
      </c>
      <c r="AC8" s="40">
        <f t="shared" si="2"/>
        <v>1245.45</v>
      </c>
      <c r="AD8" s="41">
        <f t="shared" si="2"/>
        <v>120</v>
      </c>
      <c r="AE8" s="41">
        <f t="shared" si="2"/>
        <v>0</v>
      </c>
      <c r="AF8" s="40"/>
      <c r="AG8" s="41">
        <f t="shared" ref="AG8:AK8" si="3">SUM(AG4:AG4)</f>
        <v>0</v>
      </c>
      <c r="AH8" s="41">
        <f t="shared" si="0"/>
        <v>0</v>
      </c>
      <c r="AI8" s="41">
        <f t="shared" si="3"/>
        <v>105863.25</v>
      </c>
      <c r="AJ8" s="41">
        <f t="shared" si="3"/>
        <v>0</v>
      </c>
      <c r="AK8" s="41">
        <f t="shared" si="3"/>
        <v>0</v>
      </c>
      <c r="AL8" s="40"/>
      <c r="AM8" s="40"/>
      <c r="AN8" s="40"/>
      <c r="AO8" s="40"/>
      <c r="AP8" s="40"/>
      <c r="AQ8" s="40"/>
      <c r="AR8" s="40"/>
      <c r="AS8" s="4"/>
      <c r="AT8" s="4"/>
      <c r="AU8" s="5"/>
      <c r="AV8" s="5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90</v>
      </c>
      <c r="H10" s="43"/>
      <c r="I10" s="44">
        <f>H8</f>
        <v>1500</v>
      </c>
      <c r="J10" s="44"/>
      <c r="K10" s="4"/>
      <c r="L10" s="4"/>
      <c r="M10" s="45" t="s">
        <v>91</v>
      </c>
      <c r="N10" s="46"/>
      <c r="O10" s="46"/>
      <c r="P10" s="47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92</v>
      </c>
      <c r="BI10" s="121" t="s">
        <v>93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94</v>
      </c>
      <c r="H11" s="43"/>
      <c r="I11" s="44">
        <f>R8</f>
        <v>254.55</v>
      </c>
      <c r="J11" s="44"/>
      <c r="K11" s="4"/>
      <c r="L11" s="4"/>
      <c r="M11" s="48">
        <v>1</v>
      </c>
      <c r="N11" s="48" t="s">
        <v>76</v>
      </c>
      <c r="O11" s="48">
        <v>2</v>
      </c>
      <c r="P11" s="48" t="s">
        <v>95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 t="s">
        <v>96</v>
      </c>
      <c r="BI11" s="121" t="s">
        <v>97</v>
      </c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98</v>
      </c>
      <c r="H12" s="43"/>
      <c r="I12" s="44">
        <f>S8</f>
        <v>1245.45</v>
      </c>
      <c r="J12" s="44"/>
      <c r="K12" s="4"/>
      <c r="L12" s="4"/>
      <c r="M12" s="19">
        <v>1</v>
      </c>
      <c r="N12" s="19" t="s">
        <v>76</v>
      </c>
      <c r="O12" s="19">
        <v>2.5</v>
      </c>
      <c r="P12" s="19" t="s">
        <v>99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100</v>
      </c>
      <c r="H13" s="43"/>
      <c r="I13" s="44">
        <f>AB8</f>
        <v>0</v>
      </c>
      <c r="J13" s="44"/>
      <c r="K13" s="4"/>
      <c r="L13" s="4"/>
      <c r="M13" s="19">
        <v>1</v>
      </c>
      <c r="N13" s="19" t="s">
        <v>95</v>
      </c>
      <c r="O13" s="19">
        <v>0.001</v>
      </c>
      <c r="P13" s="19" t="s">
        <v>101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ht="15.75" spans="1:69">
      <c r="A14" s="4"/>
      <c r="B14" s="4"/>
      <c r="C14" s="4"/>
      <c r="D14" s="4"/>
      <c r="E14" s="4"/>
      <c r="F14" s="4"/>
      <c r="G14" s="42" t="s">
        <v>102</v>
      </c>
      <c r="H14" s="43"/>
      <c r="I14" s="49">
        <f>I12+I13</f>
        <v>1245.45</v>
      </c>
      <c r="J14" s="49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 t="s">
        <v>103</v>
      </c>
      <c r="BN15" s="4" t="s">
        <v>104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105</v>
      </c>
      <c r="BL16" s="4">
        <v>12.5</v>
      </c>
      <c r="BM16" s="4">
        <f>BL18*BL19</f>
        <v>18277.77</v>
      </c>
      <c r="BN16" s="4">
        <f>BL16*BL17</f>
        <v>6092.59</v>
      </c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106</v>
      </c>
      <c r="BL17" s="4">
        <v>487.4072</v>
      </c>
      <c r="BM17" s="4">
        <f>BL16+BL18</f>
        <v>50</v>
      </c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107</v>
      </c>
      <c r="BL18" s="4">
        <v>37.5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 t="s">
        <v>108</v>
      </c>
      <c r="BL19" s="4">
        <v>487.4072</v>
      </c>
      <c r="BM19" s="4"/>
      <c r="BN19" s="4"/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>
        <f>BM16+BN16</f>
        <v>24370.36</v>
      </c>
      <c r="BN20" s="4">
        <f>BM20/BM17</f>
        <v>487.4072</v>
      </c>
      <c r="BO20" s="4"/>
      <c r="BP20" s="5"/>
      <c r="BQ20" s="5"/>
    </row>
    <row r="21" spans="1:69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5"/>
      <c r="BQ21" s="5"/>
    </row>
  </sheetData>
  <mergeCells count="12">
    <mergeCell ref="A2:B2"/>
    <mergeCell ref="G10:H10"/>
    <mergeCell ref="I10:J10"/>
    <mergeCell ref="M10:P10"/>
    <mergeCell ref="G11:H11"/>
    <mergeCell ref="I11:J11"/>
    <mergeCell ref="G12:H12"/>
    <mergeCell ref="I12:J12"/>
    <mergeCell ref="G13:H13"/>
    <mergeCell ref="I13:J13"/>
    <mergeCell ref="G14:H14"/>
    <mergeCell ref="I14:J14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7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B4" sqref="B4:C4"/>
    </sheetView>
  </sheetViews>
  <sheetFormatPr defaultColWidth="8.84761904761905" defaultRowHeight="15"/>
  <cols>
    <col min="2" max="2" width="28" customWidth="1"/>
    <col min="3" max="3" width="30.4285714285714" customWidth="1"/>
    <col min="20" max="20" width="9.71428571428571"/>
    <col min="49" max="49" width="12.847619047619"/>
    <col min="51" max="51" width="12.847619047619"/>
    <col min="52" max="52" width="10.7142857142857" customWidth="1"/>
    <col min="64" max="64" width="11" customWidth="1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103" t="s">
        <v>10</v>
      </c>
      <c r="C3" s="103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04">
        <v>1</v>
      </c>
      <c r="B4" s="105" t="s">
        <v>205</v>
      </c>
      <c r="C4" s="105" t="s">
        <v>205</v>
      </c>
      <c r="D4" s="106" t="s">
        <v>76</v>
      </c>
      <c r="E4" s="19" t="s">
        <v>76</v>
      </c>
      <c r="F4" s="20">
        <v>10</v>
      </c>
      <c r="G4" s="20">
        <v>150</v>
      </c>
      <c r="H4" s="20">
        <f t="shared" ref="H4:H6" si="0">F4*G4</f>
        <v>1500</v>
      </c>
      <c r="I4" s="20">
        <v>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30</v>
      </c>
      <c r="AZ4" s="26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O4" s="25">
        <f t="shared" ref="BO4:BO6" si="16">ROUND((((AW4*AZ4)+(BN4*BM4))/(AW4+BN4)),5)</f>
        <v>124.545</v>
      </c>
      <c r="BP4" s="31">
        <f t="shared" ref="BP4:BP6" si="17">ROUND(BN4+AW4,3)</f>
        <v>160</v>
      </c>
      <c r="BQ4" s="32">
        <v>123562</v>
      </c>
    </row>
    <row r="5" ht="15.75" spans="1:69">
      <c r="A5" s="104">
        <v>1</v>
      </c>
      <c r="B5" s="105" t="s">
        <v>230</v>
      </c>
      <c r="C5" s="107" t="s">
        <v>230</v>
      </c>
      <c r="D5" s="106" t="s">
        <v>76</v>
      </c>
      <c r="E5" s="19" t="s">
        <v>76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IF(OR(PoToMRVWFSUomserv!$C$2=1,PoToMRVWFSUomserv!$C$2=4),ROUND((((S5*U5)/100)/2),2),0)</f>
        <v>0</v>
      </c>
      <c r="W5" s="20">
        <f>IF(PoToMRVWFSUomserv!$C$2=1,ROUND((((S5*U5)/100)/2),2),0)</f>
        <v>0</v>
      </c>
      <c r="X5" s="20">
        <f>IF(PoToMRVWFSUomserv!$C$2=2,ROUND(((S5*U5)/100),2),0)</f>
        <v>59.12</v>
      </c>
      <c r="Y5" s="20">
        <f>IF(PoToMRVWFSUomserv!$C$2=4,ROUND((((S5*U5)/100)/2),2),0)</f>
        <v>0</v>
      </c>
      <c r="Z5" s="20">
        <v>0</v>
      </c>
      <c r="AA5" s="20">
        <f>IF(PoToMRVWFSUomserv!$C3=3,0,(S5*Z5)/100)</f>
        <v>0</v>
      </c>
      <c r="AB5" s="20">
        <f t="shared" si="9"/>
        <v>59.12</v>
      </c>
      <c r="AC5" s="20">
        <f>IF(PoToMRVWFSUomserv!$V3=1,S5+AB5,S5)</f>
        <v>328.47</v>
      </c>
      <c r="AD5" s="22">
        <v>120</v>
      </c>
      <c r="AE5" s="22">
        <f>IF(PoToMRVWFSUomserv!$P$2=1,(S5/PoToMRVWFSUomserv!$S$7)*PoToMRVWFSUomserv!$E$18,AD5/PoToMRVWFSUomserv!$AD$7*PoToMRVWFSUomserv!$E$18)</f>
        <v>0</v>
      </c>
      <c r="AF5" s="22"/>
      <c r="AG5" s="22">
        <f>IF(PoToMRVWFSUomserv!$P$2=1,(S5/PoToMRVWFSUomserv!$S$7)*PoToMRVWFSUomserv!$E$20,AD5/PoToMRVWFSUomserv!$AD$7*PoToMRVWFSUomserv!$E$20)</f>
        <v>0</v>
      </c>
      <c r="AH5" s="22">
        <f>IF(PoToMRVWFSUomserv!$P$2=1,(S5/PoToMRVWFSUomserv!$S$7)*PoToMRVWFSUomserv!$E$21,AD5/PoToMRVWFSUomserv!$AD$7*PoToMRVWFSUomserv!$E$21)</f>
        <v>0</v>
      </c>
      <c r="AI5" s="22">
        <f>S5*PoToMRVWFSUomserv!$M$2</f>
        <v>328.47</v>
      </c>
      <c r="AJ5" s="22">
        <f>IF(PoToMRVWFSUomserv!$C$2=3,0,AG5+AH5)</f>
        <v>0</v>
      </c>
      <c r="AK5" s="22">
        <f>IF(PoToMRVWFSUomserv!$C$2=3,AE5+AG5+AH5,0)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W5" s="25">
        <f t="shared" si="13"/>
        <v>4</v>
      </c>
      <c r="AX5" s="25">
        <f t="shared" si="14"/>
        <v>82.1175</v>
      </c>
      <c r="AY5" s="25">
        <f t="shared" si="15"/>
        <v>44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O5" s="25">
        <f t="shared" si="16"/>
        <v>82.12</v>
      </c>
      <c r="BP5" s="31">
        <f t="shared" si="17"/>
        <v>44</v>
      </c>
      <c r="BQ5" s="32">
        <v>123562</v>
      </c>
    </row>
    <row r="6" ht="15.75" spans="1:69">
      <c r="A6" s="104">
        <v>1</v>
      </c>
      <c r="B6" s="107" t="s">
        <v>231</v>
      </c>
      <c r="C6" s="107" t="s">
        <v>231</v>
      </c>
      <c r="D6" s="106" t="s">
        <v>76</v>
      </c>
      <c r="E6" s="19" t="s">
        <v>76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IF(OR(PoToMRVWFSUomserv!$C$2=1,PoToMRVWFSUomserv!$C$2=4),ROUND((((S6*U6)/100)/2),2),0)</f>
        <v>0</v>
      </c>
      <c r="W6" s="20">
        <f>IF(PoToMRVWFSUomserv!$C$2=1,ROUND((((S6*U6)/100)/2),2),0)</f>
        <v>0</v>
      </c>
      <c r="X6" s="20">
        <f>IF(PoToMRVWFSUomserv!$C$2=2,ROUND(((S6*U6)/100),2),0)</f>
        <v>77.94</v>
      </c>
      <c r="Y6" s="20">
        <f>IF(PoToMRVWFSUomserv!$C$2=4,ROUND((((S6*U6)/100)/2),2),0)</f>
        <v>0</v>
      </c>
      <c r="Z6" s="20">
        <v>0</v>
      </c>
      <c r="AA6" s="20">
        <f>IF(PoToMRVWFSUomserv!$C4=3,0,(S6*Z6)/100)</f>
        <v>0</v>
      </c>
      <c r="AB6" s="20">
        <f t="shared" si="9"/>
        <v>77.94</v>
      </c>
      <c r="AC6" s="20">
        <f>IF(PoToMRVWFSUomserv!$V4=1,S6+AB6,S6)</f>
        <v>433.01</v>
      </c>
      <c r="AD6" s="22">
        <v>120</v>
      </c>
      <c r="AE6" s="22">
        <f>IF(PoToMRVWFSUomserv!$P$2=1,(S6/PoToMRVWFSUomserv!$S$7)*PoToMRVWFSUomserv!$E$18,AD6/PoToMRVWFSUomserv!$AD$7*PoToMRVWFSUomserv!$E$18)</f>
        <v>0</v>
      </c>
      <c r="AF6" s="22"/>
      <c r="AG6" s="22">
        <f>IF(PoToMRVWFSUomserv!$P$2=1,(S6/PoToMRVWFSUomserv!$S$7)*PoToMRVWFSUomserv!$E$20,AD6/PoToMRVWFSUomserv!$AD$7*PoToMRVWFSUomserv!$E$20)</f>
        <v>0</v>
      </c>
      <c r="AH6" s="22">
        <f>IF(PoToMRVWFSUomserv!$P$2=1,(S6/PoToMRVWFSUomserv!$S$7)*PoToMRVWFSUomserv!$E$21,AD6/PoToMRVWFSUomserv!$AD$7*PoToMRVWFSUomserv!$E$21)</f>
        <v>0</v>
      </c>
      <c r="AI6" s="22">
        <f>S6*PoToMRVWFSUomserv!$M$2</f>
        <v>433.01</v>
      </c>
      <c r="AJ6" s="22">
        <f>IF(PoToMRVWFSUomserv!$C$2=3,0,AG6+AH6)</f>
        <v>0</v>
      </c>
      <c r="AK6" s="22">
        <f>IF(PoToMRVWFSUomserv!$C$2=3,AE6+AG6+AH6,0)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W6" s="25">
        <f t="shared" si="13"/>
        <v>10</v>
      </c>
      <c r="AX6" s="25">
        <f t="shared" si="14"/>
        <v>43.301</v>
      </c>
      <c r="AY6" s="25">
        <f t="shared" si="15"/>
        <v>110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O6" s="25">
        <f t="shared" si="16"/>
        <v>43.3</v>
      </c>
      <c r="BP6" s="31">
        <f t="shared" si="17"/>
        <v>110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1469.63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B1" workbookViewId="0">
      <selection activeCell="C12" sqref="C12"/>
    </sheetView>
  </sheetViews>
  <sheetFormatPr defaultColWidth="8.84761904761905" defaultRowHeight="15"/>
  <cols>
    <col min="2" max="2" width="28" customWidth="1"/>
    <col min="3" max="3" width="30.4285714285714" customWidth="1"/>
    <col min="20" max="20" width="9.71428571428571"/>
    <col min="49" max="49" width="12.847619047619"/>
    <col min="51" max="51" width="12.847619047619"/>
    <col min="52" max="52" width="10.7142857142857" customWidth="1"/>
    <col min="64" max="64" width="11" customWidth="1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103" t="s">
        <v>10</v>
      </c>
      <c r="C3" s="103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04">
        <v>1</v>
      </c>
      <c r="B4" s="105" t="s">
        <v>205</v>
      </c>
      <c r="C4" s="105" t="s">
        <v>205</v>
      </c>
      <c r="D4" s="106" t="s">
        <v>76</v>
      </c>
      <c r="E4" s="19" t="s">
        <v>76</v>
      </c>
      <c r="F4" s="20">
        <v>10</v>
      </c>
      <c r="G4" s="20">
        <v>150</v>
      </c>
      <c r="H4" s="20">
        <f t="shared" ref="H4:H6" si="0">F4*G4</f>
        <v>1500</v>
      </c>
      <c r="I4" s="20">
        <v>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0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105863.25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10586.325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10586.325</v>
      </c>
      <c r="AS4" s="24" t="s">
        <v>120</v>
      </c>
      <c r="AT4" s="25" t="s">
        <v>76</v>
      </c>
      <c r="AW4" s="25">
        <f t="shared" ref="AW4:AW6" si="13">AM4</f>
        <v>10</v>
      </c>
      <c r="AX4" s="26">
        <f t="shared" ref="AX4:AX6" si="14">AR4</f>
        <v>10586.325</v>
      </c>
      <c r="AY4" s="25">
        <f t="shared" ref="AY4:AY6" si="15">AU4+AW4</f>
        <v>10</v>
      </c>
      <c r="AZ4" s="26">
        <f>ROUND(((AU4*AV4)+(AW4*AX4))/(AU4+AW4),5)</f>
        <v>10586.325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O4" s="25">
        <f t="shared" ref="BO4:BO6" si="16">ROUND((((AW4*AZ4)+(BN4*BM4))/(AW4+BN4)),5)</f>
        <v>10586.325</v>
      </c>
      <c r="BP4" s="31">
        <f t="shared" ref="BP4:BP6" si="17">ROUND(BN4+AW4,3)</f>
        <v>10</v>
      </c>
      <c r="BQ4" s="32">
        <v>123562</v>
      </c>
    </row>
    <row r="5" ht="15.75" spans="1:69">
      <c r="A5" s="104">
        <v>1</v>
      </c>
      <c r="B5" s="105" t="s">
        <v>230</v>
      </c>
      <c r="C5" s="107" t="s">
        <v>230</v>
      </c>
      <c r="D5" s="106" t="s">
        <v>76</v>
      </c>
      <c r="E5" s="19" t="s">
        <v>76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IF(OR(PoToMRVWFSUomservImp!$C$2=1,PoToMRVWFSUomservImp!$C$2=4),ROUND((((S5*U5)/100)/2),2),0)</f>
        <v>0</v>
      </c>
      <c r="W5" s="20">
        <f>IF(PoToMRVWFSUomservImp!$C$2=1,ROUND((((S5*U5)/100)/2),2),0)</f>
        <v>0</v>
      </c>
      <c r="X5" s="20">
        <f>IF(PoToMRVWFSUomservImp!$C$2=2,ROUND(((S5*U5)/100),2),0)</f>
        <v>0</v>
      </c>
      <c r="Y5" s="20">
        <f>IF(PoToMRVWFSUomservImp!$C$2=4,ROUND((((S5*U5)/100)/2),2),0)</f>
        <v>0</v>
      </c>
      <c r="Z5" s="20">
        <v>0</v>
      </c>
      <c r="AA5" s="20">
        <f>IF(PoToMRVWFSUomservImp!$C3=3,0,(S5*Z5)/100)</f>
        <v>0</v>
      </c>
      <c r="AB5" s="20">
        <f t="shared" si="9"/>
        <v>0</v>
      </c>
      <c r="AC5" s="20">
        <f>IF(PoToMRVWFSUomservImp!$V3=1,S5+AB5,S5)</f>
        <v>328.47</v>
      </c>
      <c r="AD5" s="22">
        <v>120</v>
      </c>
      <c r="AE5" s="22">
        <f>IF(PoToMRVWFSUomservImp!$P$2=1,(S5/PoToMRVWFSUomservImp!$S$7)*PoToMRVWFSUomservImp!$E$18,AD5/PoToMRVWFSUomservImp!$AD$7*PoToMRVWFSUomservImp!$E$18)</f>
        <v>0</v>
      </c>
      <c r="AF5" s="22"/>
      <c r="AG5" s="22">
        <f>IF(PoToMRVWFSUomservImp!$P$2=1,(S5/PoToMRVWFSUomservImp!$S$7)*PoToMRVWFSUomservImp!$E$20,AD5/PoToMRVWFSUomservImp!$AD$7*PoToMRVWFSUomservImp!$E$20)</f>
        <v>0</v>
      </c>
      <c r="AH5" s="22">
        <f>IF(PoToMRVWFSUomservImp!$P$2=1,(S5/PoToMRVWFSUomservImp!$S$7)*PoToMRVWFSUomservImp!$E$21,AD5/PoToMRVWFSUomservImp!$AD$7*PoToMRVWFSUomservImp!$E$21)</f>
        <v>0</v>
      </c>
      <c r="AI5" s="22">
        <f>S5*PoToMRVWFSUomservImp!$M$2</f>
        <v>27919.95</v>
      </c>
      <c r="AJ5" s="22">
        <f>IF(PoToMRVWFSUomservImp!$C$2=3,0,AG5+AH5)</f>
        <v>0</v>
      </c>
      <c r="AK5" s="22">
        <f>IF(PoToMRVWFSUomservImp!$C$2=3,AE5+AG5+AH5,0)</f>
        <v>0</v>
      </c>
      <c r="AL5" s="23">
        <v>1</v>
      </c>
      <c r="AM5" s="22">
        <f t="shared" si="10"/>
        <v>4</v>
      </c>
      <c r="AN5" s="22">
        <f>ROUND(AI5/AM5,5)</f>
        <v>6979.9875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6979.9875</v>
      </c>
      <c r="AS5" s="24" t="s">
        <v>120</v>
      </c>
      <c r="AT5" s="25" t="s">
        <v>76</v>
      </c>
      <c r="AW5" s="25">
        <f t="shared" si="13"/>
        <v>4</v>
      </c>
      <c r="AX5" s="25">
        <f t="shared" si="14"/>
        <v>6979.9875</v>
      </c>
      <c r="AY5" s="25">
        <f t="shared" si="15"/>
        <v>4</v>
      </c>
      <c r="AZ5" s="25">
        <f>ROUND(((AU5*AV5)+(AW5*AX5))/(AU5+AW5),2)</f>
        <v>6979.99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O5" s="25">
        <f t="shared" si="16"/>
        <v>6979.99</v>
      </c>
      <c r="BP5" s="31">
        <f t="shared" si="17"/>
        <v>4</v>
      </c>
      <c r="BQ5" s="32">
        <v>123562</v>
      </c>
    </row>
    <row r="6" ht="15.75" spans="1:69">
      <c r="A6" s="104">
        <v>1</v>
      </c>
      <c r="B6" s="107" t="s">
        <v>231</v>
      </c>
      <c r="C6" s="107" t="s">
        <v>231</v>
      </c>
      <c r="D6" s="106" t="s">
        <v>76</v>
      </c>
      <c r="E6" s="19" t="s">
        <v>76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IF(OR(PoToMRVWFSUomservImp!$C$2=1,PoToMRVWFSUomservImp!$C$2=4),ROUND((((S6*U6)/100)/2),2),0)</f>
        <v>0</v>
      </c>
      <c r="W6" s="20">
        <f>IF(PoToMRVWFSUomservImp!$C$2=1,ROUND((((S6*U6)/100)/2),2),0)</f>
        <v>0</v>
      </c>
      <c r="X6" s="20">
        <f>IF(PoToMRVWFSUomservImp!$C$2=2,ROUND(((S6*U6)/100),2),0)</f>
        <v>0</v>
      </c>
      <c r="Y6" s="20">
        <f>IF(PoToMRVWFSUomservImp!$C$2=4,ROUND((((S6*U6)/100)/2),2),0)</f>
        <v>0</v>
      </c>
      <c r="Z6" s="20">
        <v>0</v>
      </c>
      <c r="AA6" s="20">
        <f>IF(PoToMRVWFSUomservImp!$C4=3,0,(S6*Z6)/100)</f>
        <v>0</v>
      </c>
      <c r="AB6" s="20">
        <f t="shared" si="9"/>
        <v>0</v>
      </c>
      <c r="AC6" s="20">
        <f>IF(PoToMRVWFSUomservImp!$V4=1,S6+AB6,S6)</f>
        <v>433.01</v>
      </c>
      <c r="AD6" s="22">
        <v>120</v>
      </c>
      <c r="AE6" s="22">
        <f>IF(PoToMRVWFSUomservImp!$P$2=1,(S6/PoToMRVWFSUomservImp!$S$7)*PoToMRVWFSUomservImp!$E$18,AD6/PoToMRVWFSUomservImp!$AD$7*PoToMRVWFSUomservImp!$E$18)</f>
        <v>0</v>
      </c>
      <c r="AF6" s="22"/>
      <c r="AG6" s="22">
        <f>IF(PoToMRVWFSUomservImp!$P$2=1,(S6/PoToMRVWFSUomservImp!$S$7)*PoToMRVWFSUomservImp!$E$20,AD6/PoToMRVWFSUomservImp!$AD$7*PoToMRVWFSUomservImp!$E$20)</f>
        <v>0</v>
      </c>
      <c r="AH6" s="22">
        <f>IF(PoToMRVWFSUomservImp!$P$2=1,(S6/PoToMRVWFSUomservImp!$S$7)*PoToMRVWFSUomservImp!$E$21,AD6/PoToMRVWFSUomservImp!$AD$7*PoToMRVWFSUomservImp!$E$21)</f>
        <v>0</v>
      </c>
      <c r="AI6" s="22">
        <f>S6*PoToMRVWFSUomservImp!$M$2</f>
        <v>36805.85</v>
      </c>
      <c r="AJ6" s="22">
        <f>IF(PoToMRVWFSUomservImp!$C$2=3,0,AG6+AH6)</f>
        <v>0</v>
      </c>
      <c r="AK6" s="22">
        <f>IF(PoToMRVWFSUomservImp!$C$2=3,AE6+AG6+AH6,0)</f>
        <v>0</v>
      </c>
      <c r="AL6" s="23">
        <v>1</v>
      </c>
      <c r="AM6" s="22">
        <f t="shared" si="10"/>
        <v>10</v>
      </c>
      <c r="AN6" s="22">
        <f>ROUND(AI6/AM6,5)</f>
        <v>3680.585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3680.585</v>
      </c>
      <c r="AS6" s="24" t="s">
        <v>120</v>
      </c>
      <c r="AT6" s="25" t="s">
        <v>76</v>
      </c>
      <c r="AW6" s="25">
        <f t="shared" si="13"/>
        <v>10</v>
      </c>
      <c r="AX6" s="25">
        <f t="shared" si="14"/>
        <v>3680.585</v>
      </c>
      <c r="AY6" s="25">
        <f t="shared" si="15"/>
        <v>10</v>
      </c>
      <c r="AZ6" s="25">
        <f>ROUND(((AU6*AV6)+(AW6*AX6))/(AU6+AW6),2)</f>
        <v>3680.59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O6" s="25">
        <f t="shared" si="16"/>
        <v>3680.59</v>
      </c>
      <c r="BP6" s="31">
        <f t="shared" si="17"/>
        <v>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0</v>
      </c>
      <c r="Y7" s="39"/>
      <c r="Z7" s="39"/>
      <c r="AA7" s="39"/>
      <c r="AB7" s="38">
        <f t="shared" ref="AB7:AE7" si="19">SUM(AB4:AB4)</f>
        <v>0</v>
      </c>
      <c r="AC7" s="40">
        <f t="shared" si="19"/>
        <v>1245.45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105863.25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1245.45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G6" sqref="G6"/>
    </sheetView>
  </sheetViews>
  <sheetFormatPr defaultColWidth="8.84761904761905" defaultRowHeight="15"/>
  <cols>
    <col min="2" max="2" width="28" customWidth="1"/>
    <col min="3" max="3" width="30.4285714285714" customWidth="1"/>
    <col min="29" max="29" width="10.5714285714286"/>
    <col min="35" max="35" width="10"/>
    <col min="52" max="52" width="10.7142857142857" customWidth="1"/>
    <col min="64" max="64" width="11" customWidth="1"/>
    <col min="67" max="67" width="12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232</v>
      </c>
      <c r="C4" s="19" t="s">
        <v>232</v>
      </c>
      <c r="D4" s="19" t="s">
        <v>76</v>
      </c>
      <c r="E4" s="19" t="s">
        <v>76</v>
      </c>
      <c r="F4" s="20">
        <v>100</v>
      </c>
      <c r="G4" t="s">
        <v>77</v>
      </c>
      <c r="H4" s="20">
        <f t="shared" ref="H4:H6" si="0">F4*G4</f>
        <v>15000</v>
      </c>
      <c r="I4" t="s">
        <v>78</v>
      </c>
      <c r="J4" s="20">
        <v>8</v>
      </c>
      <c r="K4" s="20">
        <v>5</v>
      </c>
      <c r="L4" s="20">
        <f t="shared" ref="L4:L6" si="1">H4</f>
        <v>15000</v>
      </c>
      <c r="M4" s="20">
        <f t="shared" ref="M4:M6" si="2">ROUND(L4*I4%,2)</f>
        <v>750</v>
      </c>
      <c r="N4" s="20">
        <f t="shared" ref="N4:N6" si="3">H4-M4</f>
        <v>14250</v>
      </c>
      <c r="O4" s="20">
        <f t="shared" ref="O4:O6" si="4">ROUND(N4*J4%,2)</f>
        <v>1140</v>
      </c>
      <c r="P4" s="20">
        <f t="shared" ref="P4:P6" si="5">ROUND(N4-O4,2)</f>
        <v>13110</v>
      </c>
      <c r="Q4" s="20">
        <f t="shared" ref="Q4:Q6" si="6">ROUND(P4*K4%,2)</f>
        <v>655.5</v>
      </c>
      <c r="R4" s="20">
        <f t="shared" ref="R4:R6" si="7">M4+O4+Q4</f>
        <v>2545.5</v>
      </c>
      <c r="S4" s="20">
        <f t="shared" ref="S4:S6" si="8">(H4-R4)</f>
        <v>12454.5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2241.81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2241.81</v>
      </c>
      <c r="AC4" s="21">
        <f>IF($V2=1,S4+AB4,S4)</f>
        <v>12454.5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12454.5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>
        <v>85</v>
      </c>
      <c r="AV4" t="s">
        <v>167</v>
      </c>
      <c r="AW4" s="25">
        <f t="shared" ref="AW4:AW6" si="13">AM4</f>
        <v>100</v>
      </c>
      <c r="AX4" s="26">
        <f t="shared" ref="AX4:AX6" si="14">AR4</f>
        <v>124.545</v>
      </c>
      <c r="AY4" s="25">
        <f t="shared" ref="AY4:AY6" si="15">AU4+AW4</f>
        <v>100</v>
      </c>
      <c r="AZ4" s="25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233</v>
      </c>
      <c r="BN4" t="s">
        <v>234</v>
      </c>
      <c r="BO4" s="25">
        <f t="shared" ref="BO4:BO6" si="16">ROUND((((AW4*AZ4)+(BN4*BM4))/(AW4+BN4)),5)</f>
        <v>1201.28965</v>
      </c>
      <c r="BP4" s="31">
        <f t="shared" ref="BP4:BP6" si="17">ROUND(BN4+AW4,3)</f>
        <v>950</v>
      </c>
      <c r="BQ4" s="32">
        <v>123562</v>
      </c>
    </row>
    <row r="5" ht="15.75" spans="1:69">
      <c r="A5" s="19">
        <v>1</v>
      </c>
      <c r="B5" s="19" t="s">
        <v>235</v>
      </c>
      <c r="C5" s="19" t="s">
        <v>235</v>
      </c>
      <c r="D5" s="19" t="s">
        <v>76</v>
      </c>
      <c r="E5" s="19" t="s">
        <v>76</v>
      </c>
      <c r="F5" s="20">
        <v>4</v>
      </c>
      <c r="G5" t="s">
        <v>87</v>
      </c>
      <c r="H5" s="20">
        <f t="shared" si="0"/>
        <v>400</v>
      </c>
      <c r="I5" t="s">
        <v>88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59.12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9"/>
        <v>59.12</v>
      </c>
      <c r="AC5" s="20">
        <f>IF($V3=1,S5+AB5,S5)</f>
        <v>328.47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328.47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>
        <v>85</v>
      </c>
      <c r="AV5" t="s">
        <v>190</v>
      </c>
      <c r="AW5" s="25">
        <f t="shared" si="13"/>
        <v>4</v>
      </c>
      <c r="AX5" s="25">
        <f t="shared" si="14"/>
        <v>82.1175</v>
      </c>
      <c r="AY5" s="25">
        <f t="shared" si="15"/>
        <v>4</v>
      </c>
      <c r="AZ5" s="25">
        <f>ROUND(((AU5*AV5)+(AW5*AX5))/(AU5+AW5),5)</f>
        <v>82.1175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236</v>
      </c>
      <c r="BN5" t="s">
        <v>237</v>
      </c>
      <c r="BO5" s="25">
        <f t="shared" si="16"/>
        <v>629.58639</v>
      </c>
      <c r="BP5" s="31">
        <f t="shared" si="17"/>
        <v>252</v>
      </c>
      <c r="BQ5" s="32">
        <v>123562</v>
      </c>
    </row>
    <row r="6" ht="15.75" spans="1:69">
      <c r="A6" s="19">
        <v>1</v>
      </c>
      <c r="B6" s="19" t="s">
        <v>238</v>
      </c>
      <c r="C6" s="19" t="s">
        <v>238</v>
      </c>
      <c r="D6" s="19" t="s">
        <v>76</v>
      </c>
      <c r="E6" s="19" t="s">
        <v>76</v>
      </c>
      <c r="F6" s="20">
        <v>10</v>
      </c>
      <c r="G6" t="s">
        <v>239</v>
      </c>
      <c r="H6" s="20">
        <f t="shared" si="0"/>
        <v>500</v>
      </c>
      <c r="I6" t="s">
        <v>240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77.94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9"/>
        <v>77.94</v>
      </c>
      <c r="AC6" s="20">
        <f>IF($V4=1,S6+AB6,S6)</f>
        <v>433.01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433.01</v>
      </c>
      <c r="AJ6" s="22">
        <f>IF($C$2=3,0,AG6+AH6)</f>
        <v>0</v>
      </c>
      <c r="AK6" s="22">
        <f>IF($C$2=3,AE6+AG6+AH6,0)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>
        <v>85</v>
      </c>
      <c r="AV6" t="s">
        <v>193</v>
      </c>
      <c r="AW6" s="25">
        <f t="shared" si="13"/>
        <v>10</v>
      </c>
      <c r="AX6" s="25">
        <f t="shared" si="14"/>
        <v>43.301</v>
      </c>
      <c r="AY6" s="25">
        <f t="shared" si="15"/>
        <v>10</v>
      </c>
      <c r="AZ6" s="25">
        <f>ROUND(((AU6*AV6)+(AW6*AX6))/(AU6+AW6),5)</f>
        <v>43.301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>
        <v>241</v>
      </c>
      <c r="BN6" t="s">
        <v>242</v>
      </c>
      <c r="BO6" s="25">
        <f t="shared" si="16"/>
        <v>434.99857</v>
      </c>
      <c r="BP6" s="31">
        <f t="shared" si="17"/>
        <v>650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2545.5</v>
      </c>
      <c r="S7" s="37">
        <f t="shared" si="18"/>
        <v>12454.5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2241.81</v>
      </c>
      <c r="Y7" s="39"/>
      <c r="Z7" s="39"/>
      <c r="AA7" s="39"/>
      <c r="AB7" s="38">
        <f t="shared" ref="AB7:AE7" si="19">SUM(AB4:AB4)</f>
        <v>2241.81</v>
      </c>
      <c r="AC7" s="40">
        <f t="shared" si="19"/>
        <v>12454.5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12454.5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2545.5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12454.5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2241.81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14696.31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8"/>
  <sheetViews>
    <sheetView workbookViewId="0">
      <selection activeCell="I23" sqref="I23"/>
    </sheetView>
  </sheetViews>
  <sheetFormatPr defaultColWidth="8.84761904761905" defaultRowHeight="15"/>
  <cols>
    <col min="2" max="2" width="28" customWidth="1"/>
    <col min="3" max="3" width="30.4285714285714" customWidth="1"/>
    <col min="18" max="18" width="9.28571428571429"/>
    <col min="19" max="19" width="10.5714285714286"/>
    <col min="20" max="20" width="10.7142857142857"/>
    <col min="24" max="24" width="10"/>
    <col min="28" max="29" width="10.5714285714286"/>
    <col min="35" max="35" width="11.4285714285714"/>
    <col min="40" max="40" width="9"/>
    <col min="44" max="44" width="9"/>
    <col min="50" max="50" width="9"/>
    <col min="52" max="52" width="10.7142857142857" customWidth="1"/>
    <col min="64" max="64" width="11" customWidth="1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232</v>
      </c>
      <c r="C4" s="19" t="s">
        <v>232</v>
      </c>
      <c r="D4" s="19" t="s">
        <v>76</v>
      </c>
      <c r="E4" s="19" t="s">
        <v>76</v>
      </c>
      <c r="F4" s="20">
        <v>100</v>
      </c>
      <c r="G4" t="s">
        <v>77</v>
      </c>
      <c r="H4" s="20">
        <f>F4*G4</f>
        <v>15000</v>
      </c>
      <c r="I4" t="s">
        <v>78</v>
      </c>
      <c r="J4" s="20">
        <v>8</v>
      </c>
      <c r="K4" s="20">
        <v>5</v>
      </c>
      <c r="L4" s="20">
        <f>H4</f>
        <v>15000</v>
      </c>
      <c r="M4" s="20">
        <f>ROUND(L4*I4%,2)</f>
        <v>750</v>
      </c>
      <c r="N4" s="20">
        <f>H4-M4</f>
        <v>14250</v>
      </c>
      <c r="O4" s="20">
        <f>ROUND(N4*J4%,2)</f>
        <v>1140</v>
      </c>
      <c r="P4" s="20">
        <f>ROUND(N4-O4,2)</f>
        <v>13110</v>
      </c>
      <c r="Q4" s="20">
        <f>ROUND(P4*K4%,2)</f>
        <v>655.5</v>
      </c>
      <c r="R4" s="20">
        <f>M4+O4+Q4</f>
        <v>2545.5</v>
      </c>
      <c r="S4" s="20">
        <f>(H4-R4)</f>
        <v>12454.5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2241.81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2241.81</v>
      </c>
      <c r="AC4" s="21">
        <f>IF($V2=1,S4+AB4,S4)</f>
        <v>12454.5</v>
      </c>
      <c r="AD4" s="22">
        <v>120</v>
      </c>
      <c r="AE4" s="22">
        <f>IF($P$2=1,(S4/$S$5)*$E$16,AD4/$AD$5*$E$16)</f>
        <v>0</v>
      </c>
      <c r="AF4" s="22"/>
      <c r="AG4" s="22">
        <f>IF($P$2=1,(S4/$S$5)*$E$18,AD4/$AD$5*$E$18)</f>
        <v>0</v>
      </c>
      <c r="AH4" s="22">
        <f>IF($P$2=1,(S4/$S$5)*$E$19,AD4/$AD$5*$E$19)</f>
        <v>0</v>
      </c>
      <c r="AI4" s="22">
        <f>S4*$M$2</f>
        <v>12454.5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100</v>
      </c>
      <c r="AN4" s="23">
        <f>ROUND(AI4/AM4,3)</f>
        <v>124.545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>
        <v>85</v>
      </c>
      <c r="AV4" t="s">
        <v>167</v>
      </c>
      <c r="AW4" s="25">
        <f>AM4</f>
        <v>100</v>
      </c>
      <c r="AX4" s="26">
        <f>AR4</f>
        <v>124.545</v>
      </c>
      <c r="AY4" s="25">
        <f>AU4+AW4</f>
        <v>100</v>
      </c>
      <c r="AZ4" s="25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233</v>
      </c>
      <c r="BN4" t="s">
        <v>234</v>
      </c>
      <c r="BO4" s="25">
        <f>ROUND((((AW4*AZ4)+(BN4*BM4))/(AW4+BN4)),5)</f>
        <v>1201.28965</v>
      </c>
      <c r="BP4" s="31">
        <f>ROUND(BN4+AW4,3)</f>
        <v>950</v>
      </c>
      <c r="BQ4" s="32">
        <v>123562</v>
      </c>
    </row>
    <row r="5" ht="15.75" spans="1:69">
      <c r="A5" s="4"/>
      <c r="B5" s="34"/>
      <c r="C5" s="34"/>
      <c r="D5" s="35" t="s">
        <v>89</v>
      </c>
      <c r="E5" s="35"/>
      <c r="F5" s="35"/>
      <c r="G5" s="36"/>
      <c r="H5" s="37">
        <f>SUM(H4:H4)</f>
        <v>15000</v>
      </c>
      <c r="I5" s="19"/>
      <c r="J5" s="19"/>
      <c r="K5" s="19"/>
      <c r="L5" s="19"/>
      <c r="M5" s="19"/>
      <c r="N5" s="19"/>
      <c r="O5" s="19"/>
      <c r="P5" s="19"/>
      <c r="Q5" s="19"/>
      <c r="R5" s="38">
        <f t="shared" ref="R5:X5" si="0">SUM(R4:R4)</f>
        <v>2545.5</v>
      </c>
      <c r="S5" s="37">
        <f t="shared" si="0"/>
        <v>12454.5</v>
      </c>
      <c r="T5" s="38"/>
      <c r="U5" s="38"/>
      <c r="V5" s="39">
        <f t="shared" si="0"/>
        <v>0</v>
      </c>
      <c r="W5" s="39">
        <f t="shared" si="0"/>
        <v>0</v>
      </c>
      <c r="X5" s="39">
        <f t="shared" si="0"/>
        <v>2241.81</v>
      </c>
      <c r="Y5" s="39"/>
      <c r="Z5" s="39"/>
      <c r="AA5" s="39"/>
      <c r="AB5" s="38">
        <f t="shared" ref="AB5:AE5" si="1">SUM(AB4:AB4)</f>
        <v>2241.81</v>
      </c>
      <c r="AC5" s="40">
        <f t="shared" si="1"/>
        <v>12454.5</v>
      </c>
      <c r="AD5" s="41">
        <f t="shared" si="1"/>
        <v>120</v>
      </c>
      <c r="AE5" s="41">
        <f t="shared" si="1"/>
        <v>0</v>
      </c>
      <c r="AF5" s="40"/>
      <c r="AG5" s="41">
        <f t="shared" ref="AG5:AK5" si="2">SUM(AG4:AG4)</f>
        <v>0</v>
      </c>
      <c r="AH5" s="41">
        <f>IF($P$2=1,(S5/$S$5)*$E$19,AD5/$AD$5*$E$19)</f>
        <v>0</v>
      </c>
      <c r="AI5" s="41">
        <f t="shared" si="2"/>
        <v>12454.5</v>
      </c>
      <c r="AJ5" s="41">
        <f t="shared" si="2"/>
        <v>0</v>
      </c>
      <c r="AK5" s="41">
        <f t="shared" si="2"/>
        <v>0</v>
      </c>
      <c r="AL5" s="40"/>
      <c r="AM5" s="40"/>
      <c r="AN5" s="40"/>
      <c r="AO5" s="40"/>
      <c r="AP5" s="40"/>
      <c r="AQ5" s="40"/>
      <c r="AR5" s="40"/>
      <c r="AS5" s="4"/>
      <c r="AT5" s="4"/>
      <c r="AU5" s="5"/>
      <c r="AV5" s="5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5"/>
      <c r="BQ5" s="5"/>
    </row>
    <row r="6" ht="15.75" spans="1:69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2" t="s">
        <v>90</v>
      </c>
      <c r="H7" s="43"/>
      <c r="I7" s="44">
        <f>H5</f>
        <v>15000</v>
      </c>
      <c r="J7" s="44"/>
      <c r="K7" s="4"/>
      <c r="L7" s="4"/>
      <c r="M7" s="45" t="s">
        <v>91</v>
      </c>
      <c r="N7" s="46"/>
      <c r="O7" s="46"/>
      <c r="P7" s="47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 t="s">
        <v>92</v>
      </c>
      <c r="BI7" s="121" t="s">
        <v>93</v>
      </c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94</v>
      </c>
      <c r="H8" s="43"/>
      <c r="I8" s="44">
        <f>R5</f>
        <v>2545.5</v>
      </c>
      <c r="J8" s="44"/>
      <c r="K8" s="4"/>
      <c r="L8" s="4"/>
      <c r="M8" s="48">
        <v>1</v>
      </c>
      <c r="N8" s="48" t="s">
        <v>76</v>
      </c>
      <c r="O8" s="48">
        <v>2</v>
      </c>
      <c r="P8" s="48" t="s">
        <v>95</v>
      </c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96</v>
      </c>
      <c r="BI8" s="121" t="s">
        <v>97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98</v>
      </c>
      <c r="H9" s="43"/>
      <c r="I9" s="44">
        <f>S5</f>
        <v>12454.5</v>
      </c>
      <c r="J9" s="44"/>
      <c r="K9" s="4"/>
      <c r="L9" s="4"/>
      <c r="M9" s="19">
        <v>1</v>
      </c>
      <c r="N9" s="19" t="s">
        <v>76</v>
      </c>
      <c r="O9" s="19">
        <v>2.5</v>
      </c>
      <c r="P9" s="19" t="s">
        <v>99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100</v>
      </c>
      <c r="H10" s="43"/>
      <c r="I10" s="44">
        <f>AB5</f>
        <v>2241.81</v>
      </c>
      <c r="J10" s="44"/>
      <c r="K10" s="4"/>
      <c r="L10" s="4"/>
      <c r="M10" s="19">
        <v>1</v>
      </c>
      <c r="N10" s="19" t="s">
        <v>95</v>
      </c>
      <c r="O10" s="19">
        <v>0.001</v>
      </c>
      <c r="P10" s="19" t="s">
        <v>101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102</v>
      </c>
      <c r="H11" s="43"/>
      <c r="I11" s="49">
        <f>I9+I10</f>
        <v>14696.31</v>
      </c>
      <c r="J11" s="49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spans="1:69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 t="s">
        <v>103</v>
      </c>
      <c r="BN12" s="4" t="s">
        <v>104</v>
      </c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 t="s">
        <v>105</v>
      </c>
      <c r="BL13" s="4">
        <v>12.5</v>
      </c>
      <c r="BM13" s="4">
        <f>BL15*BL16</f>
        <v>18277.77</v>
      </c>
      <c r="BN13" s="4">
        <f>BL13*BL14</f>
        <v>6092.59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106</v>
      </c>
      <c r="BL14" s="4">
        <v>487.4072</v>
      </c>
      <c r="BM14" s="4">
        <f>BL13+BL15</f>
        <v>50</v>
      </c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107</v>
      </c>
      <c r="BL15" s="4">
        <v>37.5</v>
      </c>
      <c r="BM15" s="4"/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108</v>
      </c>
      <c r="BL16" s="4">
        <v>487.4072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>
        <f>BM13+BN13</f>
        <v>24370.36</v>
      </c>
      <c r="BN17" s="4">
        <f>BM17/BM14</f>
        <v>487.4072</v>
      </c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5"/>
      <c r="BQ18" s="5"/>
    </row>
  </sheetData>
  <mergeCells count="12">
    <mergeCell ref="A2:B2"/>
    <mergeCell ref="G7:H7"/>
    <mergeCell ref="I7:J7"/>
    <mergeCell ref="M7:P7"/>
    <mergeCell ref="G8:H8"/>
    <mergeCell ref="I8:J8"/>
    <mergeCell ref="G9:H9"/>
    <mergeCell ref="I9:J9"/>
    <mergeCell ref="G10:H10"/>
    <mergeCell ref="I10:J10"/>
    <mergeCell ref="G11:H11"/>
    <mergeCell ref="I11:J11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X1" workbookViewId="0">
      <selection activeCell="BL8" sqref="BL8"/>
    </sheetView>
  </sheetViews>
  <sheetFormatPr defaultColWidth="8.84761904761905" defaultRowHeight="15"/>
  <cols>
    <col min="2" max="2" width="28" customWidth="1"/>
    <col min="3" max="3" width="30.4285714285714" customWidth="1"/>
    <col min="35" max="35" width="11.4285714285714"/>
    <col min="52" max="52" width="19.4285714285714" customWidth="1"/>
    <col min="64" max="64" width="11" customWidth="1"/>
    <col min="67" max="67" width="12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232</v>
      </c>
      <c r="C4" s="19" t="s">
        <v>232</v>
      </c>
      <c r="D4" s="19" t="s">
        <v>76</v>
      </c>
      <c r="E4" s="19" t="s">
        <v>76</v>
      </c>
      <c r="F4" s="20">
        <v>10</v>
      </c>
      <c r="G4" t="s">
        <v>239</v>
      </c>
      <c r="H4" s="20">
        <f t="shared" ref="H4:H6" si="0">F4*G4</f>
        <v>500</v>
      </c>
      <c r="I4" t="s">
        <v>85</v>
      </c>
      <c r="J4" s="20">
        <v>8</v>
      </c>
      <c r="K4" s="20">
        <v>5</v>
      </c>
      <c r="L4" s="20">
        <v>0</v>
      </c>
      <c r="M4" s="20">
        <f t="shared" ref="M4:M6" si="1">ROUND(L4*I4%,2)</f>
        <v>0</v>
      </c>
      <c r="N4" s="20">
        <f t="shared" ref="N4:N6" si="2">H4-M4</f>
        <v>500</v>
      </c>
      <c r="O4" s="20">
        <f t="shared" ref="O4:O6" si="3">ROUND(N4*J4%,2)</f>
        <v>40</v>
      </c>
      <c r="P4" s="20">
        <f t="shared" ref="P4:P6" si="4">ROUND(N4-O4,2)</f>
        <v>460</v>
      </c>
      <c r="Q4" s="20">
        <f t="shared" ref="Q4:Q6" si="5">ROUND(P4*K4%,2)</f>
        <v>23</v>
      </c>
      <c r="R4" s="20">
        <f t="shared" ref="R4:R6" si="6">M4+O4+Q4</f>
        <v>63</v>
      </c>
      <c r="S4" s="20">
        <f t="shared" ref="S4:S6" si="7">(H4-R4)</f>
        <v>437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8">V4+W4+X4+Y4+AA4</f>
        <v>0</v>
      </c>
      <c r="AC4" s="21">
        <f>IF($V2=1,S4+AB4,S4)</f>
        <v>437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37145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9">F4/AL4</f>
        <v>10</v>
      </c>
      <c r="AN4" s="23">
        <f>ROUND(AI4/AM4,3)</f>
        <v>3714.5</v>
      </c>
      <c r="AO4" s="22">
        <f t="shared" ref="AO4:AO6" si="10">AJ4/AM4</f>
        <v>0</v>
      </c>
      <c r="AP4" s="22">
        <f t="shared" ref="AP4:AP6" si="11">AK4/AM4</f>
        <v>0</v>
      </c>
      <c r="AQ4" s="22" t="s">
        <v>76</v>
      </c>
      <c r="AR4" s="23">
        <f>ROUND(AN4+AO4+AP4,3)</f>
        <v>3714.5</v>
      </c>
      <c r="AS4" s="24" t="s">
        <v>120</v>
      </c>
      <c r="AT4" s="25" t="s">
        <v>76</v>
      </c>
      <c r="AU4" t="s">
        <v>85</v>
      </c>
      <c r="AV4" t="s">
        <v>167</v>
      </c>
      <c r="AW4" s="25">
        <f t="shared" ref="AW4:AW6" si="12">AM4</f>
        <v>10</v>
      </c>
      <c r="AX4" s="26">
        <f t="shared" ref="AX4:AX6" si="13">AR4</f>
        <v>3714.5</v>
      </c>
      <c r="AY4" s="25">
        <f t="shared" ref="AY4:AY6" si="14">AU4+AW4</f>
        <v>10</v>
      </c>
      <c r="AZ4" s="25">
        <f>ROUND(((AU4*AV4)+(AW4*AX4))/(AU4+AW4),5)</f>
        <v>3714.5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243</v>
      </c>
      <c r="BN4" t="s">
        <v>244</v>
      </c>
      <c r="BO4" s="25">
        <f t="shared" ref="BO4:BO6" si="15">ROUND((((AW4*AZ4)+(BN4*BM4))/(AW4+BN4)),5)</f>
        <v>979.20383</v>
      </c>
      <c r="BP4" s="31">
        <f t="shared" ref="BP4:BP6" si="16">ROUND(BN4+AW4,3)</f>
        <v>580</v>
      </c>
      <c r="BQ4" s="32">
        <v>123562</v>
      </c>
    </row>
    <row r="5" ht="15.75" spans="1:69">
      <c r="A5" s="19">
        <v>1</v>
      </c>
      <c r="B5" s="19" t="s">
        <v>235</v>
      </c>
      <c r="C5" s="19" t="s">
        <v>235</v>
      </c>
      <c r="D5" s="19" t="s">
        <v>76</v>
      </c>
      <c r="E5" s="19" t="s">
        <v>76</v>
      </c>
      <c r="F5" s="20">
        <v>4</v>
      </c>
      <c r="G5" t="s">
        <v>87</v>
      </c>
      <c r="H5" s="20">
        <f t="shared" si="0"/>
        <v>400</v>
      </c>
      <c r="I5" t="s">
        <v>88</v>
      </c>
      <c r="J5" s="20">
        <v>9</v>
      </c>
      <c r="K5" s="20">
        <v>6</v>
      </c>
      <c r="L5" s="20">
        <f t="shared" ref="L4:L6" si="17">H5</f>
        <v>400</v>
      </c>
      <c r="M5" s="20">
        <f t="shared" si="1"/>
        <v>16</v>
      </c>
      <c r="N5" s="20">
        <f t="shared" si="2"/>
        <v>384</v>
      </c>
      <c r="O5" s="20">
        <f t="shared" si="3"/>
        <v>34.56</v>
      </c>
      <c r="P5" s="20">
        <f t="shared" si="4"/>
        <v>349.44</v>
      </c>
      <c r="Q5" s="20">
        <f t="shared" si="5"/>
        <v>20.97</v>
      </c>
      <c r="R5" s="20">
        <f t="shared" si="6"/>
        <v>71.53</v>
      </c>
      <c r="S5" s="20">
        <f t="shared" si="7"/>
        <v>328.47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0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8"/>
        <v>0</v>
      </c>
      <c r="AC5" s="20">
        <f>IF($V3=1,S5+AB5,S5)</f>
        <v>328.47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27919.95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 t="shared" si="9"/>
        <v>4</v>
      </c>
      <c r="AN5" s="22">
        <f>ROUND(AI5/AM5,5)</f>
        <v>6979.9875</v>
      </c>
      <c r="AO5" s="22">
        <f t="shared" si="10"/>
        <v>0</v>
      </c>
      <c r="AP5" s="22">
        <f t="shared" si="11"/>
        <v>0</v>
      </c>
      <c r="AQ5" s="22" t="s">
        <v>76</v>
      </c>
      <c r="AR5" s="22">
        <f>ROUND(AN5+AO5+AP5,5)</f>
        <v>6979.9875</v>
      </c>
      <c r="AS5" s="24" t="s">
        <v>120</v>
      </c>
      <c r="AT5" s="25" t="s">
        <v>76</v>
      </c>
      <c r="AU5" t="s">
        <v>85</v>
      </c>
      <c r="AV5" t="s">
        <v>190</v>
      </c>
      <c r="AW5" s="25">
        <f t="shared" si="12"/>
        <v>4</v>
      </c>
      <c r="AX5" s="25">
        <f t="shared" si="13"/>
        <v>6979.9875</v>
      </c>
      <c r="AY5" s="25">
        <f t="shared" si="14"/>
        <v>4</v>
      </c>
      <c r="AZ5" s="25">
        <f>ROUND(((AU5*AV5)+(AW5*AX5))/(AU5+AW5),5)</f>
        <v>6979.9875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245</v>
      </c>
      <c r="BN5" t="s">
        <v>246</v>
      </c>
      <c r="BO5" s="25">
        <f t="shared" si="15"/>
        <v>375.6508</v>
      </c>
      <c r="BP5" s="31">
        <f t="shared" si="16"/>
        <v>184</v>
      </c>
      <c r="BQ5" s="32">
        <v>123562</v>
      </c>
    </row>
    <row r="6" ht="15.75" spans="1:69">
      <c r="A6" s="19">
        <v>1</v>
      </c>
      <c r="B6" s="19" t="s">
        <v>238</v>
      </c>
      <c r="C6" s="19" t="s">
        <v>238</v>
      </c>
      <c r="D6" s="19" t="s">
        <v>76</v>
      </c>
      <c r="E6" s="19" t="s">
        <v>76</v>
      </c>
      <c r="F6" s="20">
        <v>10</v>
      </c>
      <c r="G6" t="s">
        <v>239</v>
      </c>
      <c r="H6" s="20">
        <f t="shared" si="0"/>
        <v>500</v>
      </c>
      <c r="I6" t="s">
        <v>240</v>
      </c>
      <c r="J6" s="20">
        <v>7</v>
      </c>
      <c r="K6" s="20">
        <v>4</v>
      </c>
      <c r="L6" s="20">
        <f t="shared" si="17"/>
        <v>500</v>
      </c>
      <c r="M6" s="20">
        <f t="shared" si="1"/>
        <v>15</v>
      </c>
      <c r="N6" s="20">
        <f t="shared" si="2"/>
        <v>485</v>
      </c>
      <c r="O6" s="20">
        <f t="shared" si="3"/>
        <v>33.95</v>
      </c>
      <c r="P6" s="20">
        <f t="shared" si="4"/>
        <v>451.05</v>
      </c>
      <c r="Q6" s="20">
        <f t="shared" si="5"/>
        <v>18.04</v>
      </c>
      <c r="R6" s="20">
        <f t="shared" si="6"/>
        <v>66.99</v>
      </c>
      <c r="S6" s="20">
        <f t="shared" si="7"/>
        <v>433.01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0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8"/>
        <v>0</v>
      </c>
      <c r="AC6" s="20">
        <f>IF($V4=1,S6+AB6,S6)</f>
        <v>433.01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36805.85</v>
      </c>
      <c r="AJ6" s="22">
        <f>IF($C$2=3,0,AG6+AH6)</f>
        <v>0</v>
      </c>
      <c r="AK6" s="22">
        <f>IF($C$2=3,AE6+AG6+AH6,0)</f>
        <v>0</v>
      </c>
      <c r="AL6" s="23">
        <v>1</v>
      </c>
      <c r="AM6" s="22">
        <f t="shared" si="9"/>
        <v>10</v>
      </c>
      <c r="AN6" s="22">
        <f>ROUND(AI6/AM6,5)</f>
        <v>3680.585</v>
      </c>
      <c r="AO6" s="22">
        <f t="shared" si="10"/>
        <v>0</v>
      </c>
      <c r="AP6" s="22">
        <f t="shared" si="11"/>
        <v>0</v>
      </c>
      <c r="AQ6" s="22" t="s">
        <v>76</v>
      </c>
      <c r="AR6" s="22">
        <f>ROUND(AN6+AO6+AP6,5)</f>
        <v>3680.585</v>
      </c>
      <c r="AS6" s="24" t="s">
        <v>120</v>
      </c>
      <c r="AT6" s="25" t="s">
        <v>76</v>
      </c>
      <c r="AU6" t="s">
        <v>85</v>
      </c>
      <c r="AV6" t="s">
        <v>193</v>
      </c>
      <c r="AW6" s="25">
        <f t="shared" si="12"/>
        <v>10</v>
      </c>
      <c r="AX6" s="25">
        <f t="shared" si="13"/>
        <v>3680.585</v>
      </c>
      <c r="AY6" s="25">
        <f t="shared" si="14"/>
        <v>10</v>
      </c>
      <c r="AZ6" s="25">
        <f>ROUND(((AU6*AV6)+(AW6*AX6))/(AU6+AW6),5)</f>
        <v>3680.585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>
        <v>247</v>
      </c>
      <c r="BN6" t="s">
        <v>248</v>
      </c>
      <c r="BO6" s="25">
        <f t="shared" si="15"/>
        <v>198.07628</v>
      </c>
      <c r="BP6" s="31">
        <f t="shared" si="16"/>
        <v>460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63</v>
      </c>
      <c r="S7" s="37">
        <f t="shared" si="18"/>
        <v>437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0</v>
      </c>
      <c r="Y7" s="39"/>
      <c r="Z7" s="39"/>
      <c r="AA7" s="39"/>
      <c r="AB7" s="38">
        <f t="shared" ref="AB7:AE7" si="19">SUM(AB4:AB4)</f>
        <v>0</v>
      </c>
      <c r="AC7" s="40">
        <f t="shared" si="19"/>
        <v>437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37145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63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437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437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W1" workbookViewId="0">
      <selection activeCell="BN7" sqref="BN7"/>
    </sheetView>
  </sheetViews>
  <sheetFormatPr defaultColWidth="8.84761904761905" defaultRowHeight="15"/>
  <cols>
    <col min="2" max="2" width="28" customWidth="1"/>
    <col min="3" max="3" width="30.4285714285714" customWidth="1"/>
    <col min="20" max="20" width="9.71428571428571"/>
    <col min="29" max="29" width="10.5714285714286"/>
    <col min="35" max="35" width="10"/>
    <col min="49" max="49" width="12.847619047619"/>
    <col min="51" max="51" width="12.847619047619"/>
    <col min="52" max="52" width="10.7142857142857" customWidth="1"/>
    <col min="64" max="64" width="11" customWidth="1"/>
    <col min="65" max="66" width="9.71428571428571"/>
    <col min="67" max="67" width="12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232</v>
      </c>
      <c r="C4" s="19" t="s">
        <v>232</v>
      </c>
      <c r="D4" s="19" t="s">
        <v>76</v>
      </c>
      <c r="E4" s="19" t="s">
        <v>76</v>
      </c>
      <c r="F4" s="20">
        <v>10</v>
      </c>
      <c r="G4" t="s">
        <v>77</v>
      </c>
      <c r="H4" s="20">
        <f t="shared" ref="H4:H6" si="0">F4*G4</f>
        <v>1500</v>
      </c>
      <c r="I4" t="s">
        <v>78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>
        <v>85</v>
      </c>
      <c r="AV4" t="s">
        <v>167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30</v>
      </c>
      <c r="AZ4" s="25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249</v>
      </c>
      <c r="BN4" t="s">
        <v>250</v>
      </c>
      <c r="BO4" s="25">
        <f t="shared" ref="BO4:BO6" si="16">ROUND((((AW4*AZ4)+(BN4*BM4))/(AW4+BN4)),5)</f>
        <v>925.99056</v>
      </c>
      <c r="BP4" s="31">
        <f t="shared" ref="BP4:BP6" si="17">ROUND(BN4+AW4,3)</f>
        <v>160</v>
      </c>
      <c r="BQ4" s="32">
        <v>123562</v>
      </c>
    </row>
    <row r="5" ht="15.75" spans="1:69">
      <c r="A5" s="19">
        <v>1</v>
      </c>
      <c r="B5" s="19" t="s">
        <v>235</v>
      </c>
      <c r="C5" s="19" t="s">
        <v>235</v>
      </c>
      <c r="D5" s="19" t="s">
        <v>76</v>
      </c>
      <c r="E5" s="19" t="s">
        <v>76</v>
      </c>
      <c r="F5" s="20">
        <v>4</v>
      </c>
      <c r="G5" t="s">
        <v>87</v>
      </c>
      <c r="H5" s="20">
        <f t="shared" si="0"/>
        <v>400</v>
      </c>
      <c r="I5" t="s">
        <v>88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59.12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9"/>
        <v>59.12</v>
      </c>
      <c r="AC5" s="20">
        <f>IF($V3=1,S5+AB5,S5)</f>
        <v>328.47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328.47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>
        <v>85</v>
      </c>
      <c r="AV5" t="s">
        <v>190</v>
      </c>
      <c r="AW5" s="25">
        <f t="shared" si="13"/>
        <v>4</v>
      </c>
      <c r="AX5" s="25">
        <f t="shared" si="14"/>
        <v>82.1175</v>
      </c>
      <c r="AY5" s="25">
        <f t="shared" si="15"/>
        <v>44</v>
      </c>
      <c r="AZ5" s="25">
        <f>ROUND(((AU5*AV5)+(AW5*AX5))/(AU5+AW5),5)</f>
        <v>82.1175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251</v>
      </c>
      <c r="BN5" t="s">
        <v>252</v>
      </c>
      <c r="BO5" s="25">
        <f t="shared" si="16"/>
        <v>82.11993</v>
      </c>
      <c r="BP5" s="31">
        <f t="shared" si="17"/>
        <v>44</v>
      </c>
      <c r="BQ5" s="32">
        <v>123562</v>
      </c>
    </row>
    <row r="6" ht="15.75" spans="1:69">
      <c r="A6" s="19">
        <v>1</v>
      </c>
      <c r="B6" s="19" t="s">
        <v>238</v>
      </c>
      <c r="C6" s="19" t="s">
        <v>238</v>
      </c>
      <c r="D6" s="19" t="s">
        <v>76</v>
      </c>
      <c r="E6" s="19" t="s">
        <v>76</v>
      </c>
      <c r="F6" s="20">
        <v>10</v>
      </c>
      <c r="G6" t="s">
        <v>239</v>
      </c>
      <c r="H6" s="20">
        <f t="shared" si="0"/>
        <v>500</v>
      </c>
      <c r="I6" t="s">
        <v>240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77.94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9"/>
        <v>77.94</v>
      </c>
      <c r="AC6" s="20">
        <f>IF($V4=1,S6+AB6,S6)</f>
        <v>433.01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433.01</v>
      </c>
      <c r="AJ6" s="22">
        <f>IF($C$2=3,0,AG6+AH6)</f>
        <v>0</v>
      </c>
      <c r="AK6" s="22">
        <f>IF($C$2=3,AE6+AG6+AH6,0)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>
        <v>85</v>
      </c>
      <c r="AV6" t="s">
        <v>193</v>
      </c>
      <c r="AW6" s="25">
        <f t="shared" si="13"/>
        <v>10</v>
      </c>
      <c r="AX6" s="25">
        <f t="shared" si="14"/>
        <v>43.301</v>
      </c>
      <c r="AY6" s="25">
        <f t="shared" si="15"/>
        <v>110</v>
      </c>
      <c r="AZ6" s="25">
        <f>ROUND(((AU6*AV6)+(AW6*AX6))/(AU6+AW6),5)</f>
        <v>43.301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>
        <v>253</v>
      </c>
      <c r="BN6" t="s">
        <v>254</v>
      </c>
      <c r="BO6" s="25">
        <f t="shared" si="16"/>
        <v>43.30003</v>
      </c>
      <c r="BP6" s="31">
        <f t="shared" si="17"/>
        <v>110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1469.63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V1" workbookViewId="0">
      <selection activeCell="W5" sqref="W5"/>
    </sheetView>
  </sheetViews>
  <sheetFormatPr defaultColWidth="8.84761904761905" defaultRowHeight="15"/>
  <cols>
    <col min="2" max="2" width="28" customWidth="1"/>
    <col min="3" max="3" width="30.4285714285714" customWidth="1"/>
    <col min="20" max="20" width="9.71428571428571"/>
    <col min="29" max="29" width="10.5714285714286"/>
    <col min="35" max="35" width="10"/>
    <col min="49" max="49" width="12.847619047619"/>
    <col min="51" max="51" width="12.847619047619"/>
    <col min="52" max="52" width="10.7142857142857" customWidth="1"/>
    <col min="64" max="64" width="11" customWidth="1"/>
    <col min="65" max="66" width="9.71428571428571"/>
    <col min="67" max="67" width="11.8571428571429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255</v>
      </c>
      <c r="C4" s="19" t="s">
        <v>255</v>
      </c>
      <c r="D4" s="19" t="s">
        <v>76</v>
      </c>
      <c r="E4" s="19" t="s">
        <v>76</v>
      </c>
      <c r="F4" s="20">
        <v>10</v>
      </c>
      <c r="G4" t="s">
        <v>77</v>
      </c>
      <c r="H4" s="20">
        <f t="shared" ref="H4:H6" si="0">F4*G4</f>
        <v>1500</v>
      </c>
      <c r="I4" t="s">
        <v>78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>
        <v>85</v>
      </c>
      <c r="AV4" t="s">
        <v>167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30</v>
      </c>
      <c r="AZ4" s="25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256</v>
      </c>
      <c r="BN4" t="s">
        <v>257</v>
      </c>
      <c r="BO4" s="25">
        <f t="shared" ref="BO4:BO6" si="16">ROUND((((AW4*AZ4)+(BN4*BM4))/(AW4+BN4)),5)</f>
        <v>124.545</v>
      </c>
      <c r="BP4" s="31">
        <f t="shared" ref="BP4:BP6" si="17">ROUND(BN4+AW4,3)</f>
        <v>160</v>
      </c>
      <c r="BQ4" s="32">
        <v>123562</v>
      </c>
    </row>
    <row r="5" ht="15.75" spans="1:69">
      <c r="A5" s="19">
        <v>1</v>
      </c>
      <c r="B5" s="19" t="s">
        <v>258</v>
      </c>
      <c r="C5" s="19" t="s">
        <v>258</v>
      </c>
      <c r="D5" s="19" t="s">
        <v>76</v>
      </c>
      <c r="E5" s="19" t="s">
        <v>76</v>
      </c>
      <c r="F5" s="20">
        <v>4</v>
      </c>
      <c r="G5" t="s">
        <v>87</v>
      </c>
      <c r="H5" s="20">
        <f t="shared" si="0"/>
        <v>400</v>
      </c>
      <c r="I5" t="s">
        <v>88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59.12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9"/>
        <v>59.12</v>
      </c>
      <c r="AC5" s="20">
        <f>IF($V3=1,S5+AB5,S5)</f>
        <v>328.47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328.47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>
        <v>85</v>
      </c>
      <c r="AV5" t="s">
        <v>190</v>
      </c>
      <c r="AW5" s="25">
        <f t="shared" si="13"/>
        <v>4</v>
      </c>
      <c r="AX5" s="25">
        <f t="shared" si="14"/>
        <v>82.1175</v>
      </c>
      <c r="AY5" s="25">
        <f t="shared" si="15"/>
        <v>44</v>
      </c>
      <c r="AZ5" s="25">
        <f>ROUND(((AU5*AV5)+(AW5*AX5))/(AU5+AW5),5)</f>
        <v>82.11977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259</v>
      </c>
      <c r="BN5" t="s">
        <v>260</v>
      </c>
      <c r="BO5" s="25">
        <f t="shared" si="16"/>
        <v>82.11998</v>
      </c>
      <c r="BP5" s="31">
        <f t="shared" si="17"/>
        <v>44</v>
      </c>
      <c r="BQ5" s="32">
        <v>123562</v>
      </c>
    </row>
    <row r="6" ht="15.75" spans="1:69">
      <c r="A6" s="19">
        <v>1</v>
      </c>
      <c r="B6" s="19" t="s">
        <v>261</v>
      </c>
      <c r="C6" s="19" t="s">
        <v>261</v>
      </c>
      <c r="D6" s="19" t="s">
        <v>76</v>
      </c>
      <c r="E6" s="19" t="s">
        <v>76</v>
      </c>
      <c r="F6" s="20">
        <v>10</v>
      </c>
      <c r="G6" t="s">
        <v>239</v>
      </c>
      <c r="H6" s="20">
        <f t="shared" si="0"/>
        <v>500</v>
      </c>
      <c r="I6" t="s">
        <v>240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77.94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9"/>
        <v>77.94</v>
      </c>
      <c r="AC6" s="20">
        <f>IF($V4=1,S6+AB6,S6)</f>
        <v>433.01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433.01</v>
      </c>
      <c r="AJ6" s="22">
        <f>IF($C$2=3,0,AG6+AH6)</f>
        <v>0</v>
      </c>
      <c r="AK6" s="22">
        <f>IF($C$2=3,AE6+AG6+AH6,0)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>
        <v>85</v>
      </c>
      <c r="AV6" t="s">
        <v>193</v>
      </c>
      <c r="AW6" s="25">
        <f t="shared" si="13"/>
        <v>10</v>
      </c>
      <c r="AX6" s="25">
        <f t="shared" si="14"/>
        <v>43.301</v>
      </c>
      <c r="AY6" s="25">
        <f t="shared" si="15"/>
        <v>110</v>
      </c>
      <c r="AZ6" s="25">
        <f>ROUND(((AU6*AV6)+(AW6*AX6))/(AU6+AW6),5)</f>
        <v>43.30009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>
        <v>262</v>
      </c>
      <c r="BN6" t="s">
        <v>263</v>
      </c>
      <c r="BO6" s="25">
        <f t="shared" si="16"/>
        <v>43.30001</v>
      </c>
      <c r="BP6" s="31">
        <f t="shared" si="17"/>
        <v>110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1469.63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8"/>
  <sheetViews>
    <sheetView workbookViewId="0">
      <selection activeCell="K19" sqref="K19"/>
    </sheetView>
  </sheetViews>
  <sheetFormatPr defaultColWidth="8.84761904761905" defaultRowHeight="15"/>
  <cols>
    <col min="2" max="2" width="28" customWidth="1"/>
    <col min="3" max="3" width="30.4285714285714" customWidth="1"/>
    <col min="18" max="18" width="9.28571428571429"/>
    <col min="19" max="19" width="10.5714285714286"/>
    <col min="20" max="20" width="10.7142857142857"/>
    <col min="28" max="28" width="9.28571428571429"/>
    <col min="29" max="29" width="10.5714285714286"/>
    <col min="35" max="35" width="10"/>
    <col min="40" max="40" width="9"/>
    <col min="44" max="44" width="9"/>
    <col min="49" max="49" width="12.847619047619"/>
    <col min="50" max="50" width="9"/>
    <col min="51" max="51" width="12.847619047619"/>
    <col min="52" max="52" width="10.7142857142857" customWidth="1"/>
    <col min="64" max="64" width="11" customWidth="1"/>
    <col min="65" max="66" width="9.71428571428571"/>
    <col min="67" max="67" width="12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264</v>
      </c>
      <c r="C4" s="19" t="s">
        <v>264</v>
      </c>
      <c r="D4" s="19" t="s">
        <v>76</v>
      </c>
      <c r="E4" s="19" t="s">
        <v>76</v>
      </c>
      <c r="F4" s="20">
        <v>100</v>
      </c>
      <c r="G4" t="s">
        <v>77</v>
      </c>
      <c r="H4" s="20">
        <f>F4*G4</f>
        <v>15000</v>
      </c>
      <c r="I4" t="s">
        <v>78</v>
      </c>
      <c r="J4" s="20">
        <v>8</v>
      </c>
      <c r="K4" s="20">
        <v>5</v>
      </c>
      <c r="L4" s="20">
        <f>H4</f>
        <v>15000</v>
      </c>
      <c r="M4" s="20">
        <f>ROUND(L4*I4%,2)</f>
        <v>750</v>
      </c>
      <c r="N4" s="20">
        <f>H4-M4</f>
        <v>14250</v>
      </c>
      <c r="O4" s="20">
        <f>ROUND(N4*J4%,2)</f>
        <v>1140</v>
      </c>
      <c r="P4" s="20">
        <f>ROUND(N4-O4,2)</f>
        <v>13110</v>
      </c>
      <c r="Q4" s="20">
        <f>ROUND(P4*K4%,2)</f>
        <v>655.5</v>
      </c>
      <c r="R4" s="20">
        <f>M4+O4+Q4</f>
        <v>2545.5</v>
      </c>
      <c r="S4" s="20">
        <f>(H4-R4)</f>
        <v>12454.5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2241.81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2241.81</v>
      </c>
      <c r="AC4" s="21">
        <f>IF($V2=1,S4+AB4,S4)</f>
        <v>14696.31</v>
      </c>
      <c r="AD4" s="22">
        <v>120</v>
      </c>
      <c r="AE4" s="22">
        <f>IF($P$2=1,(S4/$S$5)*$E$16,AD4/$AD$5*$E$16)</f>
        <v>0</v>
      </c>
      <c r="AF4" s="22"/>
      <c r="AG4" s="22">
        <f>IF($P$2=1,(S4/$S$5)*$E$18,AD4/$AD$5*$E$18)</f>
        <v>0</v>
      </c>
      <c r="AH4" s="22">
        <f>IF($P$2=1,(S4/$S$5)*$E$19,AD4/$AD$5*$E$19)</f>
        <v>0</v>
      </c>
      <c r="AI4" s="22">
        <f>S4*$M$2</f>
        <v>12454.5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100</v>
      </c>
      <c r="AN4" s="23">
        <f>ROUND(AI4/AM4,3)</f>
        <v>124.545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>
        <v>85</v>
      </c>
      <c r="AV4" t="s">
        <v>167</v>
      </c>
      <c r="AW4" s="25">
        <f>AM4</f>
        <v>100</v>
      </c>
      <c r="AX4" s="26">
        <f>AR4</f>
        <v>124.545</v>
      </c>
      <c r="AY4" s="25">
        <f>AU4+AW4</f>
        <v>100</v>
      </c>
      <c r="AZ4" s="25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167</v>
      </c>
      <c r="BN4" t="s">
        <v>87</v>
      </c>
      <c r="BO4" s="25">
        <f>ROUND((((AW4*AZ4)+(BN4*BM4))/(AW4+BN4)),5)</f>
        <v>894.74735</v>
      </c>
      <c r="BP4" s="31">
        <f>ROUND(BN4+AW4,3)</f>
        <v>955</v>
      </c>
      <c r="BQ4" s="32">
        <v>123562</v>
      </c>
    </row>
    <row r="5" ht="15.75" spans="1:69">
      <c r="A5" s="4"/>
      <c r="B5" s="34"/>
      <c r="C5" s="34"/>
      <c r="D5" s="35" t="s">
        <v>89</v>
      </c>
      <c r="E5" s="35"/>
      <c r="F5" s="35"/>
      <c r="G5" s="36"/>
      <c r="H5" s="37">
        <f>SUM(H4:H4)</f>
        <v>15000</v>
      </c>
      <c r="I5" s="19"/>
      <c r="J5" s="19"/>
      <c r="K5" s="19"/>
      <c r="L5" s="19"/>
      <c r="M5" s="19"/>
      <c r="N5" s="19"/>
      <c r="O5" s="19"/>
      <c r="P5" s="19"/>
      <c r="Q5" s="19"/>
      <c r="R5" s="38">
        <f t="shared" ref="R5:X5" si="0">SUM(R4:R4)</f>
        <v>2545.5</v>
      </c>
      <c r="S5" s="37">
        <f t="shared" si="0"/>
        <v>12454.5</v>
      </c>
      <c r="T5" s="38"/>
      <c r="U5" s="38"/>
      <c r="V5" s="39">
        <f t="shared" si="0"/>
        <v>0</v>
      </c>
      <c r="W5" s="39">
        <f t="shared" si="0"/>
        <v>0</v>
      </c>
      <c r="X5" s="39">
        <f t="shared" si="0"/>
        <v>2241.81</v>
      </c>
      <c r="Y5" s="39"/>
      <c r="Z5" s="39"/>
      <c r="AA5" s="39"/>
      <c r="AB5" s="38">
        <f t="shared" ref="AB5:AE5" si="1">SUM(AB4:AB4)</f>
        <v>2241.81</v>
      </c>
      <c r="AC5" s="40">
        <f t="shared" si="1"/>
        <v>14696.31</v>
      </c>
      <c r="AD5" s="41">
        <f t="shared" si="1"/>
        <v>120</v>
      </c>
      <c r="AE5" s="41">
        <f t="shared" si="1"/>
        <v>0</v>
      </c>
      <c r="AF5" s="40"/>
      <c r="AG5" s="41">
        <f t="shared" ref="AG5:AK5" si="2">SUM(AG4:AG4)</f>
        <v>0</v>
      </c>
      <c r="AH5" s="41">
        <f>IF($P$2=1,(S5/$S$5)*$E$19,AD5/$AD$5*$E$19)</f>
        <v>0</v>
      </c>
      <c r="AI5" s="41">
        <f t="shared" si="2"/>
        <v>12454.5</v>
      </c>
      <c r="AJ5" s="41">
        <f t="shared" si="2"/>
        <v>0</v>
      </c>
      <c r="AK5" s="41">
        <f t="shared" si="2"/>
        <v>0</v>
      </c>
      <c r="AL5" s="40"/>
      <c r="AM5" s="40"/>
      <c r="AN5" s="40"/>
      <c r="AO5" s="40"/>
      <c r="AP5" s="40"/>
      <c r="AQ5" s="40"/>
      <c r="AR5" s="40"/>
      <c r="AS5" s="4"/>
      <c r="AT5" s="4"/>
      <c r="AU5" s="5"/>
      <c r="AV5" s="5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5"/>
      <c r="BQ5" s="5"/>
    </row>
    <row r="6" ht="15.75" spans="1:69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2" t="s">
        <v>90</v>
      </c>
      <c r="H7" s="43"/>
      <c r="I7" s="44">
        <f>H5</f>
        <v>15000</v>
      </c>
      <c r="J7" s="44"/>
      <c r="K7" s="4"/>
      <c r="L7" s="4"/>
      <c r="M7" s="45" t="s">
        <v>91</v>
      </c>
      <c r="N7" s="46"/>
      <c r="O7" s="46"/>
      <c r="P7" s="47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 t="s">
        <v>92</v>
      </c>
      <c r="BI7" s="121" t="s">
        <v>93</v>
      </c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94</v>
      </c>
      <c r="H8" s="43"/>
      <c r="I8" s="44">
        <f>R5</f>
        <v>2545.5</v>
      </c>
      <c r="J8" s="44"/>
      <c r="K8" s="4"/>
      <c r="L8" s="4"/>
      <c r="M8" s="48">
        <v>1</v>
      </c>
      <c r="N8" s="48" t="s">
        <v>76</v>
      </c>
      <c r="O8" s="48">
        <v>2</v>
      </c>
      <c r="P8" s="48" t="s">
        <v>95</v>
      </c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96</v>
      </c>
      <c r="BI8" s="121" t="s">
        <v>97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98</v>
      </c>
      <c r="H9" s="43"/>
      <c r="I9" s="44">
        <f>S5</f>
        <v>12454.5</v>
      </c>
      <c r="J9" s="44"/>
      <c r="K9" s="4"/>
      <c r="L9" s="4"/>
      <c r="M9" s="19">
        <v>1</v>
      </c>
      <c r="N9" s="19" t="s">
        <v>76</v>
      </c>
      <c r="O9" s="19">
        <v>2.5</v>
      </c>
      <c r="P9" s="19" t="s">
        <v>99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100</v>
      </c>
      <c r="H10" s="43"/>
      <c r="I10" s="44">
        <f>AB5</f>
        <v>2241.81</v>
      </c>
      <c r="J10" s="44"/>
      <c r="K10" s="4"/>
      <c r="L10" s="4"/>
      <c r="M10" s="19">
        <v>1</v>
      </c>
      <c r="N10" s="19" t="s">
        <v>95</v>
      </c>
      <c r="O10" s="19">
        <v>0.001</v>
      </c>
      <c r="P10" s="19" t="s">
        <v>101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102</v>
      </c>
      <c r="H11" s="43"/>
      <c r="I11" s="49">
        <f>I9+I10</f>
        <v>14696.31</v>
      </c>
      <c r="J11" s="49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spans="1:69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 t="s">
        <v>103</v>
      </c>
      <c r="BN12" s="4" t="s">
        <v>104</v>
      </c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 t="s">
        <v>105</v>
      </c>
      <c r="BL13" s="4">
        <v>12.5</v>
      </c>
      <c r="BM13" s="4">
        <f>BL15*BL16</f>
        <v>18277.77</v>
      </c>
      <c r="BN13" s="4">
        <f>BL13*BL14</f>
        <v>6092.59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106</v>
      </c>
      <c r="BL14" s="4">
        <v>487.4072</v>
      </c>
      <c r="BM14" s="4">
        <f>BL13+BL15</f>
        <v>50</v>
      </c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107</v>
      </c>
      <c r="BL15" s="4">
        <v>37.5</v>
      </c>
      <c r="BM15" s="4"/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108</v>
      </c>
      <c r="BL16" s="4">
        <v>487.4072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>
        <f>BM13+BN13</f>
        <v>24370.36</v>
      </c>
      <c r="BN17" s="4">
        <f>BM17/BM14</f>
        <v>487.4072</v>
      </c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5"/>
      <c r="BQ18" s="5"/>
    </row>
  </sheetData>
  <mergeCells count="12">
    <mergeCell ref="A2:B2"/>
    <mergeCell ref="G7:H7"/>
    <mergeCell ref="I7:J7"/>
    <mergeCell ref="M7:P7"/>
    <mergeCell ref="G8:H8"/>
    <mergeCell ref="I8:J8"/>
    <mergeCell ref="G9:H9"/>
    <mergeCell ref="I9:J9"/>
    <mergeCell ref="G10:H10"/>
    <mergeCell ref="I10:J10"/>
    <mergeCell ref="G11:H11"/>
    <mergeCell ref="I11:J11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W1" workbookViewId="0">
      <selection activeCell="BK7" sqref="BK7"/>
    </sheetView>
  </sheetViews>
  <sheetFormatPr defaultColWidth="8.84761904761905" defaultRowHeight="15"/>
  <cols>
    <col min="2" max="2" width="28" customWidth="1"/>
    <col min="3" max="3" width="30.4285714285714" customWidth="1"/>
    <col min="20" max="20" width="9.71428571428571"/>
    <col min="29" max="29" width="10.5714285714286"/>
    <col min="35" max="35" width="10"/>
    <col min="49" max="49" width="12.847619047619"/>
    <col min="51" max="51" width="12.847619047619"/>
    <col min="52" max="52" width="10.7142857142857" customWidth="1"/>
    <col min="64" max="64" width="11" customWidth="1"/>
    <col min="65" max="66" width="9.71428571428571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255</v>
      </c>
      <c r="C4" s="19" t="s">
        <v>255</v>
      </c>
      <c r="D4" s="19" t="s">
        <v>76</v>
      </c>
      <c r="E4" s="19" t="s">
        <v>76</v>
      </c>
      <c r="F4" s="20">
        <v>10</v>
      </c>
      <c r="G4" t="s">
        <v>77</v>
      </c>
      <c r="H4" s="20">
        <f t="shared" ref="H4:H6" si="0">F4*G4</f>
        <v>1500</v>
      </c>
      <c r="I4" t="s">
        <v>78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>
        <v>85</v>
      </c>
      <c r="AV4" t="s">
        <v>167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10</v>
      </c>
      <c r="AZ4" s="25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265</v>
      </c>
      <c r="BN4" t="s">
        <v>266</v>
      </c>
      <c r="BO4" s="25">
        <f t="shared" ref="BO4:BO6" si="16">ROUND((((AW4*AZ4)+(BN4*BM4))/(AW4+BN4)),5)</f>
        <v>1047.72692</v>
      </c>
      <c r="BP4" s="31">
        <f t="shared" ref="BP4:BP6" si="17">ROUND(BN4+AW4,3)</f>
        <v>65</v>
      </c>
      <c r="BQ4" s="32">
        <v>123562</v>
      </c>
    </row>
    <row r="5" ht="15.75" spans="1:69">
      <c r="A5" s="19">
        <v>1</v>
      </c>
      <c r="B5" s="19" t="s">
        <v>258</v>
      </c>
      <c r="C5" s="19" t="s">
        <v>258</v>
      </c>
      <c r="D5" s="19" t="s">
        <v>76</v>
      </c>
      <c r="E5" s="19" t="s">
        <v>76</v>
      </c>
      <c r="F5" s="20">
        <v>4</v>
      </c>
      <c r="G5" t="s">
        <v>87</v>
      </c>
      <c r="H5" s="20">
        <f t="shared" si="0"/>
        <v>400</v>
      </c>
      <c r="I5" t="s">
        <v>88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59.12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9"/>
        <v>59.12</v>
      </c>
      <c r="AC5" s="20">
        <f>IF($V3=1,S5+AB5,S5)</f>
        <v>328.47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328.47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>
        <v>85</v>
      </c>
      <c r="AV5" t="s">
        <v>190</v>
      </c>
      <c r="AW5" s="25">
        <f t="shared" si="13"/>
        <v>4</v>
      </c>
      <c r="AX5" s="25">
        <f t="shared" si="14"/>
        <v>82.1175</v>
      </c>
      <c r="AY5" s="25">
        <f t="shared" si="15"/>
        <v>4</v>
      </c>
      <c r="AZ5" s="25">
        <f>ROUND(((AU5*AV5)+(AW5*AX5))/(AU5+AW5),5)</f>
        <v>82.1175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267</v>
      </c>
      <c r="BN5" t="s">
        <v>268</v>
      </c>
      <c r="BO5" s="25">
        <f t="shared" si="16"/>
        <v>82.1195</v>
      </c>
      <c r="BP5" s="31">
        <f t="shared" si="17"/>
        <v>20</v>
      </c>
      <c r="BQ5" s="32">
        <v>123562</v>
      </c>
    </row>
    <row r="6" ht="15.75" spans="1:69">
      <c r="A6" s="19">
        <v>1</v>
      </c>
      <c r="B6" s="19" t="s">
        <v>261</v>
      </c>
      <c r="C6" s="19" t="s">
        <v>261</v>
      </c>
      <c r="D6" s="19" t="s">
        <v>76</v>
      </c>
      <c r="E6" s="19" t="s">
        <v>76</v>
      </c>
      <c r="F6" s="20">
        <v>10</v>
      </c>
      <c r="G6" t="s">
        <v>239</v>
      </c>
      <c r="H6" s="20">
        <f t="shared" si="0"/>
        <v>500</v>
      </c>
      <c r="I6" t="s">
        <v>240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77.94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9"/>
        <v>77.94</v>
      </c>
      <c r="AC6" s="20">
        <f>IF($V4=1,S6+AB6,S6)</f>
        <v>433.01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433.01</v>
      </c>
      <c r="AJ6" s="22">
        <f>IF($C$2=3,0,AG6+AH6)</f>
        <v>0</v>
      </c>
      <c r="AK6" s="22">
        <f>IF($C$2=3,AE6+AG6+AH6,0)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>
        <v>85</v>
      </c>
      <c r="AV6" t="s">
        <v>193</v>
      </c>
      <c r="AW6" s="25">
        <f t="shared" si="13"/>
        <v>10</v>
      </c>
      <c r="AX6" s="25">
        <f t="shared" si="14"/>
        <v>43.301</v>
      </c>
      <c r="AY6" s="25">
        <f t="shared" si="15"/>
        <v>10</v>
      </c>
      <c r="AZ6" s="25">
        <f>ROUND(((AU6*AV6)+(AW6*AX6))/(AU6+AW6),5)</f>
        <v>43.301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>
        <v>269</v>
      </c>
      <c r="BN6" t="s">
        <v>270</v>
      </c>
      <c r="BO6" s="25">
        <f t="shared" si="16"/>
        <v>43.3002</v>
      </c>
      <c r="BP6" s="31">
        <f t="shared" si="17"/>
        <v>50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1245.45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K25" sqref="K25"/>
    </sheetView>
  </sheetViews>
  <sheetFormatPr defaultColWidth="8.84761904761905" defaultRowHeight="15"/>
  <cols>
    <col min="2" max="2" width="28" customWidth="1"/>
    <col min="3" max="3" width="30.4285714285714" customWidth="1"/>
    <col min="12" max="12" width="14.2857142857143" customWidth="1"/>
    <col min="20" max="20" width="9.71428571428571"/>
    <col min="29" max="29" width="9.42857142857143"/>
    <col min="35" max="35" width="12.8571428571429"/>
    <col min="49" max="49" width="12.847619047619"/>
    <col min="50" max="50" width="16.7142857142857" customWidth="1"/>
    <col min="51" max="51" width="12.847619047619"/>
    <col min="52" max="52" width="19.4285714285714" customWidth="1"/>
    <col min="64" max="64" width="11" customWidth="1"/>
    <col min="65" max="66" width="9.71428571428571"/>
    <col min="67" max="67" width="12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255</v>
      </c>
      <c r="C4" s="19" t="s">
        <v>255</v>
      </c>
      <c r="D4" s="19" t="s">
        <v>76</v>
      </c>
      <c r="E4" s="19" t="s">
        <v>76</v>
      </c>
      <c r="F4" s="20">
        <v>10</v>
      </c>
      <c r="G4" t="s">
        <v>239</v>
      </c>
      <c r="H4" s="20">
        <f t="shared" ref="H4:H6" si="0">F4*G4</f>
        <v>1500</v>
      </c>
      <c r="I4" t="s">
        <v>85</v>
      </c>
      <c r="J4" s="20">
        <v>8</v>
      </c>
      <c r="K4" s="20">
        <v>5</v>
      </c>
      <c r="L4" s="20">
        <v>0</v>
      </c>
      <c r="M4" s="20">
        <f t="shared" ref="M4:M6" si="1">ROUND(L4*I4%,2)</f>
        <v>0</v>
      </c>
      <c r="N4" s="20">
        <f t="shared" ref="N4:N6" si="2">H4-M4</f>
        <v>1500</v>
      </c>
      <c r="O4" s="20">
        <f t="shared" ref="O4:O6" si="3">ROUND(N4*J4%,2)</f>
        <v>120</v>
      </c>
      <c r="P4" s="20">
        <f t="shared" ref="P4:P6" si="4">ROUND(N4-O4,2)</f>
        <v>1380</v>
      </c>
      <c r="Q4" s="20">
        <f t="shared" ref="Q4:Q6" si="5">ROUND(P4*K4%,2)</f>
        <v>69</v>
      </c>
      <c r="R4" s="20">
        <f t="shared" ref="R4:R6" si="6">M4+O4+Q4</f>
        <v>189</v>
      </c>
      <c r="S4" s="20">
        <f t="shared" ref="S4:S6" si="7">(H4-R4)</f>
        <v>1311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8">V4+W4+X4+Y4+AA4</f>
        <v>0</v>
      </c>
      <c r="AC4" s="21">
        <f>IF($V2=1,S4+AB4,S4)</f>
        <v>1311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111435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9">F4/AL4</f>
        <v>10</v>
      </c>
      <c r="AN4" s="23">
        <f>ROUND(AI4/AM4,3)</f>
        <v>11143.5</v>
      </c>
      <c r="AO4" s="22">
        <f t="shared" ref="AO4:AO6" si="10">AJ4/AM4</f>
        <v>0</v>
      </c>
      <c r="AP4" s="22">
        <f t="shared" ref="AP4:AP6" si="11">AK4/AM4</f>
        <v>0</v>
      </c>
      <c r="AQ4" s="22" t="s">
        <v>76</v>
      </c>
      <c r="AR4" s="23">
        <f>ROUND(AN4+AO4+AP4,3)</f>
        <v>11143.5</v>
      </c>
      <c r="AS4" s="24" t="s">
        <v>120</v>
      </c>
      <c r="AT4" s="25" t="s">
        <v>76</v>
      </c>
      <c r="AU4" t="s">
        <v>85</v>
      </c>
      <c r="AV4" t="s">
        <v>271</v>
      </c>
      <c r="AW4" s="25">
        <f t="shared" ref="AW4:AW6" si="12">AM4</f>
        <v>10</v>
      </c>
      <c r="AX4" s="26">
        <f t="shared" ref="AX4:AX6" si="13">AR4</f>
        <v>11143.5</v>
      </c>
      <c r="AY4" s="25">
        <f t="shared" ref="AY4:AY6" si="14">AU4+AW4</f>
        <v>10</v>
      </c>
      <c r="AZ4" s="25">
        <f>ROUND(((AU4*AV4)+(AW4*AX4))/(AU4+AW4),5)</f>
        <v>11143.5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272</v>
      </c>
      <c r="BN4" t="s">
        <v>273</v>
      </c>
      <c r="BO4" s="25">
        <f t="shared" ref="BO4:BO6" si="15">ROUND((((AW4*AZ4)+(BN4*BM4))/(AW4+BN4)),5)</f>
        <v>942.59091</v>
      </c>
      <c r="BP4" s="31">
        <f t="shared" ref="BP4:BP6" si="16">ROUND(BN4+AW4,3)</f>
        <v>65</v>
      </c>
      <c r="BQ4" s="32">
        <v>123562</v>
      </c>
    </row>
    <row r="5" ht="15.75" spans="1:69">
      <c r="A5" s="19">
        <v>1</v>
      </c>
      <c r="B5" s="19" t="s">
        <v>258</v>
      </c>
      <c r="C5" s="19" t="s">
        <v>258</v>
      </c>
      <c r="D5" s="19" t="s">
        <v>76</v>
      </c>
      <c r="E5" s="19" t="s">
        <v>76</v>
      </c>
      <c r="F5" s="20">
        <v>4</v>
      </c>
      <c r="G5" t="s">
        <v>87</v>
      </c>
      <c r="H5" s="20">
        <f t="shared" si="0"/>
        <v>400</v>
      </c>
      <c r="I5" t="s">
        <v>88</v>
      </c>
      <c r="J5" s="20">
        <v>9</v>
      </c>
      <c r="K5" s="20">
        <v>6</v>
      </c>
      <c r="L5" s="20">
        <f t="shared" ref="L4:L6" si="17">H5</f>
        <v>400</v>
      </c>
      <c r="M5" s="20">
        <f t="shared" si="1"/>
        <v>16</v>
      </c>
      <c r="N5" s="20">
        <f t="shared" si="2"/>
        <v>384</v>
      </c>
      <c r="O5" s="20">
        <f t="shared" si="3"/>
        <v>34.56</v>
      </c>
      <c r="P5" s="20">
        <f t="shared" si="4"/>
        <v>349.44</v>
      </c>
      <c r="Q5" s="20">
        <f t="shared" si="5"/>
        <v>20.97</v>
      </c>
      <c r="R5" s="20">
        <f t="shared" si="6"/>
        <v>71.53</v>
      </c>
      <c r="S5" s="20">
        <f t="shared" si="7"/>
        <v>328.47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0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8"/>
        <v>0</v>
      </c>
      <c r="AC5" s="20">
        <f>IF($V3=1,S5+AB5,S5)</f>
        <v>328.47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27919.95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 t="shared" si="9"/>
        <v>4</v>
      </c>
      <c r="AN5" s="22">
        <f>ROUND(AI5/AM5,5)</f>
        <v>6979.9875</v>
      </c>
      <c r="AO5" s="22">
        <f t="shared" si="10"/>
        <v>0</v>
      </c>
      <c r="AP5" s="22">
        <f t="shared" si="11"/>
        <v>0</v>
      </c>
      <c r="AQ5" s="22" t="s">
        <v>76</v>
      </c>
      <c r="AR5" s="22">
        <f>ROUND(AN5+AO5+AP5,5)</f>
        <v>6979.9875</v>
      </c>
      <c r="AS5" s="24" t="s">
        <v>120</v>
      </c>
      <c r="AT5" s="25" t="s">
        <v>76</v>
      </c>
      <c r="AU5" t="s">
        <v>85</v>
      </c>
      <c r="AV5" t="s">
        <v>274</v>
      </c>
      <c r="AW5" s="25">
        <f t="shared" si="12"/>
        <v>4</v>
      </c>
      <c r="AX5" s="25">
        <f t="shared" si="13"/>
        <v>6979.9875</v>
      </c>
      <c r="AY5" s="25">
        <f t="shared" si="14"/>
        <v>4</v>
      </c>
      <c r="AZ5" s="25">
        <f>ROUND(((AU5*AV5)+(AW5*AX5))/(AU5+AW5),5)</f>
        <v>6979.9875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275</v>
      </c>
      <c r="BN5" t="s">
        <v>276</v>
      </c>
      <c r="BO5" s="25">
        <f t="shared" si="15"/>
        <v>358.03895</v>
      </c>
      <c r="BP5" s="31">
        <f t="shared" si="16"/>
        <v>20</v>
      </c>
      <c r="BQ5" s="32">
        <v>123562</v>
      </c>
    </row>
    <row r="6" ht="15.75" spans="1:69">
      <c r="A6" s="19">
        <v>1</v>
      </c>
      <c r="B6" s="19" t="s">
        <v>261</v>
      </c>
      <c r="C6" s="19" t="s">
        <v>261</v>
      </c>
      <c r="D6" s="19" t="s">
        <v>76</v>
      </c>
      <c r="E6" s="19" t="s">
        <v>76</v>
      </c>
      <c r="F6" s="20">
        <v>10</v>
      </c>
      <c r="G6" t="s">
        <v>239</v>
      </c>
      <c r="H6" s="20">
        <f t="shared" si="0"/>
        <v>500</v>
      </c>
      <c r="I6" t="s">
        <v>240</v>
      </c>
      <c r="J6" s="20">
        <v>7</v>
      </c>
      <c r="K6" s="20">
        <v>4</v>
      </c>
      <c r="L6" s="20">
        <f t="shared" si="17"/>
        <v>500</v>
      </c>
      <c r="M6" s="20">
        <f t="shared" si="1"/>
        <v>15</v>
      </c>
      <c r="N6" s="20">
        <f t="shared" si="2"/>
        <v>485</v>
      </c>
      <c r="O6" s="20">
        <f t="shared" si="3"/>
        <v>33.95</v>
      </c>
      <c r="P6" s="20">
        <f t="shared" si="4"/>
        <v>451.05</v>
      </c>
      <c r="Q6" s="20">
        <f t="shared" si="5"/>
        <v>18.04</v>
      </c>
      <c r="R6" s="20">
        <f t="shared" si="6"/>
        <v>66.99</v>
      </c>
      <c r="S6" s="20">
        <f t="shared" si="7"/>
        <v>433.01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0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8"/>
        <v>0</v>
      </c>
      <c r="AC6" s="20">
        <f>IF($V4=1,S6+AB6,S6)</f>
        <v>433.01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36805.85</v>
      </c>
      <c r="AJ6" s="22">
        <f>IF($C$2=3,0,AG6+AH6)</f>
        <v>0</v>
      </c>
      <c r="AK6" s="22">
        <f>IF($C$2=3,AE6+AG6+AH6,0)</f>
        <v>0</v>
      </c>
      <c r="AL6" s="23">
        <v>1</v>
      </c>
      <c r="AM6" s="22">
        <f t="shared" si="9"/>
        <v>10</v>
      </c>
      <c r="AN6" s="22">
        <f>ROUND(AI6/AM6,5)</f>
        <v>3680.585</v>
      </c>
      <c r="AO6" s="22">
        <f t="shared" si="10"/>
        <v>0</v>
      </c>
      <c r="AP6" s="22">
        <f t="shared" si="11"/>
        <v>0</v>
      </c>
      <c r="AQ6" s="22" t="s">
        <v>76</v>
      </c>
      <c r="AR6" s="22">
        <f>ROUND(AN6+AO6+AP6,5)</f>
        <v>3680.585</v>
      </c>
      <c r="AS6" s="24" t="s">
        <v>120</v>
      </c>
      <c r="AT6" s="25" t="s">
        <v>76</v>
      </c>
      <c r="AU6" t="s">
        <v>85</v>
      </c>
      <c r="AV6" t="s">
        <v>277</v>
      </c>
      <c r="AW6" s="25">
        <f t="shared" si="12"/>
        <v>10</v>
      </c>
      <c r="AX6" s="25">
        <f t="shared" si="13"/>
        <v>3680.585</v>
      </c>
      <c r="AY6" s="25">
        <f t="shared" si="14"/>
        <v>10</v>
      </c>
      <c r="AZ6" s="25">
        <f>ROUND(((AU6*AV6)+(AW6*AX6))/(AU6+AW6),5)</f>
        <v>3680.585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>
        <v>278</v>
      </c>
      <c r="BN6" t="s">
        <v>279</v>
      </c>
      <c r="BO6" s="25">
        <f t="shared" si="15"/>
        <v>188.7897</v>
      </c>
      <c r="BP6" s="31">
        <f t="shared" si="16"/>
        <v>50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189</v>
      </c>
      <c r="S7" s="37">
        <f t="shared" si="18"/>
        <v>1311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0</v>
      </c>
      <c r="Y7" s="39"/>
      <c r="Z7" s="39"/>
      <c r="AA7" s="39"/>
      <c r="AB7" s="38">
        <f t="shared" ref="AB7:AE7" si="19">SUM(AB4:AB4)</f>
        <v>0</v>
      </c>
      <c r="AC7" s="40">
        <f t="shared" si="19"/>
        <v>1311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111435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189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1311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1311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AS9" sqref="AS9"/>
    </sheetView>
  </sheetViews>
  <sheetFormatPr defaultColWidth="8.84761904761905" defaultRowHeight="15"/>
  <cols>
    <col min="2" max="2" width="28" customWidth="1"/>
    <col min="3" max="3" width="30.4285714285714" customWidth="1"/>
    <col min="20" max="20" width="9.71428571428571"/>
    <col min="49" max="49" width="12.847619047619"/>
    <col min="51" max="51" width="12.847619047619"/>
    <col min="52" max="52" width="10.7142857142857" customWidth="1"/>
    <col min="64" max="64" width="11" customWidth="1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103" t="s">
        <v>10</v>
      </c>
      <c r="C3" s="103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04">
        <v>1</v>
      </c>
      <c r="B4" s="105" t="s">
        <v>280</v>
      </c>
      <c r="C4" s="105" t="s">
        <v>280</v>
      </c>
      <c r="D4" s="106" t="s">
        <v>76</v>
      </c>
      <c r="E4" s="19" t="s">
        <v>76</v>
      </c>
      <c r="F4" s="20">
        <v>10</v>
      </c>
      <c r="G4" t="s">
        <v>77</v>
      </c>
      <c r="H4" s="20">
        <f t="shared" ref="H4:H6" si="0">F4*G4</f>
        <v>1500</v>
      </c>
      <c r="I4" t="s">
        <v>78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>
        <v>281</v>
      </c>
      <c r="AV4" t="s">
        <v>167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30</v>
      </c>
      <c r="AZ4" s="26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167</v>
      </c>
      <c r="BN4" t="s">
        <v>77</v>
      </c>
      <c r="BO4" s="25">
        <f t="shared" ref="BO4:BO6" si="16">ROUND((((AW4*AZ4)+(BN4*BM4))/(AW4+BN4)),5)</f>
        <v>124.545</v>
      </c>
      <c r="BP4" s="31">
        <f t="shared" ref="BP4:BP6" si="17">ROUND(BN4+AW4,3)</f>
        <v>160</v>
      </c>
      <c r="BQ4" s="32">
        <v>123562</v>
      </c>
    </row>
    <row r="5" ht="15.75" spans="1:69">
      <c r="A5" s="104">
        <v>1</v>
      </c>
      <c r="B5" s="105" t="s">
        <v>282</v>
      </c>
      <c r="C5" s="107" t="s">
        <v>282</v>
      </c>
      <c r="D5" s="106" t="s">
        <v>76</v>
      </c>
      <c r="E5" s="19" t="s">
        <v>76</v>
      </c>
      <c r="F5" s="20">
        <v>4</v>
      </c>
      <c r="G5" t="s">
        <v>87</v>
      </c>
      <c r="H5" s="20">
        <f t="shared" si="0"/>
        <v>400</v>
      </c>
      <c r="I5" t="s">
        <v>88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IF(OR(PoToMRVWFSUomservRc!$C$2=1,PoToMRVWFSUomservRc!$C$2=4),ROUND((((S5*U5)/100)/2),2),0)</f>
        <v>0</v>
      </c>
      <c r="W5" s="20">
        <f>IF(PoToMRVWFSUomservRc!$C$2=1,ROUND((((S5*U5)/100)/2),2),0)</f>
        <v>0</v>
      </c>
      <c r="X5" s="20">
        <f>IF(PoToMRVWFSUomservRc!$C$2=2,ROUND(((S5*U5)/100),2),0)</f>
        <v>59.12</v>
      </c>
      <c r="Y5" s="20">
        <f>IF(PoToMRVWFSUomservRc!$C$2=4,ROUND((((S5*U5)/100)/2),2),0)</f>
        <v>0</v>
      </c>
      <c r="Z5" s="20">
        <v>0</v>
      </c>
      <c r="AA5" s="20">
        <f>IF(PoToMRVWFSUomservRc!$C3=3,0,(S5*Z5)/100)</f>
        <v>0</v>
      </c>
      <c r="AB5" s="20">
        <f t="shared" si="9"/>
        <v>59.12</v>
      </c>
      <c r="AC5" s="20">
        <f>IF(PoToMRVWFSUomservRc!$V3=1,S5+AB5,S5)</f>
        <v>328.47</v>
      </c>
      <c r="AD5" s="22">
        <v>120</v>
      </c>
      <c r="AE5" s="22">
        <f>IF(PoToMRVWFSUomservRc!$P$2=1,(S5/PoToMRVWFSUomservRc!$S$7)*PoToMRVWFSUomservRc!$E$18,AD5/PoToMRVWFSUomservRc!$AD$7*PoToMRVWFSUomservRc!$E$18)</f>
        <v>0</v>
      </c>
      <c r="AF5" s="22"/>
      <c r="AG5" s="22">
        <f>IF(PoToMRVWFSUomservRc!$P$2=1,(S5/PoToMRVWFSUomservRc!$S$7)*PoToMRVWFSUomservRc!$E$20,AD5/PoToMRVWFSUomservRc!$AD$7*PoToMRVWFSUomservRc!$E$20)</f>
        <v>0</v>
      </c>
      <c r="AH5" s="22">
        <f>IF(PoToMRVWFSUomservRc!$P$2=1,(S5/PoToMRVWFSUomservRc!$S$7)*PoToMRVWFSUomservRc!$E$21,AD5/PoToMRVWFSUomservRc!$AD$7*PoToMRVWFSUomservRc!$E$21)</f>
        <v>0</v>
      </c>
      <c r="AI5" s="22">
        <f>S5*PoToMRVWFSUomservRc!$M$2</f>
        <v>328.47</v>
      </c>
      <c r="AJ5" s="22">
        <f>IF(PoToMRVWFSUomservRc!$C$2=3,0,AG5+AH5)</f>
        <v>0</v>
      </c>
      <c r="AK5" s="22">
        <f>IF(PoToMRVWFSUomservRc!$C$2=3,AE5+AG5+AH5,0)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>
        <v>283</v>
      </c>
      <c r="AV5" t="s">
        <v>157</v>
      </c>
      <c r="AW5" s="25">
        <f t="shared" si="13"/>
        <v>4</v>
      </c>
      <c r="AX5" s="25">
        <f t="shared" si="14"/>
        <v>82.1175</v>
      </c>
      <c r="AY5" s="25">
        <f t="shared" si="15"/>
        <v>44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157</v>
      </c>
      <c r="BN5" t="s">
        <v>283</v>
      </c>
      <c r="BO5" s="25">
        <f t="shared" si="16"/>
        <v>82.12</v>
      </c>
      <c r="BP5" s="31">
        <f t="shared" si="17"/>
        <v>44</v>
      </c>
      <c r="BQ5" s="32">
        <v>123562</v>
      </c>
    </row>
    <row r="6" ht="15.75" spans="1:69">
      <c r="A6" s="104">
        <v>1</v>
      </c>
      <c r="B6" s="107" t="s">
        <v>284</v>
      </c>
      <c r="C6" s="107" t="s">
        <v>284</v>
      </c>
      <c r="D6" s="106" t="s">
        <v>76</v>
      </c>
      <c r="E6" s="19" t="s">
        <v>76</v>
      </c>
      <c r="F6" s="20">
        <v>10</v>
      </c>
      <c r="G6" t="s">
        <v>239</v>
      </c>
      <c r="H6" s="20">
        <f t="shared" si="0"/>
        <v>500</v>
      </c>
      <c r="I6" t="s">
        <v>240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IF(OR(PoToMRVWFSUomservRc!$C$2=1,PoToMRVWFSUomservRc!$C$2=4),ROUND((((S6*U6)/100)/2),2),0)</f>
        <v>0</v>
      </c>
      <c r="W6" s="20">
        <f>IF(PoToMRVWFSUomservRc!$C$2=1,ROUND((((S6*U6)/100)/2),2),0)</f>
        <v>0</v>
      </c>
      <c r="X6" s="20">
        <f>IF(PoToMRVWFSUomservRc!$C$2=2,ROUND(((S6*U6)/100),2),0)</f>
        <v>77.94</v>
      </c>
      <c r="Y6" s="20">
        <f>IF(PoToMRVWFSUomservRc!$C$2=4,ROUND((((S6*U6)/100)/2),2),0)</f>
        <v>0</v>
      </c>
      <c r="Z6" s="20">
        <v>0</v>
      </c>
      <c r="AA6" s="20">
        <f>IF(PoToMRVWFSUomservRc!$C4=3,0,(S6*Z6)/100)</f>
        <v>0</v>
      </c>
      <c r="AB6" s="20">
        <f t="shared" si="9"/>
        <v>77.94</v>
      </c>
      <c r="AC6" s="20">
        <f>IF(PoToMRVWFSUomservRc!$V4=1,S6+AB6,S6)</f>
        <v>433.01</v>
      </c>
      <c r="AD6" s="22">
        <v>120</v>
      </c>
      <c r="AE6" s="22">
        <f>IF(PoToMRVWFSUomservRc!$P$2=1,(S6/PoToMRVWFSUomservRc!$S$7)*PoToMRVWFSUomservRc!$E$18,AD6/PoToMRVWFSUomservRc!$AD$7*PoToMRVWFSUomservRc!$E$18)</f>
        <v>0</v>
      </c>
      <c r="AF6" s="22"/>
      <c r="AG6" s="22">
        <f>IF(PoToMRVWFSUomservRc!$P$2=1,(S6/PoToMRVWFSUomservRc!$S$7)*PoToMRVWFSUomservRc!$E$20,AD6/PoToMRVWFSUomservRc!$AD$7*PoToMRVWFSUomservRc!$E$20)</f>
        <v>0</v>
      </c>
      <c r="AH6" s="22">
        <f>IF(PoToMRVWFSUomservRc!$P$2=1,(S6/PoToMRVWFSUomservRc!$S$7)*PoToMRVWFSUomservRc!$E$21,AD6/PoToMRVWFSUomservRc!$AD$7*PoToMRVWFSUomservRc!$E$21)</f>
        <v>0</v>
      </c>
      <c r="AI6" s="22">
        <f>S6*PoToMRVWFSUomservRc!$M$2</f>
        <v>433.01</v>
      </c>
      <c r="AJ6" s="22">
        <f>IF(PoToMRVWFSUomservRc!$C$2=3,0,AG6+AH6)</f>
        <v>0</v>
      </c>
      <c r="AK6" s="22">
        <f>IF(PoToMRVWFSUomservRc!$C$2=3,AE6+AG6+AH6,0)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>
        <v>87</v>
      </c>
      <c r="AV6" t="s">
        <v>163</v>
      </c>
      <c r="AW6" s="25">
        <f t="shared" si="13"/>
        <v>10</v>
      </c>
      <c r="AX6" s="25">
        <f t="shared" si="14"/>
        <v>43.301</v>
      </c>
      <c r="AY6" s="25">
        <f t="shared" si="15"/>
        <v>110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>
        <v>163</v>
      </c>
      <c r="BN6" t="s">
        <v>87</v>
      </c>
      <c r="BO6" s="25">
        <f t="shared" si="16"/>
        <v>43.3</v>
      </c>
      <c r="BP6" s="31">
        <f t="shared" si="17"/>
        <v>110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1469.63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H1" workbookViewId="0">
      <selection activeCell="Y6" sqref="Y6"/>
    </sheetView>
  </sheetViews>
  <sheetFormatPr defaultColWidth="8.84761904761905" defaultRowHeight="15"/>
  <cols>
    <col min="2" max="2" width="28" customWidth="1"/>
    <col min="3" max="3" width="30.4285714285714" customWidth="1"/>
    <col min="20" max="20" width="9.71428571428571"/>
    <col min="49" max="49" width="12.847619047619"/>
    <col min="51" max="51" width="12.847619047619"/>
    <col min="52" max="52" width="10.7142857142857" customWidth="1"/>
    <col min="64" max="64" width="11" customWidth="1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103" t="s">
        <v>10</v>
      </c>
      <c r="C3" s="103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04">
        <v>1</v>
      </c>
      <c r="B4" s="105" t="s">
        <v>280</v>
      </c>
      <c r="C4" s="105" t="s">
        <v>280</v>
      </c>
      <c r="D4" s="106" t="s">
        <v>76</v>
      </c>
      <c r="E4" s="19" t="s">
        <v>76</v>
      </c>
      <c r="F4" s="20">
        <v>10</v>
      </c>
      <c r="G4" t="s">
        <v>77</v>
      </c>
      <c r="H4" s="20">
        <f t="shared" ref="H4:H6" si="0">F4*G4</f>
        <v>1500</v>
      </c>
      <c r="I4" t="s">
        <v>78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IF(($C$2=2),ROUND((S4*U4)/100,2),0)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>
        <v>281</v>
      </c>
      <c r="AV4" t="s">
        <v>167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30</v>
      </c>
      <c r="AZ4" s="26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167</v>
      </c>
      <c r="BN4" t="s">
        <v>77</v>
      </c>
      <c r="BO4" s="25">
        <f t="shared" ref="BO4:BO6" si="16">ROUND((((AW4*AZ4)+(BN4*BM4))/(AW4+BN4)),5)</f>
        <v>124.545</v>
      </c>
      <c r="BP4" s="31">
        <f t="shared" ref="BP4:BP6" si="17">ROUND(BN4+AW4,3)</f>
        <v>160</v>
      </c>
      <c r="BQ4" s="32">
        <v>123562</v>
      </c>
    </row>
    <row r="5" ht="15.75" spans="1:69">
      <c r="A5" s="104">
        <v>1</v>
      </c>
      <c r="B5" s="105" t="s">
        <v>282</v>
      </c>
      <c r="C5" s="107" t="s">
        <v>282</v>
      </c>
      <c r="D5" s="106" t="s">
        <v>76</v>
      </c>
      <c r="E5" s="19" t="s">
        <v>76</v>
      </c>
      <c r="F5" s="20">
        <v>4</v>
      </c>
      <c r="G5" t="s">
        <v>87</v>
      </c>
      <c r="H5" s="20">
        <f t="shared" si="0"/>
        <v>400</v>
      </c>
      <c r="I5" t="s">
        <v>88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IF(OR(PoToMRVWoQSUomservRc!$C$2=1,PoToMRVWoQSUomservRc!$C$2=4),ROUND((((S5*U5)/100)/2),2),0)</f>
        <v>0</v>
      </c>
      <c r="W5" s="20">
        <f>IF(PoToMRVWoQSUomservRc!$C$2=1,ROUND((((S5*U5)/100)/2),2),0)</f>
        <v>0</v>
      </c>
      <c r="X5" s="20">
        <f>IF(($C$2=2),ROUND((S5*U5)/100,2),0)</f>
        <v>59.12</v>
      </c>
      <c r="Y5" s="20">
        <f>IF(PoToMRVWoQSUomservRc!$C$2=4,ROUND((((S5*U5)/100)/2),2),0)</f>
        <v>0</v>
      </c>
      <c r="Z5" s="20">
        <v>0</v>
      </c>
      <c r="AA5" s="20">
        <f>IF(PoToMRVWoQSUomservRc!$C3=3,0,(S5*Z5)/100)</f>
        <v>0</v>
      </c>
      <c r="AB5" s="20">
        <f t="shared" si="9"/>
        <v>59.12</v>
      </c>
      <c r="AC5" s="20">
        <f>IF(PoToMRVWoQSUomservRc!$V3=1,S5+AB5,S5)</f>
        <v>328.47</v>
      </c>
      <c r="AD5" s="22">
        <v>120</v>
      </c>
      <c r="AE5" s="22">
        <f>IF(PoToMRVWoQSUomservRc!$P$2=1,(S5/PoToMRVWoQSUomservRc!$S$7)*PoToMRVWoQSUomservRc!$E$18,AD5/PoToMRVWoQSUomservRc!$AD$7*PoToMRVWoQSUomservRc!$E$18)</f>
        <v>0</v>
      </c>
      <c r="AF5" s="22"/>
      <c r="AG5" s="22">
        <f>IF(PoToMRVWoQSUomservRc!$P$2=1,(S5/PoToMRVWoQSUomservRc!$S$7)*PoToMRVWoQSUomservRc!$E$20,AD5/PoToMRVWoQSUomservRc!$AD$7*PoToMRVWoQSUomservRc!$E$20)</f>
        <v>0</v>
      </c>
      <c r="AH5" s="22">
        <f>IF(PoToMRVWoQSUomservRc!$P$2=1,(S5/PoToMRVWoQSUomservRc!$S$7)*PoToMRVWoQSUomservRc!$E$21,AD5/PoToMRVWoQSUomservRc!$AD$7*PoToMRVWoQSUomservRc!$E$21)</f>
        <v>0</v>
      </c>
      <c r="AI5" s="22">
        <f>S5*PoToMRVWoQSUomservRc!$M$2</f>
        <v>328.47</v>
      </c>
      <c r="AJ5" s="22">
        <f>IF(PoToMRVWoQSUomservRc!$C$2=3,0,AG5+AH5)</f>
        <v>0</v>
      </c>
      <c r="AK5" s="22">
        <f>IF(PoToMRVWoQSUomservRc!$C$2=3,AE5+AG5+AH5,0)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>
        <v>283</v>
      </c>
      <c r="AV5" t="s">
        <v>157</v>
      </c>
      <c r="AW5" s="25">
        <f t="shared" si="13"/>
        <v>4</v>
      </c>
      <c r="AX5" s="25">
        <f t="shared" si="14"/>
        <v>82.1175</v>
      </c>
      <c r="AY5" s="25">
        <f t="shared" si="15"/>
        <v>44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157</v>
      </c>
      <c r="BN5" t="s">
        <v>283</v>
      </c>
      <c r="BO5" s="25">
        <f t="shared" si="16"/>
        <v>82.12</v>
      </c>
      <c r="BP5" s="31">
        <f t="shared" si="17"/>
        <v>44</v>
      </c>
      <c r="BQ5" s="32">
        <v>123562</v>
      </c>
    </row>
    <row r="6" ht="15.75" spans="1:69">
      <c r="A6" s="104">
        <v>1</v>
      </c>
      <c r="B6" s="107" t="s">
        <v>284</v>
      </c>
      <c r="C6" s="107" t="s">
        <v>284</v>
      </c>
      <c r="D6" s="106" t="s">
        <v>76</v>
      </c>
      <c r="E6" s="19" t="s">
        <v>76</v>
      </c>
      <c r="F6" s="20">
        <v>10</v>
      </c>
      <c r="G6" t="s">
        <v>239</v>
      </c>
      <c r="H6" s="20">
        <f t="shared" si="0"/>
        <v>500</v>
      </c>
      <c r="I6" t="s">
        <v>240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IF(OR(PoToMRVWoQSUomservRc!$C$2=1,PoToMRVWoQSUomservRc!$C$2=4),ROUND((((S6*U6)/100)/2),2),0)</f>
        <v>0</v>
      </c>
      <c r="W6" s="20">
        <f>IF(PoToMRVWoQSUomservRc!$C$2=1,ROUND((((S6*U6)/100)/2),2),0)</f>
        <v>0</v>
      </c>
      <c r="X6" s="20">
        <f>IF(($C$2=2),ROUND((S6*U6)/100,2),0)</f>
        <v>77.94</v>
      </c>
      <c r="Y6" s="20">
        <f>IF(PoToMRVWoQSUomservRc!$C$2=4,ROUND((((S6*U6)/100)/2),2),0)</f>
        <v>0</v>
      </c>
      <c r="Z6" s="20">
        <v>0</v>
      </c>
      <c r="AA6" s="20">
        <f>IF(PoToMRVWoQSUomservRc!$C4=3,0,(S6*Z6)/100)</f>
        <v>0</v>
      </c>
      <c r="AB6" s="20">
        <f t="shared" si="9"/>
        <v>77.94</v>
      </c>
      <c r="AC6" s="20">
        <f>IF(PoToMRVWoQSUomservRc!$V4=1,S6+AB6,S6)</f>
        <v>433.01</v>
      </c>
      <c r="AD6" s="22">
        <v>120</v>
      </c>
      <c r="AE6" s="22">
        <f>IF(PoToMRVWoQSUomservRc!$P$2=1,(S6/PoToMRVWoQSUomservRc!$S$7)*PoToMRVWoQSUomservRc!$E$18,AD6/PoToMRVWoQSUomservRc!$AD$7*PoToMRVWoQSUomservRc!$E$18)</f>
        <v>0</v>
      </c>
      <c r="AF6" s="22"/>
      <c r="AG6" s="22">
        <f>IF(PoToMRVWoQSUomservRc!$P$2=1,(S6/PoToMRVWoQSUomservRc!$S$7)*PoToMRVWoQSUomservRc!$E$20,AD6/PoToMRVWoQSUomservRc!$AD$7*PoToMRVWoQSUomservRc!$E$20)</f>
        <v>0</v>
      </c>
      <c r="AH6" s="22">
        <f>IF(PoToMRVWoQSUomservRc!$P$2=1,(S6/PoToMRVWoQSUomservRc!$S$7)*PoToMRVWoQSUomservRc!$E$21,AD6/PoToMRVWoQSUomservRc!$AD$7*PoToMRVWoQSUomservRc!$E$21)</f>
        <v>0</v>
      </c>
      <c r="AI6" s="22">
        <f>S6*PoToMRVWoQSUomservRc!$M$2</f>
        <v>433.01</v>
      </c>
      <c r="AJ6" s="22">
        <f>IF(PoToMRVWoQSUomservRc!$C$2=3,0,AG6+AH6)</f>
        <v>0</v>
      </c>
      <c r="AK6" s="22">
        <f>IF(PoToMRVWoQSUomservRc!$C$2=3,AE6+AG6+AH6,0)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>
        <v>87</v>
      </c>
      <c r="AV6" t="s">
        <v>163</v>
      </c>
      <c r="AW6" s="25">
        <f t="shared" si="13"/>
        <v>10</v>
      </c>
      <c r="AX6" s="25">
        <f t="shared" si="14"/>
        <v>43.301</v>
      </c>
      <c r="AY6" s="25">
        <f t="shared" si="15"/>
        <v>110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>
        <v>163</v>
      </c>
      <c r="BN6" t="s">
        <v>87</v>
      </c>
      <c r="BO6" s="25">
        <f t="shared" si="16"/>
        <v>43.3</v>
      </c>
      <c r="BP6" s="31">
        <f t="shared" si="17"/>
        <v>110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1245.45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L8" sqref="L8"/>
    </sheetView>
  </sheetViews>
  <sheetFormatPr defaultColWidth="8.84761904761905" defaultRowHeight="15"/>
  <cols>
    <col min="2" max="2" width="28" customWidth="1"/>
    <col min="3" max="3" width="30.4285714285714" customWidth="1"/>
    <col min="20" max="20" width="9.71428571428571"/>
    <col min="49" max="49" width="12.847619047619"/>
    <col min="51" max="51" width="12.847619047619"/>
    <col min="52" max="52" width="10.7142857142857" customWidth="1"/>
    <col min="64" max="64" width="11" customWidth="1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103" t="s">
        <v>10</v>
      </c>
      <c r="C3" s="103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04">
        <v>1</v>
      </c>
      <c r="B4" s="105" t="s">
        <v>280</v>
      </c>
      <c r="C4" s="105" t="s">
        <v>280</v>
      </c>
      <c r="D4" s="106" t="s">
        <v>76</v>
      </c>
      <c r="E4" s="19" t="s">
        <v>76</v>
      </c>
      <c r="F4" s="20">
        <v>10</v>
      </c>
      <c r="G4" t="s">
        <v>239</v>
      </c>
      <c r="H4" s="20">
        <f t="shared" ref="H4:H6" si="0">F4*G4</f>
        <v>1500</v>
      </c>
      <c r="I4" t="s">
        <v>85</v>
      </c>
      <c r="J4" s="20">
        <v>8</v>
      </c>
      <c r="K4" s="20">
        <v>5</v>
      </c>
      <c r="L4" s="20">
        <v>0</v>
      </c>
      <c r="M4" s="20">
        <f t="shared" ref="M4:M6" si="1">ROUND(L4*I4%,2)</f>
        <v>0</v>
      </c>
      <c r="N4" s="20">
        <f t="shared" ref="N4:N6" si="2">H4-M4</f>
        <v>1500</v>
      </c>
      <c r="O4" s="20">
        <f t="shared" ref="O4:O6" si="3">ROUND(N4*J4%,2)</f>
        <v>120</v>
      </c>
      <c r="P4" s="20">
        <f t="shared" ref="P4:P6" si="4">ROUND(N4-O4,2)</f>
        <v>1380</v>
      </c>
      <c r="Q4" s="20">
        <f t="shared" ref="Q4:Q6" si="5">ROUND(P4*K4%,2)</f>
        <v>69</v>
      </c>
      <c r="R4" s="20">
        <f t="shared" ref="R4:R6" si="6">M4+O4+Q4</f>
        <v>189</v>
      </c>
      <c r="S4" s="20">
        <f t="shared" ref="S4:S6" si="7">(H4-R4)</f>
        <v>1311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IF(AND($C$2=2,V$2=1),ROUND((S4*U4)/100,2),0)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8">V4+W4+X4+Y4+AA4</f>
        <v>0</v>
      </c>
      <c r="AC4" s="21">
        <f>IF($V2=1,S4+AB4,S4)</f>
        <v>1311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1311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9">F4/AL4</f>
        <v>10</v>
      </c>
      <c r="AN4" s="23">
        <f>ROUND(AI4/AM4,3)</f>
        <v>131.1</v>
      </c>
      <c r="AO4" s="22">
        <f t="shared" ref="AO4:AO6" si="10">AJ4/AM4</f>
        <v>0</v>
      </c>
      <c r="AP4" s="22">
        <f t="shared" ref="AP4:AP6" si="11">AK4/AM4</f>
        <v>0</v>
      </c>
      <c r="AQ4" s="22" t="s">
        <v>76</v>
      </c>
      <c r="AR4" s="23">
        <f>ROUND(AN4+AO4+AP4,3)</f>
        <v>131.1</v>
      </c>
      <c r="AS4" s="24" t="s">
        <v>120</v>
      </c>
      <c r="AT4" s="25" t="s">
        <v>76</v>
      </c>
      <c r="AU4" t="s">
        <v>281</v>
      </c>
      <c r="AV4" t="s">
        <v>167</v>
      </c>
      <c r="AW4" s="25">
        <f t="shared" ref="AW4:AW6" si="12">AM4</f>
        <v>10</v>
      </c>
      <c r="AX4" s="26">
        <f t="shared" ref="AX4:AX6" si="13">AR4</f>
        <v>131.1</v>
      </c>
      <c r="AY4" s="25">
        <f t="shared" ref="AY4:AY6" si="14">AU4+AW4</f>
        <v>30</v>
      </c>
      <c r="AZ4" s="26">
        <f>ROUND(((AU4*AV4)+(AW4*AX4))/(AU4+AW4),5)</f>
        <v>126.73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167</v>
      </c>
      <c r="BN4" t="s">
        <v>77</v>
      </c>
      <c r="BO4" s="25">
        <f t="shared" ref="BO4:BO6" si="15">ROUND((((AW4*AZ4)+(BN4*BM4))/(AW4+BN4)),5)</f>
        <v>124.68156</v>
      </c>
      <c r="BP4" s="31">
        <f t="shared" ref="BP4:BP6" si="16">ROUND(BN4+AW4,3)</f>
        <v>160</v>
      </c>
      <c r="BQ4" s="32">
        <v>123562</v>
      </c>
    </row>
    <row r="5" ht="15.75" spans="1:69">
      <c r="A5" s="104">
        <v>1</v>
      </c>
      <c r="B5" s="105" t="s">
        <v>282</v>
      </c>
      <c r="C5" s="107" t="s">
        <v>282</v>
      </c>
      <c r="D5" s="106" t="s">
        <v>76</v>
      </c>
      <c r="E5" s="19" t="s">
        <v>76</v>
      </c>
      <c r="F5" s="20">
        <v>4</v>
      </c>
      <c r="G5" t="s">
        <v>87</v>
      </c>
      <c r="H5" s="20">
        <f t="shared" si="0"/>
        <v>400</v>
      </c>
      <c r="I5" t="s">
        <v>88</v>
      </c>
      <c r="J5" s="20">
        <v>9</v>
      </c>
      <c r="K5" s="20">
        <v>6</v>
      </c>
      <c r="L5" s="20">
        <f t="shared" ref="L4:L6" si="17">H5</f>
        <v>400</v>
      </c>
      <c r="M5" s="20">
        <f t="shared" si="1"/>
        <v>16</v>
      </c>
      <c r="N5" s="20">
        <f t="shared" si="2"/>
        <v>384</v>
      </c>
      <c r="O5" s="20">
        <f t="shared" si="3"/>
        <v>34.56</v>
      </c>
      <c r="P5" s="20">
        <f t="shared" si="4"/>
        <v>349.44</v>
      </c>
      <c r="Q5" s="20">
        <f t="shared" si="5"/>
        <v>20.97</v>
      </c>
      <c r="R5" s="20">
        <f t="shared" si="6"/>
        <v>71.53</v>
      </c>
      <c r="S5" s="20">
        <f t="shared" si="7"/>
        <v>328.47</v>
      </c>
      <c r="T5" s="20">
        <v>88363222</v>
      </c>
      <c r="U5" s="20">
        <v>18</v>
      </c>
      <c r="V5" s="20">
        <f>IF(OR(PoToMRVWoQSUomservRcImp!$C$2=1,PoToMRVWoQSUomservRcImp!$C$2=4),ROUND((((S5*U5)/100)/2),2),0)</f>
        <v>0</v>
      </c>
      <c r="W5" s="20">
        <f>IF(PoToMRVWoQSUomservRcImp!$C$2=1,ROUND((((S5*U5)/100)/2),2),0)</f>
        <v>0</v>
      </c>
      <c r="X5" s="20">
        <f>IF(AND($C$2=2,V$2=1),ROUND((S5*U5)/100,2),0)</f>
        <v>0</v>
      </c>
      <c r="Y5" s="20">
        <f>IF(PoToMRVWoQSUomservRcImp!$C$2=4,ROUND((((S5*U5)/100)/2),2),0)</f>
        <v>0</v>
      </c>
      <c r="Z5" s="20">
        <v>0</v>
      </c>
      <c r="AA5" s="20">
        <f>IF(PoToMRVWoQSUomservRcImp!$C3=3,0,(S5*Z5)/100)</f>
        <v>0</v>
      </c>
      <c r="AB5" s="20">
        <f t="shared" si="8"/>
        <v>0</v>
      </c>
      <c r="AC5" s="20">
        <f>IF(PoToMRVWoQSUomservRcImp!$V3=1,S5+AB5,S5)</f>
        <v>328.47</v>
      </c>
      <c r="AD5" s="22">
        <v>120</v>
      </c>
      <c r="AE5" s="22">
        <f>IF(PoToMRVWoQSUomservRcImp!$P$2=1,(S5/PoToMRVWoQSUomservRcImp!$S$7)*PoToMRVWoQSUomservRcImp!$E$18,AD5/PoToMRVWoQSUomservRcImp!$AD$7*PoToMRVWoQSUomservRcImp!$E$18)</f>
        <v>0</v>
      </c>
      <c r="AF5" s="22"/>
      <c r="AG5" s="22">
        <f>IF(PoToMRVWoQSUomservRcImp!$P$2=1,(S5/PoToMRVWoQSUomservRcImp!$S$7)*PoToMRVWoQSUomservRcImp!$E$20,AD5/PoToMRVWoQSUomservRcImp!$AD$7*PoToMRVWoQSUomservRcImp!$E$20)</f>
        <v>0</v>
      </c>
      <c r="AH5" s="22">
        <f>IF(PoToMRVWoQSUomservRcImp!$P$2=1,(S5/PoToMRVWoQSUomservRcImp!$S$7)*PoToMRVWoQSUomservRcImp!$E$21,AD5/PoToMRVWoQSUomservRcImp!$AD$7*PoToMRVWoQSUomservRcImp!$E$21)</f>
        <v>0</v>
      </c>
      <c r="AI5" s="22">
        <f>S5*PoToMRVWoQSUomservRcImp!$M$2</f>
        <v>328.47</v>
      </c>
      <c r="AJ5" s="22">
        <f>IF(PoToMRVWoQSUomservRcImp!$C$2=3,0,AG5+AH5)</f>
        <v>0</v>
      </c>
      <c r="AK5" s="22">
        <f>IF(PoToMRVWoQSUomservRcImp!$C$2=3,AE5+AG5+AH5,0)</f>
        <v>0</v>
      </c>
      <c r="AL5" s="23">
        <v>1</v>
      </c>
      <c r="AM5" s="22">
        <f t="shared" si="9"/>
        <v>4</v>
      </c>
      <c r="AN5" s="22">
        <f>ROUND(AI5/AM5,5)</f>
        <v>82.1175</v>
      </c>
      <c r="AO5" s="22">
        <f t="shared" si="10"/>
        <v>0</v>
      </c>
      <c r="AP5" s="22">
        <f t="shared" si="11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>
        <v>283</v>
      </c>
      <c r="AV5" t="s">
        <v>157</v>
      </c>
      <c r="AW5" s="25">
        <f t="shared" si="12"/>
        <v>4</v>
      </c>
      <c r="AX5" s="25">
        <f t="shared" si="13"/>
        <v>82.1175</v>
      </c>
      <c r="AY5" s="25">
        <f t="shared" si="14"/>
        <v>44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157</v>
      </c>
      <c r="BN5" t="s">
        <v>283</v>
      </c>
      <c r="BO5" s="25">
        <f t="shared" si="15"/>
        <v>82.12</v>
      </c>
      <c r="BP5" s="31">
        <f t="shared" si="16"/>
        <v>44</v>
      </c>
      <c r="BQ5" s="32">
        <v>123562</v>
      </c>
    </row>
    <row r="6" ht="15.75" spans="1:69">
      <c r="A6" s="104">
        <v>1</v>
      </c>
      <c r="B6" s="107" t="s">
        <v>284</v>
      </c>
      <c r="C6" s="107" t="s">
        <v>284</v>
      </c>
      <c r="D6" s="106" t="s">
        <v>76</v>
      </c>
      <c r="E6" s="19" t="s">
        <v>76</v>
      </c>
      <c r="F6" s="20">
        <v>10</v>
      </c>
      <c r="G6" t="s">
        <v>239</v>
      </c>
      <c r="H6" s="20">
        <f t="shared" si="0"/>
        <v>500</v>
      </c>
      <c r="I6" t="s">
        <v>240</v>
      </c>
      <c r="J6" s="20">
        <v>7</v>
      </c>
      <c r="K6" s="20">
        <v>4</v>
      </c>
      <c r="L6" s="20">
        <f t="shared" si="17"/>
        <v>500</v>
      </c>
      <c r="M6" s="20">
        <f t="shared" si="1"/>
        <v>15</v>
      </c>
      <c r="N6" s="20">
        <f t="shared" si="2"/>
        <v>485</v>
      </c>
      <c r="O6" s="20">
        <f t="shared" si="3"/>
        <v>33.95</v>
      </c>
      <c r="P6" s="20">
        <f t="shared" si="4"/>
        <v>451.05</v>
      </c>
      <c r="Q6" s="20">
        <f t="shared" si="5"/>
        <v>18.04</v>
      </c>
      <c r="R6" s="20">
        <f t="shared" si="6"/>
        <v>66.99</v>
      </c>
      <c r="S6" s="20">
        <f t="shared" si="7"/>
        <v>433.01</v>
      </c>
      <c r="T6" s="20">
        <v>88363222</v>
      </c>
      <c r="U6" s="20">
        <v>18</v>
      </c>
      <c r="V6" s="20">
        <f>IF(OR(PoToMRVWoQSUomservRcImp!$C$2=1,PoToMRVWoQSUomservRcImp!$C$2=4),ROUND((((S6*U6)/100)/2),2),0)</f>
        <v>0</v>
      </c>
      <c r="W6" s="20">
        <f>IF(PoToMRVWoQSUomservRcImp!$C$2=1,ROUND((((S6*U6)/100)/2),2),0)</f>
        <v>0</v>
      </c>
      <c r="X6" s="20">
        <f>IF(AND($C$2=2,V$2=1),ROUND((S6*U6)/100,2),0)</f>
        <v>0</v>
      </c>
      <c r="Y6" s="20">
        <f>IF(PoToMRVWoQSUomservRcImp!$C$2=4,ROUND((((S6*U6)/100)/2),2),0)</f>
        <v>0</v>
      </c>
      <c r="Z6" s="20">
        <v>0</v>
      </c>
      <c r="AA6" s="20">
        <f>IF(PoToMRVWoQSUomservRcImp!$C4=3,0,(S6*Z6)/100)</f>
        <v>0</v>
      </c>
      <c r="AB6" s="20">
        <f t="shared" si="8"/>
        <v>0</v>
      </c>
      <c r="AC6" s="20">
        <f>IF(PoToMRVWoQSUomservRcImp!$V4=1,S6+AB6,S6)</f>
        <v>433.01</v>
      </c>
      <c r="AD6" s="22">
        <v>120</v>
      </c>
      <c r="AE6" s="22">
        <f>IF(PoToMRVWoQSUomservRcImp!$P$2=1,(S6/PoToMRVWoQSUomservRcImp!$S$7)*PoToMRVWoQSUomservRcImp!$E$18,AD6/PoToMRVWoQSUomservRcImp!$AD$7*PoToMRVWoQSUomservRcImp!$E$18)</f>
        <v>0</v>
      </c>
      <c r="AF6" s="22"/>
      <c r="AG6" s="22">
        <f>IF(PoToMRVWoQSUomservRcImp!$P$2=1,(S6/PoToMRVWoQSUomservRcImp!$S$7)*PoToMRVWoQSUomservRcImp!$E$20,AD6/PoToMRVWoQSUomservRcImp!$AD$7*PoToMRVWoQSUomservRcImp!$E$20)</f>
        <v>0</v>
      </c>
      <c r="AH6" s="22">
        <f>IF(PoToMRVWoQSUomservRcImp!$P$2=1,(S6/PoToMRVWoQSUomservRcImp!$S$7)*PoToMRVWoQSUomservRcImp!$E$21,AD6/PoToMRVWoQSUomservRcImp!$AD$7*PoToMRVWoQSUomservRcImp!$E$21)</f>
        <v>0</v>
      </c>
      <c r="AI6" s="22">
        <f>S6*PoToMRVWoQSUomservRcImp!$M$2</f>
        <v>433.01</v>
      </c>
      <c r="AJ6" s="22">
        <f>IF(PoToMRVWoQSUomservRcImp!$C$2=3,0,AG6+AH6)</f>
        <v>0</v>
      </c>
      <c r="AK6" s="22">
        <f>IF(PoToMRVWoQSUomservRcImp!$C$2=3,AE6+AG6+AH6,0)</f>
        <v>0</v>
      </c>
      <c r="AL6" s="23">
        <v>1</v>
      </c>
      <c r="AM6" s="22">
        <f t="shared" si="9"/>
        <v>10</v>
      </c>
      <c r="AN6" s="22">
        <f>ROUND(AI6/AM6,5)</f>
        <v>43.301</v>
      </c>
      <c r="AO6" s="22">
        <f t="shared" si="10"/>
        <v>0</v>
      </c>
      <c r="AP6" s="22">
        <f t="shared" si="11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>
        <v>87</v>
      </c>
      <c r="AV6" t="s">
        <v>163</v>
      </c>
      <c r="AW6" s="25">
        <f t="shared" si="12"/>
        <v>10</v>
      </c>
      <c r="AX6" s="25">
        <f t="shared" si="13"/>
        <v>43.301</v>
      </c>
      <c r="AY6" s="25">
        <f t="shared" si="14"/>
        <v>110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>
        <v>163</v>
      </c>
      <c r="BN6" t="s">
        <v>87</v>
      </c>
      <c r="BO6" s="25">
        <f t="shared" si="15"/>
        <v>43.3</v>
      </c>
      <c r="BP6" s="31">
        <f t="shared" si="16"/>
        <v>110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189</v>
      </c>
      <c r="S7" s="37">
        <f t="shared" si="18"/>
        <v>1311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0</v>
      </c>
      <c r="Y7" s="39"/>
      <c r="Z7" s="39"/>
      <c r="AA7" s="39"/>
      <c r="AB7" s="38">
        <f t="shared" ref="AB7:AE7" si="19">SUM(AB4:AB4)</f>
        <v>0</v>
      </c>
      <c r="AC7" s="40">
        <f t="shared" si="19"/>
        <v>1311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1311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189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1311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1311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B4" sqref="B4"/>
    </sheetView>
  </sheetViews>
  <sheetFormatPr defaultColWidth="8.84761904761905" defaultRowHeight="15"/>
  <cols>
    <col min="2" max="2" width="28" customWidth="1"/>
    <col min="3" max="3" width="30.4285714285714" customWidth="1"/>
    <col min="20" max="20" width="9.71428571428571"/>
    <col min="49" max="49" width="12.847619047619"/>
    <col min="51" max="51" width="12.847619047619"/>
    <col min="52" max="52" width="10.7142857142857" customWidth="1"/>
    <col min="64" max="64" width="11" customWidth="1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103" t="s">
        <v>10</v>
      </c>
      <c r="C3" s="103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04">
        <v>1</v>
      </c>
      <c r="B4" s="105" t="s">
        <v>285</v>
      </c>
      <c r="C4" s="105" t="s">
        <v>285</v>
      </c>
      <c r="D4" s="106" t="s">
        <v>76</v>
      </c>
      <c r="E4" s="19" t="s">
        <v>76</v>
      </c>
      <c r="F4" s="20">
        <v>10</v>
      </c>
      <c r="G4" t="s">
        <v>77</v>
      </c>
      <c r="H4" s="20">
        <f t="shared" ref="H4:H6" si="0">F4*G4</f>
        <v>1500</v>
      </c>
      <c r="I4" t="s">
        <v>78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>
        <v>281</v>
      </c>
      <c r="AV4" t="s">
        <v>167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30</v>
      </c>
      <c r="AZ4" s="26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167</v>
      </c>
      <c r="BN4" t="s">
        <v>77</v>
      </c>
      <c r="BO4" s="25">
        <f t="shared" ref="BO4:BO6" si="16">ROUND((((AW4*AZ4)+(BN4*BM4))/(AW4+BN4)),5)</f>
        <v>124.545</v>
      </c>
      <c r="BP4" s="31">
        <f t="shared" ref="BP4:BP6" si="17">ROUND(BN4+AW4,3)</f>
        <v>160</v>
      </c>
      <c r="BQ4" s="32">
        <v>123562</v>
      </c>
    </row>
    <row r="5" ht="15.75" spans="1:69">
      <c r="A5" s="104">
        <v>1</v>
      </c>
      <c r="B5" s="105" t="s">
        <v>286</v>
      </c>
      <c r="C5" s="105" t="s">
        <v>286</v>
      </c>
      <c r="D5" s="106" t="s">
        <v>76</v>
      </c>
      <c r="E5" s="19" t="s">
        <v>76</v>
      </c>
      <c r="F5" s="20">
        <v>4</v>
      </c>
      <c r="G5" t="s">
        <v>87</v>
      </c>
      <c r="H5" s="20">
        <f t="shared" si="0"/>
        <v>400</v>
      </c>
      <c r="I5" t="s">
        <v>88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IF(OR(PoToMRVWFSUomservPl!$C$2=1,PoToMRVWFSUomservPl!$C$2=4),ROUND((((S5*U5)/100)/2),2),0)</f>
        <v>0</v>
      </c>
      <c r="W5" s="20">
        <f>IF(PoToMRVWFSUomservPl!$C$2=1,ROUND((((S5*U5)/100)/2),2),0)</f>
        <v>0</v>
      </c>
      <c r="X5" s="20">
        <f>IF(PoToMRVWFSUomservPl!$C$2=2,ROUND(((S5*U5)/100),2),0)</f>
        <v>59.12</v>
      </c>
      <c r="Y5" s="20">
        <f>IF(PoToMRVWFSUomservPl!$C$2=4,ROUND((((S5*U5)/100)/2),2),0)</f>
        <v>0</v>
      </c>
      <c r="Z5" s="20">
        <v>0</v>
      </c>
      <c r="AA5" s="20">
        <f>IF(PoToMRVWFSUomservPl!$C3=3,0,(S5*Z5)/100)</f>
        <v>0</v>
      </c>
      <c r="AB5" s="20">
        <f t="shared" si="9"/>
        <v>59.12</v>
      </c>
      <c r="AC5" s="20">
        <f>IF(PoToMRVWFSUomservPl!$V3=1,S5+AB5,S5)</f>
        <v>328.47</v>
      </c>
      <c r="AD5" s="22">
        <v>120</v>
      </c>
      <c r="AE5" s="22">
        <f>IF(PoToMRVWFSUomservPl!$P$2=1,(S5/PoToMRVWFSUomservPl!$S$7)*PoToMRVWFSUomservPl!$E$18,AD5/PoToMRVWFSUomservPl!$AD$7*PoToMRVWFSUomservPl!$E$18)</f>
        <v>0</v>
      </c>
      <c r="AF5" s="22"/>
      <c r="AG5" s="22">
        <f>IF(PoToMRVWFSUomservPl!$P$2=1,(S5/PoToMRVWFSUomservPl!$S$7)*PoToMRVWFSUomservPl!$E$20,AD5/PoToMRVWFSUomservPl!$AD$7*PoToMRVWFSUomservPl!$E$20)</f>
        <v>0</v>
      </c>
      <c r="AH5" s="22">
        <f>IF(PoToMRVWFSUomservPl!$P$2=1,(S5/PoToMRVWFSUomservPl!$S$7)*PoToMRVWFSUomservPl!$E$21,AD5/PoToMRVWFSUomservPl!$AD$7*PoToMRVWFSUomservPl!$E$21)</f>
        <v>0</v>
      </c>
      <c r="AI5" s="22">
        <f>S5*PoToMRVWFSUomservPl!$M$2</f>
        <v>328.47</v>
      </c>
      <c r="AJ5" s="22">
        <f>IF(PoToMRVWFSUomservPl!$C$2=3,0,AG5+AH5)</f>
        <v>0</v>
      </c>
      <c r="AK5" s="22">
        <f>IF(PoToMRVWFSUomservPl!$C$2=3,AE5+AG5+AH5,0)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>
        <v>283</v>
      </c>
      <c r="AV5" t="s">
        <v>157</v>
      </c>
      <c r="AW5" s="25">
        <f t="shared" si="13"/>
        <v>4</v>
      </c>
      <c r="AX5" s="25">
        <f t="shared" si="14"/>
        <v>82.1175</v>
      </c>
      <c r="AY5" s="25">
        <f t="shared" si="15"/>
        <v>44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157</v>
      </c>
      <c r="BN5" t="s">
        <v>283</v>
      </c>
      <c r="BO5" s="25">
        <f t="shared" si="16"/>
        <v>82.12</v>
      </c>
      <c r="BP5" s="31">
        <f t="shared" si="17"/>
        <v>44</v>
      </c>
      <c r="BQ5" s="32">
        <v>123562</v>
      </c>
    </row>
    <row r="6" customHeight="1" spans="1:69">
      <c r="A6" s="104">
        <v>1</v>
      </c>
      <c r="B6" s="107" t="s">
        <v>287</v>
      </c>
      <c r="C6" s="108" t="s">
        <v>287</v>
      </c>
      <c r="D6" s="106" t="s">
        <v>76</v>
      </c>
      <c r="E6" s="19" t="s">
        <v>76</v>
      </c>
      <c r="F6" s="20">
        <v>10</v>
      </c>
      <c r="G6" t="s">
        <v>239</v>
      </c>
      <c r="H6" s="20">
        <f t="shared" si="0"/>
        <v>500</v>
      </c>
      <c r="I6" t="s">
        <v>240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IF(OR(PoToMRVWFSUomservPl!$C$2=1,PoToMRVWFSUomservPl!$C$2=4),ROUND((((S6*U6)/100)/2),2),0)</f>
        <v>0</v>
      </c>
      <c r="W6" s="20">
        <f>IF(PoToMRVWFSUomservPl!$C$2=1,ROUND((((S6*U6)/100)/2),2),0)</f>
        <v>0</v>
      </c>
      <c r="X6" s="20">
        <f>IF(PoToMRVWFSUomservPl!$C$2=2,ROUND(((S6*U6)/100),2),0)</f>
        <v>77.94</v>
      </c>
      <c r="Y6" s="20">
        <f>IF(PoToMRVWFSUomservPl!$C$2=4,ROUND((((S6*U6)/100)/2),2),0)</f>
        <v>0</v>
      </c>
      <c r="Z6" s="20">
        <v>0</v>
      </c>
      <c r="AA6" s="20">
        <f>IF(PoToMRVWFSUomservPl!$C4=3,0,(S6*Z6)/100)</f>
        <v>0</v>
      </c>
      <c r="AB6" s="20">
        <f t="shared" si="9"/>
        <v>77.94</v>
      </c>
      <c r="AC6" s="20">
        <f>IF(PoToMRVWFSUomservPl!$V4=1,S6+AB6,S6)</f>
        <v>433.01</v>
      </c>
      <c r="AD6" s="22">
        <v>120</v>
      </c>
      <c r="AE6" s="22">
        <f>IF(PoToMRVWFSUomservPl!$P$2=1,(S6/PoToMRVWFSUomservPl!$S$7)*PoToMRVWFSUomservPl!$E$18,AD6/PoToMRVWFSUomservPl!$AD$7*PoToMRVWFSUomservPl!$E$18)</f>
        <v>0</v>
      </c>
      <c r="AF6" s="22"/>
      <c r="AG6" s="22">
        <f>IF(PoToMRVWFSUomservPl!$P$2=1,(S6/PoToMRVWFSUomservPl!$S$7)*PoToMRVWFSUomservPl!$E$20,AD6/PoToMRVWFSUomservPl!$AD$7*PoToMRVWFSUomservPl!$E$20)</f>
        <v>0</v>
      </c>
      <c r="AH6" s="22">
        <f>IF(PoToMRVWFSUomservPl!$P$2=1,(S6/PoToMRVWFSUomservPl!$S$7)*PoToMRVWFSUomservPl!$E$21,AD6/PoToMRVWFSUomservPl!$AD$7*PoToMRVWFSUomservPl!$E$21)</f>
        <v>0</v>
      </c>
      <c r="AI6" s="22">
        <f>S6*PoToMRVWFSUomservPl!$M$2</f>
        <v>433.01</v>
      </c>
      <c r="AJ6" s="22">
        <f>IF(PoToMRVWFSUomservPl!$C$2=3,0,AG6+AH6)</f>
        <v>0</v>
      </c>
      <c r="AK6" s="22">
        <f>IF(PoToMRVWFSUomservPl!$C$2=3,AE6+AG6+AH6,0)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>
        <v>87</v>
      </c>
      <c r="AV6" t="s">
        <v>163</v>
      </c>
      <c r="AW6" s="25">
        <f t="shared" si="13"/>
        <v>10</v>
      </c>
      <c r="AX6" s="25">
        <f t="shared" si="14"/>
        <v>43.301</v>
      </c>
      <c r="AY6" s="25">
        <f t="shared" si="15"/>
        <v>110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>
        <v>163</v>
      </c>
      <c r="BN6" t="s">
        <v>87</v>
      </c>
      <c r="BO6" s="25">
        <f t="shared" si="16"/>
        <v>43.3</v>
      </c>
      <c r="BP6" s="31">
        <f t="shared" si="17"/>
        <v>110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1469.63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E1" workbookViewId="0">
      <selection activeCell="V21" sqref="V21"/>
    </sheetView>
  </sheetViews>
  <sheetFormatPr defaultColWidth="8.84761904761905" defaultRowHeight="15"/>
  <cols>
    <col min="2" max="2" width="28" customWidth="1"/>
    <col min="3" max="3" width="30.4285714285714" customWidth="1"/>
    <col min="20" max="20" width="9.71428571428571"/>
    <col min="49" max="49" width="12.847619047619"/>
    <col min="51" max="51" width="12.847619047619"/>
    <col min="52" max="52" width="10.7142857142857" customWidth="1"/>
    <col min="64" max="64" width="11" customWidth="1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103" t="s">
        <v>10</v>
      </c>
      <c r="C3" s="103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04">
        <v>1</v>
      </c>
      <c r="B4" s="105" t="s">
        <v>285</v>
      </c>
      <c r="C4" s="105" t="s">
        <v>285</v>
      </c>
      <c r="D4" s="106" t="s">
        <v>76</v>
      </c>
      <c r="E4" s="19" t="s">
        <v>76</v>
      </c>
      <c r="F4" s="20">
        <v>10</v>
      </c>
      <c r="G4" t="s">
        <v>77</v>
      </c>
      <c r="H4" s="20">
        <f t="shared" ref="H4:H6" si="0">F4*G4</f>
        <v>1500</v>
      </c>
      <c r="I4" t="s">
        <v>78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>
        <v>281</v>
      </c>
      <c r="AV4" t="s">
        <v>167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30</v>
      </c>
      <c r="AZ4" s="26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167</v>
      </c>
      <c r="BN4" t="s">
        <v>77</v>
      </c>
      <c r="BO4" s="25">
        <f t="shared" ref="BO4:BO6" si="16">ROUND((((AW4*AZ4)+(BN4*BM4))/(AW4+BN4)),5)</f>
        <v>124.545</v>
      </c>
      <c r="BP4" s="31">
        <f t="shared" ref="BP4:BP6" si="17">ROUND(BN4+AW4,3)</f>
        <v>160</v>
      </c>
      <c r="BQ4" s="32">
        <v>123562</v>
      </c>
    </row>
    <row r="5" ht="15.75" spans="1:69">
      <c r="A5" s="104">
        <v>1</v>
      </c>
      <c r="B5" s="105" t="s">
        <v>286</v>
      </c>
      <c r="C5" s="105" t="s">
        <v>286</v>
      </c>
      <c r="D5" s="106" t="s">
        <v>76</v>
      </c>
      <c r="E5" s="19" t="s">
        <v>76</v>
      </c>
      <c r="F5" s="20">
        <v>4</v>
      </c>
      <c r="G5" t="s">
        <v>87</v>
      </c>
      <c r="H5" s="20">
        <f t="shared" si="0"/>
        <v>400</v>
      </c>
      <c r="I5" t="s">
        <v>88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IF(OR(PoToMRVWoQSUomservPl!$C$2=1,PoToMRVWoQSUomservPl!$C$2=4),ROUND((((S5*U5)/100)/2),2),0)</f>
        <v>0</v>
      </c>
      <c r="W5" s="20">
        <f>IF(PoToMRVWoQSUomservPl!$C$2=1,ROUND((((S5*U5)/100)/2),2),0)</f>
        <v>0</v>
      </c>
      <c r="X5" s="20">
        <f>IF(PoToMRVWoQSUomservPl!$C$2=2,ROUND(((S5*U5)/100),2),0)</f>
        <v>59.12</v>
      </c>
      <c r="Y5" s="20">
        <f>IF(PoToMRVWoQSUomservPl!$C$2=4,ROUND((((S5*U5)/100)/2),2),0)</f>
        <v>0</v>
      </c>
      <c r="Z5" s="20">
        <v>0</v>
      </c>
      <c r="AA5" s="20">
        <f>IF(PoToMRVWoQSUomservPl!$C3=3,0,(S5*Z5)/100)</f>
        <v>0</v>
      </c>
      <c r="AB5" s="20">
        <f t="shared" si="9"/>
        <v>59.12</v>
      </c>
      <c r="AC5" s="20">
        <f>IF(PoToMRVWoQSUomservPl!$V3=1,S5+AB5,S5)</f>
        <v>328.47</v>
      </c>
      <c r="AD5" s="22">
        <v>120</v>
      </c>
      <c r="AE5" s="22">
        <f>IF(PoToMRVWoQSUomservPl!$P$2=1,(S5/PoToMRVWoQSUomservPl!$S$7)*PoToMRVWoQSUomservPl!$E$18,AD5/PoToMRVWoQSUomservPl!$AD$7*PoToMRVWoQSUomservPl!$E$18)</f>
        <v>0</v>
      </c>
      <c r="AF5" s="22"/>
      <c r="AG5" s="22">
        <f>IF(PoToMRVWoQSUomservPl!$P$2=1,(S5/PoToMRVWoQSUomservPl!$S$7)*PoToMRVWoQSUomservPl!$E$20,AD5/PoToMRVWoQSUomservPl!$AD$7*PoToMRVWoQSUomservPl!$E$20)</f>
        <v>0</v>
      </c>
      <c r="AH5" s="22">
        <f>IF(PoToMRVWoQSUomservPl!$P$2=1,(S5/PoToMRVWoQSUomservPl!$S$7)*PoToMRVWoQSUomservPl!$E$21,AD5/PoToMRVWoQSUomservPl!$AD$7*PoToMRVWoQSUomservPl!$E$21)</f>
        <v>0</v>
      </c>
      <c r="AI5" s="22">
        <f>S5*PoToMRVWoQSUomservPl!$M$2</f>
        <v>328.47</v>
      </c>
      <c r="AJ5" s="22">
        <f>IF(PoToMRVWoQSUomservPl!$C$2=3,0,AG5+AH5)</f>
        <v>0</v>
      </c>
      <c r="AK5" s="22">
        <f>IF(PoToMRVWoQSUomservPl!$C$2=3,AE5+AG5+AH5,0)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>
        <v>283</v>
      </c>
      <c r="AV5" t="s">
        <v>157</v>
      </c>
      <c r="AW5" s="25">
        <f t="shared" si="13"/>
        <v>4</v>
      </c>
      <c r="AX5" s="25">
        <f t="shared" si="14"/>
        <v>82.1175</v>
      </c>
      <c r="AY5" s="25">
        <f t="shared" si="15"/>
        <v>44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157</v>
      </c>
      <c r="BN5" t="s">
        <v>283</v>
      </c>
      <c r="BO5" s="25">
        <f t="shared" si="16"/>
        <v>82.12</v>
      </c>
      <c r="BP5" s="31">
        <f t="shared" si="17"/>
        <v>44</v>
      </c>
      <c r="BQ5" s="32">
        <v>123562</v>
      </c>
    </row>
    <row r="6" customHeight="1" spans="1:69">
      <c r="A6" s="104">
        <v>1</v>
      </c>
      <c r="B6" s="107" t="s">
        <v>287</v>
      </c>
      <c r="C6" s="108" t="s">
        <v>287</v>
      </c>
      <c r="D6" s="106" t="s">
        <v>76</v>
      </c>
      <c r="E6" s="19" t="s">
        <v>76</v>
      </c>
      <c r="F6" s="20">
        <v>10</v>
      </c>
      <c r="G6" t="s">
        <v>239</v>
      </c>
      <c r="H6" s="20">
        <f t="shared" si="0"/>
        <v>500</v>
      </c>
      <c r="I6" t="s">
        <v>240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IF(OR(PoToMRVWoQSUomservPl!$C$2=1,PoToMRVWoQSUomservPl!$C$2=4),ROUND((((S6*U6)/100)/2),2),0)</f>
        <v>0</v>
      </c>
      <c r="W6" s="20">
        <f>IF(PoToMRVWoQSUomservPl!$C$2=1,ROUND((((S6*U6)/100)/2),2),0)</f>
        <v>0</v>
      </c>
      <c r="X6" s="20">
        <f>IF(PoToMRVWoQSUomservPl!$C$2=2,ROUND(((S6*U6)/100),2),0)</f>
        <v>77.94</v>
      </c>
      <c r="Y6" s="20">
        <f>IF(PoToMRVWoQSUomservPl!$C$2=4,ROUND((((S6*U6)/100)/2),2),0)</f>
        <v>0</v>
      </c>
      <c r="Z6" s="20">
        <v>0</v>
      </c>
      <c r="AA6" s="20">
        <f>IF(PoToMRVWoQSUomservPl!$C4=3,0,(S6*Z6)/100)</f>
        <v>0</v>
      </c>
      <c r="AB6" s="20">
        <f t="shared" si="9"/>
        <v>77.94</v>
      </c>
      <c r="AC6" s="20">
        <f>IF(PoToMRVWoQSUomservPl!$V4=1,S6+AB6,S6)</f>
        <v>433.01</v>
      </c>
      <c r="AD6" s="22">
        <v>120</v>
      </c>
      <c r="AE6" s="22">
        <f>IF(PoToMRVWoQSUomservPl!$P$2=1,(S6/PoToMRVWoQSUomservPl!$S$7)*PoToMRVWoQSUomservPl!$E$18,AD6/PoToMRVWoQSUomservPl!$AD$7*PoToMRVWoQSUomservPl!$E$18)</f>
        <v>0</v>
      </c>
      <c r="AF6" s="22"/>
      <c r="AG6" s="22">
        <f>IF(PoToMRVWoQSUomservPl!$P$2=1,(S6/PoToMRVWoQSUomservPl!$S$7)*PoToMRVWoQSUomservPl!$E$20,AD6/PoToMRVWoQSUomservPl!$AD$7*PoToMRVWoQSUomservPl!$E$20)</f>
        <v>0</v>
      </c>
      <c r="AH6" s="22">
        <f>IF(PoToMRVWoQSUomservPl!$P$2=1,(S6/PoToMRVWoQSUomservPl!$S$7)*PoToMRVWoQSUomservPl!$E$21,AD6/PoToMRVWoQSUomservPl!$AD$7*PoToMRVWoQSUomservPl!$E$21)</f>
        <v>0</v>
      </c>
      <c r="AI6" s="22">
        <f>S6*PoToMRVWoQSUomservPl!$M$2</f>
        <v>433.01</v>
      </c>
      <c r="AJ6" s="22">
        <f>IF(PoToMRVWoQSUomservPl!$C$2=3,0,AG6+AH6)</f>
        <v>0</v>
      </c>
      <c r="AK6" s="22">
        <f>IF(PoToMRVWoQSUomservPl!$C$2=3,AE6+AG6+AH6,0)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>
        <v>87</v>
      </c>
      <c r="AV6" t="s">
        <v>163</v>
      </c>
      <c r="AW6" s="25">
        <f t="shared" si="13"/>
        <v>10</v>
      </c>
      <c r="AX6" s="25">
        <f t="shared" si="14"/>
        <v>43.301</v>
      </c>
      <c r="AY6" s="25">
        <f t="shared" si="15"/>
        <v>110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>
        <v>163</v>
      </c>
      <c r="BN6" t="s">
        <v>87</v>
      </c>
      <c r="BO6" s="25">
        <f t="shared" si="16"/>
        <v>43.3</v>
      </c>
      <c r="BP6" s="31">
        <f t="shared" si="17"/>
        <v>110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1245.45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F11" sqref="F11"/>
    </sheetView>
  </sheetViews>
  <sheetFormatPr defaultColWidth="8.84761904761905" defaultRowHeight="15"/>
  <cols>
    <col min="2" max="2" width="28" customWidth="1"/>
    <col min="3" max="3" width="30.4285714285714" customWidth="1"/>
    <col min="20" max="20" width="9.71428571428571"/>
    <col min="49" max="49" width="12.847619047619"/>
    <col min="51" max="51" width="12.847619047619"/>
    <col min="52" max="52" width="10.7142857142857" customWidth="1"/>
    <col min="64" max="64" width="11" customWidth="1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103" t="s">
        <v>10</v>
      </c>
      <c r="C3" s="103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04">
        <v>1</v>
      </c>
      <c r="B4" s="105" t="s">
        <v>285</v>
      </c>
      <c r="C4" s="105" t="s">
        <v>285</v>
      </c>
      <c r="D4" s="106" t="s">
        <v>76</v>
      </c>
      <c r="E4" s="19" t="s">
        <v>76</v>
      </c>
      <c r="F4" s="20">
        <v>10</v>
      </c>
      <c r="G4" t="s">
        <v>77</v>
      </c>
      <c r="H4" s="20">
        <f t="shared" ref="H4:H6" si="0">F4*G4</f>
        <v>1500</v>
      </c>
      <c r="I4" t="s">
        <v>78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0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105863.25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10586.325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10586.325</v>
      </c>
      <c r="AS4" s="24" t="s">
        <v>120</v>
      </c>
      <c r="AT4" s="25" t="s">
        <v>76</v>
      </c>
      <c r="AU4" t="s">
        <v>281</v>
      </c>
      <c r="AV4" t="s">
        <v>167</v>
      </c>
      <c r="AW4" s="25">
        <f t="shared" ref="AW4:AW6" si="13">AM4</f>
        <v>10</v>
      </c>
      <c r="AX4" s="26">
        <f t="shared" ref="AX4:AX6" si="14">AR4</f>
        <v>10586.325</v>
      </c>
      <c r="AY4" s="25">
        <f t="shared" ref="AY4:AY6" si="15">AU4+AW4</f>
        <v>30</v>
      </c>
      <c r="AZ4" s="26">
        <f>ROUND(((AU4*AV4)+(AW4*AX4))/(AU4+AW4),5)</f>
        <v>3611.805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167</v>
      </c>
      <c r="BN4" t="s">
        <v>77</v>
      </c>
      <c r="BO4" s="25">
        <f t="shared" ref="BO4:BO6" si="16">ROUND((((AW4*AZ4)+(BN4*BM4))/(AW4+BN4)),5)</f>
        <v>342.49875</v>
      </c>
      <c r="BP4" s="31">
        <f t="shared" ref="BP4:BP6" si="17">ROUND(BN4+AW4,3)</f>
        <v>160</v>
      </c>
      <c r="BQ4" s="32">
        <v>123562</v>
      </c>
    </row>
    <row r="5" ht="15.75" spans="1:69">
      <c r="A5" s="104">
        <v>1</v>
      </c>
      <c r="B5" s="105" t="s">
        <v>286</v>
      </c>
      <c r="C5" s="105" t="s">
        <v>286</v>
      </c>
      <c r="D5" s="106" t="s">
        <v>76</v>
      </c>
      <c r="E5" s="19" t="s">
        <v>76</v>
      </c>
      <c r="F5" s="20">
        <v>4</v>
      </c>
      <c r="G5" t="s">
        <v>87</v>
      </c>
      <c r="H5" s="20">
        <f t="shared" si="0"/>
        <v>400</v>
      </c>
      <c r="I5" t="s">
        <v>88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IF(OR(PoToMRVWoQSUomservPlImp!$C$2=1,PoToMRVWoQSUomservPlImp!$C$2=4),ROUND((((S5*U5)/100)/2),2),0)</f>
        <v>0</v>
      </c>
      <c r="W5" s="20">
        <f>IF(PoToMRVWoQSUomservPlImp!$C$2=1,ROUND((((S5*U5)/100)/2),2),0)</f>
        <v>0</v>
      </c>
      <c r="X5" s="20">
        <f>IF(PoToMRVWoQSUomservPlImp!$C$2=2,ROUND(((S5*U5)/100),2),0)</f>
        <v>0</v>
      </c>
      <c r="Y5" s="20">
        <f>IF(PoToMRVWoQSUomservPlImp!$C$2=4,ROUND((((S5*U5)/100)/2),2),0)</f>
        <v>0</v>
      </c>
      <c r="Z5" s="20">
        <v>0</v>
      </c>
      <c r="AA5" s="20">
        <f>IF(PoToMRVWoQSUomservPlImp!$C3=3,0,(S5*Z5)/100)</f>
        <v>0</v>
      </c>
      <c r="AB5" s="20">
        <f t="shared" si="9"/>
        <v>0</v>
      </c>
      <c r="AC5" s="20">
        <f>IF(PoToMRVWoQSUomservPlImp!$V3=1,S5+AB5,S5)</f>
        <v>328.47</v>
      </c>
      <c r="AD5" s="22">
        <v>120</v>
      </c>
      <c r="AE5" s="22">
        <f>IF(PoToMRVWoQSUomservPlImp!$P$2=1,(S5/PoToMRVWoQSUomservPlImp!$S$7)*PoToMRVWoQSUomservPlImp!$E$18,AD5/PoToMRVWoQSUomservPlImp!$AD$7*PoToMRVWoQSUomservPlImp!$E$18)</f>
        <v>0</v>
      </c>
      <c r="AF5" s="22"/>
      <c r="AG5" s="22">
        <f>IF(PoToMRVWoQSUomservPlImp!$P$2=1,(S5/PoToMRVWoQSUomservPlImp!$S$7)*PoToMRVWoQSUomservPlImp!$E$20,AD5/PoToMRVWoQSUomservPlImp!$AD$7*PoToMRVWoQSUomservPlImp!$E$20)</f>
        <v>0</v>
      </c>
      <c r="AH5" s="22">
        <f>IF(PoToMRVWoQSUomservPlImp!$P$2=1,(S5/PoToMRVWoQSUomservPlImp!$S$7)*PoToMRVWoQSUomservPlImp!$E$21,AD5/PoToMRVWoQSUomservPlImp!$AD$7*PoToMRVWoQSUomservPlImp!$E$21)</f>
        <v>0</v>
      </c>
      <c r="AI5" s="22">
        <f>S5*PoToMRVWoQSUomservPlImp!$M$2</f>
        <v>27919.95</v>
      </c>
      <c r="AJ5" s="22">
        <f>IF(PoToMRVWoQSUomservPlImp!$C$2=3,0,AG5+AH5)</f>
        <v>0</v>
      </c>
      <c r="AK5" s="22">
        <f>IF(PoToMRVWoQSUomservPlImp!$C$2=3,AE5+AG5+AH5,0)</f>
        <v>0</v>
      </c>
      <c r="AL5" s="23">
        <v>1</v>
      </c>
      <c r="AM5" s="22">
        <f t="shared" si="10"/>
        <v>4</v>
      </c>
      <c r="AN5" s="22">
        <f>ROUND(AI5/AM5,5)</f>
        <v>6979.9875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6979.9875</v>
      </c>
      <c r="AS5" s="24" t="s">
        <v>120</v>
      </c>
      <c r="AT5" s="25" t="s">
        <v>76</v>
      </c>
      <c r="AU5" t="s">
        <v>283</v>
      </c>
      <c r="AV5" t="s">
        <v>157</v>
      </c>
      <c r="AW5" s="25">
        <f t="shared" si="13"/>
        <v>4</v>
      </c>
      <c r="AX5" s="25">
        <f t="shared" si="14"/>
        <v>6979.9875</v>
      </c>
      <c r="AY5" s="25">
        <f t="shared" si="15"/>
        <v>44</v>
      </c>
      <c r="AZ5" s="25">
        <f>ROUND(((AU5*AV5)+(AW5*AX5))/(AU5+AW5),2)</f>
        <v>709.2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157</v>
      </c>
      <c r="BN5" t="s">
        <v>283</v>
      </c>
      <c r="BO5" s="25">
        <f t="shared" si="16"/>
        <v>139.12727</v>
      </c>
      <c r="BP5" s="31">
        <f t="shared" si="17"/>
        <v>44</v>
      </c>
      <c r="BQ5" s="32">
        <v>123562</v>
      </c>
    </row>
    <row r="6" customHeight="1" spans="1:69">
      <c r="A6" s="104">
        <v>1</v>
      </c>
      <c r="B6" s="107" t="s">
        <v>287</v>
      </c>
      <c r="C6" s="108" t="s">
        <v>287</v>
      </c>
      <c r="D6" s="106" t="s">
        <v>76</v>
      </c>
      <c r="E6" s="19" t="s">
        <v>76</v>
      </c>
      <c r="F6" s="20">
        <v>10</v>
      </c>
      <c r="G6" t="s">
        <v>239</v>
      </c>
      <c r="H6" s="20">
        <f t="shared" si="0"/>
        <v>500</v>
      </c>
      <c r="I6" t="s">
        <v>240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IF(OR(PoToMRVWoQSUomservPlImp!$C$2=1,PoToMRVWoQSUomservPlImp!$C$2=4),ROUND((((S6*U6)/100)/2),2),0)</f>
        <v>0</v>
      </c>
      <c r="W6" s="20">
        <f>IF(PoToMRVWoQSUomservPlImp!$C$2=1,ROUND((((S6*U6)/100)/2),2),0)</f>
        <v>0</v>
      </c>
      <c r="X6" s="20">
        <f>IF(PoToMRVWoQSUomservPlImp!$C$2=2,ROUND(((S6*U6)/100),2),0)</f>
        <v>0</v>
      </c>
      <c r="Y6" s="20">
        <f>IF(PoToMRVWoQSUomservPlImp!$C$2=4,ROUND((((S6*U6)/100)/2),2),0)</f>
        <v>0</v>
      </c>
      <c r="Z6" s="20">
        <v>0</v>
      </c>
      <c r="AA6" s="20">
        <f>IF(PoToMRVWoQSUomservPlImp!$C4=3,0,(S6*Z6)/100)</f>
        <v>0</v>
      </c>
      <c r="AB6" s="20">
        <f t="shared" si="9"/>
        <v>0</v>
      </c>
      <c r="AC6" s="20">
        <f>IF(PoToMRVWoQSUomservPlImp!$V4=1,S6+AB6,S6)</f>
        <v>433.01</v>
      </c>
      <c r="AD6" s="22">
        <v>120</v>
      </c>
      <c r="AE6" s="22">
        <f>IF(PoToMRVWoQSUomservPlImp!$P$2=1,(S6/PoToMRVWoQSUomservPlImp!$S$7)*PoToMRVWoQSUomservPlImp!$E$18,AD6/PoToMRVWoQSUomservPlImp!$AD$7*PoToMRVWoQSUomservPlImp!$E$18)</f>
        <v>0</v>
      </c>
      <c r="AF6" s="22"/>
      <c r="AG6" s="22">
        <f>IF(PoToMRVWoQSUomservPlImp!$P$2=1,(S6/PoToMRVWoQSUomservPlImp!$S$7)*PoToMRVWoQSUomservPlImp!$E$20,AD6/PoToMRVWoQSUomservPlImp!$AD$7*PoToMRVWoQSUomservPlImp!$E$20)</f>
        <v>0</v>
      </c>
      <c r="AH6" s="22">
        <f>IF(PoToMRVWoQSUomservPlImp!$P$2=1,(S6/PoToMRVWoQSUomservPlImp!$S$7)*PoToMRVWoQSUomservPlImp!$E$21,AD6/PoToMRVWoQSUomservPlImp!$AD$7*PoToMRVWoQSUomservPlImp!$E$21)</f>
        <v>0</v>
      </c>
      <c r="AI6" s="22">
        <f>S6*PoToMRVWoQSUomservPlImp!$M$2</f>
        <v>36805.85</v>
      </c>
      <c r="AJ6" s="22">
        <f>IF(PoToMRVWoQSUomservPlImp!$C$2=3,0,AG6+AH6)</f>
        <v>0</v>
      </c>
      <c r="AK6" s="22">
        <f>IF(PoToMRVWoQSUomservPlImp!$C$2=3,AE6+AG6+AH6,0)</f>
        <v>0</v>
      </c>
      <c r="AL6" s="23">
        <v>1</v>
      </c>
      <c r="AM6" s="22">
        <f t="shared" si="10"/>
        <v>10</v>
      </c>
      <c r="AN6" s="22">
        <f>ROUND(AI6/AM6,5)</f>
        <v>3680.585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3680.585</v>
      </c>
      <c r="AS6" s="24" t="s">
        <v>120</v>
      </c>
      <c r="AT6" s="25" t="s">
        <v>76</v>
      </c>
      <c r="AU6" t="s">
        <v>87</v>
      </c>
      <c r="AV6" t="s">
        <v>163</v>
      </c>
      <c r="AW6" s="25">
        <f t="shared" si="13"/>
        <v>10</v>
      </c>
      <c r="AX6" s="25">
        <f t="shared" si="14"/>
        <v>3680.585</v>
      </c>
      <c r="AY6" s="25">
        <f t="shared" si="15"/>
        <v>110</v>
      </c>
      <c r="AZ6" s="25">
        <f>ROUND(((AU6*AV6)+(AW6*AX6))/(AU6+AW6),2)</f>
        <v>373.96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>
        <v>163</v>
      </c>
      <c r="BN6" t="s">
        <v>87</v>
      </c>
      <c r="BO6" s="25">
        <f t="shared" si="16"/>
        <v>73.36</v>
      </c>
      <c r="BP6" s="31">
        <f t="shared" si="17"/>
        <v>110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0</v>
      </c>
      <c r="Y7" s="39"/>
      <c r="Z7" s="39"/>
      <c r="AA7" s="39"/>
      <c r="AB7" s="38">
        <f t="shared" ref="AB7:AE7" si="19">SUM(AB4:AB4)</f>
        <v>0</v>
      </c>
      <c r="AC7" s="40">
        <f t="shared" si="19"/>
        <v>1245.45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105863.25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1245.45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B5" sqref="B5"/>
    </sheetView>
  </sheetViews>
  <sheetFormatPr defaultColWidth="8.84761904761905" defaultRowHeight="15"/>
  <cols>
    <col min="2" max="2" width="28" customWidth="1"/>
    <col min="3" max="3" width="24.1428571428571" customWidth="1"/>
    <col min="13" max="13" width="9.14285714285714" customWidth="1"/>
    <col min="14" max="14" width="13.847619047619" customWidth="1"/>
    <col min="64" max="64" width="11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288</v>
      </c>
      <c r="C4" s="19" t="s">
        <v>288</v>
      </c>
      <c r="D4" s="19" t="s">
        <v>76</v>
      </c>
      <c r="E4" s="19" t="s">
        <v>76</v>
      </c>
      <c r="F4" s="20">
        <v>5</v>
      </c>
      <c r="G4" t="s">
        <v>239</v>
      </c>
      <c r="H4" s="20">
        <f>F4*G4</f>
        <v>250</v>
      </c>
      <c r="I4" t="s">
        <v>78</v>
      </c>
      <c r="J4" s="20">
        <v>8</v>
      </c>
      <c r="K4" s="20">
        <v>5</v>
      </c>
      <c r="L4" s="20">
        <f>IF(OR(I4=0,I4="0"),0,H4)</f>
        <v>250</v>
      </c>
      <c r="M4" s="20">
        <f>ROUND(L4*I4%,3)</f>
        <v>12.5</v>
      </c>
      <c r="N4" s="20">
        <f>H4-M4</f>
        <v>237.5</v>
      </c>
      <c r="O4" s="20">
        <f>ROUND(N4*J4%,3)</f>
        <v>19</v>
      </c>
      <c r="P4" s="20">
        <f>ROUND(N4-O4,2)</f>
        <v>218.5</v>
      </c>
      <c r="Q4" s="20">
        <f>ROUND(P4*K4%,2)</f>
        <v>10.93</v>
      </c>
      <c r="R4" s="22">
        <f>ROUND(M4+O4+Q4,3)</f>
        <v>42.43</v>
      </c>
      <c r="S4" s="22">
        <f>(H4-R4)</f>
        <v>207.57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37.36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37.36</v>
      </c>
      <c r="AC4" s="21">
        <f>IF($V2=1,S4+AB4,S4)</f>
        <v>244.93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S4*$M2</f>
        <v>207.57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41.514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41.514</v>
      </c>
      <c r="AS4" s="24" t="s">
        <v>120</v>
      </c>
      <c r="AT4" s="25" t="s">
        <v>76</v>
      </c>
      <c r="AU4" t="s">
        <v>289</v>
      </c>
      <c r="AV4" t="s">
        <v>290</v>
      </c>
      <c r="AW4" s="25">
        <f>AM4</f>
        <v>5</v>
      </c>
      <c r="AX4" s="100">
        <f>AR4</f>
        <v>41.514</v>
      </c>
      <c r="AY4" s="25">
        <f>AU4+AW4</f>
        <v>20</v>
      </c>
      <c r="AZ4" s="25">
        <f>ROUND(((AU4*AV4)+(AW4*AX4))/(AU4+AW4),3)</f>
        <v>41.515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85</v>
      </c>
      <c r="BN4" t="s">
        <v>85</v>
      </c>
      <c r="BO4" s="25">
        <f>ROUND((((AW4*AZ4)+(BN4*BM4))/(AW4+BN4)),5)</f>
        <v>41.515</v>
      </c>
      <c r="BP4" s="31">
        <f>ROUND(BN4+AW4,3)</f>
        <v>10</v>
      </c>
      <c r="BQ4" s="32">
        <v>123562</v>
      </c>
    </row>
    <row r="5" ht="15.75" spans="1:69">
      <c r="A5" s="19">
        <v>1</v>
      </c>
      <c r="B5" s="19" t="s">
        <v>291</v>
      </c>
      <c r="C5" s="19" t="s">
        <v>291</v>
      </c>
      <c r="D5" s="19" t="s">
        <v>76</v>
      </c>
      <c r="E5" s="19" t="s">
        <v>76</v>
      </c>
      <c r="F5" s="20">
        <v>4</v>
      </c>
      <c r="G5" t="s">
        <v>87</v>
      </c>
      <c r="H5" s="20">
        <f>F5*G5</f>
        <v>400</v>
      </c>
      <c r="I5" t="s">
        <v>292</v>
      </c>
      <c r="J5" s="20">
        <v>9</v>
      </c>
      <c r="K5" s="20">
        <v>6</v>
      </c>
      <c r="L5" s="20">
        <f t="shared" ref="L5:L6" si="0">IF(OR(I5=0,I5="0"),0,H5)</f>
        <v>400</v>
      </c>
      <c r="M5" s="20">
        <f>ROUND(L5*I5%,2)</f>
        <v>24</v>
      </c>
      <c r="N5" s="20">
        <f>H5-M5</f>
        <v>376</v>
      </c>
      <c r="O5" s="20">
        <f>ROUND(N5*J5%,2)</f>
        <v>33.84</v>
      </c>
      <c r="P5" s="20">
        <f>ROUND(N5-O5,2)</f>
        <v>342.16</v>
      </c>
      <c r="Q5" s="20">
        <f>ROUND(P5*K5%,2)</f>
        <v>20.53</v>
      </c>
      <c r="R5" s="20">
        <f>M5+O5+Q5</f>
        <v>78.37</v>
      </c>
      <c r="S5" s="20">
        <f>(H5-R5)</f>
        <v>321.63</v>
      </c>
      <c r="T5" s="20">
        <v>88363222</v>
      </c>
      <c r="U5" s="20">
        <v>18</v>
      </c>
      <c r="V5" s="20">
        <f>IF(OR(PoToMRVWOIpRc!$C$2=1,PoToMRVWOIpRc!$C$2=4),ROUND((((S5*U5)/100)/2),2),0)</f>
        <v>0</v>
      </c>
      <c r="W5" s="20">
        <f>IF(PoToMRVWOIpRc!$C$2=1,ROUND((((S5*U5)/100)/2),2),0)</f>
        <v>0</v>
      </c>
      <c r="X5" s="20">
        <f>IF(PoToMRVWOIpRc!$C$2=2,ROUND(((S5*U5)/100),2),0)</f>
        <v>57.89</v>
      </c>
      <c r="Y5" s="20">
        <f>IF(PoToMRVWOIpRc!$C$2=4,ROUND((((S5*U5)/100)/2),2),0)</f>
        <v>0</v>
      </c>
      <c r="Z5" s="20">
        <v>0</v>
      </c>
      <c r="AA5" s="20">
        <f>IF(PoToMRVWOIpRc!$C3=3,0,(S5*Z5)/100)</f>
        <v>0</v>
      </c>
      <c r="AB5" s="20">
        <f>V5+W5+X5+Y5+AA5</f>
        <v>57.89</v>
      </c>
      <c r="AC5" s="20">
        <f>IF(PoToMRVWOIpRc!$V3=1,S5+AB5,S5)</f>
        <v>321.63</v>
      </c>
      <c r="AD5" s="22">
        <v>120</v>
      </c>
      <c r="AE5" s="22">
        <f>IF(PoToMRVWOIpRc!$P$2=1,(S5/PoToMRVWOIpRc!$S$7)*PoToMRVWOIpRc!$E$18,AD5/PoToMRVWOIpRc!$AD$7*PoToMRVWOIpRc!$E$18)</f>
        <v>0</v>
      </c>
      <c r="AF5" s="22"/>
      <c r="AG5" s="22">
        <f>IF(PoToMRVWOIpRc!$P$2=1,(S5/PoToMRVWOIpRc!$S$7)*PoToMRVWOIpRc!$E$20,AD5/PoToMRVWOIpRc!$AD$7*PoToMRVWOIpRc!$E$20)</f>
        <v>0</v>
      </c>
      <c r="AH5" s="22">
        <f>IF(PoToMRVWOIpRc!$P$2=1,(S5/PoToMRVWOIpRc!$S$7)*PoToMRVWOIpRc!$E$21,AD5/PoToMRVWOIpRc!$AD$7*PoToMRVWOIpRc!$E$21)</f>
        <v>0</v>
      </c>
      <c r="AI5" s="22">
        <f>S5*PoToMRVWOIpRc!$M$2</f>
        <v>321.63</v>
      </c>
      <c r="AJ5" s="22">
        <f>IF(PoToMRVWOIpRc!$C$2=3,0,AG5+AH5)</f>
        <v>0</v>
      </c>
      <c r="AK5" s="22">
        <f>IF(PoToMRVWOIpRc!$C$2=3,AE5+AG5+AH5,0)</f>
        <v>0</v>
      </c>
      <c r="AL5" s="23">
        <v>1</v>
      </c>
      <c r="AM5" s="22">
        <f>F5/AL5</f>
        <v>4</v>
      </c>
      <c r="AN5" s="22">
        <f>ROUND(AI5/AM5,5)</f>
        <v>80.4075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80.4075</v>
      </c>
      <c r="AS5" s="24" t="s">
        <v>120</v>
      </c>
      <c r="AT5" s="25" t="s">
        <v>76</v>
      </c>
      <c r="AU5" t="s">
        <v>293</v>
      </c>
      <c r="AV5" t="s">
        <v>294</v>
      </c>
      <c r="AW5" s="25">
        <f>AM5</f>
        <v>4</v>
      </c>
      <c r="AX5" s="100">
        <f>AR5</f>
        <v>80.4075</v>
      </c>
      <c r="AY5" s="25">
        <f>AU5+AW5</f>
        <v>16</v>
      </c>
      <c r="AZ5" s="100">
        <f>ROUND(((AU5*AV5)+(AW5*AX5))/(AU5+AW5),2)</f>
        <v>80.41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85</v>
      </c>
      <c r="BN5" t="s">
        <v>85</v>
      </c>
      <c r="BO5" s="25">
        <f>ROUND((((AW5*AZ5)+(BN5*BM5))/(AW5+BN5)),5)</f>
        <v>80.41</v>
      </c>
      <c r="BP5" s="31">
        <f>ROUND(BN5+AW5,3)</f>
        <v>8</v>
      </c>
      <c r="BQ5" s="32">
        <v>123562</v>
      </c>
    </row>
    <row r="6" ht="15.75" spans="1:69">
      <c r="A6" s="19">
        <v>1</v>
      </c>
      <c r="B6" s="19" t="s">
        <v>295</v>
      </c>
      <c r="C6" s="19" t="s">
        <v>295</v>
      </c>
      <c r="D6" s="19" t="s">
        <v>76</v>
      </c>
      <c r="E6" s="19" t="s">
        <v>76</v>
      </c>
      <c r="F6" s="20">
        <v>10</v>
      </c>
      <c r="G6" t="s">
        <v>77</v>
      </c>
      <c r="H6" s="20">
        <f>F6*G6</f>
        <v>1500</v>
      </c>
      <c r="I6" t="s">
        <v>296</v>
      </c>
      <c r="J6" s="20">
        <v>7</v>
      </c>
      <c r="K6" s="20">
        <v>4</v>
      </c>
      <c r="L6" s="20">
        <f t="shared" si="0"/>
        <v>1500</v>
      </c>
      <c r="M6" s="20">
        <f>ROUND(L6*I6%,2)</f>
        <v>105</v>
      </c>
      <c r="N6" s="20">
        <f>H6-M6</f>
        <v>1395</v>
      </c>
      <c r="O6" s="20">
        <f>ROUND(N6*J6%,2)</f>
        <v>97.65</v>
      </c>
      <c r="P6" s="20">
        <f>ROUND(N6-O6,2)</f>
        <v>1297.35</v>
      </c>
      <c r="Q6" s="20">
        <f>ROUND(P6*K6%,2)</f>
        <v>51.89</v>
      </c>
      <c r="R6" s="20">
        <f>M6+O6+Q6</f>
        <v>254.54</v>
      </c>
      <c r="S6" s="20">
        <f>(H6-R6)</f>
        <v>1245.46</v>
      </c>
      <c r="T6" s="20">
        <v>88363222</v>
      </c>
      <c r="U6" s="20">
        <v>18</v>
      </c>
      <c r="V6" s="20">
        <f>IF(OR(PoToMRVWOIpRc!$C$2=1,PoToMRVWOIpRc!$C$2=4),ROUND((((S6*U6)/100)/2),2),0)</f>
        <v>0</v>
      </c>
      <c r="W6" s="20">
        <f>IF(PoToMRVWOIpRc!$C$2=1,ROUND((((S6*U6)/100)/2),2),0)</f>
        <v>0</v>
      </c>
      <c r="X6" s="20">
        <f>IF(PoToMRVWOIpRc!$C$2=2,ROUND(((S6*U6)/100),2),0)</f>
        <v>224.18</v>
      </c>
      <c r="Y6" s="20">
        <f>IF(PoToMRVWOIpRc!$C$2=4,ROUND((((S6*U6)/100)/2),2),0)</f>
        <v>0</v>
      </c>
      <c r="Z6" s="20">
        <v>0</v>
      </c>
      <c r="AA6" s="20">
        <f>IF(PoToMRVWOIpRc!$C4=3,0,(S6*Z6)/100)</f>
        <v>0</v>
      </c>
      <c r="AB6" s="20">
        <f>V6+W6+X6+Y6+AA6</f>
        <v>224.18</v>
      </c>
      <c r="AC6" s="20">
        <f>IF(PoToMRVWOIpRc!$V4=1,S6+AB6,S6)</f>
        <v>1245.46</v>
      </c>
      <c r="AD6" s="22">
        <v>120</v>
      </c>
      <c r="AE6" s="22">
        <f>IF(PoToMRVWOIpRc!$P$2=1,(S6/PoToMRVWOIpRc!$S$7)*PoToMRVWOIpRc!$E$18,AD6/PoToMRVWOIpRc!$AD$7*PoToMRVWOIpRc!$E$18)</f>
        <v>0</v>
      </c>
      <c r="AF6" s="22"/>
      <c r="AG6" s="22">
        <f>IF(PoToMRVWOIpRc!$P$2=1,(S6/PoToMRVWOIpRc!$S$7)*PoToMRVWOIpRc!$E$20,AD6/PoToMRVWOIpRc!$AD$7*PoToMRVWOIpRc!$E$20)</f>
        <v>0</v>
      </c>
      <c r="AH6" s="22">
        <f>IF(PoToMRVWOIpRc!$P$2=1,(S6/PoToMRVWOIpRc!$S$7)*PoToMRVWOIpRc!$E$21,AD6/PoToMRVWOIpRc!$AD$7*PoToMRVWOIpRc!$E$21)</f>
        <v>0</v>
      </c>
      <c r="AI6" s="22">
        <f>S6*PoToMRVWOIpRc!$M$2</f>
        <v>1245.46</v>
      </c>
      <c r="AJ6" s="22">
        <f>IF(PoToMRVWOIpRc!$C$2=3,0,AG6+AH6)</f>
        <v>0</v>
      </c>
      <c r="AK6" s="22">
        <f>IF(PoToMRVWOIpRc!$C$2=3,AE6+AG6+AH6,0)</f>
        <v>0</v>
      </c>
      <c r="AL6" s="23">
        <v>1</v>
      </c>
      <c r="AM6" s="22">
        <f>F6/AL6</f>
        <v>10</v>
      </c>
      <c r="AN6" s="22">
        <f>ROUND(AI6/AM6,5)</f>
        <v>124.546</v>
      </c>
      <c r="AO6" s="22">
        <f>AJ6/AM6</f>
        <v>0</v>
      </c>
      <c r="AP6" s="22">
        <f>AK6/AM6</f>
        <v>0</v>
      </c>
      <c r="AQ6" s="22" t="s">
        <v>76</v>
      </c>
      <c r="AR6" s="22">
        <f>ROUND(AN6+AO6+AP6,5)</f>
        <v>124.546</v>
      </c>
      <c r="AS6" s="24" t="s">
        <v>120</v>
      </c>
      <c r="AT6" s="25" t="s">
        <v>76</v>
      </c>
      <c r="AU6" t="s">
        <v>297</v>
      </c>
      <c r="AV6" t="s">
        <v>298</v>
      </c>
      <c r="AW6" s="25">
        <f>AM6</f>
        <v>10</v>
      </c>
      <c r="AX6" s="25">
        <f>AR6</f>
        <v>124.546</v>
      </c>
      <c r="AY6" s="25">
        <f>AU6+AW6</f>
        <v>40</v>
      </c>
      <c r="AZ6" s="25">
        <f>ROUND(((AU6*AV6)+(AW6*AX6))/(AU6+AW6),3)</f>
        <v>124.545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>
        <v>85</v>
      </c>
      <c r="BN6" t="s">
        <v>85</v>
      </c>
      <c r="BO6" s="25">
        <f>ROUND((((AW6*AZ6)+(BN6*BM6))/(AW6+BN6)),5)</f>
        <v>124.545</v>
      </c>
      <c r="BP6" s="31">
        <f>ROUND(BN6+AW6,3)</f>
        <v>20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250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">SUM(R4:R4)</f>
        <v>42.43</v>
      </c>
      <c r="S7" s="37">
        <f t="shared" si="1"/>
        <v>207.57</v>
      </c>
      <c r="T7" s="38"/>
      <c r="U7" s="38"/>
      <c r="V7" s="39">
        <f t="shared" si="1"/>
        <v>0</v>
      </c>
      <c r="W7" s="39">
        <f t="shared" si="1"/>
        <v>0</v>
      </c>
      <c r="X7" s="39">
        <f t="shared" si="1"/>
        <v>37.36</v>
      </c>
      <c r="Y7" s="39"/>
      <c r="Z7" s="39"/>
      <c r="AA7" s="39"/>
      <c r="AB7" s="38">
        <f>SUM(AB4:AB4)</f>
        <v>37.36</v>
      </c>
      <c r="AC7" s="40">
        <f>SUM(AC4:AC4)</f>
        <v>244.93</v>
      </c>
      <c r="AD7" s="41">
        <f>SUM(AD4:AD4)</f>
        <v>120</v>
      </c>
      <c r="AE7" s="41">
        <f>SUM(AE4:AE4)</f>
        <v>0</v>
      </c>
      <c r="AF7" s="40"/>
      <c r="AG7" s="41">
        <f t="shared" ref="AG7:AK7" si="2">SUM(AG4:AG4)</f>
        <v>0</v>
      </c>
      <c r="AH7" s="41">
        <f>IF($P$2=1,(S7/$S$7)*$E$21,AD7/$AD$7*$E$21)</f>
        <v>0</v>
      </c>
      <c r="AI7" s="41">
        <f t="shared" si="2"/>
        <v>207.57</v>
      </c>
      <c r="AJ7" s="41">
        <f t="shared" si="2"/>
        <v>0</v>
      </c>
      <c r="AK7" s="41">
        <f t="shared" si="2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250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42.43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207.57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37.36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244.93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K20" sqref="K20"/>
    </sheetView>
  </sheetViews>
  <sheetFormatPr defaultColWidth="8.84761904761905" defaultRowHeight="15"/>
  <cols>
    <col min="2" max="2" width="28" customWidth="1"/>
    <col min="3" max="3" width="24.1428571428571" customWidth="1"/>
    <col min="13" max="13" width="9.14285714285714" customWidth="1"/>
    <col min="14" max="14" width="13.847619047619" customWidth="1"/>
    <col min="64" max="64" width="11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288</v>
      </c>
      <c r="C4" s="19" t="s">
        <v>288</v>
      </c>
      <c r="D4" s="19" t="s">
        <v>76</v>
      </c>
      <c r="E4" s="19" t="s">
        <v>76</v>
      </c>
      <c r="F4" s="20">
        <v>5</v>
      </c>
      <c r="G4" t="s">
        <v>239</v>
      </c>
      <c r="H4" s="20">
        <f t="shared" ref="H4:H6" si="0">F4*G4</f>
        <v>250</v>
      </c>
      <c r="I4" t="s">
        <v>78</v>
      </c>
      <c r="J4" s="20">
        <v>8</v>
      </c>
      <c r="K4" s="20">
        <v>5</v>
      </c>
      <c r="L4" s="20">
        <f t="shared" ref="L4:L6" si="1">IF(OR(I4=0,I4="0"),0,H4)</f>
        <v>250</v>
      </c>
      <c r="M4" s="20">
        <f>ROUND(L4*I4%,3)</f>
        <v>12.5</v>
      </c>
      <c r="N4" s="20">
        <f t="shared" ref="N4:N6" si="2">H4-M4</f>
        <v>237.5</v>
      </c>
      <c r="O4" s="20">
        <f>ROUND(N4*J4%,3)</f>
        <v>19</v>
      </c>
      <c r="P4" s="20">
        <f t="shared" ref="P4:P6" si="3">ROUND(N4-O4,2)</f>
        <v>218.5</v>
      </c>
      <c r="Q4" s="20">
        <f t="shared" ref="Q4:Q6" si="4">ROUND(P4*K4%,2)</f>
        <v>10.93</v>
      </c>
      <c r="R4" s="22">
        <f>ROUND(M4+O4+Q4,3)</f>
        <v>42.43</v>
      </c>
      <c r="S4" s="22">
        <f t="shared" ref="S4:S6" si="5">(H4-R4)</f>
        <v>207.57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6">V4+W4+X4+Y4+AA4</f>
        <v>0</v>
      </c>
      <c r="AC4" s="21">
        <f>IF($V2=1,S4+AB4,S4)</f>
        <v>207.57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S4*$M2</f>
        <v>17643.45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7">F4/AL4</f>
        <v>5</v>
      </c>
      <c r="AN4" s="22">
        <f t="shared" ref="AN4:AN6" si="8">ROUND(AI4/AM4,5)</f>
        <v>3528.69</v>
      </c>
      <c r="AO4" s="22">
        <f t="shared" ref="AO4:AO6" si="9">AJ4/AM4</f>
        <v>0</v>
      </c>
      <c r="AP4" s="22">
        <f t="shared" ref="AP4:AP6" si="10">AK4/AM4</f>
        <v>0</v>
      </c>
      <c r="AQ4" s="22" t="s">
        <v>76</v>
      </c>
      <c r="AR4" s="22">
        <f t="shared" ref="AR4:AR6" si="11">ROUND(AN4+AO4+AP4,5)</f>
        <v>3528.69</v>
      </c>
      <c r="AS4" s="24" t="s">
        <v>120</v>
      </c>
      <c r="AT4" s="25" t="s">
        <v>76</v>
      </c>
      <c r="AU4" t="s">
        <v>299</v>
      </c>
      <c r="AV4" t="s">
        <v>300</v>
      </c>
      <c r="AW4" s="25">
        <f t="shared" ref="AW4:AW6" si="12">AM4</f>
        <v>5</v>
      </c>
      <c r="AX4" s="100">
        <f t="shared" ref="AX4:AX6" si="13">AR4</f>
        <v>3528.69</v>
      </c>
      <c r="AY4" s="25">
        <f t="shared" ref="AY4:AY6" si="14">AU4+AW4</f>
        <v>20</v>
      </c>
      <c r="AZ4" s="25">
        <f>ROUND(((AU4*AV4)+(AW4*AX4))/(AU4+AW4),3)</f>
        <v>913.309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85</v>
      </c>
      <c r="BN4" t="s">
        <v>85</v>
      </c>
      <c r="BO4" s="25">
        <f t="shared" ref="BO4:BO6" si="15">ROUND((((AW4*AZ4)+(BN4*BM4))/(AW4+BN4)),5)</f>
        <v>477.412</v>
      </c>
      <c r="BP4" s="31">
        <f t="shared" ref="BP4:BP6" si="16">ROUND(BN4+AW4,3)</f>
        <v>10</v>
      </c>
      <c r="BQ4" s="32">
        <v>123562</v>
      </c>
    </row>
    <row r="5" ht="15.75" spans="1:69">
      <c r="A5" s="19">
        <v>1</v>
      </c>
      <c r="B5" s="19" t="s">
        <v>291</v>
      </c>
      <c r="C5" s="19" t="s">
        <v>291</v>
      </c>
      <c r="D5" s="19" t="s">
        <v>76</v>
      </c>
      <c r="E5" s="19" t="s">
        <v>76</v>
      </c>
      <c r="F5" s="20">
        <v>4</v>
      </c>
      <c r="G5" t="s">
        <v>87</v>
      </c>
      <c r="H5" s="20">
        <f t="shared" si="0"/>
        <v>400</v>
      </c>
      <c r="I5" t="s">
        <v>292</v>
      </c>
      <c r="J5" s="20">
        <v>9</v>
      </c>
      <c r="K5" s="20">
        <v>6</v>
      </c>
      <c r="L5" s="20">
        <f t="shared" si="1"/>
        <v>400</v>
      </c>
      <c r="M5" s="20">
        <f>ROUND(L5*I5%,2)</f>
        <v>24</v>
      </c>
      <c r="N5" s="20">
        <f t="shared" si="2"/>
        <v>376</v>
      </c>
      <c r="O5" s="20">
        <f>ROUND(N5*J5%,2)</f>
        <v>33.84</v>
      </c>
      <c r="P5" s="20">
        <f t="shared" si="3"/>
        <v>342.16</v>
      </c>
      <c r="Q5" s="20">
        <f t="shared" si="4"/>
        <v>20.53</v>
      </c>
      <c r="R5" s="20">
        <f>M5+O5+Q5</f>
        <v>78.37</v>
      </c>
      <c r="S5" s="20">
        <f t="shared" si="5"/>
        <v>321.63</v>
      </c>
      <c r="T5" s="20">
        <v>88363222</v>
      </c>
      <c r="U5" s="20">
        <v>18</v>
      </c>
      <c r="V5" s="20">
        <f>IF(OR(PoToMRVWOIpRcImp!$C$2=1,PoToMRVWOIpRcImp!$C$2=4),ROUND((((S5*U5)/100)/2),2),0)</f>
        <v>0</v>
      </c>
      <c r="W5" s="20">
        <f>IF(PoToMRVWOIpRcImp!$C$2=1,ROUND((((S5*U5)/100)/2),2),0)</f>
        <v>0</v>
      </c>
      <c r="X5" s="20">
        <f>IF(PoToMRVWOIpRcImp!$C$2=2,ROUND(((S5*U5)/100),2),0)</f>
        <v>0</v>
      </c>
      <c r="Y5" s="20">
        <f>IF(PoToMRVWOIpRcImp!$C$2=4,ROUND((((S5*U5)/100)/2),2),0)</f>
        <v>0</v>
      </c>
      <c r="Z5" s="20">
        <v>0</v>
      </c>
      <c r="AA5" s="20">
        <f>IF(PoToMRVWOIpRcImp!$C3=3,0,(S5*Z5)/100)</f>
        <v>0</v>
      </c>
      <c r="AB5" s="20">
        <f t="shared" si="6"/>
        <v>0</v>
      </c>
      <c r="AC5" s="20">
        <f>IF(PoToMRVWOIpRcImp!$V3=1,S5+AB5,S5)</f>
        <v>321.63</v>
      </c>
      <c r="AD5" s="22">
        <v>120</v>
      </c>
      <c r="AE5" s="22">
        <f>IF(PoToMRVWOIpRcImp!$P$2=1,(S5/PoToMRVWOIpRcImp!$S$7)*PoToMRVWOIpRcImp!$E$18,AD5/PoToMRVWOIpRcImp!$AD$7*PoToMRVWOIpRcImp!$E$18)</f>
        <v>0</v>
      </c>
      <c r="AF5" s="22"/>
      <c r="AG5" s="22">
        <f>IF(PoToMRVWOIpRcImp!$P$2=1,(S5/PoToMRVWOIpRcImp!$S$7)*PoToMRVWOIpRcImp!$E$20,AD5/PoToMRVWOIpRcImp!$AD$7*PoToMRVWOIpRcImp!$E$20)</f>
        <v>0</v>
      </c>
      <c r="AH5" s="22">
        <f>IF(PoToMRVWOIpRcImp!$P$2=1,(S5/PoToMRVWOIpRcImp!$S$7)*PoToMRVWOIpRcImp!$E$21,AD5/PoToMRVWOIpRcImp!$AD$7*PoToMRVWOIpRcImp!$E$21)</f>
        <v>0</v>
      </c>
      <c r="AI5" s="22">
        <f>S5*PoToMRVWOIpRcImp!$M$2</f>
        <v>27338.55</v>
      </c>
      <c r="AJ5" s="22">
        <f>IF(PoToMRVWOIpRcImp!$C$2=3,0,AG5+AH5)</f>
        <v>0</v>
      </c>
      <c r="AK5" s="22">
        <f>IF(PoToMRVWOIpRcImp!$C$2=3,AE5+AG5+AH5,0)</f>
        <v>0</v>
      </c>
      <c r="AL5" s="23">
        <v>1</v>
      </c>
      <c r="AM5" s="22">
        <f t="shared" si="7"/>
        <v>4</v>
      </c>
      <c r="AN5" s="22">
        <f t="shared" si="8"/>
        <v>6834.6375</v>
      </c>
      <c r="AO5" s="22">
        <f t="shared" si="9"/>
        <v>0</v>
      </c>
      <c r="AP5" s="22">
        <f t="shared" si="10"/>
        <v>0</v>
      </c>
      <c r="AQ5" s="22" t="s">
        <v>76</v>
      </c>
      <c r="AR5" s="22">
        <f t="shared" si="11"/>
        <v>6834.6375</v>
      </c>
      <c r="AS5" s="24" t="s">
        <v>120</v>
      </c>
      <c r="AT5" s="25" t="s">
        <v>76</v>
      </c>
      <c r="AU5" t="s">
        <v>301</v>
      </c>
      <c r="AV5" t="s">
        <v>302</v>
      </c>
      <c r="AW5" s="25">
        <f t="shared" si="12"/>
        <v>4</v>
      </c>
      <c r="AX5" s="100">
        <f t="shared" si="13"/>
        <v>6834.6375</v>
      </c>
      <c r="AY5" s="25">
        <f t="shared" si="14"/>
        <v>16</v>
      </c>
      <c r="AZ5" s="100">
        <f>ROUND(((AU5*AV5)+(AW5*AX5))/(AU5+AW5),2)</f>
        <v>1768.97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85</v>
      </c>
      <c r="BN5" t="s">
        <v>85</v>
      </c>
      <c r="BO5" s="25">
        <f t="shared" si="15"/>
        <v>924.69</v>
      </c>
      <c r="BP5" s="31">
        <f t="shared" si="16"/>
        <v>8</v>
      </c>
      <c r="BQ5" s="32">
        <v>123562</v>
      </c>
    </row>
    <row r="6" ht="15.75" spans="1:69">
      <c r="A6" s="19">
        <v>1</v>
      </c>
      <c r="B6" s="19" t="s">
        <v>295</v>
      </c>
      <c r="C6" s="19" t="s">
        <v>295</v>
      </c>
      <c r="D6" s="19" t="s">
        <v>76</v>
      </c>
      <c r="E6" s="19" t="s">
        <v>76</v>
      </c>
      <c r="F6" s="20">
        <v>10</v>
      </c>
      <c r="G6" t="s">
        <v>77</v>
      </c>
      <c r="H6" s="20">
        <f t="shared" si="0"/>
        <v>1500</v>
      </c>
      <c r="I6" t="s">
        <v>296</v>
      </c>
      <c r="J6" s="20">
        <v>7</v>
      </c>
      <c r="K6" s="20">
        <v>4</v>
      </c>
      <c r="L6" s="20">
        <f t="shared" si="1"/>
        <v>1500</v>
      </c>
      <c r="M6" s="20">
        <f>ROUND(L6*I6%,2)</f>
        <v>105</v>
      </c>
      <c r="N6" s="20">
        <f t="shared" si="2"/>
        <v>1395</v>
      </c>
      <c r="O6" s="20">
        <f>ROUND(N6*J6%,2)</f>
        <v>97.65</v>
      </c>
      <c r="P6" s="20">
        <f t="shared" si="3"/>
        <v>1297.35</v>
      </c>
      <c r="Q6" s="20">
        <f t="shared" si="4"/>
        <v>51.89</v>
      </c>
      <c r="R6" s="20">
        <f>M6+O6+Q6</f>
        <v>254.54</v>
      </c>
      <c r="S6" s="20">
        <f t="shared" si="5"/>
        <v>1245.46</v>
      </c>
      <c r="T6" s="20">
        <v>88363222</v>
      </c>
      <c r="U6" s="20">
        <v>18</v>
      </c>
      <c r="V6" s="20">
        <f>IF(OR(PoToMRVWOIpRcImp!$C$2=1,PoToMRVWOIpRcImp!$C$2=4),ROUND((((S6*U6)/100)/2),2),0)</f>
        <v>0</v>
      </c>
      <c r="W6" s="20">
        <f>IF(PoToMRVWOIpRcImp!$C$2=1,ROUND((((S6*U6)/100)/2),2),0)</f>
        <v>0</v>
      </c>
      <c r="X6" s="20">
        <f>IF(PoToMRVWOIpRcImp!$C$2=2,ROUND(((S6*U6)/100),2),0)</f>
        <v>0</v>
      </c>
      <c r="Y6" s="20">
        <f>IF(PoToMRVWOIpRcImp!$C$2=4,ROUND((((S6*U6)/100)/2),2),0)</f>
        <v>0</v>
      </c>
      <c r="Z6" s="20">
        <v>0</v>
      </c>
      <c r="AA6" s="20">
        <f>IF(PoToMRVWOIpRcImp!$C4=3,0,(S6*Z6)/100)</f>
        <v>0</v>
      </c>
      <c r="AB6" s="20">
        <f t="shared" si="6"/>
        <v>0</v>
      </c>
      <c r="AC6" s="20">
        <f>IF(PoToMRVWOIpRcImp!$V4=1,S6+AB6,S6)</f>
        <v>1245.46</v>
      </c>
      <c r="AD6" s="22">
        <v>120</v>
      </c>
      <c r="AE6" s="22">
        <f>IF(PoToMRVWOIpRcImp!$P$2=1,(S6/PoToMRVWOIpRcImp!$S$7)*PoToMRVWOIpRcImp!$E$18,AD6/PoToMRVWOIpRcImp!$AD$7*PoToMRVWOIpRcImp!$E$18)</f>
        <v>0</v>
      </c>
      <c r="AF6" s="22"/>
      <c r="AG6" s="22">
        <f>IF(PoToMRVWOIpRcImp!$P$2=1,(S6/PoToMRVWOIpRcImp!$S$7)*PoToMRVWOIpRcImp!$E$20,AD6/PoToMRVWOIpRcImp!$AD$7*PoToMRVWOIpRcImp!$E$20)</f>
        <v>0</v>
      </c>
      <c r="AH6" s="22">
        <f>IF(PoToMRVWOIpRcImp!$P$2=1,(S6/PoToMRVWOIpRcImp!$S$7)*PoToMRVWOIpRcImp!$E$21,AD6/PoToMRVWOIpRcImp!$AD$7*PoToMRVWOIpRcImp!$E$21)</f>
        <v>0</v>
      </c>
      <c r="AI6" s="22">
        <f>S6*PoToMRVWOIpRcImp!$M$2</f>
        <v>105864.1</v>
      </c>
      <c r="AJ6" s="22">
        <f>IF(PoToMRVWOIpRcImp!$C$2=3,0,AG6+AH6)</f>
        <v>0</v>
      </c>
      <c r="AK6" s="22">
        <f>IF(PoToMRVWOIpRcImp!$C$2=3,AE6+AG6+AH6,0)</f>
        <v>0</v>
      </c>
      <c r="AL6" s="23">
        <v>1</v>
      </c>
      <c r="AM6" s="22">
        <f t="shared" si="7"/>
        <v>10</v>
      </c>
      <c r="AN6" s="22">
        <f t="shared" si="8"/>
        <v>10586.41</v>
      </c>
      <c r="AO6" s="22">
        <f t="shared" si="9"/>
        <v>0</v>
      </c>
      <c r="AP6" s="22">
        <f t="shared" si="10"/>
        <v>0</v>
      </c>
      <c r="AQ6" s="22" t="s">
        <v>76</v>
      </c>
      <c r="AR6" s="22">
        <f t="shared" si="11"/>
        <v>10586.41</v>
      </c>
      <c r="AS6" s="24" t="s">
        <v>120</v>
      </c>
      <c r="AT6" s="25" t="s">
        <v>76</v>
      </c>
      <c r="AU6" t="s">
        <v>77</v>
      </c>
      <c r="AV6" t="s">
        <v>303</v>
      </c>
      <c r="AW6" s="25">
        <f t="shared" si="12"/>
        <v>10</v>
      </c>
      <c r="AX6" s="25">
        <f t="shared" si="13"/>
        <v>10586.41</v>
      </c>
      <c r="AY6" s="25">
        <f t="shared" si="14"/>
        <v>40</v>
      </c>
      <c r="AZ6" s="25">
        <f>ROUND(((AU6*AV6)+(AW6*AX6))/(AU6+AW6),3)</f>
        <v>2740.011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>
        <v>85</v>
      </c>
      <c r="BN6" t="s">
        <v>85</v>
      </c>
      <c r="BO6" s="25">
        <f t="shared" si="15"/>
        <v>1432.278</v>
      </c>
      <c r="BP6" s="31">
        <f t="shared" si="16"/>
        <v>20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250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42.43</v>
      </c>
      <c r="S7" s="37">
        <f t="shared" si="17"/>
        <v>207.57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0</v>
      </c>
      <c r="Y7" s="39"/>
      <c r="Z7" s="39"/>
      <c r="AA7" s="39"/>
      <c r="AB7" s="38">
        <f t="shared" ref="AB7:AE7" si="18">SUM(AB4:AB4)</f>
        <v>0</v>
      </c>
      <c r="AC7" s="40">
        <f t="shared" si="18"/>
        <v>207.57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17643.45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250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42.43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207.57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207.57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J5" sqref="J5"/>
    </sheetView>
  </sheetViews>
  <sheetFormatPr defaultColWidth="8.84761904761905" defaultRowHeight="15"/>
  <cols>
    <col min="2" max="2" width="28" customWidth="1"/>
    <col min="3" max="3" width="24.1428571428571" customWidth="1"/>
    <col min="12" max="12" width="13.2190476190476" customWidth="1"/>
    <col min="13" max="13" width="9.14285714285714" customWidth="1"/>
    <col min="14" max="14" width="13.847619047619" customWidth="1"/>
    <col min="52" max="52" width="10.7142857142857" customWidth="1"/>
    <col min="64" max="64" width="11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304</v>
      </c>
      <c r="C4" s="19" t="s">
        <v>304</v>
      </c>
      <c r="D4" s="19" t="s">
        <v>76</v>
      </c>
      <c r="E4" s="19" t="s">
        <v>76</v>
      </c>
      <c r="F4" s="20">
        <v>5</v>
      </c>
      <c r="G4">
        <v>50</v>
      </c>
      <c r="H4" s="20">
        <f>F4*G4</f>
        <v>250</v>
      </c>
      <c r="I4">
        <v>5</v>
      </c>
      <c r="J4" s="20">
        <v>10</v>
      </c>
      <c r="K4" s="20">
        <v>10</v>
      </c>
      <c r="L4" s="20">
        <f>IF(OR(I4=0,I4="0"),0,H4)</f>
        <v>250</v>
      </c>
      <c r="M4" s="20">
        <f>ROUND(L4*I4%,3)</f>
        <v>12.5</v>
      </c>
      <c r="N4" s="20">
        <f>IF(OR(I4=0,I4="0"),0,H4-M4)</f>
        <v>237.5</v>
      </c>
      <c r="O4" s="20">
        <f>ROUND(N4*J4%,3)</f>
        <v>23.75</v>
      </c>
      <c r="P4" s="20">
        <f>ROUND(N4-O4,2)</f>
        <v>213.75</v>
      </c>
      <c r="Q4" s="20">
        <f>ROUND(P4*K4%,2)</f>
        <v>21.38</v>
      </c>
      <c r="R4" s="22">
        <f>ROUND(M4+O4+Q4,3)</f>
        <v>57.63</v>
      </c>
      <c r="S4" s="20">
        <f>(H4-R4)</f>
        <v>192.37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34.63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34.63</v>
      </c>
      <c r="AC4" s="21">
        <f>IF($V2=1,S4+AB4,S4)</f>
        <v>227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192.37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>F4/AL4</f>
        <v>1.66666666666667</v>
      </c>
      <c r="AN4" s="22">
        <f>ROUND(AI4/AM4,5)</f>
        <v>115.422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115.422</v>
      </c>
      <c r="AS4" s="24" t="s">
        <v>79</v>
      </c>
      <c r="AT4" s="25" t="s">
        <v>76</v>
      </c>
      <c r="AU4" t="s">
        <v>78</v>
      </c>
      <c r="AV4" t="s">
        <v>112</v>
      </c>
      <c r="AW4" s="25">
        <f>AM4</f>
        <v>1.66666666666667</v>
      </c>
      <c r="AX4" s="100">
        <f>AR4</f>
        <v>115.422</v>
      </c>
      <c r="AY4" s="25">
        <f>AU4+AW4</f>
        <v>6.66666666666667</v>
      </c>
      <c r="AZ4" s="25">
        <f>ROUND(((AU4*AV4)+(AW4*AX4))/(AU4+AW4),5)</f>
        <v>135.7305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>
        <v>85</v>
      </c>
      <c r="BN4" t="s">
        <v>85</v>
      </c>
      <c r="BO4" s="25">
        <f>ROUND((((AW4*AZ4)+(BN4*BM4))/(AW4+BN4)),5)</f>
        <v>135.7305</v>
      </c>
      <c r="BP4" s="31">
        <f>ROUND(BN4+AW4,3)</f>
        <v>1.667</v>
      </c>
      <c r="BQ4" s="32">
        <v>123562</v>
      </c>
    </row>
    <row r="5" ht="15.75" spans="1:69">
      <c r="A5" s="19">
        <v>1</v>
      </c>
      <c r="B5" s="19" t="s">
        <v>305</v>
      </c>
      <c r="C5" s="19" t="s">
        <v>305</v>
      </c>
      <c r="D5" s="19" t="s">
        <v>76</v>
      </c>
      <c r="E5" s="19" t="s">
        <v>76</v>
      </c>
      <c r="F5" s="20">
        <v>15</v>
      </c>
      <c r="G5">
        <v>100</v>
      </c>
      <c r="H5" s="20">
        <f>F5*G5</f>
        <v>1500</v>
      </c>
      <c r="I5">
        <v>6</v>
      </c>
      <c r="J5" s="20">
        <v>8</v>
      </c>
      <c r="K5" s="20">
        <v>4</v>
      </c>
      <c r="L5" s="20">
        <f t="shared" ref="L5" si="0">IF(OR(I5=0,I5="0"),0,H5)</f>
        <v>1500</v>
      </c>
      <c r="M5" s="20">
        <f>ROUND(L5*I5%,2)</f>
        <v>90</v>
      </c>
      <c r="N5" s="20">
        <f>IF(OR(I5=0,I5="0"),0,H5-M5)</f>
        <v>1410</v>
      </c>
      <c r="O5" s="20">
        <f>ROUND(N5*J5%,2)</f>
        <v>112.8</v>
      </c>
      <c r="P5" s="20">
        <f>ROUND(N5-O5,2)</f>
        <v>1297.2</v>
      </c>
      <c r="Q5" s="20">
        <f>ROUND(P5*K5%,2)</f>
        <v>51.89</v>
      </c>
      <c r="R5" s="20">
        <f>M5+O5+Q5</f>
        <v>254.69</v>
      </c>
      <c r="S5" s="20">
        <f>(H5-R5)</f>
        <v>1245.31</v>
      </c>
      <c r="T5" s="20">
        <v>88363222</v>
      </c>
      <c r="U5" s="20">
        <v>18</v>
      </c>
      <c r="V5" s="20">
        <f>IF(OR(StPoToMRVWOIpDU!$C$2=1,StPoToMRVWOIpDU!$C$2=4),ROUND((((S5*U5)/100)/2),2),0)</f>
        <v>0</v>
      </c>
      <c r="W5" s="20">
        <f>IF(StPoToMRVWOIpDU!$C$2=1,ROUND((((S5*U5)/100)/2),2),0)</f>
        <v>0</v>
      </c>
      <c r="X5" s="20">
        <f>IF(StPoToMRVWOIpDU!$C$2=2,ROUND(((S5*U5)/100),2),0)</f>
        <v>224.16</v>
      </c>
      <c r="Y5" s="20">
        <f>IF(StPoToMRVWOIpDU!$C$2=4,ROUND((((S5*U5)/100)/2),2),0)</f>
        <v>0</v>
      </c>
      <c r="Z5" s="20">
        <v>0</v>
      </c>
      <c r="AA5" s="20">
        <f>IF(StPoToMRVWOIpDU!$C3=3,0,(S5*Z5)/100)</f>
        <v>0</v>
      </c>
      <c r="AB5" s="20">
        <f>V5+W5+X5+Y5+AA5</f>
        <v>224.16</v>
      </c>
      <c r="AC5" s="20">
        <f>IF(StPoToMRVWOIpDU!$V3=1,S5+AB5,S5)</f>
        <v>1245.31</v>
      </c>
      <c r="AD5" s="22">
        <v>120</v>
      </c>
      <c r="AE5" s="22">
        <f>IF(StPoToMRVWOIpDU!$P$2=1,(S5/StPoToMRVWOIpDU!$S$6)*StPoToMRVWOIpDU!$E$17,AD5/StPoToMRVWOIpDU!$AD$6*StPoToMRVWOIpDU!$E$17)</f>
        <v>0</v>
      </c>
      <c r="AF5" s="22"/>
      <c r="AG5" s="22">
        <f>IF(StPoToMRVWOIpDU!$P$2=1,(S5/StPoToMRVWOIpDU!$S$6)*StPoToMRVWOIpDU!$E$19,AD5/StPoToMRVWOIpDU!$AD$6*StPoToMRVWOIpDU!$E$19)</f>
        <v>0</v>
      </c>
      <c r="AH5" s="22">
        <f>IF(StPoToMRVWOIpDU!$P$2=1,(S5/StPoToMRVWOIpDU!$S$6)*StPoToMRVWOIpDU!$E$20,AD5/StPoToMRVWOIpDU!$AD$6*StPoToMRVWOIpDU!$E$20)</f>
        <v>0</v>
      </c>
      <c r="AI5" s="22">
        <f>S5*StPoToMRVWOIpDU!$M$2</f>
        <v>1245.31</v>
      </c>
      <c r="AJ5" s="22">
        <f>IF(StPoToMRVWOIpDU!$C$2=3,0,AG5+AH5)</f>
        <v>0</v>
      </c>
      <c r="AK5" s="22">
        <f>IF(StPoToMRVWOIpDU!$C$2=3,AE5+AG5+AH5,0)</f>
        <v>0</v>
      </c>
      <c r="AL5" s="23">
        <v>3</v>
      </c>
      <c r="AM5" s="22">
        <f>F5/AL5</f>
        <v>5</v>
      </c>
      <c r="AN5" s="22">
        <f>ROUND(AI5/AM5,5)</f>
        <v>249.062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249.062</v>
      </c>
      <c r="AS5" s="24" t="s">
        <v>79</v>
      </c>
      <c r="AT5" s="25" t="s">
        <v>76</v>
      </c>
      <c r="AU5" t="s">
        <v>78</v>
      </c>
      <c r="AV5" t="s">
        <v>306</v>
      </c>
      <c r="AW5" s="25">
        <f>AM5</f>
        <v>5</v>
      </c>
      <c r="AX5" s="100">
        <f>AR5</f>
        <v>249.062</v>
      </c>
      <c r="AY5" s="25">
        <f>AU5+AW5</f>
        <v>5</v>
      </c>
      <c r="AZ5" s="25">
        <f>ROUND(((AU5*AV5)+(AW5*AX5))/(AU5+AW5),5)</f>
        <v>265.531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>
        <v>85</v>
      </c>
      <c r="BN5" t="s">
        <v>85</v>
      </c>
      <c r="BO5" s="25">
        <f>ROUND((((AW5*AZ5)+(BN5*BM5))/(AW5+BN5)),5)</f>
        <v>265.531</v>
      </c>
      <c r="BP5" s="31">
        <f>ROUND(BN5+AW5,3)</f>
        <v>5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250</v>
      </c>
      <c r="I6" s="19"/>
      <c r="J6" s="19"/>
      <c r="K6" s="19"/>
      <c r="L6" s="19"/>
      <c r="M6" s="19"/>
      <c r="N6" s="19"/>
      <c r="O6" s="19"/>
      <c r="P6" s="19"/>
      <c r="Q6" s="19"/>
      <c r="R6" s="38">
        <f>SUM(R4:R4)</f>
        <v>57.63</v>
      </c>
      <c r="S6" s="37">
        <f>SUM(S4:S4)</f>
        <v>192.37</v>
      </c>
      <c r="T6" s="38"/>
      <c r="U6" s="38"/>
      <c r="V6" s="39">
        <f>SUM(V4:V4)</f>
        <v>0</v>
      </c>
      <c r="W6" s="39">
        <f>SUM(W4:W4)</f>
        <v>0</v>
      </c>
      <c r="X6" s="39">
        <f>SUM(X4:X4)</f>
        <v>34.63</v>
      </c>
      <c r="Y6" s="39"/>
      <c r="Z6" s="39"/>
      <c r="AA6" s="39"/>
      <c r="AB6" s="38">
        <f>SUM(AB4:AB4)</f>
        <v>34.63</v>
      </c>
      <c r="AC6" s="40">
        <f>SUM(AC4:AC4)</f>
        <v>227</v>
      </c>
      <c r="AD6" s="41">
        <f>SUM(AD4:AD4)</f>
        <v>120</v>
      </c>
      <c r="AE6" s="41">
        <f>SUM(AE4:AE4)</f>
        <v>0</v>
      </c>
      <c r="AF6" s="40"/>
      <c r="AG6" s="41">
        <f>SUM(AG4:AG4)</f>
        <v>0</v>
      </c>
      <c r="AH6" s="41">
        <f>IF($P$2=1,(S6/$S$6)*$E$20,AD6/$AD$6*$E$20)</f>
        <v>0</v>
      </c>
      <c r="AI6" s="41">
        <f>SUM(AI4:AI4)</f>
        <v>192.37</v>
      </c>
      <c r="AJ6" s="41">
        <f>SUM(AJ4:AJ4)</f>
        <v>0</v>
      </c>
      <c r="AK6" s="41">
        <f>SUM(AK4:AK4)</f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250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21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57.63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21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192.37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34.63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227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C24" sqref="C24"/>
    </sheetView>
  </sheetViews>
  <sheetFormatPr defaultColWidth="8.84761904761905" defaultRowHeight="15"/>
  <cols>
    <col min="2" max="2" width="28" customWidth="1"/>
    <col min="3" max="3" width="24.1428571428571" customWidth="1"/>
    <col min="12" max="12" width="13.2190476190476" customWidth="1"/>
    <col min="13" max="13" width="9.14285714285714" customWidth="1"/>
    <col min="14" max="14" width="13.847619047619" customWidth="1"/>
    <col min="52" max="52" width="10.7142857142857" customWidth="1"/>
    <col min="64" max="64" width="11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307</v>
      </c>
      <c r="C4" s="19" t="s">
        <v>307</v>
      </c>
      <c r="D4" s="19" t="s">
        <v>76</v>
      </c>
      <c r="E4" s="19" t="s">
        <v>76</v>
      </c>
      <c r="F4" s="20">
        <v>5</v>
      </c>
      <c r="G4">
        <v>150</v>
      </c>
      <c r="H4" s="20">
        <f>F4*G4</f>
        <v>750</v>
      </c>
      <c r="I4">
        <v>5</v>
      </c>
      <c r="J4" s="20">
        <v>10</v>
      </c>
      <c r="K4" s="20">
        <v>10</v>
      </c>
      <c r="L4" s="20">
        <f>IF(OR(I4=0,I4="0"),0,H4)</f>
        <v>750</v>
      </c>
      <c r="M4" s="20">
        <f>ROUND(L4*I4%,3)</f>
        <v>37.5</v>
      </c>
      <c r="N4" s="20">
        <f>IF(OR(I4=0,I4="0"),0,H4-M4)</f>
        <v>712.5</v>
      </c>
      <c r="O4" s="20">
        <f>ROUND(N4*J4%,3)</f>
        <v>71.25</v>
      </c>
      <c r="P4" s="20">
        <f>ROUND(N4-O4,2)</f>
        <v>641.25</v>
      </c>
      <c r="Q4" s="20">
        <f>ROUND(P4*K4%,2)</f>
        <v>64.13</v>
      </c>
      <c r="R4" s="22">
        <f>ROUND(M4+O4+Q4,3)</f>
        <v>172.88</v>
      </c>
      <c r="S4" s="20">
        <f>(H4-R4)</f>
        <v>577.12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103.88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103.88</v>
      </c>
      <c r="AC4" s="21">
        <f>IF($V2=1,S4+AB4,S4)</f>
        <v>681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577.12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>F4/AL4</f>
        <v>1.66666666666667</v>
      </c>
      <c r="AN4" s="22">
        <f>ROUND(AI4/AM4,5)</f>
        <v>346.272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346.272</v>
      </c>
      <c r="AS4" s="24" t="s">
        <v>79</v>
      </c>
      <c r="AT4" s="25" t="s">
        <v>76</v>
      </c>
      <c r="AU4" t="s">
        <v>78</v>
      </c>
      <c r="AV4" t="s">
        <v>112</v>
      </c>
      <c r="AW4" s="25">
        <f>AM4</f>
        <v>1.66666666666667</v>
      </c>
      <c r="AX4" s="100">
        <f>AR4</f>
        <v>346.272</v>
      </c>
      <c r="AY4" s="25">
        <f>AU4+AW4</f>
        <v>6.66666666666667</v>
      </c>
      <c r="AZ4" s="25">
        <f>ROUND(((AU4*AV4)+(AW4*AX4))/(AU4+AW4),5)</f>
        <v>193.443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>
        <v>85</v>
      </c>
      <c r="BN4" t="s">
        <v>85</v>
      </c>
      <c r="BO4" s="25">
        <f>ROUND((((AW4*AZ4)+(BN4*BM4))/(AW4+BN4)),5)</f>
        <v>193.443</v>
      </c>
      <c r="BP4" s="31">
        <f>ROUND(BN4+AW4,3)</f>
        <v>1.667</v>
      </c>
      <c r="BQ4" s="32">
        <v>123562</v>
      </c>
    </row>
    <row r="5" ht="15.75" spans="1:69">
      <c r="A5" s="19">
        <v>1</v>
      </c>
      <c r="B5" s="19" t="s">
        <v>308</v>
      </c>
      <c r="C5" s="19" t="s">
        <v>308</v>
      </c>
      <c r="D5" s="19" t="s">
        <v>76</v>
      </c>
      <c r="E5" s="19" t="s">
        <v>76</v>
      </c>
      <c r="F5" s="20">
        <v>15</v>
      </c>
      <c r="G5">
        <v>100</v>
      </c>
      <c r="H5" s="20">
        <f>F5*G5</f>
        <v>1500</v>
      </c>
      <c r="I5">
        <v>4</v>
      </c>
      <c r="J5" s="20">
        <v>8</v>
      </c>
      <c r="K5" s="20">
        <v>4</v>
      </c>
      <c r="L5" s="20">
        <f>IF(OR(I5=0,I5="0"),0,H5)</f>
        <v>1500</v>
      </c>
      <c r="M5" s="20">
        <f>ROUND(L5*I5%,2)</f>
        <v>60</v>
      </c>
      <c r="N5" s="20">
        <f>IF(OR(I5=0,I5="0"),0,H5-M5)</f>
        <v>1440</v>
      </c>
      <c r="O5" s="20">
        <f>ROUND(N5*J5%,2)</f>
        <v>115.2</v>
      </c>
      <c r="P5" s="20">
        <f>ROUND(N5-O5,2)</f>
        <v>1324.8</v>
      </c>
      <c r="Q5" s="20">
        <f>ROUND(P5*K5%,2)</f>
        <v>52.99</v>
      </c>
      <c r="R5" s="20">
        <f>M5+O5+Q5</f>
        <v>228.19</v>
      </c>
      <c r="S5" s="20">
        <f>(H5-R5)</f>
        <v>1271.81</v>
      </c>
      <c r="T5" s="20">
        <v>88363222</v>
      </c>
      <c r="U5" s="20">
        <v>18</v>
      </c>
      <c r="V5" s="20">
        <f>IF(OR(StPoToMRVWOIpDURc!$C$2=1,StPoToMRVWOIpDURc!$C$2=4),ROUND((((S5*U5)/100)/2),2),0)</f>
        <v>0</v>
      </c>
      <c r="W5" s="20">
        <f>IF(StPoToMRVWOIpDURc!$C$2=1,ROUND((((S5*U5)/100)/2),2),0)</f>
        <v>0</v>
      </c>
      <c r="X5" s="20">
        <f>IF(StPoToMRVWOIpDURc!$C$2=2,ROUND(((S5*U5)/100),2),0)</f>
        <v>228.93</v>
      </c>
      <c r="Y5" s="20">
        <f>IF(StPoToMRVWOIpDURc!$C$2=4,ROUND((((S5*U5)/100)/2),2),0)</f>
        <v>0</v>
      </c>
      <c r="Z5" s="20">
        <v>0</v>
      </c>
      <c r="AA5" s="20">
        <f>IF(StPoToMRVWOIpDURc!$C3=3,0,(S5*Z5)/100)</f>
        <v>0</v>
      </c>
      <c r="AB5" s="20">
        <f>V5+W5+X5+Y5+AA5</f>
        <v>228.93</v>
      </c>
      <c r="AC5" s="20">
        <f>IF(StPoToMRVWOIpDURc!$V3=1,S5+AB5,S5)</f>
        <v>1271.81</v>
      </c>
      <c r="AD5" s="22">
        <v>120</v>
      </c>
      <c r="AE5" s="22">
        <f>IF(StPoToMRVWOIpDURc!$P$2=1,(S5/StPoToMRVWOIpDURc!$S$6)*StPoToMRVWOIpDURc!$E$17,AD5/StPoToMRVWOIpDURc!$AD$6*StPoToMRVWOIpDURc!$E$17)</f>
        <v>0</v>
      </c>
      <c r="AF5" s="22"/>
      <c r="AG5" s="22">
        <f>IF(StPoToMRVWOIpDURc!$P$2=1,(S5/StPoToMRVWOIpDURc!$S$6)*StPoToMRVWOIpDURc!$E$19,AD5/StPoToMRVWOIpDURc!$AD$6*StPoToMRVWOIpDURc!$E$19)</f>
        <v>0</v>
      </c>
      <c r="AH5" s="22">
        <f>IF(StPoToMRVWOIpDURc!$P$2=1,(S5/StPoToMRVWOIpDURc!$S$6)*StPoToMRVWOIpDURc!$E$20,AD5/StPoToMRVWOIpDURc!$AD$6*StPoToMRVWOIpDURc!$E$20)</f>
        <v>0</v>
      </c>
      <c r="AI5" s="22">
        <f>S5*StPoToMRVWOIpDURc!$M$2</f>
        <v>1271.81</v>
      </c>
      <c r="AJ5" s="22">
        <f>IF(StPoToMRVWOIpDURc!$C$2=3,0,AG5+AH5)</f>
        <v>0</v>
      </c>
      <c r="AK5" s="22">
        <f>IF(StPoToMRVWOIpDURc!$C$2=3,AE5+AG5+AH5,0)</f>
        <v>0</v>
      </c>
      <c r="AL5" s="23">
        <v>3</v>
      </c>
      <c r="AM5" s="22">
        <f>F5/AL5</f>
        <v>5</v>
      </c>
      <c r="AN5" s="22">
        <f>ROUND(AI5/AM5,5)</f>
        <v>254.362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254.362</v>
      </c>
      <c r="AS5" s="24" t="s">
        <v>79</v>
      </c>
      <c r="AT5" s="25" t="s">
        <v>76</v>
      </c>
      <c r="AU5" t="s">
        <v>78</v>
      </c>
      <c r="AV5" t="s">
        <v>306</v>
      </c>
      <c r="AW5" s="25">
        <f>AM5</f>
        <v>5</v>
      </c>
      <c r="AX5" s="100">
        <f>AR5</f>
        <v>254.362</v>
      </c>
      <c r="AY5" s="25">
        <f>AU5+AW5</f>
        <v>10</v>
      </c>
      <c r="AZ5" s="25">
        <f>ROUND(((AU5*AV5)+(AW5*AX5))/(AU5+AW5),5)</f>
        <v>268.181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>
        <v>85</v>
      </c>
      <c r="BN5" t="s">
        <v>85</v>
      </c>
      <c r="BO5" s="25">
        <f>ROUND((((AW5*AZ5)+(BN5*BM5))/(AW5+BN5)),5)</f>
        <v>268.181</v>
      </c>
      <c r="BP5" s="31">
        <f>ROUND(BN5+AW5,3)</f>
        <v>5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750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0">SUM(R4:R4)</f>
        <v>172.88</v>
      </c>
      <c r="S6" s="37">
        <f t="shared" si="0"/>
        <v>577.12</v>
      </c>
      <c r="T6" s="38"/>
      <c r="U6" s="38"/>
      <c r="V6" s="39">
        <f t="shared" si="0"/>
        <v>0</v>
      </c>
      <c r="W6" s="39">
        <f t="shared" si="0"/>
        <v>0</v>
      </c>
      <c r="X6" s="39">
        <f t="shared" si="0"/>
        <v>103.88</v>
      </c>
      <c r="Y6" s="39"/>
      <c r="Z6" s="39"/>
      <c r="AA6" s="39"/>
      <c r="AB6" s="38">
        <f t="shared" ref="AB6:AE6" si="1">SUM(AB4:AB4)</f>
        <v>103.88</v>
      </c>
      <c r="AC6" s="40">
        <f t="shared" si="1"/>
        <v>681</v>
      </c>
      <c r="AD6" s="41">
        <f t="shared" si="1"/>
        <v>120</v>
      </c>
      <c r="AE6" s="41">
        <f t="shared" si="1"/>
        <v>0</v>
      </c>
      <c r="AF6" s="40"/>
      <c r="AG6" s="41">
        <f t="shared" ref="AG6:AK6" si="2">SUM(AG4:AG4)</f>
        <v>0</v>
      </c>
      <c r="AH6" s="41">
        <f>IF($P$2=1,(S6/$S$6)*$E$20,AD6/$AD$6*$E$20)</f>
        <v>0</v>
      </c>
      <c r="AI6" s="41">
        <f t="shared" si="2"/>
        <v>577.12</v>
      </c>
      <c r="AJ6" s="41">
        <f t="shared" si="2"/>
        <v>0</v>
      </c>
      <c r="AK6" s="41">
        <f t="shared" si="2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750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21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172.88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21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577.12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103.88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681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E12" sqref="E12"/>
    </sheetView>
  </sheetViews>
  <sheetFormatPr defaultColWidth="8.84761904761905" defaultRowHeight="15"/>
  <cols>
    <col min="2" max="2" width="28" customWidth="1"/>
    <col min="3" max="3" width="24.1428571428571" customWidth="1"/>
    <col min="12" max="12" width="13.2190476190476" customWidth="1"/>
    <col min="13" max="13" width="9.14285714285714" customWidth="1"/>
    <col min="14" max="14" width="13.847619047619" customWidth="1"/>
    <col min="52" max="52" width="10.7142857142857" customWidth="1"/>
    <col min="64" max="64" width="11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309</v>
      </c>
      <c r="C4" s="19" t="s">
        <v>309</v>
      </c>
      <c r="D4" s="19" t="s">
        <v>76</v>
      </c>
      <c r="E4" s="19" t="s">
        <v>76</v>
      </c>
      <c r="F4" s="20">
        <v>5</v>
      </c>
      <c r="G4">
        <v>150</v>
      </c>
      <c r="H4" s="20">
        <f>F4*G4</f>
        <v>750</v>
      </c>
      <c r="I4">
        <v>5</v>
      </c>
      <c r="J4" s="20">
        <v>10</v>
      </c>
      <c r="K4" s="20">
        <v>10</v>
      </c>
      <c r="L4" s="20">
        <f>IF(OR(I4=0,I4="0"),0,H4)</f>
        <v>750</v>
      </c>
      <c r="M4" s="20">
        <f>ROUND(L4*I4%,3)</f>
        <v>37.5</v>
      </c>
      <c r="N4" s="20">
        <f>IF(OR(I4=0,I4="0"),0,H4-M4)</f>
        <v>712.5</v>
      </c>
      <c r="O4" s="20">
        <f>ROUND(N4*J4%,3)</f>
        <v>71.25</v>
      </c>
      <c r="P4" s="20">
        <f>ROUND(N4-O4,2)</f>
        <v>641.25</v>
      </c>
      <c r="Q4" s="20">
        <f>ROUND(P4*K4%,2)</f>
        <v>64.13</v>
      </c>
      <c r="R4" s="22">
        <f>ROUND(M4+O4+Q4,3)</f>
        <v>172.88</v>
      </c>
      <c r="S4" s="20">
        <f>(H4-R4)</f>
        <v>577.12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103.88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103.88</v>
      </c>
      <c r="AC4" s="21">
        <f>IF($V2=1,S4+AB4,S4)</f>
        <v>681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577.12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>F4/AL4</f>
        <v>1.66666666666667</v>
      </c>
      <c r="AN4" s="22">
        <f>ROUND(AI4/AM4,5)</f>
        <v>346.272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346.272</v>
      </c>
      <c r="AS4" s="24" t="s">
        <v>79</v>
      </c>
      <c r="AT4" s="25" t="s">
        <v>76</v>
      </c>
      <c r="AW4" s="25">
        <f>AM4</f>
        <v>1.66666666666667</v>
      </c>
      <c r="AX4" s="100">
        <f>AR4</f>
        <v>346.272</v>
      </c>
      <c r="AY4" s="25">
        <f>AU4+AW4</f>
        <v>6.66666666666667</v>
      </c>
      <c r="AZ4" s="25">
        <f>ROUND(((AU4*AV4)+(AW4*AX4))/(AU4+AW4),5)</f>
        <v>193.443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>
        <v>85</v>
      </c>
      <c r="BN4" t="s">
        <v>85</v>
      </c>
      <c r="BO4" s="25">
        <f>ROUND((((AW4*AZ4)+(BN4*BM4))/(AW4+BN4)),5)</f>
        <v>193.443</v>
      </c>
      <c r="BP4" s="31">
        <f>ROUND(BN4+AW4,3)</f>
        <v>1.667</v>
      </c>
      <c r="BQ4" s="32">
        <v>123562</v>
      </c>
    </row>
    <row r="5" ht="15.75" spans="1:69">
      <c r="A5" s="19">
        <v>1</v>
      </c>
      <c r="B5" s="19" t="s">
        <v>310</v>
      </c>
      <c r="C5" s="19" t="s">
        <v>310</v>
      </c>
      <c r="D5" s="19" t="s">
        <v>76</v>
      </c>
      <c r="E5" s="19" t="s">
        <v>76</v>
      </c>
      <c r="F5" s="20">
        <v>15</v>
      </c>
      <c r="G5">
        <v>100</v>
      </c>
      <c r="H5" s="20">
        <f>F5*G5</f>
        <v>1500</v>
      </c>
      <c r="I5">
        <v>4</v>
      </c>
      <c r="J5" s="20">
        <v>8</v>
      </c>
      <c r="K5" s="20">
        <v>4</v>
      </c>
      <c r="L5" s="20">
        <f>IF(OR(I5=0,I5="0"),0,H5)</f>
        <v>1500</v>
      </c>
      <c r="M5" s="20">
        <f>ROUND(L5*I5%,2)</f>
        <v>60</v>
      </c>
      <c r="N5" s="20">
        <f>IF(OR(I5=0,I5="0"),0,H5-M5)</f>
        <v>1440</v>
      </c>
      <c r="O5" s="20">
        <f>ROUND(N5*J5%,2)</f>
        <v>115.2</v>
      </c>
      <c r="P5" s="20">
        <f>ROUND(N5-O5,2)</f>
        <v>1324.8</v>
      </c>
      <c r="Q5" s="20">
        <f>ROUND(P5*K5%,2)</f>
        <v>52.99</v>
      </c>
      <c r="R5" s="20">
        <f>M5+O5+Q5</f>
        <v>228.19</v>
      </c>
      <c r="S5" s="20">
        <f>(H5-R5)</f>
        <v>1271.81</v>
      </c>
      <c r="T5" s="20">
        <v>88363222</v>
      </c>
      <c r="U5" s="20">
        <v>18</v>
      </c>
      <c r="V5" s="20">
        <f>IF(OR(StPoToMRVWOIpDUPl!$C$2=1,StPoToMRVWOIpDUPl!$C$2=4),ROUND((((S5*U5)/100)/2),2),0)</f>
        <v>0</v>
      </c>
      <c r="W5" s="20">
        <f>IF(StPoToMRVWOIpDUPl!$C$2=1,ROUND((((S5*U5)/100)/2),2),0)</f>
        <v>0</v>
      </c>
      <c r="X5" s="20">
        <f>IF(StPoToMRVWOIpDUPl!$C$2=2,ROUND(((S5*U5)/100),2),0)</f>
        <v>228.93</v>
      </c>
      <c r="Y5" s="20">
        <f>IF(StPoToMRVWOIpDUPl!$C$2=4,ROUND((((S5*U5)/100)/2),2),0)</f>
        <v>0</v>
      </c>
      <c r="Z5" s="20">
        <v>0</v>
      </c>
      <c r="AA5" s="20">
        <f>IF(StPoToMRVWOIpDUPl!$C3=3,0,(S5*Z5)/100)</f>
        <v>0</v>
      </c>
      <c r="AB5" s="20">
        <f>V5+W5+X5+Y5+AA5</f>
        <v>228.93</v>
      </c>
      <c r="AC5" s="20">
        <f>IF(StPoToMRVWOIpDUPl!$V3=1,S5+AB5,S5)</f>
        <v>1271.81</v>
      </c>
      <c r="AD5" s="22">
        <v>120</v>
      </c>
      <c r="AE5" s="22">
        <f>IF(StPoToMRVWOIpDUPl!$P$2=1,(S5/StPoToMRVWOIpDUPl!$S$6)*StPoToMRVWOIpDUPl!$E$17,AD5/StPoToMRVWOIpDUPl!$AD$6*StPoToMRVWOIpDUPl!$E$17)</f>
        <v>0</v>
      </c>
      <c r="AF5" s="22"/>
      <c r="AG5" s="22">
        <f>IF(StPoToMRVWOIpDUPl!$P$2=1,(S5/StPoToMRVWOIpDUPl!$S$6)*StPoToMRVWOIpDUPl!$E$19,AD5/StPoToMRVWOIpDUPl!$AD$6*StPoToMRVWOIpDUPl!$E$19)</f>
        <v>0</v>
      </c>
      <c r="AH5" s="22">
        <f>IF(StPoToMRVWOIpDUPl!$P$2=1,(S5/StPoToMRVWOIpDUPl!$S$6)*StPoToMRVWOIpDUPl!$E$20,AD5/StPoToMRVWOIpDUPl!$AD$6*StPoToMRVWOIpDUPl!$E$20)</f>
        <v>0</v>
      </c>
      <c r="AI5" s="22">
        <f>S5*StPoToMRVWOIpDUPl!$M$2</f>
        <v>1271.81</v>
      </c>
      <c r="AJ5" s="22">
        <f>IF(StPoToMRVWOIpDUPl!$C$2=3,0,AG5+AH5)</f>
        <v>0</v>
      </c>
      <c r="AK5" s="22">
        <f>IF(StPoToMRVWOIpDUPl!$C$2=3,AE5+AG5+AH5,0)</f>
        <v>0</v>
      </c>
      <c r="AL5" s="23">
        <v>3</v>
      </c>
      <c r="AM5" s="22">
        <f>F5/AL5</f>
        <v>5</v>
      </c>
      <c r="AN5" s="22">
        <f>ROUND(AI5/AM5,5)</f>
        <v>254.362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254.362</v>
      </c>
      <c r="AS5" s="24" t="s">
        <v>79</v>
      </c>
      <c r="AT5" s="25" t="s">
        <v>76</v>
      </c>
      <c r="AW5" s="25">
        <f>AM5</f>
        <v>5</v>
      </c>
      <c r="AX5" s="100">
        <f>AR5</f>
        <v>254.362</v>
      </c>
      <c r="AY5" s="25">
        <f>AU5+AW5</f>
        <v>10</v>
      </c>
      <c r="AZ5" s="25">
        <f>ROUND(((AU5*AV5)+(AW5*AX5))/(AU5+AW5),5)</f>
        <v>268.181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>
        <v>85</v>
      </c>
      <c r="BN5" t="s">
        <v>85</v>
      </c>
      <c r="BO5" s="25">
        <f>ROUND((((AW5*AZ5)+(BN5*BM5))/(AW5+BN5)),5)</f>
        <v>268.181</v>
      </c>
      <c r="BP5" s="31">
        <f>ROUND(BN5+AW5,3)</f>
        <v>5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750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0">SUM(R4:R4)</f>
        <v>172.88</v>
      </c>
      <c r="S6" s="37">
        <f t="shared" si="0"/>
        <v>577.12</v>
      </c>
      <c r="T6" s="38"/>
      <c r="U6" s="38"/>
      <c r="V6" s="39">
        <f t="shared" si="0"/>
        <v>0</v>
      </c>
      <c r="W6" s="39">
        <f t="shared" si="0"/>
        <v>0</v>
      </c>
      <c r="X6" s="39">
        <f t="shared" si="0"/>
        <v>103.88</v>
      </c>
      <c r="Y6" s="39"/>
      <c r="Z6" s="39"/>
      <c r="AA6" s="39"/>
      <c r="AB6" s="38">
        <f t="shared" ref="AB6:AE6" si="1">SUM(AB4:AB4)</f>
        <v>103.88</v>
      </c>
      <c r="AC6" s="40">
        <f t="shared" si="1"/>
        <v>681</v>
      </c>
      <c r="AD6" s="41">
        <f t="shared" si="1"/>
        <v>120</v>
      </c>
      <c r="AE6" s="41">
        <f t="shared" si="1"/>
        <v>0</v>
      </c>
      <c r="AF6" s="40"/>
      <c r="AG6" s="41">
        <f t="shared" ref="AG6:AK6" si="2">SUM(AG4:AG4)</f>
        <v>0</v>
      </c>
      <c r="AH6" s="41">
        <f>IF($P$2=1,(S6/$S$6)*$E$20,AD6/$AD$6*$E$20)</f>
        <v>0</v>
      </c>
      <c r="AI6" s="41">
        <f t="shared" si="2"/>
        <v>577.12</v>
      </c>
      <c r="AJ6" s="41">
        <f t="shared" si="2"/>
        <v>0</v>
      </c>
      <c r="AK6" s="41">
        <f t="shared" si="2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750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21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172.88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21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577.12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103.88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681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G16" sqref="G16"/>
    </sheetView>
  </sheetViews>
  <sheetFormatPr defaultColWidth="8.84761904761905" defaultRowHeight="15"/>
  <cols>
    <col min="2" max="2" width="28" customWidth="1"/>
    <col min="3" max="3" width="24.1428571428571" customWidth="1"/>
    <col min="13" max="13" width="9.14285714285714" customWidth="1"/>
    <col min="14" max="14" width="13.847619047619" customWidth="1"/>
    <col min="52" max="52" width="10.7142857142857" customWidth="1"/>
    <col min="64" max="64" width="11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311</v>
      </c>
      <c r="C4" s="19" t="s">
        <v>311</v>
      </c>
      <c r="D4" s="19" t="s">
        <v>76</v>
      </c>
      <c r="E4" s="19" t="s">
        <v>76</v>
      </c>
      <c r="F4" s="20">
        <v>5</v>
      </c>
      <c r="G4" t="s">
        <v>77</v>
      </c>
      <c r="H4" s="20">
        <f>F4*G4</f>
        <v>750</v>
      </c>
      <c r="I4" t="s">
        <v>78</v>
      </c>
      <c r="J4" s="20">
        <v>0</v>
      </c>
      <c r="K4" s="20">
        <v>0</v>
      </c>
      <c r="L4" s="20">
        <f>IF(OR(I4=0,I4="0"),0,H4)</f>
        <v>750</v>
      </c>
      <c r="M4" s="20">
        <f>ROUND(L4*I4%,3)</f>
        <v>37.5</v>
      </c>
      <c r="N4" s="20">
        <v>0</v>
      </c>
      <c r="O4" s="20">
        <f>ROUND(N4*J4%,3)</f>
        <v>0</v>
      </c>
      <c r="P4" s="20">
        <f>ROUND(N4-O4,2)</f>
        <v>0</v>
      </c>
      <c r="Q4" s="20">
        <f>ROUND(P4*K4%,2)</f>
        <v>0</v>
      </c>
      <c r="R4" s="22">
        <f>ROUND(M4+O4+Q4,3)</f>
        <v>37.5</v>
      </c>
      <c r="S4" s="20">
        <f>(H4-R4)</f>
        <v>712.5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128.25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128.25</v>
      </c>
      <c r="AC4" s="21">
        <f>IF($V2=1,S4+AB4,S4)</f>
        <v>840.75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712.5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142.5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142.5</v>
      </c>
      <c r="AS4" s="24" t="s">
        <v>79</v>
      </c>
      <c r="AT4" s="25" t="s">
        <v>76</v>
      </c>
      <c r="AU4" t="s">
        <v>85</v>
      </c>
      <c r="AV4" t="s">
        <v>112</v>
      </c>
      <c r="AW4" s="25">
        <f>AM4</f>
        <v>5</v>
      </c>
      <c r="AX4" s="100">
        <f>AR4</f>
        <v>142.5</v>
      </c>
      <c r="AY4" s="25">
        <f>AU4+AW4</f>
        <v>5</v>
      </c>
      <c r="AZ4" s="25">
        <f>ROUND(((AU4*AV4)+(AW4*AX4))/(AU4+AW4),5)</f>
        <v>142.5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>
        <v>312</v>
      </c>
      <c r="BN4" t="s">
        <v>313</v>
      </c>
      <c r="BO4" s="25">
        <f>ROUND((((AW4*AZ4)+(BN4*BM4))/(AW4+BN4)),5)</f>
        <v>100.00215</v>
      </c>
      <c r="BP4" s="31">
        <f>ROUND(BN4+AW4,3)</f>
        <v>99005</v>
      </c>
      <c r="BQ4" s="32">
        <v>123562</v>
      </c>
    </row>
    <row r="5" ht="15.75" spans="1:69">
      <c r="A5" s="19">
        <v>1</v>
      </c>
      <c r="B5" s="19" t="s">
        <v>314</v>
      </c>
      <c r="C5" s="19" t="s">
        <v>314</v>
      </c>
      <c r="D5" s="19" t="s">
        <v>76</v>
      </c>
      <c r="E5" s="19" t="s">
        <v>76</v>
      </c>
      <c r="F5" s="20">
        <v>4</v>
      </c>
      <c r="G5" t="s">
        <v>87</v>
      </c>
      <c r="H5" s="20">
        <f>F5*G5</f>
        <v>400</v>
      </c>
      <c r="I5" t="s">
        <v>88</v>
      </c>
      <c r="J5" s="20">
        <v>0</v>
      </c>
      <c r="K5" s="20">
        <v>0</v>
      </c>
      <c r="L5" s="20">
        <f t="shared" ref="L5" si="0">IF(OR(I5=0,I5="0"),0,H5)</f>
        <v>400</v>
      </c>
      <c r="M5" s="20">
        <f>ROUND(L5*I5%,2)</f>
        <v>16</v>
      </c>
      <c r="N5" s="20">
        <v>0</v>
      </c>
      <c r="O5" s="20">
        <f>ROUND(N5*J5%,2)</f>
        <v>0</v>
      </c>
      <c r="P5" s="20">
        <f>ROUND(N5-O5,2)</f>
        <v>0</v>
      </c>
      <c r="Q5" s="20">
        <f>ROUND(P5*K5%,2)</f>
        <v>0</v>
      </c>
      <c r="R5" s="20">
        <f>M5+O5+Q5</f>
        <v>16</v>
      </c>
      <c r="S5" s="20">
        <f>(H5-R5)</f>
        <v>384</v>
      </c>
      <c r="T5" s="20">
        <v>88363222</v>
      </c>
      <c r="U5" s="20">
        <v>18</v>
      </c>
      <c r="V5" s="20">
        <f>IF(OR(StPoToMRVWOIpPl!$C$2=1,StPoToMRVWOIpPl!$C$2=4),ROUND((((S5*U5)/100)/2),2),0)</f>
        <v>0</v>
      </c>
      <c r="W5" s="20">
        <f>IF(StPoToMRVWOIpPl!$C$2=1,ROUND((((S5*U5)/100)/2),2),0)</f>
        <v>0</v>
      </c>
      <c r="X5" s="20">
        <f>IF(StPoToMRVWOIpPl!$C$2=2,ROUND(((S5*U5)/100),2),0)</f>
        <v>69.12</v>
      </c>
      <c r="Y5" s="20">
        <f>IF(StPoToMRVWOIpPl!$C$2=4,ROUND((((S5*U5)/100)/2),2),0)</f>
        <v>0</v>
      </c>
      <c r="Z5" s="20">
        <v>0</v>
      </c>
      <c r="AA5" s="20">
        <f>IF(StPoToMRVWOIpPl!$C3=3,0,(S5*Z5)/100)</f>
        <v>0</v>
      </c>
      <c r="AB5" s="20">
        <f>V5+W5+X5+Y5+AA5</f>
        <v>69.12</v>
      </c>
      <c r="AC5" s="20">
        <f>IF(StPoToMRVWOIpPl!$V3=1,S5+AB5,S5)</f>
        <v>384</v>
      </c>
      <c r="AD5" s="22">
        <v>120</v>
      </c>
      <c r="AE5" s="22">
        <f>IF(StPoToMRVWOIpPl!$P$2=1,(S5/StPoToMRVWOIpPl!$S$6)*StPoToMRVWOIpPl!$E$17,AD5/StPoToMRVWOIpPl!$AD$6*StPoToMRVWOIpPl!$E$17)</f>
        <v>0</v>
      </c>
      <c r="AF5" s="22"/>
      <c r="AG5" s="22">
        <f>IF(StPoToMRVWOIpPl!$P$2=1,(S5/StPoToMRVWOIpPl!$S$6)*StPoToMRVWOIpPl!$E$19,AD5/StPoToMRVWOIpPl!$AD$6*StPoToMRVWOIpPl!$E$19)</f>
        <v>0</v>
      </c>
      <c r="AH5" s="22">
        <f>IF(StPoToMRVWOIpPl!$P$2=1,(S5/StPoToMRVWOIpPl!$S$6)*StPoToMRVWOIpPl!$E$20,AD5/StPoToMRVWOIpPl!$AD$6*StPoToMRVWOIpPl!$E$20)</f>
        <v>0</v>
      </c>
      <c r="AI5" s="22">
        <f>S5*StPoToMRVWOIpPl!$M$2</f>
        <v>384</v>
      </c>
      <c r="AJ5" s="22">
        <f>IF(StPoToMRVWOIpPl!$C$2=3,0,AG5+AH5)</f>
        <v>0</v>
      </c>
      <c r="AK5" s="22">
        <f>IF(StPoToMRVWOIpPl!$C$2=3,AE5+AG5+AH5,0)</f>
        <v>0</v>
      </c>
      <c r="AL5" s="23">
        <v>1</v>
      </c>
      <c r="AM5" s="22">
        <f>F5/AL5</f>
        <v>4</v>
      </c>
      <c r="AN5" s="22">
        <f>ROUND(AI5/AM5,5)</f>
        <v>96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96</v>
      </c>
      <c r="AS5" s="24" t="s">
        <v>79</v>
      </c>
      <c r="AT5" s="25" t="s">
        <v>76</v>
      </c>
      <c r="AU5" t="s">
        <v>85</v>
      </c>
      <c r="AV5" t="s">
        <v>114</v>
      </c>
      <c r="AW5" s="25">
        <f>AM5</f>
        <v>4</v>
      </c>
      <c r="AX5" s="100">
        <f>AR5</f>
        <v>96</v>
      </c>
      <c r="AY5" s="25">
        <f>AU5+AW5</f>
        <v>4</v>
      </c>
      <c r="AZ5" s="25">
        <f>ROUND(((AU5*AV5)+(AW5*AX5))/(AU5+AW5),5)</f>
        <v>96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>
        <v>315</v>
      </c>
      <c r="BN5" t="s">
        <v>316</v>
      </c>
      <c r="BO5" s="25">
        <f>ROUND((((AW5*AZ5)+(BN5*BM5))/(AW5+BN5)),5)</f>
        <v>99.99984</v>
      </c>
      <c r="BP5" s="31">
        <f>ROUND(BN5+AW5,3)</f>
        <v>99004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750</v>
      </c>
      <c r="I6" s="19"/>
      <c r="J6" s="19"/>
      <c r="K6" s="19"/>
      <c r="L6" s="19"/>
      <c r="M6" s="19"/>
      <c r="N6" s="19"/>
      <c r="O6" s="19"/>
      <c r="P6" s="19"/>
      <c r="Q6" s="19"/>
      <c r="R6" s="38">
        <f>SUM(R4:R4)</f>
        <v>37.5</v>
      </c>
      <c r="S6" s="37">
        <f>SUM(S4:S4)</f>
        <v>712.5</v>
      </c>
      <c r="T6" s="38"/>
      <c r="U6" s="38"/>
      <c r="V6" s="39">
        <f>SUM(V4:V4)</f>
        <v>0</v>
      </c>
      <c r="W6" s="39">
        <f>SUM(W4:W4)</f>
        <v>0</v>
      </c>
      <c r="X6" s="39">
        <f>SUM(X4:X4)</f>
        <v>128.25</v>
      </c>
      <c r="Y6" s="39"/>
      <c r="Z6" s="39"/>
      <c r="AA6" s="39"/>
      <c r="AB6" s="38">
        <f>SUM(AB4:AB4)</f>
        <v>128.25</v>
      </c>
      <c r="AC6" s="40">
        <f>SUM(AC4:AC4)</f>
        <v>840.75</v>
      </c>
      <c r="AD6" s="41">
        <f>SUM(AD4:AD4)</f>
        <v>120</v>
      </c>
      <c r="AE6" s="41">
        <f>SUM(AE4:AE4)</f>
        <v>0</v>
      </c>
      <c r="AF6" s="40"/>
      <c r="AG6" s="41">
        <f>SUM(AG4:AG4)</f>
        <v>0</v>
      </c>
      <c r="AH6" s="41">
        <f>IF($P$2=1,(S6/$S$6)*$E$20,AD6/$AD$6*$E$20)</f>
        <v>0</v>
      </c>
      <c r="AI6" s="41">
        <f>SUM(AI4:AI4)</f>
        <v>712.5</v>
      </c>
      <c r="AJ6" s="41">
        <f>SUM(AJ4:AJ4)</f>
        <v>0</v>
      </c>
      <c r="AK6" s="41">
        <f>SUM(AK4:AK4)</f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750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21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37.5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21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712.5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128.25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840.75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opLeftCell="E1" workbookViewId="0">
      <selection activeCell="S9" sqref="S9"/>
    </sheetView>
  </sheetViews>
  <sheetFormatPr defaultColWidth="8.84761904761905" defaultRowHeight="15"/>
  <cols>
    <col min="2" max="2" width="28" customWidth="1"/>
    <col min="3" max="3" width="24.1428571428571" customWidth="1"/>
    <col min="13" max="13" width="9.14285714285714" customWidth="1"/>
    <col min="14" max="14" width="13.847619047619" customWidth="1"/>
    <col min="52" max="52" width="10.7142857142857" customWidth="1"/>
    <col min="64" max="64" width="11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317</v>
      </c>
      <c r="C4" s="19" t="s">
        <v>317</v>
      </c>
      <c r="D4" s="19" t="s">
        <v>76</v>
      </c>
      <c r="E4" s="19" t="s">
        <v>76</v>
      </c>
      <c r="F4" s="20">
        <v>5</v>
      </c>
      <c r="G4" t="s">
        <v>77</v>
      </c>
      <c r="H4" s="20">
        <f>F4*G4</f>
        <v>750</v>
      </c>
      <c r="I4" t="s">
        <v>78</v>
      </c>
      <c r="J4" s="20">
        <v>0</v>
      </c>
      <c r="K4" s="20">
        <v>0</v>
      </c>
      <c r="L4" s="20">
        <f>IF(OR(I4=0,I4="0"),0,H4)</f>
        <v>750</v>
      </c>
      <c r="M4" s="20">
        <f>ROUND(L4*I4%,3)</f>
        <v>37.5</v>
      </c>
      <c r="N4" s="20">
        <v>0</v>
      </c>
      <c r="O4" s="20">
        <f>ROUND(N4*J4%,3)</f>
        <v>0</v>
      </c>
      <c r="P4" s="20">
        <f>ROUND(N4-O4,2)</f>
        <v>0</v>
      </c>
      <c r="Q4" s="20">
        <f>ROUND(P4*K4%,2)</f>
        <v>0</v>
      </c>
      <c r="R4" s="22">
        <f>ROUND(M4+O4+Q4,3)</f>
        <v>37.5</v>
      </c>
      <c r="S4" s="20">
        <f>(H4-R4)</f>
        <v>712.5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128.25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128.25</v>
      </c>
      <c r="AC4" s="21">
        <f>IF($V2=1,S4+AB4,S4)</f>
        <v>840.75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712.5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142.5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142.5</v>
      </c>
      <c r="AS4" s="24" t="s">
        <v>79</v>
      </c>
      <c r="AT4" s="25" t="s">
        <v>76</v>
      </c>
      <c r="AU4" t="s">
        <v>85</v>
      </c>
      <c r="AV4" t="s">
        <v>112</v>
      </c>
      <c r="AW4" s="25">
        <f>AM4</f>
        <v>5</v>
      </c>
      <c r="AX4" s="100">
        <f>AR4</f>
        <v>142.5</v>
      </c>
      <c r="AY4" s="25">
        <f>AU4+AW4</f>
        <v>5</v>
      </c>
      <c r="AZ4" s="25">
        <f>ROUND(((AU4*AV4)+(AW4*AX4))/(AU4+AW4),5)</f>
        <v>142.5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>
        <v>312</v>
      </c>
      <c r="BN4" t="s">
        <v>313</v>
      </c>
      <c r="BO4" s="25">
        <f>ROUND((((AW4*AZ4)+(BN4*BM4))/(AW4+BN4)),5)</f>
        <v>100.00215</v>
      </c>
      <c r="BP4" s="31">
        <f>ROUND(BN4+AW4,3)</f>
        <v>99005</v>
      </c>
      <c r="BQ4" s="32">
        <v>123562</v>
      </c>
    </row>
    <row r="5" ht="15.75" spans="1:69">
      <c r="A5" s="19">
        <v>1</v>
      </c>
      <c r="B5" s="19" t="s">
        <v>318</v>
      </c>
      <c r="C5" s="19" t="s">
        <v>318</v>
      </c>
      <c r="D5" s="19" t="s">
        <v>76</v>
      </c>
      <c r="E5" s="19" t="s">
        <v>76</v>
      </c>
      <c r="F5" s="20">
        <v>4</v>
      </c>
      <c r="G5" t="s">
        <v>87</v>
      </c>
      <c r="H5" s="20">
        <f>F5*G5</f>
        <v>400</v>
      </c>
      <c r="I5" t="s">
        <v>88</v>
      </c>
      <c r="J5" s="20">
        <v>0</v>
      </c>
      <c r="K5" s="20">
        <v>0</v>
      </c>
      <c r="L5" s="20">
        <f t="shared" ref="L5" si="0">IF(OR(I5=0,I5="0"),0,H5)</f>
        <v>400</v>
      </c>
      <c r="M5" s="20">
        <f>ROUND(L5*I5%,2)</f>
        <v>16</v>
      </c>
      <c r="N5" s="20">
        <v>0</v>
      </c>
      <c r="O5" s="20">
        <f>ROUND(N5*J5%,2)</f>
        <v>0</v>
      </c>
      <c r="P5" s="20">
        <f>ROUND(N5-O5,2)</f>
        <v>0</v>
      </c>
      <c r="Q5" s="20">
        <f>ROUND(P5*K5%,2)</f>
        <v>0</v>
      </c>
      <c r="R5" s="20">
        <f>M5+O5+Q5</f>
        <v>16</v>
      </c>
      <c r="S5" s="20">
        <f>(H5-R5)</f>
        <v>384</v>
      </c>
      <c r="T5" s="20">
        <v>88363222</v>
      </c>
      <c r="U5" s="20">
        <v>18</v>
      </c>
      <c r="V5" s="20">
        <f>IF(OR(StPoToMRVWOIpRc!$C$2=1,StPoToMRVWOIpRc!$C$2=4),ROUND((((S5*U5)/100)/2),2),0)</f>
        <v>0</v>
      </c>
      <c r="W5" s="20">
        <f>IF(StPoToMRVWOIpRc!$C$2=1,ROUND((((S5*U5)/100)/2),2),0)</f>
        <v>0</v>
      </c>
      <c r="X5" s="20">
        <f>IF(StPoToMRVWOIpRc!$C$2=2,ROUND(((S5*U5)/100),2),0)</f>
        <v>69.12</v>
      </c>
      <c r="Y5" s="20">
        <f>IF(StPoToMRVWOIpRc!$C$2=4,ROUND((((S5*U5)/100)/2),2),0)</f>
        <v>0</v>
      </c>
      <c r="Z5" s="20">
        <v>0</v>
      </c>
      <c r="AA5" s="20">
        <f>IF(StPoToMRVWOIpRc!$C3=3,0,(S5*Z5)/100)</f>
        <v>0</v>
      </c>
      <c r="AB5" s="20">
        <f>V5+W5+X5+Y5+AA5</f>
        <v>69.12</v>
      </c>
      <c r="AC5" s="20">
        <f>IF(StPoToMRVWOIpRc!$V3=1,S5+AB5,S5)</f>
        <v>384</v>
      </c>
      <c r="AD5" s="22">
        <v>120</v>
      </c>
      <c r="AE5" s="22">
        <f>IF(StPoToMRVWOIpRc!$P$2=1,(S5/StPoToMRVWOIpRc!$S$6)*StPoToMRVWOIpRc!$E$17,AD5/StPoToMRVWOIpRc!$AD$6*StPoToMRVWOIpRc!$E$17)</f>
        <v>0</v>
      </c>
      <c r="AF5" s="22"/>
      <c r="AG5" s="22">
        <f>IF(StPoToMRVWOIpRc!$P$2=1,(S5/StPoToMRVWOIpRc!$S$6)*StPoToMRVWOIpRc!$E$19,AD5/StPoToMRVWOIpRc!$AD$6*StPoToMRVWOIpRc!$E$19)</f>
        <v>0</v>
      </c>
      <c r="AH5" s="22">
        <f>IF(StPoToMRVWOIpRc!$P$2=1,(S5/StPoToMRVWOIpRc!$S$6)*StPoToMRVWOIpRc!$E$20,AD5/StPoToMRVWOIpRc!$AD$6*StPoToMRVWOIpRc!$E$20)</f>
        <v>0</v>
      </c>
      <c r="AI5" s="22">
        <f>S5*StPoToMRVWOIpRc!$M$2</f>
        <v>384</v>
      </c>
      <c r="AJ5" s="22">
        <f>IF(StPoToMRVWOIpRc!$C$2=3,0,AG5+AH5)</f>
        <v>0</v>
      </c>
      <c r="AK5" s="22">
        <f>IF(StPoToMRVWOIpRc!$C$2=3,AE5+AG5+AH5,0)</f>
        <v>0</v>
      </c>
      <c r="AL5" s="23">
        <v>1</v>
      </c>
      <c r="AM5" s="22">
        <f>F5/AL5</f>
        <v>4</v>
      </c>
      <c r="AN5" s="22">
        <f>ROUND(AI5/AM5,5)</f>
        <v>96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96</v>
      </c>
      <c r="AS5" s="24" t="s">
        <v>79</v>
      </c>
      <c r="AT5" s="25" t="s">
        <v>76</v>
      </c>
      <c r="AU5" t="s">
        <v>85</v>
      </c>
      <c r="AV5" t="s">
        <v>114</v>
      </c>
      <c r="AW5" s="25">
        <f>AM5</f>
        <v>4</v>
      </c>
      <c r="AX5" s="100">
        <f>AR5</f>
        <v>96</v>
      </c>
      <c r="AY5" s="25">
        <f>AU5+AW5</f>
        <v>4</v>
      </c>
      <c r="AZ5" s="25">
        <f>ROUND(((AU5*AV5)+(AW5*AX5))/(AU5+AW5),5)</f>
        <v>96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>
        <v>315</v>
      </c>
      <c r="BN5" t="s">
        <v>316</v>
      </c>
      <c r="BO5" s="25">
        <f>ROUND((((AW5*AZ5)+(BN5*BM5))/(AW5+BN5)),5)</f>
        <v>99.99984</v>
      </c>
      <c r="BP5" s="31">
        <f>ROUND(BN5+AW5,3)</f>
        <v>99004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750</v>
      </c>
      <c r="I6" s="19"/>
      <c r="J6" s="19"/>
      <c r="K6" s="19"/>
      <c r="L6" s="19"/>
      <c r="M6" s="19"/>
      <c r="N6" s="19"/>
      <c r="O6" s="19"/>
      <c r="P6" s="19"/>
      <c r="Q6" s="19"/>
      <c r="R6" s="38">
        <f>SUM(R4:R4)</f>
        <v>37.5</v>
      </c>
      <c r="S6" s="37">
        <f>SUM(S4:S4)</f>
        <v>712.5</v>
      </c>
      <c r="T6" s="38"/>
      <c r="U6" s="38"/>
      <c r="V6" s="39">
        <f>SUM(V4:V4)</f>
        <v>0</v>
      </c>
      <c r="W6" s="39">
        <f>SUM(W4:W4)</f>
        <v>0</v>
      </c>
      <c r="X6" s="39">
        <f>SUM(X4:X4)</f>
        <v>128.25</v>
      </c>
      <c r="Y6" s="39"/>
      <c r="Z6" s="39"/>
      <c r="AA6" s="39"/>
      <c r="AB6" s="38">
        <f>SUM(AB4:AB4)</f>
        <v>128.25</v>
      </c>
      <c r="AC6" s="40">
        <f>SUM(AC4:AC4)</f>
        <v>840.75</v>
      </c>
      <c r="AD6" s="41">
        <f>SUM(AD4:AD4)</f>
        <v>120</v>
      </c>
      <c r="AE6" s="41">
        <f>SUM(AE4:AE4)</f>
        <v>0</v>
      </c>
      <c r="AF6" s="40"/>
      <c r="AG6" s="41">
        <f>SUM(AG4:AG4)</f>
        <v>0</v>
      </c>
      <c r="AH6" s="41">
        <f>IF($P$2=1,(S6/$S$6)*$E$20,AD6/$AD$6*$E$20)</f>
        <v>0</v>
      </c>
      <c r="AI6" s="41">
        <f>SUM(AI4:AI4)</f>
        <v>712.5</v>
      </c>
      <c r="AJ6" s="41">
        <f>SUM(AJ4:AJ4)</f>
        <v>0</v>
      </c>
      <c r="AK6" s="41">
        <f>SUM(AK4:AK4)</f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750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21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37.5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21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712.5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128.25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840.75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opLeftCell="B1" workbookViewId="0">
      <selection activeCell="J5" sqref="J5"/>
    </sheetView>
  </sheetViews>
  <sheetFormatPr defaultColWidth="8.84761904761905" defaultRowHeight="15"/>
  <cols>
    <col min="2" max="2" width="28" customWidth="1"/>
    <col min="3" max="3" width="24.1428571428571" customWidth="1"/>
    <col min="13" max="13" width="9.14285714285714" customWidth="1"/>
    <col min="14" max="14" width="13.847619047619" customWidth="1"/>
    <col min="52" max="52" width="10.7142857142857" customWidth="1"/>
    <col min="64" max="64" width="11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319</v>
      </c>
      <c r="C4" s="19" t="s">
        <v>319</v>
      </c>
      <c r="D4" s="19" t="s">
        <v>76</v>
      </c>
      <c r="E4" s="19" t="s">
        <v>76</v>
      </c>
      <c r="F4" s="20">
        <v>5</v>
      </c>
      <c r="G4">
        <v>50</v>
      </c>
      <c r="H4" s="20">
        <f>F4*G4</f>
        <v>250</v>
      </c>
      <c r="I4">
        <v>5</v>
      </c>
      <c r="J4" s="20">
        <v>10</v>
      </c>
      <c r="K4" s="20">
        <v>10</v>
      </c>
      <c r="L4" s="20">
        <f>IF(OR(I4=0,I4="0"),0,H4)</f>
        <v>250</v>
      </c>
      <c r="M4" s="20">
        <f>ROUND(L4*I4%,3)</f>
        <v>12.5</v>
      </c>
      <c r="N4" s="20">
        <f>L4-M4</f>
        <v>237.5</v>
      </c>
      <c r="O4" s="20">
        <f>ROUND(N4*J4%,3)</f>
        <v>23.75</v>
      </c>
      <c r="P4" s="20">
        <f>ROUND(N4-O4,2)</f>
        <v>213.75</v>
      </c>
      <c r="Q4" s="20">
        <f>ROUND(P4*K4%,2)</f>
        <v>21.38</v>
      </c>
      <c r="R4" s="22">
        <f>ROUND(M4+O4+Q4,3)</f>
        <v>57.63</v>
      </c>
      <c r="S4" s="20">
        <f>(H4-R4)</f>
        <v>192.37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34.63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34.63</v>
      </c>
      <c r="AC4" s="21">
        <f>IF($V2=1,S4+AB4,S4)</f>
        <v>227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192.37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38.474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38.474</v>
      </c>
      <c r="AS4" s="24" t="s">
        <v>79</v>
      </c>
      <c r="AT4" s="25" t="s">
        <v>76</v>
      </c>
      <c r="AU4" t="s">
        <v>320</v>
      </c>
      <c r="AV4" t="s">
        <v>321</v>
      </c>
      <c r="AW4" s="25">
        <f>AM4</f>
        <v>5</v>
      </c>
      <c r="AX4" s="100">
        <f>AR4</f>
        <v>38.474</v>
      </c>
      <c r="AY4" s="25">
        <f>AU4+AW4</f>
        <v>51</v>
      </c>
      <c r="AZ4" s="25">
        <f>ROUND(((AU4*AV4)+(AW4*AX4))/(AU4+AW4),5)</f>
        <v>59.77311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>
        <v>322</v>
      </c>
      <c r="BN4" t="s">
        <v>323</v>
      </c>
      <c r="BO4" s="25">
        <f>ROUND((((AW4*AZ4)+(BN4*BM4))/(AW4+BN4)),5)</f>
        <v>66.49619</v>
      </c>
      <c r="BP4" s="31">
        <f>ROUND(BN4+AW4,3)</f>
        <v>9</v>
      </c>
      <c r="BQ4" s="32">
        <v>123562</v>
      </c>
    </row>
    <row r="5" ht="15.75" spans="1:69">
      <c r="A5" s="19">
        <v>1</v>
      </c>
      <c r="B5" s="19" t="s">
        <v>324</v>
      </c>
      <c r="C5" s="19" t="s">
        <v>324</v>
      </c>
      <c r="D5" s="19" t="s">
        <v>76</v>
      </c>
      <c r="E5" s="19" t="s">
        <v>76</v>
      </c>
      <c r="F5" s="20">
        <v>4</v>
      </c>
      <c r="G5">
        <v>100</v>
      </c>
      <c r="H5" s="20">
        <f>F5*G5</f>
        <v>400</v>
      </c>
      <c r="I5">
        <v>6</v>
      </c>
      <c r="J5" s="20">
        <v>8</v>
      </c>
      <c r="K5" s="20">
        <v>7</v>
      </c>
      <c r="L5" s="20">
        <f t="shared" ref="L5" si="0">IF(OR(I5=0,I5="0"),0,H5)</f>
        <v>400</v>
      </c>
      <c r="M5" s="20">
        <f>ROUND(L5*I5%,2)</f>
        <v>24</v>
      </c>
      <c r="N5" s="20">
        <f>L5-M5</f>
        <v>376</v>
      </c>
      <c r="O5" s="20">
        <f>ROUND(N5*J5%,2)</f>
        <v>30.08</v>
      </c>
      <c r="P5" s="20">
        <f>ROUND(N5-O5,2)</f>
        <v>345.92</v>
      </c>
      <c r="Q5" s="20">
        <f>ROUND(P5*K5%,2)</f>
        <v>24.21</v>
      </c>
      <c r="R5" s="20">
        <f>M5+O5+Q5</f>
        <v>78.29</v>
      </c>
      <c r="S5" s="20">
        <f>(H5-R5)</f>
        <v>321.71</v>
      </c>
      <c r="T5" s="20">
        <v>88363222</v>
      </c>
      <c r="U5" s="20">
        <v>18</v>
      </c>
      <c r="V5" s="20">
        <f>IF(OR(StPoToMRVWOIp!$C$2=1,StPoToMRVWOIp!$C$2=4),ROUND((((S5*U5)/100)/2),2),0)</f>
        <v>0</v>
      </c>
      <c r="W5" s="20">
        <f>IF(StPoToMRVWOIp!$C$2=1,ROUND((((S5*U5)/100)/2),2),0)</f>
        <v>0</v>
      </c>
      <c r="X5" s="20">
        <f>IF(StPoToMRVWOIp!$C$2=2,ROUND(((S5*U5)/100),2),0)</f>
        <v>57.91</v>
      </c>
      <c r="Y5" s="20">
        <f>IF(StPoToMRVWOIp!$C$2=4,ROUND((((S5*U5)/100)/2),2),0)</f>
        <v>0</v>
      </c>
      <c r="Z5" s="20">
        <v>0</v>
      </c>
      <c r="AA5" s="20">
        <f>IF(StPoToMRVWOIp!$C3=3,0,(S5*Z5)/100)</f>
        <v>0</v>
      </c>
      <c r="AB5" s="20">
        <f>V5+W5+X5+Y5+AA5</f>
        <v>57.91</v>
      </c>
      <c r="AC5" s="20">
        <f>IF(StPoToMRVWOIp!$V3=1,S5+AB5,S5)</f>
        <v>321.71</v>
      </c>
      <c r="AD5" s="22">
        <v>120</v>
      </c>
      <c r="AE5" s="22">
        <f>IF(StPoToMRVWOIp!$P$2=1,(S5/StPoToMRVWOIp!$S$6)*StPoToMRVWOIp!$E$17,AD5/StPoToMRVWOIp!$AD$6*StPoToMRVWOIp!$E$17)</f>
        <v>0</v>
      </c>
      <c r="AF5" s="22"/>
      <c r="AG5" s="22">
        <f>IF(StPoToMRVWOIp!$P$2=1,(S5/StPoToMRVWOIp!$S$6)*StPoToMRVWOIp!$E$19,AD5/StPoToMRVWOIp!$AD$6*StPoToMRVWOIp!$E$19)</f>
        <v>0</v>
      </c>
      <c r="AH5" s="22">
        <f>IF(StPoToMRVWOIp!$P$2=1,(S5/StPoToMRVWOIp!$S$6)*StPoToMRVWOIp!$E$20,AD5/StPoToMRVWOIp!$AD$6*StPoToMRVWOIp!$E$20)</f>
        <v>0</v>
      </c>
      <c r="AI5" s="22">
        <f>S5*StPoToMRVWOIp!$M$2</f>
        <v>321.71</v>
      </c>
      <c r="AJ5" s="22">
        <f>IF(StPoToMRVWOIp!$C$2=3,0,AG5+AH5)</f>
        <v>0</v>
      </c>
      <c r="AK5" s="22">
        <f>IF(StPoToMRVWOIp!$C$2=3,AE5+AG5+AH5,0)</f>
        <v>0</v>
      </c>
      <c r="AL5" s="23">
        <v>1</v>
      </c>
      <c r="AM5" s="22">
        <f>F5/AL5</f>
        <v>4</v>
      </c>
      <c r="AN5" s="22">
        <f>ROUND(AI5/AM5,5)</f>
        <v>80.4275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80.4275</v>
      </c>
      <c r="AS5" s="24" t="s">
        <v>79</v>
      </c>
      <c r="AT5" s="25" t="s">
        <v>76</v>
      </c>
      <c r="AU5" t="s">
        <v>293</v>
      </c>
      <c r="AV5" t="s">
        <v>325</v>
      </c>
      <c r="AW5" s="25">
        <f>AM5</f>
        <v>4</v>
      </c>
      <c r="AX5" s="100">
        <f>AR5</f>
        <v>80.4275</v>
      </c>
      <c r="AY5" s="25">
        <f>AU5+AW5</f>
        <v>68</v>
      </c>
      <c r="AZ5" s="25">
        <f>ROUND(((AU5*AV5)+(AW5*AX5))/(AU5+AW5),5)</f>
        <v>118.39193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>
        <v>326</v>
      </c>
      <c r="BN5" t="s">
        <v>327</v>
      </c>
      <c r="BO5" s="25">
        <f>ROUND((((AW5*AZ5)+(BN5*BM5))/(AW5+BN5)),5)</f>
        <v>122.33759</v>
      </c>
      <c r="BP5" s="31">
        <f>ROUND(BN5+AW5,3)</f>
        <v>14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250</v>
      </c>
      <c r="I6" s="19"/>
      <c r="J6" s="19"/>
      <c r="K6" s="19"/>
      <c r="L6" s="19"/>
      <c r="M6" s="19"/>
      <c r="N6" s="19"/>
      <c r="O6" s="19"/>
      <c r="P6" s="19"/>
      <c r="Q6" s="19"/>
      <c r="R6" s="38">
        <f>SUM(R4:R4)</f>
        <v>57.63</v>
      </c>
      <c r="S6" s="37">
        <f>SUM(S4:S4)</f>
        <v>192.37</v>
      </c>
      <c r="T6" s="38"/>
      <c r="U6" s="38"/>
      <c r="V6" s="39">
        <f>SUM(V4:V4)</f>
        <v>0</v>
      </c>
      <c r="W6" s="39">
        <f>SUM(W4:W4)</f>
        <v>0</v>
      </c>
      <c r="X6" s="39">
        <f>SUM(X4:X4)</f>
        <v>34.63</v>
      </c>
      <c r="Y6" s="39"/>
      <c r="Z6" s="39"/>
      <c r="AA6" s="39"/>
      <c r="AB6" s="38">
        <f>SUM(AB4:AB4)</f>
        <v>34.63</v>
      </c>
      <c r="AC6" s="40">
        <f>SUM(AC4:AC4)</f>
        <v>227</v>
      </c>
      <c r="AD6" s="41">
        <f>SUM(AD4:AD4)</f>
        <v>120</v>
      </c>
      <c r="AE6" s="41">
        <f>SUM(AE4:AE4)</f>
        <v>0</v>
      </c>
      <c r="AF6" s="40"/>
      <c r="AG6" s="41">
        <f>SUM(AG4:AG4)</f>
        <v>0</v>
      </c>
      <c r="AH6" s="41">
        <f>IF($P$2=1,(S6/$S$6)*$E$20,AD6/$AD$6*$E$20)</f>
        <v>0</v>
      </c>
      <c r="AI6" s="41">
        <f>SUM(AI4:AI4)</f>
        <v>192.37</v>
      </c>
      <c r="AJ6" s="41">
        <f>SUM(AJ4:AJ4)</f>
        <v>0</v>
      </c>
      <c r="AK6" s="41">
        <f>SUM(AK4:AK4)</f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250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21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57.63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21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192.37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34.63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227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B4" sqref="B4"/>
    </sheetView>
  </sheetViews>
  <sheetFormatPr defaultColWidth="8.84761904761905" defaultRowHeight="15"/>
  <cols>
    <col min="2" max="2" width="28" customWidth="1"/>
    <col min="3" max="3" width="23.7142857142857" customWidth="1"/>
    <col min="13" max="13" width="9.14285714285714" customWidth="1"/>
    <col min="14" max="14" width="13.847619047619" customWidth="1"/>
    <col min="64" max="64" width="11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328</v>
      </c>
      <c r="C4" s="19" t="s">
        <v>328</v>
      </c>
      <c r="D4" s="19" t="s">
        <v>76</v>
      </c>
      <c r="E4" s="19" t="s">
        <v>76</v>
      </c>
      <c r="F4" s="20">
        <v>5</v>
      </c>
      <c r="G4" t="s">
        <v>77</v>
      </c>
      <c r="H4" s="20">
        <f>F4*G4</f>
        <v>750</v>
      </c>
      <c r="I4" t="s">
        <v>78</v>
      </c>
      <c r="J4" s="20">
        <v>8</v>
      </c>
      <c r="K4" s="20">
        <v>5</v>
      </c>
      <c r="L4" s="20">
        <f>IF(OR(I4=0,I4="0"),0,H4)</f>
        <v>750</v>
      </c>
      <c r="M4" s="20">
        <f>ROUND(L4*I4%,3)</f>
        <v>37.5</v>
      </c>
      <c r="N4" s="20">
        <f>H4-M4</f>
        <v>712.5</v>
      </c>
      <c r="O4" s="20">
        <f>ROUND(N4*J4%,3)</f>
        <v>57</v>
      </c>
      <c r="P4" s="20">
        <f>ROUND(N4-O4,2)</f>
        <v>655.5</v>
      </c>
      <c r="Q4" s="20">
        <f>ROUND(P4*K4%,2)</f>
        <v>32.78</v>
      </c>
      <c r="R4" s="22">
        <f>ROUND(M4+O4+Q4,3)</f>
        <v>127.28</v>
      </c>
      <c r="S4" s="22">
        <f>(H4-R4)</f>
        <v>622.72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112.09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112.09</v>
      </c>
      <c r="AC4" s="21">
        <f>IF($V2=1,S4+AB4,S4)</f>
        <v>734.81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S4*$M2</f>
        <v>622.72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124.544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124.544</v>
      </c>
      <c r="AS4" s="24" t="s">
        <v>120</v>
      </c>
      <c r="AT4" s="25" t="s">
        <v>76</v>
      </c>
      <c r="AU4" t="s">
        <v>213</v>
      </c>
      <c r="AV4" t="s">
        <v>329</v>
      </c>
      <c r="AW4" s="25">
        <f>AM4</f>
        <v>5</v>
      </c>
      <c r="AX4" s="100">
        <f>AR4</f>
        <v>124.544</v>
      </c>
      <c r="AY4" s="25">
        <f>AU4+AW4</f>
        <v>20</v>
      </c>
      <c r="AZ4" s="25">
        <f>ROUND(((AU4*AV4)+(AW4*AX4))/(AU4+AW4),3)</f>
        <v>62.272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329</v>
      </c>
      <c r="BN4" t="s">
        <v>78</v>
      </c>
      <c r="BO4" s="25">
        <f>ROUND((((AW4*AZ4)+(BN4*BM4))/(AW4+BN4)),5)</f>
        <v>51.8935</v>
      </c>
      <c r="BP4" s="31">
        <f>ROUND(BN4+AW4,3)</f>
        <v>10</v>
      </c>
      <c r="BQ4" s="32">
        <v>123562</v>
      </c>
    </row>
    <row r="5" ht="15.75" spans="1:69">
      <c r="A5" s="19">
        <v>1</v>
      </c>
      <c r="B5" s="19" t="s">
        <v>330</v>
      </c>
      <c r="C5" s="19" t="s">
        <v>330</v>
      </c>
      <c r="D5" s="19" t="s">
        <v>76</v>
      </c>
      <c r="E5" s="19" t="s">
        <v>76</v>
      </c>
      <c r="F5" s="20">
        <v>4</v>
      </c>
      <c r="G5" t="s">
        <v>87</v>
      </c>
      <c r="H5" s="20">
        <f>F5*G5</f>
        <v>400</v>
      </c>
      <c r="I5" t="s">
        <v>88</v>
      </c>
      <c r="J5" s="20">
        <v>9</v>
      </c>
      <c r="K5" s="20">
        <v>6</v>
      </c>
      <c r="L5" s="20">
        <f t="shared" ref="L5:L6" si="0">IF(OR(I5=0,I5="0"),0,H5)</f>
        <v>400</v>
      </c>
      <c r="M5" s="20">
        <f>ROUND(L5*I5%,2)</f>
        <v>16</v>
      </c>
      <c r="N5" s="20">
        <f>H5-M5</f>
        <v>384</v>
      </c>
      <c r="O5" s="20">
        <f>ROUND(N5*J5%,2)</f>
        <v>34.56</v>
      </c>
      <c r="P5" s="20">
        <f>ROUND(N5-O5,2)</f>
        <v>349.44</v>
      </c>
      <c r="Q5" s="20">
        <f>ROUND(P5*K5%,2)</f>
        <v>20.97</v>
      </c>
      <c r="R5" s="20">
        <f>M5+O5+Q5</f>
        <v>71.53</v>
      </c>
      <c r="S5" s="20">
        <f>(H5-R5)</f>
        <v>328.47</v>
      </c>
      <c r="T5" s="20">
        <v>88363222</v>
      </c>
      <c r="U5" s="20">
        <v>18</v>
      </c>
      <c r="V5" s="20">
        <f>IF(OR(PoToMRVWOIpRcServ!$C$2=1,PoToMRVWOIpRcServ!$C$2=4),ROUND((((S5*U5)/100)/2),2),0)</f>
        <v>0</v>
      </c>
      <c r="W5" s="20">
        <f>IF(PoToMRVWOIpRcServ!$C$2=1,ROUND((((S5*U5)/100)/2),2),0)</f>
        <v>0</v>
      </c>
      <c r="X5" s="20">
        <f>IF(PoToMRVWOIpRcServ!$C$2=2,ROUND(((S5*U5)/100),2),0)</f>
        <v>59.12</v>
      </c>
      <c r="Y5" s="20">
        <f>IF(PoToMRVWOIpRcServ!$C$2=4,ROUND((((S5*U5)/100)/2),2),0)</f>
        <v>0</v>
      </c>
      <c r="Z5" s="20">
        <v>0</v>
      </c>
      <c r="AA5" s="20">
        <f>IF(PoToMRVWOIpRcServ!$C3=3,0,(S5*Z5)/100)</f>
        <v>0</v>
      </c>
      <c r="AB5" s="20">
        <f>V5+W5+X5+Y5+AA5</f>
        <v>59.12</v>
      </c>
      <c r="AC5" s="20">
        <f>IF(PoToMRVWOIpRcServ!$V3=1,S5+AB5,S5)</f>
        <v>328.47</v>
      </c>
      <c r="AD5" s="22">
        <v>120</v>
      </c>
      <c r="AE5" s="22">
        <f>IF(PoToMRVWOIpRcServ!$P$2=1,(S5/PoToMRVWOIpRcServ!$S$7)*PoToMRVWOIpRcServ!$E$18,AD5/PoToMRVWOIpRcServ!$AD$7*PoToMRVWOIpRcServ!$E$18)</f>
        <v>0</v>
      </c>
      <c r="AF5" s="22"/>
      <c r="AG5" s="22">
        <f>IF(PoToMRVWOIpRcServ!$P$2=1,(S5/PoToMRVWOIpRcServ!$S$7)*PoToMRVWOIpRcServ!$E$20,AD5/PoToMRVWOIpRcServ!$AD$7*PoToMRVWOIpRcServ!$E$20)</f>
        <v>0</v>
      </c>
      <c r="AH5" s="22">
        <f>IF(PoToMRVWOIpRcServ!$P$2=1,(S5/PoToMRVWOIpRcServ!$S$7)*PoToMRVWOIpRcServ!$E$21,AD5/PoToMRVWOIpRcServ!$AD$7*PoToMRVWOIpRcServ!$E$21)</f>
        <v>0</v>
      </c>
      <c r="AI5" s="22">
        <f>S5*PoToMRVWOIpRcServ!$M$2</f>
        <v>328.47</v>
      </c>
      <c r="AJ5" s="22">
        <f>IF(PoToMRVWOIpRcServ!$C$2=3,0,AG5+AH5)</f>
        <v>0</v>
      </c>
      <c r="AK5" s="22">
        <f>IF(PoToMRVWOIpRcServ!$C$2=3,AE5+AG5+AH5,0)</f>
        <v>0</v>
      </c>
      <c r="AL5" s="23">
        <v>1</v>
      </c>
      <c r="AM5" s="22">
        <f>F5/AL5</f>
        <v>4</v>
      </c>
      <c r="AN5" s="22">
        <f>ROUND(AI5/AM5,5)</f>
        <v>82.1175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>
        <v>331</v>
      </c>
      <c r="AV5" t="s">
        <v>332</v>
      </c>
      <c r="AW5" s="25">
        <f>AM5</f>
        <v>4</v>
      </c>
      <c r="AX5" s="100">
        <f>AR5</f>
        <v>82.1175</v>
      </c>
      <c r="AY5" s="25">
        <f>AU5+AW5</f>
        <v>16</v>
      </c>
      <c r="AZ5" s="100">
        <f>ROUND(((AU5*AV5)+(AW5*AX5))/(AU5+AW5),2)</f>
        <v>80.84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332</v>
      </c>
      <c r="BN5" t="s">
        <v>88</v>
      </c>
      <c r="BO5" s="25">
        <f>ROUND((((AW5*AZ5)+(BN5*BM5))/(AW5+BN5)),5)</f>
        <v>80.625</v>
      </c>
      <c r="BP5" s="31">
        <f>ROUND(BN5+AW5,3)</f>
        <v>8</v>
      </c>
      <c r="BQ5" s="32">
        <v>123562</v>
      </c>
    </row>
    <row r="6" ht="15.75" spans="1:69">
      <c r="A6" s="19">
        <v>1</v>
      </c>
      <c r="B6" s="102" t="s">
        <v>333</v>
      </c>
      <c r="C6" s="102" t="s">
        <v>333</v>
      </c>
      <c r="D6" s="19" t="s">
        <v>76</v>
      </c>
      <c r="E6" s="19" t="s">
        <v>76</v>
      </c>
      <c r="F6" s="20">
        <v>10</v>
      </c>
      <c r="G6" t="s">
        <v>239</v>
      </c>
      <c r="H6" s="20">
        <f>F6*G6</f>
        <v>500</v>
      </c>
      <c r="I6" t="s">
        <v>240</v>
      </c>
      <c r="J6" s="20">
        <v>7</v>
      </c>
      <c r="K6" s="20">
        <v>4</v>
      </c>
      <c r="L6" s="20">
        <f t="shared" si="0"/>
        <v>500</v>
      </c>
      <c r="M6" s="20">
        <f>ROUND(L6*I6%,2)</f>
        <v>15</v>
      </c>
      <c r="N6" s="20">
        <f>H6-M6</f>
        <v>485</v>
      </c>
      <c r="O6" s="20">
        <f>ROUND(N6*J6%,2)</f>
        <v>33.95</v>
      </c>
      <c r="P6" s="20">
        <f>ROUND(N6-O6,2)</f>
        <v>451.05</v>
      </c>
      <c r="Q6" s="20">
        <f>ROUND(P6*K6%,2)</f>
        <v>18.04</v>
      </c>
      <c r="R6" s="20">
        <f>M6+O6+Q6</f>
        <v>66.99</v>
      </c>
      <c r="S6" s="20">
        <f>(H6-R6)</f>
        <v>433.01</v>
      </c>
      <c r="T6" s="20">
        <v>88363222</v>
      </c>
      <c r="U6" s="20">
        <v>18</v>
      </c>
      <c r="V6" s="20">
        <f>IF(OR(PoToMRVWOIpRcServ!$C$2=1,PoToMRVWOIpRcServ!$C$2=4),ROUND((((S6*U6)/100)/2),2),0)</f>
        <v>0</v>
      </c>
      <c r="W6" s="20">
        <f>IF(PoToMRVWOIpRcServ!$C$2=1,ROUND((((S6*U6)/100)/2),2),0)</f>
        <v>0</v>
      </c>
      <c r="X6" s="20">
        <f>IF(PoToMRVWOIpRcServ!$C$2=2,ROUND(((S6*U6)/100),2),0)</f>
        <v>77.94</v>
      </c>
      <c r="Y6" s="20">
        <f>IF(PoToMRVWOIpRcServ!$C$2=4,ROUND((((S6*U6)/100)/2),2),0)</f>
        <v>0</v>
      </c>
      <c r="Z6" s="20">
        <v>0</v>
      </c>
      <c r="AA6" s="20">
        <f>IF(PoToMRVWOIpRcServ!$C4=3,0,(S6*Z6)/100)</f>
        <v>0</v>
      </c>
      <c r="AB6" s="20">
        <f>V6+W6+X6+Y6+AA6</f>
        <v>77.94</v>
      </c>
      <c r="AC6" s="20">
        <f>IF(PoToMRVWOIpRcServ!$V4=1,S6+AB6,S6)</f>
        <v>433.01</v>
      </c>
      <c r="AD6" s="22">
        <v>120</v>
      </c>
      <c r="AE6" s="22">
        <f>IF(PoToMRVWOIpRcServ!$P$2=1,(S6/PoToMRVWOIpRcServ!$S$7)*PoToMRVWOIpRcServ!$E$18,AD6/PoToMRVWOIpRcServ!$AD$7*PoToMRVWOIpRcServ!$E$18)</f>
        <v>0</v>
      </c>
      <c r="AF6" s="22"/>
      <c r="AG6" s="22">
        <f>IF(PoToMRVWOIpRcServ!$P$2=1,(S6/PoToMRVWOIpRcServ!$S$7)*PoToMRVWOIpRcServ!$E$20,AD6/PoToMRVWOIpRcServ!$AD$7*PoToMRVWOIpRcServ!$E$20)</f>
        <v>0</v>
      </c>
      <c r="AH6" s="22">
        <f>IF(PoToMRVWOIpRcServ!$P$2=1,(S6/PoToMRVWOIpRcServ!$S$7)*PoToMRVWOIpRcServ!$E$21,AD6/PoToMRVWOIpRcServ!$AD$7*PoToMRVWOIpRcServ!$E$21)</f>
        <v>0</v>
      </c>
      <c r="AI6" s="22">
        <f>S6*PoToMRVWOIpRcServ!$M$2</f>
        <v>433.01</v>
      </c>
      <c r="AJ6" s="22">
        <f>IF(PoToMRVWOIpRcServ!$C$2=3,0,AG6+AH6)</f>
        <v>0</v>
      </c>
      <c r="AK6" s="22">
        <f>IF(PoToMRVWOIpRcServ!$C$2=3,AE6+AG6+AH6,0)</f>
        <v>0</v>
      </c>
      <c r="AL6" s="23">
        <v>1</v>
      </c>
      <c r="AM6" s="22">
        <f>F6/AL6</f>
        <v>10</v>
      </c>
      <c r="AN6" s="22">
        <f>ROUND(AI6/AM6,5)</f>
        <v>43.301</v>
      </c>
      <c r="AO6" s="22">
        <f>AJ6/AM6</f>
        <v>0</v>
      </c>
      <c r="AP6" s="22">
        <f>AK6/AM6</f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>
        <v>204</v>
      </c>
      <c r="AV6" t="s">
        <v>167</v>
      </c>
      <c r="AW6" s="25">
        <f>AM6</f>
        <v>10</v>
      </c>
      <c r="AX6" s="25">
        <f>AR6</f>
        <v>43.301</v>
      </c>
      <c r="AY6" s="25">
        <f>AU6+AW6</f>
        <v>40</v>
      </c>
      <c r="AZ6" s="25">
        <f>ROUND(((AU6*AV6)+(AW6*AX6))/(AU6+AW6),3)</f>
        <v>104.234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>
        <v>167</v>
      </c>
      <c r="BN6" t="s">
        <v>174</v>
      </c>
      <c r="BO6" s="25">
        <f>ROUND((((AW6*AZ6)+(BN6*BM6))/(AW6+BN6)),5)</f>
        <v>114.3895</v>
      </c>
      <c r="BP6" s="31">
        <f>ROUND(BN6+AW6,3)</f>
        <v>20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750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">SUM(R4:R4)</f>
        <v>127.28</v>
      </c>
      <c r="S7" s="37">
        <f t="shared" si="1"/>
        <v>622.72</v>
      </c>
      <c r="T7" s="38"/>
      <c r="U7" s="38"/>
      <c r="V7" s="39">
        <f t="shared" si="1"/>
        <v>0</v>
      </c>
      <c r="W7" s="39">
        <f t="shared" si="1"/>
        <v>0</v>
      </c>
      <c r="X7" s="39">
        <f t="shared" si="1"/>
        <v>112.09</v>
      </c>
      <c r="Y7" s="39"/>
      <c r="Z7" s="39"/>
      <c r="AA7" s="39"/>
      <c r="AB7" s="38">
        <f>SUM(AB4:AB4)</f>
        <v>112.09</v>
      </c>
      <c r="AC7" s="40">
        <f>SUM(AC4:AC4)</f>
        <v>734.81</v>
      </c>
      <c r="AD7" s="41">
        <f>SUM(AD4:AD4)</f>
        <v>120</v>
      </c>
      <c r="AE7" s="41">
        <f>SUM(AE4:AE4)</f>
        <v>0</v>
      </c>
      <c r="AF7" s="40"/>
      <c r="AG7" s="41">
        <f t="shared" ref="AG7:AK7" si="2">SUM(AG4:AG4)</f>
        <v>0</v>
      </c>
      <c r="AH7" s="41">
        <f>IF($P$2=1,(S7/$S$7)*$E$21,AD7/$AD$7*$E$21)</f>
        <v>0</v>
      </c>
      <c r="AI7" s="41">
        <f t="shared" si="2"/>
        <v>622.72</v>
      </c>
      <c r="AJ7" s="41">
        <f t="shared" si="2"/>
        <v>0</v>
      </c>
      <c r="AK7" s="41">
        <f t="shared" si="2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750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127.28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622.72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112.09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734.81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G16" sqref="G16"/>
    </sheetView>
  </sheetViews>
  <sheetFormatPr defaultColWidth="8.84761904761905" defaultRowHeight="15"/>
  <cols>
    <col min="2" max="2" width="28" customWidth="1"/>
    <col min="3" max="3" width="23.7142857142857" customWidth="1"/>
    <col min="13" max="13" width="9.14285714285714" customWidth="1"/>
    <col min="14" max="14" width="13.847619047619" customWidth="1"/>
    <col min="64" max="64" width="11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328</v>
      </c>
      <c r="C4" s="19" t="s">
        <v>328</v>
      </c>
      <c r="D4" s="19" t="s">
        <v>76</v>
      </c>
      <c r="E4" s="19" t="s">
        <v>76</v>
      </c>
      <c r="F4" s="20">
        <v>5</v>
      </c>
      <c r="G4" t="s">
        <v>77</v>
      </c>
      <c r="H4" s="20">
        <f t="shared" ref="H4:H6" si="0">F4*G4</f>
        <v>750</v>
      </c>
      <c r="I4" t="s">
        <v>78</v>
      </c>
      <c r="J4" s="20">
        <v>8</v>
      </c>
      <c r="K4" s="20">
        <v>5</v>
      </c>
      <c r="L4" s="20">
        <f t="shared" ref="L4:L6" si="1">IF(OR(I4=0,I4="0"),0,H4)</f>
        <v>750</v>
      </c>
      <c r="M4" s="20">
        <f>ROUND(L4*I4%,3)</f>
        <v>37.5</v>
      </c>
      <c r="N4" s="20">
        <f t="shared" ref="N4:N6" si="2">H4-M4</f>
        <v>712.5</v>
      </c>
      <c r="O4" s="20">
        <f>ROUND(N4*J4%,3)</f>
        <v>57</v>
      </c>
      <c r="P4" s="20">
        <f t="shared" ref="P4:P6" si="3">ROUND(N4-O4,2)</f>
        <v>655.5</v>
      </c>
      <c r="Q4" s="20">
        <f t="shared" ref="Q4:Q6" si="4">ROUND(P4*K4%,2)</f>
        <v>32.78</v>
      </c>
      <c r="R4" s="22">
        <f>ROUND(M4+O4+Q4,3)</f>
        <v>127.28</v>
      </c>
      <c r="S4" s="22">
        <f t="shared" ref="S4:S6" si="5">(H4-R4)</f>
        <v>622.72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6">V4+W4+X4+Y4+AA4</f>
        <v>0</v>
      </c>
      <c r="AC4" s="21">
        <f>IF($V2=1,S4+AB4,S4)</f>
        <v>622.72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S4*$M2</f>
        <v>52931.2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7">F4/AL4</f>
        <v>5</v>
      </c>
      <c r="AN4" s="22">
        <f t="shared" ref="AN4:AN6" si="8">ROUND(AI4/AM4,5)</f>
        <v>10586.24</v>
      </c>
      <c r="AO4" s="22">
        <f t="shared" ref="AO4:AO6" si="9">AJ4/AM4</f>
        <v>0</v>
      </c>
      <c r="AP4" s="22">
        <f t="shared" ref="AP4:AP6" si="10">AK4/AM4</f>
        <v>0</v>
      </c>
      <c r="AQ4" s="22" t="s">
        <v>76</v>
      </c>
      <c r="AR4" s="22">
        <f t="shared" ref="AR4:AR6" si="11">ROUND(AN4+AO4+AP4,5)</f>
        <v>10586.24</v>
      </c>
      <c r="AS4" s="24" t="s">
        <v>120</v>
      </c>
      <c r="AT4" s="25" t="s">
        <v>76</v>
      </c>
      <c r="AU4" t="s">
        <v>213</v>
      </c>
      <c r="AV4" t="s">
        <v>329</v>
      </c>
      <c r="AW4" s="25">
        <f t="shared" ref="AW4:AW6" si="12">AM4</f>
        <v>5</v>
      </c>
      <c r="AX4" s="100">
        <f t="shared" ref="AX4:AX6" si="13">AR4</f>
        <v>10586.24</v>
      </c>
      <c r="AY4" s="25">
        <f t="shared" ref="AY4:AY6" si="14">AU4+AW4</f>
        <v>20</v>
      </c>
      <c r="AZ4" s="25">
        <f>ROUND(((AU4*AV4)+(AW4*AX4))/(AU4+AW4),3)</f>
        <v>2677.696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329</v>
      </c>
      <c r="BN4" t="s">
        <v>78</v>
      </c>
      <c r="BO4" s="25">
        <f t="shared" ref="BO4:BO6" si="15">ROUND((((AW4*AZ4)+(BN4*BM4))/(AW4+BN4)),5)</f>
        <v>1359.6055</v>
      </c>
      <c r="BP4" s="31">
        <f t="shared" ref="BP4:BP6" si="16">ROUND(BN4+AW4,3)</f>
        <v>10</v>
      </c>
      <c r="BQ4" s="32">
        <v>123562</v>
      </c>
    </row>
    <row r="5" ht="15.75" spans="1:69">
      <c r="A5" s="19">
        <v>1</v>
      </c>
      <c r="B5" s="19" t="s">
        <v>330</v>
      </c>
      <c r="C5" s="19" t="s">
        <v>330</v>
      </c>
      <c r="D5" s="19" t="s">
        <v>76</v>
      </c>
      <c r="E5" s="19" t="s">
        <v>76</v>
      </c>
      <c r="F5" s="20">
        <v>4</v>
      </c>
      <c r="G5" t="s">
        <v>87</v>
      </c>
      <c r="H5" s="20">
        <f t="shared" si="0"/>
        <v>400</v>
      </c>
      <c r="I5" t="s">
        <v>88</v>
      </c>
      <c r="J5" s="20">
        <v>9</v>
      </c>
      <c r="K5" s="20">
        <v>6</v>
      </c>
      <c r="L5" s="20">
        <f t="shared" si="1"/>
        <v>400</v>
      </c>
      <c r="M5" s="20">
        <f>ROUND(L5*I5%,2)</f>
        <v>16</v>
      </c>
      <c r="N5" s="20">
        <f t="shared" si="2"/>
        <v>384</v>
      </c>
      <c r="O5" s="20">
        <f>ROUND(N5*J5%,2)</f>
        <v>34.56</v>
      </c>
      <c r="P5" s="20">
        <f t="shared" si="3"/>
        <v>349.44</v>
      </c>
      <c r="Q5" s="20">
        <f t="shared" si="4"/>
        <v>20.97</v>
      </c>
      <c r="R5" s="20">
        <f>M5+O5+Q5</f>
        <v>71.53</v>
      </c>
      <c r="S5" s="20">
        <f t="shared" si="5"/>
        <v>328.47</v>
      </c>
      <c r="T5" s="20">
        <v>88363222</v>
      </c>
      <c r="U5" s="20">
        <v>18</v>
      </c>
      <c r="V5" s="20">
        <f>IF(OR(PoToMRVWOIpRcServImp!$C$2=1,PoToMRVWOIpRcServImp!$C$2=4),ROUND((((S5*U5)/100)/2),2),0)</f>
        <v>0</v>
      </c>
      <c r="W5" s="20">
        <f>IF(PoToMRVWOIpRcServImp!$C$2=1,ROUND((((S5*U5)/100)/2),2),0)</f>
        <v>0</v>
      </c>
      <c r="X5" s="20">
        <f>IF(PoToMRVWOIpRcServImp!$C$2=2,ROUND(((S5*U5)/100),2),0)</f>
        <v>0</v>
      </c>
      <c r="Y5" s="20">
        <f>IF(PoToMRVWOIpRcServImp!$C$2=4,ROUND((((S5*U5)/100)/2),2),0)</f>
        <v>0</v>
      </c>
      <c r="Z5" s="20">
        <v>0</v>
      </c>
      <c r="AA5" s="20">
        <f>IF(PoToMRVWOIpRcServImp!$C3=3,0,(S5*Z5)/100)</f>
        <v>0</v>
      </c>
      <c r="AB5" s="20">
        <f t="shared" si="6"/>
        <v>0</v>
      </c>
      <c r="AC5" s="20">
        <f>IF(PoToMRVWOIpRcServImp!$V3=1,S5+AB5,S5)</f>
        <v>328.47</v>
      </c>
      <c r="AD5" s="22">
        <v>120</v>
      </c>
      <c r="AE5" s="22">
        <f>IF(PoToMRVWOIpRcServImp!$P$2=1,(S5/PoToMRVWOIpRcServImp!$S$7)*PoToMRVWOIpRcServImp!$E$18,AD5/PoToMRVWOIpRcServImp!$AD$7*PoToMRVWOIpRcServImp!$E$18)</f>
        <v>0</v>
      </c>
      <c r="AF5" s="22"/>
      <c r="AG5" s="22">
        <f>IF(PoToMRVWOIpRcServImp!$P$2=1,(S5/PoToMRVWOIpRcServImp!$S$7)*PoToMRVWOIpRcServImp!$E$20,AD5/PoToMRVWOIpRcServImp!$AD$7*PoToMRVWOIpRcServImp!$E$20)</f>
        <v>0</v>
      </c>
      <c r="AH5" s="22">
        <f>IF(PoToMRVWOIpRcServImp!$P$2=1,(S5/PoToMRVWOIpRcServImp!$S$7)*PoToMRVWOIpRcServImp!$E$21,AD5/PoToMRVWOIpRcServImp!$AD$7*PoToMRVWOIpRcServImp!$E$21)</f>
        <v>0</v>
      </c>
      <c r="AI5" s="22">
        <f>S5*PoToMRVWOIpRcServImp!$M$2</f>
        <v>27919.95</v>
      </c>
      <c r="AJ5" s="22">
        <f>IF(PoToMRVWOIpRcServImp!$C$2=3,0,AG5+AH5)</f>
        <v>0</v>
      </c>
      <c r="AK5" s="22">
        <f>IF(PoToMRVWOIpRcServImp!$C$2=3,AE5+AG5+AH5,0)</f>
        <v>0</v>
      </c>
      <c r="AL5" s="23">
        <v>1</v>
      </c>
      <c r="AM5" s="22">
        <f t="shared" si="7"/>
        <v>4</v>
      </c>
      <c r="AN5" s="22">
        <f t="shared" si="8"/>
        <v>6979.9875</v>
      </c>
      <c r="AO5" s="22">
        <f t="shared" si="9"/>
        <v>0</v>
      </c>
      <c r="AP5" s="22">
        <f t="shared" si="10"/>
        <v>0</v>
      </c>
      <c r="AQ5" s="22" t="s">
        <v>76</v>
      </c>
      <c r="AR5" s="22">
        <f t="shared" si="11"/>
        <v>6979.9875</v>
      </c>
      <c r="AS5" s="24" t="s">
        <v>120</v>
      </c>
      <c r="AT5" s="25" t="s">
        <v>76</v>
      </c>
      <c r="AU5" t="s">
        <v>331</v>
      </c>
      <c r="AV5" t="s">
        <v>332</v>
      </c>
      <c r="AW5" s="25">
        <f t="shared" si="12"/>
        <v>4</v>
      </c>
      <c r="AX5" s="100">
        <f t="shared" si="13"/>
        <v>6979.9875</v>
      </c>
      <c r="AY5" s="25">
        <f t="shared" si="14"/>
        <v>16</v>
      </c>
      <c r="AZ5" s="100">
        <f>ROUND(((AU5*AV5)+(AW5*AX5))/(AU5+AW5),2)</f>
        <v>1805.3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332</v>
      </c>
      <c r="BN5" t="s">
        <v>88</v>
      </c>
      <c r="BO5" s="25">
        <f t="shared" si="15"/>
        <v>942.855</v>
      </c>
      <c r="BP5" s="31">
        <f t="shared" si="16"/>
        <v>8</v>
      </c>
      <c r="BQ5" s="32">
        <v>123562</v>
      </c>
    </row>
    <row r="6" ht="15.75" spans="1:69">
      <c r="A6" s="19">
        <v>1</v>
      </c>
      <c r="B6" s="102" t="s">
        <v>333</v>
      </c>
      <c r="C6" s="102" t="s">
        <v>333</v>
      </c>
      <c r="D6" s="19" t="s">
        <v>76</v>
      </c>
      <c r="E6" s="19" t="s">
        <v>76</v>
      </c>
      <c r="F6" s="20">
        <v>10</v>
      </c>
      <c r="G6" t="s">
        <v>239</v>
      </c>
      <c r="H6" s="20">
        <f t="shared" si="0"/>
        <v>500</v>
      </c>
      <c r="I6" t="s">
        <v>240</v>
      </c>
      <c r="J6" s="20">
        <v>7</v>
      </c>
      <c r="K6" s="20">
        <v>4</v>
      </c>
      <c r="L6" s="20">
        <f t="shared" si="1"/>
        <v>500</v>
      </c>
      <c r="M6" s="20">
        <f>ROUND(L6*I6%,2)</f>
        <v>15</v>
      </c>
      <c r="N6" s="20">
        <f t="shared" si="2"/>
        <v>485</v>
      </c>
      <c r="O6" s="20">
        <f>ROUND(N6*J6%,2)</f>
        <v>33.95</v>
      </c>
      <c r="P6" s="20">
        <f t="shared" si="3"/>
        <v>451.05</v>
      </c>
      <c r="Q6" s="20">
        <f t="shared" si="4"/>
        <v>18.04</v>
      </c>
      <c r="R6" s="20">
        <f>M6+O6+Q6</f>
        <v>66.99</v>
      </c>
      <c r="S6" s="20">
        <f t="shared" si="5"/>
        <v>433.01</v>
      </c>
      <c r="T6" s="20">
        <v>88363222</v>
      </c>
      <c r="U6" s="20">
        <v>18</v>
      </c>
      <c r="V6" s="20">
        <f>IF(OR(PoToMRVWOIpRcServImp!$C$2=1,PoToMRVWOIpRcServImp!$C$2=4),ROUND((((S6*U6)/100)/2),2),0)</f>
        <v>0</v>
      </c>
      <c r="W6" s="20">
        <f>IF(PoToMRVWOIpRcServImp!$C$2=1,ROUND((((S6*U6)/100)/2),2),0)</f>
        <v>0</v>
      </c>
      <c r="X6" s="20">
        <f>IF(PoToMRVWOIpRcServImp!$C$2=2,ROUND(((S6*U6)/100),2),0)</f>
        <v>0</v>
      </c>
      <c r="Y6" s="20">
        <f>IF(PoToMRVWOIpRcServImp!$C$2=4,ROUND((((S6*U6)/100)/2),2),0)</f>
        <v>0</v>
      </c>
      <c r="Z6" s="20">
        <v>0</v>
      </c>
      <c r="AA6" s="20">
        <f>IF(PoToMRVWOIpRcServImp!$C4=3,0,(S6*Z6)/100)</f>
        <v>0</v>
      </c>
      <c r="AB6" s="20">
        <f t="shared" si="6"/>
        <v>0</v>
      </c>
      <c r="AC6" s="20">
        <f>IF(PoToMRVWOIpRcServImp!$V4=1,S6+AB6,S6)</f>
        <v>433.01</v>
      </c>
      <c r="AD6" s="22">
        <v>120</v>
      </c>
      <c r="AE6" s="22">
        <f>IF(PoToMRVWOIpRcServImp!$P$2=1,(S6/PoToMRVWOIpRcServImp!$S$7)*PoToMRVWOIpRcServImp!$E$18,AD6/PoToMRVWOIpRcServImp!$AD$7*PoToMRVWOIpRcServImp!$E$18)</f>
        <v>0</v>
      </c>
      <c r="AF6" s="22"/>
      <c r="AG6" s="22">
        <f>IF(PoToMRVWOIpRcServImp!$P$2=1,(S6/PoToMRVWOIpRcServImp!$S$7)*PoToMRVWOIpRcServImp!$E$20,AD6/PoToMRVWOIpRcServImp!$AD$7*PoToMRVWOIpRcServImp!$E$20)</f>
        <v>0</v>
      </c>
      <c r="AH6" s="22">
        <f>IF(PoToMRVWOIpRcServImp!$P$2=1,(S6/PoToMRVWOIpRcServImp!$S$7)*PoToMRVWOIpRcServImp!$E$21,AD6/PoToMRVWOIpRcServImp!$AD$7*PoToMRVWOIpRcServImp!$E$21)</f>
        <v>0</v>
      </c>
      <c r="AI6" s="22">
        <f>S6*PoToMRVWOIpRcServImp!$M$2</f>
        <v>36805.85</v>
      </c>
      <c r="AJ6" s="22">
        <f>IF(PoToMRVWOIpRcServImp!$C$2=3,0,AG6+AH6)</f>
        <v>0</v>
      </c>
      <c r="AK6" s="22">
        <f>IF(PoToMRVWOIpRcServImp!$C$2=3,AE6+AG6+AH6,0)</f>
        <v>0</v>
      </c>
      <c r="AL6" s="23">
        <v>1</v>
      </c>
      <c r="AM6" s="22">
        <f t="shared" si="7"/>
        <v>10</v>
      </c>
      <c r="AN6" s="22">
        <f t="shared" si="8"/>
        <v>3680.585</v>
      </c>
      <c r="AO6" s="22">
        <f t="shared" si="9"/>
        <v>0</v>
      </c>
      <c r="AP6" s="22">
        <f t="shared" si="10"/>
        <v>0</v>
      </c>
      <c r="AQ6" s="22" t="s">
        <v>76</v>
      </c>
      <c r="AR6" s="22">
        <f t="shared" si="11"/>
        <v>3680.585</v>
      </c>
      <c r="AS6" s="24" t="s">
        <v>120</v>
      </c>
      <c r="AT6" s="25" t="s">
        <v>76</v>
      </c>
      <c r="AU6" t="s">
        <v>204</v>
      </c>
      <c r="AV6" t="s">
        <v>167</v>
      </c>
      <c r="AW6" s="25">
        <f t="shared" si="12"/>
        <v>10</v>
      </c>
      <c r="AX6" s="25">
        <f t="shared" si="13"/>
        <v>3680.585</v>
      </c>
      <c r="AY6" s="25">
        <f t="shared" si="14"/>
        <v>40</v>
      </c>
      <c r="AZ6" s="25">
        <f>ROUND(((AU6*AV6)+(AW6*AX6))/(AU6+AW6),3)</f>
        <v>1013.555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>
        <v>167</v>
      </c>
      <c r="BN6" t="s">
        <v>174</v>
      </c>
      <c r="BO6" s="25">
        <f t="shared" si="15"/>
        <v>569.05</v>
      </c>
      <c r="BP6" s="31">
        <f t="shared" si="16"/>
        <v>20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750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127.28</v>
      </c>
      <c r="S7" s="37">
        <f t="shared" si="17"/>
        <v>622.72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0</v>
      </c>
      <c r="Y7" s="39"/>
      <c r="Z7" s="39"/>
      <c r="AA7" s="39"/>
      <c r="AB7" s="38">
        <f t="shared" ref="AB7:AE7" si="18">SUM(AB4:AB4)</f>
        <v>0</v>
      </c>
      <c r="AC7" s="40">
        <f t="shared" si="18"/>
        <v>622.72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52931.2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750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127.28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622.72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622.72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O1" workbookViewId="0">
      <selection activeCell="AX8" sqref="AX8"/>
    </sheetView>
  </sheetViews>
  <sheetFormatPr defaultColWidth="8.84761904761905" defaultRowHeight="15"/>
  <cols>
    <col min="2" max="2" width="28" customWidth="1"/>
    <col min="3" max="3" width="23" customWidth="1"/>
    <col min="13" max="13" width="9.14285714285714" customWidth="1"/>
    <col min="14" max="14" width="13.847619047619" customWidth="1"/>
    <col min="64" max="64" width="11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334</v>
      </c>
      <c r="C4" s="19" t="s">
        <v>334</v>
      </c>
      <c r="D4" s="19" t="s">
        <v>76</v>
      </c>
      <c r="E4" s="19" t="s">
        <v>76</v>
      </c>
      <c r="F4" s="20">
        <v>5</v>
      </c>
      <c r="G4" t="s">
        <v>77</v>
      </c>
      <c r="H4" s="20">
        <f>F4*G4</f>
        <v>750</v>
      </c>
      <c r="I4" t="s">
        <v>78</v>
      </c>
      <c r="J4" s="20">
        <v>8</v>
      </c>
      <c r="K4" s="20">
        <v>5</v>
      </c>
      <c r="L4" s="20">
        <f>IF(OR(I4=0,I4="0"),0,H4)</f>
        <v>750</v>
      </c>
      <c r="M4" s="20">
        <f>ROUND(L4*I4%,3)</f>
        <v>37.5</v>
      </c>
      <c r="N4" s="20">
        <f>H4-M4</f>
        <v>712.5</v>
      </c>
      <c r="O4" s="20">
        <f>ROUND(N4*J4%,3)</f>
        <v>57</v>
      </c>
      <c r="P4" s="20">
        <f>ROUND(N4-O4,2)</f>
        <v>655.5</v>
      </c>
      <c r="Q4" s="20">
        <f>ROUND(P4*K4%,2)</f>
        <v>32.78</v>
      </c>
      <c r="R4" s="22">
        <f>ROUND(M4+O4+Q4,3)</f>
        <v>127.28</v>
      </c>
      <c r="S4" s="22">
        <f>(H4-R4)</f>
        <v>622.72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112.09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112.09</v>
      </c>
      <c r="AC4" s="21">
        <f>IF($V2=1,S4+AB4,S4)</f>
        <v>734.81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S4*$M2</f>
        <v>622.72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124.544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124.544</v>
      </c>
      <c r="AS4" s="24" t="s">
        <v>120</v>
      </c>
      <c r="AT4" s="25" t="s">
        <v>76</v>
      </c>
      <c r="AU4" t="s">
        <v>213</v>
      </c>
      <c r="AV4" t="s">
        <v>335</v>
      </c>
      <c r="AW4" s="25">
        <f>AM4</f>
        <v>5</v>
      </c>
      <c r="AX4" s="100">
        <f>AR4</f>
        <v>124.544</v>
      </c>
      <c r="AY4" s="25">
        <f>AU4+AW4</f>
        <v>15</v>
      </c>
      <c r="AZ4" s="26">
        <f>ROUND(((AU4*AV4)+(AW4*AX4))/(AU4+AW4),3)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167</v>
      </c>
      <c r="BN4" t="s">
        <v>289</v>
      </c>
      <c r="BO4" s="25">
        <f>ROUND((((AW4*AZ4)+(BN4*BM4))/(AW4+BN4)),5)</f>
        <v>124.545</v>
      </c>
      <c r="BP4" s="31">
        <f>ROUND(BN4+AW4,3)</f>
        <v>5</v>
      </c>
      <c r="BQ4" s="32">
        <v>123562</v>
      </c>
    </row>
    <row r="5" ht="15.75" spans="1:69">
      <c r="A5" s="19">
        <v>1</v>
      </c>
      <c r="B5" s="19" t="s">
        <v>336</v>
      </c>
      <c r="C5" s="19" t="s">
        <v>336</v>
      </c>
      <c r="D5" s="19" t="s">
        <v>76</v>
      </c>
      <c r="E5" s="19" t="s">
        <v>76</v>
      </c>
      <c r="F5" s="20">
        <v>4</v>
      </c>
      <c r="G5" t="s">
        <v>87</v>
      </c>
      <c r="H5" s="20">
        <f>F5*G5</f>
        <v>400</v>
      </c>
      <c r="I5" t="s">
        <v>88</v>
      </c>
      <c r="J5" s="20">
        <v>9</v>
      </c>
      <c r="K5" s="20">
        <v>6</v>
      </c>
      <c r="L5" s="20">
        <f t="shared" ref="L5:L6" si="0">IF(OR(I5=0,I5="0"),0,H5)</f>
        <v>400</v>
      </c>
      <c r="M5" s="20">
        <f>ROUND(L5*I5%,2)</f>
        <v>16</v>
      </c>
      <c r="N5" s="20">
        <f>H5-M5</f>
        <v>384</v>
      </c>
      <c r="O5" s="20">
        <f>ROUND(N5*J5%,2)</f>
        <v>34.56</v>
      </c>
      <c r="P5" s="20">
        <f>ROUND(N5-O5,2)</f>
        <v>349.44</v>
      </c>
      <c r="Q5" s="20">
        <f>ROUND(P5*K5%,2)</f>
        <v>20.97</v>
      </c>
      <c r="R5" s="20">
        <f>M5+O5+Q5</f>
        <v>71.53</v>
      </c>
      <c r="S5" s="20">
        <f>(H5-R5)</f>
        <v>328.47</v>
      </c>
      <c r="T5" s="20">
        <v>88363222</v>
      </c>
      <c r="U5" s="20">
        <v>18</v>
      </c>
      <c r="V5" s="20">
        <f>IF(OR(PoToMRVWOIpPl!$C$2=1,PoToMRVWOIpPl!$C$2=4),ROUND((((S5*U5)/100)/2),2),0)</f>
        <v>0</v>
      </c>
      <c r="W5" s="20">
        <f>IF(PoToMRVWOIpPl!$C$2=1,ROUND((((S5*U5)/100)/2),2),0)</f>
        <v>0</v>
      </c>
      <c r="X5" s="20">
        <f>IF(PoToMRVWOIpPl!$C$2=2,ROUND(((S5*U5)/100),2),0)</f>
        <v>59.12</v>
      </c>
      <c r="Y5" s="20">
        <f>IF(PoToMRVWOIpPl!$C$2=4,ROUND((((S5*U5)/100)/2),2),0)</f>
        <v>0</v>
      </c>
      <c r="Z5" s="20">
        <v>0</v>
      </c>
      <c r="AA5" s="20">
        <f>IF(PoToMRVWOIpPl!$C3=3,0,(S5*Z5)/100)</f>
        <v>0</v>
      </c>
      <c r="AB5" s="20">
        <f>V5+W5+X5+Y5+AA5</f>
        <v>59.12</v>
      </c>
      <c r="AC5" s="20">
        <f>IF(PoToMRVWOIpPl!$V3=1,S5+AB5,S5)</f>
        <v>328.47</v>
      </c>
      <c r="AD5" s="22">
        <v>120</v>
      </c>
      <c r="AE5" s="22">
        <f>IF(PoToMRVWOIpPl!$P$2=1,(S5/PoToMRVWOIpPl!$S$7)*PoToMRVWOIpPl!$E$18,AD5/PoToMRVWOIpPl!$AD$7*PoToMRVWOIpPl!$E$18)</f>
        <v>0</v>
      </c>
      <c r="AF5" s="22"/>
      <c r="AG5" s="22">
        <f>IF(PoToMRVWOIpPl!$P$2=1,(S5/PoToMRVWOIpPl!$S$7)*PoToMRVWOIpPl!$E$20,AD5/PoToMRVWOIpPl!$AD$7*PoToMRVWOIpPl!$E$20)</f>
        <v>0</v>
      </c>
      <c r="AH5" s="22">
        <f>IF(PoToMRVWOIpPl!$P$2=1,(S5/PoToMRVWOIpPl!$S$7)*PoToMRVWOIpPl!$E$21,AD5/PoToMRVWOIpPl!$AD$7*PoToMRVWOIpPl!$E$21)</f>
        <v>0</v>
      </c>
      <c r="AI5" s="22">
        <f>S5*PoToMRVWOIpPl!$M$2</f>
        <v>328.47</v>
      </c>
      <c r="AJ5" s="22">
        <f>IF(PoToMRVWOIpPl!$C$2=3,0,AG5+AH5)</f>
        <v>0</v>
      </c>
      <c r="AK5" s="22">
        <f>IF(PoToMRVWOIpPl!$C$2=3,AE5+AG5+AH5,0)</f>
        <v>0</v>
      </c>
      <c r="AL5" s="23">
        <v>1</v>
      </c>
      <c r="AM5" s="22">
        <f>F5/AL5</f>
        <v>4</v>
      </c>
      <c r="AN5" s="22">
        <f>ROUND(AI5/AM5,5)</f>
        <v>82.1175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>
        <v>337</v>
      </c>
      <c r="AV5" t="s">
        <v>338</v>
      </c>
      <c r="AW5" s="25">
        <f>AM5</f>
        <v>4</v>
      </c>
      <c r="AX5" s="100">
        <f>AR5</f>
        <v>82.1175</v>
      </c>
      <c r="AY5" s="25">
        <f>AU5+AW5</f>
        <v>12</v>
      </c>
      <c r="AZ5" s="100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157</v>
      </c>
      <c r="BN5" t="s">
        <v>301</v>
      </c>
      <c r="BO5" s="25">
        <f>ROUND((((AW5*AZ5)+(BN5*BM5))/(AW5+BN5)),5)</f>
        <v>82.12</v>
      </c>
      <c r="BP5" s="31">
        <f>ROUND(BN5+AW5,3)</f>
        <v>4</v>
      </c>
      <c r="BQ5" s="32">
        <v>123562</v>
      </c>
    </row>
    <row r="6" ht="15.75" spans="1:69">
      <c r="A6" s="19">
        <v>1</v>
      </c>
      <c r="B6" s="101" t="s">
        <v>339</v>
      </c>
      <c r="C6" s="102" t="s">
        <v>339</v>
      </c>
      <c r="D6" s="19" t="s">
        <v>76</v>
      </c>
      <c r="E6" s="19" t="s">
        <v>76</v>
      </c>
      <c r="F6" s="20">
        <v>20</v>
      </c>
      <c r="G6" t="s">
        <v>239</v>
      </c>
      <c r="H6" s="20">
        <f>F6*G6</f>
        <v>1000</v>
      </c>
      <c r="I6" t="s">
        <v>240</v>
      </c>
      <c r="J6" s="20">
        <v>7</v>
      </c>
      <c r="K6" s="20">
        <v>4</v>
      </c>
      <c r="L6" s="20">
        <f t="shared" si="0"/>
        <v>1000</v>
      </c>
      <c r="M6" s="20">
        <f>ROUND(L6*I6%,2)</f>
        <v>30</v>
      </c>
      <c r="N6" s="20">
        <f>H6-M6</f>
        <v>970</v>
      </c>
      <c r="O6" s="20">
        <f>ROUND(N6*J6%,2)</f>
        <v>67.9</v>
      </c>
      <c r="P6" s="20">
        <f>ROUND(N6-O6,2)</f>
        <v>902.1</v>
      </c>
      <c r="Q6" s="20">
        <f>ROUND(P6*K6%,2)</f>
        <v>36.08</v>
      </c>
      <c r="R6" s="20">
        <f>M6+O6+Q6</f>
        <v>133.98</v>
      </c>
      <c r="S6" s="20">
        <f>(H6-R6)</f>
        <v>866.02</v>
      </c>
      <c r="T6" s="20">
        <v>88363222</v>
      </c>
      <c r="U6" s="20">
        <v>18</v>
      </c>
      <c r="V6" s="20">
        <f>IF(OR(PoToMRVWOIpPl!$C$2=1,PoToMRVWOIpPl!$C$2=4),ROUND((((S6*U6)/100)/2),2),0)</f>
        <v>0</v>
      </c>
      <c r="W6" s="20">
        <f>IF(PoToMRVWOIpPl!$C$2=1,ROUND((((S6*U6)/100)/2),2),0)</f>
        <v>0</v>
      </c>
      <c r="X6" s="20">
        <f>IF(PoToMRVWOIpPl!$C$2=2,ROUND(((S6*U6)/100),2),0)</f>
        <v>155.88</v>
      </c>
      <c r="Y6" s="20">
        <f>IF(PoToMRVWOIpPl!$C$2=4,ROUND((((S6*U6)/100)/2),2),0)</f>
        <v>0</v>
      </c>
      <c r="Z6" s="20">
        <v>0</v>
      </c>
      <c r="AA6" s="20">
        <f>IF(PoToMRVWOIpPl!$C4=3,0,(S6*Z6)/100)</f>
        <v>0</v>
      </c>
      <c r="AB6" s="20">
        <f>V6+W6+X6+Y6+AA6</f>
        <v>155.88</v>
      </c>
      <c r="AC6" s="20">
        <f>IF(PoToMRVWOIpPl!$V4=1,S6+AB6,S6)</f>
        <v>866.02</v>
      </c>
      <c r="AD6" s="22">
        <v>120</v>
      </c>
      <c r="AE6" s="22">
        <f>IF(PoToMRVWOIpPl!$P$2=1,(S6/PoToMRVWOIpPl!$S$7)*PoToMRVWOIpPl!$E$18,AD6/PoToMRVWOIpPl!$AD$7*PoToMRVWOIpPl!$E$18)</f>
        <v>0</v>
      </c>
      <c r="AF6" s="22"/>
      <c r="AG6" s="22">
        <f>IF(PoToMRVWOIpPl!$P$2=1,(S6/PoToMRVWOIpPl!$S$7)*PoToMRVWOIpPl!$E$20,AD6/PoToMRVWOIpPl!$AD$7*PoToMRVWOIpPl!$E$20)</f>
        <v>0</v>
      </c>
      <c r="AH6" s="22">
        <f>IF(PoToMRVWOIpPl!$P$2=1,(S6/PoToMRVWOIpPl!$S$7)*PoToMRVWOIpPl!$E$21,AD6/PoToMRVWOIpPl!$AD$7*PoToMRVWOIpPl!$E$21)</f>
        <v>0</v>
      </c>
      <c r="AI6" s="22">
        <f>S6*PoToMRVWOIpPl!$M$2</f>
        <v>866.02</v>
      </c>
      <c r="AJ6" s="22">
        <f>IF(PoToMRVWOIpPl!$C$2=3,0,AG6+AH6)</f>
        <v>0</v>
      </c>
      <c r="AK6" s="22">
        <f>IF(PoToMRVWOIpPl!$C$2=3,AE6+AG6+AH6,0)</f>
        <v>0</v>
      </c>
      <c r="AL6" s="23">
        <v>1</v>
      </c>
      <c r="AM6" s="22">
        <f>F6/AL6</f>
        <v>20</v>
      </c>
      <c r="AN6" s="22">
        <f>ROUND(AI6/AM6,5)</f>
        <v>43.301</v>
      </c>
      <c r="AO6" s="22">
        <f>AJ6/AM6</f>
        <v>0</v>
      </c>
      <c r="AP6" s="22">
        <f>AK6/AM6</f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>
        <v>340</v>
      </c>
      <c r="AV6" t="s">
        <v>341</v>
      </c>
      <c r="AW6" s="25">
        <f>AM6</f>
        <v>20</v>
      </c>
      <c r="AX6" s="25">
        <f>AR6</f>
        <v>43.301</v>
      </c>
      <c r="AY6" s="25">
        <f>AU6+AW6</f>
        <v>50</v>
      </c>
      <c r="AZ6" s="25">
        <f>ROUND(((AU6*AV6)+(AW6*AX6))/(AU6+AW6),1)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>
        <v>163</v>
      </c>
      <c r="BN6" t="s">
        <v>342</v>
      </c>
      <c r="BO6" s="25">
        <f>ROUND((((AW6*AZ6)+(BN6*BM6))/(AW6+BN6)),5)</f>
        <v>43.3</v>
      </c>
      <c r="BP6" s="31">
        <f>ROUND(BN6+AW6,3)</f>
        <v>20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750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">SUM(R4:R4)</f>
        <v>127.28</v>
      </c>
      <c r="S7" s="37">
        <f t="shared" si="1"/>
        <v>622.72</v>
      </c>
      <c r="T7" s="38"/>
      <c r="U7" s="38"/>
      <c r="V7" s="39">
        <f t="shared" si="1"/>
        <v>0</v>
      </c>
      <c r="W7" s="39">
        <f t="shared" si="1"/>
        <v>0</v>
      </c>
      <c r="X7" s="39">
        <f t="shared" si="1"/>
        <v>112.09</v>
      </c>
      <c r="Y7" s="39"/>
      <c r="Z7" s="39"/>
      <c r="AA7" s="39"/>
      <c r="AB7" s="38">
        <f>SUM(AB4:AB4)</f>
        <v>112.09</v>
      </c>
      <c r="AC7" s="40">
        <f>SUM(AC4:AC4)</f>
        <v>734.81</v>
      </c>
      <c r="AD7" s="41">
        <f>SUM(AD4:AD4)</f>
        <v>120</v>
      </c>
      <c r="AE7" s="41">
        <f>SUM(AE4:AE4)</f>
        <v>0</v>
      </c>
      <c r="AF7" s="40"/>
      <c r="AG7" s="41">
        <f t="shared" ref="AG7:AK7" si="2">SUM(AG4:AG4)</f>
        <v>0</v>
      </c>
      <c r="AH7" s="41">
        <f>IF($P$2=1,(S7/$S$7)*$E$21,AD7/$AD$7*$E$21)</f>
        <v>0</v>
      </c>
      <c r="AI7" s="41">
        <f t="shared" si="2"/>
        <v>622.72</v>
      </c>
      <c r="AJ7" s="41">
        <f t="shared" si="2"/>
        <v>0</v>
      </c>
      <c r="AK7" s="41">
        <f t="shared" si="2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750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127.28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622.72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112.09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734.81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M1" workbookViewId="0">
      <selection activeCell="AA8" sqref="AA8:AA9"/>
    </sheetView>
  </sheetViews>
  <sheetFormatPr defaultColWidth="8.84761904761905" defaultRowHeight="15"/>
  <cols>
    <col min="2" max="2" width="28" customWidth="1"/>
    <col min="3" max="3" width="23" customWidth="1"/>
    <col min="13" max="13" width="9.14285714285714" customWidth="1"/>
    <col min="14" max="14" width="13.847619047619" customWidth="1"/>
    <col min="64" max="64" width="11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334</v>
      </c>
      <c r="C4" s="19" t="s">
        <v>334</v>
      </c>
      <c r="D4" s="19" t="s">
        <v>76</v>
      </c>
      <c r="E4" s="19" t="s">
        <v>76</v>
      </c>
      <c r="F4" s="20">
        <v>5</v>
      </c>
      <c r="G4" t="s">
        <v>77</v>
      </c>
      <c r="H4" s="20">
        <f t="shared" ref="H4:H6" si="0">F4*G4</f>
        <v>750</v>
      </c>
      <c r="I4" t="s">
        <v>78</v>
      </c>
      <c r="J4" s="20">
        <v>8</v>
      </c>
      <c r="K4" s="20">
        <v>5</v>
      </c>
      <c r="L4" s="20">
        <f t="shared" ref="L4:L6" si="1">IF(OR(I4=0,I4="0"),0,H4)</f>
        <v>750</v>
      </c>
      <c r="M4" s="20">
        <f>ROUND(L4*I4%,3)</f>
        <v>37.5</v>
      </c>
      <c r="N4" s="20">
        <f t="shared" ref="N4:N6" si="2">H4-M4</f>
        <v>712.5</v>
      </c>
      <c r="O4" s="20">
        <f>ROUND(N4*J4%,3)</f>
        <v>57</v>
      </c>
      <c r="P4" s="20">
        <f t="shared" ref="P4:P6" si="3">ROUND(N4-O4,2)</f>
        <v>655.5</v>
      </c>
      <c r="Q4" s="20">
        <f t="shared" ref="Q4:Q6" si="4">ROUND(P4*K4%,2)</f>
        <v>32.78</v>
      </c>
      <c r="R4" s="22">
        <f>ROUND(M4+O4+Q4,3)</f>
        <v>127.28</v>
      </c>
      <c r="S4" s="22">
        <f t="shared" ref="S4:S6" si="5">(H4-R4)</f>
        <v>622.72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6">V4+W4+X4+Y4+AA4</f>
        <v>0</v>
      </c>
      <c r="AC4" s="21">
        <f>IF($V2=1,S4+AB4,S4)</f>
        <v>622.72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S4*$M2</f>
        <v>52931.2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7">F4/AL4</f>
        <v>5</v>
      </c>
      <c r="AN4" s="22">
        <f t="shared" ref="AN4:AN6" si="8">ROUND(AI4/AM4,5)</f>
        <v>10586.24</v>
      </c>
      <c r="AO4" s="22">
        <f t="shared" ref="AO4:AO6" si="9">AJ4/AM4</f>
        <v>0</v>
      </c>
      <c r="AP4" s="22">
        <f t="shared" ref="AP4:AP6" si="10">AK4/AM4</f>
        <v>0</v>
      </c>
      <c r="AQ4" s="22" t="s">
        <v>76</v>
      </c>
      <c r="AR4" s="22">
        <f t="shared" ref="AR4:AR6" si="11">ROUND(AN4+AO4+AP4,5)</f>
        <v>10586.24</v>
      </c>
      <c r="AS4" s="24" t="s">
        <v>120</v>
      </c>
      <c r="AT4" s="25" t="s">
        <v>76</v>
      </c>
      <c r="AU4" t="s">
        <v>174</v>
      </c>
      <c r="AV4" t="s">
        <v>167</v>
      </c>
      <c r="AW4" s="25">
        <f t="shared" ref="AW4:AW6" si="12">AM4</f>
        <v>5</v>
      </c>
      <c r="AX4" s="100">
        <f t="shared" ref="AX4:AX6" si="13">AR4</f>
        <v>10586.24</v>
      </c>
      <c r="AY4" s="25">
        <f t="shared" ref="AY4:AY6" si="14">AU4+AW4</f>
        <v>15</v>
      </c>
      <c r="AZ4" s="26">
        <f>ROUND(((AU4*AV4)+(AW4*AX4))/(AU4+AW4),3)</f>
        <v>3611.777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85</v>
      </c>
      <c r="BN4" t="s">
        <v>85</v>
      </c>
      <c r="BO4" s="25">
        <f t="shared" ref="BO4:BO6" si="15">ROUND((((AW4*AZ4)+(BN4*BM4))/(AW4+BN4)),5)</f>
        <v>3611.777</v>
      </c>
      <c r="BP4" s="31">
        <f t="shared" ref="BP4:BP6" si="16">ROUND(BN4+AW4,3)</f>
        <v>5</v>
      </c>
      <c r="BQ4" s="32">
        <v>123562</v>
      </c>
    </row>
    <row r="5" ht="15.75" spans="1:69">
      <c r="A5" s="19">
        <v>1</v>
      </c>
      <c r="B5" s="19" t="s">
        <v>336</v>
      </c>
      <c r="C5" s="19" t="s">
        <v>336</v>
      </c>
      <c r="D5" s="19" t="s">
        <v>76</v>
      </c>
      <c r="E5" s="19" t="s">
        <v>76</v>
      </c>
      <c r="F5" s="20">
        <v>4</v>
      </c>
      <c r="G5" t="s">
        <v>87</v>
      </c>
      <c r="H5" s="20">
        <f t="shared" si="0"/>
        <v>400</v>
      </c>
      <c r="I5" t="s">
        <v>88</v>
      </c>
      <c r="J5" s="20">
        <v>9</v>
      </c>
      <c r="K5" s="20">
        <v>6</v>
      </c>
      <c r="L5" s="20">
        <f t="shared" si="1"/>
        <v>400</v>
      </c>
      <c r="M5" s="20">
        <f>ROUND(L5*I5%,2)</f>
        <v>16</v>
      </c>
      <c r="N5" s="20">
        <f t="shared" si="2"/>
        <v>384</v>
      </c>
      <c r="O5" s="20">
        <f>ROUND(N5*J5%,2)</f>
        <v>34.56</v>
      </c>
      <c r="P5" s="20">
        <f t="shared" si="3"/>
        <v>349.44</v>
      </c>
      <c r="Q5" s="20">
        <f t="shared" si="4"/>
        <v>20.97</v>
      </c>
      <c r="R5" s="20">
        <f>M5+O5+Q5</f>
        <v>71.53</v>
      </c>
      <c r="S5" s="20">
        <f t="shared" si="5"/>
        <v>328.47</v>
      </c>
      <c r="T5" s="20">
        <v>88363222</v>
      </c>
      <c r="U5" s="20">
        <v>18</v>
      </c>
      <c r="V5" s="20">
        <f>IF(OR(PoToMRVWOIpPlImp!$C$2=1,PoToMRVWOIpPlImp!$C$2=4),ROUND((((S5*U5)/100)/2),2),0)</f>
        <v>0</v>
      </c>
      <c r="W5" s="20">
        <f>IF(PoToMRVWOIpPlImp!$C$2=1,ROUND((((S5*U5)/100)/2),2),0)</f>
        <v>0</v>
      </c>
      <c r="X5" s="20">
        <f>IF(PoToMRVWOIpPlImp!$C$2=2,ROUND(((S5*U5)/100),2),0)</f>
        <v>0</v>
      </c>
      <c r="Y5" s="20">
        <f>IF(PoToMRVWOIpPlImp!$C$2=4,ROUND((((S5*U5)/100)/2),2),0)</f>
        <v>0</v>
      </c>
      <c r="Z5" s="20">
        <v>0</v>
      </c>
      <c r="AA5" s="20">
        <f>IF(PoToMRVWOIpPlImp!$C3=3,0,(S5*Z5)/100)</f>
        <v>0</v>
      </c>
      <c r="AB5" s="20">
        <f t="shared" si="6"/>
        <v>0</v>
      </c>
      <c r="AC5" s="20">
        <f>IF(PoToMRVWOIpPlImp!$V3=1,S5+AB5,S5)</f>
        <v>328.47</v>
      </c>
      <c r="AD5" s="22">
        <v>120</v>
      </c>
      <c r="AE5" s="22">
        <f>IF(PoToMRVWOIpPlImp!$P$2=1,(S5/PoToMRVWOIpPlImp!$S$7)*PoToMRVWOIpPlImp!$E$18,AD5/PoToMRVWOIpPlImp!$AD$7*PoToMRVWOIpPlImp!$E$18)</f>
        <v>0</v>
      </c>
      <c r="AF5" s="22"/>
      <c r="AG5" s="22">
        <f>IF(PoToMRVWOIpPlImp!$P$2=1,(S5/PoToMRVWOIpPlImp!$S$7)*PoToMRVWOIpPlImp!$E$20,AD5/PoToMRVWOIpPlImp!$AD$7*PoToMRVWOIpPlImp!$E$20)</f>
        <v>0</v>
      </c>
      <c r="AH5" s="22">
        <f>IF(PoToMRVWOIpPlImp!$P$2=1,(S5/PoToMRVWOIpPlImp!$S$7)*PoToMRVWOIpPlImp!$E$21,AD5/PoToMRVWOIpPlImp!$AD$7*PoToMRVWOIpPlImp!$E$21)</f>
        <v>0</v>
      </c>
      <c r="AI5" s="22">
        <f>S5*PoToMRVWOIpPlImp!$M$2</f>
        <v>27919.95</v>
      </c>
      <c r="AJ5" s="22">
        <f>IF(PoToMRVWOIpPlImp!$C$2=3,0,AG5+AH5)</f>
        <v>0</v>
      </c>
      <c r="AK5" s="22">
        <f>IF(PoToMRVWOIpPlImp!$C$2=3,AE5+AG5+AH5,0)</f>
        <v>0</v>
      </c>
      <c r="AL5" s="23">
        <v>1</v>
      </c>
      <c r="AM5" s="22">
        <f t="shared" si="7"/>
        <v>4</v>
      </c>
      <c r="AN5" s="22">
        <f t="shared" si="8"/>
        <v>6979.9875</v>
      </c>
      <c r="AO5" s="22">
        <f t="shared" si="9"/>
        <v>0</v>
      </c>
      <c r="AP5" s="22">
        <f t="shared" si="10"/>
        <v>0</v>
      </c>
      <c r="AQ5" s="22" t="s">
        <v>76</v>
      </c>
      <c r="AR5" s="22">
        <f t="shared" si="11"/>
        <v>6979.9875</v>
      </c>
      <c r="AS5" s="24" t="s">
        <v>120</v>
      </c>
      <c r="AT5" s="25" t="s">
        <v>76</v>
      </c>
      <c r="AU5" t="s">
        <v>343</v>
      </c>
      <c r="AV5" t="s">
        <v>157</v>
      </c>
      <c r="AW5" s="25">
        <f t="shared" si="12"/>
        <v>4</v>
      </c>
      <c r="AX5" s="100">
        <f t="shared" si="13"/>
        <v>6979.9875</v>
      </c>
      <c r="AY5" s="25">
        <f t="shared" si="14"/>
        <v>12</v>
      </c>
      <c r="AZ5" s="100">
        <f>ROUND(((AU5*AV5)+(AW5*AX5))/(AU5+AW5),2)</f>
        <v>2381.41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85</v>
      </c>
      <c r="BN5" t="s">
        <v>85</v>
      </c>
      <c r="BO5" s="25">
        <f t="shared" si="15"/>
        <v>2381.41</v>
      </c>
      <c r="BP5" s="31">
        <f t="shared" si="16"/>
        <v>4</v>
      </c>
      <c r="BQ5" s="32">
        <v>123562</v>
      </c>
    </row>
    <row r="6" ht="15.75" spans="1:69">
      <c r="A6" s="19">
        <v>1</v>
      </c>
      <c r="B6" s="101" t="s">
        <v>339</v>
      </c>
      <c r="C6" s="102" t="s">
        <v>339</v>
      </c>
      <c r="D6" s="19" t="s">
        <v>76</v>
      </c>
      <c r="E6" s="19" t="s">
        <v>76</v>
      </c>
      <c r="F6" s="20">
        <v>20</v>
      </c>
      <c r="G6" t="s">
        <v>239</v>
      </c>
      <c r="H6" s="20">
        <f t="shared" si="0"/>
        <v>1000</v>
      </c>
      <c r="I6" t="s">
        <v>240</v>
      </c>
      <c r="J6" s="20">
        <v>7</v>
      </c>
      <c r="K6" s="20">
        <v>4</v>
      </c>
      <c r="L6" s="20">
        <f t="shared" si="1"/>
        <v>1000</v>
      </c>
      <c r="M6" s="20">
        <f>ROUND(L6*I6%,2)</f>
        <v>30</v>
      </c>
      <c r="N6" s="20">
        <f t="shared" si="2"/>
        <v>970</v>
      </c>
      <c r="O6" s="20">
        <f>ROUND(N6*J6%,2)</f>
        <v>67.9</v>
      </c>
      <c r="P6" s="20">
        <f t="shared" si="3"/>
        <v>902.1</v>
      </c>
      <c r="Q6" s="20">
        <f t="shared" si="4"/>
        <v>36.08</v>
      </c>
      <c r="R6" s="20">
        <f>M6+O6+Q6</f>
        <v>133.98</v>
      </c>
      <c r="S6" s="20">
        <f t="shared" si="5"/>
        <v>866.02</v>
      </c>
      <c r="T6" s="20">
        <v>88363222</v>
      </c>
      <c r="U6" s="20">
        <v>18</v>
      </c>
      <c r="V6" s="20">
        <f>IF(OR(PoToMRVWOIpPlImp!$C$2=1,PoToMRVWOIpPlImp!$C$2=4),ROUND((((S6*U6)/100)/2),2),0)</f>
        <v>0</v>
      </c>
      <c r="W6" s="20">
        <f>IF(PoToMRVWOIpPlImp!$C$2=1,ROUND((((S6*U6)/100)/2),2),0)</f>
        <v>0</v>
      </c>
      <c r="X6" s="20">
        <f>IF(PoToMRVWOIpPlImp!$C$2=2,ROUND(((S6*U6)/100),2),0)</f>
        <v>0</v>
      </c>
      <c r="Y6" s="20">
        <f>IF(PoToMRVWOIpPlImp!$C$2=4,ROUND((((S6*U6)/100)/2),2),0)</f>
        <v>0</v>
      </c>
      <c r="Z6" s="20">
        <v>0</v>
      </c>
      <c r="AA6" s="20">
        <f>IF(PoToMRVWOIpPlImp!$C4=3,0,(S6*Z6)/100)</f>
        <v>0</v>
      </c>
      <c r="AB6" s="20">
        <f t="shared" si="6"/>
        <v>0</v>
      </c>
      <c r="AC6" s="20">
        <f>IF(PoToMRVWOIpPlImp!$V4=1,S6+AB6,S6)</f>
        <v>866.02</v>
      </c>
      <c r="AD6" s="22">
        <v>120</v>
      </c>
      <c r="AE6" s="22">
        <f>IF(PoToMRVWOIpPlImp!$P$2=1,(S6/PoToMRVWOIpPlImp!$S$7)*PoToMRVWOIpPlImp!$E$18,AD6/PoToMRVWOIpPlImp!$AD$7*PoToMRVWOIpPlImp!$E$18)</f>
        <v>0</v>
      </c>
      <c r="AF6" s="22"/>
      <c r="AG6" s="22">
        <f>IF(PoToMRVWOIpPlImp!$P$2=1,(S6/PoToMRVWOIpPlImp!$S$7)*PoToMRVWOIpPlImp!$E$20,AD6/PoToMRVWOIpPlImp!$AD$7*PoToMRVWOIpPlImp!$E$20)</f>
        <v>0</v>
      </c>
      <c r="AH6" s="22">
        <f>IF(PoToMRVWOIpPlImp!$P$2=1,(S6/PoToMRVWOIpPlImp!$S$7)*PoToMRVWOIpPlImp!$E$21,AD6/PoToMRVWOIpPlImp!$AD$7*PoToMRVWOIpPlImp!$E$21)</f>
        <v>0</v>
      </c>
      <c r="AI6" s="22">
        <f>S6*PoToMRVWOIpPlImp!$M$2</f>
        <v>73611.7</v>
      </c>
      <c r="AJ6" s="22">
        <f>IF(PoToMRVWOIpPlImp!$C$2=3,0,AG6+AH6)</f>
        <v>0</v>
      </c>
      <c r="AK6" s="22">
        <f>IF(PoToMRVWOIpPlImp!$C$2=3,AE6+AG6+AH6,0)</f>
        <v>0</v>
      </c>
      <c r="AL6" s="23">
        <v>1</v>
      </c>
      <c r="AM6" s="22">
        <f t="shared" si="7"/>
        <v>20</v>
      </c>
      <c r="AN6" s="22">
        <f t="shared" si="8"/>
        <v>3680.585</v>
      </c>
      <c r="AO6" s="22">
        <f t="shared" si="9"/>
        <v>0</v>
      </c>
      <c r="AP6" s="22">
        <f t="shared" si="10"/>
        <v>0</v>
      </c>
      <c r="AQ6" s="22" t="s">
        <v>76</v>
      </c>
      <c r="AR6" s="22">
        <f t="shared" si="11"/>
        <v>3680.585</v>
      </c>
      <c r="AS6" s="24" t="s">
        <v>120</v>
      </c>
      <c r="AT6" s="25" t="s">
        <v>76</v>
      </c>
      <c r="AU6" t="s">
        <v>204</v>
      </c>
      <c r="AV6" t="s">
        <v>163</v>
      </c>
      <c r="AW6" s="25">
        <f t="shared" si="12"/>
        <v>20</v>
      </c>
      <c r="AX6" s="25">
        <f t="shared" si="13"/>
        <v>3680.585</v>
      </c>
      <c r="AY6" s="25">
        <f t="shared" si="14"/>
        <v>50</v>
      </c>
      <c r="AZ6" s="25">
        <f>ROUND(((AU6*AV6)+(AW6*AX6))/(AU6+AW6),1)</f>
        <v>1498.2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>
        <v>85</v>
      </c>
      <c r="BN6" t="s">
        <v>85</v>
      </c>
      <c r="BO6" s="25">
        <f t="shared" si="15"/>
        <v>1498.2</v>
      </c>
      <c r="BP6" s="31">
        <f t="shared" si="16"/>
        <v>20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750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127.28</v>
      </c>
      <c r="S7" s="37">
        <f t="shared" si="17"/>
        <v>622.72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0</v>
      </c>
      <c r="Y7" s="39"/>
      <c r="Z7" s="39"/>
      <c r="AA7" s="39"/>
      <c r="AB7" s="38">
        <f t="shared" ref="AB7:AE7" si="18">SUM(AB4:AB4)</f>
        <v>0</v>
      </c>
      <c r="AC7" s="40">
        <f t="shared" si="18"/>
        <v>622.72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52931.2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750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127.28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622.72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622.72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L9" sqref="L9"/>
    </sheetView>
  </sheetViews>
  <sheetFormatPr defaultColWidth="8.84761904761905" defaultRowHeight="15"/>
  <cols>
    <col min="2" max="2" width="28" customWidth="1"/>
    <col min="3" max="3" width="23" customWidth="1"/>
    <col min="13" max="13" width="9.14285714285714" customWidth="1"/>
    <col min="14" max="14" width="13.847619047619" customWidth="1"/>
    <col min="64" max="64" width="11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344</v>
      </c>
      <c r="C4" s="19" t="s">
        <v>344</v>
      </c>
      <c r="D4" s="19" t="s">
        <v>76</v>
      </c>
      <c r="E4" s="19" t="s">
        <v>76</v>
      </c>
      <c r="F4" s="20">
        <v>5</v>
      </c>
      <c r="G4" t="s">
        <v>77</v>
      </c>
      <c r="H4" s="20">
        <f>F4*G4</f>
        <v>750</v>
      </c>
      <c r="I4" t="s">
        <v>78</v>
      </c>
      <c r="J4" s="20">
        <v>8</v>
      </c>
      <c r="K4" s="20">
        <v>5</v>
      </c>
      <c r="L4" s="20">
        <f>IF(OR(I4=0,I4="0"),0,H4)</f>
        <v>750</v>
      </c>
      <c r="M4" s="20">
        <f>ROUND(L4*I4%,3)</f>
        <v>37.5</v>
      </c>
      <c r="N4" s="20">
        <f>H4-M4</f>
        <v>712.5</v>
      </c>
      <c r="O4" s="20">
        <f>ROUND(N4*J4%,3)</f>
        <v>57</v>
      </c>
      <c r="P4" s="20">
        <f>ROUND(N4-O4,2)</f>
        <v>655.5</v>
      </c>
      <c r="Q4" s="20">
        <f>ROUND(P4*K4%,2)</f>
        <v>32.78</v>
      </c>
      <c r="R4" s="22">
        <f>ROUND(M4+O4+Q4,3)</f>
        <v>127.28</v>
      </c>
      <c r="S4" s="22">
        <f>(H4-R4)</f>
        <v>622.72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112.09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112.09</v>
      </c>
      <c r="AC4" s="21">
        <f>IF($V2=1,S4+AB4,S4)</f>
        <v>734.81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S4*$M2</f>
        <v>622.72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124.544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124.544</v>
      </c>
      <c r="AS4" s="24" t="s">
        <v>120</v>
      </c>
      <c r="AT4" s="25" t="s">
        <v>76</v>
      </c>
      <c r="AU4" t="s">
        <v>174</v>
      </c>
      <c r="AV4" t="s">
        <v>329</v>
      </c>
      <c r="AW4" s="25">
        <f>AM4</f>
        <v>5</v>
      </c>
      <c r="AX4" s="100">
        <f>AR4</f>
        <v>124.544</v>
      </c>
      <c r="AY4" s="25">
        <f>AU4+AW4</f>
        <v>15</v>
      </c>
      <c r="AZ4" s="26">
        <f>ROUND(((AU4*AV4)+(AW4*AX4))/(AU4+AW4),3)</f>
        <v>69.191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329</v>
      </c>
      <c r="BN4" t="s">
        <v>78</v>
      </c>
      <c r="BO4" s="25">
        <f>ROUND((((AW4*AZ4)+(BN4*BM4))/(AW4+BN4)),5)</f>
        <v>55.353</v>
      </c>
      <c r="BP4" s="31">
        <f>ROUND(BN4+AW4,3)</f>
        <v>10</v>
      </c>
      <c r="BQ4" s="32">
        <v>123562</v>
      </c>
    </row>
    <row r="5" ht="15.75" spans="1:69">
      <c r="A5" s="19">
        <v>1</v>
      </c>
      <c r="B5" s="19" t="s">
        <v>345</v>
      </c>
      <c r="C5" s="19" t="s">
        <v>345</v>
      </c>
      <c r="D5" s="19" t="s">
        <v>76</v>
      </c>
      <c r="E5" s="19" t="s">
        <v>76</v>
      </c>
      <c r="F5" s="20">
        <v>4</v>
      </c>
      <c r="G5" t="s">
        <v>87</v>
      </c>
      <c r="H5" s="20">
        <f>F5*G5</f>
        <v>400</v>
      </c>
      <c r="I5" t="s">
        <v>88</v>
      </c>
      <c r="J5" s="20">
        <v>9</v>
      </c>
      <c r="K5" s="20">
        <v>6</v>
      </c>
      <c r="L5" s="20">
        <f t="shared" ref="L5:L6" si="0">IF(OR(I5=0,I5="0"),0,H5)</f>
        <v>400</v>
      </c>
      <c r="M5" s="20">
        <f>ROUND(L5*I5%,2)</f>
        <v>16</v>
      </c>
      <c r="N5" s="20">
        <f>H5-M5</f>
        <v>384</v>
      </c>
      <c r="O5" s="20">
        <f>ROUND(N5*J5%,2)</f>
        <v>34.56</v>
      </c>
      <c r="P5" s="20">
        <f>ROUND(N5-O5,2)</f>
        <v>349.44</v>
      </c>
      <c r="Q5" s="20">
        <f>ROUND(P5*K5%,2)</f>
        <v>20.97</v>
      </c>
      <c r="R5" s="20">
        <f>M5+O5+Q5</f>
        <v>71.53</v>
      </c>
      <c r="S5" s="20">
        <f>(H5-R5)</f>
        <v>328.47</v>
      </c>
      <c r="T5" s="20">
        <v>88363222</v>
      </c>
      <c r="U5" s="20">
        <v>18</v>
      </c>
      <c r="V5" s="20">
        <f>IF(OR(PoToMRVWOIpPlServ!$C$2=1,PoToMRVWOIpPlServ!$C$2=4),ROUND((((S5*U5)/100)/2),2),0)</f>
        <v>0</v>
      </c>
      <c r="W5" s="20">
        <f>IF(PoToMRVWOIpPlServ!$C$2=1,ROUND((((S5*U5)/100)/2),2),0)</f>
        <v>0</v>
      </c>
      <c r="X5" s="20">
        <f>IF(PoToMRVWOIpPlServ!$C$2=2,ROUND(((S5*U5)/100),2),0)</f>
        <v>59.12</v>
      </c>
      <c r="Y5" s="20">
        <f>IF(PoToMRVWOIpPlServ!$C$2=4,ROUND((((S5*U5)/100)/2),2),0)</f>
        <v>0</v>
      </c>
      <c r="Z5" s="20">
        <v>0</v>
      </c>
      <c r="AA5" s="20">
        <f>IF(PoToMRVWOIpPlServ!$C3=3,0,(S5*Z5)/100)</f>
        <v>0</v>
      </c>
      <c r="AB5" s="20">
        <f>V5+W5+X5+Y5+AA5</f>
        <v>59.12</v>
      </c>
      <c r="AC5" s="20">
        <f>IF(PoToMRVWOIpPlServ!$V3=1,S5+AB5,S5)</f>
        <v>328.47</v>
      </c>
      <c r="AD5" s="22">
        <v>120</v>
      </c>
      <c r="AE5" s="22">
        <f>IF(PoToMRVWOIpPlServ!$P$2=1,(S5/PoToMRVWOIpPlServ!$S$7)*PoToMRVWOIpPlServ!$E$18,AD5/PoToMRVWOIpPlServ!$AD$7*PoToMRVWOIpPlServ!$E$18)</f>
        <v>0</v>
      </c>
      <c r="AF5" s="22"/>
      <c r="AG5" s="22">
        <f>IF(PoToMRVWOIpPlServ!$P$2=1,(S5/PoToMRVWOIpPlServ!$S$7)*PoToMRVWOIpPlServ!$E$20,AD5/PoToMRVWOIpPlServ!$AD$7*PoToMRVWOIpPlServ!$E$20)</f>
        <v>0</v>
      </c>
      <c r="AH5" s="22">
        <f>IF(PoToMRVWOIpPlServ!$P$2=1,(S5/PoToMRVWOIpPlServ!$S$7)*PoToMRVWOIpPlServ!$E$21,AD5/PoToMRVWOIpPlServ!$AD$7*PoToMRVWOIpPlServ!$E$21)</f>
        <v>0</v>
      </c>
      <c r="AI5" s="22">
        <f>S5*PoToMRVWOIpPlServ!$M$2</f>
        <v>328.47</v>
      </c>
      <c r="AJ5" s="22">
        <f>IF(PoToMRVWOIpPlServ!$C$2=3,0,AG5+AH5)</f>
        <v>0</v>
      </c>
      <c r="AK5" s="22">
        <f>IF(PoToMRVWOIpPlServ!$C$2=3,AE5+AG5+AH5,0)</f>
        <v>0</v>
      </c>
      <c r="AL5" s="23">
        <v>1</v>
      </c>
      <c r="AM5" s="22">
        <f>F5/AL5</f>
        <v>4</v>
      </c>
      <c r="AN5" s="22">
        <f>ROUND(AI5/AM5,5)</f>
        <v>82.1175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>
        <v>343</v>
      </c>
      <c r="AV5" t="s">
        <v>332</v>
      </c>
      <c r="AW5" s="25">
        <f>AM5</f>
        <v>4</v>
      </c>
      <c r="AX5" s="100">
        <f>AR5</f>
        <v>82.1175</v>
      </c>
      <c r="AY5" s="25">
        <f>AU5+AW5</f>
        <v>12</v>
      </c>
      <c r="AZ5" s="100">
        <f>ROUND(((AU5*AV5)+(AW5*AX5))/(AU5+AW5),2)</f>
        <v>80.98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332</v>
      </c>
      <c r="BN5" t="s">
        <v>88</v>
      </c>
      <c r="BO5" s="25">
        <f>ROUND((((AW5*AZ5)+(BN5*BM5))/(AW5+BN5)),5)</f>
        <v>80.695</v>
      </c>
      <c r="BP5" s="31">
        <f>ROUND(BN5+AW5,3)</f>
        <v>8</v>
      </c>
      <c r="BQ5" s="32">
        <v>123562</v>
      </c>
    </row>
    <row r="6" ht="15.75" spans="1:69">
      <c r="A6" s="19">
        <v>1</v>
      </c>
      <c r="B6" s="101" t="s">
        <v>346</v>
      </c>
      <c r="C6" s="102" t="s">
        <v>346</v>
      </c>
      <c r="D6" s="19" t="s">
        <v>76</v>
      </c>
      <c r="E6" s="19" t="s">
        <v>76</v>
      </c>
      <c r="F6" s="20">
        <v>10</v>
      </c>
      <c r="G6" t="s">
        <v>239</v>
      </c>
      <c r="H6" s="20">
        <f>F6*G6</f>
        <v>500</v>
      </c>
      <c r="I6" t="s">
        <v>240</v>
      </c>
      <c r="J6" s="20">
        <v>7</v>
      </c>
      <c r="K6" s="20">
        <v>4</v>
      </c>
      <c r="L6" s="20">
        <f t="shared" si="0"/>
        <v>500</v>
      </c>
      <c r="M6" s="20">
        <f>ROUND(L6*I6%,2)</f>
        <v>15</v>
      </c>
      <c r="N6" s="20">
        <f>H6-M6</f>
        <v>485</v>
      </c>
      <c r="O6" s="20">
        <f>ROUND(N6*J6%,2)</f>
        <v>33.95</v>
      </c>
      <c r="P6" s="20">
        <f>ROUND(N6-O6,2)</f>
        <v>451.05</v>
      </c>
      <c r="Q6" s="20">
        <f>ROUND(P6*K6%,2)</f>
        <v>18.04</v>
      </c>
      <c r="R6" s="20">
        <f>M6+O6+Q6</f>
        <v>66.99</v>
      </c>
      <c r="S6" s="20">
        <f>(H6-R6)</f>
        <v>433.01</v>
      </c>
      <c r="T6" s="20">
        <v>88363222</v>
      </c>
      <c r="U6" s="20">
        <v>18</v>
      </c>
      <c r="V6" s="20">
        <f>IF(OR(PoToMRVWOIpPlServ!$C$2=1,PoToMRVWOIpPlServ!$C$2=4),ROUND((((S6*U6)/100)/2),2),0)</f>
        <v>0</v>
      </c>
      <c r="W6" s="20">
        <f>IF(PoToMRVWOIpPlServ!$C$2=1,ROUND((((S6*U6)/100)/2),2),0)</f>
        <v>0</v>
      </c>
      <c r="X6" s="20">
        <f>IF(PoToMRVWOIpPlServ!$C$2=2,ROUND(((S6*U6)/100),2),0)</f>
        <v>77.94</v>
      </c>
      <c r="Y6" s="20">
        <f>IF(PoToMRVWOIpPlServ!$C$2=4,ROUND((((S6*U6)/100)/2),2),0)</f>
        <v>0</v>
      </c>
      <c r="Z6" s="20">
        <v>0</v>
      </c>
      <c r="AA6" s="20">
        <f>IF(PoToMRVWOIpPlServ!$C4=3,0,(S6*Z6)/100)</f>
        <v>0</v>
      </c>
      <c r="AB6" s="20">
        <f>V6+W6+X6+Y6+AA6</f>
        <v>77.94</v>
      </c>
      <c r="AC6" s="20">
        <f>IF(PoToMRVWOIpPlServ!$V4=1,S6+AB6,S6)</f>
        <v>433.01</v>
      </c>
      <c r="AD6" s="22">
        <v>120</v>
      </c>
      <c r="AE6" s="22">
        <f>IF(PoToMRVWOIpPlServ!$P$2=1,(S6/PoToMRVWOIpPlServ!$S$7)*PoToMRVWOIpPlServ!$E$18,AD6/PoToMRVWOIpPlServ!$AD$7*PoToMRVWOIpPlServ!$E$18)</f>
        <v>0</v>
      </c>
      <c r="AF6" s="22"/>
      <c r="AG6" s="22">
        <f>IF(PoToMRVWOIpPlServ!$P$2=1,(S6/PoToMRVWOIpPlServ!$S$7)*PoToMRVWOIpPlServ!$E$20,AD6/PoToMRVWOIpPlServ!$AD$7*PoToMRVWOIpPlServ!$E$20)</f>
        <v>0</v>
      </c>
      <c r="AH6" s="22">
        <f>IF(PoToMRVWOIpPlServ!$P$2=1,(S6/PoToMRVWOIpPlServ!$S$7)*PoToMRVWOIpPlServ!$E$21,AD6/PoToMRVWOIpPlServ!$AD$7*PoToMRVWOIpPlServ!$E$21)</f>
        <v>0</v>
      </c>
      <c r="AI6" s="22">
        <f>S6*PoToMRVWOIpPlServ!$M$2</f>
        <v>433.01</v>
      </c>
      <c r="AJ6" s="22">
        <f>IF(PoToMRVWOIpPlServ!$C$2=3,0,AG6+AH6)</f>
        <v>0</v>
      </c>
      <c r="AK6" s="22">
        <f>IF(PoToMRVWOIpPlServ!$C$2=3,AE6+AG6+AH6,0)</f>
        <v>0</v>
      </c>
      <c r="AL6" s="23">
        <v>1</v>
      </c>
      <c r="AM6" s="22">
        <f>F6/AL6</f>
        <v>10</v>
      </c>
      <c r="AN6" s="22">
        <f>ROUND(AI6/AM6,5)</f>
        <v>43.301</v>
      </c>
      <c r="AO6" s="22">
        <f>AJ6/AM6</f>
        <v>0</v>
      </c>
      <c r="AP6" s="22">
        <f>AK6/AM6</f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>
        <v>281</v>
      </c>
      <c r="AV6" t="s">
        <v>167</v>
      </c>
      <c r="AW6" s="25">
        <f>AM6</f>
        <v>10</v>
      </c>
      <c r="AX6" s="25">
        <f>AR6</f>
        <v>43.301</v>
      </c>
      <c r="AY6" s="25">
        <f>AU6+AW6</f>
        <v>30</v>
      </c>
      <c r="AZ6" s="26">
        <f>ROUND(((AU6*AV6)+(AW6*AX6))/(AU6+AW6),3)</f>
        <v>97.464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>
        <v>167</v>
      </c>
      <c r="BN6" t="s">
        <v>174</v>
      </c>
      <c r="BO6" s="25">
        <f>ROUND((((AW6*AZ6)+(BN6*BM6))/(AW6+BN6)),5)</f>
        <v>111.0045</v>
      </c>
      <c r="BP6" s="31">
        <f>ROUND(BN6+AW6,3)</f>
        <v>20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750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">SUM(R4:R4)</f>
        <v>127.28</v>
      </c>
      <c r="S7" s="37">
        <f t="shared" si="1"/>
        <v>622.72</v>
      </c>
      <c r="T7" s="38"/>
      <c r="U7" s="38"/>
      <c r="V7" s="39">
        <f t="shared" si="1"/>
        <v>0</v>
      </c>
      <c r="W7" s="39">
        <f t="shared" si="1"/>
        <v>0</v>
      </c>
      <c r="X7" s="39">
        <f t="shared" si="1"/>
        <v>112.09</v>
      </c>
      <c r="Y7" s="39"/>
      <c r="Z7" s="39"/>
      <c r="AA7" s="39"/>
      <c r="AB7" s="38">
        <f>SUM(AB4:AB4)</f>
        <v>112.09</v>
      </c>
      <c r="AC7" s="40">
        <f>SUM(AC4:AC4)</f>
        <v>734.81</v>
      </c>
      <c r="AD7" s="41">
        <f>SUM(AD4:AD4)</f>
        <v>120</v>
      </c>
      <c r="AE7" s="41">
        <f>SUM(AE4:AE4)</f>
        <v>0</v>
      </c>
      <c r="AF7" s="40"/>
      <c r="AG7" s="41">
        <f t="shared" ref="AG7:AK7" si="2">SUM(AG4:AG4)</f>
        <v>0</v>
      </c>
      <c r="AH7" s="41">
        <f>IF($P$2=1,(S7/$S$7)*$E$21,AD7/$AD$7*$E$21)</f>
        <v>0</v>
      </c>
      <c r="AI7" s="41">
        <f t="shared" si="2"/>
        <v>622.72</v>
      </c>
      <c r="AJ7" s="41">
        <f t="shared" si="2"/>
        <v>0</v>
      </c>
      <c r="AK7" s="41">
        <f t="shared" si="2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750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127.28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622.72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112.09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734.81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zoomScale="115" zoomScaleNormal="115" topLeftCell="W1" workbookViewId="0">
      <selection activeCell="M3" sqref="M3"/>
    </sheetView>
  </sheetViews>
  <sheetFormatPr defaultColWidth="8.84761904761905" defaultRowHeight="15"/>
  <cols>
    <col min="2" max="2" width="28" customWidth="1"/>
    <col min="3" max="3" width="23" customWidth="1"/>
    <col min="13" max="13" width="9.14285714285714" customWidth="1"/>
    <col min="14" max="14" width="13.847619047619" customWidth="1"/>
    <col min="64" max="64" width="11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3">
        <v>85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344</v>
      </c>
      <c r="C4" s="19" t="s">
        <v>344</v>
      </c>
      <c r="D4" s="19" t="s">
        <v>76</v>
      </c>
      <c r="E4" s="19" t="s">
        <v>76</v>
      </c>
      <c r="F4" s="20">
        <v>5</v>
      </c>
      <c r="G4" t="s">
        <v>239</v>
      </c>
      <c r="H4" s="20">
        <f t="shared" ref="H4:H6" si="0">F4*G4</f>
        <v>250</v>
      </c>
      <c r="I4" t="s">
        <v>85</v>
      </c>
      <c r="J4" s="20">
        <v>8</v>
      </c>
      <c r="K4" s="20">
        <v>5</v>
      </c>
      <c r="L4" s="20">
        <f t="shared" ref="L4:L6" si="1">IF(OR(I4=0,I4="0"),0,H4)</f>
        <v>0</v>
      </c>
      <c r="M4" s="20">
        <f>ROUND(L4*I4%,3)</f>
        <v>0</v>
      </c>
      <c r="N4" s="20">
        <f t="shared" ref="N4:N6" si="2">H4-M4</f>
        <v>250</v>
      </c>
      <c r="O4" s="20">
        <f>ROUND(N4*J4%,3)</f>
        <v>20</v>
      </c>
      <c r="P4" s="20">
        <f t="shared" ref="P4:P6" si="3">ROUND(N4-O4,2)</f>
        <v>230</v>
      </c>
      <c r="Q4" s="20">
        <f t="shared" ref="Q4:Q6" si="4">ROUND(P4*K4%,2)</f>
        <v>11.5</v>
      </c>
      <c r="R4" s="22">
        <f>ROUND(M4+O4+Q4,3)</f>
        <v>31.5</v>
      </c>
      <c r="S4" s="20">
        <f t="shared" ref="S4:S6" si="5">(H4-R4)</f>
        <v>218.5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6">V4+W4+X4+Y4+AA4</f>
        <v>0</v>
      </c>
      <c r="AC4" s="21">
        <f>IF($V2=1,S4+AB4,S4)</f>
        <v>218.5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S4*$M2</f>
        <v>18572.5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7">F4/AL4</f>
        <v>5</v>
      </c>
      <c r="AN4" s="22">
        <f t="shared" ref="AN4:AN6" si="8">ROUND(AI4/AM4,5)</f>
        <v>3714.5</v>
      </c>
      <c r="AO4" s="22">
        <f t="shared" ref="AO4:AO6" si="9">AJ4/AM4</f>
        <v>0</v>
      </c>
      <c r="AP4" s="22">
        <f t="shared" ref="AP4:AP6" si="10">AK4/AM4</f>
        <v>0</v>
      </c>
      <c r="AQ4" s="22" t="s">
        <v>76</v>
      </c>
      <c r="AR4" s="22">
        <f t="shared" ref="AR4:AR6" si="11">ROUND(AN4+AO4+AP4,5)</f>
        <v>3714.5</v>
      </c>
      <c r="AS4" s="24" t="s">
        <v>120</v>
      </c>
      <c r="AT4" s="25" t="s">
        <v>76</v>
      </c>
      <c r="AU4" t="s">
        <v>174</v>
      </c>
      <c r="AV4" t="s">
        <v>329</v>
      </c>
      <c r="AW4" s="25">
        <f t="shared" ref="AW4:AW6" si="12">AM4</f>
        <v>5</v>
      </c>
      <c r="AX4" s="100">
        <f t="shared" ref="AX4:AX6" si="13">AR4</f>
        <v>3714.5</v>
      </c>
      <c r="AY4" s="25">
        <f t="shared" ref="AY4:AY6" si="14">AU4+AW4</f>
        <v>15</v>
      </c>
      <c r="AZ4" s="26">
        <f>ROUND(((AU4*AV4)+(AW4*AX4))/(AU4+AW4),3)</f>
        <v>1265.843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329</v>
      </c>
      <c r="BN4" t="s">
        <v>78</v>
      </c>
      <c r="BO4" s="25">
        <f t="shared" ref="BO4:BO6" si="15">ROUND((((AW4*AZ4)+(BN4*BM4))/(AW4+BN4)),5)</f>
        <v>653.679</v>
      </c>
      <c r="BP4" s="31">
        <f t="shared" ref="BP4:BP6" si="16">ROUND(BN4+AW4,3)</f>
        <v>10</v>
      </c>
      <c r="BQ4" s="32">
        <v>123562</v>
      </c>
    </row>
    <row r="5" ht="15.75" spans="1:69">
      <c r="A5" s="19">
        <v>1</v>
      </c>
      <c r="B5" s="19" t="s">
        <v>345</v>
      </c>
      <c r="C5" s="19" t="s">
        <v>345</v>
      </c>
      <c r="D5" s="19" t="s">
        <v>76</v>
      </c>
      <c r="E5" s="19" t="s">
        <v>76</v>
      </c>
      <c r="F5" s="20">
        <v>4</v>
      </c>
      <c r="G5" t="s">
        <v>87</v>
      </c>
      <c r="H5" s="20">
        <f t="shared" si="0"/>
        <v>400</v>
      </c>
      <c r="I5" t="s">
        <v>88</v>
      </c>
      <c r="J5" s="20">
        <v>9</v>
      </c>
      <c r="K5" s="20">
        <v>6</v>
      </c>
      <c r="L5" s="20">
        <f t="shared" si="1"/>
        <v>400</v>
      </c>
      <c r="M5" s="20">
        <f>ROUND(L5*I5%,2)</f>
        <v>16</v>
      </c>
      <c r="N5" s="20">
        <f t="shared" si="2"/>
        <v>384</v>
      </c>
      <c r="O5" s="20">
        <f>ROUND(N5*J5%,2)</f>
        <v>34.56</v>
      </c>
      <c r="P5" s="20">
        <f t="shared" si="3"/>
        <v>349.44</v>
      </c>
      <c r="Q5" s="20">
        <f t="shared" si="4"/>
        <v>20.97</v>
      </c>
      <c r="R5" s="20">
        <f>M5+O5+Q5</f>
        <v>71.53</v>
      </c>
      <c r="S5" s="20">
        <f t="shared" si="5"/>
        <v>328.47</v>
      </c>
      <c r="T5" s="20">
        <v>88363222</v>
      </c>
      <c r="U5" s="20">
        <v>18</v>
      </c>
      <c r="V5" s="20">
        <f>IF(OR(PoToMRVWOIpPlServImp!$C$2=1,PoToMRVWOIpPlServImp!$C$2=4),ROUND((((S5*U5)/100)/2),2),0)</f>
        <v>0</v>
      </c>
      <c r="W5" s="20">
        <f>IF(PoToMRVWOIpPlServImp!$C$2=1,ROUND((((S5*U5)/100)/2),2),0)</f>
        <v>0</v>
      </c>
      <c r="X5" s="20">
        <f>IF(PoToMRVWOIpPlServImp!$C$2=2,ROUND(((S5*U5)/100),2),0)</f>
        <v>0</v>
      </c>
      <c r="Y5" s="20">
        <f>IF(PoToMRVWOIpPlServImp!$C$2=4,ROUND((((S5*U5)/100)/2),2),0)</f>
        <v>0</v>
      </c>
      <c r="Z5" s="20">
        <v>0</v>
      </c>
      <c r="AA5" s="20">
        <f>IF(PoToMRVWOIpPlServImp!$C3=3,0,(S5*Z5)/100)</f>
        <v>0</v>
      </c>
      <c r="AB5" s="20">
        <f t="shared" si="6"/>
        <v>0</v>
      </c>
      <c r="AC5" s="20">
        <f>IF(PoToMRVWOIpPlServImp!$V3=1,S5+AB5,S5)</f>
        <v>328.47</v>
      </c>
      <c r="AD5" s="22">
        <v>120</v>
      </c>
      <c r="AE5" s="22">
        <f>IF(PoToMRVWOIpPlServImp!$P$2=1,(S5/PoToMRVWOIpPlServImp!$S$7)*PoToMRVWOIpPlServImp!$E$18,AD5/PoToMRVWOIpPlServImp!$AD$7*PoToMRVWOIpPlServImp!$E$18)</f>
        <v>0</v>
      </c>
      <c r="AF5" s="22"/>
      <c r="AG5" s="22">
        <f>IF(PoToMRVWOIpPlServImp!$P$2=1,(S5/PoToMRVWOIpPlServImp!$S$7)*PoToMRVWOIpPlServImp!$E$20,AD5/PoToMRVWOIpPlServImp!$AD$7*PoToMRVWOIpPlServImp!$E$20)</f>
        <v>0</v>
      </c>
      <c r="AH5" s="22">
        <f>IF(PoToMRVWOIpPlServImp!$P$2=1,(S5/PoToMRVWOIpPlServImp!$S$7)*PoToMRVWOIpPlServImp!$E$21,AD5/PoToMRVWOIpPlServImp!$AD$7*PoToMRVWOIpPlServImp!$E$21)</f>
        <v>0</v>
      </c>
      <c r="AI5" s="22">
        <f>S5*PoToMRVWOIpPlServImp!$M$2</f>
        <v>27919.95</v>
      </c>
      <c r="AJ5" s="22">
        <f>IF(PoToMRVWOIpPlServImp!$C$2=3,0,AG5+AH5)</f>
        <v>0</v>
      </c>
      <c r="AK5" s="22">
        <f>IF(PoToMRVWOIpPlServImp!$C$2=3,AE5+AG5+AH5,0)</f>
        <v>0</v>
      </c>
      <c r="AL5" s="23">
        <v>1</v>
      </c>
      <c r="AM5" s="22">
        <f t="shared" si="7"/>
        <v>4</v>
      </c>
      <c r="AN5" s="22">
        <f t="shared" si="8"/>
        <v>6979.9875</v>
      </c>
      <c r="AO5" s="22">
        <f t="shared" si="9"/>
        <v>0</v>
      </c>
      <c r="AP5" s="22">
        <f t="shared" si="10"/>
        <v>0</v>
      </c>
      <c r="AQ5" s="22" t="s">
        <v>76</v>
      </c>
      <c r="AR5" s="22">
        <f t="shared" si="11"/>
        <v>6979.9875</v>
      </c>
      <c r="AS5" s="24" t="s">
        <v>120</v>
      </c>
      <c r="AT5" s="25" t="s">
        <v>76</v>
      </c>
      <c r="AU5" t="s">
        <v>343</v>
      </c>
      <c r="AV5" t="s">
        <v>332</v>
      </c>
      <c r="AW5" s="25">
        <f t="shared" si="12"/>
        <v>4</v>
      </c>
      <c r="AX5" s="100">
        <f t="shared" si="13"/>
        <v>6979.9875</v>
      </c>
      <c r="AY5" s="25">
        <f t="shared" si="14"/>
        <v>12</v>
      </c>
      <c r="AZ5" s="100">
        <f>ROUND(((AU5*AV5)+(AW5*AX5))/(AU5+AW5),2)</f>
        <v>2380.27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332</v>
      </c>
      <c r="BN5" t="s">
        <v>88</v>
      </c>
      <c r="BO5" s="25">
        <f t="shared" si="15"/>
        <v>1230.34</v>
      </c>
      <c r="BP5" s="31">
        <f t="shared" si="16"/>
        <v>8</v>
      </c>
      <c r="BQ5" s="32">
        <v>123562</v>
      </c>
    </row>
    <row r="6" ht="15.75" spans="1:69">
      <c r="A6" s="19">
        <v>1</v>
      </c>
      <c r="B6" s="101" t="s">
        <v>346</v>
      </c>
      <c r="C6" s="102" t="s">
        <v>346</v>
      </c>
      <c r="D6" s="19" t="s">
        <v>76</v>
      </c>
      <c r="E6" s="19" t="s">
        <v>76</v>
      </c>
      <c r="F6" s="20">
        <v>10</v>
      </c>
      <c r="G6" t="s">
        <v>239</v>
      </c>
      <c r="H6" s="20">
        <f t="shared" si="0"/>
        <v>500</v>
      </c>
      <c r="I6" t="s">
        <v>240</v>
      </c>
      <c r="J6" s="20">
        <v>7</v>
      </c>
      <c r="K6" s="20">
        <v>4</v>
      </c>
      <c r="L6" s="20">
        <f t="shared" si="1"/>
        <v>500</v>
      </c>
      <c r="M6" s="20">
        <f>ROUND(L6*I6%,2)</f>
        <v>15</v>
      </c>
      <c r="N6" s="20">
        <f t="shared" si="2"/>
        <v>485</v>
      </c>
      <c r="O6" s="20">
        <f>ROUND(N6*J6%,2)</f>
        <v>33.95</v>
      </c>
      <c r="P6" s="20">
        <f t="shared" si="3"/>
        <v>451.05</v>
      </c>
      <c r="Q6" s="20">
        <f t="shared" si="4"/>
        <v>18.04</v>
      </c>
      <c r="R6" s="20">
        <f>M6+O6+Q6</f>
        <v>66.99</v>
      </c>
      <c r="S6" s="20">
        <f t="shared" si="5"/>
        <v>433.01</v>
      </c>
      <c r="T6" s="20">
        <v>88363222</v>
      </c>
      <c r="U6" s="20">
        <v>18</v>
      </c>
      <c r="V6" s="20">
        <f>IF(OR(PoToMRVWOIpPlServImp!$C$2=1,PoToMRVWOIpPlServImp!$C$2=4),ROUND((((S6*U6)/100)/2),2),0)</f>
        <v>0</v>
      </c>
      <c r="W6" s="20">
        <f>IF(PoToMRVWOIpPlServImp!$C$2=1,ROUND((((S6*U6)/100)/2),2),0)</f>
        <v>0</v>
      </c>
      <c r="X6" s="20">
        <f>IF(PoToMRVWOIpPlServImp!$C$2=2,ROUND(((S6*U6)/100),2),0)</f>
        <v>0</v>
      </c>
      <c r="Y6" s="20">
        <f>IF(PoToMRVWOIpPlServImp!$C$2=4,ROUND((((S6*U6)/100)/2),2),0)</f>
        <v>0</v>
      </c>
      <c r="Z6" s="20">
        <v>0</v>
      </c>
      <c r="AA6" s="20">
        <f>IF(PoToMRVWOIpPlServImp!$C4=3,0,(S6*Z6)/100)</f>
        <v>0</v>
      </c>
      <c r="AB6" s="20">
        <f t="shared" si="6"/>
        <v>0</v>
      </c>
      <c r="AC6" s="20">
        <f>IF(PoToMRVWOIpPlServImp!$V4=1,S6+AB6,S6)</f>
        <v>433.01</v>
      </c>
      <c r="AD6" s="22">
        <v>120</v>
      </c>
      <c r="AE6" s="22">
        <f>IF(PoToMRVWOIpPlServImp!$P$2=1,(S6/PoToMRVWOIpPlServImp!$S$7)*PoToMRVWOIpPlServImp!$E$18,AD6/PoToMRVWOIpPlServImp!$AD$7*PoToMRVWOIpPlServImp!$E$18)</f>
        <v>0</v>
      </c>
      <c r="AF6" s="22"/>
      <c r="AG6" s="22">
        <f>IF(PoToMRVWOIpPlServImp!$P$2=1,(S6/PoToMRVWOIpPlServImp!$S$7)*PoToMRVWOIpPlServImp!$E$20,AD6/PoToMRVWOIpPlServImp!$AD$7*PoToMRVWOIpPlServImp!$E$20)</f>
        <v>0</v>
      </c>
      <c r="AH6" s="22">
        <f>IF(PoToMRVWOIpPlServImp!$P$2=1,(S6/PoToMRVWOIpPlServImp!$S$7)*PoToMRVWOIpPlServImp!$E$21,AD6/PoToMRVWOIpPlServImp!$AD$7*PoToMRVWOIpPlServImp!$E$21)</f>
        <v>0</v>
      </c>
      <c r="AI6" s="22">
        <f>S6*PoToMRVWOIpPlServImp!$M$2</f>
        <v>36805.85</v>
      </c>
      <c r="AJ6" s="22">
        <f>IF(PoToMRVWOIpPlServImp!$C$2=3,0,AG6+AH6)</f>
        <v>0</v>
      </c>
      <c r="AK6" s="22">
        <f>IF(PoToMRVWOIpPlServImp!$C$2=3,AE6+AG6+AH6,0)</f>
        <v>0</v>
      </c>
      <c r="AL6" s="23">
        <v>1</v>
      </c>
      <c r="AM6" s="22">
        <f t="shared" si="7"/>
        <v>10</v>
      </c>
      <c r="AN6" s="22">
        <f t="shared" si="8"/>
        <v>3680.585</v>
      </c>
      <c r="AO6" s="22">
        <f t="shared" si="9"/>
        <v>0</v>
      </c>
      <c r="AP6" s="22">
        <f t="shared" si="10"/>
        <v>0</v>
      </c>
      <c r="AQ6" s="22" t="s">
        <v>76</v>
      </c>
      <c r="AR6" s="22">
        <f t="shared" si="11"/>
        <v>3680.585</v>
      </c>
      <c r="AS6" s="24" t="s">
        <v>120</v>
      </c>
      <c r="AT6" s="25" t="s">
        <v>76</v>
      </c>
      <c r="AU6" t="s">
        <v>281</v>
      </c>
      <c r="AV6" t="s">
        <v>167</v>
      </c>
      <c r="AW6" s="25">
        <f t="shared" si="12"/>
        <v>10</v>
      </c>
      <c r="AX6" s="25">
        <f t="shared" si="13"/>
        <v>3680.585</v>
      </c>
      <c r="AY6" s="25">
        <f t="shared" si="14"/>
        <v>30</v>
      </c>
      <c r="AZ6" s="26">
        <f>ROUND(((AU6*AV6)+(AW6*AX6))/(AU6+AW6),3)</f>
        <v>1309.892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>
        <v>167</v>
      </c>
      <c r="BN6" t="s">
        <v>174</v>
      </c>
      <c r="BO6" s="25">
        <f t="shared" si="15"/>
        <v>717.2185</v>
      </c>
      <c r="BP6" s="31">
        <f t="shared" si="16"/>
        <v>20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250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31.5</v>
      </c>
      <c r="S7" s="37">
        <f t="shared" si="17"/>
        <v>218.5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0</v>
      </c>
      <c r="Y7" s="39"/>
      <c r="Z7" s="39"/>
      <c r="AA7" s="39"/>
      <c r="AB7" s="38">
        <f t="shared" ref="AB7:AE7" si="18">SUM(AB4:AB4)</f>
        <v>0</v>
      </c>
      <c r="AC7" s="40">
        <f t="shared" si="18"/>
        <v>218.5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18572.5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250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31.5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218.5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218.5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1"/>
  <sheetViews>
    <sheetView workbookViewId="0">
      <selection activeCell="AS9" sqref="AS9"/>
    </sheetView>
  </sheetViews>
  <sheetFormatPr defaultColWidth="9" defaultRowHeight="15"/>
  <cols>
    <col min="1" max="1" width="9" style="50"/>
    <col min="2" max="2" width="23.5714285714286" style="50" customWidth="1"/>
    <col min="3" max="3" width="18.5714285714286" style="50" customWidth="1"/>
    <col min="4" max="4" width="72.4285714285714" style="50" customWidth="1"/>
    <col min="5" max="10" width="9" style="50"/>
    <col min="11" max="11" width="6.14285714285714" style="50" customWidth="1"/>
    <col min="12" max="28" width="9" style="50"/>
    <col min="29" max="29" width="11.5714285714286" style="50" customWidth="1"/>
    <col min="30" max="34" width="9" style="50"/>
    <col min="35" max="35" width="14.2857142857143" style="50" customWidth="1"/>
    <col min="36" max="36" width="17.5714285714286" style="50" customWidth="1"/>
    <col min="37" max="37" width="13.4285714285714" style="50" customWidth="1"/>
    <col min="38" max="38" width="13.5714285714286" style="50" customWidth="1"/>
    <col min="39" max="44" width="9" style="50"/>
    <col min="45" max="45" width="9.42857142857143" style="50" customWidth="1"/>
    <col min="46" max="46" width="9" style="50"/>
    <col min="47" max="47" width="15.2857142857143" style="50" customWidth="1"/>
    <col min="48" max="48" width="20.2857142857143" style="50" customWidth="1"/>
    <col min="49" max="49" width="9" style="50"/>
    <col min="50" max="50" width="16.2857142857143" style="50" customWidth="1"/>
    <col min="51" max="51" width="13.847619047619" style="50" customWidth="1"/>
    <col min="52" max="52" width="18.847619047619" style="50" customWidth="1"/>
    <col min="53" max="53" width="9" style="50"/>
    <col min="54" max="57" width="21.7142857142857" style="50" customWidth="1"/>
    <col min="58" max="58" width="16.5714285714286" style="50" customWidth="1"/>
    <col min="59" max="59" width="13.7142857142857" style="50" customWidth="1"/>
    <col min="60" max="60" width="12.4285714285714" style="50" customWidth="1"/>
    <col min="61" max="62" width="9" style="50"/>
    <col min="63" max="63" width="30.5714285714286" style="50" customWidth="1"/>
    <col min="64" max="64" width="9" style="50"/>
    <col min="65" max="65" width="41.1428571428571" style="50" customWidth="1"/>
    <col min="66" max="66" width="37" style="50" customWidth="1"/>
    <col min="67" max="67" width="18.847619047619" style="50" customWidth="1"/>
    <col min="68" max="68" width="34.4285714285714" style="50" customWidth="1"/>
    <col min="69" max="16384" width="9" style="50"/>
  </cols>
  <sheetData>
    <row r="1" spans="1:69">
      <c r="A1" s="51" t="s">
        <v>0</v>
      </c>
      <c r="B1" s="52"/>
      <c r="C1" s="52"/>
      <c r="D1" s="52"/>
      <c r="E1" s="52"/>
      <c r="F1" s="52"/>
      <c r="G1" s="52"/>
      <c r="H1" s="51"/>
      <c r="I1" s="53"/>
      <c r="J1" s="53"/>
      <c r="K1" s="53"/>
      <c r="L1" s="53"/>
      <c r="M1" s="53"/>
      <c r="N1" s="53"/>
      <c r="O1" s="53"/>
      <c r="P1" s="53"/>
      <c r="Q1" s="53"/>
      <c r="R1" s="51"/>
      <c r="S1" s="51"/>
      <c r="T1" s="51"/>
      <c r="U1" s="51"/>
      <c r="V1" s="54"/>
      <c r="W1" s="54"/>
      <c r="X1" s="54"/>
      <c r="Y1" s="54"/>
      <c r="Z1" s="54"/>
      <c r="AA1" s="54"/>
      <c r="AB1" s="54"/>
      <c r="AC1" s="54"/>
      <c r="AD1" s="54"/>
      <c r="AE1" s="54"/>
      <c r="AF1" s="54"/>
      <c r="AG1" s="54"/>
      <c r="AH1" s="54"/>
      <c r="AI1" s="54"/>
      <c r="AJ1" s="54"/>
      <c r="AK1" s="54"/>
      <c r="AL1" s="54"/>
      <c r="AM1" s="54"/>
      <c r="AN1" s="54"/>
      <c r="AO1" s="54"/>
      <c r="AP1" s="54"/>
      <c r="AQ1" s="54"/>
      <c r="AR1" s="54"/>
      <c r="AS1" s="54"/>
      <c r="AT1" s="54"/>
      <c r="AU1" s="54"/>
      <c r="AV1" s="54"/>
      <c r="AW1" s="54"/>
      <c r="AX1" s="54"/>
      <c r="AY1" s="54"/>
      <c r="AZ1" s="54"/>
      <c r="BA1" s="54"/>
      <c r="BB1" s="54"/>
      <c r="BC1" s="54"/>
      <c r="BD1" s="54"/>
      <c r="BE1" s="54"/>
      <c r="BF1" s="54"/>
      <c r="BG1" s="54"/>
      <c r="BH1" s="54"/>
      <c r="BI1" s="54"/>
      <c r="BJ1" s="54"/>
      <c r="BK1" s="54"/>
      <c r="BL1" s="54"/>
      <c r="BM1" s="54"/>
      <c r="BN1" s="54"/>
      <c r="BO1" s="54"/>
    </row>
    <row r="2" ht="15.75" spans="1:69">
      <c r="A2" s="55" t="s">
        <v>1</v>
      </c>
      <c r="B2" s="55"/>
      <c r="C2" s="56">
        <v>1</v>
      </c>
      <c r="D2" s="57" t="s">
        <v>2</v>
      </c>
      <c r="E2" s="52"/>
      <c r="F2" s="52"/>
      <c r="G2" s="52"/>
      <c r="H2" s="51"/>
      <c r="I2" s="53" t="s">
        <v>3</v>
      </c>
      <c r="J2" s="53" t="s">
        <v>4</v>
      </c>
      <c r="K2" s="53"/>
      <c r="L2" s="53" t="s">
        <v>5</v>
      </c>
      <c r="M2" s="53">
        <v>1</v>
      </c>
      <c r="N2" s="53"/>
      <c r="O2" s="53" t="s">
        <v>6</v>
      </c>
      <c r="P2" s="53">
        <v>2</v>
      </c>
      <c r="Q2" s="53" t="s">
        <v>7</v>
      </c>
      <c r="R2" s="51"/>
      <c r="S2" s="51"/>
      <c r="T2" s="51"/>
      <c r="U2" s="51"/>
      <c r="V2" s="51">
        <v>1</v>
      </c>
      <c r="W2" s="51" t="s">
        <v>8</v>
      </c>
      <c r="X2" s="54"/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4"/>
      <c r="AO2" s="54"/>
      <c r="AP2" s="54"/>
      <c r="AQ2" s="54"/>
      <c r="AR2" s="54"/>
      <c r="AS2" s="54"/>
      <c r="AT2" s="54"/>
      <c r="AU2" s="54"/>
      <c r="AV2" s="54"/>
      <c r="AW2" s="54"/>
      <c r="AX2" s="54"/>
      <c r="AY2" s="54"/>
      <c r="AZ2" s="54"/>
      <c r="BA2" s="54"/>
      <c r="BB2" s="54"/>
      <c r="BC2" s="54"/>
      <c r="BD2" s="54"/>
      <c r="BE2" s="54"/>
      <c r="BF2" s="54"/>
      <c r="BG2" s="54"/>
      <c r="BH2" s="54"/>
      <c r="BI2" s="54"/>
      <c r="BJ2" s="54"/>
      <c r="BK2" s="54"/>
      <c r="BL2" s="54"/>
      <c r="BM2" s="54"/>
      <c r="BN2" s="54"/>
      <c r="BO2" s="54"/>
    </row>
    <row r="3" ht="61.5" spans="1:69">
      <c r="A3" s="58" t="s">
        <v>9</v>
      </c>
      <c r="B3" s="58" t="s">
        <v>10</v>
      </c>
      <c r="C3" s="58" t="s">
        <v>11</v>
      </c>
      <c r="D3" s="58" t="s">
        <v>12</v>
      </c>
      <c r="E3" s="58" t="s">
        <v>13</v>
      </c>
      <c r="F3" s="58" t="s">
        <v>14</v>
      </c>
      <c r="G3" s="58" t="s">
        <v>15</v>
      </c>
      <c r="H3" s="58" t="s">
        <v>16</v>
      </c>
      <c r="I3" s="59" t="s">
        <v>17</v>
      </c>
      <c r="J3" s="59" t="s">
        <v>18</v>
      </c>
      <c r="K3" s="59" t="s">
        <v>19</v>
      </c>
      <c r="L3" s="60" t="s">
        <v>20</v>
      </c>
      <c r="M3" s="60" t="s">
        <v>21</v>
      </c>
      <c r="N3" s="60" t="s">
        <v>22</v>
      </c>
      <c r="O3" s="60" t="s">
        <v>23</v>
      </c>
      <c r="P3" s="60" t="s">
        <v>24</v>
      </c>
      <c r="Q3" s="60" t="s">
        <v>25</v>
      </c>
      <c r="R3" s="59" t="s">
        <v>26</v>
      </c>
      <c r="S3" s="58" t="s">
        <v>27</v>
      </c>
      <c r="T3" s="58" t="s">
        <v>28</v>
      </c>
      <c r="U3" s="61" t="s">
        <v>29</v>
      </c>
      <c r="V3" s="61" t="s">
        <v>30</v>
      </c>
      <c r="W3" s="61" t="s">
        <v>31</v>
      </c>
      <c r="X3" s="61" t="s">
        <v>32</v>
      </c>
      <c r="Y3" s="62" t="s">
        <v>33</v>
      </c>
      <c r="Z3" s="62" t="s">
        <v>34</v>
      </c>
      <c r="AA3" s="62" t="s">
        <v>35</v>
      </c>
      <c r="AB3" s="62" t="s">
        <v>36</v>
      </c>
      <c r="AC3" s="63" t="s">
        <v>37</v>
      </c>
      <c r="AD3" s="63" t="s">
        <v>38</v>
      </c>
      <c r="AE3" s="63" t="s">
        <v>39</v>
      </c>
      <c r="AF3" s="63" t="s">
        <v>40</v>
      </c>
      <c r="AG3" s="63" t="s">
        <v>41</v>
      </c>
      <c r="AH3" s="63" t="s">
        <v>42</v>
      </c>
      <c r="AI3" s="63" t="s">
        <v>43</v>
      </c>
      <c r="AJ3" s="63" t="s">
        <v>44</v>
      </c>
      <c r="AK3" s="63" t="s">
        <v>45</v>
      </c>
      <c r="AL3" s="63" t="s">
        <v>46</v>
      </c>
      <c r="AM3" s="63" t="s">
        <v>47</v>
      </c>
      <c r="AN3" s="63" t="s">
        <v>48</v>
      </c>
      <c r="AO3" s="63" t="s">
        <v>49</v>
      </c>
      <c r="AP3" s="63" t="s">
        <v>50</v>
      </c>
      <c r="AQ3" s="63" t="s">
        <v>51</v>
      </c>
      <c r="AR3" s="64" t="s">
        <v>52</v>
      </c>
      <c r="AS3" s="65" t="s">
        <v>53</v>
      </c>
      <c r="AT3" s="65" t="s">
        <v>51</v>
      </c>
      <c r="AU3" s="66" t="s">
        <v>54</v>
      </c>
      <c r="AV3" s="66" t="s">
        <v>55</v>
      </c>
      <c r="AW3" s="66" t="s">
        <v>56</v>
      </c>
      <c r="AX3" s="66" t="s">
        <v>57</v>
      </c>
      <c r="AY3" s="66" t="s">
        <v>58</v>
      </c>
      <c r="AZ3" s="66" t="s">
        <v>59</v>
      </c>
      <c r="BA3" s="66" t="s">
        <v>60</v>
      </c>
      <c r="BB3" s="66" t="s">
        <v>61</v>
      </c>
      <c r="BC3" s="67" t="s">
        <v>62</v>
      </c>
      <c r="BD3" s="67" t="s">
        <v>63</v>
      </c>
      <c r="BE3" s="67" t="s">
        <v>64</v>
      </c>
      <c r="BF3" s="66" t="s">
        <v>65</v>
      </c>
      <c r="BG3" s="66" t="s">
        <v>66</v>
      </c>
      <c r="BH3" s="66" t="s">
        <v>67</v>
      </c>
      <c r="BI3" s="66" t="s">
        <v>68</v>
      </c>
      <c r="BJ3" s="66" t="s">
        <v>69</v>
      </c>
      <c r="BK3" s="66" t="s">
        <v>70</v>
      </c>
      <c r="BL3" s="66" t="s">
        <v>71</v>
      </c>
      <c r="BM3" s="68" t="s">
        <v>72</v>
      </c>
      <c r="BN3" s="66" t="s">
        <v>73</v>
      </c>
      <c r="BO3" s="66" t="s">
        <v>59</v>
      </c>
      <c r="BP3" s="66" t="s">
        <v>74</v>
      </c>
      <c r="BQ3" s="66" t="s">
        <v>28</v>
      </c>
    </row>
    <row r="4" ht="15.75" spans="1:69">
      <c r="A4" s="69">
        <v>1</v>
      </c>
      <c r="B4" s="69"/>
      <c r="C4" s="69"/>
      <c r="D4" s="69" t="s">
        <v>76</v>
      </c>
      <c r="E4" s="69" t="s">
        <v>95</v>
      </c>
      <c r="F4" s="70">
        <v>25</v>
      </c>
      <c r="G4" s="70">
        <v>257.63</v>
      </c>
      <c r="H4" s="70">
        <f>F4*G4</f>
        <v>6440.75</v>
      </c>
      <c r="I4" s="70">
        <v>1</v>
      </c>
      <c r="J4" s="70">
        <v>2</v>
      </c>
      <c r="K4" s="70">
        <v>2.5</v>
      </c>
      <c r="L4" s="70">
        <f>H4</f>
        <v>6440.75</v>
      </c>
      <c r="M4" s="70">
        <f>ROUND(L4*I4%,2)</f>
        <v>64.41</v>
      </c>
      <c r="N4" s="70">
        <f>H4-M4</f>
        <v>6376.34</v>
      </c>
      <c r="O4" s="70">
        <f>ROUND(N4*J4%,2)</f>
        <v>127.53</v>
      </c>
      <c r="P4" s="70">
        <f>ROUND(N4-O4,2)</f>
        <v>6248.81</v>
      </c>
      <c r="Q4" s="70">
        <f>ROUND(P4*K4%,2)</f>
        <v>156.22</v>
      </c>
      <c r="R4" s="70">
        <f>ROUND((M4+O4+Q4),2)</f>
        <v>348.16</v>
      </c>
      <c r="S4" s="70">
        <f>ROUND((H4-R4),2)</f>
        <v>6092.59</v>
      </c>
      <c r="T4" s="71" t="s">
        <v>347</v>
      </c>
      <c r="U4" s="72">
        <v>0.18</v>
      </c>
      <c r="V4" s="70">
        <f>IF(OR($C$2=1,$C$2=4),ROUND(((S4*U4)/2),2),0)</f>
        <v>548.33</v>
      </c>
      <c r="W4" s="70">
        <f>IF($C$2=1,ROUND(((S4*U4)/2),2),0)</f>
        <v>548.33</v>
      </c>
      <c r="X4" s="70">
        <f>IF($C$2=2,ROUND(((S4*U4)),2),0)</f>
        <v>0</v>
      </c>
      <c r="Y4" s="70">
        <f>IF($C$2=4,ROUND(((S4*U4)/2),2),0)</f>
        <v>0</v>
      </c>
      <c r="Z4" s="73">
        <v>0</v>
      </c>
      <c r="AA4" s="70">
        <f>IF($C2=3,0,ROUND(S4*Z4,2))</f>
        <v>0</v>
      </c>
      <c r="AB4" s="69">
        <f>V4+W4+X4+Y4+AA4</f>
        <v>1096.66</v>
      </c>
      <c r="AC4" s="69">
        <f>IF($V2=1,S4+AB4,S4)</f>
        <v>7189.25</v>
      </c>
      <c r="AD4" s="71">
        <v>120</v>
      </c>
      <c r="AE4" s="71">
        <f>IF($P$2=1,(S4/$S$7)*$E$18,AD4/$AD$7*$E$18)</f>
        <v>0</v>
      </c>
      <c r="AF4" s="71"/>
      <c r="AG4" s="71">
        <f>IF($P$2=1,(S4/$S$7)*$E$20,AD4/$AD$7*$E$20)</f>
        <v>0</v>
      </c>
      <c r="AH4" s="71">
        <f>IF($P$2=1,(S4/$S$7)*$E$21,AD4/$AD$7*$E$21)</f>
        <v>0</v>
      </c>
      <c r="AI4" s="71">
        <f t="shared" ref="AI4:AI6" si="0">S4*$M$2</f>
        <v>6092.59</v>
      </c>
      <c r="AJ4" s="71">
        <f>IF($C$2=3,0,AG4+AH4)</f>
        <v>0</v>
      </c>
      <c r="AK4" s="71">
        <f t="shared" ref="AK4:AK6" si="1">IF($C$2=3,AE4+AG4+AH4,0)</f>
        <v>0</v>
      </c>
      <c r="AL4" s="74">
        <v>2</v>
      </c>
      <c r="AM4" s="71">
        <f>F4/AL4</f>
        <v>12.5</v>
      </c>
      <c r="AN4" s="71">
        <f>ROUND(AI4/AM4,5)</f>
        <v>487.4072</v>
      </c>
      <c r="AO4" s="71">
        <f>AJ4/AM4</f>
        <v>0</v>
      </c>
      <c r="AP4" s="71">
        <f>AK4/AM4</f>
        <v>0</v>
      </c>
      <c r="AQ4" s="71" t="s">
        <v>76</v>
      </c>
      <c r="AR4" s="71">
        <f>ROUND(AN4+AO4+AP4,5)</f>
        <v>487.4072</v>
      </c>
      <c r="AS4" s="75" t="s">
        <v>149</v>
      </c>
      <c r="AT4" s="75" t="s">
        <v>76</v>
      </c>
      <c r="AU4" s="50" t="s">
        <v>85</v>
      </c>
      <c r="AV4" s="50" t="s">
        <v>348</v>
      </c>
      <c r="AW4" s="75">
        <f>AM4</f>
        <v>12.5</v>
      </c>
      <c r="AX4" s="75">
        <f>AR4</f>
        <v>487.4072</v>
      </c>
      <c r="AY4" s="75">
        <f>AU4+AW4</f>
        <v>12.5</v>
      </c>
      <c r="AZ4" s="75">
        <f>ROUND(((AU4*AV4)+(AW4*AX4))/(AU4+AW4),5)</f>
        <v>487.4072</v>
      </c>
      <c r="BA4" s="76"/>
      <c r="BB4" s="76" t="s">
        <v>80</v>
      </c>
      <c r="BC4" s="77" t="s">
        <v>81</v>
      </c>
      <c r="BD4" s="78" t="s">
        <v>82</v>
      </c>
      <c r="BE4" s="78" t="s">
        <v>83</v>
      </c>
      <c r="BF4" s="76"/>
      <c r="BG4" s="76"/>
      <c r="BH4" s="76"/>
      <c r="BI4" s="75"/>
      <c r="BJ4" s="75"/>
      <c r="BK4" s="75"/>
      <c r="BL4" s="79" t="s">
        <v>152</v>
      </c>
      <c r="BM4" s="50" t="s">
        <v>348</v>
      </c>
      <c r="BN4" s="50" t="s">
        <v>349</v>
      </c>
      <c r="BO4" s="75">
        <f>ROUND((((AW4*AZ4)+(BN4*BM4))/(AW4+BN4)),5)</f>
        <v>487.4072</v>
      </c>
      <c r="BP4" s="80">
        <f>BN4+AW4</f>
        <v>350</v>
      </c>
      <c r="BQ4" s="81">
        <v>123562</v>
      </c>
    </row>
    <row r="5" ht="15.75" spans="1:69">
      <c r="A5" s="69">
        <v>2</v>
      </c>
      <c r="B5" s="69"/>
      <c r="C5" s="69"/>
      <c r="D5" s="69" t="s">
        <v>76</v>
      </c>
      <c r="E5" s="69" t="s">
        <v>99</v>
      </c>
      <c r="F5" s="70">
        <v>28</v>
      </c>
      <c r="G5" s="70">
        <v>150.5</v>
      </c>
      <c r="H5" s="70">
        <f t="shared" ref="H5:H6" si="2">F5*G5</f>
        <v>4214</v>
      </c>
      <c r="I5" s="70">
        <v>1</v>
      </c>
      <c r="J5" s="70">
        <v>2</v>
      </c>
      <c r="K5" s="70">
        <v>2.5</v>
      </c>
      <c r="L5" s="70">
        <f t="shared" ref="L5:L6" si="3">H5</f>
        <v>4214</v>
      </c>
      <c r="M5" s="70">
        <f t="shared" ref="M5:M6" si="4">ROUND(L5*I5%,2)</f>
        <v>42.14</v>
      </c>
      <c r="N5" s="70">
        <f t="shared" ref="N5:N6" si="5">H5-M5</f>
        <v>4171.86</v>
      </c>
      <c r="O5" s="70">
        <f t="shared" ref="O5:O6" si="6">ROUND(N5*J5%,2)</f>
        <v>83.44</v>
      </c>
      <c r="P5" s="70">
        <f t="shared" ref="P5:P6" si="7">ROUND(N5-O5,2)</f>
        <v>4088.42</v>
      </c>
      <c r="Q5" s="70">
        <f t="shared" ref="Q5:Q6" si="8">ROUND(P5*K5%,2)</f>
        <v>102.21</v>
      </c>
      <c r="R5" s="70">
        <f t="shared" ref="R5:R6" si="9">ROUND((M5+O5+Q5),2)</f>
        <v>227.79</v>
      </c>
      <c r="S5" s="70">
        <f t="shared" ref="S5:S6" si="10">ROUND((H5-R5),2)</f>
        <v>3986.21</v>
      </c>
      <c r="T5" s="71" t="s">
        <v>350</v>
      </c>
      <c r="U5" s="72">
        <v>0.18</v>
      </c>
      <c r="V5" s="70">
        <f t="shared" ref="V5:V6" si="11">IF(OR($C$2=1,$C$2=4),ROUND(((S5*U5)/2),2),0)</f>
        <v>358.76</v>
      </c>
      <c r="W5" s="70">
        <f t="shared" ref="W5:W6" si="12">IF($C$2=1,ROUND(((S5*U5)/2),2),0)</f>
        <v>358.76</v>
      </c>
      <c r="X5" s="70">
        <f t="shared" ref="X5:X6" si="13">IF($C$2=2,ROUND(((S5*U5)),2),0)</f>
        <v>0</v>
      </c>
      <c r="Y5" s="70">
        <f t="shared" ref="Y5:Y6" si="14">IF($C$2=4,ROUND(((S5*U5)/2),2),0)</f>
        <v>0</v>
      </c>
      <c r="Z5" s="73">
        <v>0</v>
      </c>
      <c r="AA5" s="70">
        <f t="shared" ref="AA5:AA6" si="15">IF($C3=3,0,ROUND(S5*Z5,2))</f>
        <v>0</v>
      </c>
      <c r="AB5" s="69">
        <f t="shared" ref="AB5:AB6" si="16">V5+W5+X5+Y5+AA5</f>
        <v>717.52</v>
      </c>
      <c r="AC5" s="69">
        <f t="shared" ref="AC5:AC6" si="17">IF($V3=1,S5+AB5,S5)</f>
        <v>3986.21</v>
      </c>
      <c r="AD5" s="71">
        <v>350</v>
      </c>
      <c r="AE5" s="71">
        <f>IF($P$2=1,(S5/$S$7)*$E$18,AD5/$AD$7*$E$18)</f>
        <v>0</v>
      </c>
      <c r="AF5" s="71"/>
      <c r="AG5" s="71">
        <f>IF($P$2=1,(S5/$S$7)*$E$20,AD5/$AD$7*$E$20)</f>
        <v>0</v>
      </c>
      <c r="AH5" s="71">
        <f>IF($P$2=1,(S5/$S$7)*$E$21,AD5/$AD$7*$E$21)</f>
        <v>0</v>
      </c>
      <c r="AI5" s="71">
        <f t="shared" si="0"/>
        <v>3986.21</v>
      </c>
      <c r="AJ5" s="71">
        <f t="shared" ref="AJ5:AJ6" si="18">IF($C$2=3,0,AG5+AH5)</f>
        <v>0</v>
      </c>
      <c r="AK5" s="71">
        <f t="shared" si="1"/>
        <v>0</v>
      </c>
      <c r="AL5" s="74">
        <v>2.5</v>
      </c>
      <c r="AM5" s="71">
        <f>F5/AL5</f>
        <v>11.2</v>
      </c>
      <c r="AN5" s="71">
        <f t="shared" ref="AN5:AN6" si="19">ROUND(AI5/AM5,5)</f>
        <v>355.91161</v>
      </c>
      <c r="AO5" s="71">
        <f t="shared" ref="AO5:AO6" si="20">AJ5/AM5</f>
        <v>0</v>
      </c>
      <c r="AP5" s="71">
        <f t="shared" ref="AP5:AP6" si="21">AK5/AM5</f>
        <v>0</v>
      </c>
      <c r="AQ5" s="71" t="s">
        <v>76</v>
      </c>
      <c r="AR5" s="71">
        <f t="shared" ref="AR5:AR6" si="22">ROUND(AN5+AO5+AP5,5)</f>
        <v>355.91161</v>
      </c>
      <c r="AS5" s="75" t="s">
        <v>149</v>
      </c>
      <c r="AT5" s="75" t="s">
        <v>76</v>
      </c>
      <c r="AU5" s="50" t="s">
        <v>85</v>
      </c>
      <c r="AV5" s="50" t="s">
        <v>351</v>
      </c>
      <c r="AW5" s="75">
        <f>AM5</f>
        <v>11.2</v>
      </c>
      <c r="AX5" s="75">
        <f>AR5</f>
        <v>355.91161</v>
      </c>
      <c r="AY5" s="75">
        <f>AU5+AW5</f>
        <v>11.2</v>
      </c>
      <c r="AZ5" s="75">
        <f>ROUND(((AU5*AV5)+(AW5*AX5))/(AU5+AW5),5)</f>
        <v>355.91161</v>
      </c>
      <c r="BA5" s="76"/>
      <c r="BB5" s="76" t="s">
        <v>80</v>
      </c>
      <c r="BC5" s="77" t="s">
        <v>81</v>
      </c>
      <c r="BD5" s="78" t="s">
        <v>82</v>
      </c>
      <c r="BE5" s="78" t="s">
        <v>83</v>
      </c>
      <c r="BF5" s="76"/>
      <c r="BG5" s="76"/>
      <c r="BH5" s="76"/>
      <c r="BI5" s="75"/>
      <c r="BJ5" s="75"/>
      <c r="BK5" s="75"/>
      <c r="BL5" s="79" t="s">
        <v>152</v>
      </c>
      <c r="BM5" s="50" t="s">
        <v>351</v>
      </c>
      <c r="BN5" s="50" t="s">
        <v>352</v>
      </c>
      <c r="BO5" s="75">
        <f>ROUND((((AW5*AZ5)+(BN5*BM5))/(AW5+BN5)),5)</f>
        <v>355.91161</v>
      </c>
      <c r="BP5" s="80">
        <f>BN5+AW5</f>
        <v>313.6</v>
      </c>
      <c r="BQ5" s="81">
        <v>123562</v>
      </c>
    </row>
    <row r="6" ht="15.75" spans="1:69">
      <c r="A6" s="69">
        <v>3</v>
      </c>
      <c r="B6" s="69"/>
      <c r="C6" s="69"/>
      <c r="D6" s="69" t="s">
        <v>95</v>
      </c>
      <c r="E6" s="69" t="s">
        <v>101</v>
      </c>
      <c r="F6" s="70">
        <v>37</v>
      </c>
      <c r="G6" s="70">
        <v>89.54</v>
      </c>
      <c r="H6" s="70">
        <f t="shared" si="2"/>
        <v>3312.98</v>
      </c>
      <c r="I6" s="70">
        <v>1</v>
      </c>
      <c r="J6" s="70">
        <v>2</v>
      </c>
      <c r="K6" s="70">
        <v>2.5</v>
      </c>
      <c r="L6" s="70">
        <f t="shared" si="3"/>
        <v>3312.98</v>
      </c>
      <c r="M6" s="70">
        <f t="shared" si="4"/>
        <v>33.13</v>
      </c>
      <c r="N6" s="70">
        <f t="shared" si="5"/>
        <v>3279.85</v>
      </c>
      <c r="O6" s="70">
        <f t="shared" si="6"/>
        <v>65.6</v>
      </c>
      <c r="P6" s="70">
        <f t="shared" si="7"/>
        <v>3214.25</v>
      </c>
      <c r="Q6" s="70">
        <f t="shared" si="8"/>
        <v>80.36</v>
      </c>
      <c r="R6" s="70">
        <f t="shared" si="9"/>
        <v>179.09</v>
      </c>
      <c r="S6" s="70">
        <f t="shared" si="10"/>
        <v>3133.89</v>
      </c>
      <c r="T6" s="71" t="s">
        <v>353</v>
      </c>
      <c r="U6" s="72">
        <v>0.18</v>
      </c>
      <c r="V6" s="70">
        <f t="shared" si="11"/>
        <v>282.05</v>
      </c>
      <c r="W6" s="70">
        <f t="shared" si="12"/>
        <v>282.05</v>
      </c>
      <c r="X6" s="70">
        <f t="shared" si="13"/>
        <v>0</v>
      </c>
      <c r="Y6" s="70">
        <f t="shared" si="14"/>
        <v>0</v>
      </c>
      <c r="Z6" s="73">
        <v>0</v>
      </c>
      <c r="AA6" s="70">
        <f t="shared" si="15"/>
        <v>0</v>
      </c>
      <c r="AB6" s="69">
        <f t="shared" si="16"/>
        <v>564.1</v>
      </c>
      <c r="AC6" s="69">
        <f t="shared" si="17"/>
        <v>3133.89</v>
      </c>
      <c r="AD6" s="71">
        <v>220</v>
      </c>
      <c r="AE6" s="71">
        <f>IF($P$2=1,(S6/$S$7)*$E$18,AD6/$AD$7*$E$18)</f>
        <v>0</v>
      </c>
      <c r="AF6" s="71"/>
      <c r="AG6" s="71">
        <f>IF($P$2=1,(S6/$S$7)*$E$20,AD6/$AD$7*$E$20)</f>
        <v>0</v>
      </c>
      <c r="AH6" s="71">
        <f>IF($P$2=1,(S6/$S$7)*$E$21,AD6/$AD$7*$E$21)</f>
        <v>0</v>
      </c>
      <c r="AI6" s="71">
        <f t="shared" si="0"/>
        <v>3133.89</v>
      </c>
      <c r="AJ6" s="71">
        <f t="shared" si="18"/>
        <v>0</v>
      </c>
      <c r="AK6" s="71">
        <f t="shared" si="1"/>
        <v>0</v>
      </c>
      <c r="AL6" s="69">
        <v>0.001</v>
      </c>
      <c r="AM6" s="71">
        <f>F6/AL6</f>
        <v>37000</v>
      </c>
      <c r="AN6" s="71">
        <f t="shared" si="19"/>
        <v>0.0847</v>
      </c>
      <c r="AO6" s="71">
        <f t="shared" si="20"/>
        <v>0</v>
      </c>
      <c r="AP6" s="71">
        <f t="shared" si="21"/>
        <v>0</v>
      </c>
      <c r="AQ6" s="71" t="s">
        <v>76</v>
      </c>
      <c r="AR6" s="71">
        <f t="shared" si="22"/>
        <v>0.0847</v>
      </c>
      <c r="AS6" s="79" t="s">
        <v>149</v>
      </c>
      <c r="AT6" s="79" t="s">
        <v>76</v>
      </c>
      <c r="AU6" s="50" t="s">
        <v>85</v>
      </c>
      <c r="AV6" s="50" t="s">
        <v>354</v>
      </c>
      <c r="AW6" s="75">
        <f>AM6</f>
        <v>37000</v>
      </c>
      <c r="AX6" s="75">
        <f>AR6</f>
        <v>0.0847</v>
      </c>
      <c r="AY6" s="75">
        <f>AU6+AW6</f>
        <v>37000</v>
      </c>
      <c r="AZ6" s="75">
        <f>ROUND(((AU6*AV6)+(AW6*AX6))/(AU6+AW6),5)</f>
        <v>0.0847</v>
      </c>
      <c r="BA6" s="79"/>
      <c r="BB6" s="79"/>
      <c r="BC6" s="82" t="s">
        <v>81</v>
      </c>
      <c r="BD6" s="82" t="s">
        <v>355</v>
      </c>
      <c r="BE6" s="79"/>
      <c r="BF6" s="79"/>
      <c r="BG6" s="79"/>
      <c r="BH6" s="79"/>
      <c r="BI6" s="79"/>
      <c r="BJ6" s="79"/>
      <c r="BK6" s="79"/>
      <c r="BL6" s="79" t="s">
        <v>152</v>
      </c>
      <c r="BM6" s="50" t="s">
        <v>354</v>
      </c>
      <c r="BN6" s="50" t="s">
        <v>356</v>
      </c>
      <c r="BO6" s="75">
        <f>ROUND((((AW6*AZ6)+(BN6*BM6))/(AW6+BN6)),5)</f>
        <v>0.0847</v>
      </c>
      <c r="BP6" s="80">
        <f>BN6+AW6</f>
        <v>1036000</v>
      </c>
      <c r="BQ6" s="81">
        <v>123562</v>
      </c>
    </row>
    <row r="7" ht="15.75" spans="1:69">
      <c r="A7" s="54"/>
      <c r="C7" s="83" t="s">
        <v>89</v>
      </c>
      <c r="D7" s="84"/>
      <c r="E7" s="84"/>
      <c r="F7" s="84"/>
      <c r="G7" s="85"/>
      <c r="H7" s="86">
        <f>SUM(H4:H6)</f>
        <v>13967.73</v>
      </c>
      <c r="I7" s="69"/>
      <c r="J7" s="69"/>
      <c r="K7" s="69"/>
      <c r="L7" s="69"/>
      <c r="M7" s="69"/>
      <c r="N7" s="69"/>
      <c r="O7" s="69"/>
      <c r="P7" s="69"/>
      <c r="Q7" s="69"/>
      <c r="R7" s="86">
        <f>SUM(R4:R6)</f>
        <v>755.04</v>
      </c>
      <c r="S7" s="86">
        <f>SUM(S4:S6)</f>
        <v>13212.69</v>
      </c>
      <c r="T7" s="86"/>
      <c r="U7" s="86"/>
      <c r="V7" s="87">
        <f t="shared" ref="V7:AE7" si="23">SUM(V4:V6)</f>
        <v>1189.14</v>
      </c>
      <c r="W7" s="87">
        <f t="shared" si="23"/>
        <v>1189.14</v>
      </c>
      <c r="X7" s="87">
        <f t="shared" si="23"/>
        <v>0</v>
      </c>
      <c r="Y7" s="87">
        <f t="shared" si="23"/>
        <v>0</v>
      </c>
      <c r="Z7" s="88">
        <f t="shared" si="23"/>
        <v>0</v>
      </c>
      <c r="AA7" s="87">
        <f t="shared" si="23"/>
        <v>0</v>
      </c>
      <c r="AB7" s="86">
        <f t="shared" si="23"/>
        <v>2378.28</v>
      </c>
      <c r="AC7" s="89">
        <f t="shared" si="23"/>
        <v>14309.35</v>
      </c>
      <c r="AD7" s="90">
        <f t="shared" si="23"/>
        <v>690</v>
      </c>
      <c r="AE7" s="90">
        <f t="shared" si="23"/>
        <v>0</v>
      </c>
      <c r="AF7" s="89"/>
      <c r="AG7" s="90">
        <f>SUM(AG4:AG6)</f>
        <v>0</v>
      </c>
      <c r="AH7" s="90">
        <f>IF($P$2=1,(S7/$S$7)*$E$21,AD7/$AD$7*$E$21)</f>
        <v>0</v>
      </c>
      <c r="AI7" s="90">
        <f>SUM(AI4:AI6)</f>
        <v>13212.69</v>
      </c>
      <c r="AJ7" s="90">
        <f>SUM(AJ4:AJ6)</f>
        <v>0</v>
      </c>
      <c r="AK7" s="90">
        <f>SUM(AK4:AK6)</f>
        <v>0</v>
      </c>
      <c r="AL7" s="89"/>
      <c r="AM7" s="89"/>
      <c r="AN7" s="89"/>
      <c r="AO7" s="89"/>
      <c r="AP7" s="89"/>
      <c r="AQ7" s="89"/>
      <c r="AR7" s="89"/>
      <c r="AS7" s="54"/>
      <c r="AT7" s="54"/>
      <c r="AW7" s="54"/>
      <c r="AX7" s="54"/>
      <c r="AY7" s="54"/>
      <c r="AZ7" s="54"/>
      <c r="BA7" s="54"/>
      <c r="BB7" s="54"/>
      <c r="BC7" s="54"/>
      <c r="BD7" s="54"/>
      <c r="BE7" s="54"/>
      <c r="BF7" s="54"/>
      <c r="BG7" s="54"/>
      <c r="BH7" s="54"/>
      <c r="BI7" s="54"/>
      <c r="BJ7" s="54"/>
      <c r="BK7" s="54"/>
      <c r="BL7" s="54"/>
      <c r="BM7" s="54"/>
      <c r="BN7" s="54"/>
      <c r="BO7" s="54"/>
    </row>
    <row r="8" ht="15.75" spans="1:69">
      <c r="A8" s="54"/>
      <c r="B8" s="54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54"/>
      <c r="Q8" s="54"/>
      <c r="R8" s="54"/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  <c r="AG8" s="54"/>
      <c r="AH8" s="54"/>
      <c r="AI8" s="54"/>
      <c r="AJ8" s="54"/>
      <c r="AK8" s="54"/>
      <c r="AL8" s="54"/>
      <c r="AM8" s="54"/>
      <c r="AN8" s="54"/>
      <c r="AO8" s="54"/>
      <c r="AP8" s="54"/>
      <c r="AQ8" s="54"/>
      <c r="AR8" s="54"/>
      <c r="AS8" s="54"/>
      <c r="AT8" s="54"/>
      <c r="AU8" s="54"/>
      <c r="AV8" s="54"/>
      <c r="AW8" s="54"/>
      <c r="AX8" s="54"/>
      <c r="AY8" s="54"/>
      <c r="AZ8" s="54"/>
      <c r="BA8" s="54"/>
      <c r="BB8" s="54"/>
      <c r="BC8" s="54"/>
      <c r="BD8" s="54"/>
      <c r="BE8" s="54"/>
      <c r="BF8" s="54"/>
      <c r="BG8" s="54"/>
      <c r="BH8" s="54"/>
      <c r="BI8" s="54"/>
      <c r="BJ8" s="54"/>
      <c r="BK8" s="54"/>
      <c r="BL8" s="54"/>
      <c r="BM8" s="54"/>
      <c r="BN8" s="54"/>
      <c r="BO8" s="54"/>
    </row>
    <row r="9" ht="15.75" spans="1:69">
      <c r="A9" s="54"/>
      <c r="B9" s="54"/>
      <c r="C9" s="54"/>
      <c r="D9" s="54"/>
      <c r="E9" s="54"/>
      <c r="F9" s="54"/>
      <c r="G9" s="91" t="s">
        <v>90</v>
      </c>
      <c r="H9" s="92"/>
      <c r="I9" s="93">
        <f>H7</f>
        <v>13967.73</v>
      </c>
      <c r="J9" s="93"/>
      <c r="K9" s="94"/>
      <c r="L9" s="54"/>
      <c r="M9" s="95" t="s">
        <v>91</v>
      </c>
      <c r="N9" s="96"/>
      <c r="O9" s="96"/>
      <c r="P9" s="97"/>
      <c r="Q9" s="54"/>
      <c r="R9" s="54"/>
      <c r="S9" s="54"/>
      <c r="T9" s="54"/>
      <c r="U9" s="54"/>
      <c r="V9" s="54"/>
      <c r="W9" s="54"/>
      <c r="X9" s="54"/>
      <c r="Y9" s="54"/>
      <c r="Z9" s="54"/>
      <c r="AA9" s="54"/>
      <c r="AB9" s="54"/>
      <c r="AC9" s="54"/>
      <c r="AD9" s="54"/>
      <c r="AE9" s="54"/>
      <c r="AF9" s="54"/>
      <c r="AG9" s="54"/>
      <c r="AH9" s="54"/>
      <c r="AI9" s="54"/>
      <c r="AJ9" s="54"/>
      <c r="AK9" s="54"/>
      <c r="AL9" s="54"/>
      <c r="AM9" s="54"/>
      <c r="AN9" s="54"/>
      <c r="AO9" s="54"/>
      <c r="AP9" s="54"/>
      <c r="AQ9" s="54"/>
      <c r="AR9" s="54"/>
      <c r="AS9" s="54"/>
      <c r="AT9" s="54"/>
      <c r="AU9" s="54"/>
      <c r="AV9" s="54"/>
      <c r="AW9" s="54"/>
      <c r="AX9" s="54"/>
      <c r="AY9" s="54"/>
      <c r="AZ9" s="54"/>
      <c r="BA9" s="54"/>
      <c r="BB9" s="54"/>
      <c r="BC9" s="54"/>
      <c r="BD9" s="54"/>
      <c r="BE9" s="54"/>
      <c r="BF9" s="54"/>
      <c r="BG9" s="54"/>
      <c r="BH9" s="54" t="s">
        <v>92</v>
      </c>
      <c r="BI9" s="122" t="s">
        <v>93</v>
      </c>
      <c r="BJ9" s="54"/>
      <c r="BK9" s="54"/>
      <c r="BL9" s="54"/>
      <c r="BM9" s="54"/>
      <c r="BN9" s="54"/>
      <c r="BO9" s="54"/>
    </row>
    <row r="10" ht="15.75" spans="1:69">
      <c r="A10" s="54"/>
      <c r="B10" s="54"/>
      <c r="C10" s="54"/>
      <c r="D10" s="54"/>
      <c r="E10" s="54"/>
      <c r="F10" s="54"/>
      <c r="G10" s="91" t="s">
        <v>94</v>
      </c>
      <c r="H10" s="92"/>
      <c r="I10" s="93">
        <f>R7</f>
        <v>755.04</v>
      </c>
      <c r="J10" s="93"/>
      <c r="K10" s="54"/>
      <c r="L10" s="54"/>
      <c r="M10" s="98">
        <v>1</v>
      </c>
      <c r="N10" s="98" t="s">
        <v>76</v>
      </c>
      <c r="O10" s="98">
        <v>2</v>
      </c>
      <c r="P10" s="98" t="s">
        <v>95</v>
      </c>
      <c r="Q10" s="54"/>
      <c r="R10" s="54"/>
      <c r="S10" s="54"/>
      <c r="T10" s="54"/>
      <c r="U10" s="54"/>
      <c r="V10" s="54"/>
      <c r="W10" s="54"/>
      <c r="X10" s="54"/>
      <c r="Y10" s="54"/>
      <c r="Z10" s="54"/>
      <c r="AA10" s="54"/>
      <c r="AB10" s="54"/>
      <c r="AC10" s="54"/>
      <c r="AD10" s="54"/>
      <c r="AE10" s="54"/>
      <c r="AF10" s="54"/>
      <c r="AG10" s="54"/>
      <c r="AH10" s="54"/>
      <c r="AI10" s="54"/>
      <c r="AJ10" s="54"/>
      <c r="AK10" s="54"/>
      <c r="AL10" s="54"/>
      <c r="AM10" s="54"/>
      <c r="AN10" s="54"/>
      <c r="AO10" s="54"/>
      <c r="AP10" s="54"/>
      <c r="AQ10" s="54"/>
      <c r="AR10" s="54"/>
      <c r="AS10" s="54"/>
      <c r="AT10" s="54"/>
      <c r="AU10" s="54"/>
      <c r="AV10" s="54"/>
      <c r="AW10" s="54"/>
      <c r="AX10" s="54"/>
      <c r="AY10" s="54"/>
      <c r="AZ10" s="54"/>
      <c r="BA10" s="54"/>
      <c r="BB10" s="54"/>
      <c r="BC10" s="54"/>
      <c r="BD10" s="54"/>
      <c r="BE10" s="54"/>
      <c r="BF10" s="54"/>
      <c r="BG10" s="54"/>
      <c r="BH10" s="54" t="s">
        <v>96</v>
      </c>
      <c r="BI10" s="122" t="s">
        <v>97</v>
      </c>
      <c r="BJ10" s="54"/>
      <c r="BK10" s="54"/>
      <c r="BL10" s="54"/>
      <c r="BM10" s="54"/>
      <c r="BN10" s="54"/>
      <c r="BO10" s="54"/>
    </row>
    <row r="11" ht="15.75" spans="1:69">
      <c r="A11" s="54"/>
      <c r="B11" s="54"/>
      <c r="C11" s="54"/>
      <c r="D11" s="54"/>
      <c r="E11" s="54"/>
      <c r="F11" s="54"/>
      <c r="G11" s="91" t="s">
        <v>98</v>
      </c>
      <c r="H11" s="92"/>
      <c r="I11" s="93">
        <f>S7</f>
        <v>13212.69</v>
      </c>
      <c r="J11" s="93"/>
      <c r="K11" s="54"/>
      <c r="L11" s="54"/>
      <c r="M11" s="69">
        <v>1</v>
      </c>
      <c r="N11" s="69" t="s">
        <v>76</v>
      </c>
      <c r="O11" s="69">
        <v>2.5</v>
      </c>
      <c r="P11" s="69" t="s">
        <v>99</v>
      </c>
      <c r="Q11" s="54"/>
      <c r="R11" s="54"/>
      <c r="S11" s="54"/>
      <c r="T11" s="54"/>
      <c r="U11" s="54"/>
      <c r="V11" s="54"/>
      <c r="W11" s="54"/>
      <c r="X11" s="54"/>
      <c r="Y11" s="54"/>
      <c r="Z11" s="54"/>
      <c r="AA11" s="54"/>
      <c r="AB11" s="54"/>
      <c r="AC11" s="54"/>
      <c r="AD11" s="54"/>
      <c r="AE11" s="54"/>
      <c r="AF11" s="54"/>
      <c r="AG11" s="54"/>
      <c r="AH11" s="54"/>
      <c r="AI11" s="54"/>
      <c r="AJ11" s="54"/>
      <c r="AK11" s="54"/>
      <c r="AL11" s="54"/>
      <c r="AM11" s="54"/>
      <c r="AN11" s="54"/>
      <c r="AO11" s="54"/>
      <c r="AP11" s="54"/>
      <c r="AQ11" s="54"/>
      <c r="AR11" s="54"/>
      <c r="AS11" s="54"/>
      <c r="AT11" s="54"/>
      <c r="AU11" s="54"/>
      <c r="AV11" s="54"/>
      <c r="AW11" s="54"/>
      <c r="AX11" s="54"/>
      <c r="AY11" s="54"/>
      <c r="AZ11" s="54"/>
      <c r="BA11" s="54"/>
      <c r="BB11" s="54"/>
      <c r="BC11" s="54"/>
      <c r="BD11" s="54"/>
      <c r="BE11" s="54"/>
      <c r="BF11" s="54"/>
      <c r="BG11" s="54"/>
      <c r="BH11" s="54"/>
      <c r="BI11" s="54"/>
      <c r="BJ11" s="54"/>
      <c r="BK11" s="54"/>
      <c r="BL11" s="54"/>
      <c r="BM11" s="54"/>
      <c r="BN11" s="54"/>
      <c r="BO11" s="54"/>
    </row>
    <row r="12" ht="15.75" spans="1:69">
      <c r="A12" s="54"/>
      <c r="B12" s="54"/>
      <c r="C12" s="54"/>
      <c r="D12" s="54"/>
      <c r="E12" s="54"/>
      <c r="F12" s="54"/>
      <c r="G12" s="91" t="s">
        <v>100</v>
      </c>
      <c r="H12" s="92"/>
      <c r="I12" s="93">
        <f>AB7</f>
        <v>2378.28</v>
      </c>
      <c r="J12" s="93"/>
      <c r="K12" s="54"/>
      <c r="L12" s="54"/>
      <c r="M12" s="69">
        <v>1</v>
      </c>
      <c r="N12" s="69" t="s">
        <v>95</v>
      </c>
      <c r="O12" s="69">
        <v>0.001</v>
      </c>
      <c r="P12" s="69" t="s">
        <v>101</v>
      </c>
      <c r="Q12" s="54"/>
      <c r="R12" s="54"/>
      <c r="S12" s="54"/>
      <c r="T12" s="54"/>
      <c r="U12" s="54"/>
      <c r="V12" s="54"/>
      <c r="W12" s="54"/>
      <c r="X12" s="54"/>
      <c r="Y12" s="54"/>
      <c r="Z12" s="54"/>
      <c r="AA12" s="54"/>
      <c r="AB12" s="54"/>
      <c r="AC12" s="54"/>
      <c r="AD12" s="54"/>
      <c r="AE12" s="54"/>
      <c r="AF12" s="54"/>
      <c r="AG12" s="54"/>
      <c r="AH12" s="54"/>
      <c r="AI12" s="54"/>
      <c r="AJ12" s="54"/>
      <c r="AK12" s="54"/>
      <c r="AL12" s="54"/>
      <c r="AM12" s="54"/>
      <c r="AN12" s="54"/>
      <c r="AO12" s="54"/>
      <c r="AP12" s="54"/>
      <c r="AQ12" s="54"/>
      <c r="AR12" s="54"/>
      <c r="AS12" s="54"/>
      <c r="AT12" s="54"/>
      <c r="AU12" s="54"/>
      <c r="AV12" s="54"/>
      <c r="AW12" s="54"/>
      <c r="AX12" s="54"/>
      <c r="AY12" s="54"/>
      <c r="AZ12" s="54"/>
      <c r="BA12" s="54"/>
      <c r="BB12" s="54"/>
      <c r="BC12" s="54"/>
      <c r="BD12" s="54"/>
      <c r="BE12" s="54"/>
      <c r="BF12" s="54"/>
      <c r="BG12" s="54"/>
      <c r="BH12" s="54"/>
      <c r="BI12" s="54"/>
      <c r="BJ12" s="54"/>
      <c r="BK12" s="54"/>
      <c r="BL12" s="54"/>
      <c r="BM12" s="54"/>
      <c r="BN12" s="54"/>
      <c r="BO12" s="54"/>
    </row>
    <row r="13" ht="15.75" spans="1:69">
      <c r="A13" s="54"/>
      <c r="B13" s="54"/>
      <c r="C13" s="54"/>
      <c r="D13" s="54"/>
      <c r="E13" s="54"/>
      <c r="F13" s="54"/>
      <c r="G13" s="91" t="s">
        <v>102</v>
      </c>
      <c r="H13" s="92"/>
      <c r="I13" s="99">
        <f>I11+I12</f>
        <v>15590.97</v>
      </c>
      <c r="J13" s="99"/>
      <c r="K13" s="54"/>
      <c r="L13" s="54"/>
      <c r="M13" s="54"/>
      <c r="N13" s="54"/>
      <c r="O13" s="54"/>
      <c r="P13" s="54"/>
      <c r="Q13" s="54"/>
      <c r="R13" s="54"/>
      <c r="S13" s="54"/>
      <c r="T13" s="54"/>
      <c r="U13" s="54"/>
      <c r="V13" s="54"/>
      <c r="W13" s="54"/>
      <c r="X13" s="54"/>
      <c r="Y13" s="54"/>
      <c r="Z13" s="54"/>
      <c r="AA13" s="54"/>
      <c r="AB13" s="54"/>
      <c r="AC13" s="54"/>
      <c r="AD13" s="54"/>
      <c r="AE13" s="54"/>
      <c r="AF13" s="54"/>
      <c r="AG13" s="54"/>
      <c r="AH13" s="54"/>
      <c r="AI13" s="54"/>
      <c r="AJ13" s="54"/>
      <c r="AK13" s="54"/>
      <c r="AL13" s="54"/>
      <c r="AM13" s="54"/>
      <c r="AN13" s="54"/>
      <c r="AO13" s="54"/>
      <c r="AP13" s="54"/>
      <c r="AQ13" s="54"/>
      <c r="AR13" s="54"/>
      <c r="AS13" s="54"/>
      <c r="AT13" s="54"/>
      <c r="AU13" s="54"/>
      <c r="AV13" s="54"/>
      <c r="AW13" s="54"/>
      <c r="AX13" s="54"/>
      <c r="AY13" s="54"/>
      <c r="AZ13" s="54"/>
      <c r="BA13" s="54"/>
      <c r="BB13" s="54"/>
      <c r="BC13" s="54"/>
      <c r="BD13" s="54"/>
      <c r="BE13" s="54"/>
      <c r="BF13" s="54"/>
      <c r="BG13" s="54"/>
      <c r="BH13" s="54"/>
      <c r="BI13" s="54"/>
      <c r="BJ13" s="54"/>
      <c r="BK13" s="54"/>
      <c r="BL13" s="54"/>
      <c r="BM13" s="54"/>
      <c r="BN13" s="54"/>
      <c r="BO13" s="54"/>
    </row>
    <row r="14" spans="1:69">
      <c r="A14" s="54"/>
      <c r="B14" s="5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54"/>
      <c r="Q14" s="54"/>
      <c r="R14" s="54"/>
      <c r="S14" s="54"/>
      <c r="T14" s="54"/>
      <c r="U14" s="54"/>
      <c r="V14" s="54"/>
      <c r="W14" s="54"/>
      <c r="X14" s="54"/>
      <c r="Y14" s="54"/>
      <c r="Z14" s="54"/>
      <c r="AA14" s="54"/>
      <c r="AB14" s="54"/>
      <c r="AC14" s="54"/>
      <c r="AD14" s="54"/>
      <c r="AE14" s="54"/>
      <c r="AF14" s="54"/>
      <c r="AG14" s="54"/>
      <c r="AH14" s="54"/>
      <c r="AI14" s="54"/>
      <c r="AJ14" s="54"/>
      <c r="AK14" s="54"/>
      <c r="AL14" s="54"/>
      <c r="AM14" s="54"/>
      <c r="AN14" s="54"/>
      <c r="AO14" s="54"/>
      <c r="AP14" s="54"/>
      <c r="AQ14" s="54"/>
      <c r="AR14" s="54"/>
      <c r="AS14" s="54"/>
      <c r="AT14" s="54"/>
      <c r="AU14" s="54"/>
      <c r="AV14" s="54"/>
      <c r="AW14" s="54"/>
      <c r="AX14" s="54"/>
      <c r="AY14" s="54"/>
      <c r="AZ14" s="54"/>
      <c r="BA14" s="54"/>
      <c r="BB14" s="54"/>
      <c r="BC14" s="54"/>
      <c r="BD14" s="54"/>
      <c r="BE14" s="54"/>
      <c r="BF14" s="54"/>
      <c r="BG14" s="54"/>
      <c r="BH14" s="54"/>
      <c r="BI14" s="54"/>
      <c r="BJ14" s="54"/>
      <c r="BK14" s="54"/>
      <c r="BL14" s="54"/>
      <c r="BM14" s="54" t="s">
        <v>103</v>
      </c>
      <c r="BN14" s="54" t="s">
        <v>104</v>
      </c>
      <c r="BO14" s="54"/>
    </row>
    <row r="15" spans="1:69">
      <c r="A15" s="54"/>
      <c r="B15" s="54"/>
      <c r="C15" s="54"/>
      <c r="D15" s="54"/>
      <c r="E15" s="54"/>
      <c r="F15" s="54"/>
      <c r="G15" s="54"/>
      <c r="H15" s="54"/>
      <c r="I15" s="54"/>
      <c r="J15" s="54"/>
      <c r="K15" s="54"/>
      <c r="L15" s="54"/>
      <c r="M15" s="54"/>
      <c r="N15" s="54"/>
      <c r="O15" s="54"/>
      <c r="P15" s="54"/>
      <c r="Q15" s="54"/>
      <c r="R15" s="54"/>
      <c r="S15" s="54"/>
      <c r="T15" s="54"/>
      <c r="U15" s="54"/>
      <c r="V15" s="54"/>
      <c r="W15" s="54"/>
      <c r="X15" s="54"/>
      <c r="Y15" s="54"/>
      <c r="Z15" s="54"/>
      <c r="AA15" s="54"/>
      <c r="AB15" s="54"/>
      <c r="AC15" s="54"/>
      <c r="AD15" s="54"/>
      <c r="AE15" s="54"/>
      <c r="AF15" s="54"/>
      <c r="AG15" s="54"/>
      <c r="AH15" s="54"/>
      <c r="AI15" s="54"/>
      <c r="AJ15" s="54"/>
      <c r="AK15" s="54"/>
      <c r="AL15" s="54"/>
      <c r="AM15" s="54"/>
      <c r="AN15" s="54"/>
      <c r="AO15" s="54"/>
      <c r="AP15" s="54"/>
      <c r="AQ15" s="54"/>
      <c r="AR15" s="54"/>
      <c r="AS15" s="54"/>
      <c r="AT15" s="54"/>
      <c r="AU15" s="54"/>
      <c r="AV15" s="54"/>
      <c r="AW15" s="54"/>
      <c r="AX15" s="54"/>
      <c r="AY15" s="54"/>
      <c r="AZ15" s="54"/>
      <c r="BA15" s="54"/>
      <c r="BB15" s="54"/>
      <c r="BC15" s="54"/>
      <c r="BD15" s="54"/>
      <c r="BE15" s="54"/>
      <c r="BF15" s="54"/>
      <c r="BG15" s="54"/>
      <c r="BH15" s="54"/>
      <c r="BI15" s="54"/>
      <c r="BJ15" s="54"/>
      <c r="BK15" s="54" t="s">
        <v>105</v>
      </c>
      <c r="BL15" s="54">
        <v>12.5</v>
      </c>
      <c r="BM15" s="54">
        <f>BL17*BL18</f>
        <v>18277.77</v>
      </c>
      <c r="BN15" s="54">
        <f>BL15*BL16</f>
        <v>6092.59</v>
      </c>
      <c r="BO15" s="54"/>
    </row>
    <row r="16" spans="1:69">
      <c r="A16" s="54"/>
      <c r="B16" s="54"/>
      <c r="C16" s="54"/>
      <c r="D16" s="54"/>
      <c r="E16" s="54"/>
      <c r="F16" s="54"/>
      <c r="G16" s="54"/>
      <c r="H16" s="54"/>
      <c r="I16" s="54"/>
      <c r="J16" s="54"/>
      <c r="K16" s="54"/>
      <c r="L16" s="54"/>
      <c r="M16" s="54"/>
      <c r="N16" s="54"/>
      <c r="O16" s="54"/>
      <c r="P16" s="54"/>
      <c r="Q16" s="54"/>
      <c r="R16" s="54"/>
      <c r="S16" s="54"/>
      <c r="T16" s="54"/>
      <c r="U16" s="54"/>
      <c r="V16" s="54"/>
      <c r="W16" s="54"/>
      <c r="X16" s="54"/>
      <c r="Y16" s="54"/>
      <c r="Z16" s="54"/>
      <c r="AA16" s="54"/>
      <c r="AB16" s="54"/>
      <c r="AC16" s="54"/>
      <c r="AD16" s="54"/>
      <c r="AE16" s="54"/>
      <c r="AF16" s="54"/>
      <c r="AG16" s="54"/>
      <c r="AH16" s="54"/>
      <c r="AI16" s="54"/>
      <c r="AJ16" s="54"/>
      <c r="AK16" s="54"/>
      <c r="AL16" s="54"/>
      <c r="AM16" s="54"/>
      <c r="AN16" s="54"/>
      <c r="AO16" s="54"/>
      <c r="AP16" s="54"/>
      <c r="AQ16" s="54"/>
      <c r="AR16" s="54"/>
      <c r="AS16" s="54"/>
      <c r="AT16" s="54"/>
      <c r="AU16" s="54"/>
      <c r="AV16" s="54"/>
      <c r="AW16" s="54"/>
      <c r="AX16" s="54"/>
      <c r="AY16" s="54"/>
      <c r="AZ16" s="54"/>
      <c r="BA16" s="54"/>
      <c r="BB16" s="54"/>
      <c r="BC16" s="54"/>
      <c r="BD16" s="54"/>
      <c r="BE16" s="54"/>
      <c r="BF16" s="54"/>
      <c r="BG16" s="54"/>
      <c r="BH16" s="54"/>
      <c r="BI16" s="54"/>
      <c r="BJ16" s="54"/>
      <c r="BK16" s="54" t="s">
        <v>106</v>
      </c>
      <c r="BL16" s="54">
        <v>487.4072</v>
      </c>
      <c r="BM16" s="54">
        <f>BL15+BL17</f>
        <v>50</v>
      </c>
      <c r="BN16" s="54"/>
      <c r="BO16" s="54"/>
    </row>
    <row r="17" spans="1:67">
      <c r="A17" s="54"/>
      <c r="B17" s="54"/>
      <c r="C17" s="54"/>
      <c r="D17" s="54"/>
      <c r="E17" s="54"/>
      <c r="F17" s="54"/>
      <c r="G17" s="54"/>
      <c r="H17" s="54"/>
      <c r="I17" s="54"/>
      <c r="J17" s="54"/>
      <c r="K17" s="54"/>
      <c r="L17" s="54"/>
      <c r="M17" s="54"/>
      <c r="N17" s="54"/>
      <c r="O17" s="54"/>
      <c r="P17" s="54"/>
      <c r="Q17" s="54"/>
      <c r="R17" s="54"/>
      <c r="S17" s="54"/>
      <c r="T17" s="54"/>
      <c r="U17" s="54"/>
      <c r="V17" s="54"/>
      <c r="W17" s="54"/>
      <c r="X17" s="54"/>
      <c r="Y17" s="54"/>
      <c r="Z17" s="54"/>
      <c r="AA17" s="54"/>
      <c r="AB17" s="54"/>
      <c r="AC17" s="54"/>
      <c r="AD17" s="54"/>
      <c r="AE17" s="54"/>
      <c r="AF17" s="54"/>
      <c r="AG17" s="54"/>
      <c r="AH17" s="54"/>
      <c r="AI17" s="54"/>
      <c r="AJ17" s="54"/>
      <c r="AK17" s="54"/>
      <c r="AL17" s="54"/>
      <c r="AM17" s="54"/>
      <c r="AN17" s="54"/>
      <c r="AO17" s="54"/>
      <c r="AP17" s="54"/>
      <c r="AQ17" s="54"/>
      <c r="AR17" s="54"/>
      <c r="AS17" s="54"/>
      <c r="AT17" s="54"/>
      <c r="AU17" s="54"/>
      <c r="AV17" s="54"/>
      <c r="AW17" s="54"/>
      <c r="AX17" s="54"/>
      <c r="AY17" s="54"/>
      <c r="AZ17" s="54"/>
      <c r="BA17" s="54"/>
      <c r="BB17" s="54"/>
      <c r="BC17" s="54"/>
      <c r="BD17" s="54"/>
      <c r="BE17" s="54"/>
      <c r="BF17" s="54"/>
      <c r="BG17" s="54"/>
      <c r="BH17" s="54"/>
      <c r="BI17" s="54"/>
      <c r="BJ17" s="54"/>
      <c r="BK17" s="54" t="s">
        <v>107</v>
      </c>
      <c r="BL17" s="54">
        <v>37.5</v>
      </c>
      <c r="BM17" s="54"/>
      <c r="BN17" s="54"/>
      <c r="BO17" s="54"/>
    </row>
    <row r="18" spans="1:67">
      <c r="A18" s="54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54"/>
      <c r="P18" s="54"/>
      <c r="Q18" s="54"/>
      <c r="R18" s="54"/>
      <c r="S18" s="54"/>
      <c r="T18" s="54"/>
      <c r="U18" s="54"/>
      <c r="V18" s="54"/>
      <c r="W18" s="54"/>
      <c r="X18" s="54"/>
      <c r="Y18" s="54"/>
      <c r="Z18" s="54"/>
      <c r="AA18" s="54"/>
      <c r="AB18" s="54"/>
      <c r="AC18" s="54"/>
      <c r="AD18" s="54"/>
      <c r="AE18" s="54"/>
      <c r="AF18" s="54"/>
      <c r="AG18" s="54"/>
      <c r="AH18" s="54"/>
      <c r="AI18" s="54"/>
      <c r="AJ18" s="54"/>
      <c r="AK18" s="54"/>
      <c r="AL18" s="54"/>
      <c r="AM18" s="54"/>
      <c r="AN18" s="54"/>
      <c r="AO18" s="54"/>
      <c r="AP18" s="54"/>
      <c r="AQ18" s="54"/>
      <c r="AR18" s="54"/>
      <c r="AS18" s="54"/>
      <c r="AT18" s="54"/>
      <c r="AU18" s="54"/>
      <c r="AV18" s="54"/>
      <c r="AW18" s="54"/>
      <c r="AX18" s="54"/>
      <c r="AY18" s="54"/>
      <c r="AZ18" s="54"/>
      <c r="BA18" s="54"/>
      <c r="BB18" s="54"/>
      <c r="BC18" s="54"/>
      <c r="BD18" s="54"/>
      <c r="BE18" s="54"/>
      <c r="BF18" s="54"/>
      <c r="BG18" s="54"/>
      <c r="BH18" s="54"/>
      <c r="BI18" s="54"/>
      <c r="BJ18" s="54"/>
      <c r="BK18" s="54" t="s">
        <v>108</v>
      </c>
      <c r="BL18" s="54">
        <v>487.4072</v>
      </c>
      <c r="BM18" s="54"/>
      <c r="BN18" s="54"/>
      <c r="BO18" s="54"/>
    </row>
    <row r="19" spans="1:67">
      <c r="A19" s="54"/>
      <c r="B19" s="54"/>
      <c r="C19" s="54"/>
      <c r="D19" s="54"/>
      <c r="E19" s="54"/>
      <c r="F19" s="54"/>
      <c r="G19" s="54"/>
      <c r="H19" s="54"/>
      <c r="I19" s="54"/>
      <c r="J19" s="54"/>
      <c r="K19" s="54"/>
      <c r="L19" s="54"/>
      <c r="M19" s="54"/>
      <c r="N19" s="54"/>
      <c r="O19" s="54"/>
      <c r="P19" s="54"/>
      <c r="Q19" s="54"/>
      <c r="R19" s="54"/>
      <c r="S19" s="54"/>
      <c r="T19" s="54"/>
      <c r="U19" s="54"/>
      <c r="V19" s="54"/>
      <c r="W19" s="54"/>
      <c r="X19" s="54"/>
      <c r="Y19" s="54"/>
      <c r="Z19" s="54"/>
      <c r="AA19" s="54"/>
      <c r="AB19" s="54"/>
      <c r="AC19" s="54"/>
      <c r="AD19" s="54"/>
      <c r="AE19" s="54"/>
      <c r="AF19" s="54"/>
      <c r="AG19" s="54"/>
      <c r="AH19" s="54"/>
      <c r="AI19" s="54"/>
      <c r="AJ19" s="54"/>
      <c r="AK19" s="54"/>
      <c r="AL19" s="54"/>
      <c r="AM19" s="54"/>
      <c r="AN19" s="54"/>
      <c r="AO19" s="54"/>
      <c r="AP19" s="54"/>
      <c r="AQ19" s="54"/>
      <c r="AR19" s="54"/>
      <c r="AS19" s="54"/>
      <c r="AT19" s="54"/>
      <c r="AU19" s="54"/>
      <c r="AV19" s="54"/>
      <c r="AW19" s="54"/>
      <c r="AX19" s="54"/>
      <c r="AY19" s="54"/>
      <c r="AZ19" s="54"/>
      <c r="BA19" s="54"/>
      <c r="BB19" s="54"/>
      <c r="BC19" s="54"/>
      <c r="BD19" s="54"/>
      <c r="BE19" s="54"/>
      <c r="BF19" s="54"/>
      <c r="BG19" s="54"/>
      <c r="BH19" s="54"/>
      <c r="BI19" s="54"/>
      <c r="BJ19" s="54"/>
      <c r="BK19" s="54"/>
      <c r="BL19" s="54"/>
      <c r="BM19" s="54">
        <f>BM15+BN15</f>
        <v>24370.36</v>
      </c>
      <c r="BN19" s="54">
        <f>BM19/BM16</f>
        <v>487.4072</v>
      </c>
      <c r="BO19" s="54"/>
    </row>
    <row r="20" spans="1:67">
      <c r="A20" s="54"/>
      <c r="B20" s="54"/>
      <c r="C20" s="54"/>
      <c r="D20" s="54"/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4"/>
      <c r="X20" s="54"/>
      <c r="Y20" s="54"/>
      <c r="Z20" s="54"/>
      <c r="AA20" s="54"/>
      <c r="AB20" s="54"/>
      <c r="AC20" s="54"/>
      <c r="AD20" s="54"/>
      <c r="AE20" s="54"/>
      <c r="AF20" s="54"/>
      <c r="AG20" s="54"/>
      <c r="AH20" s="54"/>
      <c r="AI20" s="54"/>
      <c r="AJ20" s="54"/>
      <c r="AK20" s="54"/>
      <c r="AL20" s="54"/>
      <c r="AM20" s="54"/>
      <c r="AN20" s="54"/>
      <c r="AO20" s="54"/>
      <c r="AP20" s="54"/>
      <c r="AQ20" s="54"/>
      <c r="AR20" s="54"/>
      <c r="AS20" s="54"/>
      <c r="AT20" s="54"/>
      <c r="AU20" s="54"/>
      <c r="AV20" s="54"/>
      <c r="AW20" s="54"/>
      <c r="AX20" s="54"/>
      <c r="AY20" s="54"/>
      <c r="AZ20" s="54"/>
      <c r="BA20" s="54"/>
      <c r="BB20" s="54"/>
      <c r="BC20" s="54"/>
      <c r="BD20" s="54"/>
      <c r="BE20" s="54"/>
      <c r="BF20" s="54"/>
      <c r="BG20" s="54"/>
      <c r="BH20" s="54"/>
      <c r="BI20" s="54"/>
      <c r="BJ20" s="54"/>
      <c r="BK20" s="54"/>
      <c r="BL20" s="54"/>
      <c r="BM20" s="54"/>
      <c r="BN20" s="54"/>
      <c r="BO20" s="54"/>
    </row>
    <row r="21" spans="1:67">
      <c r="A21" s="54"/>
      <c r="B21" s="54"/>
      <c r="C21" s="54"/>
      <c r="D21" s="54"/>
      <c r="E21" s="54"/>
      <c r="F21" s="54"/>
      <c r="G21" s="54"/>
      <c r="H21" s="54"/>
      <c r="I21" s="54"/>
      <c r="J21" s="54"/>
      <c r="K21" s="54"/>
      <c r="L21" s="54"/>
      <c r="M21" s="54"/>
      <c r="N21" s="54"/>
      <c r="O21" s="54"/>
      <c r="P21" s="54"/>
      <c r="Q21" s="54"/>
      <c r="R21" s="54"/>
      <c r="S21" s="54"/>
      <c r="T21" s="54"/>
      <c r="U21" s="54"/>
      <c r="V21" s="54"/>
      <c r="W21" s="54"/>
      <c r="X21" s="54"/>
      <c r="Y21" s="54"/>
      <c r="Z21" s="54"/>
      <c r="AA21" s="54"/>
      <c r="AB21" s="54"/>
      <c r="AC21" s="54"/>
      <c r="AD21" s="54"/>
      <c r="AE21" s="54"/>
      <c r="AF21" s="54"/>
      <c r="AG21" s="54"/>
      <c r="AH21" s="54"/>
      <c r="AI21" s="54"/>
      <c r="AJ21" s="54"/>
      <c r="AK21" s="54"/>
      <c r="AL21" s="54"/>
      <c r="AM21" s="54"/>
      <c r="AN21" s="54"/>
      <c r="AO21" s="54"/>
      <c r="AP21" s="54"/>
      <c r="AQ21" s="54"/>
      <c r="AR21" s="54"/>
      <c r="AS21" s="54"/>
      <c r="AT21" s="54"/>
      <c r="AU21" s="54"/>
      <c r="AV21" s="54"/>
      <c r="AW21" s="54"/>
      <c r="AX21" s="54"/>
      <c r="AY21" s="54"/>
      <c r="AZ21" s="54"/>
      <c r="BA21" s="54"/>
      <c r="BB21" s="54"/>
      <c r="BC21" s="54"/>
      <c r="BD21" s="54"/>
      <c r="BE21" s="54"/>
      <c r="BF21" s="54"/>
      <c r="BG21" s="54"/>
      <c r="BH21" s="54"/>
      <c r="BI21" s="54"/>
      <c r="BJ21" s="54"/>
      <c r="BK21" s="54"/>
      <c r="BL21" s="54"/>
      <c r="BM21" s="54"/>
      <c r="BN21" s="54"/>
      <c r="BO21" s="54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pageMargins left="0.7" right="0.7" top="0.75" bottom="0.75" header="0.3" footer="0.3"/>
  <pageSetup paperSize="1" orientation="portrait"/>
  <headerFooter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AS9" sqref="AS9"/>
    </sheetView>
  </sheetViews>
  <sheetFormatPr defaultColWidth="8.84761904761905" defaultRowHeight="15"/>
  <cols>
    <col min="2" max="2" width="28" customWidth="1"/>
    <col min="3" max="3" width="23.2857142857143" customWidth="1"/>
    <col min="52" max="52" width="10.7142857142857" customWidth="1"/>
    <col min="64" max="64" width="11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357</v>
      </c>
      <c r="C4" s="19" t="s">
        <v>357</v>
      </c>
      <c r="D4" s="19" t="s">
        <v>76</v>
      </c>
      <c r="E4" s="19" t="s">
        <v>95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8</v>
      </c>
      <c r="K4" s="20">
        <v>5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114</v>
      </c>
      <c r="P4" s="20">
        <f>ROUND(N4-O4,2)</f>
        <v>1311</v>
      </c>
      <c r="Q4" s="20">
        <f>ROUND(P4*K4%,2)</f>
        <v>65.55</v>
      </c>
      <c r="R4" s="20">
        <f>M4+O4+Q4</f>
        <v>254.55</v>
      </c>
      <c r="S4" s="20">
        <f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>F4/AL4</f>
        <v>3.33333333333333</v>
      </c>
      <c r="AN4" s="23">
        <f>ROUND(AI4/AM4,3)</f>
        <v>373.635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373.635</v>
      </c>
      <c r="AS4" s="24" t="s">
        <v>120</v>
      </c>
      <c r="AT4" s="25" t="s">
        <v>76</v>
      </c>
      <c r="AU4" t="s">
        <v>358</v>
      </c>
      <c r="AV4" t="s">
        <v>359</v>
      </c>
      <c r="AW4" s="25">
        <f>AM4</f>
        <v>3.33333333333333</v>
      </c>
      <c r="AX4" s="26">
        <f>AR4</f>
        <v>373.635</v>
      </c>
      <c r="AY4" s="25">
        <f>AU4+AW4</f>
        <v>6.66633333333333</v>
      </c>
      <c r="AZ4" s="26">
        <f>ROUND(((AU4*AV4)+(AW4*AX4))/(AU4+AW4),5)</f>
        <v>373.635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121</v>
      </c>
      <c r="BN4" t="s">
        <v>360</v>
      </c>
      <c r="BO4" s="25">
        <f>ROUND((((AW4*AZ4)+(BN4*BM4))/(AW4+BN4)),5)</f>
        <v>373.635</v>
      </c>
      <c r="BP4" s="31">
        <f>ROUND(BN4+AW4,3)</f>
        <v>16.665</v>
      </c>
      <c r="BQ4" s="32">
        <v>123562</v>
      </c>
    </row>
    <row r="5" ht="15.75" spans="1:69">
      <c r="A5" s="19">
        <v>1</v>
      </c>
      <c r="B5" s="19" t="s">
        <v>361</v>
      </c>
      <c r="C5" s="19" t="s">
        <v>361</v>
      </c>
      <c r="D5" s="19" t="s">
        <v>76</v>
      </c>
      <c r="E5" s="19" t="s">
        <v>95</v>
      </c>
      <c r="F5" s="20">
        <v>4</v>
      </c>
      <c r="G5" s="20">
        <v>100</v>
      </c>
      <c r="H5" s="20">
        <f>F5*G5</f>
        <v>400</v>
      </c>
      <c r="I5" s="20">
        <v>4</v>
      </c>
      <c r="J5" s="20">
        <v>9</v>
      </c>
      <c r="K5" s="20">
        <v>6</v>
      </c>
      <c r="L5" s="20">
        <f>H5</f>
        <v>400</v>
      </c>
      <c r="M5" s="20">
        <f>ROUND(L5*I5%,2)</f>
        <v>16</v>
      </c>
      <c r="N5" s="20">
        <f>H5-M5</f>
        <v>384</v>
      </c>
      <c r="O5" s="20">
        <f>ROUND(N5*J5%,2)</f>
        <v>34.56</v>
      </c>
      <c r="P5" s="20">
        <f>ROUND(N5-O5,2)</f>
        <v>349.44</v>
      </c>
      <c r="Q5" s="20">
        <f>ROUND(P5*K5%,2)</f>
        <v>20.97</v>
      </c>
      <c r="R5" s="20">
        <f>M5+O5+Q5</f>
        <v>71.53</v>
      </c>
      <c r="S5" s="20">
        <f>(H5-R5)</f>
        <v>328.47</v>
      </c>
      <c r="T5" s="20">
        <v>88363222</v>
      </c>
      <c r="U5" s="20">
        <v>18</v>
      </c>
      <c r="V5" s="20">
        <f>IF(OR(PoToMRVWOIpDUom!$C$2=1,PoToMRVWOIpDUom!$C$2=4),ROUND((((S5*U5)/100)/2),2),0)</f>
        <v>0</v>
      </c>
      <c r="W5" s="20">
        <f>IF(PoToMRVWOIpDUom!$C$2=1,ROUND((((S5*U5)/100)/2),2),0)</f>
        <v>0</v>
      </c>
      <c r="X5" s="20">
        <f>IF(PoToMRVWOIpDUom!$C$2=2,ROUND(((S5*U5)/100),2),0)</f>
        <v>59.12</v>
      </c>
      <c r="Y5" s="20">
        <f>IF(PoToMRVWOIpDUom!$C$2=4,ROUND((((S5*U5)/100)/2),2),0)</f>
        <v>0</v>
      </c>
      <c r="Z5" s="20">
        <v>0</v>
      </c>
      <c r="AA5" s="20">
        <f>IF(PoToMRVWOIpDUom!$C3=3,0,(S5*Z5)/100)</f>
        <v>0</v>
      </c>
      <c r="AB5" s="20">
        <f>V5+W5+X5+Y5+AA5</f>
        <v>59.12</v>
      </c>
      <c r="AC5" s="20">
        <f>IF(PoToMRVWOIpDUom!$V3=1,S5+AB5,S5)</f>
        <v>328.47</v>
      </c>
      <c r="AD5" s="22">
        <v>120</v>
      </c>
      <c r="AE5" s="22">
        <f>IF(PoToMRVWOIpDUom!$P$2=1,(S5/PoToMRVWOIpDUom!$S$7)*PoToMRVWOIpDUom!$E$18,AD5/PoToMRVWOIpDUom!$AD$7*PoToMRVWOIpDUom!$E$18)</f>
        <v>0</v>
      </c>
      <c r="AF5" s="22"/>
      <c r="AG5" s="22">
        <f>IF(PoToMRVWOIpDUom!$P$2=1,(S5/PoToMRVWOIpDUom!$S$7)*PoToMRVWOIpDUom!$E$20,AD5/PoToMRVWOIpDUom!$AD$7*PoToMRVWOIpDUom!$E$20)</f>
        <v>0</v>
      </c>
      <c r="AH5" s="22">
        <f>IF(PoToMRVWOIpDUom!$P$2=1,(S5/PoToMRVWOIpDUom!$S$7)*PoToMRVWOIpDUom!$E$21,AD5/PoToMRVWOIpDUom!$AD$7*PoToMRVWOIpDUom!$E$21)</f>
        <v>0</v>
      </c>
      <c r="AI5" s="22">
        <f>S5*PoToMRVWOIpDUom!$M$2</f>
        <v>328.47</v>
      </c>
      <c r="AJ5" s="22">
        <f>IF(PoToMRVWOIpDUom!$C$2=3,0,AG5+AH5)</f>
        <v>0</v>
      </c>
      <c r="AK5" s="22">
        <f>IF(PoToMRVWOIpDUom!$C$2=3,AE5+AG5+AH5,0)</f>
        <v>0</v>
      </c>
      <c r="AL5" s="23">
        <v>3</v>
      </c>
      <c r="AM5" s="22">
        <f>F5/AL5</f>
        <v>1.33333333333333</v>
      </c>
      <c r="AN5" s="22">
        <f>ROUND(AI5/AM5,5)</f>
        <v>246.3525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246.3525</v>
      </c>
      <c r="AS5" s="24" t="s">
        <v>120</v>
      </c>
      <c r="AT5" s="25" t="s">
        <v>76</v>
      </c>
      <c r="AU5" t="s">
        <v>362</v>
      </c>
      <c r="AV5" t="s">
        <v>363</v>
      </c>
      <c r="AW5" s="25">
        <f>AM5</f>
        <v>1.33333333333333</v>
      </c>
      <c r="AX5" s="25">
        <f>AR5</f>
        <v>246.3525</v>
      </c>
      <c r="AY5" s="25">
        <f>AU5+AW5</f>
        <v>5.33233333333333</v>
      </c>
      <c r="AZ5" s="25">
        <f>ROUND(((AU5*AV5)+(AW5*AX5))/(AU5+AW5),2)</f>
        <v>246.36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364</v>
      </c>
      <c r="BN5" t="s">
        <v>365</v>
      </c>
      <c r="BO5" s="25">
        <f>ROUND((((AW5*AZ5)+(BN5*BM5))/(AW5+BN5)),5)</f>
        <v>246.36</v>
      </c>
      <c r="BP5" s="31">
        <f>ROUND(BN5+AW5,3)</f>
        <v>3.999</v>
      </c>
      <c r="BQ5" s="32">
        <v>123562</v>
      </c>
    </row>
    <row r="6" ht="15.75" spans="1:69">
      <c r="A6" s="19">
        <v>1</v>
      </c>
      <c r="B6" s="19" t="s">
        <v>366</v>
      </c>
      <c r="C6" s="19" t="s">
        <v>366</v>
      </c>
      <c r="D6" s="19" t="s">
        <v>76</v>
      </c>
      <c r="E6" s="19" t="s">
        <v>95</v>
      </c>
      <c r="F6" s="20">
        <v>10</v>
      </c>
      <c r="G6" s="20">
        <v>50</v>
      </c>
      <c r="H6" s="20">
        <f>F6*G6</f>
        <v>500</v>
      </c>
      <c r="I6" s="20">
        <v>3</v>
      </c>
      <c r="J6" s="20">
        <v>7</v>
      </c>
      <c r="K6" s="20">
        <v>4</v>
      </c>
      <c r="L6" s="20">
        <f>H6</f>
        <v>500</v>
      </c>
      <c r="M6" s="20">
        <f>ROUND(L6*I6%,2)</f>
        <v>15</v>
      </c>
      <c r="N6" s="20">
        <f>H6-M6</f>
        <v>485</v>
      </c>
      <c r="O6" s="20">
        <f>ROUND(N6*J6%,2)</f>
        <v>33.95</v>
      </c>
      <c r="P6" s="20">
        <f>ROUND(N6-O6,2)</f>
        <v>451.05</v>
      </c>
      <c r="Q6" s="20">
        <f>ROUND(P6*K6%,2)</f>
        <v>18.04</v>
      </c>
      <c r="R6" s="20">
        <f>M6+O6+Q6</f>
        <v>66.99</v>
      </c>
      <c r="S6" s="20">
        <f>(H6-R6)</f>
        <v>433.01</v>
      </c>
      <c r="T6" s="20">
        <v>88363222</v>
      </c>
      <c r="U6" s="20">
        <v>18</v>
      </c>
      <c r="V6" s="20">
        <f>IF(OR(PoToMRVWOIpDUom!$C$2=1,PoToMRVWOIpDUom!$C$2=4),ROUND((((S6*U6)/100)/2),2),0)</f>
        <v>0</v>
      </c>
      <c r="W6" s="20">
        <f>IF(PoToMRVWOIpDUom!$C$2=1,ROUND((((S6*U6)/100)/2),2),0)</f>
        <v>0</v>
      </c>
      <c r="X6" s="20">
        <f>IF(PoToMRVWOIpDUom!$C$2=2,ROUND(((S6*U6)/100),2),0)</f>
        <v>77.94</v>
      </c>
      <c r="Y6" s="20">
        <f>IF(PoToMRVWOIpDUom!$C$2=4,ROUND((((S6*U6)/100)/2),2),0)</f>
        <v>0</v>
      </c>
      <c r="Z6" s="20">
        <v>0</v>
      </c>
      <c r="AA6" s="20">
        <f>IF(PoToMRVWOIpDUom!$C4=3,0,(S6*Z6)/100)</f>
        <v>0</v>
      </c>
      <c r="AB6" s="20">
        <f>V6+W6+X6+Y6+AA6</f>
        <v>77.94</v>
      </c>
      <c r="AC6" s="20">
        <f>IF(PoToMRVWOIpDUom!$V4=1,S6+AB6,S6)</f>
        <v>433.01</v>
      </c>
      <c r="AD6" s="22">
        <v>120</v>
      </c>
      <c r="AE6" s="22">
        <f>IF(PoToMRVWOIpDUom!$P$2=1,(S6/PoToMRVWOIpDUom!$S$7)*PoToMRVWOIpDUom!$E$18,AD6/PoToMRVWOIpDUom!$AD$7*PoToMRVWOIpDUom!$E$18)</f>
        <v>0</v>
      </c>
      <c r="AF6" s="22"/>
      <c r="AG6" s="22">
        <f>IF(PoToMRVWOIpDUom!$P$2=1,(S6/PoToMRVWOIpDUom!$S$7)*PoToMRVWOIpDUom!$E$20,AD6/PoToMRVWOIpDUom!$AD$7*PoToMRVWOIpDUom!$E$20)</f>
        <v>0</v>
      </c>
      <c r="AH6" s="22">
        <f>IF(PoToMRVWOIpDUom!$P$2=1,(S6/PoToMRVWOIpDUom!$S$7)*PoToMRVWOIpDUom!$E$21,AD6/PoToMRVWOIpDUom!$AD$7*PoToMRVWOIpDUom!$E$21)</f>
        <v>0</v>
      </c>
      <c r="AI6" s="22">
        <f>S6*PoToMRVWOIpDUom!$M$2</f>
        <v>433.01</v>
      </c>
      <c r="AJ6" s="22">
        <f>IF(PoToMRVWOIpDUom!$C$2=3,0,AG6+AH6)</f>
        <v>0</v>
      </c>
      <c r="AK6" s="22">
        <f>IF(PoToMRVWOIpDUom!$C$2=3,AE6+AG6+AH6,0)</f>
        <v>0</v>
      </c>
      <c r="AL6" s="23">
        <v>3</v>
      </c>
      <c r="AM6" s="22">
        <f>F6/AL6</f>
        <v>3.33333333333333</v>
      </c>
      <c r="AN6" s="22">
        <f>ROUND(AI6/AM6,5)</f>
        <v>129.903</v>
      </c>
      <c r="AO6" s="22">
        <f>AJ6/AM6</f>
        <v>0</v>
      </c>
      <c r="AP6" s="22">
        <f>AK6/AM6</f>
        <v>0</v>
      </c>
      <c r="AQ6" s="22" t="s">
        <v>76</v>
      </c>
      <c r="AR6" s="22">
        <f>ROUND(AN6+AO6+AP6,5)</f>
        <v>129.903</v>
      </c>
      <c r="AS6" s="24" t="s">
        <v>120</v>
      </c>
      <c r="AT6" s="25" t="s">
        <v>76</v>
      </c>
      <c r="AU6" t="s">
        <v>367</v>
      </c>
      <c r="AV6" t="s">
        <v>368</v>
      </c>
      <c r="AW6" s="25">
        <f>AM6</f>
        <v>3.33333333333333</v>
      </c>
      <c r="AX6" s="25">
        <f>AR6</f>
        <v>129.903</v>
      </c>
      <c r="AY6" s="25">
        <f>AU6+AW6</f>
        <v>13.3323333333333</v>
      </c>
      <c r="AZ6" s="25">
        <f>ROUND(((AU6*AV6)+(AW6*AX6))/(AU6+AW6),2)</f>
        <v>129.9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>
        <v>369</v>
      </c>
      <c r="BN6" t="s">
        <v>370</v>
      </c>
      <c r="BO6" s="25">
        <f>ROUND((((AW6*AZ6)+(BN6*BM6))/(AW6+BN6)),5)</f>
        <v>129.9</v>
      </c>
      <c r="BP6" s="31">
        <f>ROUND(BN6+AW6,3)</f>
        <v>9.999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0">SUM(R4:R4)</f>
        <v>254.55</v>
      </c>
      <c r="S7" s="37">
        <f t="shared" si="0"/>
        <v>1245.45</v>
      </c>
      <c r="T7" s="38"/>
      <c r="U7" s="38"/>
      <c r="V7" s="39">
        <f t="shared" si="0"/>
        <v>0</v>
      </c>
      <c r="W7" s="39">
        <f t="shared" si="0"/>
        <v>0</v>
      </c>
      <c r="X7" s="39">
        <f t="shared" si="0"/>
        <v>224.18</v>
      </c>
      <c r="Y7" s="39"/>
      <c r="Z7" s="39"/>
      <c r="AA7" s="39"/>
      <c r="AB7" s="38">
        <f>SUM(AB4:AB4)</f>
        <v>224.18</v>
      </c>
      <c r="AC7" s="40">
        <f>SUM(AC4:AC4)</f>
        <v>1469.63</v>
      </c>
      <c r="AD7" s="41">
        <f>SUM(AD4:AD4)</f>
        <v>120</v>
      </c>
      <c r="AE7" s="41">
        <f>SUM(AE4:AE4)</f>
        <v>0</v>
      </c>
      <c r="AF7" s="40"/>
      <c r="AG7" s="41">
        <f t="shared" ref="AG7:AK7" si="1">SUM(AG4:AG4)</f>
        <v>0</v>
      </c>
      <c r="AH7" s="41">
        <f>IF($P$2=1,(S7/$S$7)*$E$21,AD7/$AD$7*$E$21)</f>
        <v>0</v>
      </c>
      <c r="AI7" s="41">
        <f t="shared" si="1"/>
        <v>1245.45</v>
      </c>
      <c r="AJ7" s="41">
        <f t="shared" si="1"/>
        <v>0</v>
      </c>
      <c r="AK7" s="41">
        <f t="shared" si="1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F9" sqref="F9"/>
    </sheetView>
  </sheetViews>
  <sheetFormatPr defaultColWidth="8.84761904761905" defaultRowHeight="15"/>
  <cols>
    <col min="2" max="3" width="32.1428571428571" customWidth="1"/>
    <col min="29" max="29" width="9.28571428571429"/>
    <col min="44" max="44" width="9"/>
    <col min="52" max="52" width="19.4285714285714" customWidth="1"/>
    <col min="64" max="64" width="11" customWidth="1"/>
    <col min="67" max="67" width="12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186</v>
      </c>
      <c r="C4" s="19" t="s">
        <v>186</v>
      </c>
      <c r="D4" s="19" t="s">
        <v>76</v>
      </c>
      <c r="E4" s="19" t="s">
        <v>95</v>
      </c>
      <c r="F4" s="20">
        <v>10</v>
      </c>
      <c r="G4" s="20">
        <v>150</v>
      </c>
      <c r="H4" s="20">
        <f t="shared" ref="H4:H6" si="0">F4*G4</f>
        <v>1500</v>
      </c>
      <c r="I4" s="20">
        <v>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IF(($C$2=2),ROUND(((S4*U4)/100),2),0)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224.18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9">F4/AL4</f>
        <v>10</v>
      </c>
      <c r="AN4" s="23">
        <f>ROUND(AI4/AM4,3)</f>
        <v>124.545</v>
      </c>
      <c r="AO4" s="22">
        <f t="shared" ref="AO4:AO6" si="10">AJ4/AM4</f>
        <v>0</v>
      </c>
      <c r="AP4" s="22">
        <f t="shared" ref="AP4:AP6" si="11">AK4/AM4</f>
        <v>0</v>
      </c>
      <c r="AQ4" s="22" t="s">
        <v>76</v>
      </c>
      <c r="AR4" s="23">
        <f>AN4+AO4+AP4</f>
        <v>124.545</v>
      </c>
      <c r="AS4" s="24" t="s">
        <v>120</v>
      </c>
      <c r="AT4" s="25" t="s">
        <v>76</v>
      </c>
      <c r="AU4" t="s">
        <v>85</v>
      </c>
      <c r="AV4" t="s">
        <v>167</v>
      </c>
      <c r="AW4" s="25">
        <f t="shared" ref="AW4:AW6" si="12">AM4</f>
        <v>10</v>
      </c>
      <c r="AX4" s="26">
        <f t="shared" ref="AX4:AX6" si="13">AR4</f>
        <v>124.545</v>
      </c>
      <c r="AY4" s="25">
        <f t="shared" ref="AY4:AY6" si="14">AU4+AW4</f>
        <v>10</v>
      </c>
      <c r="AZ4" s="25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371</v>
      </c>
      <c r="BN4" t="s">
        <v>372</v>
      </c>
      <c r="BO4" s="25">
        <f t="shared" ref="BO4:BO6" si="15">ROUND((((AW4*AZ4)+(BN4*BM4))/(AW4+BN4)),5)</f>
        <v>4211.18114</v>
      </c>
      <c r="BP4" s="31">
        <f t="shared" ref="BP4:BP6" si="16">ROUND(BN4+AW4,3)</f>
        <v>823</v>
      </c>
      <c r="BQ4" s="32">
        <v>123562</v>
      </c>
    </row>
    <row r="5" ht="15.75" spans="1:69">
      <c r="A5" s="19">
        <v>1</v>
      </c>
      <c r="B5" s="19" t="s">
        <v>189</v>
      </c>
      <c r="C5" s="19" t="s">
        <v>189</v>
      </c>
      <c r="D5" s="19" t="s">
        <v>76</v>
      </c>
      <c r="E5" s="19" t="s">
        <v>95</v>
      </c>
      <c r="F5" s="20">
        <v>6</v>
      </c>
      <c r="G5" s="20">
        <v>100</v>
      </c>
      <c r="H5" s="20">
        <f t="shared" si="0"/>
        <v>600</v>
      </c>
      <c r="I5" s="20">
        <v>4</v>
      </c>
      <c r="J5" s="20">
        <v>9</v>
      </c>
      <c r="K5" s="20">
        <v>6</v>
      </c>
      <c r="L5" s="20">
        <f t="shared" si="1"/>
        <v>600</v>
      </c>
      <c r="M5" s="20">
        <f t="shared" si="2"/>
        <v>24</v>
      </c>
      <c r="N5" s="20">
        <f t="shared" si="3"/>
        <v>576</v>
      </c>
      <c r="O5" s="20">
        <f t="shared" si="4"/>
        <v>51.84</v>
      </c>
      <c r="P5" s="20">
        <f t="shared" si="5"/>
        <v>524.16</v>
      </c>
      <c r="Q5" s="20">
        <f t="shared" si="6"/>
        <v>31.45</v>
      </c>
      <c r="R5" s="20">
        <f t="shared" si="7"/>
        <v>107.29</v>
      </c>
      <c r="S5" s="20">
        <f t="shared" si="8"/>
        <v>492.71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IF(($C$2=2),ROUND(((S5*U5)/100),2),0)</f>
        <v>88.69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ref="AB4:AB6" si="17">V5+W5+X5+Y5+AA5</f>
        <v>88.69</v>
      </c>
      <c r="AC5" s="20">
        <f>IF($V3=1,S5+AB5,S5)</f>
        <v>492.71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492.71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 t="shared" si="9"/>
        <v>6</v>
      </c>
      <c r="AN5" s="22">
        <f>ROUND(AI5/AM5,5)</f>
        <v>82.11833</v>
      </c>
      <c r="AO5" s="22">
        <f t="shared" si="10"/>
        <v>0</v>
      </c>
      <c r="AP5" s="22">
        <f t="shared" si="11"/>
        <v>0</v>
      </c>
      <c r="AQ5" s="22" t="s">
        <v>76</v>
      </c>
      <c r="AR5" s="22">
        <f>ROUND(AN5+AO5+AP5,5)</f>
        <v>82.11833</v>
      </c>
      <c r="AS5" s="24" t="s">
        <v>120</v>
      </c>
      <c r="AT5" s="25" t="s">
        <v>76</v>
      </c>
      <c r="AU5" t="s">
        <v>85</v>
      </c>
      <c r="AV5" t="s">
        <v>373</v>
      </c>
      <c r="AW5" s="25">
        <f t="shared" si="12"/>
        <v>6</v>
      </c>
      <c r="AX5" s="25">
        <f t="shared" si="13"/>
        <v>82.11833</v>
      </c>
      <c r="AY5" s="25">
        <f t="shared" si="14"/>
        <v>6</v>
      </c>
      <c r="AZ5" s="25">
        <f>ROUND(((AU5*AV5)+(AW5*AX5))/(AU5+AW5),5)</f>
        <v>82.11833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374</v>
      </c>
      <c r="BN5" t="s">
        <v>375</v>
      </c>
      <c r="BO5" s="25">
        <f t="shared" si="15"/>
        <v>1099.86934</v>
      </c>
      <c r="BP5" s="31">
        <f t="shared" si="16"/>
        <v>244</v>
      </c>
      <c r="BQ5" s="32">
        <v>123562</v>
      </c>
    </row>
    <row r="6" ht="15.75" spans="1:69">
      <c r="A6" s="19">
        <v>1</v>
      </c>
      <c r="B6" s="19" t="s">
        <v>192</v>
      </c>
      <c r="C6" s="19" t="s">
        <v>192</v>
      </c>
      <c r="D6" s="19" t="s">
        <v>76</v>
      </c>
      <c r="E6" s="19" t="s">
        <v>95</v>
      </c>
      <c r="F6" s="20">
        <v>12</v>
      </c>
      <c r="G6" s="20">
        <v>50</v>
      </c>
      <c r="H6" s="20">
        <f t="shared" si="0"/>
        <v>600</v>
      </c>
      <c r="I6" s="20">
        <v>3</v>
      </c>
      <c r="J6" s="20">
        <v>7</v>
      </c>
      <c r="K6" s="20">
        <v>4</v>
      </c>
      <c r="L6" s="20">
        <f t="shared" si="1"/>
        <v>600</v>
      </c>
      <c r="M6" s="20">
        <f t="shared" si="2"/>
        <v>18</v>
      </c>
      <c r="N6" s="20">
        <f t="shared" si="3"/>
        <v>582</v>
      </c>
      <c r="O6" s="20">
        <f t="shared" si="4"/>
        <v>40.74</v>
      </c>
      <c r="P6" s="20">
        <f t="shared" si="5"/>
        <v>541.26</v>
      </c>
      <c r="Q6" s="20">
        <f t="shared" si="6"/>
        <v>21.65</v>
      </c>
      <c r="R6" s="20">
        <f t="shared" si="7"/>
        <v>80.39</v>
      </c>
      <c r="S6" s="20">
        <f t="shared" si="8"/>
        <v>519.61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IF(($C$2=2),ROUND(((S6*U6)/100),2),0)</f>
        <v>93.53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17"/>
        <v>93.53</v>
      </c>
      <c r="AC6" s="20">
        <f>IF($V4=1,S6+AB6,S6)</f>
        <v>519.61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519.61</v>
      </c>
      <c r="AJ6" s="22">
        <f>IF($C$2=3,0,AG6+AH6)</f>
        <v>0</v>
      </c>
      <c r="AK6" s="22">
        <f>IF($C$2=3,AE6+AG6+AH6,0)</f>
        <v>0</v>
      </c>
      <c r="AL6" s="23">
        <v>1</v>
      </c>
      <c r="AM6" s="22">
        <f t="shared" si="9"/>
        <v>12</v>
      </c>
      <c r="AN6" s="22">
        <f>ROUND(AI6/AM6,5)</f>
        <v>43.30083</v>
      </c>
      <c r="AO6" s="22">
        <f t="shared" si="10"/>
        <v>0</v>
      </c>
      <c r="AP6" s="22">
        <f t="shared" si="11"/>
        <v>0</v>
      </c>
      <c r="AQ6" s="22" t="s">
        <v>76</v>
      </c>
      <c r="AR6" s="22">
        <f>ROUND(AN6+AO6+AP6,5)</f>
        <v>43.30083</v>
      </c>
      <c r="AS6" s="24" t="s">
        <v>120</v>
      </c>
      <c r="AT6" s="25" t="s">
        <v>76</v>
      </c>
      <c r="AU6" t="s">
        <v>85</v>
      </c>
      <c r="AV6" t="s">
        <v>376</v>
      </c>
      <c r="AW6" s="25">
        <f t="shared" si="12"/>
        <v>12</v>
      </c>
      <c r="AX6" s="25">
        <f t="shared" si="13"/>
        <v>43.30083</v>
      </c>
      <c r="AY6" s="25">
        <f t="shared" si="14"/>
        <v>12</v>
      </c>
      <c r="AZ6" s="25">
        <f>ROUND(((AU6*AV6)+(AW6*AX6))/(AU6+AW6),5)</f>
        <v>43.30083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>
        <v>377</v>
      </c>
      <c r="BN6" t="s">
        <v>378</v>
      </c>
      <c r="BO6" s="25">
        <f t="shared" si="15"/>
        <v>777.51746</v>
      </c>
      <c r="BP6" s="31">
        <f t="shared" si="16"/>
        <v>644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1245.45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X1" workbookViewId="0">
      <selection activeCell="BK8" sqref="BK8"/>
    </sheetView>
  </sheetViews>
  <sheetFormatPr defaultColWidth="8.84761904761905" defaultRowHeight="15"/>
  <cols>
    <col min="2" max="3" width="32.1428571428571" customWidth="1"/>
    <col min="29" max="29" width="10.5714285714286"/>
    <col min="35" max="35" width="12.8571428571429"/>
    <col min="50" max="50" width="16.7142857142857" customWidth="1"/>
    <col min="52" max="52" width="19.4285714285714" customWidth="1"/>
    <col min="64" max="64" width="11" customWidth="1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186</v>
      </c>
      <c r="C4" s="19" t="s">
        <v>186</v>
      </c>
      <c r="D4" s="19" t="s">
        <v>76</v>
      </c>
      <c r="E4" s="19" t="s">
        <v>95</v>
      </c>
      <c r="F4" s="20">
        <v>10</v>
      </c>
      <c r="G4" s="20">
        <v>150</v>
      </c>
      <c r="H4" s="20">
        <f t="shared" ref="H4:H6" si="0">F4*G4</f>
        <v>1500</v>
      </c>
      <c r="I4" s="20">
        <v>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0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105863.25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10586.325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10586.325</v>
      </c>
      <c r="AS4" s="24" t="s">
        <v>120</v>
      </c>
      <c r="AT4" s="25" t="s">
        <v>76</v>
      </c>
      <c r="AU4" t="s">
        <v>85</v>
      </c>
      <c r="AV4" t="s">
        <v>379</v>
      </c>
      <c r="AW4" s="25">
        <f t="shared" ref="AW4:AW6" si="13">AM4</f>
        <v>10</v>
      </c>
      <c r="AX4" s="26">
        <f t="shared" ref="AX4:AX6" si="14">AR4</f>
        <v>10586.325</v>
      </c>
      <c r="AY4" s="25">
        <f t="shared" ref="AY4:AY6" si="15">AU4+AW4</f>
        <v>10</v>
      </c>
      <c r="AZ4" s="25">
        <f>ROUND(((AU4*AV4)+(AW4*AX4))/(AU4+AW4),5)</f>
        <v>10586.325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380</v>
      </c>
      <c r="BN4" t="s">
        <v>381</v>
      </c>
      <c r="BO4" s="25">
        <f t="shared" ref="BO4:BO6" si="16">ROUND((((AW4*AZ4)+(BN4*BM4))/(AW4+BN4)),5)</f>
        <v>3447.76544</v>
      </c>
      <c r="BP4" s="31">
        <f t="shared" ref="BP4:BP6" si="17">ROUND(BN4+AW4,3)</f>
        <v>600</v>
      </c>
      <c r="BQ4" s="32">
        <v>123562</v>
      </c>
    </row>
    <row r="5" ht="15.75" spans="1:69">
      <c r="A5" s="19">
        <v>1</v>
      </c>
      <c r="B5" s="19" t="s">
        <v>189</v>
      </c>
      <c r="C5" s="19" t="s">
        <v>189</v>
      </c>
      <c r="D5" s="19" t="s">
        <v>76</v>
      </c>
      <c r="E5" s="19" t="s">
        <v>95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IF(AND($C$2=2,V$2=1),ROUND(((S5*U5)/100),2),0)</f>
        <v>0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9"/>
        <v>0</v>
      </c>
      <c r="AC5" s="20">
        <f>IF($V3=1,S5+AB5,S5)</f>
        <v>328.47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27919.95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 t="shared" si="10"/>
        <v>4</v>
      </c>
      <c r="AN5" s="22">
        <f>ROUND(AI5/AM5,5)</f>
        <v>6979.9875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6979.9875</v>
      </c>
      <c r="AS5" s="24" t="s">
        <v>120</v>
      </c>
      <c r="AT5" s="25" t="s">
        <v>76</v>
      </c>
      <c r="AU5" t="s">
        <v>85</v>
      </c>
      <c r="AV5" t="s">
        <v>274</v>
      </c>
      <c r="AW5" s="25">
        <f t="shared" si="13"/>
        <v>4</v>
      </c>
      <c r="AX5" s="25">
        <f t="shared" si="14"/>
        <v>6979.9875</v>
      </c>
      <c r="AY5" s="25">
        <f t="shared" si="15"/>
        <v>4</v>
      </c>
      <c r="AZ5" s="25">
        <f>ROUND(((AU5*AV5)+(AW5*AX5))/(AU5+AW5),5)</f>
        <v>6979.9875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382</v>
      </c>
      <c r="BN5" t="s">
        <v>260</v>
      </c>
      <c r="BO5" s="25">
        <f t="shared" si="16"/>
        <v>552.43881</v>
      </c>
      <c r="BP5" s="31">
        <f t="shared" si="17"/>
        <v>176</v>
      </c>
      <c r="BQ5" s="32">
        <v>123562</v>
      </c>
    </row>
    <row r="6" ht="15.75" spans="1:69">
      <c r="A6" s="19">
        <v>1</v>
      </c>
      <c r="B6" s="19" t="s">
        <v>192</v>
      </c>
      <c r="C6" s="19" t="s">
        <v>192</v>
      </c>
      <c r="D6" s="19" t="s">
        <v>76</v>
      </c>
      <c r="E6" s="19" t="s">
        <v>95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IF(AND($C$2=2,V$2=1),ROUND(((S6*U6)/100),2),0)</f>
        <v>0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9"/>
        <v>0</v>
      </c>
      <c r="AC6" s="20">
        <f>IF($V4=1,S6+AB6,S6)</f>
        <v>433.01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36805.85</v>
      </c>
      <c r="AJ6" s="22">
        <f>IF($C$2=3,0,AG6+AH6)</f>
        <v>0</v>
      </c>
      <c r="AK6" s="22">
        <f>IF($C$2=3,AE6+AG6+AH6,0)</f>
        <v>0</v>
      </c>
      <c r="AL6" s="23">
        <v>1</v>
      </c>
      <c r="AM6" s="22">
        <f t="shared" si="10"/>
        <v>10</v>
      </c>
      <c r="AN6" s="22">
        <f>ROUND(AI6/AM6,5)</f>
        <v>3680.585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3680.585</v>
      </c>
      <c r="AS6" s="24" t="s">
        <v>120</v>
      </c>
      <c r="AT6" s="25" t="s">
        <v>76</v>
      </c>
      <c r="AU6" t="s">
        <v>85</v>
      </c>
      <c r="AV6" t="s">
        <v>277</v>
      </c>
      <c r="AW6" s="25">
        <f t="shared" si="13"/>
        <v>10</v>
      </c>
      <c r="AX6" s="25">
        <f t="shared" si="14"/>
        <v>3680.585</v>
      </c>
      <c r="AY6" s="25">
        <f t="shared" si="15"/>
        <v>10</v>
      </c>
      <c r="AZ6" s="25">
        <f>ROUND(((AU6*AV6)+(AW6*AX6))/(AU6+AW6),5)</f>
        <v>3680.585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>
        <v>383</v>
      </c>
      <c r="BN6" t="s">
        <v>384</v>
      </c>
      <c r="BO6" s="25">
        <f t="shared" si="16"/>
        <v>291.29284</v>
      </c>
      <c r="BP6" s="31">
        <f t="shared" si="17"/>
        <v>440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0</v>
      </c>
      <c r="Y7" s="39"/>
      <c r="Z7" s="39"/>
      <c r="AA7" s="39"/>
      <c r="AB7" s="38">
        <f t="shared" ref="AB7:AE7" si="19">SUM(AB4:AB4)</f>
        <v>0</v>
      </c>
      <c r="AC7" s="40">
        <f t="shared" si="19"/>
        <v>1245.45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105863.25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1245.45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K1" workbookViewId="0">
      <selection activeCell="X4" sqref="X4"/>
    </sheetView>
  </sheetViews>
  <sheetFormatPr defaultColWidth="8.84761904761905" defaultRowHeight="15"/>
  <cols>
    <col min="2" max="2" width="28" customWidth="1"/>
    <col min="3" max="3" width="23.2857142857143" customWidth="1"/>
    <col min="52" max="52" width="10.7142857142857" customWidth="1"/>
    <col min="64" max="64" width="11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357</v>
      </c>
      <c r="C4" s="19" t="s">
        <v>357</v>
      </c>
      <c r="D4" s="19" t="s">
        <v>76</v>
      </c>
      <c r="E4" s="19" t="s">
        <v>95</v>
      </c>
      <c r="F4" s="20">
        <v>10</v>
      </c>
      <c r="G4" s="20">
        <v>150</v>
      </c>
      <c r="H4" s="20">
        <f t="shared" ref="H4:H6" si="0">F4*G4</f>
        <v>1500</v>
      </c>
      <c r="I4" s="20">
        <v>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0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105863.25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10">F4/AL4</f>
        <v>3.33333333333333</v>
      </c>
      <c r="AN4" s="23">
        <f>ROUND(AI4/AM4,3)</f>
        <v>31758.975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31758.975</v>
      </c>
      <c r="AS4" s="24" t="s">
        <v>120</v>
      </c>
      <c r="AT4" s="25" t="s">
        <v>76</v>
      </c>
      <c r="AU4" t="s">
        <v>385</v>
      </c>
      <c r="AV4" t="s">
        <v>386</v>
      </c>
      <c r="AW4" s="25">
        <f t="shared" ref="AW4:AW6" si="13">AM4</f>
        <v>3.33333333333333</v>
      </c>
      <c r="AX4" s="26">
        <f t="shared" ref="AX4:AX6" si="14">AR4</f>
        <v>31758.975</v>
      </c>
      <c r="AY4" s="25">
        <f t="shared" ref="AY4:AY6" si="15">AU4+AW4</f>
        <v>6.66633333333333</v>
      </c>
      <c r="AZ4" s="26">
        <f>ROUND(((AU4*AV4)+(AW4*AX4))/(AU4+AW4),5)</f>
        <v>16067.08967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121</v>
      </c>
      <c r="BN4" t="s">
        <v>360</v>
      </c>
      <c r="BO4" s="25">
        <f t="shared" ref="BO4:BO6" si="16">ROUND((((AW4*AZ4)+(BN4*BM4))/(AW4+BN4)),5)</f>
        <v>3512.57705</v>
      </c>
      <c r="BP4" s="31">
        <f t="shared" ref="BP4:BP6" si="17">ROUND(BN4+AW4,3)</f>
        <v>16.665</v>
      </c>
      <c r="BQ4" s="32">
        <v>123562</v>
      </c>
    </row>
    <row r="5" ht="15.75" spans="1:69">
      <c r="A5" s="19">
        <v>1</v>
      </c>
      <c r="B5" s="19" t="s">
        <v>361</v>
      </c>
      <c r="C5" s="19" t="s">
        <v>361</v>
      </c>
      <c r="D5" s="19" t="s">
        <v>76</v>
      </c>
      <c r="E5" s="19" t="s">
        <v>95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IF(OR(PoToMRVWOIpDUomImp!$C$2=1,PoToMRVWOIpDUomImp!$C$2=4),ROUND((((S5*U5)/100)/2),2),0)</f>
        <v>0</v>
      </c>
      <c r="W5" s="20">
        <f>IF(PoToMRVWOIpDUomImp!$C$2=1,ROUND((((S5*U5)/100)/2),2),0)</f>
        <v>0</v>
      </c>
      <c r="X5" s="20">
        <f>IF(PoToMRVWOIpDUomImp!$C$2=2,ROUND(((S5*U5)/100),2),0)</f>
        <v>0</v>
      </c>
      <c r="Y5" s="20">
        <f>IF(PoToMRVWOIpDUomImp!$C$2=4,ROUND((((S5*U5)/100)/2),2),0)</f>
        <v>0</v>
      </c>
      <c r="Z5" s="20">
        <v>0</v>
      </c>
      <c r="AA5" s="20">
        <f>IF(PoToMRVWOIpDUomImp!$C3=3,0,(S5*Z5)/100)</f>
        <v>0</v>
      </c>
      <c r="AB5" s="20">
        <f t="shared" si="9"/>
        <v>0</v>
      </c>
      <c r="AC5" s="20">
        <f>IF(PoToMRVWOIpDUomImp!$V3=1,S5+AB5,S5)</f>
        <v>328.47</v>
      </c>
      <c r="AD5" s="22">
        <v>120</v>
      </c>
      <c r="AE5" s="22">
        <f>IF(PoToMRVWOIpDUomImp!$P$2=1,(S5/PoToMRVWOIpDUomImp!$S$7)*PoToMRVWOIpDUomImp!$E$18,AD5/PoToMRVWOIpDUomImp!$AD$7*PoToMRVWOIpDUomImp!$E$18)</f>
        <v>0</v>
      </c>
      <c r="AF5" s="22"/>
      <c r="AG5" s="22">
        <f>IF(PoToMRVWOIpDUomImp!$P$2=1,(S5/PoToMRVWOIpDUomImp!$S$7)*PoToMRVWOIpDUomImp!$E$20,AD5/PoToMRVWOIpDUomImp!$AD$7*PoToMRVWOIpDUomImp!$E$20)</f>
        <v>0</v>
      </c>
      <c r="AH5" s="22">
        <f>IF(PoToMRVWOIpDUomImp!$P$2=1,(S5/PoToMRVWOIpDUomImp!$S$7)*PoToMRVWOIpDUomImp!$E$21,AD5/PoToMRVWOIpDUomImp!$AD$7*PoToMRVWOIpDUomImp!$E$21)</f>
        <v>0</v>
      </c>
      <c r="AI5" s="22">
        <f>S5*PoToMRVWOIpDUomImp!$M$2</f>
        <v>27919.95</v>
      </c>
      <c r="AJ5" s="22">
        <f>IF(PoToMRVWOIpDUomImp!$C$2=3,0,AG5+AH5)</f>
        <v>0</v>
      </c>
      <c r="AK5" s="22">
        <f>IF(PoToMRVWOIpDUomImp!$C$2=3,AE5+AG5+AH5,0)</f>
        <v>0</v>
      </c>
      <c r="AL5" s="23">
        <v>3</v>
      </c>
      <c r="AM5" s="22">
        <f t="shared" si="10"/>
        <v>1.33333333333333</v>
      </c>
      <c r="AN5" s="22">
        <f>ROUND(AI5/AM5,5)</f>
        <v>20939.9625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20939.9625</v>
      </c>
      <c r="AS5" s="24" t="s">
        <v>120</v>
      </c>
      <c r="AT5" s="25" t="s">
        <v>76</v>
      </c>
      <c r="AU5" t="s">
        <v>387</v>
      </c>
      <c r="AV5" t="s">
        <v>388</v>
      </c>
      <c r="AW5" s="25">
        <f t="shared" si="13"/>
        <v>1.33333333333333</v>
      </c>
      <c r="AX5" s="25">
        <f t="shared" si="14"/>
        <v>20939.9625</v>
      </c>
      <c r="AY5" s="25">
        <f t="shared" si="15"/>
        <v>5.33233333333333</v>
      </c>
      <c r="AZ5" s="25">
        <f>ROUND(((AU5*AV5)+(AW5*AX5))/(AU5+AW5),2)</f>
        <v>5420.73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364</v>
      </c>
      <c r="BN5" t="s">
        <v>365</v>
      </c>
      <c r="BO5" s="25">
        <f t="shared" si="16"/>
        <v>1971.43751</v>
      </c>
      <c r="BP5" s="31">
        <f t="shared" si="17"/>
        <v>3.999</v>
      </c>
      <c r="BQ5" s="32">
        <v>123562</v>
      </c>
    </row>
    <row r="6" ht="15.75" spans="1:69">
      <c r="A6" s="19">
        <v>1</v>
      </c>
      <c r="B6" s="19" t="s">
        <v>366</v>
      </c>
      <c r="C6" s="19" t="s">
        <v>366</v>
      </c>
      <c r="D6" s="19" t="s">
        <v>76</v>
      </c>
      <c r="E6" s="19" t="s">
        <v>95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IF(OR(PoToMRVWOIpDUomImp!$C$2=1,PoToMRVWOIpDUomImp!$C$2=4),ROUND((((S6*U6)/100)/2),2),0)</f>
        <v>0</v>
      </c>
      <c r="W6" s="20">
        <f>IF(PoToMRVWOIpDUomImp!$C$2=1,ROUND((((S6*U6)/100)/2),2),0)</f>
        <v>0</v>
      </c>
      <c r="X6" s="20">
        <f>IF(PoToMRVWOIpDUomImp!$C$2=2,ROUND(((S6*U6)/100),2),0)</f>
        <v>0</v>
      </c>
      <c r="Y6" s="20">
        <f>IF(PoToMRVWOIpDUomImp!$C$2=4,ROUND((((S6*U6)/100)/2),2),0)</f>
        <v>0</v>
      </c>
      <c r="Z6" s="20">
        <v>0</v>
      </c>
      <c r="AA6" s="20">
        <f>IF(PoToMRVWOIpDUomImp!$C4=3,0,(S6*Z6)/100)</f>
        <v>0</v>
      </c>
      <c r="AB6" s="20">
        <f t="shared" si="9"/>
        <v>0</v>
      </c>
      <c r="AC6" s="20">
        <f>IF(PoToMRVWOIpDUomImp!$V4=1,S6+AB6,S6)</f>
        <v>433.01</v>
      </c>
      <c r="AD6" s="22">
        <v>120</v>
      </c>
      <c r="AE6" s="22">
        <f>IF(PoToMRVWOIpDUomImp!$P$2=1,(S6/PoToMRVWOIpDUomImp!$S$7)*PoToMRVWOIpDUomImp!$E$18,AD6/PoToMRVWOIpDUomImp!$AD$7*PoToMRVWOIpDUomImp!$E$18)</f>
        <v>0</v>
      </c>
      <c r="AF6" s="22"/>
      <c r="AG6" s="22">
        <f>IF(PoToMRVWOIpDUomImp!$P$2=1,(S6/PoToMRVWOIpDUomImp!$S$7)*PoToMRVWOIpDUomImp!$E$20,AD6/PoToMRVWOIpDUomImp!$AD$7*PoToMRVWOIpDUomImp!$E$20)</f>
        <v>0</v>
      </c>
      <c r="AH6" s="22">
        <f>IF(PoToMRVWOIpDUomImp!$P$2=1,(S6/PoToMRVWOIpDUomImp!$S$7)*PoToMRVWOIpDUomImp!$E$21,AD6/PoToMRVWOIpDUomImp!$AD$7*PoToMRVWOIpDUomImp!$E$21)</f>
        <v>0</v>
      </c>
      <c r="AI6" s="22">
        <f>S6*PoToMRVWOIpDUomImp!$M$2</f>
        <v>36805.85</v>
      </c>
      <c r="AJ6" s="22">
        <f>IF(PoToMRVWOIpDUomImp!$C$2=3,0,AG6+AH6)</f>
        <v>0</v>
      </c>
      <c r="AK6" s="22">
        <f>IF(PoToMRVWOIpDUomImp!$C$2=3,AE6+AG6+AH6,0)</f>
        <v>0</v>
      </c>
      <c r="AL6" s="23">
        <v>3</v>
      </c>
      <c r="AM6" s="22">
        <f t="shared" si="10"/>
        <v>3.33333333333333</v>
      </c>
      <c r="AN6" s="22">
        <f>ROUND(AI6/AM6,5)</f>
        <v>11041.755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11041.755</v>
      </c>
      <c r="AS6" s="24" t="s">
        <v>120</v>
      </c>
      <c r="AT6" s="25" t="s">
        <v>76</v>
      </c>
      <c r="AU6" t="s">
        <v>389</v>
      </c>
      <c r="AV6" t="s">
        <v>390</v>
      </c>
      <c r="AW6" s="25">
        <f t="shared" si="13"/>
        <v>3.33333333333333</v>
      </c>
      <c r="AX6" s="25">
        <f t="shared" si="14"/>
        <v>11041.755</v>
      </c>
      <c r="AY6" s="25">
        <f t="shared" si="15"/>
        <v>13.3323333333333</v>
      </c>
      <c r="AZ6" s="25">
        <f>ROUND(((AU6*AV6)+(AW6*AX6))/(AU6+AW6),2)</f>
        <v>2858.07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>
        <v>369</v>
      </c>
      <c r="BN6" t="s">
        <v>370</v>
      </c>
      <c r="BO6" s="25">
        <f t="shared" si="16"/>
        <v>1039.35063</v>
      </c>
      <c r="BP6" s="31">
        <f t="shared" si="17"/>
        <v>9.999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0</v>
      </c>
      <c r="Y7" s="39"/>
      <c r="Z7" s="39"/>
      <c r="AA7" s="39"/>
      <c r="AB7" s="38">
        <f t="shared" ref="AB7:AE7" si="19">SUM(AB4:AB4)</f>
        <v>0</v>
      </c>
      <c r="AC7" s="40">
        <f t="shared" si="19"/>
        <v>1245.45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105863.25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 t="s">
        <v>391</v>
      </c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1245.45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AS9" sqref="AS9"/>
    </sheetView>
  </sheetViews>
  <sheetFormatPr defaultColWidth="8.84761904761905" defaultRowHeight="15"/>
  <cols>
    <col min="2" max="2" width="28" customWidth="1"/>
    <col min="3" max="3" width="23.2857142857143" customWidth="1"/>
    <col min="52" max="52" width="10.7142857142857" customWidth="1"/>
    <col min="64" max="64" width="11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392</v>
      </c>
      <c r="C4" s="19" t="s">
        <v>392</v>
      </c>
      <c r="D4" s="19" t="s">
        <v>76</v>
      </c>
      <c r="E4" s="19" t="s">
        <v>95</v>
      </c>
      <c r="F4" s="20">
        <v>10</v>
      </c>
      <c r="G4" s="20">
        <v>150</v>
      </c>
      <c r="H4" s="20">
        <f t="shared" ref="H4:H6" si="0">F4*G4</f>
        <v>1500</v>
      </c>
      <c r="I4" s="20">
        <v>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10">F4/AL4</f>
        <v>3.33333333333333</v>
      </c>
      <c r="AN4" s="23">
        <f>ROUND(AI4/AM4,3)</f>
        <v>373.635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373.635</v>
      </c>
      <c r="AS4" s="24" t="s">
        <v>120</v>
      </c>
      <c r="AT4" s="25" t="s">
        <v>76</v>
      </c>
      <c r="AU4" t="s">
        <v>393</v>
      </c>
      <c r="AV4" t="s">
        <v>121</v>
      </c>
      <c r="AW4" s="25">
        <f t="shared" ref="AW4:AW6" si="13">AM4</f>
        <v>3.33333333333333</v>
      </c>
      <c r="AX4" s="26">
        <f t="shared" ref="AX4:AX6" si="14">AR4</f>
        <v>373.635</v>
      </c>
      <c r="AY4" s="25">
        <f t="shared" ref="AY4:AY6" si="15">AU4+AW4</f>
        <v>13.3323333333333</v>
      </c>
      <c r="AZ4" s="26">
        <f>ROUND(((AU4*AV4)+(AW4*AX4))/(AU4+AW4),5)</f>
        <v>373.635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121</v>
      </c>
      <c r="BN4" t="s">
        <v>394</v>
      </c>
      <c r="BO4" s="25">
        <f t="shared" ref="BO4:BO6" si="16">ROUND((((AW4*AZ4)+(BN4*BM4))/(AW4+BN4)),5)</f>
        <v>373.635</v>
      </c>
      <c r="BP4" s="31">
        <f t="shared" ref="BP4:BP6" si="17">ROUND(BN4+AW4,3)</f>
        <v>6.666</v>
      </c>
      <c r="BQ4" s="32">
        <v>123562</v>
      </c>
    </row>
    <row r="5" ht="15.75" spans="1:69">
      <c r="A5" s="19">
        <v>1</v>
      </c>
      <c r="B5" s="19" t="s">
        <v>395</v>
      </c>
      <c r="C5" s="19" t="s">
        <v>395</v>
      </c>
      <c r="D5" s="19" t="s">
        <v>76</v>
      </c>
      <c r="E5" s="19" t="s">
        <v>95</v>
      </c>
      <c r="F5" s="20">
        <v>10</v>
      </c>
      <c r="G5" s="20">
        <v>100</v>
      </c>
      <c r="H5" s="20">
        <f t="shared" si="0"/>
        <v>1000</v>
      </c>
      <c r="I5" s="20">
        <v>4</v>
      </c>
      <c r="J5" s="20">
        <v>9</v>
      </c>
      <c r="K5" s="20">
        <v>6</v>
      </c>
      <c r="L5" s="20">
        <f t="shared" si="1"/>
        <v>1000</v>
      </c>
      <c r="M5" s="20">
        <f t="shared" si="2"/>
        <v>40</v>
      </c>
      <c r="N5" s="20">
        <f t="shared" si="3"/>
        <v>960</v>
      </c>
      <c r="O5" s="20">
        <f t="shared" si="4"/>
        <v>86.4</v>
      </c>
      <c r="P5" s="20">
        <f t="shared" si="5"/>
        <v>873.6</v>
      </c>
      <c r="Q5" s="20">
        <f t="shared" si="6"/>
        <v>52.42</v>
      </c>
      <c r="R5" s="20">
        <f t="shared" si="7"/>
        <v>178.82</v>
      </c>
      <c r="S5" s="20">
        <f t="shared" si="8"/>
        <v>821.18</v>
      </c>
      <c r="T5" s="20">
        <v>88363222</v>
      </c>
      <c r="U5" s="20">
        <v>18</v>
      </c>
      <c r="V5" s="20">
        <f>IF(OR(PoToMRVWOIpDUomRc!$C$2=1,PoToMRVWOIpDUomRc!$C$2=4),ROUND((((S5*U5)/100)/2),2),0)</f>
        <v>0</v>
      </c>
      <c r="W5" s="20">
        <f>IF(PoToMRVWOIpDUomRc!$C$2=1,ROUND((((S5*U5)/100)/2),2),0)</f>
        <v>0</v>
      </c>
      <c r="X5" s="20">
        <f>IF(PoToMRVWOIpDUomRc!$C$2=2,ROUND(((S5*U5)/100),2),0)</f>
        <v>147.81</v>
      </c>
      <c r="Y5" s="20">
        <f>IF(PoToMRVWOIpDUomRc!$C$2=4,ROUND((((S5*U5)/100)/2),2),0)</f>
        <v>0</v>
      </c>
      <c r="Z5" s="20">
        <v>0</v>
      </c>
      <c r="AA5" s="20">
        <f>IF(PoToMRVWOIpDUomRc!$C3=3,0,(S5*Z5)/100)</f>
        <v>0</v>
      </c>
      <c r="AB5" s="20">
        <f t="shared" si="9"/>
        <v>147.81</v>
      </c>
      <c r="AC5" s="20">
        <f>IF(PoToMRVWOIpDUomRc!$V3=1,S5+AB5,S5)</f>
        <v>821.18</v>
      </c>
      <c r="AD5" s="22">
        <v>120</v>
      </c>
      <c r="AE5" s="22">
        <f>IF(PoToMRVWOIpDUomRc!$P$2=1,(S5/PoToMRVWOIpDUomRc!$S$7)*PoToMRVWOIpDUomRc!$E$18,AD5/PoToMRVWOIpDUomRc!$AD$7*PoToMRVWOIpDUomRc!$E$18)</f>
        <v>0</v>
      </c>
      <c r="AF5" s="22"/>
      <c r="AG5" s="22">
        <f>IF(PoToMRVWOIpDUomRc!$P$2=1,(S5/PoToMRVWOIpDUomRc!$S$7)*PoToMRVWOIpDUomRc!$E$20,AD5/PoToMRVWOIpDUomRc!$AD$7*PoToMRVWOIpDUomRc!$E$20)</f>
        <v>0</v>
      </c>
      <c r="AH5" s="22">
        <f>IF(PoToMRVWOIpDUomRc!$P$2=1,(S5/PoToMRVWOIpDUomRc!$S$7)*PoToMRVWOIpDUomRc!$E$21,AD5/PoToMRVWOIpDUomRc!$AD$7*PoToMRVWOIpDUomRc!$E$21)</f>
        <v>0</v>
      </c>
      <c r="AI5" s="22">
        <f>S5*PoToMRVWOIpDUomRc!$M$2</f>
        <v>821.18</v>
      </c>
      <c r="AJ5" s="22">
        <f>IF(PoToMRVWOIpDUomRc!$C$2=3,0,AG5+AH5)</f>
        <v>0</v>
      </c>
      <c r="AK5" s="22">
        <f>IF(PoToMRVWOIpDUomRc!$C$2=3,AE5+AG5+AH5,0)</f>
        <v>0</v>
      </c>
      <c r="AL5" s="23">
        <v>3</v>
      </c>
      <c r="AM5" s="22">
        <f t="shared" si="10"/>
        <v>3.33333333333333</v>
      </c>
      <c r="AN5" s="22">
        <f>ROUND(AI5/AM5,5)</f>
        <v>246.354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246.354</v>
      </c>
      <c r="AS5" s="24" t="s">
        <v>120</v>
      </c>
      <c r="AT5" s="25" t="s">
        <v>76</v>
      </c>
      <c r="AU5" t="s">
        <v>396</v>
      </c>
      <c r="AV5" t="s">
        <v>364</v>
      </c>
      <c r="AW5" s="25">
        <f t="shared" si="13"/>
        <v>3.33333333333333</v>
      </c>
      <c r="AX5" s="33">
        <f t="shared" si="14"/>
        <v>246.354</v>
      </c>
      <c r="AY5" s="25">
        <f t="shared" si="15"/>
        <v>7.33233333333333</v>
      </c>
      <c r="AZ5" s="33">
        <f>ROUND(((AU5*AV5)+(AW5*AX5))/(AU5+AW5),5)</f>
        <v>246.35727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364</v>
      </c>
      <c r="BN5" t="s">
        <v>360</v>
      </c>
      <c r="BO5" s="25">
        <f>ROUND((((AW5*AZ5)+(BN5*BM5))/(AW5+BN5)),2)</f>
        <v>246.36</v>
      </c>
      <c r="BP5" s="31">
        <f t="shared" si="17"/>
        <v>4.666</v>
      </c>
      <c r="BQ5" s="32">
        <v>123562</v>
      </c>
    </row>
    <row r="6" ht="15.75" spans="1:69">
      <c r="A6" s="19">
        <v>1</v>
      </c>
      <c r="B6" s="19" t="s">
        <v>397</v>
      </c>
      <c r="C6" s="19" t="s">
        <v>397</v>
      </c>
      <c r="D6" s="19" t="s">
        <v>76</v>
      </c>
      <c r="E6" s="19" t="s">
        <v>95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IF(OR(PoToMRVWOIpDUomRc!$C$2=1,PoToMRVWOIpDUomRc!$C$2=4),ROUND((((S6*U6)/100)/2),2),0)</f>
        <v>0</v>
      </c>
      <c r="W6" s="20">
        <f>IF(PoToMRVWOIpDUomRc!$C$2=1,ROUND((((S6*U6)/100)/2),2),0)</f>
        <v>0</v>
      </c>
      <c r="X6" s="20">
        <f>IF(PoToMRVWOIpDUomRc!$C$2=2,ROUND(((S6*U6)/100),2),0)</f>
        <v>77.94</v>
      </c>
      <c r="Y6" s="20">
        <f>IF(PoToMRVWOIpDUomRc!$C$2=4,ROUND((((S6*U6)/100)/2),2),0)</f>
        <v>0</v>
      </c>
      <c r="Z6" s="20">
        <v>0</v>
      </c>
      <c r="AA6" s="20">
        <f>IF(PoToMRVWOIpDUomRc!$C4=3,0,(S6*Z6)/100)</f>
        <v>0</v>
      </c>
      <c r="AB6" s="20">
        <f t="shared" si="9"/>
        <v>77.94</v>
      </c>
      <c r="AC6" s="20">
        <f>IF(PoToMRVWOIpDUomRc!$V4=1,S6+AB6,S6)</f>
        <v>433.01</v>
      </c>
      <c r="AD6" s="22">
        <v>120</v>
      </c>
      <c r="AE6" s="22">
        <f>IF(PoToMRVWOIpDUomRc!$P$2=1,(S6/PoToMRVWOIpDUomRc!$S$7)*PoToMRVWOIpDUomRc!$E$18,AD6/PoToMRVWOIpDUomRc!$AD$7*PoToMRVWOIpDUomRc!$E$18)</f>
        <v>0</v>
      </c>
      <c r="AF6" s="22"/>
      <c r="AG6" s="22">
        <f>IF(PoToMRVWOIpDUomRc!$P$2=1,(S6/PoToMRVWOIpDUomRc!$S$7)*PoToMRVWOIpDUomRc!$E$20,AD6/PoToMRVWOIpDUomRc!$AD$7*PoToMRVWOIpDUomRc!$E$20)</f>
        <v>0</v>
      </c>
      <c r="AH6" s="22">
        <f>IF(PoToMRVWOIpDUomRc!$P$2=1,(S6/PoToMRVWOIpDUomRc!$S$7)*PoToMRVWOIpDUomRc!$E$21,AD6/PoToMRVWOIpDUomRc!$AD$7*PoToMRVWOIpDUomRc!$E$21)</f>
        <v>0</v>
      </c>
      <c r="AI6" s="22">
        <f>S6*PoToMRVWOIpDUomRc!$M$2</f>
        <v>433.01</v>
      </c>
      <c r="AJ6" s="22">
        <f>IF(PoToMRVWOIpDUomRc!$C$2=3,0,AG6+AH6)</f>
        <v>0</v>
      </c>
      <c r="AK6" s="22">
        <f>IF(PoToMRVWOIpDUomRc!$C$2=3,AE6+AG6+AH6,0)</f>
        <v>0</v>
      </c>
      <c r="AL6" s="23">
        <v>3</v>
      </c>
      <c r="AM6" s="22">
        <f t="shared" si="10"/>
        <v>3.33333333333333</v>
      </c>
      <c r="AN6" s="22">
        <f>ROUND(AI6/AM6,5)</f>
        <v>129.903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129.903</v>
      </c>
      <c r="AS6" s="24" t="s">
        <v>120</v>
      </c>
      <c r="AT6" s="25" t="s">
        <v>76</v>
      </c>
      <c r="AU6" t="s">
        <v>358</v>
      </c>
      <c r="AV6" t="s">
        <v>369</v>
      </c>
      <c r="AW6" s="25">
        <f t="shared" si="13"/>
        <v>3.33333333333333</v>
      </c>
      <c r="AX6" s="25">
        <f t="shared" si="14"/>
        <v>129.903</v>
      </c>
      <c r="AY6" s="25">
        <f t="shared" si="15"/>
        <v>13.3323333333333</v>
      </c>
      <c r="AZ6" s="25">
        <f>ROUND(((AU6*AV6)+(AW6*AX6))/(AU6+AW6),2)</f>
        <v>129.9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>
        <v>369</v>
      </c>
      <c r="BN6" t="s">
        <v>360</v>
      </c>
      <c r="BO6" s="25">
        <f t="shared" si="16"/>
        <v>129.9</v>
      </c>
      <c r="BP6" s="31">
        <f t="shared" si="17"/>
        <v>6.666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1469.63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L8" sqref="L8"/>
    </sheetView>
  </sheetViews>
  <sheetFormatPr defaultColWidth="8.84761904761905" defaultRowHeight="15"/>
  <cols>
    <col min="2" max="2" width="28" customWidth="1"/>
    <col min="3" max="3" width="23.2857142857143" customWidth="1"/>
    <col min="52" max="52" width="10.7142857142857" customWidth="1"/>
    <col min="64" max="64" width="11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392</v>
      </c>
      <c r="C4" s="19" t="s">
        <v>392</v>
      </c>
      <c r="D4" s="19" t="s">
        <v>76</v>
      </c>
      <c r="E4" s="19" t="s">
        <v>95</v>
      </c>
      <c r="F4" s="20">
        <v>10</v>
      </c>
      <c r="G4" s="20">
        <v>150</v>
      </c>
      <c r="H4" s="20">
        <f t="shared" ref="H4:H6" si="0">F4*G4</f>
        <v>1500</v>
      </c>
      <c r="I4" s="20">
        <v>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0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105863.25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10">F4/AL4</f>
        <v>3.33333333333333</v>
      </c>
      <c r="AN4" s="23">
        <f>ROUND(AI4/AM4,3)</f>
        <v>31758.975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31758.975</v>
      </c>
      <c r="AS4" s="24" t="s">
        <v>120</v>
      </c>
      <c r="AT4" s="25" t="s">
        <v>76</v>
      </c>
      <c r="AU4" t="s">
        <v>393</v>
      </c>
      <c r="AV4" t="s">
        <v>121</v>
      </c>
      <c r="AW4" s="25">
        <f t="shared" ref="AW4:AW6" si="13">AM4</f>
        <v>3.33333333333333</v>
      </c>
      <c r="AX4" s="26">
        <f t="shared" ref="AX4:AX6" si="14">AR4</f>
        <v>31758.975</v>
      </c>
      <c r="AY4" s="25">
        <f t="shared" ref="AY4:AY6" si="15">AU4+AW4</f>
        <v>6.66633333333333</v>
      </c>
      <c r="AZ4" s="26">
        <f>ROUND(((AU4*AV4)+(AW4*AX4))/(AU4+AW4),5)</f>
        <v>16067.08967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121</v>
      </c>
      <c r="BN4" t="s">
        <v>394</v>
      </c>
      <c r="BO4" s="25">
        <f>ROUND((((AW4*AZ4)+(BN4*BM4))/(AW4+BN4)),5)</f>
        <v>1087.04195</v>
      </c>
      <c r="BP4" s="31">
        <f t="shared" ref="BP4:BP6" si="16">ROUND(BN4+AW4,3)</f>
        <v>73.326</v>
      </c>
      <c r="BQ4" s="32">
        <v>123562</v>
      </c>
    </row>
    <row r="5" ht="15.75" spans="1:69">
      <c r="A5" s="19">
        <v>1</v>
      </c>
      <c r="B5" s="19" t="s">
        <v>395</v>
      </c>
      <c r="C5" s="19" t="s">
        <v>395</v>
      </c>
      <c r="D5" s="19" t="s">
        <v>76</v>
      </c>
      <c r="E5" s="19" t="s">
        <v>95</v>
      </c>
      <c r="F5" s="20">
        <v>10</v>
      </c>
      <c r="G5" s="20">
        <v>100</v>
      </c>
      <c r="H5" s="20">
        <f t="shared" si="0"/>
        <v>1000</v>
      </c>
      <c r="I5" s="20">
        <v>4</v>
      </c>
      <c r="J5" s="20">
        <v>9</v>
      </c>
      <c r="K5" s="20">
        <v>6</v>
      </c>
      <c r="L5" s="20">
        <f t="shared" si="1"/>
        <v>1000</v>
      </c>
      <c r="M5" s="20">
        <f t="shared" si="2"/>
        <v>40</v>
      </c>
      <c r="N5" s="20">
        <f t="shared" si="3"/>
        <v>960</v>
      </c>
      <c r="O5" s="20">
        <f t="shared" si="4"/>
        <v>86.4</v>
      </c>
      <c r="P5" s="20">
        <f t="shared" si="5"/>
        <v>873.6</v>
      </c>
      <c r="Q5" s="20">
        <f t="shared" si="6"/>
        <v>52.42</v>
      </c>
      <c r="R5" s="20">
        <f t="shared" si="7"/>
        <v>178.82</v>
      </c>
      <c r="S5" s="20">
        <f t="shared" si="8"/>
        <v>821.18</v>
      </c>
      <c r="T5" s="20">
        <v>88363222</v>
      </c>
      <c r="U5" s="20">
        <v>18</v>
      </c>
      <c r="V5" s="20">
        <f>IF(OR(PoToMRVWOIpDUomRcImp!$C$2=1,PoToMRVWOIpDUomRcImp!$C$2=4),ROUND((((S5*U5)/100)/2),2),0)</f>
        <v>0</v>
      </c>
      <c r="W5" s="20">
        <f>IF(PoToMRVWOIpDUomRcImp!$C$2=1,ROUND((((S5*U5)/100)/2),2),0)</f>
        <v>0</v>
      </c>
      <c r="X5" s="20">
        <f>IF(PoToMRVWOIpDUomRcImp!$C$2=2,ROUND(((S5*U5)/100),2),0)</f>
        <v>0</v>
      </c>
      <c r="Y5" s="20">
        <f>IF(PoToMRVWOIpDUomRcImp!$C$2=4,ROUND((((S5*U5)/100)/2),2),0)</f>
        <v>0</v>
      </c>
      <c r="Z5" s="20">
        <v>0</v>
      </c>
      <c r="AA5" s="20">
        <f>IF(PoToMRVWOIpDUomRcImp!$C3=3,0,(S5*Z5)/100)</f>
        <v>0</v>
      </c>
      <c r="AB5" s="20">
        <f t="shared" si="9"/>
        <v>0</v>
      </c>
      <c r="AC5" s="20">
        <f>IF(PoToMRVWOIpDUomRcImp!$V3=1,S5+AB5,S5)</f>
        <v>821.18</v>
      </c>
      <c r="AD5" s="22">
        <v>120</v>
      </c>
      <c r="AE5" s="22">
        <f>IF(PoToMRVWOIpDUomRcImp!$P$2=1,(S5/PoToMRVWOIpDUomRcImp!$S$7)*PoToMRVWOIpDUomRcImp!$E$18,AD5/PoToMRVWOIpDUomRcImp!$AD$7*PoToMRVWOIpDUomRcImp!$E$18)</f>
        <v>0</v>
      </c>
      <c r="AF5" s="22"/>
      <c r="AG5" s="22">
        <f>IF(PoToMRVWOIpDUomRcImp!$P$2=1,(S5/PoToMRVWOIpDUomRcImp!$S$7)*PoToMRVWOIpDUomRcImp!$E$20,AD5/PoToMRVWOIpDUomRcImp!$AD$7*PoToMRVWOIpDUomRcImp!$E$20)</f>
        <v>0</v>
      </c>
      <c r="AH5" s="22">
        <f>IF(PoToMRVWOIpDUomRcImp!$P$2=1,(S5/PoToMRVWOIpDUomRcImp!$S$7)*PoToMRVWOIpDUomRcImp!$E$21,AD5/PoToMRVWOIpDUomRcImp!$AD$7*PoToMRVWOIpDUomRcImp!$E$21)</f>
        <v>0</v>
      </c>
      <c r="AI5" s="22">
        <f>S5*PoToMRVWOIpDUomRcImp!$M$2</f>
        <v>69800.3</v>
      </c>
      <c r="AJ5" s="22">
        <f>IF(PoToMRVWOIpDUomRcImp!$C$2=3,0,AG5+AH5)</f>
        <v>0</v>
      </c>
      <c r="AK5" s="22">
        <f>IF(PoToMRVWOIpDUomRcImp!$C$2=3,AE5+AG5+AH5,0)</f>
        <v>0</v>
      </c>
      <c r="AL5" s="23">
        <v>3</v>
      </c>
      <c r="AM5" s="22">
        <f t="shared" si="10"/>
        <v>3.33333333333333</v>
      </c>
      <c r="AN5" s="22">
        <f>ROUND(AI5/AM5,5)</f>
        <v>20940.09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20940.09</v>
      </c>
      <c r="AS5" s="24" t="s">
        <v>120</v>
      </c>
      <c r="AT5" s="25" t="s">
        <v>76</v>
      </c>
      <c r="AU5" t="s">
        <v>396</v>
      </c>
      <c r="AV5" t="s">
        <v>364</v>
      </c>
      <c r="AW5" s="25">
        <f t="shared" si="13"/>
        <v>3.33333333333333</v>
      </c>
      <c r="AX5" s="33">
        <f t="shared" si="14"/>
        <v>20940.09</v>
      </c>
      <c r="AY5" s="25">
        <f t="shared" si="15"/>
        <v>7.99933333333333</v>
      </c>
      <c r="AZ5" s="33">
        <f>ROUND(((AU5*AV5)+(AW5*AX5))/(AU5+AW5),5)</f>
        <v>8869.46609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364</v>
      </c>
      <c r="BN5" t="s">
        <v>360</v>
      </c>
      <c r="BO5" s="25">
        <f>ROUND((((AW5*AZ5)+(BN5*BM5))/(AW5+BN5)),2)</f>
        <v>657.02</v>
      </c>
      <c r="BP5" s="31">
        <f t="shared" si="16"/>
        <v>69.993</v>
      </c>
      <c r="BQ5" s="32">
        <v>123562</v>
      </c>
    </row>
    <row r="6" ht="15.75" spans="1:69">
      <c r="A6" s="19">
        <v>1</v>
      </c>
      <c r="B6" s="19" t="s">
        <v>397</v>
      </c>
      <c r="C6" s="19" t="s">
        <v>397</v>
      </c>
      <c r="D6" s="19" t="s">
        <v>76</v>
      </c>
      <c r="E6" s="19" t="s">
        <v>95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IF(OR(PoToMRVWOIpDUomRcImp!$C$2=1,PoToMRVWOIpDUomRcImp!$C$2=4),ROUND((((S6*U6)/100)/2),2),0)</f>
        <v>0</v>
      </c>
      <c r="W6" s="20">
        <f>IF(PoToMRVWOIpDUomRcImp!$C$2=1,ROUND((((S6*U6)/100)/2),2),0)</f>
        <v>0</v>
      </c>
      <c r="X6" s="20">
        <f>IF(PoToMRVWOIpDUomRcImp!$C$2=2,ROUND(((S6*U6)/100),2),0)</f>
        <v>0</v>
      </c>
      <c r="Y6" s="20">
        <f>IF(PoToMRVWOIpDUomRcImp!$C$2=4,ROUND((((S6*U6)/100)/2),2),0)</f>
        <v>0</v>
      </c>
      <c r="Z6" s="20">
        <v>0</v>
      </c>
      <c r="AA6" s="20">
        <f>IF(PoToMRVWOIpDUomRcImp!$C4=3,0,(S6*Z6)/100)</f>
        <v>0</v>
      </c>
      <c r="AB6" s="20">
        <f t="shared" si="9"/>
        <v>0</v>
      </c>
      <c r="AC6" s="20">
        <f>IF(PoToMRVWOIpDUomRcImp!$V4=1,S6+AB6,S6)</f>
        <v>433.01</v>
      </c>
      <c r="AD6" s="22">
        <v>120</v>
      </c>
      <c r="AE6" s="22">
        <f>IF(PoToMRVWOIpDUomRcImp!$P$2=1,(S6/PoToMRVWOIpDUomRcImp!$S$7)*PoToMRVWOIpDUomRcImp!$E$18,AD6/PoToMRVWOIpDUomRcImp!$AD$7*PoToMRVWOIpDUomRcImp!$E$18)</f>
        <v>0</v>
      </c>
      <c r="AF6" s="22"/>
      <c r="AG6" s="22">
        <f>IF(PoToMRVWOIpDUomRcImp!$P$2=1,(S6/PoToMRVWOIpDUomRcImp!$S$7)*PoToMRVWOIpDUomRcImp!$E$20,AD6/PoToMRVWOIpDUomRcImp!$AD$7*PoToMRVWOIpDUomRcImp!$E$20)</f>
        <v>0</v>
      </c>
      <c r="AH6" s="22">
        <f>IF(PoToMRVWOIpDUomRcImp!$P$2=1,(S6/PoToMRVWOIpDUomRcImp!$S$7)*PoToMRVWOIpDUomRcImp!$E$21,AD6/PoToMRVWOIpDUomRcImp!$AD$7*PoToMRVWOIpDUomRcImp!$E$21)</f>
        <v>0</v>
      </c>
      <c r="AI6" s="22">
        <f>S6*PoToMRVWOIpDUomRcImp!$M$2</f>
        <v>36805.85</v>
      </c>
      <c r="AJ6" s="22">
        <f>IF(PoToMRVWOIpDUomRcImp!$C$2=3,0,AG6+AH6)</f>
        <v>0</v>
      </c>
      <c r="AK6" s="22">
        <f>IF(PoToMRVWOIpDUomRcImp!$C$2=3,AE6+AG6+AH6,0)</f>
        <v>0</v>
      </c>
      <c r="AL6" s="23">
        <v>3</v>
      </c>
      <c r="AM6" s="22">
        <f t="shared" si="10"/>
        <v>3.33333333333333</v>
      </c>
      <c r="AN6" s="22">
        <f>ROUND(AI6/AM6,5)</f>
        <v>11041.755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11041.755</v>
      </c>
      <c r="AS6" s="24" t="s">
        <v>120</v>
      </c>
      <c r="AT6" s="25" t="s">
        <v>76</v>
      </c>
      <c r="AU6" t="s">
        <v>358</v>
      </c>
      <c r="AV6" t="s">
        <v>369</v>
      </c>
      <c r="AW6" s="25">
        <f t="shared" si="13"/>
        <v>3.33333333333333</v>
      </c>
      <c r="AX6" s="25">
        <f t="shared" si="14"/>
        <v>11041.755</v>
      </c>
      <c r="AY6" s="25">
        <f t="shared" si="15"/>
        <v>9.99933333333333</v>
      </c>
      <c r="AZ6" s="25">
        <f>ROUND(((AU6*AV6)+(AW6*AX6))/(AU6+AW6),2)</f>
        <v>3767.43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>
        <v>369</v>
      </c>
      <c r="BN6" t="s">
        <v>360</v>
      </c>
      <c r="BO6" s="25">
        <f>ROUND((((AW6*AZ6)+(BN6*BM6))/(AW6+BN6)),5)</f>
        <v>303.13221</v>
      </c>
      <c r="BP6" s="31">
        <f t="shared" si="16"/>
        <v>69.993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254.55</v>
      </c>
      <c r="S7" s="37">
        <f t="shared" si="17"/>
        <v>1245.45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0</v>
      </c>
      <c r="Y7" s="39"/>
      <c r="Z7" s="39"/>
      <c r="AA7" s="39"/>
      <c r="AB7" s="38">
        <f t="shared" ref="AB7:AE7" si="18">SUM(AB4:AB4)</f>
        <v>0</v>
      </c>
      <c r="AC7" s="40">
        <f t="shared" si="18"/>
        <v>1245.45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105863.25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1245.45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F6" sqref="F4:F6"/>
    </sheetView>
  </sheetViews>
  <sheetFormatPr defaultColWidth="8.84761904761905" defaultRowHeight="15"/>
  <cols>
    <col min="2" max="2" width="28" customWidth="1"/>
    <col min="3" max="3" width="30" customWidth="1"/>
    <col min="29" max="29" width="10.5714285714286"/>
    <col min="35" max="35" width="10"/>
    <col min="52" max="52" width="10.7142857142857" customWidth="1"/>
    <col min="64" max="64" width="11" customWidth="1"/>
    <col min="67" max="67" width="12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398</v>
      </c>
      <c r="C4" s="19" t="s">
        <v>398</v>
      </c>
      <c r="D4" s="19" t="s">
        <v>76</v>
      </c>
      <c r="E4" s="19" t="s">
        <v>95</v>
      </c>
      <c r="F4" s="20">
        <v>6</v>
      </c>
      <c r="G4" t="s">
        <v>77</v>
      </c>
      <c r="H4" s="20">
        <f t="shared" ref="H4:H6" si="0">F4*G4</f>
        <v>900</v>
      </c>
      <c r="I4" t="s">
        <v>78</v>
      </c>
      <c r="J4" s="20">
        <v>8</v>
      </c>
      <c r="K4" s="20">
        <v>5</v>
      </c>
      <c r="L4" s="20">
        <f t="shared" ref="L4:L6" si="1">H4</f>
        <v>900</v>
      </c>
      <c r="M4" s="20">
        <f t="shared" ref="M4:M6" si="2">ROUND(L4*I4%,2)</f>
        <v>45</v>
      </c>
      <c r="N4" s="20">
        <f t="shared" ref="N4:N6" si="3">H4-M4</f>
        <v>855</v>
      </c>
      <c r="O4" s="20">
        <f t="shared" ref="O4:O6" si="4">ROUND(N4*J4%,2)</f>
        <v>68.4</v>
      </c>
      <c r="P4" s="20">
        <f t="shared" ref="P4:P6" si="5">ROUND(N4-O4,2)</f>
        <v>786.6</v>
      </c>
      <c r="Q4" s="20">
        <f t="shared" ref="Q4:Q6" si="6">ROUND(P4*K4%,2)</f>
        <v>39.33</v>
      </c>
      <c r="R4" s="20">
        <f t="shared" ref="R4:R6" si="7">M4+O4+Q4</f>
        <v>152.73</v>
      </c>
      <c r="S4" s="20">
        <f t="shared" ref="S4:S6" si="8">(H4-R4)</f>
        <v>747.27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134.51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134.51</v>
      </c>
      <c r="AC4" s="21">
        <f>IF($V2=1,S4+AB4,S4)</f>
        <v>881.78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747.27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10">F4/AL4</f>
        <v>2</v>
      </c>
      <c r="AN4" s="23">
        <f>ROUND(AI4/AM4,3)</f>
        <v>373.635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373.635</v>
      </c>
      <c r="AS4" s="24" t="s">
        <v>120</v>
      </c>
      <c r="AT4" s="25" t="s">
        <v>76</v>
      </c>
      <c r="AU4" t="s">
        <v>85</v>
      </c>
      <c r="AV4" t="s">
        <v>121</v>
      </c>
      <c r="AW4" s="25">
        <f t="shared" ref="AW4:AW6" si="13">AM4</f>
        <v>2</v>
      </c>
      <c r="AX4" s="26">
        <f t="shared" ref="AX4:AX6" si="14">AR4</f>
        <v>373.635</v>
      </c>
      <c r="AY4" s="25">
        <f t="shared" ref="AY4:AY6" si="15">AU4+AW4</f>
        <v>2</v>
      </c>
      <c r="AZ4" s="25">
        <f>ROUND(((AU4*AV4)+(AW4*AX4))/(AU4+AW4),5)</f>
        <v>373.635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399</v>
      </c>
      <c r="BN4" t="s">
        <v>400</v>
      </c>
      <c r="BO4" s="25">
        <f>ROUND((((AW4*AZ4)+(BN4*BM4))/(AW4+BN4)),5)</f>
        <v>3585.52261</v>
      </c>
      <c r="BP4" s="31">
        <f t="shared" ref="BP4:BP6" si="16">ROUND(BN4+AW4,3)</f>
        <v>199.66</v>
      </c>
      <c r="BQ4" s="32">
        <v>123562</v>
      </c>
    </row>
    <row r="5" ht="15.75" spans="1:69">
      <c r="A5" s="19">
        <v>1</v>
      </c>
      <c r="B5" s="19" t="s">
        <v>401</v>
      </c>
      <c r="C5" s="19" t="s">
        <v>401</v>
      </c>
      <c r="D5" s="19" t="s">
        <v>76</v>
      </c>
      <c r="E5" s="19" t="s">
        <v>95</v>
      </c>
      <c r="F5" s="20">
        <v>9</v>
      </c>
      <c r="G5" t="s">
        <v>87</v>
      </c>
      <c r="H5" s="20">
        <f t="shared" si="0"/>
        <v>900</v>
      </c>
      <c r="I5" t="s">
        <v>88</v>
      </c>
      <c r="J5" s="20">
        <v>9</v>
      </c>
      <c r="K5" s="20">
        <v>6</v>
      </c>
      <c r="L5" s="20">
        <f t="shared" si="1"/>
        <v>900</v>
      </c>
      <c r="M5" s="20">
        <f t="shared" si="2"/>
        <v>36</v>
      </c>
      <c r="N5" s="20">
        <f t="shared" si="3"/>
        <v>864</v>
      </c>
      <c r="O5" s="20">
        <f t="shared" si="4"/>
        <v>77.76</v>
      </c>
      <c r="P5" s="20">
        <f t="shared" si="5"/>
        <v>786.24</v>
      </c>
      <c r="Q5" s="20">
        <f t="shared" si="6"/>
        <v>47.17</v>
      </c>
      <c r="R5" s="20">
        <f t="shared" si="7"/>
        <v>160.93</v>
      </c>
      <c r="S5" s="20">
        <f t="shared" si="8"/>
        <v>739.07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133.03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9"/>
        <v>133.03</v>
      </c>
      <c r="AC5" s="20">
        <f>IF($V3=1,S5+AB5,S5)</f>
        <v>739.07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739.07</v>
      </c>
      <c r="AJ5" s="22">
        <f>IF($C$2=3,0,AG5+AH5)</f>
        <v>0</v>
      </c>
      <c r="AK5" s="22">
        <f>IF($C$2=3,AE5+AG5+AH5,0)</f>
        <v>0</v>
      </c>
      <c r="AL5" s="23">
        <v>3</v>
      </c>
      <c r="AM5" s="22">
        <f t="shared" si="10"/>
        <v>3</v>
      </c>
      <c r="AN5" s="22">
        <f>ROUND(AI5/AM5,5)</f>
        <v>246.35667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246.35667</v>
      </c>
      <c r="AS5" s="24" t="s">
        <v>120</v>
      </c>
      <c r="AT5" s="25" t="s">
        <v>76</v>
      </c>
      <c r="AU5" t="s">
        <v>85</v>
      </c>
      <c r="AV5" t="s">
        <v>402</v>
      </c>
      <c r="AW5" s="25">
        <f t="shared" si="13"/>
        <v>3</v>
      </c>
      <c r="AX5" s="33">
        <f t="shared" si="14"/>
        <v>246.35667</v>
      </c>
      <c r="AY5" s="25">
        <f t="shared" si="15"/>
        <v>3</v>
      </c>
      <c r="AZ5" s="25">
        <f>ROUND(((AU5*AV5)+(AW5*AX5))/(AU5+AW5),5)</f>
        <v>246.35667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403</v>
      </c>
      <c r="BN5" t="s">
        <v>404</v>
      </c>
      <c r="BO5" s="25">
        <f>ROUND((((AW5*AZ5)+(BN5*BM5))/(AW5+BN5)),5)</f>
        <v>2746.29555</v>
      </c>
      <c r="BP5" s="31">
        <f t="shared" si="16"/>
        <v>298.013</v>
      </c>
      <c r="BQ5" s="32">
        <v>123562</v>
      </c>
    </row>
    <row r="6" ht="15.75" spans="1:69">
      <c r="A6" s="19">
        <v>1</v>
      </c>
      <c r="B6" s="19" t="s">
        <v>405</v>
      </c>
      <c r="C6" s="19" t="s">
        <v>405</v>
      </c>
      <c r="D6" s="19" t="s">
        <v>76</v>
      </c>
      <c r="E6" s="19" t="s">
        <v>95</v>
      </c>
      <c r="F6" s="20">
        <v>12</v>
      </c>
      <c r="G6" t="s">
        <v>239</v>
      </c>
      <c r="H6" s="20">
        <f t="shared" si="0"/>
        <v>600</v>
      </c>
      <c r="I6" t="s">
        <v>240</v>
      </c>
      <c r="J6" s="20">
        <v>7</v>
      </c>
      <c r="K6" s="20">
        <v>4</v>
      </c>
      <c r="L6" s="20">
        <f t="shared" si="1"/>
        <v>600</v>
      </c>
      <c r="M6" s="20">
        <f t="shared" si="2"/>
        <v>18</v>
      </c>
      <c r="N6" s="20">
        <f t="shared" si="3"/>
        <v>582</v>
      </c>
      <c r="O6" s="20">
        <f t="shared" si="4"/>
        <v>40.74</v>
      </c>
      <c r="P6" s="20">
        <f t="shared" si="5"/>
        <v>541.26</v>
      </c>
      <c r="Q6" s="20">
        <f t="shared" si="6"/>
        <v>21.65</v>
      </c>
      <c r="R6" s="20">
        <f t="shared" si="7"/>
        <v>80.39</v>
      </c>
      <c r="S6" s="20">
        <f t="shared" si="8"/>
        <v>519.61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93.53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9"/>
        <v>93.53</v>
      </c>
      <c r="AC6" s="20">
        <f>IF($V4=1,S6+AB6,S6)</f>
        <v>519.61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519.61</v>
      </c>
      <c r="AJ6" s="22">
        <f>IF($C$2=3,0,AG6+AH6)</f>
        <v>0</v>
      </c>
      <c r="AK6" s="22">
        <f>IF($C$2=3,AE6+AG6+AH6,0)</f>
        <v>0</v>
      </c>
      <c r="AL6" s="23">
        <v>3</v>
      </c>
      <c r="AM6" s="22">
        <f t="shared" si="10"/>
        <v>4</v>
      </c>
      <c r="AN6" s="22">
        <f>ROUND(AI6/AM6,5)</f>
        <v>129.9025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129.9025</v>
      </c>
      <c r="AS6" s="24" t="s">
        <v>120</v>
      </c>
      <c r="AT6" s="25" t="s">
        <v>76</v>
      </c>
      <c r="AU6" t="s">
        <v>85</v>
      </c>
      <c r="AV6" t="s">
        <v>406</v>
      </c>
      <c r="AW6" s="25">
        <f t="shared" si="13"/>
        <v>4</v>
      </c>
      <c r="AX6" s="25">
        <f t="shared" si="14"/>
        <v>129.9025</v>
      </c>
      <c r="AY6" s="25">
        <f t="shared" si="15"/>
        <v>4</v>
      </c>
      <c r="AZ6" s="25">
        <f>ROUND(((AU6*AV6)+(AW6*AX6))/(AU6+AW6),5)</f>
        <v>129.9025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>
        <v>407</v>
      </c>
      <c r="BN6" t="s">
        <v>408</v>
      </c>
      <c r="BO6" s="25">
        <f>ROUND((((AW6*AZ6)+(BN6*BM6))/(AW6+BN6)),5)</f>
        <v>2051.80601</v>
      </c>
      <c r="BP6" s="31">
        <f t="shared" si="16"/>
        <v>170.319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900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152.73</v>
      </c>
      <c r="S7" s="37">
        <f t="shared" si="17"/>
        <v>747.27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134.51</v>
      </c>
      <c r="Y7" s="39"/>
      <c r="Z7" s="39"/>
      <c r="AA7" s="39"/>
      <c r="AB7" s="38">
        <f t="shared" ref="AB7:AE7" si="18">SUM(AB4:AB4)</f>
        <v>134.51</v>
      </c>
      <c r="AC7" s="40">
        <f t="shared" si="18"/>
        <v>881.78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747.27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900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152.73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747.27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134.51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881.78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W1" workbookViewId="0">
      <selection activeCell="BL7" sqref="BL7"/>
    </sheetView>
  </sheetViews>
  <sheetFormatPr defaultColWidth="8.84761904761905" defaultRowHeight="15"/>
  <cols>
    <col min="2" max="2" width="28" customWidth="1"/>
    <col min="3" max="3" width="30" customWidth="1"/>
    <col min="29" max="29" width="9.28571428571429"/>
    <col min="52" max="52" width="10.7142857142857" customWidth="1"/>
    <col min="64" max="64" width="11" customWidth="1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398</v>
      </c>
      <c r="C4" s="19" t="s">
        <v>398</v>
      </c>
      <c r="D4" s="19" t="s">
        <v>76</v>
      </c>
      <c r="E4" s="19" t="s">
        <v>95</v>
      </c>
      <c r="F4" s="20">
        <v>3</v>
      </c>
      <c r="G4" t="s">
        <v>77</v>
      </c>
      <c r="H4" s="20">
        <f t="shared" ref="H4:H6" si="0">F4*G4</f>
        <v>450</v>
      </c>
      <c r="I4" t="s">
        <v>78</v>
      </c>
      <c r="J4" s="20">
        <v>8</v>
      </c>
      <c r="K4" s="20">
        <v>5</v>
      </c>
      <c r="L4" s="20">
        <f t="shared" ref="L4:L6" si="1">H4</f>
        <v>450</v>
      </c>
      <c r="M4" s="20">
        <f t="shared" ref="M4:M6" si="2">ROUND(L4*I4%,2)</f>
        <v>22.5</v>
      </c>
      <c r="N4" s="20">
        <f t="shared" ref="N4:N6" si="3">H4-M4</f>
        <v>427.5</v>
      </c>
      <c r="O4" s="20">
        <f t="shared" ref="O4:O6" si="4">ROUND(N4*J4%,2)</f>
        <v>34.2</v>
      </c>
      <c r="P4" s="20">
        <f t="shared" ref="P4:P6" si="5">ROUND(N4-O4,2)</f>
        <v>393.3</v>
      </c>
      <c r="Q4" s="20">
        <f t="shared" ref="Q4:Q6" si="6">ROUND(P4*K4%,2)</f>
        <v>19.67</v>
      </c>
      <c r="R4" s="20">
        <f t="shared" ref="R4:R6" si="7">M4+O4+Q4</f>
        <v>76.37</v>
      </c>
      <c r="S4" s="20">
        <f t="shared" ref="S4:S6" si="8">(H4-R4)</f>
        <v>373.63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67.25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67.25</v>
      </c>
      <c r="AC4" s="21">
        <f>IF($V2=1,S4+AB4,S4)</f>
        <v>373.63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373.63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10">F4/AL4</f>
        <v>1</v>
      </c>
      <c r="AN4" s="23">
        <f>ROUND(AI4/AM4,3)</f>
        <v>373.63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373.63</v>
      </c>
      <c r="AS4" s="24" t="s">
        <v>120</v>
      </c>
      <c r="AT4" s="25" t="s">
        <v>76</v>
      </c>
      <c r="AU4" t="s">
        <v>85</v>
      </c>
      <c r="AV4" t="s">
        <v>129</v>
      </c>
      <c r="AW4" s="25">
        <f t="shared" ref="AW4:AW6" si="13">AM4</f>
        <v>1</v>
      </c>
      <c r="AX4" s="26">
        <f t="shared" ref="AX4:AX6" si="14">AR4</f>
        <v>373.63</v>
      </c>
      <c r="AY4" s="25">
        <f t="shared" ref="AY4:AY6" si="15">AU4+AW4</f>
        <v>1</v>
      </c>
      <c r="AZ4" s="25">
        <f>ROUND(((AU4*AV4)+(AW4*AX4))/(AU4+AW4),5)</f>
        <v>373.63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409</v>
      </c>
      <c r="BN4" t="s">
        <v>410</v>
      </c>
      <c r="BO4" s="25">
        <f>ROUND((((AW4*AZ4)+(BN4*BM4))/(AW4+BN4)),5)</f>
        <v>2596.61611</v>
      </c>
      <c r="BP4" s="31">
        <f t="shared" ref="BP4:BP6" si="16">ROUND(BN4+AW4,3)</f>
        <v>35.999</v>
      </c>
      <c r="BQ4" s="32">
        <v>123562</v>
      </c>
    </row>
    <row r="5" ht="15.75" spans="1:69">
      <c r="A5" s="19">
        <v>1</v>
      </c>
      <c r="B5" s="19" t="s">
        <v>401</v>
      </c>
      <c r="C5" s="19" t="s">
        <v>401</v>
      </c>
      <c r="D5" s="19" t="s">
        <v>76</v>
      </c>
      <c r="E5" s="19" t="s">
        <v>95</v>
      </c>
      <c r="F5" s="20">
        <v>6</v>
      </c>
      <c r="G5" t="s">
        <v>87</v>
      </c>
      <c r="H5" s="20">
        <f t="shared" si="0"/>
        <v>600</v>
      </c>
      <c r="I5" t="s">
        <v>88</v>
      </c>
      <c r="J5" s="20">
        <v>9</v>
      </c>
      <c r="K5" s="20">
        <v>6</v>
      </c>
      <c r="L5" s="20">
        <f t="shared" si="1"/>
        <v>600</v>
      </c>
      <c r="M5" s="20">
        <f t="shared" si="2"/>
        <v>24</v>
      </c>
      <c r="N5" s="20">
        <f t="shared" si="3"/>
        <v>576</v>
      </c>
      <c r="O5" s="20">
        <f t="shared" si="4"/>
        <v>51.84</v>
      </c>
      <c r="P5" s="20">
        <f t="shared" si="5"/>
        <v>524.16</v>
      </c>
      <c r="Q5" s="20">
        <f t="shared" si="6"/>
        <v>31.45</v>
      </c>
      <c r="R5" s="20">
        <f t="shared" si="7"/>
        <v>107.29</v>
      </c>
      <c r="S5" s="20">
        <f t="shared" si="8"/>
        <v>492.71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88.69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9"/>
        <v>88.69</v>
      </c>
      <c r="AC5" s="20">
        <f>IF($V3=1,S5+AB5,S5)</f>
        <v>492.71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492.71</v>
      </c>
      <c r="AJ5" s="22">
        <f>IF($C$2=3,0,AG5+AH5)</f>
        <v>0</v>
      </c>
      <c r="AK5" s="22">
        <f>IF($C$2=3,AE5+AG5+AH5,0)</f>
        <v>0</v>
      </c>
      <c r="AL5" s="23">
        <v>3</v>
      </c>
      <c r="AM5" s="22">
        <f t="shared" si="10"/>
        <v>2</v>
      </c>
      <c r="AN5" s="22">
        <f>ROUND(AI5/AM5,5)</f>
        <v>246.355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246.355</v>
      </c>
      <c r="AS5" s="24" t="s">
        <v>120</v>
      </c>
      <c r="AT5" s="25" t="s">
        <v>76</v>
      </c>
      <c r="AU5" t="s">
        <v>85</v>
      </c>
      <c r="AV5" t="s">
        <v>126</v>
      </c>
      <c r="AW5" s="25">
        <f t="shared" si="13"/>
        <v>2</v>
      </c>
      <c r="AX5" s="33">
        <f t="shared" si="14"/>
        <v>246.355</v>
      </c>
      <c r="AY5" s="25">
        <f t="shared" si="15"/>
        <v>2</v>
      </c>
      <c r="AZ5" s="25">
        <f>ROUND(((AU5*AV5)+(AW5*AX5))/(AU5+AW5),5)</f>
        <v>246.355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411</v>
      </c>
      <c r="BN5" t="s">
        <v>412</v>
      </c>
      <c r="BO5" s="25">
        <f>ROUND((((AW5*AZ5)+(BN5*BM5))/(AW5+BN5)),5)</f>
        <v>246.35976</v>
      </c>
      <c r="BP5" s="31">
        <f t="shared" si="16"/>
        <v>41.001</v>
      </c>
      <c r="BQ5" s="32">
        <v>123562</v>
      </c>
    </row>
    <row r="6" ht="15.75" spans="1:69">
      <c r="A6" s="19">
        <v>1</v>
      </c>
      <c r="B6" s="19" t="s">
        <v>405</v>
      </c>
      <c r="C6" s="19" t="s">
        <v>405</v>
      </c>
      <c r="D6" s="19" t="s">
        <v>76</v>
      </c>
      <c r="E6" s="19" t="s">
        <v>95</v>
      </c>
      <c r="F6" s="20">
        <v>12</v>
      </c>
      <c r="G6" t="s">
        <v>239</v>
      </c>
      <c r="H6" s="20">
        <f t="shared" si="0"/>
        <v>600</v>
      </c>
      <c r="I6" t="s">
        <v>240</v>
      </c>
      <c r="J6" s="20">
        <v>7</v>
      </c>
      <c r="K6" s="20">
        <v>4</v>
      </c>
      <c r="L6" s="20">
        <f t="shared" si="1"/>
        <v>600</v>
      </c>
      <c r="M6" s="20">
        <f t="shared" si="2"/>
        <v>18</v>
      </c>
      <c r="N6" s="20">
        <f t="shared" si="3"/>
        <v>582</v>
      </c>
      <c r="O6" s="20">
        <f t="shared" si="4"/>
        <v>40.74</v>
      </c>
      <c r="P6" s="20">
        <f t="shared" si="5"/>
        <v>541.26</v>
      </c>
      <c r="Q6" s="20">
        <f t="shared" si="6"/>
        <v>21.65</v>
      </c>
      <c r="R6" s="20">
        <f t="shared" si="7"/>
        <v>80.39</v>
      </c>
      <c r="S6" s="20">
        <f t="shared" si="8"/>
        <v>519.61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93.53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9"/>
        <v>93.53</v>
      </c>
      <c r="AC6" s="20">
        <f>IF($V4=1,S6+AB6,S6)</f>
        <v>519.61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519.61</v>
      </c>
      <c r="AJ6" s="22">
        <f>IF($C$2=3,0,AG6+AH6)</f>
        <v>0</v>
      </c>
      <c r="AK6" s="22">
        <f>IF($C$2=3,AE6+AG6+AH6,0)</f>
        <v>0</v>
      </c>
      <c r="AL6" s="23">
        <v>3</v>
      </c>
      <c r="AM6" s="22">
        <f t="shared" si="10"/>
        <v>4</v>
      </c>
      <c r="AN6" s="22">
        <f>ROUND(AI6/AM6,5)</f>
        <v>129.9025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129.9025</v>
      </c>
      <c r="AS6" s="24" t="s">
        <v>120</v>
      </c>
      <c r="AT6" s="25" t="s">
        <v>76</v>
      </c>
      <c r="AU6" t="s">
        <v>85</v>
      </c>
      <c r="AV6" t="s">
        <v>406</v>
      </c>
      <c r="AW6" s="25">
        <f t="shared" si="13"/>
        <v>4</v>
      </c>
      <c r="AX6" s="25">
        <f t="shared" si="14"/>
        <v>129.9025</v>
      </c>
      <c r="AY6" s="25">
        <f t="shared" si="15"/>
        <v>4</v>
      </c>
      <c r="AZ6" s="25">
        <f>ROUND(((AU6*AV6)+(AW6*AX6))/(AU6+AW6),5)</f>
        <v>129.9025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>
        <v>413</v>
      </c>
      <c r="BN6" t="s">
        <v>414</v>
      </c>
      <c r="BO6" s="25">
        <f>ROUND((((AW6*AZ6)+(BN6*BM6))/(AW6+BN6)),5)</f>
        <v>129.90033</v>
      </c>
      <c r="BP6" s="31">
        <f t="shared" si="16"/>
        <v>30.331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450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76.37</v>
      </c>
      <c r="S7" s="37">
        <f t="shared" si="17"/>
        <v>373.63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67.25</v>
      </c>
      <c r="Y7" s="39"/>
      <c r="Z7" s="39"/>
      <c r="AA7" s="39"/>
      <c r="AB7" s="38">
        <f t="shared" ref="AB7:AE7" si="18">SUM(AB4:AB4)</f>
        <v>67.25</v>
      </c>
      <c r="AC7" s="40">
        <f t="shared" si="18"/>
        <v>373.63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373.63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450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76.37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373.63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67.25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440.88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K1" workbookViewId="0">
      <selection activeCell="AX12" sqref="AX12"/>
    </sheetView>
  </sheetViews>
  <sheetFormatPr defaultColWidth="8.84761904761905" defaultRowHeight="15"/>
  <cols>
    <col min="2" max="2" width="28" customWidth="1"/>
    <col min="3" max="3" width="30" customWidth="1"/>
    <col min="12" max="12" width="14.2857142857143" customWidth="1"/>
    <col min="35" max="35" width="11.4285714285714"/>
    <col min="40" max="40" width="22" customWidth="1"/>
    <col min="44" max="44" width="11.4285714285714" customWidth="1"/>
    <col min="48" max="48" width="10.5714285714286"/>
    <col min="50" max="50" width="16.7142857142857" customWidth="1"/>
    <col min="52" max="52" width="19.4285714285714" customWidth="1"/>
    <col min="64" max="64" width="11" customWidth="1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46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398</v>
      </c>
      <c r="C4" s="19" t="s">
        <v>398</v>
      </c>
      <c r="D4" s="19" t="s">
        <v>76</v>
      </c>
      <c r="E4" s="19" t="s">
        <v>95</v>
      </c>
      <c r="F4" s="20">
        <v>3</v>
      </c>
      <c r="G4" t="s">
        <v>239</v>
      </c>
      <c r="H4" s="20">
        <f t="shared" ref="H4:H6" si="0">F4*G4</f>
        <v>150</v>
      </c>
      <c r="I4" t="s">
        <v>85</v>
      </c>
      <c r="J4" s="20">
        <v>8</v>
      </c>
      <c r="K4" s="20">
        <v>5</v>
      </c>
      <c r="L4" s="20">
        <v>0</v>
      </c>
      <c r="M4" s="20">
        <f t="shared" ref="M4:M6" si="1">ROUND(L4*I4%,2)</f>
        <v>0</v>
      </c>
      <c r="N4" s="20">
        <f t="shared" ref="N4:N6" si="2">H4-M4</f>
        <v>150</v>
      </c>
      <c r="O4" s="20">
        <f t="shared" ref="O4:O6" si="3">ROUND(N4*J4%,2)</f>
        <v>12</v>
      </c>
      <c r="P4" s="20">
        <f t="shared" ref="P4:P6" si="4">ROUND(N4-O4,2)</f>
        <v>138</v>
      </c>
      <c r="Q4" s="20">
        <f t="shared" ref="Q4:Q6" si="5">ROUND(P4*K4%,2)</f>
        <v>6.9</v>
      </c>
      <c r="R4" s="20">
        <f t="shared" ref="R4:R6" si="6">M4+O4+Q4</f>
        <v>18.9</v>
      </c>
      <c r="S4" s="20">
        <f t="shared" ref="S4:S6" si="7">(H4-R4)</f>
        <v>131.1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8">V4+W4+X4+Y4+AA4</f>
        <v>0</v>
      </c>
      <c r="AC4" s="21">
        <f>IF($V2=1,S4+AB4,S4)</f>
        <v>131.1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11143.5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9">F4/AL4</f>
        <v>1</v>
      </c>
      <c r="AN4" s="23">
        <f>ROUND(AI4/AM4,3)</f>
        <v>11143.5</v>
      </c>
      <c r="AO4" s="22">
        <f t="shared" ref="AO4:AO6" si="10">AJ4/AM4</f>
        <v>0</v>
      </c>
      <c r="AP4" s="22">
        <f t="shared" ref="AP4:AP6" si="11">AK4/AM4</f>
        <v>0</v>
      </c>
      <c r="AQ4" s="22" t="s">
        <v>76</v>
      </c>
      <c r="AR4" s="23">
        <f>ROUND(AN4+AO4+AP4,3)</f>
        <v>11143.5</v>
      </c>
      <c r="AS4" s="24" t="s">
        <v>120</v>
      </c>
      <c r="AT4" s="25" t="s">
        <v>76</v>
      </c>
      <c r="AU4" t="s">
        <v>85</v>
      </c>
      <c r="AV4" t="s">
        <v>415</v>
      </c>
      <c r="AW4" s="25">
        <f t="shared" ref="AW4:AW6" si="12">AM4</f>
        <v>1</v>
      </c>
      <c r="AX4" s="26">
        <f t="shared" ref="AX4:AX6" si="13">AR4</f>
        <v>11143.5</v>
      </c>
      <c r="AY4" s="25">
        <f t="shared" ref="AY4:AY6" si="14">AU4+AW4</f>
        <v>1</v>
      </c>
      <c r="AZ4" s="25">
        <f>ROUND(((AU4*AV4)+(AW4*AX4))/(AU4+AW4),5)</f>
        <v>11143.5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416</v>
      </c>
      <c r="BN4" t="s">
        <v>417</v>
      </c>
      <c r="BO4" s="25">
        <f>ROUND((((AW4*AZ4)+(BN4*BM4))/(AW4+BN4)),5)</f>
        <v>3257.77182</v>
      </c>
      <c r="BP4" s="31">
        <f t="shared" ref="BP4:BP6" si="15">ROUND(BN4+AW4,3)</f>
        <v>147.662</v>
      </c>
      <c r="BQ4" s="32">
        <v>123562</v>
      </c>
    </row>
    <row r="5" ht="15.75" spans="1:69">
      <c r="A5" s="19">
        <v>1</v>
      </c>
      <c r="B5" s="19" t="s">
        <v>401</v>
      </c>
      <c r="C5" s="19" t="s">
        <v>401</v>
      </c>
      <c r="D5" s="19" t="s">
        <v>76</v>
      </c>
      <c r="E5" s="19" t="s">
        <v>95</v>
      </c>
      <c r="F5" s="20">
        <v>12</v>
      </c>
      <c r="G5" t="s">
        <v>87</v>
      </c>
      <c r="H5" s="20">
        <f t="shared" si="0"/>
        <v>1200</v>
      </c>
      <c r="I5" t="s">
        <v>88</v>
      </c>
      <c r="J5" s="20">
        <v>9</v>
      </c>
      <c r="K5" s="20">
        <v>6</v>
      </c>
      <c r="L5" s="20">
        <f>H5</f>
        <v>1200</v>
      </c>
      <c r="M5" s="20">
        <f t="shared" si="1"/>
        <v>48</v>
      </c>
      <c r="N5" s="20">
        <f t="shared" si="2"/>
        <v>1152</v>
      </c>
      <c r="O5" s="20">
        <f t="shared" si="3"/>
        <v>103.68</v>
      </c>
      <c r="P5" s="20">
        <f t="shared" si="4"/>
        <v>1048.32</v>
      </c>
      <c r="Q5" s="20">
        <f t="shared" si="5"/>
        <v>62.9</v>
      </c>
      <c r="R5" s="20">
        <f t="shared" si="6"/>
        <v>214.58</v>
      </c>
      <c r="S5" s="20">
        <f t="shared" si="7"/>
        <v>985.42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0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8"/>
        <v>0</v>
      </c>
      <c r="AC5" s="20">
        <f>IF($V3=1,S5+AB5,S5)</f>
        <v>985.42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83760.7</v>
      </c>
      <c r="AJ5" s="22">
        <f>IF($C$2=3,0,AG5+AH5)</f>
        <v>0</v>
      </c>
      <c r="AK5" s="22">
        <f>IF($C$2=3,AE5+AG5+AH5,0)</f>
        <v>0</v>
      </c>
      <c r="AL5" s="23">
        <v>3</v>
      </c>
      <c r="AM5" s="22">
        <f t="shared" si="9"/>
        <v>4</v>
      </c>
      <c r="AN5" s="22">
        <f>ROUND(AI5/AM5,5)</f>
        <v>20940.175</v>
      </c>
      <c r="AO5" s="22">
        <f t="shared" si="10"/>
        <v>0</v>
      </c>
      <c r="AP5" s="22">
        <f t="shared" si="11"/>
        <v>0</v>
      </c>
      <c r="AQ5" s="22" t="s">
        <v>76</v>
      </c>
      <c r="AR5" s="22">
        <f>ROUND(AN5+AO5+AP5,5)</f>
        <v>20940.175</v>
      </c>
      <c r="AS5" s="24" t="s">
        <v>120</v>
      </c>
      <c r="AT5" s="25" t="s">
        <v>76</v>
      </c>
      <c r="AU5" t="s">
        <v>85</v>
      </c>
      <c r="AV5" t="s">
        <v>418</v>
      </c>
      <c r="AW5" s="25">
        <f t="shared" si="12"/>
        <v>4</v>
      </c>
      <c r="AX5" s="33">
        <f t="shared" si="13"/>
        <v>20940.175</v>
      </c>
      <c r="AY5" s="25">
        <f t="shared" si="14"/>
        <v>4</v>
      </c>
      <c r="AZ5" s="25">
        <f>ROUND(((AU5*AV5)+(AW5*AX5))/(AU5+AW5),5)</f>
        <v>20940.175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419</v>
      </c>
      <c r="BN5" t="s">
        <v>420</v>
      </c>
      <c r="BO5" s="25">
        <f>ROUND((((AW5*AZ5)+(BN5*BM5))/(AW5+BN5)),5)</f>
        <v>3008.32225</v>
      </c>
      <c r="BP5" s="31">
        <f t="shared" si="15"/>
        <v>216.343</v>
      </c>
      <c r="BQ5" s="32">
        <v>123562</v>
      </c>
    </row>
    <row r="6" ht="15.75" spans="1:69">
      <c r="A6" s="19">
        <v>1</v>
      </c>
      <c r="B6" s="19" t="s">
        <v>405</v>
      </c>
      <c r="C6" s="19" t="s">
        <v>405</v>
      </c>
      <c r="D6" s="19" t="s">
        <v>76</v>
      </c>
      <c r="E6" s="19" t="s">
        <v>95</v>
      </c>
      <c r="F6" s="20">
        <v>9</v>
      </c>
      <c r="G6" t="s">
        <v>239</v>
      </c>
      <c r="H6" s="20">
        <f t="shared" si="0"/>
        <v>450</v>
      </c>
      <c r="I6" t="s">
        <v>240</v>
      </c>
      <c r="J6" s="20">
        <v>7</v>
      </c>
      <c r="K6" s="20">
        <v>4</v>
      </c>
      <c r="L6" s="20">
        <f t="shared" ref="L4:L6" si="16">H6</f>
        <v>450</v>
      </c>
      <c r="M6" s="20">
        <f t="shared" si="1"/>
        <v>13.5</v>
      </c>
      <c r="N6" s="20">
        <f t="shared" si="2"/>
        <v>436.5</v>
      </c>
      <c r="O6" s="20">
        <f t="shared" si="3"/>
        <v>30.56</v>
      </c>
      <c r="P6" s="20">
        <f t="shared" si="4"/>
        <v>405.94</v>
      </c>
      <c r="Q6" s="20">
        <f t="shared" si="5"/>
        <v>16.24</v>
      </c>
      <c r="R6" s="20">
        <f t="shared" si="6"/>
        <v>60.3</v>
      </c>
      <c r="S6" s="20">
        <f t="shared" si="7"/>
        <v>389.7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0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8"/>
        <v>0</v>
      </c>
      <c r="AC6" s="20">
        <f>IF($V4=1,S6+AB6,S6)</f>
        <v>389.7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33124.5</v>
      </c>
      <c r="AJ6" s="22">
        <f>IF($C$2=3,0,AG6+AH6)</f>
        <v>0</v>
      </c>
      <c r="AK6" s="22">
        <f>IF($C$2=3,AE6+AG6+AH6,0)</f>
        <v>0</v>
      </c>
      <c r="AL6" s="23">
        <v>3</v>
      </c>
      <c r="AM6" s="22">
        <f t="shared" si="9"/>
        <v>3</v>
      </c>
      <c r="AN6" s="22">
        <f>ROUND(AI6/AM6,5)</f>
        <v>11041.5</v>
      </c>
      <c r="AO6" s="22">
        <f t="shared" si="10"/>
        <v>0</v>
      </c>
      <c r="AP6" s="22">
        <f t="shared" si="11"/>
        <v>0</v>
      </c>
      <c r="AQ6" s="22" t="s">
        <v>76</v>
      </c>
      <c r="AR6" s="22">
        <f>ROUND(AN6+AO6+AP6,5)</f>
        <v>11041.5</v>
      </c>
      <c r="AS6" s="24" t="s">
        <v>120</v>
      </c>
      <c r="AT6" s="25" t="s">
        <v>76</v>
      </c>
      <c r="AU6" t="s">
        <v>85</v>
      </c>
      <c r="AV6" t="s">
        <v>421</v>
      </c>
      <c r="AW6" s="25">
        <f t="shared" si="12"/>
        <v>3</v>
      </c>
      <c r="AX6" s="25">
        <f t="shared" si="13"/>
        <v>11041.5</v>
      </c>
      <c r="AY6" s="25">
        <f t="shared" si="14"/>
        <v>3</v>
      </c>
      <c r="AZ6" s="25">
        <f>ROUND(((AU6*AV6)+(AW6*AX6))/(AU6+AW6),5)</f>
        <v>11041.5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>
        <v>422</v>
      </c>
      <c r="BN6" t="s">
        <v>423</v>
      </c>
      <c r="BO6" s="25">
        <f>ROUND((((AW6*AZ6)+(BN6*BM6))/(AW6+BN6)),5)</f>
        <v>1039.22353</v>
      </c>
      <c r="BP6" s="31">
        <f t="shared" si="15"/>
        <v>115.989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18.9</v>
      </c>
      <c r="S7" s="37">
        <f t="shared" si="17"/>
        <v>131.1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0</v>
      </c>
      <c r="Y7" s="39"/>
      <c r="Z7" s="39"/>
      <c r="AA7" s="39"/>
      <c r="AB7" s="38">
        <f t="shared" ref="AB7:AE7" si="18">SUM(AB4:AB4)</f>
        <v>0</v>
      </c>
      <c r="AC7" s="40">
        <f t="shared" si="18"/>
        <v>131.1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11143.5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18.9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131.1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131.1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O1" workbookViewId="0">
      <selection activeCell="AZ6" sqref="AZ6"/>
    </sheetView>
  </sheetViews>
  <sheetFormatPr defaultColWidth="8.84761904761905" defaultRowHeight="15"/>
  <cols>
    <col min="2" max="2" width="28" customWidth="1"/>
    <col min="3" max="3" width="30" customWidth="1"/>
    <col min="29" max="29" width="9.28571428571429"/>
    <col min="52" max="52" width="10.7142857142857" customWidth="1"/>
    <col min="64" max="64" width="11" customWidth="1"/>
    <col min="67" max="67" width="12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424</v>
      </c>
      <c r="C4" s="19" t="s">
        <v>424</v>
      </c>
      <c r="D4" s="19" t="s">
        <v>76</v>
      </c>
      <c r="E4" s="19" t="s">
        <v>95</v>
      </c>
      <c r="F4" s="20">
        <v>3</v>
      </c>
      <c r="G4" t="s">
        <v>77</v>
      </c>
      <c r="H4" s="20">
        <f t="shared" ref="H4:H6" si="0">F4*G4</f>
        <v>450</v>
      </c>
      <c r="I4" t="s">
        <v>78</v>
      </c>
      <c r="J4" s="20">
        <v>8</v>
      </c>
      <c r="K4" s="20">
        <v>5</v>
      </c>
      <c r="L4" s="20">
        <f t="shared" ref="L4:L6" si="1">H4</f>
        <v>450</v>
      </c>
      <c r="M4" s="20">
        <f t="shared" ref="M4:M6" si="2">ROUND(L4*I4%,2)</f>
        <v>22.5</v>
      </c>
      <c r="N4" s="20">
        <f t="shared" ref="N4:N6" si="3">H4-M4</f>
        <v>427.5</v>
      </c>
      <c r="O4" s="20">
        <f t="shared" ref="O4:O6" si="4">ROUND(N4*J4%,2)</f>
        <v>34.2</v>
      </c>
      <c r="P4" s="20">
        <f t="shared" ref="P4:P6" si="5">ROUND(N4-O4,2)</f>
        <v>393.3</v>
      </c>
      <c r="Q4" s="20">
        <f t="shared" ref="Q4:Q6" si="6">ROUND(P4*K4%,2)</f>
        <v>19.67</v>
      </c>
      <c r="R4" s="20">
        <f t="shared" ref="R4:R6" si="7">M4+O4+Q4</f>
        <v>76.37</v>
      </c>
      <c r="S4" s="20">
        <f t="shared" ref="S4:S6" si="8">(H4-R4)</f>
        <v>373.63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67.25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67.25</v>
      </c>
      <c r="AC4" s="21">
        <f>IF($V2=1,S4+AB4,S4)</f>
        <v>440.88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373.63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10">F4/AL4</f>
        <v>1</v>
      </c>
      <c r="AN4" s="23">
        <f>ROUND(AI4/AM4,3)</f>
        <v>373.63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373.63</v>
      </c>
      <c r="AS4" s="24" t="s">
        <v>120</v>
      </c>
      <c r="AT4" s="25" t="s">
        <v>76</v>
      </c>
      <c r="AU4" t="s">
        <v>85</v>
      </c>
      <c r="AV4" t="s">
        <v>129</v>
      </c>
      <c r="AW4" s="25">
        <f t="shared" ref="AW4:AW6" si="13">AM4</f>
        <v>1</v>
      </c>
      <c r="AX4" s="26">
        <f t="shared" ref="AX4:AX6" si="14">AR4</f>
        <v>373.63</v>
      </c>
      <c r="AY4" s="25">
        <f t="shared" ref="AY4:AY6" si="15">AU4+AW4</f>
        <v>1</v>
      </c>
      <c r="AZ4" s="25">
        <f>ROUND(((AU4*AV4)+(AW4*AX4))/(AU4+AW4),5)</f>
        <v>373.63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425</v>
      </c>
      <c r="BN4" t="s">
        <v>426</v>
      </c>
      <c r="BO4" s="25">
        <f>ROUND((((AW4*AZ4)+(BN4*BM4))/(AW4+BN4)),5)</f>
        <v>373.63385</v>
      </c>
      <c r="BP4" s="31">
        <f t="shared" ref="BP4:BP6" si="16">ROUND(BN4+AW4,3)</f>
        <v>4.333</v>
      </c>
      <c r="BQ4" s="32">
        <v>123562</v>
      </c>
    </row>
    <row r="5" ht="15.75" spans="1:69">
      <c r="A5" s="19">
        <v>1</v>
      </c>
      <c r="B5" s="19" t="s">
        <v>427</v>
      </c>
      <c r="C5" s="19" t="s">
        <v>427</v>
      </c>
      <c r="D5" s="19" t="s">
        <v>76</v>
      </c>
      <c r="E5" s="19" t="s">
        <v>95</v>
      </c>
      <c r="F5" s="20">
        <v>6</v>
      </c>
      <c r="G5" t="s">
        <v>87</v>
      </c>
      <c r="H5" s="20">
        <f t="shared" si="0"/>
        <v>600</v>
      </c>
      <c r="I5" t="s">
        <v>88</v>
      </c>
      <c r="J5" s="20">
        <v>9</v>
      </c>
      <c r="K5" s="20">
        <v>6</v>
      </c>
      <c r="L5" s="20">
        <f t="shared" si="1"/>
        <v>600</v>
      </c>
      <c r="M5" s="20">
        <f t="shared" si="2"/>
        <v>24</v>
      </c>
      <c r="N5" s="20">
        <f t="shared" si="3"/>
        <v>576</v>
      </c>
      <c r="O5" s="20">
        <f t="shared" si="4"/>
        <v>51.84</v>
      </c>
      <c r="P5" s="20">
        <f t="shared" si="5"/>
        <v>524.16</v>
      </c>
      <c r="Q5" s="20">
        <f t="shared" si="6"/>
        <v>31.45</v>
      </c>
      <c r="R5" s="20">
        <f t="shared" si="7"/>
        <v>107.29</v>
      </c>
      <c r="S5" s="20">
        <f t="shared" si="8"/>
        <v>492.71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88.69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9"/>
        <v>88.69</v>
      </c>
      <c r="AC5" s="20">
        <f>IF($V3=1,S5+AB5,S5)</f>
        <v>492.71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492.71</v>
      </c>
      <c r="AJ5" s="22">
        <f>IF($C$2=3,0,AG5+AH5)</f>
        <v>0</v>
      </c>
      <c r="AK5" s="22">
        <f>IF($C$2=3,AE5+AG5+AH5,0)</f>
        <v>0</v>
      </c>
      <c r="AL5" s="23">
        <v>3</v>
      </c>
      <c r="AM5" s="22">
        <f t="shared" si="10"/>
        <v>2</v>
      </c>
      <c r="AN5" s="22">
        <f>ROUND(AI5/AM5,5)</f>
        <v>246.355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246.355</v>
      </c>
      <c r="AS5" s="24" t="s">
        <v>120</v>
      </c>
      <c r="AT5" s="25" t="s">
        <v>76</v>
      </c>
      <c r="AU5" t="s">
        <v>85</v>
      </c>
      <c r="AV5" t="s">
        <v>126</v>
      </c>
      <c r="AW5" s="25">
        <f t="shared" si="13"/>
        <v>2</v>
      </c>
      <c r="AX5" s="33">
        <f t="shared" si="14"/>
        <v>246.355</v>
      </c>
      <c r="AY5" s="25">
        <f t="shared" si="15"/>
        <v>2</v>
      </c>
      <c r="AZ5" s="25">
        <f>ROUND(((AU5*AV5)+(AW5*AX5))/(AU5+AW5),5)</f>
        <v>246.355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428</v>
      </c>
      <c r="BN5" t="s">
        <v>429</v>
      </c>
      <c r="BO5" s="25">
        <f>ROUND((((AW5*AZ5)+(BN5*BM5))/(AW5+BN5)),5)</f>
        <v>246.35885</v>
      </c>
      <c r="BP5" s="31">
        <f t="shared" si="16"/>
        <v>8.667</v>
      </c>
      <c r="BQ5" s="32">
        <v>123562</v>
      </c>
    </row>
    <row r="6" ht="15.75" spans="1:69">
      <c r="A6" s="19">
        <v>1</v>
      </c>
      <c r="B6" s="19" t="s">
        <v>430</v>
      </c>
      <c r="C6" s="19" t="s">
        <v>430</v>
      </c>
      <c r="D6" s="19" t="s">
        <v>76</v>
      </c>
      <c r="E6" s="19" t="s">
        <v>95</v>
      </c>
      <c r="F6" s="20">
        <v>12</v>
      </c>
      <c r="G6" t="s">
        <v>239</v>
      </c>
      <c r="H6" s="20">
        <f t="shared" si="0"/>
        <v>600</v>
      </c>
      <c r="I6" t="s">
        <v>240</v>
      </c>
      <c r="J6" s="20">
        <v>7</v>
      </c>
      <c r="K6" s="20">
        <v>4</v>
      </c>
      <c r="L6" s="20">
        <f t="shared" si="1"/>
        <v>600</v>
      </c>
      <c r="M6" s="20">
        <f t="shared" si="2"/>
        <v>18</v>
      </c>
      <c r="N6" s="20">
        <f t="shared" si="3"/>
        <v>582</v>
      </c>
      <c r="O6" s="20">
        <f t="shared" si="4"/>
        <v>40.74</v>
      </c>
      <c r="P6" s="20">
        <f t="shared" si="5"/>
        <v>541.26</v>
      </c>
      <c r="Q6" s="20">
        <f t="shared" si="6"/>
        <v>21.65</v>
      </c>
      <c r="R6" s="20">
        <f t="shared" si="7"/>
        <v>80.39</v>
      </c>
      <c r="S6" s="20">
        <f t="shared" si="8"/>
        <v>519.61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93.53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9"/>
        <v>93.53</v>
      </c>
      <c r="AC6" s="20">
        <f>IF($V4=1,S6+AB6,S6)</f>
        <v>519.61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519.61</v>
      </c>
      <c r="AJ6" s="22">
        <f>IF($C$2=3,0,AG6+AH6)</f>
        <v>0</v>
      </c>
      <c r="AK6" s="22">
        <f>IF($C$2=3,AE6+AG6+AH6,0)</f>
        <v>0</v>
      </c>
      <c r="AL6" s="23">
        <v>3</v>
      </c>
      <c r="AM6" s="22">
        <f t="shared" si="10"/>
        <v>4</v>
      </c>
      <c r="AN6" s="22">
        <f>ROUND(AI6/AM6,5)</f>
        <v>129.9025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129.9025</v>
      </c>
      <c r="AS6" s="24" t="s">
        <v>120</v>
      </c>
      <c r="AT6" s="25" t="s">
        <v>76</v>
      </c>
      <c r="AU6" t="s">
        <v>85</v>
      </c>
      <c r="AV6" t="s">
        <v>406</v>
      </c>
      <c r="AW6" s="25">
        <f t="shared" si="13"/>
        <v>4</v>
      </c>
      <c r="AX6" s="25">
        <f t="shared" si="14"/>
        <v>129.9025</v>
      </c>
      <c r="AY6" s="25">
        <f t="shared" si="15"/>
        <v>4</v>
      </c>
      <c r="AZ6" s="25">
        <f>ROUND(((AU6*AV6)+(AW6*AX6))/(AU6+AW6),5)</f>
        <v>129.9025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>
        <v>431</v>
      </c>
      <c r="BN6" t="s">
        <v>432</v>
      </c>
      <c r="BO6" s="25">
        <f>ROUND((((AW6*AZ6)+(BN6*BM6))/(AW6+BN6)),5)</f>
        <v>129.90136</v>
      </c>
      <c r="BP6" s="31">
        <f t="shared" si="16"/>
        <v>7.333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450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76.37</v>
      </c>
      <c r="S7" s="37">
        <f t="shared" si="17"/>
        <v>373.63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67.25</v>
      </c>
      <c r="Y7" s="39"/>
      <c r="Z7" s="39"/>
      <c r="AA7" s="39"/>
      <c r="AB7" s="38">
        <f t="shared" ref="AB7:AE7" si="18">SUM(AB4:AB4)</f>
        <v>67.25</v>
      </c>
      <c r="AC7" s="40">
        <f t="shared" si="18"/>
        <v>440.88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373.63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450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76.37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373.63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67.25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440.88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H1" workbookViewId="0">
      <selection activeCell="AZ13" sqref="AZ13"/>
    </sheetView>
  </sheetViews>
  <sheetFormatPr defaultColWidth="8.84761904761905" defaultRowHeight="15"/>
  <cols>
    <col min="2" max="2" width="28" customWidth="1"/>
    <col min="3" max="3" width="30" customWidth="1"/>
    <col min="29" max="29" width="9.28571428571429"/>
    <col min="52" max="52" width="10.7142857142857" customWidth="1"/>
    <col min="64" max="64" width="11" customWidth="1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433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424</v>
      </c>
      <c r="C4" s="19" t="s">
        <v>424</v>
      </c>
      <c r="D4" s="19" t="s">
        <v>76</v>
      </c>
      <c r="E4" s="19" t="s">
        <v>95</v>
      </c>
      <c r="F4" s="20">
        <v>3</v>
      </c>
      <c r="G4" t="s">
        <v>77</v>
      </c>
      <c r="H4" s="20">
        <f t="shared" ref="H4:H6" si="0">F4*G4</f>
        <v>450</v>
      </c>
      <c r="I4" t="s">
        <v>78</v>
      </c>
      <c r="J4" s="20">
        <v>8</v>
      </c>
      <c r="K4" s="20">
        <v>5</v>
      </c>
      <c r="L4" s="20">
        <f t="shared" ref="L4:L6" si="1">H4</f>
        <v>450</v>
      </c>
      <c r="M4" s="20">
        <f t="shared" ref="M4:M6" si="2">ROUND(L4*I4%,2)</f>
        <v>22.5</v>
      </c>
      <c r="N4" s="20">
        <f t="shared" ref="N4:N6" si="3">H4-M4</f>
        <v>427.5</v>
      </c>
      <c r="O4" s="20">
        <f t="shared" ref="O4:O6" si="4">ROUND(N4*J4%,2)</f>
        <v>34.2</v>
      </c>
      <c r="P4" s="20">
        <f t="shared" ref="P4:P6" si="5">ROUND(N4-O4,2)</f>
        <v>393.3</v>
      </c>
      <c r="Q4" s="20">
        <f t="shared" ref="Q4:Q6" si="6">ROUND(P4*K4%,2)</f>
        <v>19.67</v>
      </c>
      <c r="R4" s="20">
        <f t="shared" ref="R4:R6" si="7">M4+O4+Q4</f>
        <v>76.37</v>
      </c>
      <c r="S4" s="20">
        <f t="shared" ref="S4:S6" si="8">(H4-R4)</f>
        <v>373.63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67.25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67.25</v>
      </c>
      <c r="AC4" s="21">
        <f>IF($V2=1,S4+AB4,S4)</f>
        <v>373.63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373.63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10">F4/AL4</f>
        <v>1</v>
      </c>
      <c r="AN4" s="23">
        <f>ROUND(AI4/AM4,3)</f>
        <v>373.63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373.63</v>
      </c>
      <c r="AS4" s="24" t="s">
        <v>120</v>
      </c>
      <c r="AT4" s="25" t="s">
        <v>76</v>
      </c>
      <c r="AU4" t="s">
        <v>85</v>
      </c>
      <c r="AV4" t="s">
        <v>129</v>
      </c>
      <c r="AW4" s="25">
        <f t="shared" ref="AW4:AW6" si="13">AM4</f>
        <v>1</v>
      </c>
      <c r="AX4" s="26">
        <f t="shared" ref="AX4:AX6" si="14">AR4</f>
        <v>373.63</v>
      </c>
      <c r="AY4" s="25">
        <f t="shared" ref="AY4:AY6" si="15">AU4+AW4</f>
        <v>1</v>
      </c>
      <c r="AZ4" s="25">
        <f>ROUND(((AU4*AV4)+(AW4*AX4))/(AU4+AW4),5)</f>
        <v>373.63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434</v>
      </c>
      <c r="BN4" t="s">
        <v>435</v>
      </c>
      <c r="BO4" s="25">
        <f>ROUND((((AW4*AZ4)+(BN4*BM4))/(AW4+BN4)),5)</f>
        <v>4150.55344</v>
      </c>
      <c r="BP4" s="31">
        <f t="shared" ref="BP4:BP6" si="16">ROUND(BN4+AW4,3)</f>
        <v>62.667</v>
      </c>
      <c r="BQ4" s="32">
        <v>123562</v>
      </c>
    </row>
    <row r="5" ht="15.75" spans="1:69">
      <c r="A5" s="19">
        <v>1</v>
      </c>
      <c r="B5" s="19" t="s">
        <v>427</v>
      </c>
      <c r="C5" s="19" t="s">
        <v>427</v>
      </c>
      <c r="D5" s="19" t="s">
        <v>76</v>
      </c>
      <c r="E5" s="19" t="s">
        <v>95</v>
      </c>
      <c r="F5" s="20">
        <v>12</v>
      </c>
      <c r="G5" t="s">
        <v>87</v>
      </c>
      <c r="H5" s="20">
        <f t="shared" si="0"/>
        <v>1200</v>
      </c>
      <c r="I5" t="s">
        <v>88</v>
      </c>
      <c r="J5" s="20">
        <v>9</v>
      </c>
      <c r="K5" s="20">
        <v>6</v>
      </c>
      <c r="L5" s="20">
        <f t="shared" si="1"/>
        <v>1200</v>
      </c>
      <c r="M5" s="20">
        <f t="shared" si="2"/>
        <v>48</v>
      </c>
      <c r="N5" s="20">
        <f t="shared" si="3"/>
        <v>1152</v>
      </c>
      <c r="O5" s="20">
        <f t="shared" si="4"/>
        <v>103.68</v>
      </c>
      <c r="P5" s="20">
        <f t="shared" si="5"/>
        <v>1048.32</v>
      </c>
      <c r="Q5" s="20">
        <f t="shared" si="6"/>
        <v>62.9</v>
      </c>
      <c r="R5" s="20">
        <f t="shared" si="7"/>
        <v>214.58</v>
      </c>
      <c r="S5" s="20">
        <f t="shared" si="8"/>
        <v>985.42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177.38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9"/>
        <v>177.38</v>
      </c>
      <c r="AC5" s="20">
        <f>IF($V3=1,S5+AB5,S5)</f>
        <v>985.42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985.42</v>
      </c>
      <c r="AJ5" s="22">
        <f>IF($C$2=3,0,AG5+AH5)</f>
        <v>0</v>
      </c>
      <c r="AK5" s="22">
        <f>IF($C$2=3,AE5+AG5+AH5,0)</f>
        <v>0</v>
      </c>
      <c r="AL5" s="23">
        <v>3</v>
      </c>
      <c r="AM5" s="22">
        <f t="shared" si="10"/>
        <v>4</v>
      </c>
      <c r="AN5" s="22">
        <f>ROUND(AI5/AM5,5)</f>
        <v>246.355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246.355</v>
      </c>
      <c r="AS5" s="24" t="s">
        <v>120</v>
      </c>
      <c r="AT5" s="25" t="s">
        <v>76</v>
      </c>
      <c r="AU5" t="s">
        <v>85</v>
      </c>
      <c r="AV5" t="s">
        <v>126</v>
      </c>
      <c r="AW5" s="25">
        <f t="shared" si="13"/>
        <v>4</v>
      </c>
      <c r="AX5" s="33">
        <f t="shared" si="14"/>
        <v>246.355</v>
      </c>
      <c r="AY5" s="25">
        <f t="shared" si="15"/>
        <v>4</v>
      </c>
      <c r="AZ5" s="25">
        <f>ROUND(((AU5*AV5)+(AW5*AX5))/(AU5+AW5),5)</f>
        <v>246.355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436</v>
      </c>
      <c r="BN5" t="s">
        <v>437</v>
      </c>
      <c r="BO5" s="25">
        <f>ROUND((((AW5*AZ5)+(BN5*BM5))/(AW5+BN5)),5)</f>
        <v>246.35976</v>
      </c>
      <c r="BP5" s="31">
        <f t="shared" si="16"/>
        <v>84.004</v>
      </c>
      <c r="BQ5" s="32">
        <v>123562</v>
      </c>
    </row>
    <row r="6" ht="15.75" spans="1:69">
      <c r="A6" s="19">
        <v>1</v>
      </c>
      <c r="B6" s="19" t="s">
        <v>430</v>
      </c>
      <c r="C6" s="19" t="s">
        <v>430</v>
      </c>
      <c r="D6" s="19" t="s">
        <v>76</v>
      </c>
      <c r="E6" s="19" t="s">
        <v>95</v>
      </c>
      <c r="F6" s="20">
        <v>9</v>
      </c>
      <c r="G6" t="s">
        <v>239</v>
      </c>
      <c r="H6" s="20">
        <f t="shared" si="0"/>
        <v>450</v>
      </c>
      <c r="I6" t="s">
        <v>240</v>
      </c>
      <c r="J6" s="20">
        <v>7</v>
      </c>
      <c r="K6" s="20">
        <v>4</v>
      </c>
      <c r="L6" s="20">
        <f t="shared" si="1"/>
        <v>450</v>
      </c>
      <c r="M6" s="20">
        <f t="shared" si="2"/>
        <v>13.5</v>
      </c>
      <c r="N6" s="20">
        <f t="shared" si="3"/>
        <v>436.5</v>
      </c>
      <c r="O6" s="20">
        <f t="shared" si="4"/>
        <v>30.56</v>
      </c>
      <c r="P6" s="20">
        <f t="shared" si="5"/>
        <v>405.94</v>
      </c>
      <c r="Q6" s="20">
        <f t="shared" si="6"/>
        <v>16.24</v>
      </c>
      <c r="R6" s="20">
        <f t="shared" si="7"/>
        <v>60.3</v>
      </c>
      <c r="S6" s="20">
        <f t="shared" si="8"/>
        <v>389.7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70.15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9"/>
        <v>70.15</v>
      </c>
      <c r="AC6" s="20">
        <f>IF($V4=1,S6+AB6,S6)</f>
        <v>389.7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389.7</v>
      </c>
      <c r="AJ6" s="22">
        <f>IF($C$2=3,0,AG6+AH6)</f>
        <v>0</v>
      </c>
      <c r="AK6" s="22">
        <f>IF($C$2=3,AE6+AG6+AH6,0)</f>
        <v>0</v>
      </c>
      <c r="AL6" s="23">
        <v>3</v>
      </c>
      <c r="AM6" s="22">
        <f t="shared" si="10"/>
        <v>3</v>
      </c>
      <c r="AN6" s="22">
        <f>ROUND(AI6/AM6,5)</f>
        <v>129.9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129.9</v>
      </c>
      <c r="AS6" s="24" t="s">
        <v>120</v>
      </c>
      <c r="AT6" s="25" t="s">
        <v>76</v>
      </c>
      <c r="AU6" t="s">
        <v>85</v>
      </c>
      <c r="AV6" t="s">
        <v>369</v>
      </c>
      <c r="AW6" s="25">
        <f t="shared" si="13"/>
        <v>3</v>
      </c>
      <c r="AX6" s="25">
        <f t="shared" si="14"/>
        <v>129.9</v>
      </c>
      <c r="AY6" s="25">
        <f t="shared" si="15"/>
        <v>3</v>
      </c>
      <c r="AZ6" s="25">
        <f>ROUND(((AU6*AV6)+(AW6*AX6))/(AU6+AW6),5)</f>
        <v>129.9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>
        <v>438</v>
      </c>
      <c r="BN6" t="s">
        <v>439</v>
      </c>
      <c r="BO6" s="25">
        <f>ROUND((((AW6*AZ6)+(BN6*BM6))/(AW6+BN6)),5)</f>
        <v>129.9</v>
      </c>
      <c r="BP6" s="31">
        <f t="shared" si="16"/>
        <v>42.996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450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76.37</v>
      </c>
      <c r="S7" s="37">
        <f t="shared" si="17"/>
        <v>373.63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67.25</v>
      </c>
      <c r="Y7" s="39"/>
      <c r="Z7" s="39"/>
      <c r="AA7" s="39"/>
      <c r="AB7" s="38">
        <f t="shared" ref="AB7:AE7" si="18">SUM(AB4:AB4)</f>
        <v>67.25</v>
      </c>
      <c r="AC7" s="40">
        <f t="shared" si="18"/>
        <v>373.63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373.63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450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76.37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373.63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67.25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440.88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X1" workbookViewId="0">
      <selection activeCell="BI15" sqref="BI15"/>
    </sheetView>
  </sheetViews>
  <sheetFormatPr defaultColWidth="8.84761904761905" defaultRowHeight="15"/>
  <cols>
    <col min="2" max="2" width="28" customWidth="1"/>
    <col min="3" max="3" width="30" customWidth="1"/>
    <col min="35" max="35" width="11.4285714285714"/>
    <col min="50" max="50" width="16.7142857142857" customWidth="1"/>
    <col min="52" max="52" width="19.4285714285714" customWidth="1"/>
    <col min="64" max="64" width="11" customWidth="1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433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424</v>
      </c>
      <c r="C4" s="19" t="s">
        <v>424</v>
      </c>
      <c r="D4" s="19" t="s">
        <v>76</v>
      </c>
      <c r="E4" s="19" t="s">
        <v>95</v>
      </c>
      <c r="F4" s="20">
        <v>6</v>
      </c>
      <c r="G4" t="s">
        <v>239</v>
      </c>
      <c r="H4" s="20">
        <f t="shared" ref="H4:H6" si="0">F4*G4</f>
        <v>300</v>
      </c>
      <c r="I4" t="s">
        <v>85</v>
      </c>
      <c r="J4" s="20">
        <v>8</v>
      </c>
      <c r="K4" s="20">
        <v>5</v>
      </c>
      <c r="L4" s="20">
        <v>0</v>
      </c>
      <c r="M4" s="20">
        <f t="shared" ref="M4:M6" si="1">ROUND(L4*I4%,2)</f>
        <v>0</v>
      </c>
      <c r="N4" s="20">
        <f t="shared" ref="N4:N6" si="2">H4-M4</f>
        <v>300</v>
      </c>
      <c r="O4" s="20">
        <f t="shared" ref="O4:O6" si="3">ROUND(N4*J4%,2)</f>
        <v>24</v>
      </c>
      <c r="P4" s="20">
        <f t="shared" ref="P4:P6" si="4">ROUND(N4-O4,2)</f>
        <v>276</v>
      </c>
      <c r="Q4" s="20">
        <f t="shared" ref="Q4:Q6" si="5">ROUND(P4*K4%,2)</f>
        <v>13.8</v>
      </c>
      <c r="R4" s="20">
        <f t="shared" ref="R4:R6" si="6">M4+O4+Q4</f>
        <v>37.8</v>
      </c>
      <c r="S4" s="20">
        <f t="shared" ref="S4:S6" si="7">(H4-R4)</f>
        <v>262.2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8">V4+W4+X4+Y4+AA4</f>
        <v>0</v>
      </c>
      <c r="AC4" s="21">
        <f>IF($V2=1,S4+AB4,S4)</f>
        <v>262.2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22287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9">F4/AL4</f>
        <v>2</v>
      </c>
      <c r="AN4" s="23">
        <f>ROUND(AI4/AM4,3)</f>
        <v>11143.5</v>
      </c>
      <c r="AO4" s="22">
        <f t="shared" ref="AO4:AO6" si="10">AJ4/AM4</f>
        <v>0</v>
      </c>
      <c r="AP4" s="22">
        <f t="shared" ref="AP4:AP6" si="11">AK4/AM4</f>
        <v>0</v>
      </c>
      <c r="AQ4" s="22" t="s">
        <v>76</v>
      </c>
      <c r="AR4" s="23">
        <f>ROUND(AN4+AO4+AP4,3)</f>
        <v>11143.5</v>
      </c>
      <c r="AS4" s="24" t="s">
        <v>120</v>
      </c>
      <c r="AT4" s="25" t="s">
        <v>76</v>
      </c>
      <c r="AU4" t="s">
        <v>85</v>
      </c>
      <c r="AV4" t="s">
        <v>415</v>
      </c>
      <c r="AW4" s="25">
        <f t="shared" ref="AW4:AW6" si="12">AM4</f>
        <v>2</v>
      </c>
      <c r="AX4" s="26">
        <f t="shared" ref="AX4:AX6" si="13">AR4</f>
        <v>11143.5</v>
      </c>
      <c r="AY4" s="25">
        <f t="shared" ref="AY4:AY6" si="14">AU4+AW4</f>
        <v>2</v>
      </c>
      <c r="AZ4" s="25">
        <f>ROUND(((AU4*AV4)+(AW4*AX4))/(AU4+AW4),5)</f>
        <v>11143.5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440</v>
      </c>
      <c r="BN4" t="s">
        <v>441</v>
      </c>
      <c r="BO4" s="25">
        <f>ROUND((((AW4*AZ4)+(BN4*BM4))/(AW4+BN4)),5)</f>
        <v>4004.06435</v>
      </c>
      <c r="BP4" s="31">
        <f t="shared" ref="BP4:BP6" si="15">ROUND(BN4+AW4,3)</f>
        <v>115.332</v>
      </c>
      <c r="BQ4" s="32">
        <v>123562</v>
      </c>
    </row>
    <row r="5" ht="15.75" spans="1:69">
      <c r="A5" s="19">
        <v>1</v>
      </c>
      <c r="B5" s="19" t="s">
        <v>427</v>
      </c>
      <c r="C5" s="19" t="s">
        <v>427</v>
      </c>
      <c r="D5" s="19" t="s">
        <v>76</v>
      </c>
      <c r="E5" s="19" t="s">
        <v>95</v>
      </c>
      <c r="F5" s="20">
        <v>9</v>
      </c>
      <c r="G5" t="s">
        <v>87</v>
      </c>
      <c r="H5" s="20">
        <f t="shared" si="0"/>
        <v>900</v>
      </c>
      <c r="I5" t="s">
        <v>85</v>
      </c>
      <c r="J5" s="20">
        <v>9</v>
      </c>
      <c r="K5" s="20">
        <v>6</v>
      </c>
      <c r="L5" s="20">
        <v>0</v>
      </c>
      <c r="M5" s="20">
        <f t="shared" si="1"/>
        <v>0</v>
      </c>
      <c r="N5" s="20">
        <f t="shared" si="2"/>
        <v>900</v>
      </c>
      <c r="O5" s="20">
        <f t="shared" si="3"/>
        <v>81</v>
      </c>
      <c r="P5" s="20">
        <f t="shared" si="4"/>
        <v>819</v>
      </c>
      <c r="Q5" s="20">
        <f t="shared" si="5"/>
        <v>49.14</v>
      </c>
      <c r="R5" s="20">
        <f t="shared" si="6"/>
        <v>130.14</v>
      </c>
      <c r="S5" s="20">
        <f t="shared" si="7"/>
        <v>769.86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0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8"/>
        <v>0</v>
      </c>
      <c r="AC5" s="20">
        <f>IF($V3=1,S5+AB5,S5)</f>
        <v>769.86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65438.1</v>
      </c>
      <c r="AJ5" s="22">
        <f>IF($C$2=3,0,AG5+AH5)</f>
        <v>0</v>
      </c>
      <c r="AK5" s="22">
        <f>IF($C$2=3,AE5+AG5+AH5,0)</f>
        <v>0</v>
      </c>
      <c r="AL5" s="23">
        <v>3</v>
      </c>
      <c r="AM5" s="22">
        <f t="shared" si="9"/>
        <v>3</v>
      </c>
      <c r="AN5" s="22">
        <f>ROUND(AI5/AM5,5)</f>
        <v>21812.7</v>
      </c>
      <c r="AO5" s="22">
        <f t="shared" si="10"/>
        <v>0</v>
      </c>
      <c r="AP5" s="22">
        <f t="shared" si="11"/>
        <v>0</v>
      </c>
      <c r="AQ5" s="22" t="s">
        <v>76</v>
      </c>
      <c r="AR5" s="22">
        <f>ROUND(AN5+AO5+AP5,5)</f>
        <v>21812.7</v>
      </c>
      <c r="AS5" s="24" t="s">
        <v>120</v>
      </c>
      <c r="AT5" s="25" t="s">
        <v>76</v>
      </c>
      <c r="AU5" t="s">
        <v>85</v>
      </c>
      <c r="AV5" t="s">
        <v>442</v>
      </c>
      <c r="AW5" s="25">
        <f t="shared" si="12"/>
        <v>3</v>
      </c>
      <c r="AX5" s="33">
        <f t="shared" si="13"/>
        <v>21812.7</v>
      </c>
      <c r="AY5" s="25">
        <f t="shared" si="14"/>
        <v>3</v>
      </c>
      <c r="AZ5" s="25">
        <f>ROUND(((AU5*AV5)+(AW5*AX5))/(AU5+AW5),5)</f>
        <v>21812.7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443</v>
      </c>
      <c r="BN5" t="s">
        <v>444</v>
      </c>
      <c r="BO5" s="25">
        <f>ROUND((((AW5*AZ5)+(BN5*BM5))/(AW5+BN5)),5)</f>
        <v>1525.32673</v>
      </c>
      <c r="BP5" s="31">
        <f t="shared" si="15"/>
        <v>163.008</v>
      </c>
      <c r="BQ5" s="32">
        <v>123562</v>
      </c>
    </row>
    <row r="6" ht="15.75" spans="1:69">
      <c r="A6" s="19">
        <v>1</v>
      </c>
      <c r="B6" s="19" t="s">
        <v>430</v>
      </c>
      <c r="C6" s="19" t="s">
        <v>430</v>
      </c>
      <c r="D6" s="19" t="s">
        <v>76</v>
      </c>
      <c r="E6" s="19" t="s">
        <v>95</v>
      </c>
      <c r="F6" s="20">
        <v>12</v>
      </c>
      <c r="G6" t="s">
        <v>239</v>
      </c>
      <c r="H6" s="20">
        <f t="shared" si="0"/>
        <v>600</v>
      </c>
      <c r="I6" t="s">
        <v>85</v>
      </c>
      <c r="J6" s="20">
        <v>7</v>
      </c>
      <c r="K6" s="20">
        <v>4</v>
      </c>
      <c r="L6" s="20">
        <v>0</v>
      </c>
      <c r="M6" s="20">
        <f t="shared" si="1"/>
        <v>0</v>
      </c>
      <c r="N6" s="20">
        <f t="shared" si="2"/>
        <v>600</v>
      </c>
      <c r="O6" s="20">
        <f t="shared" si="3"/>
        <v>42</v>
      </c>
      <c r="P6" s="20">
        <f t="shared" si="4"/>
        <v>558</v>
      </c>
      <c r="Q6" s="20">
        <f t="shared" si="5"/>
        <v>22.32</v>
      </c>
      <c r="R6" s="20">
        <f t="shared" si="6"/>
        <v>64.32</v>
      </c>
      <c r="S6" s="20">
        <f t="shared" si="7"/>
        <v>535.68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0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8"/>
        <v>0</v>
      </c>
      <c r="AC6" s="20">
        <f>IF($V4=1,S6+AB6,S6)</f>
        <v>535.68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45532.8</v>
      </c>
      <c r="AJ6" s="22">
        <f>IF($C$2=3,0,AG6+AH6)</f>
        <v>0</v>
      </c>
      <c r="AK6" s="22">
        <f>IF($C$2=3,AE6+AG6+AH6,0)</f>
        <v>0</v>
      </c>
      <c r="AL6" s="23">
        <v>3</v>
      </c>
      <c r="AM6" s="22">
        <f t="shared" si="9"/>
        <v>4</v>
      </c>
      <c r="AN6" s="22">
        <f>ROUND(AI6/AM6,5)</f>
        <v>11383.2</v>
      </c>
      <c r="AO6" s="22">
        <f t="shared" si="10"/>
        <v>0</v>
      </c>
      <c r="AP6" s="22">
        <f t="shared" si="11"/>
        <v>0</v>
      </c>
      <c r="AQ6" s="22" t="s">
        <v>76</v>
      </c>
      <c r="AR6" s="22">
        <f>ROUND(AN6+AO6+AP6,5)</f>
        <v>11383.2</v>
      </c>
      <c r="AS6" s="24" t="s">
        <v>120</v>
      </c>
      <c r="AT6" s="25" t="s">
        <v>76</v>
      </c>
      <c r="AU6" t="s">
        <v>85</v>
      </c>
      <c r="AV6" t="s">
        <v>445</v>
      </c>
      <c r="AW6" s="25">
        <f t="shared" si="12"/>
        <v>4</v>
      </c>
      <c r="AX6" s="25">
        <f t="shared" si="13"/>
        <v>11383.2</v>
      </c>
      <c r="AY6" s="25">
        <f t="shared" si="14"/>
        <v>4</v>
      </c>
      <c r="AZ6" s="25">
        <f>ROUND(((AU6*AV6)+(AW6*AX6))/(AU6+AW6),5)</f>
        <v>11383.2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>
        <v>446</v>
      </c>
      <c r="BN6" t="s">
        <v>447</v>
      </c>
      <c r="BO6" s="25">
        <f>ROUND((((AW6*AZ6)+(BN6*BM6))/(AW6+BN6)),5)</f>
        <v>1112.37987</v>
      </c>
      <c r="BP6" s="31">
        <f t="shared" si="15"/>
        <v>83.992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300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6">SUM(R4:R4)</f>
        <v>37.8</v>
      </c>
      <c r="S7" s="37">
        <f t="shared" si="16"/>
        <v>262.2</v>
      </c>
      <c r="T7" s="38"/>
      <c r="U7" s="38"/>
      <c r="V7" s="39">
        <f t="shared" si="16"/>
        <v>0</v>
      </c>
      <c r="W7" s="39">
        <f t="shared" si="16"/>
        <v>0</v>
      </c>
      <c r="X7" s="39">
        <f t="shared" si="16"/>
        <v>0</v>
      </c>
      <c r="Y7" s="39"/>
      <c r="Z7" s="39"/>
      <c r="AA7" s="39"/>
      <c r="AB7" s="38">
        <f t="shared" ref="AB7:AE7" si="17">SUM(AB4:AB4)</f>
        <v>0</v>
      </c>
      <c r="AC7" s="40">
        <f t="shared" si="17"/>
        <v>262.2</v>
      </c>
      <c r="AD7" s="41">
        <f t="shared" si="17"/>
        <v>120</v>
      </c>
      <c r="AE7" s="41">
        <f t="shared" si="17"/>
        <v>0</v>
      </c>
      <c r="AF7" s="40"/>
      <c r="AG7" s="41">
        <f t="shared" ref="AG7:AK7" si="18">SUM(AG4:AG4)</f>
        <v>0</v>
      </c>
      <c r="AH7" s="41">
        <f>IF($P$2=1,(S7/$S$7)*$E$21,AD7/$AD$7*$E$21)</f>
        <v>0</v>
      </c>
      <c r="AI7" s="41">
        <f t="shared" si="18"/>
        <v>22287</v>
      </c>
      <c r="AJ7" s="41">
        <f t="shared" si="18"/>
        <v>0</v>
      </c>
      <c r="AK7" s="41">
        <f t="shared" si="18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300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37.8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262.2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262.2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AS9" sqref="AS9"/>
    </sheetView>
  </sheetViews>
  <sheetFormatPr defaultColWidth="8.84761904761905" defaultRowHeight="15"/>
  <cols>
    <col min="2" max="2" width="28" customWidth="1"/>
    <col min="3" max="3" width="23.2857142857143" customWidth="1"/>
    <col min="52" max="52" width="10.7142857142857" customWidth="1"/>
    <col min="64" max="64" width="11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448</v>
      </c>
      <c r="C4" s="19" t="s">
        <v>448</v>
      </c>
      <c r="D4" s="19" t="s">
        <v>76</v>
      </c>
      <c r="E4" s="19" t="s">
        <v>95</v>
      </c>
      <c r="F4" s="20">
        <v>10</v>
      </c>
      <c r="G4" s="20">
        <v>150</v>
      </c>
      <c r="H4" s="20">
        <f t="shared" ref="H4:H6" si="0">F4*G4</f>
        <v>1500</v>
      </c>
      <c r="I4" s="20">
        <v>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10">F4/AL4</f>
        <v>3.33333333333333</v>
      </c>
      <c r="AN4" s="23">
        <f>ROUND(AI4/AM4,3)</f>
        <v>373.635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373.635</v>
      </c>
      <c r="AS4" s="24" t="s">
        <v>120</v>
      </c>
      <c r="AT4" s="25" t="s">
        <v>76</v>
      </c>
      <c r="AU4" t="s">
        <v>393</v>
      </c>
      <c r="AV4" t="s">
        <v>121</v>
      </c>
      <c r="AW4" s="25">
        <f t="shared" ref="AW4:AW6" si="13">AM4</f>
        <v>3.33333333333333</v>
      </c>
      <c r="AX4" s="26">
        <f t="shared" ref="AX4:AX6" si="14">AR4</f>
        <v>373.635</v>
      </c>
      <c r="AY4" s="25">
        <f t="shared" ref="AY4:AY6" si="15">AU4+AW4</f>
        <v>13.3323333333333</v>
      </c>
      <c r="AZ4" s="26">
        <f>ROUND(((AU4*AV4)+(AW4*AX4))/(AU4+AW4),5)</f>
        <v>373.635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121</v>
      </c>
      <c r="BN4" t="s">
        <v>449</v>
      </c>
      <c r="BO4" s="25">
        <f>ROUND((((AW4*AZ4)+(BN4*BM4))/(AW4+BN4)),5)</f>
        <v>373.635</v>
      </c>
      <c r="BP4" s="31">
        <f t="shared" ref="BP4:BP6" si="16">ROUND(BN4+AW4,3)</f>
        <v>6.666</v>
      </c>
      <c r="BQ4" s="32">
        <v>123562</v>
      </c>
    </row>
    <row r="5" ht="15.75" spans="1:69">
      <c r="A5" s="19">
        <v>1</v>
      </c>
      <c r="B5" s="19" t="s">
        <v>450</v>
      </c>
      <c r="C5" s="19" t="s">
        <v>450</v>
      </c>
      <c r="D5" s="19" t="s">
        <v>76</v>
      </c>
      <c r="E5" s="19" t="s">
        <v>95</v>
      </c>
      <c r="F5" s="20">
        <v>15</v>
      </c>
      <c r="G5" s="20">
        <v>100</v>
      </c>
      <c r="H5" s="20">
        <f t="shared" si="0"/>
        <v>1500</v>
      </c>
      <c r="I5" s="20">
        <v>4</v>
      </c>
      <c r="J5" s="20">
        <v>9</v>
      </c>
      <c r="K5" s="20">
        <v>6</v>
      </c>
      <c r="L5" s="20">
        <f t="shared" si="1"/>
        <v>1500</v>
      </c>
      <c r="M5" s="20">
        <f t="shared" si="2"/>
        <v>60</v>
      </c>
      <c r="N5" s="20">
        <f t="shared" si="3"/>
        <v>1440</v>
      </c>
      <c r="O5" s="20">
        <f t="shared" si="4"/>
        <v>129.6</v>
      </c>
      <c r="P5" s="20">
        <f t="shared" si="5"/>
        <v>1310.4</v>
      </c>
      <c r="Q5" s="20">
        <f t="shared" si="6"/>
        <v>78.62</v>
      </c>
      <c r="R5" s="20">
        <f t="shared" si="7"/>
        <v>268.22</v>
      </c>
      <c r="S5" s="20">
        <f t="shared" si="8"/>
        <v>1231.78</v>
      </c>
      <c r="T5" s="20">
        <v>88363222</v>
      </c>
      <c r="U5" s="20">
        <v>18</v>
      </c>
      <c r="V5" s="20">
        <f>IF(OR(PoToMRVWOIpDUomPl!$C$2=1,PoToMRVWOIpDUomPl!$C$2=4),ROUND((((S5*U5)/100)/2),2),0)</f>
        <v>0</v>
      </c>
      <c r="W5" s="20">
        <f>IF(PoToMRVWOIpDUomPl!$C$2=1,ROUND((((S5*U5)/100)/2),2),0)</f>
        <v>0</v>
      </c>
      <c r="X5" s="20">
        <f>IF(PoToMRVWOIpDUomPl!$C$2=2,ROUND(((S5*U5)/100),2),0)</f>
        <v>221.72</v>
      </c>
      <c r="Y5" s="20">
        <f>IF(PoToMRVWOIpDUomPl!$C$2=4,ROUND((((S5*U5)/100)/2),2),0)</f>
        <v>0</v>
      </c>
      <c r="Z5" s="20">
        <v>0</v>
      </c>
      <c r="AA5" s="20">
        <f>IF(PoToMRVWOIpDUomPl!$C3=3,0,(S5*Z5)/100)</f>
        <v>0</v>
      </c>
      <c r="AB5" s="20">
        <f t="shared" si="9"/>
        <v>221.72</v>
      </c>
      <c r="AC5" s="20">
        <f>IF(PoToMRVWOIpDUomPl!$V3=1,S5+AB5,S5)</f>
        <v>1231.78</v>
      </c>
      <c r="AD5" s="22">
        <v>120</v>
      </c>
      <c r="AE5" s="22">
        <f>IF(PoToMRVWOIpDUomPl!$P$2=1,(S5/PoToMRVWOIpDUomPl!$S$7)*PoToMRVWOIpDUomPl!$E$18,AD5/PoToMRVWOIpDUomPl!$AD$7*PoToMRVWOIpDUomPl!$E$18)</f>
        <v>0</v>
      </c>
      <c r="AF5" s="22"/>
      <c r="AG5" s="22">
        <f>IF(PoToMRVWOIpDUomPl!$P$2=1,(S5/PoToMRVWOIpDUomPl!$S$7)*PoToMRVWOIpDUomPl!$E$20,AD5/PoToMRVWOIpDUomPl!$AD$7*PoToMRVWOIpDUomPl!$E$20)</f>
        <v>0</v>
      </c>
      <c r="AH5" s="22">
        <f>IF(PoToMRVWOIpDUomPl!$P$2=1,(S5/PoToMRVWOIpDUomPl!$S$7)*PoToMRVWOIpDUomPl!$E$21,AD5/PoToMRVWOIpDUomPl!$AD$7*PoToMRVWOIpDUomPl!$E$21)</f>
        <v>0</v>
      </c>
      <c r="AI5" s="22">
        <f>S5*PoToMRVWOIpDUomPl!$M$2</f>
        <v>1231.78</v>
      </c>
      <c r="AJ5" s="22">
        <f>IF(PoToMRVWOIpDUomPl!$C$2=3,0,AG5+AH5)</f>
        <v>0</v>
      </c>
      <c r="AK5" s="22">
        <f>IF(PoToMRVWOIpDUomPl!$C$2=3,AE5+AG5+AH5,0)</f>
        <v>0</v>
      </c>
      <c r="AL5" s="23">
        <v>3</v>
      </c>
      <c r="AM5" s="22">
        <f t="shared" si="10"/>
        <v>5</v>
      </c>
      <c r="AN5" s="22">
        <f>ROUND(AI5/AM5,5)</f>
        <v>246.356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246.356</v>
      </c>
      <c r="AS5" s="24" t="s">
        <v>120</v>
      </c>
      <c r="AT5" s="25" t="s">
        <v>76</v>
      </c>
      <c r="AU5" t="s">
        <v>451</v>
      </c>
      <c r="AV5" t="s">
        <v>364</v>
      </c>
      <c r="AW5" s="25">
        <f t="shared" si="13"/>
        <v>5</v>
      </c>
      <c r="AX5" s="33">
        <f t="shared" si="14"/>
        <v>246.356</v>
      </c>
      <c r="AY5" s="25">
        <f t="shared" si="15"/>
        <v>8.999</v>
      </c>
      <c r="AZ5" s="33">
        <f>ROUND(((AU5*AV5)+(AW5*AX5))/(AU5+AW5),5)</f>
        <v>246.35778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364</v>
      </c>
      <c r="BN5" t="s">
        <v>166</v>
      </c>
      <c r="BO5" s="25">
        <f>ROUND((((AW5*AZ5)+(BN5*BM5))/(AW5+BN5)),2)</f>
        <v>246.36</v>
      </c>
      <c r="BP5" s="31">
        <f t="shared" si="16"/>
        <v>6.333</v>
      </c>
      <c r="BQ5" s="32">
        <v>123562</v>
      </c>
    </row>
    <row r="6" ht="15.75" spans="1:69">
      <c r="A6" s="19">
        <v>1</v>
      </c>
      <c r="B6" s="19" t="s">
        <v>452</v>
      </c>
      <c r="C6" s="19" t="s">
        <v>452</v>
      </c>
      <c r="D6" s="19" t="s">
        <v>76</v>
      </c>
      <c r="E6" s="19" t="s">
        <v>95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IF(OR(PoToMRVWOIpDUomPl!$C$2=1,PoToMRVWOIpDUomPl!$C$2=4),ROUND((((S6*U6)/100)/2),2),0)</f>
        <v>0</v>
      </c>
      <c r="W6" s="20">
        <f>IF(PoToMRVWOIpDUomPl!$C$2=1,ROUND((((S6*U6)/100)/2),2),0)</f>
        <v>0</v>
      </c>
      <c r="X6" s="20">
        <f>IF(PoToMRVWOIpDUomPl!$C$2=2,ROUND(((S6*U6)/100),2),0)</f>
        <v>77.94</v>
      </c>
      <c r="Y6" s="20">
        <f>IF(PoToMRVWOIpDUomPl!$C$2=4,ROUND((((S6*U6)/100)/2),2),0)</f>
        <v>0</v>
      </c>
      <c r="Z6" s="20">
        <v>0</v>
      </c>
      <c r="AA6" s="20">
        <f>IF(PoToMRVWOIpDUomPl!$C4=3,0,(S6*Z6)/100)</f>
        <v>0</v>
      </c>
      <c r="AB6" s="20">
        <f t="shared" si="9"/>
        <v>77.94</v>
      </c>
      <c r="AC6" s="20">
        <f>IF(PoToMRVWOIpDUomPl!$V4=1,S6+AB6,S6)</f>
        <v>433.01</v>
      </c>
      <c r="AD6" s="22">
        <v>120</v>
      </c>
      <c r="AE6" s="22">
        <f>IF(PoToMRVWOIpDUomPl!$P$2=1,(S6/PoToMRVWOIpDUomPl!$S$7)*PoToMRVWOIpDUomPl!$E$18,AD6/PoToMRVWOIpDUomPl!$AD$7*PoToMRVWOIpDUomPl!$E$18)</f>
        <v>0</v>
      </c>
      <c r="AF6" s="22"/>
      <c r="AG6" s="22">
        <f>IF(PoToMRVWOIpDUomPl!$P$2=1,(S6/PoToMRVWOIpDUomPl!$S$7)*PoToMRVWOIpDUomPl!$E$20,AD6/PoToMRVWOIpDUomPl!$AD$7*PoToMRVWOIpDUomPl!$E$20)</f>
        <v>0</v>
      </c>
      <c r="AH6" s="22">
        <f>IF(PoToMRVWOIpDUomPl!$P$2=1,(S6/PoToMRVWOIpDUomPl!$S$7)*PoToMRVWOIpDUomPl!$E$21,AD6/PoToMRVWOIpDUomPl!$AD$7*PoToMRVWOIpDUomPl!$E$21)</f>
        <v>0</v>
      </c>
      <c r="AI6" s="22">
        <f>S6*PoToMRVWOIpDUomPl!$M$2</f>
        <v>433.01</v>
      </c>
      <c r="AJ6" s="22">
        <f>IF(PoToMRVWOIpDUomPl!$C$2=3,0,AG6+AH6)</f>
        <v>0</v>
      </c>
      <c r="AK6" s="22">
        <f>IF(PoToMRVWOIpDUomPl!$C$2=3,AE6+AG6+AH6,0)</f>
        <v>0</v>
      </c>
      <c r="AL6" s="23">
        <v>3</v>
      </c>
      <c r="AM6" s="22">
        <f t="shared" si="10"/>
        <v>3.33333333333333</v>
      </c>
      <c r="AN6" s="22">
        <f>ROUND(AI6/AM6,5)</f>
        <v>129.903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129.903</v>
      </c>
      <c r="AS6" s="24" t="s">
        <v>120</v>
      </c>
      <c r="AT6" s="25" t="s">
        <v>76</v>
      </c>
      <c r="AU6" t="s">
        <v>385</v>
      </c>
      <c r="AV6" t="s">
        <v>369</v>
      </c>
      <c r="AW6" s="25">
        <f t="shared" si="13"/>
        <v>3.33333333333333</v>
      </c>
      <c r="AX6" s="25">
        <f t="shared" si="14"/>
        <v>129.903</v>
      </c>
      <c r="AY6" s="25">
        <f t="shared" si="15"/>
        <v>13.3323333333333</v>
      </c>
      <c r="AZ6" s="25">
        <f>ROUND(((AU6*AV6)+(AW6*AX6))/(AU6+AW6),2)</f>
        <v>129.9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>
        <v>369</v>
      </c>
      <c r="BN6" t="s">
        <v>453</v>
      </c>
      <c r="BO6" s="25">
        <f>ROUND((((AW6*AZ6)+(BN6*BM6))/(AW6+BN6)),5)</f>
        <v>129.9</v>
      </c>
      <c r="BP6" s="31">
        <f t="shared" si="16"/>
        <v>6.666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254.55</v>
      </c>
      <c r="S7" s="37">
        <f t="shared" si="17"/>
        <v>1245.45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224.18</v>
      </c>
      <c r="Y7" s="39"/>
      <c r="Z7" s="39"/>
      <c r="AA7" s="39"/>
      <c r="AB7" s="38">
        <f t="shared" ref="AB7:AE7" si="18">SUM(AB4:AB4)</f>
        <v>224.18</v>
      </c>
      <c r="AC7" s="40">
        <f t="shared" si="18"/>
        <v>1469.63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1245.45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71</vt:i4>
      </vt:variant>
    </vt:vector>
  </HeadingPairs>
  <TitlesOfParts>
    <vt:vector size="71" baseType="lpstr">
      <vt:lpstr>StPoToMRVWFPl</vt:lpstr>
      <vt:lpstr>StPoToMRVWFDURc</vt:lpstr>
      <vt:lpstr>StPoToMRVWFRc</vt:lpstr>
      <vt:lpstr>StPoToMRVWF</vt:lpstr>
      <vt:lpstr>PoToMRVWFDUom</vt:lpstr>
      <vt:lpstr>PoToMRVWoQDUom</vt:lpstr>
      <vt:lpstr>PoToMRVWoQDUomImp</vt:lpstr>
      <vt:lpstr>PoToGrnUdSWoIpUom</vt:lpstr>
      <vt:lpstr>PoToMRVWOIpSer</vt:lpstr>
      <vt:lpstr>PoToMRVWOIpSerImp</vt:lpstr>
      <vt:lpstr>PoToMRVWOIp</vt:lpstr>
      <vt:lpstr>PoToMRVWoQSUomSSO</vt:lpstr>
      <vt:lpstr>PoToMRVWFSUom</vt:lpstr>
      <vt:lpstr>PoToMRVWFSUomWithReverse</vt:lpstr>
      <vt:lpstr>PoToMRVWFSUomWithReverseWOG</vt:lpstr>
      <vt:lpstr>PoToMRVWFSUomWithReverseWOGServ</vt:lpstr>
      <vt:lpstr>PoToMRVWFSUomWithReverseWOGImp</vt:lpstr>
      <vt:lpstr>PoToMRVWFSUomWithReversePOA</vt:lpstr>
      <vt:lpstr>PoToMRVWFSUomWithReversePOAWOG</vt:lpstr>
      <vt:lpstr>PoToMRVWFSUomWithRevPOAWOGImp</vt:lpstr>
      <vt:lpstr>PoToMRVWithReverseGRNPRAmd</vt:lpstr>
      <vt:lpstr>PoToMRVWithReverseGRNPRAmdServ</vt:lpstr>
      <vt:lpstr>PoToMRVWithReverseGRNPRAmdWoG</vt:lpstr>
      <vt:lpstr>PoToMRVWithReverseGRNPRAmdWoQWL</vt:lpstr>
      <vt:lpstr>PoToMRVWithReverseGRNPRAmdWL</vt:lpstr>
      <vt:lpstr>PoToMRVWFSUomWithReversePOAImp</vt:lpstr>
      <vt:lpstr>PoToMRVWFSUomWithReverseImp</vt:lpstr>
      <vt:lpstr>PoToMRVWFSUomserv</vt:lpstr>
      <vt:lpstr>PoToMRVWFSUomservImp</vt:lpstr>
      <vt:lpstr>PoToMRVWoQSUomRC</vt:lpstr>
      <vt:lpstr>PoToMRVExcessToleranceqty</vt:lpstr>
      <vt:lpstr>PoToMRVWoQSUomRCImp</vt:lpstr>
      <vt:lpstr>PoToMRVWFSUomRC</vt:lpstr>
      <vt:lpstr>PoToMRVWFSUomPl</vt:lpstr>
      <vt:lpstr>PoToMrvWMoq</vt:lpstr>
      <vt:lpstr>PoToMRVWoQUomPl</vt:lpstr>
      <vt:lpstr>PoToMRVWoQUomPlImp</vt:lpstr>
      <vt:lpstr>PoToMRVWFSUomservRc</vt:lpstr>
      <vt:lpstr>PoToMRVWoQSUomservRc</vt:lpstr>
      <vt:lpstr>PoToMRVWoQSUomservRcImp</vt:lpstr>
      <vt:lpstr>PoToMRVWFSUomservPl</vt:lpstr>
      <vt:lpstr>PoToMRVWoQSUomservPl</vt:lpstr>
      <vt:lpstr>PoToMRVWoQSUomservPlImp</vt:lpstr>
      <vt:lpstr>PoToMRVWOIpRc</vt:lpstr>
      <vt:lpstr>PoToMRVWOIpRcImp</vt:lpstr>
      <vt:lpstr>StPoToMRVWOIpDU</vt:lpstr>
      <vt:lpstr>StPoToMRVWOIpDURc</vt:lpstr>
      <vt:lpstr>StPoToMRVWOIpDUPl</vt:lpstr>
      <vt:lpstr>StPoToMRVWOIpPl</vt:lpstr>
      <vt:lpstr>StPoToMRVWOIpRc</vt:lpstr>
      <vt:lpstr>StPoToMRVWOIp</vt:lpstr>
      <vt:lpstr>PoToMRVWOIpRcServ</vt:lpstr>
      <vt:lpstr>PoToMRVWOIpRcServImp</vt:lpstr>
      <vt:lpstr>PoToMRVWOIpPl</vt:lpstr>
      <vt:lpstr>PoToMRVWOIpPlImp</vt:lpstr>
      <vt:lpstr>PoToMRVWOIpPlServ</vt:lpstr>
      <vt:lpstr>PoToMRVWOIpPlServImp</vt:lpstr>
      <vt:lpstr>DifferentUOMUD</vt:lpstr>
      <vt:lpstr>PoToMRVWOIpDUom</vt:lpstr>
      <vt:lpstr>PoToMRVWoQSUom</vt:lpstr>
      <vt:lpstr>PoToMRVWoQSUomImp</vt:lpstr>
      <vt:lpstr>PoToMRVWOIpDUomImp</vt:lpstr>
      <vt:lpstr>PoToMRVWOIpDUomRc</vt:lpstr>
      <vt:lpstr>PoToMRVWOIpDUomRcImp</vt:lpstr>
      <vt:lpstr>PoToMRVWFPDUomRc</vt:lpstr>
      <vt:lpstr>PoToMRVWoQDUomRc</vt:lpstr>
      <vt:lpstr>PoToMRVWoQDUomRcImp</vt:lpstr>
      <vt:lpstr>PoToMRVWFPDUomPl</vt:lpstr>
      <vt:lpstr>PoToMRVWoQDUomPl</vt:lpstr>
      <vt:lpstr>PoToMRVWoQDUomPlImp</vt:lpstr>
      <vt:lpstr>PoToMRVWOIpDUomPl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Galaxy</dc:creator>
  <cp:lastModifiedBy>Administrator</cp:lastModifiedBy>
  <dcterms:created xsi:type="dcterms:W3CDTF">2025-10-30T08:14:00Z</dcterms:created>
  <dcterms:modified xsi:type="dcterms:W3CDTF">2026-04-14T10:32:33Z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FEE8BF966D104914809F8EEF0568325F_11</vt:lpwstr>
  </property>
  <property fmtid="{D5CDD505-2E9C-101B-9397-08002B2CF9AE}" pid="3" name="KSOProductBuildVer">
    <vt:lpwstr>1033-12.1.0.25830</vt:lpwstr>
  </property>
  <property fmtid="{D5CDD505-2E9C-101B-9397-08002B2CF9AE}" pid="4" name="CalculationRule">
    <vt:i4>0</vt:i4>
  </property>
</Properties>
</file>