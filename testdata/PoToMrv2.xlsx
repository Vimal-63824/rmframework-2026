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<sst xmlns="http://schemas.openxmlformats.org/spreadsheetml/2006/main" count="11097" uniqueCount="455">
  <si>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</si>
  <si>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</si>
  <si>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</si>
  <si>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</si>
  <si>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</si>
  <si>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</si>
  <si>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</si>
  <si>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</si>
  <si>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</si>
  <si>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</si>
  <si>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</si>
  <si>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</si>
  <si>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</si>
  <si>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</si>
  <si>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</si>
  <si>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</si>
  <si>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</si>
  <si>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</si>
  <si>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</si>
  <si>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</si>
  <si>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</si>
  <si>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</si>
  <si>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</si>
  <si>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</si>
  <si>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</si>
  <si>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</si>
  <si>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</si>
  <si>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</si>
  <si>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</si>
  <si>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</si>
  <si>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</si>
  <si>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</si>
  <si>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</si>
  <si>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</si>
  <si>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</si>
  <si>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</si>
  <si>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</si>
  <si>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</si>
  <si>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</si>
  <si>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</si>
  <si>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</si>
  <si>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</si>
  <si>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</si>
  <si>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</si>
  <si>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</si>
  <si>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</si>
  <si>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</si>
  <si>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</si>
  <si>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</si>
  <si>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</si>
  <si>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</si>
  <si>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</si>
  <si>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</si>
  <si>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</si>
  <si>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</si>
  <si>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</si>
  <si>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</si>
  <si>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</si>
  <si>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</si>
  <si>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</si>
  <si>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</si>
  <si>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</si>
  <si>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</si>
  <si>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</si>
  <si>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</si>
  <si>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</si>
  <si>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</si>
  <si>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</si>
  <si>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</si>
  <si>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</si>
  <si>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</si>
  <si>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</si>
  <si>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</si>
  <si>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</si>
  <si>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</si>
  <si>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</si>
  <si>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</si>
  <si>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IN WH-7</t>
  </si>
  <si>
    <t>0</t>
  </si>
  <si>
    <t>142.5</t>
  </si>
  <si>
    <t>Receipt Qty &amp; Unit cost</t>
  </si>
  <si>
    <t>LOT</t>
  </si>
  <si>
    <t>RM</t>
  </si>
  <si>
    <t>RMS</t>
  </si>
  <si>
    <t>RM WH-7</t>
  </si>
  <si>
    <t>5</t>
  </si>
  <si>
    <t>GWL_Similar_Wf_Pl_St_02</t>
  </si>
  <si>
    <t>96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</si>
  <si>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</si>
  <si>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</si>
  <si>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</si>
  <si>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</si>
  <si>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</si>
  <si>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</si>
  <si>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</si>
  <si>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</si>
  <si>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</si>
  <si>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</si>
  <si>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</si>
  <si>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</si>
  <si>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</si>
  <si>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</si>
  <si>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</si>
  <si>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</si>
  <si>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</si>
  <si>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</si>
  <si>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</si>
  <si>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</si>
  <si>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</si>
  <si>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</si>
  <si>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150</t>
  </si>
  <si>
    <t>GWL_Item_St_Fc_DU_Rc_02</t>
  </si>
  <si>
    <t>100</t>
  </si>
  <si>
    <t>GWL_Similar_Wf_Rc_St_01</t>
  </si>
  <si>
    <t>GWL_Similar_Wf_Rc_St_02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</si>
  <si>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</si>
  <si>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</si>
  <si>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</si>
  <si>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</si>
  <si>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</si>
  <si>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</si>
  <si>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</si>
  <si>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</si>
  <si>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10982.44785</t>
  </si>
  <si>
    <t>210.997</t>
  </si>
  <si>
    <t>GWL_Dissimilar_02</t>
  </si>
  <si>
    <t>246.355</t>
  </si>
  <si>
    <t>1856.3969</t>
  </si>
  <si>
    <t>291.345</t>
  </si>
  <si>
    <t>373.63</t>
  </si>
  <si>
    <t>10833.72407</t>
  </si>
  <si>
    <t>213.997</t>
  </si>
  <si>
    <t>1813.3685</t>
  </si>
  <si>
    <t>299.345</t>
  </si>
  <si>
    <t>31758.975</t>
  </si>
  <si>
    <t>15667.30815</t>
  </si>
  <si>
    <t>459.666</t>
  </si>
  <si>
    <t>20940.31667</t>
  </si>
  <si>
    <t>6867.90215</t>
  </si>
  <si>
    <t>765.676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</si>
  <si>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</si>
  <si>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</si>
  <si>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</si>
  <si>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</si>
  <si>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</si>
  <si>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</si>
  <si>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</si>
  <si>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</si>
  <si>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</si>
  <si>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</si>
  <si>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</si>
  <si>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</si>
  <si>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</si>
  <si>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</si>
  <si>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</si>
  <si>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</si>
  <si>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</si>
  <si>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</si>
  <si>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</si>
  <si>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</si>
  <si>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</si>
  <si>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</si>
  <si>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</si>
  <si>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</si>
  <si>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</si>
  <si>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</si>
  <si>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</si>
  <si>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</si>
  <si>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</si>
  <si>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</si>
  <si>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</si>
  <si>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</si>
  <si>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</si>
  <si>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</si>
  <si>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</si>
  <si>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</si>
  <si>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</si>
  <si>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</si>
  <si>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</si>
  <si>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</si>
  <si>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</si>
  <si>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</si>
  <si>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</si>
  <si>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</si>
  <si>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</si>
  <si>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</si>
  <si>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</si>
  <si>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2098.43605</t>
  </si>
  <si>
    <t>1992</t>
  </si>
  <si>
    <t>GWL_Item_WoQ_UD_Similar_02</t>
  </si>
  <si>
    <t>82.1175</t>
  </si>
  <si>
    <t>2994.02552</t>
  </si>
  <si>
    <t>533</t>
  </si>
  <si>
    <t>GWL_Item_WoQ_UD_Similar_03</t>
  </si>
  <si>
    <t>43.301</t>
  </si>
  <si>
    <t>1368.20991</t>
  </si>
  <si>
    <t>1164</t>
  </si>
  <si>
    <t>767</t>
  </si>
  <si>
    <t>3193.3048</t>
  </si>
  <si>
    <t>2666.77503</t>
  </si>
  <si>
    <t>680</t>
  </si>
  <si>
    <t>INS</t>
  </si>
  <si>
    <t>1671.19613</t>
  </si>
  <si>
    <t>RM WH</t>
  </si>
  <si>
    <t>6188.00023</t>
  </si>
  <si>
    <t>30</t>
  </si>
  <si>
    <t>GWL_Item_FP_service_01</t>
  </si>
  <si>
    <t>124.544</t>
  </si>
  <si>
    <t>2086.12875</t>
  </si>
  <si>
    <t>747</t>
  </si>
  <si>
    <t>3003.80743</t>
  </si>
  <si>
    <t>2655.24494</t>
  </si>
  <si>
    <t>Purchase Order Amendment</t>
  </si>
  <si>
    <t>2739.99</t>
  </si>
  <si>
    <t>15</t>
  </si>
  <si>
    <t>7959.98728</t>
  </si>
  <si>
    <t>5247.15952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</si>
  <si>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</si>
  <si>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</si>
  <si>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</si>
  <si>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</si>
  <si>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</si>
  <si>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</si>
  <si>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</si>
  <si>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</si>
  <si>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762</t>
  </si>
  <si>
    <t>3047.13629</t>
  </si>
  <si>
    <t>2659.74534</t>
  </si>
  <si>
    <t>732</t>
  </si>
  <si>
    <t>3167.58793</t>
  </si>
  <si>
    <t>2595.52877</t>
  </si>
  <si>
    <t>GWL_Item_FP_service_02</t>
  </si>
  <si>
    <t>GWL_Item_FP_service_03</t>
  </si>
  <si>
    <t>GWL_Item_FP_Rc_01</t>
  </si>
  <si>
    <t>1327.96549</t>
  </si>
  <si>
    <t>850</t>
  </si>
  <si>
    <t>GWL_Item_FP_Rc_02</t>
  </si>
  <si>
    <t>638.41653</t>
  </si>
  <si>
    <t>248</t>
  </si>
  <si>
    <t>GWL_Item_FP_Rc_03</t>
  </si>
  <si>
    <t>50</t>
  </si>
  <si>
    <t>3</t>
  </si>
  <si>
    <t>441.11884</t>
  </si>
  <si>
    <t>640</t>
  </si>
  <si>
    <t>1313.97223</t>
  </si>
  <si>
    <t>860</t>
  </si>
  <si>
    <t>629.58639</t>
  </si>
  <si>
    <t>252</t>
  </si>
  <si>
    <t>434.99857</t>
  </si>
  <si>
    <t>650</t>
  </si>
  <si>
    <t>3714.5</t>
  </si>
  <si>
    <t>788.82195</t>
  </si>
  <si>
    <t>2945</t>
  </si>
  <si>
    <t>6979.9875</t>
  </si>
  <si>
    <t>1983.46111</t>
  </si>
  <si>
    <t>624</t>
  </si>
  <si>
    <t>3680.585</t>
  </si>
  <si>
    <t>1422.26778</t>
  </si>
  <si>
    <t>1820</t>
  </si>
  <si>
    <t>GWL_Item_FP_Pl_Similar_01</t>
  </si>
  <si>
    <t>984.8295</t>
  </si>
  <si>
    <t>855</t>
  </si>
  <si>
    <t>GWL_Item_FP_Pl_Similar_02</t>
  </si>
  <si>
    <t>574.83974</t>
  </si>
  <si>
    <t>280</t>
  </si>
  <si>
    <t>GWL_Item_FP_Pl_Similar_03</t>
  </si>
  <si>
    <t>396.91677</t>
  </si>
  <si>
    <t>720</t>
  </si>
  <si>
    <t>GWL_Item_Moq_01</t>
  </si>
  <si>
    <t>965.16585</t>
  </si>
  <si>
    <t>875</t>
  </si>
  <si>
    <t>561.15301</t>
  </si>
  <si>
    <t>288</t>
  </si>
  <si>
    <t>387.35959</t>
  </si>
  <si>
    <t>740</t>
  </si>
  <si>
    <t>986.49226</t>
  </si>
  <si>
    <t>895</t>
  </si>
  <si>
    <t>641.42056</t>
  </si>
  <si>
    <t>296</t>
  </si>
  <si>
    <t>426.16441</t>
  </si>
  <si>
    <t>760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</si>
  <si>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</si>
  <si>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</si>
  <si>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</si>
  <si>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</si>
  <si>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</si>
  <si>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</si>
  <si>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</si>
  <si>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</si>
  <si>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</si>
  <si>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</si>
  <si>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</si>
  <si>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</si>
  <si>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</si>
  <si>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</si>
  <si>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</si>
  <si>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</si>
  <si>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</si>
  <si>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</si>
  <si>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</si>
  <si>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</si>
  <si>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</si>
  <si>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</si>
  <si>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</si>
  <si>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</si>
  <si>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</si>
  <si>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</si>
  <si>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</si>
  <si>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</si>
  <si>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</si>
  <si>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</si>
  <si>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</si>
  <si>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</si>
  <si>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</si>
  <si>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</si>
  <si>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</si>
  <si>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</si>
  <si>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</si>
  <si>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</si>
  <si>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</si>
  <si>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</si>
  <si>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</si>
  <si>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</si>
  <si>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</si>
  <si>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</si>
  <si>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</si>
  <si>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</si>
  <si>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</si>
  <si>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</si>
  <si>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</si>
  <si>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</si>
  <si>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</si>
  <si>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</si>
  <si>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</si>
  <si>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</si>
  <si>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</si>
  <si>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</si>
  <si>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</si>
  <si>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</si>
  <si>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</si>
  <si>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</si>
  <si>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</si>
  <si>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</si>
  <si>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</si>
  <si>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</si>
  <si>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</si>
  <si>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</si>
  <si>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</si>
  <si>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</si>
  <si>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</si>
  <si>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</si>
  <si>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</si>
  <si>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</si>
  <si>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</si>
  <si>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</si>
  <si>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</si>
  <si>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</si>
  <si>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</si>
  <si>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</si>
  <si>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</si>
  <si>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</si>
  <si>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</si>
  <si>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</si>
  <si>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</si>
  <si>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</si>
  <si>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246.36</t>
  </si>
  <si>
    <t>23.994</t>
  </si>
  <si>
    <t>GWL_Item_Dissimilar_05</t>
  </si>
  <si>
    <t>13.332</t>
  </si>
  <si>
    <t>2857.8</t>
  </si>
  <si>
    <t>129.9</t>
  </si>
  <si>
    <t>59.994</t>
  </si>
  <si>
    <t>4008.26502</t>
  </si>
  <si>
    <t>866</t>
  </si>
  <si>
    <t>82.11833</t>
  </si>
  <si>
    <t>1001.86367</t>
  </si>
  <si>
    <t>270</t>
  </si>
  <si>
    <t>43.30083</t>
  </si>
  <si>
    <t>718.78013</t>
  </si>
  <si>
    <t>700</t>
  </si>
  <si>
    <t>10586.325</t>
  </si>
  <si>
    <t>4038.67518</t>
  </si>
  <si>
    <t>886</t>
  </si>
  <si>
    <t>1067.55661</t>
  </si>
  <si>
    <t>748.57556</t>
  </si>
  <si>
    <t>722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</si>
  <si>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</si>
  <si>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</si>
  <si>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</si>
  <si>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</si>
  <si>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</si>
  <si>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</si>
  <si>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</si>
  <si>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</si>
  <si>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</si>
  <si>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</si>
  <si>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</si>
  <si>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</si>
  <si>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</si>
  <si>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</si>
  <si>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3515.09089</t>
  </si>
  <si>
    <t>210.993</t>
  </si>
  <si>
    <t>GWL_Item_FP_Rc_Dissimilar_02</t>
  </si>
  <si>
    <t>246.35667</t>
  </si>
  <si>
    <t>2613.88645</t>
  </si>
  <si>
    <t>314.68</t>
  </si>
  <si>
    <t>GWL_Item_FP_Rc_Dissimilar_03</t>
  </si>
  <si>
    <t>129.9025</t>
  </si>
  <si>
    <t>1855.88845</t>
  </si>
  <si>
    <t>189.652</t>
  </si>
  <si>
    <t>3471.05032</t>
  </si>
  <si>
    <t>213.993</t>
  </si>
  <si>
    <t>2576.85676</t>
  </si>
  <si>
    <t>319.68</t>
  </si>
  <si>
    <t>1786.02886</t>
  </si>
  <si>
    <t>197.652</t>
  </si>
  <si>
    <t>11143.5</t>
  </si>
  <si>
    <t>3527.49213</t>
  </si>
  <si>
    <t>216.993</t>
  </si>
  <si>
    <t>20940.175</t>
  </si>
  <si>
    <t>3008.32225</t>
  </si>
  <si>
    <t>329.68</t>
  </si>
  <si>
    <t>11041.5</t>
  </si>
  <si>
    <t>2021.55907</t>
  </si>
  <si>
    <t>207.652</t>
  </si>
  <si>
    <t>GWL_Item_FP_Pl_Dissimilar_01</t>
  </si>
  <si>
    <t>4329.63246</t>
  </si>
  <si>
    <t>172.997</t>
  </si>
  <si>
    <t>GWL_Item_FP_Pl_Dissimilar_02</t>
  </si>
  <si>
    <t>2790.32005</t>
  </si>
  <si>
    <t>248.678</t>
  </si>
  <si>
    <t>GWL_Item_FP_Pl_Dissimilar_03</t>
  </si>
  <si>
    <t>2194.83551</t>
  </si>
  <si>
    <t>145.322</t>
  </si>
  <si>
    <t>PoToMRVWOIpSheet</t>
  </si>
  <si>
    <t>4284.42023</t>
  </si>
  <si>
    <t>174.997</t>
  </si>
  <si>
    <t>2730.38636</t>
  </si>
  <si>
    <t>254.678</t>
  </si>
  <si>
    <t>2099.94089</t>
  </si>
  <si>
    <t>152.322</t>
  </si>
  <si>
    <t>4339.51874</t>
  </si>
  <si>
    <t>177.997</t>
  </si>
  <si>
    <t>21812.7</t>
  </si>
  <si>
    <t>2911.1842</t>
  </si>
  <si>
    <t>261.678</t>
  </si>
  <si>
    <t>11383.2</t>
  </si>
  <si>
    <t>2295.91454</t>
  </si>
  <si>
    <t>159.322</t>
  </si>
  <si>
    <t>GWL_Item_Dissimilar_Pl_01</t>
  </si>
  <si>
    <t>79.992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</si>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</sst>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theme/theme1.xml" Type="http://schemas.openxmlformats.org/officeDocument/2006/relationships/theme"/><Relationship Id="rId73" Target="sharedStrings.xml" Type="http://schemas.openxmlformats.org/officeDocument/2006/relationships/sharedStrings"/><Relationship Id="rId74" Target="styles.xml" Type="http://schemas.openxmlformats.org/officeDocument/2006/relationships/style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workbookViewId="0">
      <selection activeCell="K5" sqref="K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10.5714285714286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115.424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115.424</v>
      </c>
      <c r="AS4" s="24" t="s">
        <v>77</v>
      </c>
      <c r="AT4" s="25" t="s">
        <v>76</v>
      </c>
      <c r="AU4" t="s" s="0">
        <v>78</v>
      </c>
      <c r="AV4" t="s" s="0">
        <v>79</v>
      </c>
      <c r="AW4" s="25">
        <f>AM4</f>
        <v>5</v>
      </c>
      <c r="AX4" s="100">
        <f>AR4</f>
        <v>115.424</v>
      </c>
      <c r="AY4" s="25">
        <f>AU4+AW4</f>
        <v>5</v>
      </c>
      <c r="AZ4" s="25">
        <f>ROUND(((AU4*AV4)+(AW4*AX4))/(AU4+AW4),5)</f>
        <v>115.424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79</v>
      </c>
      <c r="BN4" t="s" s="0">
        <v>85</v>
      </c>
      <c r="BO4" s="25">
        <f>ROUND((((AW4*AZ4)+(BN4*BM4))/(AW4+BN4)),5)</f>
        <v>128.962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4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77</v>
      </c>
      <c r="AT5" s="25" t="s">
        <v>76</v>
      </c>
      <c r="AU5" t="s" s="0">
        <v>78</v>
      </c>
      <c r="AV5" t="s" s="0">
        <v>87</v>
      </c>
      <c r="AW5" s="25">
        <f>AM5</f>
        <v>4</v>
      </c>
      <c r="AX5" s="100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87</v>
      </c>
      <c r="BN5" t="s" s="0">
        <v>88</v>
      </c>
      <c r="BO5" s="25">
        <f>ROUND((((AW5*AZ5)+(BN5*BM5))/(AW5+BN5)),5)</f>
        <v>88.17625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172.88</v>
      </c>
      <c r="S6" s="37">
        <f>SUM(S4:S4)</f>
        <v>577.12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103.88</v>
      </c>
      <c r="Y6" s="39"/>
      <c r="Z6" s="39"/>
      <c r="AA6" s="39"/>
      <c r="AB6" s="38">
        <f>SUM(AB4:AB4)</f>
        <v>103.88</v>
      </c>
      <c r="AC6" s="40">
        <f>SUM(AC4:AC4)</f>
        <v>681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577.12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R1" workbookViewId="0">
      <selection activeCell="AM5" sqref="AM5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77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111</v>
      </c>
      <c r="C5" s="19" t="s">
        <v>111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61.07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61.07</v>
      </c>
      <c r="AC5" s="20">
        <f>IF($V3=1,S5+AB5,S5)</f>
        <v>339.26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339.26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77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3" sqref="I3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113</v>
      </c>
      <c r="C4" s="19" t="s">
        <v>113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77</v>
      </c>
      <c r="AT4" s="25" t="s">
        <v>76</v>
      </c>
      <c r="AU4" t="s" s="0">
        <v>78</v>
      </c>
      <c r="AV4" t="s" s="0">
        <v>79</v>
      </c>
      <c r="AW4" s="25">
        <f>AM4</f>
        <v>5</v>
      </c>
      <c r="AX4" s="100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79</v>
      </c>
      <c r="BN4" t="s" s="0">
        <v>85</v>
      </c>
      <c r="BO4" s="25">
        <f>ROUND((((AW4*AZ4)+(BN4*BM4))/(AW4+BN4)),5)</f>
        <v>130.886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114</v>
      </c>
      <c r="C5" s="19" t="s">
        <v>114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77</v>
      </c>
      <c r="AT5" s="25" t="s">
        <v>76</v>
      </c>
      <c r="AU5" t="s" s="0">
        <v>78</v>
      </c>
      <c r="AV5" t="s" s="0">
        <v>87</v>
      </c>
      <c r="AW5" s="25">
        <f>AM5</f>
        <v>4</v>
      </c>
      <c r="AX5" s="100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87</v>
      </c>
      <c r="BN5" t="s" s="0">
        <v>88</v>
      </c>
      <c r="BO5" s="25">
        <f>ROUND((((AW5*AZ5)+(BN5*BM5))/(AW5+BN5)),5)</f>
        <v>88.17625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7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14.96</v>
      </c>
      <c r="R4" s="22">
        <f>ROUND(M4+O4+Q4,3)</f>
        <v>51.21</v>
      </c>
      <c r="S4" s="20">
        <f>(H4-R4)</f>
        <v>198.79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35.78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35.78</v>
      </c>
      <c r="AC4" s="21">
        <f>IF($V2=1,S4+AB4,S4)</f>
        <v>234.57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198.79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39.758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39.758</v>
      </c>
      <c r="AS4" s="24" t="s">
        <v>77</v>
      </c>
      <c r="AT4" s="25" t="s">
        <v>76</v>
      </c>
      <c r="AU4" t="s" s="0">
        <v>78</v>
      </c>
      <c r="AV4" t="s" s="0">
        <v>116</v>
      </c>
      <c r="AW4" s="25">
        <f>AM4</f>
        <v>5</v>
      </c>
      <c r="AX4" s="100">
        <f>AR4</f>
        <v>39.758</v>
      </c>
      <c r="AY4" s="25">
        <f>AU4+AW4</f>
        <v>5</v>
      </c>
      <c r="AZ4" s="25">
        <f>ROUND(((AU4*AV4)+(AW4*AX4))/(AU4+AW4),5)</f>
        <v>39.758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85</v>
      </c>
      <c r="BO4" s="25">
        <f>ROUND((((AW4*AZ4)+(BN4*BM4))/(AW4+BN4)),5)</f>
        <v>43.629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37.6</v>
      </c>
      <c r="P5" s="20">
        <f>ROUND(N5-O5,2)</f>
        <v>338.4</v>
      </c>
      <c r="Q5" s="20">
        <f>ROUND(P5*K5%,2)</f>
        <v>23.69</v>
      </c>
      <c r="R5" s="20">
        <f>M5+O5+Q5</f>
        <v>85.29</v>
      </c>
      <c r="S5" s="20">
        <f>(H5-R5)</f>
        <v>314.71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56.65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56.65</v>
      </c>
      <c r="AC5" s="20">
        <f>IF($V3=1,S5+AB5,S5)</f>
        <v>314.71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314.71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78.6775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78.6775</v>
      </c>
      <c r="AS5" s="24" t="s">
        <v>77</v>
      </c>
      <c r="AT5" s="25" t="s">
        <v>76</v>
      </c>
      <c r="AU5" t="s" s="0">
        <v>78</v>
      </c>
      <c r="AV5" t="s" s="0">
        <v>118</v>
      </c>
      <c r="AW5" s="25">
        <f>AM5</f>
        <v>4</v>
      </c>
      <c r="AX5" s="100">
        <f>AR5</f>
        <v>78.6775</v>
      </c>
      <c r="AY5" s="25">
        <f>AU5+AW5</f>
        <v>4</v>
      </c>
      <c r="AZ5" s="25">
        <f>ROUND(((AU5*AV5)+(AW5*AX5))/(AU5+AW5),5)</f>
        <v>78.6775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86.33875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51.21</v>
      </c>
      <c r="S6" s="37">
        <f>SUM(S4:S4)</f>
        <v>198.79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35.78</v>
      </c>
      <c r="Y6" s="39"/>
      <c r="Z6" s="39"/>
      <c r="AA6" s="39"/>
      <c r="AB6" s="38">
        <f>SUM(AB4:AB4)</f>
        <v>35.78</v>
      </c>
      <c r="AC6" s="40">
        <f>SUM(AC4:AC4)</f>
        <v>234.57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198.79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51.21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198.79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35.78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234.57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9" max="39" customWidth="true" width="17.4285714285714"/>
    <col min="44" max="44" width="9.0"/>
    <col min="50" max="50" customWidth="true" width="16.7142857142857"/>
    <col min="52" max="52" customWidth="true" width="19.4285714285714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78</v>
      </c>
      <c r="AV4" t="s" s="0">
        <v>121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78</v>
      </c>
      <c r="AV5" t="s" s="0">
        <v>126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78</v>
      </c>
      <c r="AV4" t="s" s="0">
        <v>129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130</v>
      </c>
      <c r="BN4" t="s" s="0">
        <v>131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78</v>
      </c>
      <c r="AV5" t="s" s="0">
        <v>126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132</v>
      </c>
      <c r="BN5" t="s" s="0">
        <v>133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7" sqref="E7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5" max="35" width="11.4285714285714"/>
    <col min="40" max="40" customWidth="true" width="22.0"/>
    <col min="44" max="44" customWidth="true" width="11.4285714285714"/>
    <col min="48" max="48" width="12.8571428571429"/>
    <col min="50" max="50" customWidth="true" width="16.7142857142857"/>
    <col min="52" max="52" customWidth="true" width="19.4285714285714"/>
    <col min="64" max="64" customWidth="true" width="11.0"/>
    <col min="65" max="65" width="11.7142857142857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78</v>
      </c>
      <c r="AV4" t="s" s="0">
        <v>134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135</v>
      </c>
      <c r="BN4" t="s" s="0">
        <v>136</v>
      </c>
      <c r="BO4" s="25">
        <f>ROUND((((AW4*AZ4)+(BN4*BM4))/(AW4+BN4)),5)</f>
        <v>11476.84362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739.07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62820.95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120</v>
      </c>
      <c r="AT5" s="25" t="s">
        <v>76</v>
      </c>
      <c r="AU5" t="s" s="0">
        <v>78</v>
      </c>
      <c r="AV5" t="s" s="0">
        <v>137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138</v>
      </c>
      <c r="BN5" t="s" s="0">
        <v>139</v>
      </c>
      <c r="BO5" s="25">
        <f>ROUND((((AW5*AZ5)+(BN5*BM5))/(AW5+BN5)),5)</f>
        <v>2560.21462</v>
      </c>
      <c r="BP5" s="31">
        <f>ROUND(BN5+AW5,3)</f>
        <v>316.012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900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140</v>
      </c>
      <c r="B3" s="112" t="s">
        <v>10</v>
      </c>
      <c r="C3" s="113" t="s">
        <v>141</v>
      </c>
      <c r="D3" s="112" t="s">
        <v>12</v>
      </c>
      <c r="E3" s="112" t="s">
        <v>13</v>
      </c>
      <c r="F3" s="114" t="s">
        <v>142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143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144</v>
      </c>
      <c r="T3" s="112" t="s">
        <v>28</v>
      </c>
      <c r="U3" s="13" t="s">
        <v>145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146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149</v>
      </c>
      <c r="AT4" s="25" t="s">
        <v>76</v>
      </c>
      <c r="AU4" s="5" t="s">
        <v>150</v>
      </c>
      <c r="AV4" s="5" t="s">
        <v>151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152</v>
      </c>
      <c r="BM4" s="5" t="s">
        <v>153</v>
      </c>
      <c r="BN4" s="5" t="s">
        <v>154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155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156</v>
      </c>
      <c r="AV5" t="s" s="0">
        <v>157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158</v>
      </c>
      <c r="BN5" t="s" s="0">
        <v>159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162</v>
      </c>
      <c r="AV6" t="s" s="0">
        <v>163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164</v>
      </c>
      <c r="BM6" t="s" s="0">
        <v>78</v>
      </c>
      <c r="BN6" t="s" s="0">
        <v>78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85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165</v>
      </c>
      <c r="C4" s="19" t="s">
        <v>165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166</v>
      </c>
      <c r="AV4" t="s" s="0">
        <v>167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85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168</v>
      </c>
      <c r="C5" s="19" t="s">
        <v>168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169</v>
      </c>
      <c r="AV5" t="s" s="0">
        <v>157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170</v>
      </c>
      <c r="BN5" t="s" s="0">
        <v>171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172</v>
      </c>
      <c r="C6" s="19" t="s">
        <v>172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173</v>
      </c>
      <c r="AV6" t="s" s="0">
        <v>163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174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175</v>
      </c>
      <c r="AV4" t="s" s="0">
        <v>176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177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155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179</v>
      </c>
      <c r="AV5" t="s" s="0">
        <v>180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181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160</v>
      </c>
      <c r="C6" s="19" t="s">
        <v>161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182</v>
      </c>
      <c r="AV6" t="s" s="0">
        <v>183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184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185</v>
      </c>
      <c r="C4" t="s" s="0">
        <v>185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78</v>
      </c>
      <c r="BN4" t="s" s="0">
        <v>78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P1" workbookViewId="0">
      <selection activeCell="AA2" sqref="AA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187</v>
      </c>
      <c r="BN4" t="s" s="0">
        <v>188</v>
      </c>
      <c r="BO4" s="25">
        <f t="shared" ref="BO4:BO6" si="16">ROUND((((AW4*AZ4)+(BN4*BM4))/(AW4+BN4)),5)</f>
        <v>4053.63558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78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191</v>
      </c>
      <c r="BN5" t="s" s="0">
        <v>192</v>
      </c>
      <c r="BO5" s="25">
        <f t="shared" si="16"/>
        <v>82.11993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193</v>
      </c>
      <c r="C6" s="19" t="s">
        <v>193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78</v>
      </c>
      <c r="AV6" t="s" s="0">
        <v>194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195</v>
      </c>
      <c r="BN6" t="s" s="0">
        <v>196</v>
      </c>
      <c r="BO6" s="25">
        <f t="shared" si="16"/>
        <v>43.30003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R1" workbookViewId="0">
      <selection activeCell="AT8" sqref="AT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197</v>
      </c>
      <c r="AV4" t="s" s="0">
        <v>198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199</v>
      </c>
      <c r="BN4" t="s" s="0">
        <v>200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197</v>
      </c>
      <c r="AV7" t="s" s="0">
        <v>198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199</v>
      </c>
      <c r="BN7" t="s" s="0">
        <v>200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K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162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777</v>
      </c>
      <c r="AZ4" s="25">
        <f>ROUND(((AU4*AV4)+(AW4*AX4))/(AU4+AW4),5)</f>
        <v>4865.16367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3720.81297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162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772</v>
      </c>
      <c r="AZ7" s="25">
        <f>ROUND(((AU7*AV7)+(AW7*AX7))/(AU7+AW7),5)</f>
        <v>6445.36956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3783.07799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206</v>
      </c>
      <c r="C4" s="111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162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206</v>
      </c>
      <c r="C7" s="111" t="s">
        <v>206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162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A1" workbookViewId="0">
      <selection activeCell="AT4" sqref="AT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201</v>
      </c>
      <c r="AT4" s="25" t="s">
        <v>76</v>
      </c>
      <c r="AU4" t="s" s="0">
        <v>85</v>
      </c>
      <c r="AV4" t="s" s="0">
        <v>207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208</v>
      </c>
      <c r="BN4" t="s" s="0">
        <v>205</v>
      </c>
      <c r="BO4" s="25">
        <f>ROUND((((AW4*AZ4)+(BN4*BM4))/(AW4+BN4)),5)</f>
        <v>5355.435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201</v>
      </c>
      <c r="AT7" s="25" t="s">
        <v>76</v>
      </c>
      <c r="AU7" t="s" s="0">
        <v>85</v>
      </c>
      <c r="AV7" t="s" s="0">
        <v>207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10586.24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208</v>
      </c>
      <c r="BN7" t="s" s="0">
        <v>205</v>
      </c>
      <c r="BO7" s="25">
        <f>ROUND((((AW7*AZ7)+(BN7*BM7))/(AW7+BN7)),5)</f>
        <v>3611.77667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L6" sqref="L6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209</v>
      </c>
      <c r="AV4" t="s" s="0">
        <v>210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211</v>
      </c>
      <c r="BN4" t="s" s="0">
        <v>200</v>
      </c>
      <c r="BO4" s="25">
        <f>ROUND((((AW4*AZ4)+(BN4*BM4))/(AW4+BN4)),5)</f>
        <v>2595.52877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209</v>
      </c>
      <c r="AV7" t="s" s="0">
        <v>210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211</v>
      </c>
      <c r="BN7" t="s" s="0">
        <v>200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O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78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757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213</v>
      </c>
      <c r="BN4" t="s" s="0">
        <v>205</v>
      </c>
      <c r="BO4" s="25">
        <f>ROUND((((AW4*AZ4)+(BN4*BM4))/(AW4+BN4)),5)</f>
        <v>2739.99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78</v>
      </c>
      <c r="AV7" t="s" s="0">
        <v>167</v>
      </c>
      <c r="AW7" s="25">
        <f>AM7</f>
        <v>5</v>
      </c>
      <c r="AX7" s="25">
        <f>AR7</f>
        <v>124.544</v>
      </c>
      <c r="AY7" s="25">
        <f>AU7+AW7</f>
        <v>752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213</v>
      </c>
      <c r="BN7" t="s" s="0">
        <v>205</v>
      </c>
      <c r="BO7" s="25">
        <f>ROUND((((AW7*AZ7)+(BN7*BM7))/(AW7+BN7)),5)</f>
        <v>3113.62486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M2" sqref="M2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201</v>
      </c>
      <c r="AT4" s="25" t="s">
        <v>76</v>
      </c>
      <c r="AU4" t="s" s="0">
        <v>214</v>
      </c>
      <c r="AV4" t="s" s="0">
        <v>215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6209.09547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216</v>
      </c>
      <c r="BN4" t="s" s="0">
        <v>205</v>
      </c>
      <c r="BO4" s="25">
        <f>ROUND((((AW4*AZ4)+(BN4*BM4))/(AW4+BN4)),5)</f>
        <v>4342.8836</v>
      </c>
      <c r="BP4" s="31">
        <f>ROUND(BN4+AW4,3)</f>
        <v>40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201</v>
      </c>
      <c r="AT7" s="25" t="s">
        <v>76</v>
      </c>
      <c r="AU7" t="s" s="0">
        <v>214</v>
      </c>
      <c r="AV7" t="s" s="0">
        <v>215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5114.76684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216</v>
      </c>
      <c r="BN7" t="s" s="0">
        <v>205</v>
      </c>
      <c r="BO7" s="25">
        <f>ROUND((((AW7*AZ7)+(BN7*BM7))/(AW7+BN7)),5)</f>
        <v>3919.94924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N5" sqref="BN5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217</v>
      </c>
      <c r="BN4" t="s" s="0">
        <v>218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 s="0">
        <v>78</v>
      </c>
      <c r="AV7" t="s" s="0">
        <v>167</v>
      </c>
      <c r="AW7" s="25">
        <f>AM7</f>
        <v>30</v>
      </c>
      <c r="AX7" s="25">
        <f>AR7</f>
        <v>124.545</v>
      </c>
      <c r="AY7" s="25">
        <f>AU7+AW7</f>
        <v>45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217</v>
      </c>
      <c r="BN7" t="s" s="0">
        <v>218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206</v>
      </c>
      <c r="C4" s="105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217</v>
      </c>
      <c r="BN4" t="s" s="0">
        <v>218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206</v>
      </c>
      <c r="C7" s="105" t="s">
        <v>206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120</v>
      </c>
      <c r="AT7" s="25" t="s">
        <v>76</v>
      </c>
      <c r="AU7" t="s" s="0">
        <v>78</v>
      </c>
      <c r="AV7" t="s" s="0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217</v>
      </c>
      <c r="BN7" t="s" s="0">
        <v>218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C3" sqref="C3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201</v>
      </c>
      <c r="AT4" s="25" t="s">
        <v>76</v>
      </c>
      <c r="AU4" t="s" s="0">
        <v>78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219</v>
      </c>
      <c r="BN4" t="s" s="0">
        <v>220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336.27</v>
      </c>
      <c r="W7" s="20">
        <f>IF($C$2=1,ROUND((((S7*U7)/100)/2),2),0)</f>
        <v>336.27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201</v>
      </c>
      <c r="AT7" s="25" t="s">
        <v>76</v>
      </c>
      <c r="AU7" t="s" s="0">
        <v>78</v>
      </c>
      <c r="AV7" t="s" s="0">
        <v>167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219</v>
      </c>
      <c r="BN7" t="s" s="0">
        <v>220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11" sqref="D11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201</v>
      </c>
      <c r="AT4" s="25" t="s">
        <v>76</v>
      </c>
      <c r="AU4" t="s" s="0">
        <v>78</v>
      </c>
      <c r="AV4" t="s" s="0">
        <v>110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221</v>
      </c>
      <c r="BN4" t="s" s="0">
        <v>222</v>
      </c>
      <c r="BO4" s="25">
        <f>ROUND((((AW4*AZ4)+(BN4*BM4))/(AW4+BN4)),5)</f>
        <v>138.1153</v>
      </c>
      <c r="BP4" s="31">
        <f>ROUND(BN4+AW4,3)</f>
        <v>190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78</v>
      </c>
      <c r="AV7" t="s" s="0">
        <v>110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221</v>
      </c>
      <c r="BN7" t="s" s="0">
        <v>222</v>
      </c>
      <c r="BO7" s="25">
        <f>ROUND((((AW7*AZ7)+(BN7*BM7))/(AW7+BN7)),5)</f>
        <v>138.48204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D1" workbookViewId="0">
      <selection activeCell="F8" sqref="F8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223</v>
      </c>
      <c r="BN4" t="s" s="0">
        <v>224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186</v>
      </c>
      <c r="C7" s="19" t="s">
        <v>186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120</v>
      </c>
      <c r="AT7" s="25" t="s">
        <v>76</v>
      </c>
      <c r="AU7" t="s" s="0">
        <v>78</v>
      </c>
      <c r="AV7" t="s" s="0">
        <v>167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223</v>
      </c>
      <c r="BN7" t="s" s="0">
        <v>224</v>
      </c>
      <c r="BO7" s="25">
        <f>ROUND((((AW7*AZ7)+(BN7*BM7))/(AW7+BN7)),5)</f>
        <v>1987.52784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F14" sqref="F1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customWidth="true" width="14.7142857142857"/>
    <col min="40" max="40" width="9.0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225</v>
      </c>
      <c r="AV4" t="s" s="0">
        <v>226</v>
      </c>
      <c r="AW4" s="25">
        <f>AM4</f>
        <v>10</v>
      </c>
      <c r="AX4" s="26">
        <f>AR4</f>
        <v>10586.325</v>
      </c>
      <c r="AY4" s="25">
        <f>AU4+AW4</f>
        <v>757</v>
      </c>
      <c r="AZ4" s="25">
        <f>ROUND(((AU4*AV4)+(AW4*AX4))/(AU4+AW4),5)</f>
        <v>3103.97279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227</v>
      </c>
      <c r="BN4" t="s" s="0">
        <v>200</v>
      </c>
      <c r="BO4" s="25">
        <f>ROUND((((AW4*AZ4)+(BN4*BM4))/(AW4+BN4)),5)</f>
        <v>2661.74824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225</v>
      </c>
      <c r="AV7" t="s" s="0">
        <v>226</v>
      </c>
      <c r="AW7" s="25">
        <f>AM7</f>
        <v>5</v>
      </c>
      <c r="AX7" s="25">
        <f>AR7</f>
        <v>10586.24</v>
      </c>
      <c r="AY7" s="25">
        <f>AU7+AW7</f>
        <v>752</v>
      </c>
      <c r="AZ7" s="25">
        <f>ROUND(((AU7*AV7)+(AW7*AX7))/(AU7+AW7),5)</f>
        <v>3054.22254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227</v>
      </c>
      <c r="BN7" t="s" s="0">
        <v>200</v>
      </c>
      <c r="BO7" s="25">
        <f>ROUND((((AW7*AZ7)+(BN7*BM7))/(AW7+BN7)),5)</f>
        <v>2658.15719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147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228</v>
      </c>
      <c r="AV4" t="s" s="0">
        <v>229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230</v>
      </c>
      <c r="BN4" t="s" s="0">
        <v>200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147</v>
      </c>
      <c r="C7" s="19" t="s">
        <v>147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120</v>
      </c>
      <c r="AT7" s="25" t="s">
        <v>76</v>
      </c>
      <c r="AU7" t="s" s="0">
        <v>228</v>
      </c>
      <c r="AV7" t="s" s="0">
        <v>229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122</v>
      </c>
      <c r="BM7" t="s" s="0">
        <v>230</v>
      </c>
      <c r="BN7" t="s" s="0">
        <v>200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89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90</v>
      </c>
      <c r="H10" s="43"/>
      <c r="I10" s="44">
        <f>H8</f>
        <v>1500</v>
      </c>
      <c r="J10" s="44"/>
      <c r="K10" s="4"/>
      <c r="L10" s="4"/>
      <c r="M10" s="45" t="s">
        <v>91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92</v>
      </c>
      <c r="BI10" s="121" t="s">
        <v>93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94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95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96</v>
      </c>
      <c r="BI11" s="121" t="s">
        <v>97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98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100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95</v>
      </c>
      <c r="O13" s="19">
        <v>0.001</v>
      </c>
      <c r="P13" s="19" t="s">
        <v>101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102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103</v>
      </c>
      <c r="BN15" s="4" t="s">
        <v>104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105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106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107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108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206</v>
      </c>
      <c r="C4" s="105" t="s">
        <v>206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231</v>
      </c>
      <c r="C5" s="107" t="s">
        <v>231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232</v>
      </c>
      <c r="C6" s="107" t="s">
        <v>232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206</v>
      </c>
      <c r="C4" s="105" t="s">
        <v>206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231</v>
      </c>
      <c r="C5" s="107" t="s">
        <v>231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232</v>
      </c>
      <c r="C6" s="107" t="s">
        <v>232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100</v>
      </c>
      <c r="G4" t="s" s="0">
        <v>110</v>
      </c>
      <c r="H4" s="20">
        <f t="shared" ref="H4:H6" si="0">F4*G4</f>
        <v>15000</v>
      </c>
      <c r="I4" t="s" s="0">
        <v>85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234</v>
      </c>
      <c r="BN4" t="s" s="0">
        <v>235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78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237</v>
      </c>
      <c r="BN5" t="s" s="0">
        <v>238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78</v>
      </c>
      <c r="AV6" t="s" s="0">
        <v>194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242</v>
      </c>
      <c r="BN6" t="s" s="0">
        <v>243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4" sqref="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100</v>
      </c>
      <c r="G4" t="s" s="0">
        <v>110</v>
      </c>
      <c r="H4" s="20">
        <f>F4*G4</f>
        <v>15000</v>
      </c>
      <c r="I4" t="s" s="0">
        <v>85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234</v>
      </c>
      <c r="BN4" t="s" s="0">
        <v>235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8" sqref="BL8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244</v>
      </c>
      <c r="BN4" t="s" s="0">
        <v>245</v>
      </c>
      <c r="BO4" s="25">
        <f t="shared" ref="BO4:BO6" si="15">ROUND((((AW4*AZ4)+(BN4*BM4))/(AW4+BN4)),5)</f>
        <v>979.20383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78</v>
      </c>
      <c r="AV5" t="s" s="0">
        <v>190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246</v>
      </c>
      <c r="BN5" t="s" s="0">
        <v>247</v>
      </c>
      <c r="BO5" s="25">
        <f t="shared" si="15"/>
        <v>375.6508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78</v>
      </c>
      <c r="AV6" t="s" s="0">
        <v>194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248</v>
      </c>
      <c r="BN6" t="s" s="0">
        <v>249</v>
      </c>
      <c r="BO6" s="25">
        <f t="shared" si="15"/>
        <v>198.07628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N1" workbookViewId="0">
      <selection activeCell="AX10" sqref="AX10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250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251</v>
      </c>
      <c r="BN4" t="s" s="0">
        <v>252</v>
      </c>
      <c r="BO4" s="25">
        <f t="shared" ref="BO4:BO6" si="16">ROUND((((AW4*AZ4)+(BN4*BM4))/(AW4+BN4)),5)</f>
        <v>786.57397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78</v>
      </c>
      <c r="AV5" t="s" s="0">
        <v>253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254</v>
      </c>
      <c r="BN5" t="s" s="0">
        <v>255</v>
      </c>
      <c r="BO5" s="25">
        <f t="shared" si="16"/>
        <v>1971.35064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78</v>
      </c>
      <c r="AV6" t="s" s="0">
        <v>256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257</v>
      </c>
      <c r="BN6" t="s" s="0">
        <v>258</v>
      </c>
      <c r="BO6" s="25">
        <f t="shared" si="16"/>
        <v>1414.73244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259</v>
      </c>
      <c r="C4" s="19" t="s">
        <v>259</v>
      </c>
      <c r="D4" s="19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260</v>
      </c>
      <c r="BN4" t="s" s="0">
        <v>261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262</v>
      </c>
      <c r="C5" s="19" t="s">
        <v>262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78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263</v>
      </c>
      <c r="BN5" t="s" s="0">
        <v>264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265</v>
      </c>
      <c r="C6" s="19" t="s">
        <v>265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78</v>
      </c>
      <c r="AV6" t="s" s="0">
        <v>194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266</v>
      </c>
      <c r="BN6" t="s" s="0">
        <v>267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9" max="49" width="12.847619047619"/>
    <col min="50" max="50" width="9.0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268</v>
      </c>
      <c r="C4" s="19" t="s">
        <v>268</v>
      </c>
      <c r="D4" s="19" t="s">
        <v>76</v>
      </c>
      <c r="E4" s="19" t="s">
        <v>76</v>
      </c>
      <c r="F4" s="20">
        <v>100</v>
      </c>
      <c r="G4" t="s" s="0">
        <v>110</v>
      </c>
      <c r="H4" s="20">
        <f>F4*G4</f>
        <v>15000</v>
      </c>
      <c r="I4" t="s" s="0">
        <v>85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112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21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21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259</v>
      </c>
      <c r="C4" s="19" t="s">
        <v>259</v>
      </c>
      <c r="D4" s="19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269</v>
      </c>
      <c r="BN4" t="s" s="0">
        <v>270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262</v>
      </c>
      <c r="C5" s="19" t="s">
        <v>262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78</v>
      </c>
      <c r="AV5" t="s" s="0">
        <v>190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271</v>
      </c>
      <c r="BN5" t="s" s="0">
        <v>272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265</v>
      </c>
      <c r="C6" s="19" t="s">
        <v>265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78</v>
      </c>
      <c r="AV6" t="s" s="0">
        <v>194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273</v>
      </c>
      <c r="BN6" t="s" s="0">
        <v>274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5" sqref="K2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259</v>
      </c>
      <c r="C4" s="19" t="s">
        <v>259</v>
      </c>
      <c r="D4" s="19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78</v>
      </c>
      <c r="AV4" t="s" s="0">
        <v>250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275</v>
      </c>
      <c r="BN4" t="s" s="0">
        <v>276</v>
      </c>
      <c r="BO4" s="25">
        <f t="shared" ref="BO4:BO6" si="15">ROUND((((AW4*AZ4)+(BN4*BM4))/(AW4+BN4)),5)</f>
        <v>942.59091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262</v>
      </c>
      <c r="C5" s="19" t="s">
        <v>262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78</v>
      </c>
      <c r="AV5" t="s" s="0">
        <v>253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277</v>
      </c>
      <c r="BN5" t="s" s="0">
        <v>278</v>
      </c>
      <c r="BO5" s="25">
        <f t="shared" si="15"/>
        <v>358.03895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265</v>
      </c>
      <c r="C6" s="19" t="s">
        <v>265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78</v>
      </c>
      <c r="AV6" t="s" s="0">
        <v>256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279</v>
      </c>
      <c r="BN6" t="s" s="0">
        <v>280</v>
      </c>
      <c r="BO6" s="25">
        <f t="shared" si="15"/>
        <v>188.7897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281</v>
      </c>
      <c r="C4" s="105" t="s">
        <v>281</v>
      </c>
      <c r="D4" s="106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282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110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7" t="s">
        <v>283</v>
      </c>
      <c r="D5" s="106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284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285</v>
      </c>
      <c r="C6" s="107" t="s">
        <v>285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112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112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281</v>
      </c>
      <c r="C4" s="105" t="s">
        <v>281</v>
      </c>
      <c r="D4" s="106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282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110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7" t="s">
        <v>283</v>
      </c>
      <c r="D5" s="106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284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285</v>
      </c>
      <c r="C6" s="107" t="s">
        <v>285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112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112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281</v>
      </c>
      <c r="C4" s="105" t="s">
        <v>281</v>
      </c>
      <c r="D4" s="106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282</v>
      </c>
      <c r="AV4" t="s" s="0">
        <v>167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110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7" t="s">
        <v>283</v>
      </c>
      <c r="D5" s="106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284</v>
      </c>
      <c r="AV5" t="s" s="0">
        <v>157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284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285</v>
      </c>
      <c r="C6" s="107" t="s">
        <v>285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112</v>
      </c>
      <c r="AV6" t="s" s="0">
        <v>163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112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286</v>
      </c>
      <c r="C4" s="105" t="s">
        <v>286</v>
      </c>
      <c r="D4" s="106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282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110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287</v>
      </c>
      <c r="C5" s="105" t="s">
        <v>287</v>
      </c>
      <c r="D5" s="106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284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288</v>
      </c>
      <c r="C6" s="108" t="s">
        <v>288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112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112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286</v>
      </c>
      <c r="C4" s="105" t="s">
        <v>286</v>
      </c>
      <c r="D4" s="106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282</v>
      </c>
      <c r="AV4" t="s" s="0">
        <v>167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110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287</v>
      </c>
      <c r="C5" s="105" t="s">
        <v>287</v>
      </c>
      <c r="D5" s="106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284</v>
      </c>
      <c r="AV5" t="s" s="0">
        <v>157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284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288</v>
      </c>
      <c r="C6" s="108" t="s">
        <v>288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112</v>
      </c>
      <c r="AV6" t="s" s="0">
        <v>163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112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286</v>
      </c>
      <c r="C4" s="105" t="s">
        <v>286</v>
      </c>
      <c r="D4" s="106" t="s">
        <v>76</v>
      </c>
      <c r="E4" s="19" t="s">
        <v>76</v>
      </c>
      <c r="F4" s="20">
        <v>10</v>
      </c>
      <c r="G4" t="s" s="0">
        <v>110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282</v>
      </c>
      <c r="AV4" t="s" s="0">
        <v>167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110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287</v>
      </c>
      <c r="C5" s="105" t="s">
        <v>287</v>
      </c>
      <c r="D5" s="106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284</v>
      </c>
      <c r="AV5" t="s" s="0">
        <v>157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284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288</v>
      </c>
      <c r="C6" s="108" t="s">
        <v>288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112</v>
      </c>
      <c r="AV6" t="s" s="0">
        <v>163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112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289</v>
      </c>
      <c r="C4" s="19" t="s">
        <v>289</v>
      </c>
      <c r="D4" s="19" t="s">
        <v>76</v>
      </c>
      <c r="E4" s="19" t="s">
        <v>76</v>
      </c>
      <c r="F4" s="20">
        <v>5</v>
      </c>
      <c r="G4" t="s" s="0">
        <v>240</v>
      </c>
      <c r="H4" s="20">
        <f>F4*G4</f>
        <v>250</v>
      </c>
      <c r="I4" t="s" s="0">
        <v>85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290</v>
      </c>
      <c r="AV4" t="s" s="0">
        <v>291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78</v>
      </c>
      <c r="BN4" t="s" s="0">
        <v>78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292</v>
      </c>
      <c r="C5" s="19" t="s">
        <v>292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293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294</v>
      </c>
      <c r="AV5" t="s" s="0">
        <v>295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78</v>
      </c>
      <c r="BN5" t="s" s="0">
        <v>78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296</v>
      </c>
      <c r="C6" s="19" t="s">
        <v>296</v>
      </c>
      <c r="D6" s="19" t="s">
        <v>76</v>
      </c>
      <c r="E6" s="19" t="s">
        <v>76</v>
      </c>
      <c r="F6" s="20">
        <v>10</v>
      </c>
      <c r="G6" t="s" s="0">
        <v>110</v>
      </c>
      <c r="H6" s="20">
        <f>F6*G6</f>
        <v>1500</v>
      </c>
      <c r="I6" t="s" s="0">
        <v>297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298</v>
      </c>
      <c r="AV6" t="s" s="0">
        <v>299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78</v>
      </c>
      <c r="BN6" t="s" s="0">
        <v>78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289</v>
      </c>
      <c r="C4" s="19" t="s">
        <v>289</v>
      </c>
      <c r="D4" s="19" t="s">
        <v>76</v>
      </c>
      <c r="E4" s="19" t="s">
        <v>76</v>
      </c>
      <c r="F4" s="20">
        <v>5</v>
      </c>
      <c r="G4" t="s" s="0">
        <v>240</v>
      </c>
      <c r="H4" s="20">
        <f t="shared" ref="H4:H6" si="0">F4*G4</f>
        <v>250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120</v>
      </c>
      <c r="AT4" s="25" t="s">
        <v>76</v>
      </c>
      <c r="AU4" t="s" s="0">
        <v>300</v>
      </c>
      <c r="AV4" t="s" s="0">
        <v>301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78</v>
      </c>
      <c r="BN4" t="s" s="0">
        <v>78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292</v>
      </c>
      <c r="C5" s="19" t="s">
        <v>292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293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120</v>
      </c>
      <c r="AT5" s="25" t="s">
        <v>76</v>
      </c>
      <c r="AU5" t="s" s="0">
        <v>302</v>
      </c>
      <c r="AV5" t="s" s="0">
        <v>303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78</v>
      </c>
      <c r="BN5" t="s" s="0">
        <v>78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296</v>
      </c>
      <c r="C6" s="19" t="s">
        <v>296</v>
      </c>
      <c r="D6" s="19" t="s">
        <v>76</v>
      </c>
      <c r="E6" s="19" t="s">
        <v>76</v>
      </c>
      <c r="F6" s="20">
        <v>10</v>
      </c>
      <c r="G6" t="s" s="0">
        <v>110</v>
      </c>
      <c r="H6" s="20">
        <f t="shared" si="0"/>
        <v>1500</v>
      </c>
      <c r="I6" t="s" s="0">
        <v>297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120</v>
      </c>
      <c r="AT6" s="25" t="s">
        <v>76</v>
      </c>
      <c r="AU6" t="s" s="0">
        <v>110</v>
      </c>
      <c r="AV6" t="s" s="0">
        <v>304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78</v>
      </c>
      <c r="BN6" t="s" s="0">
        <v>78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305</v>
      </c>
      <c r="C4" s="19" t="s">
        <v>305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77</v>
      </c>
      <c r="AT4" s="25" t="s">
        <v>76</v>
      </c>
      <c r="AU4" t="s" s="0">
        <v>85</v>
      </c>
      <c r="AV4" t="s" s="0">
        <v>79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306</v>
      </c>
      <c r="C5" s="19" t="s">
        <v>306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77</v>
      </c>
      <c r="AT5" s="25" t="s">
        <v>76</v>
      </c>
      <c r="AU5" t="s" s="0">
        <v>85</v>
      </c>
      <c r="AV5" t="s" s="0">
        <v>307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308</v>
      </c>
      <c r="C4" s="19" t="s">
        <v>308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77</v>
      </c>
      <c r="AT4" s="25" t="s">
        <v>76</v>
      </c>
      <c r="AU4" t="s" s="0">
        <v>85</v>
      </c>
      <c r="AV4" t="s" s="0">
        <v>79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309</v>
      </c>
      <c r="C5" s="19" t="s">
        <v>309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77</v>
      </c>
      <c r="AT5" s="25" t="s">
        <v>76</v>
      </c>
      <c r="AU5" t="s" s="0">
        <v>85</v>
      </c>
      <c r="AV5" t="s" s="0">
        <v>307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310</v>
      </c>
      <c r="C4" s="19" t="s">
        <v>310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77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311</v>
      </c>
      <c r="C5" s="19" t="s">
        <v>311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77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312</v>
      </c>
      <c r="C4" s="19" t="s">
        <v>312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77</v>
      </c>
      <c r="AT4" s="25" t="s">
        <v>76</v>
      </c>
      <c r="AU4" t="s" s="0">
        <v>78</v>
      </c>
      <c r="AV4" t="s" s="0">
        <v>79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313</v>
      </c>
      <c r="BN4" t="s" s="0">
        <v>314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315</v>
      </c>
      <c r="C5" s="19" t="s">
        <v>315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77</v>
      </c>
      <c r="AT5" s="25" t="s">
        <v>76</v>
      </c>
      <c r="AU5" t="s" s="0">
        <v>78</v>
      </c>
      <c r="AV5" t="s" s="0">
        <v>87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316</v>
      </c>
      <c r="BN5" t="s" s="0">
        <v>317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318</v>
      </c>
      <c r="C4" s="19" t="s">
        <v>318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77</v>
      </c>
      <c r="AT4" s="25" t="s">
        <v>76</v>
      </c>
      <c r="AU4" t="s" s="0">
        <v>78</v>
      </c>
      <c r="AV4" t="s" s="0">
        <v>79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313</v>
      </c>
      <c r="BN4" t="s" s="0">
        <v>314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319</v>
      </c>
      <c r="C5" s="19" t="s">
        <v>319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77</v>
      </c>
      <c r="AT5" s="25" t="s">
        <v>76</v>
      </c>
      <c r="AU5" t="s" s="0">
        <v>78</v>
      </c>
      <c r="AV5" t="s" s="0">
        <v>87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316</v>
      </c>
      <c r="BN5" t="s" s="0">
        <v>317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320</v>
      </c>
      <c r="C4" s="19" t="s">
        <v>320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77</v>
      </c>
      <c r="AT4" s="25" t="s">
        <v>76</v>
      </c>
      <c r="AU4" t="s" s="0">
        <v>321</v>
      </c>
      <c r="AV4" t="s" s="0">
        <v>322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323</v>
      </c>
      <c r="BN4" t="s" s="0">
        <v>324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325</v>
      </c>
      <c r="C5" s="19" t="s">
        <v>325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77</v>
      </c>
      <c r="AT5" s="25" t="s">
        <v>76</v>
      </c>
      <c r="AU5" t="s" s="0">
        <v>294</v>
      </c>
      <c r="AV5" t="s" s="0">
        <v>326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327</v>
      </c>
      <c r="BN5" t="s" s="0">
        <v>328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21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21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329</v>
      </c>
      <c r="C4" s="19" t="s">
        <v>329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214</v>
      </c>
      <c r="AV4" t="s" s="0">
        <v>330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85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331</v>
      </c>
      <c r="C5" s="19" t="s">
        <v>331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332</v>
      </c>
      <c r="AV5" t="s" s="0">
        <v>333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333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334</v>
      </c>
      <c r="C6" s="102" t="s">
        <v>334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>F6*G6</f>
        <v>500</v>
      </c>
      <c r="I6" t="s" s="0">
        <v>241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205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329</v>
      </c>
      <c r="C4" s="19" t="s">
        <v>329</v>
      </c>
      <c r="D4" s="19" t="s">
        <v>76</v>
      </c>
      <c r="E4" s="19" t="s">
        <v>76</v>
      </c>
      <c r="F4" s="20">
        <v>5</v>
      </c>
      <c r="G4" t="s" s="0">
        <v>110</v>
      </c>
      <c r="H4" s="20">
        <f t="shared" ref="H4:H6" si="0">F4*G4</f>
        <v>750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214</v>
      </c>
      <c r="AV4" t="s" s="0">
        <v>330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85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331</v>
      </c>
      <c r="C5" s="19" t="s">
        <v>331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332</v>
      </c>
      <c r="AV5" t="s" s="0">
        <v>333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333</v>
      </c>
      <c r="BN5" t="s" s="0">
        <v>88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334</v>
      </c>
      <c r="C6" s="102" t="s">
        <v>334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205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335</v>
      </c>
      <c r="C4" s="19" t="s">
        <v>335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214</v>
      </c>
      <c r="AV4" t="s" s="0">
        <v>336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167</v>
      </c>
      <c r="BN4" t="s" s="0">
        <v>290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337</v>
      </c>
      <c r="C5" s="19" t="s">
        <v>337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338</v>
      </c>
      <c r="AV5" t="s" s="0">
        <v>339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302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340</v>
      </c>
      <c r="C6" s="102" t="s">
        <v>340</v>
      </c>
      <c r="D6" s="19" t="s">
        <v>76</v>
      </c>
      <c r="E6" s="19" t="s">
        <v>76</v>
      </c>
      <c r="F6" s="20">
        <v>20</v>
      </c>
      <c r="G6" t="s" s="0">
        <v>240</v>
      </c>
      <c r="H6" s="20">
        <f>F6*G6</f>
        <v>1000</v>
      </c>
      <c r="I6" t="s" s="0">
        <v>241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341</v>
      </c>
      <c r="AV6" t="s" s="0">
        <v>342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163</v>
      </c>
      <c r="BN6" t="s" s="0">
        <v>343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335</v>
      </c>
      <c r="C4" s="19" t="s">
        <v>335</v>
      </c>
      <c r="D4" s="19" t="s">
        <v>76</v>
      </c>
      <c r="E4" s="19" t="s">
        <v>76</v>
      </c>
      <c r="F4" s="20">
        <v>5</v>
      </c>
      <c r="G4" t="s" s="0">
        <v>110</v>
      </c>
      <c r="H4" s="20">
        <f t="shared" ref="H4:H6" si="0">F4*G4</f>
        <v>750</v>
      </c>
      <c r="I4" t="s" s="0">
        <v>85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120</v>
      </c>
      <c r="AT4" s="25" t="s">
        <v>76</v>
      </c>
      <c r="AU4" t="s" s="0">
        <v>174</v>
      </c>
      <c r="AV4" t="s" s="0">
        <v>167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78</v>
      </c>
      <c r="BN4" t="s" s="0">
        <v>78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337</v>
      </c>
      <c r="C5" s="19" t="s">
        <v>337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344</v>
      </c>
      <c r="AV5" t="s" s="0">
        <v>157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78</v>
      </c>
      <c r="BN5" t="s" s="0">
        <v>78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340</v>
      </c>
      <c r="C6" s="102" t="s">
        <v>340</v>
      </c>
      <c r="D6" s="19" t="s">
        <v>76</v>
      </c>
      <c r="E6" s="19" t="s">
        <v>76</v>
      </c>
      <c r="F6" s="20">
        <v>20</v>
      </c>
      <c r="G6" t="s" s="0">
        <v>240</v>
      </c>
      <c r="H6" s="20">
        <f t="shared" si="0"/>
        <v>1000</v>
      </c>
      <c r="I6" t="s" s="0">
        <v>241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205</v>
      </c>
      <c r="AV6" t="s" s="0">
        <v>163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78</v>
      </c>
      <c r="BN6" t="s" s="0">
        <v>78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345</v>
      </c>
      <c r="C4" s="19" t="s">
        <v>345</v>
      </c>
      <c r="D4" s="19" t="s">
        <v>76</v>
      </c>
      <c r="E4" s="19" t="s">
        <v>76</v>
      </c>
      <c r="F4" s="20">
        <v>5</v>
      </c>
      <c r="G4" t="s" s="0">
        <v>110</v>
      </c>
      <c r="H4" s="20">
        <f>F4*G4</f>
        <v>750</v>
      </c>
      <c r="I4" t="s" s="0">
        <v>85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174</v>
      </c>
      <c r="AV4" t="s" s="0">
        <v>330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85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346</v>
      </c>
      <c r="C5" s="19" t="s">
        <v>346</v>
      </c>
      <c r="D5" s="19" t="s">
        <v>76</v>
      </c>
      <c r="E5" s="19" t="s">
        <v>76</v>
      </c>
      <c r="F5" s="20">
        <v>4</v>
      </c>
      <c r="G5" t="s" s="0">
        <v>112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344</v>
      </c>
      <c r="AV5" t="s" s="0">
        <v>333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333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347</v>
      </c>
      <c r="C6" s="102" t="s">
        <v>347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>F6*G6</f>
        <v>500</v>
      </c>
      <c r="I6" t="s" s="0">
        <v>241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282</v>
      </c>
      <c r="AV6" t="s" s="0">
        <v>167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345</v>
      </c>
      <c r="C4" s="19" t="s">
        <v>345</v>
      </c>
      <c r="D4" s="19" t="s">
        <v>76</v>
      </c>
      <c r="E4" s="19" t="s">
        <v>76</v>
      </c>
      <c r="F4" s="20">
        <v>5</v>
      </c>
      <c r="G4" t="s" s="0">
        <v>240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120</v>
      </c>
      <c r="AT4" s="25" t="s">
        <v>76</v>
      </c>
      <c r="AU4" t="s" s="0">
        <v>174</v>
      </c>
      <c r="AV4" t="s" s="0">
        <v>330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330</v>
      </c>
      <c r="BN4" t="s" s="0">
        <v>85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346</v>
      </c>
      <c r="C5" s="19" t="s">
        <v>346</v>
      </c>
      <c r="D5" s="19" t="s">
        <v>76</v>
      </c>
      <c r="E5" s="19" t="s">
        <v>76</v>
      </c>
      <c r="F5" s="20">
        <v>4</v>
      </c>
      <c r="G5" t="s" s="0">
        <v>112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120</v>
      </c>
      <c r="AT5" s="25" t="s">
        <v>76</v>
      </c>
      <c r="AU5" t="s" s="0">
        <v>344</v>
      </c>
      <c r="AV5" t="s" s="0">
        <v>333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333</v>
      </c>
      <c r="BN5" t="s" s="0">
        <v>88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347</v>
      </c>
      <c r="C6" s="102" t="s">
        <v>347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120</v>
      </c>
      <c r="AT6" s="25" t="s">
        <v>76</v>
      </c>
      <c r="AU6" t="s" s="0">
        <v>282</v>
      </c>
      <c r="AV6" t="s" s="0">
        <v>167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167</v>
      </c>
      <c r="BN6" t="s" s="0">
        <v>174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95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348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149</v>
      </c>
      <c r="AT4" s="75" t="s">
        <v>76</v>
      </c>
      <c r="AU4" s="50" t="s">
        <v>78</v>
      </c>
      <c r="AV4" s="50" t="s">
        <v>349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152</v>
      </c>
      <c r="BM4" s="50" t="s">
        <v>349</v>
      </c>
      <c r="BN4" s="50" t="s">
        <v>350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99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351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149</v>
      </c>
      <c r="AT5" s="75" t="s">
        <v>76</v>
      </c>
      <c r="AU5" s="50" t="s">
        <v>78</v>
      </c>
      <c r="AV5" s="50" t="s">
        <v>352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152</v>
      </c>
      <c r="BM5" s="50" t="s">
        <v>352</v>
      </c>
      <c r="BN5" s="50" t="s">
        <v>353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95</v>
      </c>
      <c r="E6" s="69" t="s">
        <v>101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354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149</v>
      </c>
      <c r="AT6" s="79" t="s">
        <v>76</v>
      </c>
      <c r="AU6" s="50" t="s">
        <v>78</v>
      </c>
      <c r="AV6" s="50" t="s">
        <v>355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356</v>
      </c>
      <c r="BE6" s="79"/>
      <c r="BF6" s="79"/>
      <c r="BG6" s="79"/>
      <c r="BH6" s="79"/>
      <c r="BI6" s="79"/>
      <c r="BJ6" s="79"/>
      <c r="BK6" s="79"/>
      <c r="BL6" s="79" t="s">
        <v>152</v>
      </c>
      <c r="BM6" s="50" t="s">
        <v>355</v>
      </c>
      <c r="BN6" s="50" t="s">
        <v>357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89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90</v>
      </c>
      <c r="H9" s="92"/>
      <c r="I9" s="93">
        <f>H7</f>
        <v>13967.73</v>
      </c>
      <c r="J9" s="93"/>
      <c r="K9" s="94"/>
      <c r="L9" s="54"/>
      <c r="M9" s="95" t="s">
        <v>91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92</v>
      </c>
      <c r="BI9" s="122" t="s">
        <v>93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94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95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96</v>
      </c>
      <c r="BI10" s="122" t="s">
        <v>97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98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99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100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95</v>
      </c>
      <c r="O12" s="69">
        <v>0.001</v>
      </c>
      <c r="P12" s="69" t="s">
        <v>101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102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103</v>
      </c>
      <c r="BN14" s="54" t="s">
        <v>104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105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106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107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108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358</v>
      </c>
      <c r="C4" s="19" t="s">
        <v>358</v>
      </c>
      <c r="D4" s="19" t="s">
        <v>76</v>
      </c>
      <c r="E4" s="19" t="s">
        <v>95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359</v>
      </c>
      <c r="AV4" t="s" s="0">
        <v>360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361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362</v>
      </c>
      <c r="C5" s="19" t="s">
        <v>362</v>
      </c>
      <c r="D5" s="19" t="s">
        <v>76</v>
      </c>
      <c r="E5" s="19" t="s">
        <v>95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363</v>
      </c>
      <c r="AV5" t="s" s="0">
        <v>364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365</v>
      </c>
      <c r="BN5" t="s" s="0">
        <v>366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367</v>
      </c>
      <c r="C6" s="19" t="s">
        <v>367</v>
      </c>
      <c r="D6" s="19" t="s">
        <v>76</v>
      </c>
      <c r="E6" s="19" t="s">
        <v>95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368</v>
      </c>
      <c r="AV6" t="s" s="0">
        <v>369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371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120</v>
      </c>
      <c r="AT4" s="25" t="s">
        <v>76</v>
      </c>
      <c r="AU4" t="s" s="0">
        <v>78</v>
      </c>
      <c r="AV4" t="s" s="0">
        <v>167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372</v>
      </c>
      <c r="BN4" t="s" s="0">
        <v>373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120</v>
      </c>
      <c r="AT5" s="25" t="s">
        <v>76</v>
      </c>
      <c r="AU5" t="s" s="0">
        <v>78</v>
      </c>
      <c r="AV5" t="s" s="0">
        <v>374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375</v>
      </c>
      <c r="BN5" t="s" s="0">
        <v>376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193</v>
      </c>
      <c r="C6" s="19" t="s">
        <v>193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120</v>
      </c>
      <c r="AT6" s="25" t="s">
        <v>76</v>
      </c>
      <c r="AU6" t="s" s="0">
        <v>78</v>
      </c>
      <c r="AV6" t="s" s="0">
        <v>377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378</v>
      </c>
      <c r="BN6" t="s" s="0">
        <v>379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K8" sqref="BK8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186</v>
      </c>
      <c r="C4" s="19" t="s">
        <v>186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78</v>
      </c>
      <c r="AV4" t="s" s="0">
        <v>380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381</v>
      </c>
      <c r="BN4" t="s" s="0">
        <v>382</v>
      </c>
      <c r="BO4" s="25">
        <f t="shared" ref="BO4:BO6" si="16">ROUND((((AW4*AZ4)+(BN4*BM4))/(AW4+BN4)),5)</f>
        <v>3447.76544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189</v>
      </c>
      <c r="C5" s="19" t="s">
        <v>189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78</v>
      </c>
      <c r="AV5" t="s" s="0">
        <v>253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383</v>
      </c>
      <c r="BN5" t="s" s="0">
        <v>264</v>
      </c>
      <c r="BO5" s="25">
        <f t="shared" si="16"/>
        <v>552.43881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193</v>
      </c>
      <c r="C6" s="19" t="s">
        <v>193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78</v>
      </c>
      <c r="AV6" t="s" s="0">
        <v>256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384</v>
      </c>
      <c r="BN6" t="s" s="0">
        <v>385</v>
      </c>
      <c r="BO6" s="25">
        <f t="shared" si="16"/>
        <v>291.29284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358</v>
      </c>
      <c r="C4" s="19" t="s">
        <v>358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386</v>
      </c>
      <c r="AV4" t="s" s="0">
        <v>387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361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362</v>
      </c>
      <c r="C5" s="19" t="s">
        <v>362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388</v>
      </c>
      <c r="AV5" t="s" s="0">
        <v>389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365</v>
      </c>
      <c r="BN5" t="s" s="0">
        <v>366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367</v>
      </c>
      <c r="C6" s="19" t="s">
        <v>367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390</v>
      </c>
      <c r="AV6" t="s" s="0">
        <v>391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371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392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393</v>
      </c>
      <c r="C4" s="19" t="s">
        <v>393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394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395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396</v>
      </c>
      <c r="C5" s="19" t="s">
        <v>396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120</v>
      </c>
      <c r="AT5" s="25" t="s">
        <v>76</v>
      </c>
      <c r="AU5" t="s" s="0">
        <v>397</v>
      </c>
      <c r="AV5" t="s" s="0">
        <v>365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365</v>
      </c>
      <c r="BN5" t="s" s="0">
        <v>361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398</v>
      </c>
      <c r="C6" s="19" t="s">
        <v>398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359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361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393</v>
      </c>
      <c r="C4" s="19" t="s">
        <v>393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394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395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396</v>
      </c>
      <c r="C5" s="19" t="s">
        <v>396</v>
      </c>
      <c r="D5" s="19" t="s">
        <v>76</v>
      </c>
      <c r="E5" s="19" t="s">
        <v>95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120</v>
      </c>
      <c r="AT5" s="25" t="s">
        <v>76</v>
      </c>
      <c r="AU5" t="s" s="0">
        <v>397</v>
      </c>
      <c r="AV5" t="s" s="0">
        <v>365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365</v>
      </c>
      <c r="BN5" t="s" s="0">
        <v>361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398</v>
      </c>
      <c r="C6" s="19" t="s">
        <v>398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359</v>
      </c>
      <c r="AV6" t="s" s="0">
        <v>370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361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399</v>
      </c>
      <c r="C4" s="19" t="s">
        <v>399</v>
      </c>
      <c r="D4" s="19" t="s">
        <v>76</v>
      </c>
      <c r="E4" s="19" t="s">
        <v>95</v>
      </c>
      <c r="F4" s="20">
        <v>6</v>
      </c>
      <c r="G4" t="s" s="0">
        <v>110</v>
      </c>
      <c r="H4" s="20">
        <f t="shared" ref="H4:H6" si="0">F4*G4</f>
        <v>900</v>
      </c>
      <c r="I4" t="s" s="0">
        <v>85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78</v>
      </c>
      <c r="AV4" t="s" s="0">
        <v>121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400</v>
      </c>
      <c r="BN4" t="s" s="0">
        <v>401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402</v>
      </c>
      <c r="C5" s="19" t="s">
        <v>402</v>
      </c>
      <c r="D5" s="19" t="s">
        <v>76</v>
      </c>
      <c r="E5" s="19" t="s">
        <v>95</v>
      </c>
      <c r="F5" s="20">
        <v>9</v>
      </c>
      <c r="G5" t="s" s="0">
        <v>112</v>
      </c>
      <c r="H5" s="20">
        <f t="shared" si="0"/>
        <v>900</v>
      </c>
      <c r="I5" t="s" s="0">
        <v>88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120</v>
      </c>
      <c r="AT5" s="25" t="s">
        <v>76</v>
      </c>
      <c r="AU5" t="s" s="0">
        <v>78</v>
      </c>
      <c r="AV5" t="s" s="0">
        <v>403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404</v>
      </c>
      <c r="BN5" t="s" s="0">
        <v>405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406</v>
      </c>
      <c r="C6" s="19" t="s">
        <v>406</v>
      </c>
      <c r="D6" s="19" t="s">
        <v>76</v>
      </c>
      <c r="E6" s="19" t="s">
        <v>95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78</v>
      </c>
      <c r="AV6" t="s" s="0">
        <v>407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408</v>
      </c>
      <c r="BN6" t="s" s="0">
        <v>409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900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399</v>
      </c>
      <c r="C4" s="19" t="s">
        <v>399</v>
      </c>
      <c r="D4" s="19" t="s">
        <v>76</v>
      </c>
      <c r="E4" s="19" t="s">
        <v>95</v>
      </c>
      <c r="F4" s="20">
        <v>3</v>
      </c>
      <c r="G4" t="s" s="0">
        <v>110</v>
      </c>
      <c r="H4" s="20">
        <f t="shared" ref="H4:H6" si="0">F4*G4</f>
        <v>450</v>
      </c>
      <c r="I4" t="s" s="0">
        <v>85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78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410</v>
      </c>
      <c r="BN4" t="s" s="0">
        <v>411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402</v>
      </c>
      <c r="C5" s="19" t="s">
        <v>402</v>
      </c>
      <c r="D5" s="19" t="s">
        <v>76</v>
      </c>
      <c r="E5" s="19" t="s">
        <v>95</v>
      </c>
      <c r="F5" s="20">
        <v>6</v>
      </c>
      <c r="G5" t="s" s="0">
        <v>112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78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412</v>
      </c>
      <c r="BN5" t="s" s="0">
        <v>413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406</v>
      </c>
      <c r="C6" s="19" t="s">
        <v>406</v>
      </c>
      <c r="D6" s="19" t="s">
        <v>76</v>
      </c>
      <c r="E6" s="19" t="s">
        <v>95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78</v>
      </c>
      <c r="AV6" t="s" s="0">
        <v>407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414</v>
      </c>
      <c r="BN6" t="s" s="0">
        <v>415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K1" workbookViewId="0">
      <selection activeCell="AX12" sqref="AX12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399</v>
      </c>
      <c r="C4" s="19" t="s">
        <v>399</v>
      </c>
      <c r="D4" s="19" t="s">
        <v>76</v>
      </c>
      <c r="E4" s="19" t="s">
        <v>95</v>
      </c>
      <c r="F4" s="20">
        <v>3</v>
      </c>
      <c r="G4" t="s" s="0">
        <v>240</v>
      </c>
      <c r="H4" s="20">
        <f t="shared" ref="H4:H6" si="0">F4*G4</f>
        <v>150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78</v>
      </c>
      <c r="AV4" t="s" s="0">
        <v>416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417</v>
      </c>
      <c r="BN4" t="s" s="0">
        <v>418</v>
      </c>
      <c r="BO4" s="25">
        <f>ROUND((((AW4*AZ4)+(BN4*BM4))/(AW4+BN4)),5)</f>
        <v>3257.77182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402</v>
      </c>
      <c r="C5" s="19" t="s">
        <v>402</v>
      </c>
      <c r="D5" s="19" t="s">
        <v>76</v>
      </c>
      <c r="E5" s="19" t="s">
        <v>95</v>
      </c>
      <c r="F5" s="20">
        <v>12</v>
      </c>
      <c r="G5" t="s" s="0">
        <v>112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78</v>
      </c>
      <c r="AV5" t="s" s="0">
        <v>419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420</v>
      </c>
      <c r="BN5" t="s" s="0">
        <v>421</v>
      </c>
      <c r="BO5" s="25">
        <f>ROUND((((AW5*AZ5)+(BN5*BM5))/(AW5+BN5)),5)</f>
        <v>3008.32225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406</v>
      </c>
      <c r="C6" s="19" t="s">
        <v>406</v>
      </c>
      <c r="D6" s="19" t="s">
        <v>76</v>
      </c>
      <c r="E6" s="19" t="s">
        <v>95</v>
      </c>
      <c r="F6" s="20">
        <v>9</v>
      </c>
      <c r="G6" t="s" s="0">
        <v>240</v>
      </c>
      <c r="H6" s="20">
        <f t="shared" si="0"/>
        <v>450</v>
      </c>
      <c r="I6" t="s" s="0">
        <v>241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120</v>
      </c>
      <c r="AT6" s="25" t="s">
        <v>76</v>
      </c>
      <c r="AU6" t="s" s="0">
        <v>78</v>
      </c>
      <c r="AV6" t="s" s="0">
        <v>422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423</v>
      </c>
      <c r="BN6" t="s" s="0">
        <v>424</v>
      </c>
      <c r="BO6" s="25">
        <f>ROUND((((AW6*AZ6)+(BN6*BM6))/(AW6+BN6)),5)</f>
        <v>1039.22353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425</v>
      </c>
      <c r="C4" s="19" t="s">
        <v>425</v>
      </c>
      <c r="D4" s="19" t="s">
        <v>76</v>
      </c>
      <c r="E4" s="19" t="s">
        <v>95</v>
      </c>
      <c r="F4" s="20">
        <v>3</v>
      </c>
      <c r="G4" t="s" s="0">
        <v>110</v>
      </c>
      <c r="H4" s="20">
        <f t="shared" ref="H4:H6" si="0">F4*G4</f>
        <v>450</v>
      </c>
      <c r="I4" t="s" s="0">
        <v>85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78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426</v>
      </c>
      <c r="BN4" t="s" s="0">
        <v>427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428</v>
      </c>
      <c r="C5" s="19" t="s">
        <v>428</v>
      </c>
      <c r="D5" s="19" t="s">
        <v>76</v>
      </c>
      <c r="E5" s="19" t="s">
        <v>95</v>
      </c>
      <c r="F5" s="20">
        <v>6</v>
      </c>
      <c r="G5" t="s" s="0">
        <v>112</v>
      </c>
      <c r="H5" s="20">
        <f t="shared" si="0"/>
        <v>600</v>
      </c>
      <c r="I5" t="s" s="0">
        <v>88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78</v>
      </c>
      <c r="AV5" t="s" s="0">
        <v>126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429</v>
      </c>
      <c r="BN5" t="s" s="0">
        <v>430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431</v>
      </c>
      <c r="C6" s="19" t="s">
        <v>431</v>
      </c>
      <c r="D6" s="19" t="s">
        <v>76</v>
      </c>
      <c r="E6" s="19" t="s">
        <v>95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120</v>
      </c>
      <c r="AT6" s="25" t="s">
        <v>76</v>
      </c>
      <c r="AU6" t="s" s="0">
        <v>78</v>
      </c>
      <c r="AV6" t="s" s="0">
        <v>407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432</v>
      </c>
      <c r="BN6" t="s" s="0">
        <v>433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434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425</v>
      </c>
      <c r="C4" s="19" t="s">
        <v>425</v>
      </c>
      <c r="D4" s="19" t="s">
        <v>76</v>
      </c>
      <c r="E4" s="19" t="s">
        <v>95</v>
      </c>
      <c r="F4" s="20">
        <v>3</v>
      </c>
      <c r="G4" t="s" s="0">
        <v>110</v>
      </c>
      <c r="H4" s="20">
        <f t="shared" ref="H4:H6" si="0">F4*G4</f>
        <v>450</v>
      </c>
      <c r="I4" t="s" s="0">
        <v>85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120</v>
      </c>
      <c r="AT4" s="25" t="s">
        <v>76</v>
      </c>
      <c r="AU4" t="s" s="0">
        <v>78</v>
      </c>
      <c r="AV4" t="s" s="0">
        <v>129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435</v>
      </c>
      <c r="BN4" t="s" s="0">
        <v>436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428</v>
      </c>
      <c r="C5" s="19" t="s">
        <v>428</v>
      </c>
      <c r="D5" s="19" t="s">
        <v>76</v>
      </c>
      <c r="E5" s="19" t="s">
        <v>95</v>
      </c>
      <c r="F5" s="20">
        <v>12</v>
      </c>
      <c r="G5" t="s" s="0">
        <v>112</v>
      </c>
      <c r="H5" s="20">
        <f t="shared" si="0"/>
        <v>1200</v>
      </c>
      <c r="I5" t="s" s="0">
        <v>88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120</v>
      </c>
      <c r="AT5" s="25" t="s">
        <v>76</v>
      </c>
      <c r="AU5" t="s" s="0">
        <v>78</v>
      </c>
      <c r="AV5" t="s" s="0">
        <v>126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437</v>
      </c>
      <c r="BN5" t="s" s="0">
        <v>438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431</v>
      </c>
      <c r="C6" s="19" t="s">
        <v>431</v>
      </c>
      <c r="D6" s="19" t="s">
        <v>76</v>
      </c>
      <c r="E6" s="19" t="s">
        <v>95</v>
      </c>
      <c r="F6" s="20">
        <v>9</v>
      </c>
      <c r="G6" t="s" s="0">
        <v>240</v>
      </c>
      <c r="H6" s="20">
        <f t="shared" si="0"/>
        <v>450</v>
      </c>
      <c r="I6" t="s" s="0">
        <v>241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78</v>
      </c>
      <c r="AV6" t="s" s="0">
        <v>370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439</v>
      </c>
      <c r="BN6" t="s" s="0">
        <v>440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I15" sqref="BI15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434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425</v>
      </c>
      <c r="C4" s="19" t="s">
        <v>425</v>
      </c>
      <c r="D4" s="19" t="s">
        <v>76</v>
      </c>
      <c r="E4" s="19" t="s">
        <v>95</v>
      </c>
      <c r="F4" s="20">
        <v>6</v>
      </c>
      <c r="G4" t="s" s="0">
        <v>240</v>
      </c>
      <c r="H4" s="20">
        <f t="shared" ref="H4:H6" si="0">F4*G4</f>
        <v>300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78</v>
      </c>
      <c r="AV4" t="s" s="0">
        <v>416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441</v>
      </c>
      <c r="BN4" t="s" s="0">
        <v>442</v>
      </c>
      <c r="BO4" s="25">
        <f>ROUND((((AW4*AZ4)+(BN4*BM4))/(AW4+BN4)),5)</f>
        <v>4004.06435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428</v>
      </c>
      <c r="C5" s="19" t="s">
        <v>428</v>
      </c>
      <c r="D5" s="19" t="s">
        <v>76</v>
      </c>
      <c r="E5" s="19" t="s">
        <v>95</v>
      </c>
      <c r="F5" s="20">
        <v>9</v>
      </c>
      <c r="G5" t="s" s="0">
        <v>112</v>
      </c>
      <c r="H5" s="20">
        <f t="shared" si="0"/>
        <v>900</v>
      </c>
      <c r="I5" t="s" s="0">
        <v>78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78</v>
      </c>
      <c r="AV5" t="s" s="0">
        <v>443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444</v>
      </c>
      <c r="BN5" t="s" s="0">
        <v>445</v>
      </c>
      <c r="BO5" s="25">
        <f>ROUND((((AW5*AZ5)+(BN5*BM5))/(AW5+BN5)),5)</f>
        <v>1525.32673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431</v>
      </c>
      <c r="C6" s="19" t="s">
        <v>431</v>
      </c>
      <c r="D6" s="19" t="s">
        <v>76</v>
      </c>
      <c r="E6" s="19" t="s">
        <v>95</v>
      </c>
      <c r="F6" s="20">
        <v>12</v>
      </c>
      <c r="G6" t="s" s="0">
        <v>240</v>
      </c>
      <c r="H6" s="20">
        <f t="shared" si="0"/>
        <v>600</v>
      </c>
      <c r="I6" t="s" s="0">
        <v>78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78</v>
      </c>
      <c r="AV6" t="s" s="0">
        <v>446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447</v>
      </c>
      <c r="BN6" t="s" s="0">
        <v>448</v>
      </c>
      <c r="BO6" s="25">
        <f>ROUND((((AW6*AZ6)+(BN6*BM6))/(AW6+BN6)),5)</f>
        <v>1112.37987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300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449</v>
      </c>
      <c r="C4" s="19" t="s">
        <v>449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394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450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451</v>
      </c>
      <c r="C5" s="19" t="s">
        <v>451</v>
      </c>
      <c r="D5" s="19" t="s">
        <v>76</v>
      </c>
      <c r="E5" s="19" t="s">
        <v>95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452</v>
      </c>
      <c r="AV5" t="s" s="0">
        <v>365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365</v>
      </c>
      <c r="BN5" t="s" s="0">
        <v>166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453</v>
      </c>
      <c r="C6" s="19" t="s">
        <v>453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386</v>
      </c>
      <c r="AV6" t="s" s="0">
        <v>370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370</v>
      </c>
      <c r="BN6" t="s" s="0">
        <v>454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21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21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2026-06-04T08:29:00Z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