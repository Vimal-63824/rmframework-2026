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tabRatio="703" firstSheet="12" activeTab="12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<sst xmlns="http://schemas.openxmlformats.org/spreadsheetml/2006/main" count="11121" uniqueCount="451">
  <si>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</si>
  <si>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</si>
  <si>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</si>
  <si>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</si>
  <si>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</si>
  <si>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</si>
  <si>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</si>
  <si>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</si>
  <si>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</si>
  <si>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</si>
  <si>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</si>
  <si>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</si>
  <si>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</si>
  <si>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</si>
  <si>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</si>
  <si>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</si>
  <si>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</si>
  <si>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</si>
  <si>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</si>
  <si>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</si>
  <si>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</si>
  <si>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</si>
  <si>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</si>
  <si>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</si>
  <si>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</si>
  <si>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</si>
  <si>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</si>
  <si>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</si>
  <si>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</si>
  <si>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</si>
  <si>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</si>
  <si>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</si>
  <si>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</si>
  <si>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</si>
  <si>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</si>
  <si>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</si>
  <si>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</si>
  <si>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</si>
  <si>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</si>
  <si>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</si>
  <si>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</si>
  <si>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</si>
  <si>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</si>
  <si>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</si>
  <si>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</si>
  <si>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</si>
  <si>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</si>
  <si>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</si>
  <si>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</si>
  <si>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</si>
  <si>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</si>
  <si>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</si>
  <si>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</si>
  <si>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</si>
  <si>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</si>
  <si>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</si>
  <si>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</si>
  <si>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</si>
  <si>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</si>
  <si>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</si>
  <si>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</si>
  <si>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</si>
  <si>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</si>
  <si>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</si>
  <si>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</si>
  <si>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</si>
  <si>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</si>
  <si>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</si>
  <si>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</si>
  <si>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</si>
  <si>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</si>
  <si>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</si>
  <si>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</si>
  <si>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</si>
  <si>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</si>
  <si>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</si>
  <si>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</si>
  <si>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IN WH-7</t>
  </si>
  <si>
    <t>0</t>
  </si>
  <si>
    <t>115.424</t>
  </si>
  <si>
    <t>Receipt Qty &amp; Unit cost</t>
  </si>
  <si>
    <t>LOT</t>
  </si>
  <si>
    <t>RM</t>
  </si>
  <si>
    <t>RMS</t>
  </si>
  <si>
    <t>RM WH-7</t>
  </si>
  <si>
    <t>116.50704</t>
  </si>
  <si>
    <t>125</t>
  </si>
  <si>
    <t>GWL_Similar_Wf_Pl_St_02</t>
  </si>
  <si>
    <t>80.3525</t>
  </si>
  <si>
    <t>80.97839</t>
  </si>
  <si>
    <t>100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</si>
  <si>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</si>
  <si>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</si>
  <si>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</si>
  <si>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</si>
  <si>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</si>
  <si>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</si>
  <si>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</si>
  <si>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</si>
  <si>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</si>
  <si>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</si>
  <si>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</si>
  <si>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</si>
  <si>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</si>
  <si>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</si>
  <si>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</si>
  <si>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</si>
  <si>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</si>
  <si>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</si>
  <si>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</si>
  <si>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</si>
  <si>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</si>
  <si>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150</t>
  </si>
  <si>
    <t>5</t>
  </si>
  <si>
    <t>GWL_Item_St_Fc_DU_Rc_02</t>
  </si>
  <si>
    <t>4</t>
  </si>
  <si>
    <t>GWL_Similar_Wf_Rc_St_01</t>
  </si>
  <si>
    <t>119.272</t>
  </si>
  <si>
    <t>120.20112</t>
  </si>
  <si>
    <t>GWL_Similar_Wf_Rc_St_02</t>
  </si>
  <si>
    <t>GWL_Similar_Wf_St_01</t>
  </si>
  <si>
    <t>39.758</t>
  </si>
  <si>
    <t>40.06768</t>
  </si>
  <si>
    <t>GWL_Similar_Wf_St_02</t>
  </si>
  <si>
    <t>78.6775</t>
  </si>
  <si>
    <t>79.29041</t>
  </si>
  <si>
    <t>GWL_Dissimilar_01</t>
  </si>
  <si>
    <t>INS WH-1</t>
  </si>
  <si>
    <t>31758.975</t>
  </si>
  <si>
    <t>RM WH-49</t>
  </si>
  <si>
    <t>16847.8276</t>
  </si>
  <si>
    <t>1138.032</t>
  </si>
  <si>
    <t>GWL_Dissimilar_02</t>
  </si>
  <si>
    <t>20940.6</t>
  </si>
  <si>
    <t>7309.95244</t>
  </si>
  <si>
    <t>2023.31</t>
  </si>
  <si>
    <t>373.635</t>
  </si>
  <si>
    <t>16818.92632</t>
  </si>
  <si>
    <t>1140.032</t>
  </si>
  <si>
    <t>246.36</t>
  </si>
  <si>
    <t>7296.01556</t>
  </si>
  <si>
    <t>2027.31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</si>
  <si>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</si>
  <si>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</si>
  <si>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</si>
  <si>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</si>
  <si>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</si>
  <si>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</si>
  <si>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</si>
  <si>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</si>
  <si>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</si>
  <si>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</si>
  <si>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</si>
  <si>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</si>
  <si>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</si>
  <si>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</si>
  <si>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</si>
  <si>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</si>
  <si>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</si>
  <si>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</si>
  <si>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</si>
  <si>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</si>
  <si>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</si>
  <si>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</si>
  <si>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</si>
  <si>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</si>
  <si>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</si>
  <si>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</si>
  <si>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</si>
  <si>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</si>
  <si>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</si>
  <si>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</si>
  <si>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</si>
  <si>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</si>
  <si>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</si>
  <si>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</si>
  <si>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</si>
  <si>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</si>
  <si>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</si>
  <si>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</si>
  <si>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</si>
  <si>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</si>
  <si>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</si>
  <si>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</si>
  <si>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</si>
  <si>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</si>
  <si>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</si>
  <si>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</si>
  <si>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</si>
  <si>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2174.83054</t>
  </si>
  <si>
    <t>7301</t>
  </si>
  <si>
    <t>GWL_Item_WoQ_UD_Similar_02</t>
  </si>
  <si>
    <t>3748.47038</t>
  </si>
  <si>
    <t>3332</t>
  </si>
  <si>
    <t>GWL_Item_WoQ_UD_Similar_03</t>
  </si>
  <si>
    <t>1716.11064</t>
  </si>
  <si>
    <t>6510</t>
  </si>
  <si>
    <t>767</t>
  </si>
  <si>
    <t>3193.3048</t>
  </si>
  <si>
    <t>2666.77503</t>
  </si>
  <si>
    <t>680</t>
  </si>
  <si>
    <t>INS</t>
  </si>
  <si>
    <t>1671.19613</t>
  </si>
  <si>
    <t>RM WH</t>
  </si>
  <si>
    <t>6188.00023</t>
  </si>
  <si>
    <t>30</t>
  </si>
  <si>
    <t>GWL_Item_FP_service_01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</si>
  <si>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</si>
  <si>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</si>
  <si>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</si>
  <si>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</si>
  <si>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</si>
  <si>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</si>
  <si>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</si>
  <si>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</si>
  <si>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7959.98728</t>
  </si>
  <si>
    <t>5247.15952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</si>
  <si>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</si>
  <si>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</si>
  <si>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</si>
  <si>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</si>
  <si>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</si>
  <si>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</si>
  <si>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</si>
  <si>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</si>
  <si>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762</t>
  </si>
  <si>
    <t>3047.13629</t>
  </si>
  <si>
    <t>2659.74534</t>
  </si>
  <si>
    <t>732</t>
  </si>
  <si>
    <t>3167.58793</t>
  </si>
  <si>
    <t>2595.52877</t>
  </si>
  <si>
    <t>GWL_Item_FP_service_02</t>
  </si>
  <si>
    <t>GWL_Item_FP_service_03</t>
  </si>
  <si>
    <t>GWL_Item_FP_Rc_01</t>
  </si>
  <si>
    <t>490.99488</t>
  </si>
  <si>
    <t>15380</t>
  </si>
  <si>
    <t>GWL_Item_FP_Rc_02</t>
  </si>
  <si>
    <t>3019.27766</t>
  </si>
  <si>
    <t>1860</t>
  </si>
  <si>
    <t>GWL_Item_FP_Rc_03</t>
  </si>
  <si>
    <t>50</t>
  </si>
  <si>
    <t>3</t>
  </si>
  <si>
    <t>2051.12953</t>
  </si>
  <si>
    <t>5960</t>
  </si>
  <si>
    <t>1327.96549</t>
  </si>
  <si>
    <t>850</t>
  </si>
  <si>
    <t>545.93228</t>
  </si>
  <si>
    <t>15890</t>
  </si>
  <si>
    <t>3333.22349</t>
  </si>
  <si>
    <t>2092</t>
  </si>
  <si>
    <t>2227.24601</t>
  </si>
  <si>
    <t>6920</t>
  </si>
  <si>
    <t>GWL_Item_FP_Pl_Similar_01</t>
  </si>
  <si>
    <t>1664.65633</t>
  </si>
  <si>
    <t>5515</t>
  </si>
  <si>
    <t>GWL_Item_FP_Pl_Similar_02</t>
  </si>
  <si>
    <t>3499.63397</t>
  </si>
  <si>
    <t>2488</t>
  </si>
  <si>
    <t>GWL_Item_FP_Pl_Similar_03</t>
  </si>
  <si>
    <t>2256.43801</t>
  </si>
  <si>
    <t>7960</t>
  </si>
  <si>
    <t>GWL_Item_Moq_01</t>
  </si>
  <si>
    <t>3714.5</t>
  </si>
  <si>
    <t>1559.07824</t>
  </si>
  <si>
    <t>5230</t>
  </si>
  <si>
    <t>6979.9875</t>
  </si>
  <si>
    <t>3173.43217</t>
  </si>
  <si>
    <t>2276</t>
  </si>
  <si>
    <t>3680.585</t>
  </si>
  <si>
    <t>2034.89649</t>
  </si>
  <si>
    <t>6940</t>
  </si>
  <si>
    <t>1561.1369</t>
  </si>
  <si>
    <t>5235</t>
  </si>
  <si>
    <t>3180.11034</t>
  </si>
  <si>
    <t>2280</t>
  </si>
  <si>
    <t>2039.62548</t>
  </si>
  <si>
    <t>6960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</si>
  <si>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</si>
  <si>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</si>
  <si>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</si>
  <si>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</si>
  <si>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</si>
  <si>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</si>
  <si>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</si>
  <si>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</si>
  <si>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</si>
  <si>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</si>
  <si>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</si>
  <si>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</si>
  <si>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</si>
  <si>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</si>
  <si>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</si>
  <si>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</si>
  <si>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</si>
  <si>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</si>
  <si>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</si>
  <si>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</si>
  <si>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</si>
  <si>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</si>
  <si>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</si>
  <si>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</si>
  <si>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</si>
  <si>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142.5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</si>
  <si>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</si>
  <si>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</si>
  <si>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</si>
  <si>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</si>
  <si>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</si>
  <si>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</si>
  <si>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</si>
  <si>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</si>
  <si>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</si>
  <si>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</si>
  <si>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96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</si>
  <si>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</si>
  <si>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</si>
  <si>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</si>
  <si>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</si>
  <si>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</si>
  <si>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</si>
  <si>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</si>
  <si>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</si>
  <si>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</si>
  <si>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</si>
  <si>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</si>
  <si>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</si>
  <si>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</si>
  <si>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</si>
  <si>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</si>
  <si>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</si>
  <si>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</si>
  <si>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</si>
  <si>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</si>
  <si>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</si>
  <si>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</si>
  <si>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</si>
  <si>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</si>
  <si>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</si>
  <si>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</si>
  <si>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</si>
  <si>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</si>
  <si>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</si>
  <si>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</si>
  <si>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</si>
  <si>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</si>
  <si>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</si>
  <si>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</si>
  <si>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</si>
  <si>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</si>
  <si>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</si>
  <si>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</si>
  <si>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</si>
  <si>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</si>
  <si>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</si>
  <si>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</si>
  <si>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</si>
  <si>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</si>
  <si>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</si>
  <si>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</si>
  <si>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</si>
  <si>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</si>
  <si>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</si>
  <si>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</si>
  <si>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</si>
  <si>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</si>
  <si>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13.332</t>
  </si>
  <si>
    <t>2857.8</t>
  </si>
  <si>
    <t>129.9</t>
  </si>
  <si>
    <t>59.994</t>
  </si>
  <si>
    <t>2133.04157</t>
  </si>
  <si>
    <t>7031</t>
  </si>
  <si>
    <t>3646.1368</t>
  </si>
  <si>
    <t>3058</t>
  </si>
  <si>
    <t>1684.5825</t>
  </si>
  <si>
    <t>6050</t>
  </si>
  <si>
    <t>10586.325</t>
  </si>
  <si>
    <t>2142.18182</t>
  </si>
  <si>
    <t>7051</t>
  </si>
  <si>
    <t>6980.2</t>
  </si>
  <si>
    <t>3643.51364</t>
  </si>
  <si>
    <t>3068</t>
  </si>
  <si>
    <t>3680.5</t>
  </si>
  <si>
    <t>1684.62594</t>
  </si>
  <si>
    <t>6072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</si>
  <si>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</si>
  <si>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</si>
  <si>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</si>
  <si>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</si>
  <si>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</si>
  <si>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</si>
  <si>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</si>
  <si>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</si>
  <si>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</si>
  <si>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</si>
  <si>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</si>
  <si>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</si>
  <si>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</si>
  <si>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</si>
  <si>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11143.5</t>
  </si>
  <si>
    <t>5887.45472</t>
  </si>
  <si>
    <t>1019.061</t>
  </si>
  <si>
    <t>GWL_Item_FP_Rc_Dissimilar_02</t>
  </si>
  <si>
    <t>20939.9625</t>
  </si>
  <si>
    <t>10018.81707</t>
  </si>
  <si>
    <t>1634.612</t>
  </si>
  <si>
    <t>GWL_Item_FP_Rc_Dissimilar_03</t>
  </si>
  <si>
    <t>11041.755</t>
  </si>
  <si>
    <t>6885.75392</t>
  </si>
  <si>
    <t>2834.72</t>
  </si>
  <si>
    <t>5138.71006</t>
  </si>
  <si>
    <t>899.371</t>
  </si>
  <si>
    <t>9254.99961</t>
  </si>
  <si>
    <t>1531.302</t>
  </si>
  <si>
    <t>5971.54882</t>
  </si>
  <si>
    <t>2358.03</t>
  </si>
  <si>
    <t>GWL_Item_FP_Pl_Dissimilar_01</t>
  </si>
  <si>
    <t>6962.391</t>
  </si>
  <si>
    <t>874.373</t>
  </si>
  <si>
    <t>GWL_Item_FP_Pl_Dissimilar_02</t>
  </si>
  <si>
    <t>21812.7</t>
  </si>
  <si>
    <t>8706.2379</t>
  </si>
  <si>
    <t>1496.302</t>
  </si>
  <si>
    <t>GWL_Item_FP_Pl_Dissimilar_03</t>
  </si>
  <si>
    <t>11383.2</t>
  </si>
  <si>
    <t>6902.36807</t>
  </si>
  <si>
    <t>2319.698</t>
  </si>
  <si>
    <t>PoToMRVWOIpSheet</t>
  </si>
  <si>
    <t>6954.8642</t>
  </si>
  <si>
    <t>875.373</t>
  </si>
  <si>
    <t>8683.68277</t>
  </si>
  <si>
    <t>1500.302</t>
  </si>
  <si>
    <t>6893.62074</t>
  </si>
  <si>
    <t>2322.698</t>
  </si>
  <si>
    <t>GWL_Item_Dissimilar_Pl_01</t>
  </si>
  <si>
    <t>79.992</t>
  </si>
  <si>
    <t>GWL_Item_Dissimilar_Pl_02</t>
  </si>
  <si>
    <t>13.333</t>
  </si>
  <si>
    <t>GWL_Item_Dissimilar_Pl_03</t>
  </si>
  <si>
    <t>73.326</t>
  </si>
  <si>
    <t>7449</t>
  </si>
  <si>
    <t>2187.4635</t>
  </si>
  <si>
    <t>3444</t>
  </si>
  <si>
    <t>3753.41948</t>
  </si>
  <si>
    <t>6718</t>
  </si>
  <si>
    <t>1714.1283</t>
  </si>
  <si>
    <t>7459</t>
  </si>
  <si>
    <t>2184.69782</t>
  </si>
  <si>
    <t>3448</t>
  </si>
  <si>
    <t>3749.16043</t>
  </si>
  <si>
    <t>6728</t>
  </si>
  <si>
    <t>1711.6449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</si>
</sst>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haredStrings.xml" Type="http://schemas.openxmlformats.org/officeDocument/2006/relationships/sharedStrings"/><Relationship Id="rId74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K5" sqref="K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10.5714285714286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115.424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115.424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115.424</v>
      </c>
      <c r="AY4" s="25">
        <f>AU4+AW4</f>
        <v>5</v>
      </c>
      <c r="AZ4" s="25">
        <f>ROUND(((AU4*AV4)+(AW4*AX4))/(AU4+AW4),5)</f>
        <v>115.424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86</v>
      </c>
      <c r="BO4" s="25">
        <f>ROUND((((AW4*AZ4)+(BN4*BM4))/(AW4+BN4)),5)</f>
        <v>128.962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87</v>
      </c>
      <c r="C5" s="19" t="s">
        <v>87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4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88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89</v>
      </c>
      <c r="BN5" t="s" s="0">
        <v>90</v>
      </c>
      <c r="BO5" s="25">
        <f>ROUND((((AW5*AZ5)+(BN5*BM5))/(AW5+BN5)),5)</f>
        <v>88.17625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172.88</v>
      </c>
      <c r="S6" s="37">
        <f>SUM(S4:S4)</f>
        <v>577.12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103.88</v>
      </c>
      <c r="Y6" s="39"/>
      <c r="Z6" s="39"/>
      <c r="AA6" s="39"/>
      <c r="AB6" s="38">
        <f>SUM(AB4:AB4)</f>
        <v>103.88</v>
      </c>
      <c r="AC6" s="40">
        <f>SUM(AC4:AC4)</f>
        <v>681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577.12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R1" workbookViewId="0">
      <selection activeCell="AM5" sqref="AM5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77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114</v>
      </c>
      <c r="C5" s="19" t="s">
        <v>114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61.07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61.07</v>
      </c>
      <c r="AC5" s="20">
        <f>IF($V3=1,S5+AB5,S5)</f>
        <v>339.26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339.26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77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3" sqref="I3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116</v>
      </c>
      <c r="C4" s="19" t="s">
        <v>116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77</v>
      </c>
      <c r="AT4" s="25" t="s">
        <v>76</v>
      </c>
      <c r="AU4" t="s" s="0">
        <v>78</v>
      </c>
      <c r="AV4" t="s" s="0">
        <v>117</v>
      </c>
      <c r="AW4" s="25">
        <f>AM4</f>
        <v>5</v>
      </c>
      <c r="AX4" s="100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118</v>
      </c>
      <c r="BN4" t="s" s="0">
        <v>86</v>
      </c>
      <c r="BO4" s="25">
        <f>ROUND((((AW4*AZ4)+(BN4*BM4))/(AW4+BN4)),5)</f>
        <v>130.886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119</v>
      </c>
      <c r="C5" s="19" t="s">
        <v>119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88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89</v>
      </c>
      <c r="BN5" t="s" s="0">
        <v>90</v>
      </c>
      <c r="BO5" s="25">
        <f>ROUND((((AW5*AZ5)+(BN5*BM5))/(AW5+BN5)),5)</f>
        <v>88.17625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120</v>
      </c>
      <c r="C4" s="19" t="s">
        <v>120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7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14.96</v>
      </c>
      <c r="R4" s="22">
        <f>ROUND(M4+O4+Q4,3)</f>
        <v>51.21</v>
      </c>
      <c r="S4" s="20">
        <f>(H4-R4)</f>
        <v>198.79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35.78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35.78</v>
      </c>
      <c r="AC4" s="21">
        <f>IF($V2=1,S4+AB4,S4)</f>
        <v>234.57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198.79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39.758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39.758</v>
      </c>
      <c r="AS4" s="24" t="s">
        <v>77</v>
      </c>
      <c r="AT4" s="25" t="s">
        <v>76</v>
      </c>
      <c r="AU4" t="s" s="0">
        <v>78</v>
      </c>
      <c r="AV4" t="s" s="0">
        <v>121</v>
      </c>
      <c r="AW4" s="25">
        <f>AM4</f>
        <v>5</v>
      </c>
      <c r="AX4" s="100">
        <f>AR4</f>
        <v>39.758</v>
      </c>
      <c r="AY4" s="25">
        <f>AU4+AW4</f>
        <v>5</v>
      </c>
      <c r="AZ4" s="25">
        <f>ROUND(((AU4*AV4)+(AW4*AX4))/(AU4+AW4),5)</f>
        <v>39.758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122</v>
      </c>
      <c r="BN4" t="s" s="0">
        <v>86</v>
      </c>
      <c r="BO4" s="25">
        <f>ROUND((((AW4*AZ4)+(BN4*BM4))/(AW4+BN4)),5)</f>
        <v>43.629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123</v>
      </c>
      <c r="C5" s="19" t="s">
        <v>123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37.6</v>
      </c>
      <c r="P5" s="20">
        <f>ROUND(N5-O5,2)</f>
        <v>338.4</v>
      </c>
      <c r="Q5" s="20">
        <f>ROUND(P5*K5%,2)</f>
        <v>23.69</v>
      </c>
      <c r="R5" s="20">
        <f>M5+O5+Q5</f>
        <v>85.29</v>
      </c>
      <c r="S5" s="20">
        <f>(H5-R5)</f>
        <v>314.71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56.65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56.65</v>
      </c>
      <c r="AC5" s="20">
        <f>IF($V3=1,S5+AB5,S5)</f>
        <v>314.71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314.71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78.6775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78.6775</v>
      </c>
      <c r="AS5" s="24" t="s">
        <v>77</v>
      </c>
      <c r="AT5" s="25" t="s">
        <v>76</v>
      </c>
      <c r="AU5" t="s" s="0">
        <v>78</v>
      </c>
      <c r="AV5" t="s" s="0">
        <v>124</v>
      </c>
      <c r="AW5" s="25">
        <f>AM5</f>
        <v>4</v>
      </c>
      <c r="AX5" s="100">
        <f>AR5</f>
        <v>78.6775</v>
      </c>
      <c r="AY5" s="25">
        <f>AU5+AW5</f>
        <v>4</v>
      </c>
      <c r="AZ5" s="25">
        <f>ROUND(((AU5*AV5)+(AW5*AX5))/(AU5+AW5),5)</f>
        <v>78.6775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125</v>
      </c>
      <c r="BN5" t="s" s="0">
        <v>90</v>
      </c>
      <c r="BO5" s="25">
        <f>ROUND((((AW5*AZ5)+(BN5*BM5))/(AW5+BN5)),5)</f>
        <v>86.33875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51.21</v>
      </c>
      <c r="S6" s="37">
        <f>SUM(S4:S4)</f>
        <v>198.79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35.78</v>
      </c>
      <c r="Y6" s="39"/>
      <c r="Z6" s="39"/>
      <c r="AA6" s="39"/>
      <c r="AB6" s="38">
        <f>SUM(AB4:AB4)</f>
        <v>35.78</v>
      </c>
      <c r="AC6" s="40">
        <f>SUM(AC4:AC4)</f>
        <v>234.57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198.79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51.21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198.79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35.78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234.57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9" max="39" customWidth="true" width="17.4285714285714"/>
    <col min="44" max="44" width="9.0"/>
    <col min="50" max="50" customWidth="true" width="16.7142857142857"/>
    <col min="52" max="52" customWidth="true" width="19.4285714285714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78</v>
      </c>
      <c r="AV4" t="s" s="0">
        <v>128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130</v>
      </c>
      <c r="BN4" t="s" s="0">
        <v>131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133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134</v>
      </c>
      <c r="BN5" t="s" s="0">
        <v>135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900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137</v>
      </c>
      <c r="BN4" t="s" s="0">
        <v>138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140</v>
      </c>
      <c r="BN5" t="s" s="0">
        <v>141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450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U4" sqref="U4:U5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5" max="35" width="11.4285714285714"/>
    <col min="40" max="40" customWidth="true" width="22.0"/>
    <col min="44" max="44" customWidth="true" width="11.4285714285714"/>
    <col min="48" max="48" width="12.8571428571429"/>
    <col min="50" max="50" customWidth="true" width="16.7142857142857"/>
    <col min="52" max="52" customWidth="true" width="19.4285714285714"/>
    <col min="64" max="64" customWidth="true" width="11.0"/>
    <col min="65" max="65" width="11.7142857142857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137</v>
      </c>
      <c r="BN4" t="s" s="0">
        <v>138</v>
      </c>
      <c r="BO4" s="25">
        <f>ROUND((((AW4*AZ4)+(BN4*BM4))/(AW4+BN4)),5)</f>
        <v>16845.0903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739.07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62820.95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140</v>
      </c>
      <c r="BN5" t="s" s="0">
        <v>141</v>
      </c>
      <c r="BO5" s="25">
        <f>ROUND((((AW5*AZ5)+(BN5*BM5))/(AW5+BN5)),5)</f>
        <v>7316.17647</v>
      </c>
      <c r="BP5" s="31">
        <f>ROUND(BN5+AW5,3)</f>
        <v>316.012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900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142</v>
      </c>
      <c r="B3" s="112" t="s">
        <v>10</v>
      </c>
      <c r="C3" s="113" t="s">
        <v>143</v>
      </c>
      <c r="D3" s="112" t="s">
        <v>12</v>
      </c>
      <c r="E3" s="112" t="s">
        <v>13</v>
      </c>
      <c r="F3" s="114" t="s">
        <v>144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145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146</v>
      </c>
      <c r="T3" s="112" t="s">
        <v>28</v>
      </c>
      <c r="U3" s="13" t="s">
        <v>147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148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150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151</v>
      </c>
      <c r="AT4" s="25" t="s">
        <v>76</v>
      </c>
      <c r="AU4" s="5" t="s">
        <v>152</v>
      </c>
      <c r="AV4" s="5" t="s">
        <v>153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154</v>
      </c>
      <c r="BM4" s="5" t="s">
        <v>155</v>
      </c>
      <c r="BN4" s="5" t="s">
        <v>156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157</v>
      </c>
      <c r="C5" s="19" t="s">
        <v>157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127</v>
      </c>
      <c r="AT5" s="25" t="s">
        <v>76</v>
      </c>
      <c r="AU5" t="s" s="0">
        <v>158</v>
      </c>
      <c r="AV5" t="s" s="0">
        <v>159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160</v>
      </c>
      <c r="BN5" t="s" s="0">
        <v>161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162</v>
      </c>
      <c r="C6" s="19" t="s">
        <v>163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127</v>
      </c>
      <c r="AT6" s="25" t="s">
        <v>76</v>
      </c>
      <c r="AU6" t="s" s="0">
        <v>164</v>
      </c>
      <c r="AV6" t="s" s="0">
        <v>165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166</v>
      </c>
      <c r="BM6" t="s" s="0">
        <v>78</v>
      </c>
      <c r="BN6" t="s" s="0">
        <v>78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167</v>
      </c>
      <c r="C4" s="19" t="s">
        <v>167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168</v>
      </c>
      <c r="AV4" t="s" s="0">
        <v>169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113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170</v>
      </c>
      <c r="C5" s="19" t="s">
        <v>170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171</v>
      </c>
      <c r="AV5" t="s" s="0">
        <v>159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172</v>
      </c>
      <c r="BN5" t="s" s="0">
        <v>173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174</v>
      </c>
      <c r="C6" s="19" t="s">
        <v>174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175</v>
      </c>
      <c r="AV6" t="s" s="0">
        <v>165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176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167</v>
      </c>
      <c r="C4" s="19" t="s">
        <v>167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127</v>
      </c>
      <c r="AT4" s="25" t="s">
        <v>76</v>
      </c>
      <c r="AU4" t="s" s="0">
        <v>168</v>
      </c>
      <c r="AV4" t="s" s="0">
        <v>169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113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170</v>
      </c>
      <c r="C5" s="19" t="s">
        <v>170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127</v>
      </c>
      <c r="AT5" s="25" t="s">
        <v>76</v>
      </c>
      <c r="AU5" t="s" s="0">
        <v>171</v>
      </c>
      <c r="AV5" t="s" s="0">
        <v>159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172</v>
      </c>
      <c r="BN5" t="s" s="0">
        <v>173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174</v>
      </c>
      <c r="C6" s="19" t="s">
        <v>174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127</v>
      </c>
      <c r="AT6" s="25" t="s">
        <v>76</v>
      </c>
      <c r="AU6" t="s" s="0">
        <v>175</v>
      </c>
      <c r="AV6" t="s" s="0">
        <v>165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176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150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177</v>
      </c>
      <c r="AV4" t="s" s="0">
        <v>178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179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180</v>
      </c>
      <c r="C5" s="19" t="s">
        <v>157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181</v>
      </c>
      <c r="AV5" t="s" s="0">
        <v>182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183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162</v>
      </c>
      <c r="C6" s="19" t="s">
        <v>163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184</v>
      </c>
      <c r="AV6" t="s" s="0">
        <v>185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186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187</v>
      </c>
      <c r="C4" t="s" s="0">
        <v>187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127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750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446</v>
      </c>
      <c r="BN4" t="s" s="0">
        <v>445</v>
      </c>
      <c r="BO4" s="25">
        <f t="shared" ref="BO4:BO6" si="16">ROUND((((AW4*AZ4)+(BN4*BM4))/(AW4+BN4)),5)</f>
        <v>2172.02616</v>
      </c>
      <c r="BP4" s="31">
        <f t="shared" ref="BP4:BP6" si="17">ROUND(BN4+AW4,3)</f>
        <v>7311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448</v>
      </c>
      <c r="BN5" t="s" s="0">
        <v>447</v>
      </c>
      <c r="BO5" s="25">
        <f t="shared" si="16"/>
        <v>3744.07427</v>
      </c>
      <c r="BP5" s="31">
        <f t="shared" si="17"/>
        <v>3336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450</v>
      </c>
      <c r="BN6" t="s" s="0">
        <v>449</v>
      </c>
      <c r="BO6" s="25">
        <f t="shared" si="16"/>
        <v>1713.54498</v>
      </c>
      <c r="BP6" s="31">
        <f t="shared" si="17"/>
        <v>6520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R1" workbookViewId="0">
      <selection activeCell="AT8" sqref="AT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197</v>
      </c>
      <c r="AV4" t="s" s="0">
        <v>198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199</v>
      </c>
      <c r="BN4" t="s" s="0">
        <v>200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197</v>
      </c>
      <c r="AV7" t="s" s="0">
        <v>198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199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K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164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164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206</v>
      </c>
      <c r="C4" s="111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164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206</v>
      </c>
      <c r="C7" s="111" t="s">
        <v>206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164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113</v>
      </c>
      <c r="AV4" t="s" s="0">
        <v>207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208</v>
      </c>
      <c r="BN4" t="s" s="0">
        <v>205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113</v>
      </c>
      <c r="AV7" t="s" s="0">
        <v>207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208</v>
      </c>
      <c r="BN7" t="s" s="0">
        <v>205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209</v>
      </c>
      <c r="AV4" t="s" s="0">
        <v>210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211</v>
      </c>
      <c r="BN4" t="s" s="0">
        <v>200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209</v>
      </c>
      <c r="AV7" t="s" s="0">
        <v>210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211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O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213</v>
      </c>
      <c r="BN4" t="s" s="0">
        <v>205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169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213</v>
      </c>
      <c r="BN7" t="s" s="0">
        <v>205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M2" sqref="M2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214</v>
      </c>
      <c r="AV4" t="s" s="0">
        <v>215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216</v>
      </c>
      <c r="BN4" t="s" s="0">
        <v>205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214</v>
      </c>
      <c r="AV7" t="s" s="0">
        <v>215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216</v>
      </c>
      <c r="BN7" t="s" s="0">
        <v>205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217</v>
      </c>
      <c r="BN4" t="s" s="0">
        <v>218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217</v>
      </c>
      <c r="BN7" t="s" s="0">
        <v>218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206</v>
      </c>
      <c r="C4" s="105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217</v>
      </c>
      <c r="BN4" t="s" s="0">
        <v>218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206</v>
      </c>
      <c r="C7" s="105" t="s">
        <v>206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217</v>
      </c>
      <c r="BN7" t="s" s="0">
        <v>218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219</v>
      </c>
      <c r="BN4" t="s" s="0">
        <v>220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201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219</v>
      </c>
      <c r="BN7" t="s" s="0">
        <v>220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112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221</v>
      </c>
      <c r="BN4" t="s" s="0">
        <v>222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112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221</v>
      </c>
      <c r="BN7" t="s" s="0">
        <v>222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223</v>
      </c>
      <c r="BN4" t="s" s="0">
        <v>224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223</v>
      </c>
      <c r="BN7" t="s" s="0">
        <v>224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127</v>
      </c>
      <c r="AT4" s="25" t="s">
        <v>76</v>
      </c>
      <c r="AU4" t="s" s="0">
        <v>225</v>
      </c>
      <c r="AV4" t="s" s="0">
        <v>226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227</v>
      </c>
      <c r="BN4" t="s" s="0">
        <v>200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127</v>
      </c>
      <c r="AT7" s="25" t="s">
        <v>76</v>
      </c>
      <c r="AU7" t="s" s="0">
        <v>225</v>
      </c>
      <c r="AV7" t="s" s="0">
        <v>226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227</v>
      </c>
      <c r="BN7" t="s" s="0">
        <v>200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127</v>
      </c>
      <c r="AT4" s="25" t="s">
        <v>76</v>
      </c>
      <c r="AU4" t="s" s="0">
        <v>228</v>
      </c>
      <c r="AV4" t="s" s="0">
        <v>229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230</v>
      </c>
      <c r="BN4" t="s" s="0">
        <v>200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127</v>
      </c>
      <c r="AT7" s="25" t="s">
        <v>76</v>
      </c>
      <c r="AU7" t="s" s="0">
        <v>228</v>
      </c>
      <c r="AV7" t="s" s="0">
        <v>229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230</v>
      </c>
      <c r="BN7" t="s" s="0">
        <v>200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R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 t="shared" ref="H4:H6" si="0">F4*G4</f>
        <v>15000</v>
      </c>
      <c r="I4" t="s" s="0">
        <v>113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234</v>
      </c>
      <c r="BN4" t="s" s="0">
        <v>235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237</v>
      </c>
      <c r="BN5" t="s" s="0">
        <v>238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242</v>
      </c>
      <c r="BN6" t="s" s="0">
        <v>243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>F4*G4</f>
        <v>15000</v>
      </c>
      <c r="I4" t="s" s="0">
        <v>113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244</v>
      </c>
      <c r="BN4" t="s" s="0">
        <v>245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15000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L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234</v>
      </c>
      <c r="BN4" t="s" s="0">
        <v>235</v>
      </c>
      <c r="BO4" s="25">
        <f t="shared" ref="BO4:BO6" si="15">ROUND((((AW4*AZ4)+(BN4*BM4))/(AW4+BN4)),5)</f>
        <v>493.08943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237</v>
      </c>
      <c r="BN5" t="s" s="0">
        <v>238</v>
      </c>
      <c r="BO5" s="25">
        <f t="shared" si="15"/>
        <v>3027.77704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242</v>
      </c>
      <c r="BN6" t="s" s="0">
        <v>243</v>
      </c>
      <c r="BO6" s="25">
        <f t="shared" si="15"/>
        <v>2053.85894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N1" workbookViewId="0">
      <selection activeCell="AX10" sqref="AX10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246</v>
      </c>
      <c r="BN4" t="s" s="0">
        <v>247</v>
      </c>
      <c r="BO4" s="25">
        <f t="shared" ref="BO4:BO6" si="16">ROUND((((AW4*AZ4)+(BN4*BM4))/(AW4+BN4)),5)</f>
        <v>786.57397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115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248</v>
      </c>
      <c r="BN5" t="s" s="0">
        <v>249</v>
      </c>
      <c r="BO5" s="25">
        <f t="shared" si="16"/>
        <v>1971.35064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250</v>
      </c>
      <c r="BN6" t="s" s="0">
        <v>251</v>
      </c>
      <c r="BO6" s="25">
        <f t="shared" si="16"/>
        <v>1414.73244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253</v>
      </c>
      <c r="BN4" t="s" s="0">
        <v>254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256</v>
      </c>
      <c r="BN5" t="s" s="0">
        <v>257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259</v>
      </c>
      <c r="BN6" t="s" s="0">
        <v>260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9" max="49" width="12.847619047619"/>
    <col min="50" max="50" width="9.0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>F4*G4</f>
        <v>15000</v>
      </c>
      <c r="I4" t="s" s="0">
        <v>113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90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15000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262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263</v>
      </c>
      <c r="BN4" t="s" s="0">
        <v>264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265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266</v>
      </c>
      <c r="BN5" t="s" s="0">
        <v>267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268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269</v>
      </c>
      <c r="BN6" t="s" s="0">
        <v>270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I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262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271</v>
      </c>
      <c r="BN4" t="s" s="0">
        <v>272</v>
      </c>
      <c r="BO4" s="25">
        <f t="shared" ref="BO4:BO6" si="15">ROUND((((AW4*AZ4)+(BN4*BM4))/(AW4+BN4)),5)</f>
        <v>1579.40642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265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273</v>
      </c>
      <c r="BN5" t="s" s="0">
        <v>274</v>
      </c>
      <c r="BO5" s="25">
        <f t="shared" si="15"/>
        <v>3186.76512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268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275</v>
      </c>
      <c r="BN6" t="s" s="0">
        <v>276</v>
      </c>
      <c r="BO6" s="25">
        <f t="shared" si="15"/>
        <v>2041.9798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240</v>
      </c>
      <c r="H4" s="20">
        <f>F4*G4</f>
        <v>250</v>
      </c>
      <c r="I4" t="s" s="0">
        <v>113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127</v>
      </c>
      <c r="AT4" s="25" t="s">
        <v>76</v>
      </c>
      <c r="AU4" t="s" s="0">
        <v>286</v>
      </c>
      <c r="AV4" t="s" s="0">
        <v>287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289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127</v>
      </c>
      <c r="AT5" s="25" t="s">
        <v>76</v>
      </c>
      <c r="AU5" t="s" s="0">
        <v>290</v>
      </c>
      <c r="AV5" t="s" s="0">
        <v>291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112</v>
      </c>
      <c r="H6" s="20">
        <f>F6*G6</f>
        <v>1500</v>
      </c>
      <c r="I6" t="s" s="0">
        <v>293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127</v>
      </c>
      <c r="AT6" s="25" t="s">
        <v>76</v>
      </c>
      <c r="AU6" t="s" s="0">
        <v>294</v>
      </c>
      <c r="AV6" t="s" s="0">
        <v>295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127</v>
      </c>
      <c r="AT4" s="25" t="s">
        <v>76</v>
      </c>
      <c r="AU4" t="s" s="0">
        <v>296</v>
      </c>
      <c r="AV4" t="s" s="0">
        <v>297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289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127</v>
      </c>
      <c r="AT5" s="25" t="s">
        <v>76</v>
      </c>
      <c r="AU5" t="s" s="0">
        <v>298</v>
      </c>
      <c r="AV5" t="s" s="0">
        <v>299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112</v>
      </c>
      <c r="H6" s="20">
        <f t="shared" si="0"/>
        <v>1500</v>
      </c>
      <c r="I6" t="s" s="0">
        <v>293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127</v>
      </c>
      <c r="AT6" s="25" t="s">
        <v>76</v>
      </c>
      <c r="AU6" t="s" s="0">
        <v>112</v>
      </c>
      <c r="AV6" t="s" s="0">
        <v>300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77</v>
      </c>
      <c r="AT4" s="25" t="s">
        <v>76</v>
      </c>
      <c r="AU4" t="s" s="0">
        <v>113</v>
      </c>
      <c r="AV4" t="s" s="0">
        <v>302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303</v>
      </c>
      <c r="C5" s="19" t="s">
        <v>303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77</v>
      </c>
      <c r="AT5" s="25" t="s">
        <v>76</v>
      </c>
      <c r="AU5" t="s" s="0">
        <v>113</v>
      </c>
      <c r="AV5" t="s" s="0">
        <v>304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305</v>
      </c>
      <c r="C4" s="19" t="s">
        <v>305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U4" t="s" s="0">
        <v>113</v>
      </c>
      <c r="AV4" t="s" s="0">
        <v>302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306</v>
      </c>
      <c r="C5" s="19" t="s">
        <v>306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U5" t="s" s="0">
        <v>113</v>
      </c>
      <c r="AV5" t="s" s="0">
        <v>304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309</v>
      </c>
      <c r="C4" s="19" t="s">
        <v>309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302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310</v>
      </c>
      <c r="BN4" t="s" s="0">
        <v>311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312</v>
      </c>
      <c r="C5" s="19" t="s">
        <v>312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313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314</v>
      </c>
      <c r="BN5" t="s" s="0">
        <v>315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316</v>
      </c>
      <c r="C4" s="19" t="s">
        <v>316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302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310</v>
      </c>
      <c r="BN4" t="s" s="0">
        <v>311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317</v>
      </c>
      <c r="C5" s="19" t="s">
        <v>317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313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314</v>
      </c>
      <c r="BN5" t="s" s="0">
        <v>315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318</v>
      </c>
      <c r="C4" s="19" t="s">
        <v>318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77</v>
      </c>
      <c r="AT4" s="25" t="s">
        <v>76</v>
      </c>
      <c r="AU4" t="s" s="0">
        <v>319</v>
      </c>
      <c r="AV4" t="s" s="0">
        <v>320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321</v>
      </c>
      <c r="BN4" t="s" s="0">
        <v>322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77</v>
      </c>
      <c r="AT5" s="25" t="s">
        <v>76</v>
      </c>
      <c r="AU5" t="s" s="0">
        <v>290</v>
      </c>
      <c r="AV5" t="s" s="0">
        <v>324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325</v>
      </c>
      <c r="BN5" t="s" s="0">
        <v>326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214</v>
      </c>
      <c r="AV4" t="s" s="0">
        <v>328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330</v>
      </c>
      <c r="AV5" t="s" s="0">
        <v>331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332</v>
      </c>
      <c r="C6" s="102" t="s">
        <v>332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205</v>
      </c>
      <c r="AV6" t="s" s="0">
        <v>169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112</v>
      </c>
      <c r="H4" s="20">
        <f t="shared" ref="H4:H6" si="0">F4*G4</f>
        <v>750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127</v>
      </c>
      <c r="AT4" s="25" t="s">
        <v>76</v>
      </c>
      <c r="AU4" t="s" s="0">
        <v>214</v>
      </c>
      <c r="AV4" t="s" s="0">
        <v>328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330</v>
      </c>
      <c r="AV5" t="s" s="0">
        <v>331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332</v>
      </c>
      <c r="C6" s="102" t="s">
        <v>332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205</v>
      </c>
      <c r="AV6" t="s" s="0">
        <v>169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333</v>
      </c>
      <c r="C4" s="19" t="s">
        <v>333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214</v>
      </c>
      <c r="AV4" t="s" s="0">
        <v>334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286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336</v>
      </c>
      <c r="AV5" t="s" s="0">
        <v>337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298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338</v>
      </c>
      <c r="C6" s="102" t="s">
        <v>338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>F6*G6</f>
        <v>1000</v>
      </c>
      <c r="I6" t="s" s="0">
        <v>241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339</v>
      </c>
      <c r="AV6" t="s" s="0">
        <v>340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341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333</v>
      </c>
      <c r="C4" s="19" t="s">
        <v>333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 t="shared" ref="H4:H6" si="0">F4*G4</f>
        <v>750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127</v>
      </c>
      <c r="AT4" s="25" t="s">
        <v>76</v>
      </c>
      <c r="AU4" t="s" s="0">
        <v>176</v>
      </c>
      <c r="AV4" t="s" s="0">
        <v>169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342</v>
      </c>
      <c r="AV5" t="s" s="0">
        <v>159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338</v>
      </c>
      <c r="C6" s="102" t="s">
        <v>338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 t="shared" si="0"/>
        <v>1000</v>
      </c>
      <c r="I6" t="s" s="0">
        <v>241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205</v>
      </c>
      <c r="AV6" t="s" s="0">
        <v>165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343</v>
      </c>
      <c r="C4" s="19" t="s">
        <v>343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176</v>
      </c>
      <c r="AV4" t="s" s="0">
        <v>328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344</v>
      </c>
      <c r="C5" s="19" t="s">
        <v>344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342</v>
      </c>
      <c r="AV5" t="s" s="0">
        <v>331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345</v>
      </c>
      <c r="C6" s="102" t="s">
        <v>345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278</v>
      </c>
      <c r="AV6" t="s" s="0">
        <v>169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343</v>
      </c>
      <c r="C4" s="19" t="s">
        <v>343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127</v>
      </c>
      <c r="AT4" s="25" t="s">
        <v>76</v>
      </c>
      <c r="AU4" t="s" s="0">
        <v>176</v>
      </c>
      <c r="AV4" t="s" s="0">
        <v>328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344</v>
      </c>
      <c r="C5" s="19" t="s">
        <v>344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342</v>
      </c>
      <c r="AV5" t="s" s="0">
        <v>331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345</v>
      </c>
      <c r="C6" s="102" t="s">
        <v>345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278</v>
      </c>
      <c r="AV6" t="s" s="0">
        <v>169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97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346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151</v>
      </c>
      <c r="AT4" s="75" t="s">
        <v>76</v>
      </c>
      <c r="AU4" s="50" t="s">
        <v>78</v>
      </c>
      <c r="AV4" s="50" t="s">
        <v>347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154</v>
      </c>
      <c r="BM4" s="50" t="s">
        <v>347</v>
      </c>
      <c r="BN4" s="50" t="s">
        <v>348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101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349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151</v>
      </c>
      <c r="AT5" s="75" t="s">
        <v>76</v>
      </c>
      <c r="AU5" s="50" t="s">
        <v>78</v>
      </c>
      <c r="AV5" s="50" t="s">
        <v>350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154</v>
      </c>
      <c r="BM5" s="50" t="s">
        <v>350</v>
      </c>
      <c r="BN5" s="50" t="s">
        <v>351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97</v>
      </c>
      <c r="E6" s="69" t="s">
        <v>103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352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151</v>
      </c>
      <c r="AT6" s="79" t="s">
        <v>76</v>
      </c>
      <c r="AU6" s="50" t="s">
        <v>78</v>
      </c>
      <c r="AV6" s="50" t="s">
        <v>353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354</v>
      </c>
      <c r="BE6" s="79"/>
      <c r="BF6" s="79"/>
      <c r="BG6" s="79"/>
      <c r="BH6" s="79"/>
      <c r="BI6" s="79"/>
      <c r="BJ6" s="79"/>
      <c r="BK6" s="79"/>
      <c r="BL6" s="79" t="s">
        <v>154</v>
      </c>
      <c r="BM6" s="50" t="s">
        <v>353</v>
      </c>
      <c r="BN6" s="50" t="s">
        <v>355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91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92</v>
      </c>
      <c r="H9" s="92"/>
      <c r="I9" s="93">
        <f>H7</f>
        <v>13967.73</v>
      </c>
      <c r="J9" s="93"/>
      <c r="K9" s="94"/>
      <c r="L9" s="54"/>
      <c r="M9" s="95" t="s">
        <v>93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94</v>
      </c>
      <c r="BI9" s="122" t="s">
        <v>95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96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97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98</v>
      </c>
      <c r="BI10" s="122" t="s">
        <v>99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100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101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102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97</v>
      </c>
      <c r="O12" s="69">
        <v>0.001</v>
      </c>
      <c r="P12" s="69" t="s">
        <v>103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104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105</v>
      </c>
      <c r="BN14" s="54" t="s">
        <v>106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107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108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109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110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356</v>
      </c>
      <c r="C4" s="19" t="s">
        <v>356</v>
      </c>
      <c r="D4" s="19" t="s">
        <v>76</v>
      </c>
      <c r="E4" s="19" t="s">
        <v>97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357</v>
      </c>
      <c r="AV4" t="s" s="0">
        <v>358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359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97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127</v>
      </c>
      <c r="AT5" s="25" t="s">
        <v>76</v>
      </c>
      <c r="AU5" t="s" s="0">
        <v>361</v>
      </c>
      <c r="AV5" t="s" s="0">
        <v>362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363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364</v>
      </c>
      <c r="C6" s="19" t="s">
        <v>364</v>
      </c>
      <c r="D6" s="19" t="s">
        <v>76</v>
      </c>
      <c r="E6" s="19" t="s">
        <v>97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365</v>
      </c>
      <c r="AV6" t="s" s="0">
        <v>366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368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369</v>
      </c>
      <c r="BN4" t="s" s="0">
        <v>370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97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371</v>
      </c>
      <c r="BN5" t="s" s="0">
        <v>372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97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373</v>
      </c>
      <c r="BN6" t="s" s="0">
        <v>374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U4" sqref="U4:U6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U4" t="s" s="0">
        <v>78</v>
      </c>
      <c r="AV4" t="s" s="0">
        <v>375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376</v>
      </c>
      <c r="BN4" t="s" s="0">
        <v>377</v>
      </c>
      <c r="BO4" s="25">
        <f t="shared" ref="BO4:BO6" si="16">ROUND((((AW4*AZ4)+(BN4*BM4))/(AW4+BN4)),5)</f>
        <v>2154.14067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97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378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379</v>
      </c>
      <c r="BN5" t="s" s="0">
        <v>380</v>
      </c>
      <c r="BO5" s="25">
        <f t="shared" si="16"/>
        <v>3647.85801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381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382</v>
      </c>
      <c r="BN6" t="s" s="0">
        <v>383</v>
      </c>
      <c r="BO6" s="25">
        <f t="shared" si="16"/>
        <v>1687.90769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356</v>
      </c>
      <c r="C4" s="19" t="s">
        <v>356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384</v>
      </c>
      <c r="AV4" t="s" s="0">
        <v>385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359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97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127</v>
      </c>
      <c r="AT5" s="25" t="s">
        <v>76</v>
      </c>
      <c r="AU5" t="s" s="0">
        <v>386</v>
      </c>
      <c r="AV5" t="s" s="0">
        <v>387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363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364</v>
      </c>
      <c r="C6" s="19" t="s">
        <v>364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127</v>
      </c>
      <c r="AT6" s="25" t="s">
        <v>76</v>
      </c>
      <c r="AU6" t="s" s="0">
        <v>388</v>
      </c>
      <c r="AV6" t="s" s="0">
        <v>389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368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390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393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97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127</v>
      </c>
      <c r="AT5" s="25" t="s">
        <v>76</v>
      </c>
      <c r="AU5" t="s" s="0">
        <v>395</v>
      </c>
      <c r="AV5" t="s" s="0">
        <v>139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359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357</v>
      </c>
      <c r="AV6" t="s" s="0">
        <v>367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359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393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97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127</v>
      </c>
      <c r="AT5" s="25" t="s">
        <v>76</v>
      </c>
      <c r="AU5" t="s" s="0">
        <v>395</v>
      </c>
      <c r="AV5" t="s" s="0">
        <v>139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359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127</v>
      </c>
      <c r="AT6" s="25" t="s">
        <v>76</v>
      </c>
      <c r="AU6" t="s" s="0">
        <v>357</v>
      </c>
      <c r="AV6" t="s" s="0">
        <v>367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359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6</v>
      </c>
      <c r="G4" t="s" s="0">
        <v>112</v>
      </c>
      <c r="H4" s="20">
        <f t="shared" ref="H4:H6" si="0">F4*G4</f>
        <v>900</v>
      </c>
      <c r="I4" t="s" s="0">
        <v>113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399</v>
      </c>
      <c r="BN4" t="s" s="0">
        <v>400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9</v>
      </c>
      <c r="G5" t="s" s="0">
        <v>90</v>
      </c>
      <c r="H5" s="20">
        <f t="shared" si="0"/>
        <v>900</v>
      </c>
      <c r="I5" t="s" s="0">
        <v>115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403</v>
      </c>
      <c r="BN5" t="s" s="0">
        <v>404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407</v>
      </c>
      <c r="BN6" t="s" s="0">
        <v>408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900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409</v>
      </c>
      <c r="BN4" t="s" s="0">
        <v>410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6</v>
      </c>
      <c r="G5" t="s" s="0">
        <v>90</v>
      </c>
      <c r="H5" s="20">
        <f t="shared" si="0"/>
        <v>600</v>
      </c>
      <c r="I5" t="s" s="0">
        <v>115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411</v>
      </c>
      <c r="BN5" t="s" s="0">
        <v>412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413</v>
      </c>
      <c r="BN6" t="s" s="0">
        <v>414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G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3</v>
      </c>
      <c r="G4" t="s" s="0">
        <v>240</v>
      </c>
      <c r="H4" s="20">
        <f t="shared" ref="H4:H6" si="0">F4*G4</f>
        <v>150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409</v>
      </c>
      <c r="BN4" t="s" s="0">
        <v>410</v>
      </c>
      <c r="BO4" s="25">
        <f>ROUND((((AW4*AZ4)+(BN4*BM4))/(AW4+BN4)),5)</f>
        <v>5145.3793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12</v>
      </c>
      <c r="G5" t="s" s="0">
        <v>90</v>
      </c>
      <c r="H5" s="20">
        <f t="shared" si="0"/>
        <v>1200</v>
      </c>
      <c r="I5" t="s" s="0">
        <v>115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411</v>
      </c>
      <c r="BN5" t="s" s="0">
        <v>412</v>
      </c>
      <c r="BO5" s="25">
        <f>ROUND((((AW5*AZ5)+(BN5*BM5))/(AW5+BN5)),5)</f>
        <v>9285.44359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413</v>
      </c>
      <c r="BN6" t="s" s="0">
        <v>414</v>
      </c>
      <c r="BO6" s="25">
        <f>ROUND((((AW6*AZ6)+(BN6*BM6))/(AW6+BN6)),5)</f>
        <v>5977.99086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416</v>
      </c>
      <c r="BN4" t="s" s="0">
        <v>417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6</v>
      </c>
      <c r="G5" t="s" s="0">
        <v>90</v>
      </c>
      <c r="H5" s="20">
        <f t="shared" si="0"/>
        <v>600</v>
      </c>
      <c r="I5" t="s" s="0">
        <v>115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419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420</v>
      </c>
      <c r="BN5" t="s" s="0">
        <v>421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423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424</v>
      </c>
      <c r="BN6" t="s" s="0">
        <v>425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416</v>
      </c>
      <c r="BN4" t="s" s="0">
        <v>417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12</v>
      </c>
      <c r="G5" t="s" s="0">
        <v>90</v>
      </c>
      <c r="H5" s="20">
        <f t="shared" si="0"/>
        <v>1200</v>
      </c>
      <c r="I5" t="s" s="0">
        <v>115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419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420</v>
      </c>
      <c r="BN5" t="s" s="0">
        <v>421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127</v>
      </c>
      <c r="AT6" s="25" t="s">
        <v>76</v>
      </c>
      <c r="AU6" t="s" s="0">
        <v>78</v>
      </c>
      <c r="AV6" t="s" s="0">
        <v>423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424</v>
      </c>
      <c r="BN6" t="s" s="0">
        <v>425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6</v>
      </c>
      <c r="G4" t="s" s="0">
        <v>240</v>
      </c>
      <c r="H4" s="20">
        <f t="shared" ref="H4:H6" si="0">F4*G4</f>
        <v>300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427</v>
      </c>
      <c r="BN4" t="s" s="0">
        <v>428</v>
      </c>
      <c r="BO4" s="25">
        <f>ROUND((((AW4*AZ4)+(BN4*BM4))/(AW4+BN4)),5)</f>
        <v>6964.41233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9</v>
      </c>
      <c r="G5" t="s" s="0">
        <v>90</v>
      </c>
      <c r="H5" s="20">
        <f t="shared" si="0"/>
        <v>900</v>
      </c>
      <c r="I5" t="s" s="0">
        <v>78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429</v>
      </c>
      <c r="BN5" t="s" s="0">
        <v>430</v>
      </c>
      <c r="BO5" s="25">
        <f>ROUND((((AW5*AZ5)+(BN5*BM5))/(AW5+BN5)),5)</f>
        <v>8709.88313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78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127</v>
      </c>
      <c r="AT6" s="25" t="s">
        <v>76</v>
      </c>
      <c r="AU6" t="s" s="0">
        <v>78</v>
      </c>
      <c r="AV6" t="s" s="0">
        <v>367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431</v>
      </c>
      <c r="BN6" t="s" s="0">
        <v>432</v>
      </c>
      <c r="BO6" s="25">
        <f>ROUND((((AW6*AZ6)+(BN6*BM6))/(AW6+BN6)),5)</f>
        <v>6901.33911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300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433</v>
      </c>
      <c r="C4" s="19" t="s">
        <v>433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434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435</v>
      </c>
      <c r="C5" s="19" t="s">
        <v>435</v>
      </c>
      <c r="D5" s="19" t="s">
        <v>76</v>
      </c>
      <c r="E5" s="19" t="s">
        <v>97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127</v>
      </c>
      <c r="AT5" s="25" t="s">
        <v>76</v>
      </c>
      <c r="AU5" t="s" s="0">
        <v>436</v>
      </c>
      <c r="AV5" t="s" s="0">
        <v>139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168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437</v>
      </c>
      <c r="C6" s="19" t="s">
        <v>437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384</v>
      </c>
      <c r="AV6" t="s" s="0">
        <v>367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438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2026-09-22T11:22:41Z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