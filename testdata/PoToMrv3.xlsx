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7" activeTab="19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<sst xmlns="http://schemas.openxmlformats.org/spreadsheetml/2006/main" count="11093" uniqueCount="447">
  <si>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</si>
  <si>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</si>
  <si>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</si>
  <si>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</si>
  <si>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</si>
  <si>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</si>
  <si>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</si>
  <si>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</si>
  <si>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</si>
  <si>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</si>
  <si>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</si>
  <si>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</si>
  <si>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</si>
  <si>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</si>
  <si>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</si>
  <si>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</si>
  <si>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</si>
  <si>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</si>
  <si>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</si>
  <si>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</si>
  <si>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</si>
  <si>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</si>
  <si>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</si>
  <si>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</si>
  <si>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</si>
  <si>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</si>
  <si>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</si>
  <si>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</si>
  <si>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</si>
  <si>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</si>
  <si>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</si>
  <si>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</si>
  <si>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</si>
  <si>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</si>
  <si>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</si>
  <si>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</si>
  <si>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</si>
  <si>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</si>
  <si>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</si>
  <si>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</si>
  <si>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</si>
  <si>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</si>
  <si>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</si>
  <si>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</si>
  <si>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</si>
  <si>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</si>
  <si>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</si>
  <si>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</si>
  <si>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</si>
  <si>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</si>
  <si>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</si>
  <si>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</si>
  <si>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</si>
  <si>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</si>
  <si>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</si>
  <si>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</si>
  <si>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</si>
  <si>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</si>
  <si>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</si>
  <si>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</si>
  <si>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</si>
  <si>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</si>
  <si>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</si>
  <si>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</si>
  <si>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</si>
  <si>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</si>
  <si>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</si>
  <si>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</si>
  <si>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</si>
  <si>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</si>
  <si>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</si>
  <si>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</si>
  <si>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</si>
  <si>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</si>
  <si>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</si>
  <si>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</si>
  <si>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</si>
  <si>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</si>
  <si>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</si>
  <si>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</si>
  <si>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</si>
  <si>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</si>
  <si>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</si>
  <si>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</si>
  <si>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</si>
  <si>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</si>
  <si>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</si>
  <si>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</si>
  <si>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</si>
  <si>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</si>
  <si>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</si>
  <si>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</si>
  <si>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</si>
  <si>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</si>
  <si>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</si>
  <si>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</si>
  <si>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</si>
  <si>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</si>
  <si>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</si>
  <si>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</si>
  <si>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</si>
  <si>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</si>
  <si>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</si>
  <si>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</si>
  <si>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</si>
  <si>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</si>
  <si>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</si>
  <si>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</si>
  <si>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</si>
  <si>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</si>
  <si>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</si>
  <si>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</si>
  <si>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</si>
  <si>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</si>
  <si>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</si>
  <si>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</si>
  <si>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</si>
  <si>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</si>
  <si>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</si>
  <si>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</si>
  <si>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</si>
  <si>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</si>
  <si>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</si>
  <si>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</si>
  <si>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</si>
  <si>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</si>
  <si>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</si>
  <si>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</si>
  <si>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</si>
  <si>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</si>
  <si>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</si>
  <si>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</si>
  <si>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</si>
  <si>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</si>
  <si>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</si>
  <si>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11292.73677</t>
  </si>
  <si>
    <t>220.33</t>
  </si>
  <si>
    <t>20940.31667</t>
  </si>
  <si>
    <t>2384.05426</t>
  </si>
  <si>
    <t>313.012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</si>
  <si>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</si>
  <si>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</si>
  <si>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</si>
  <si>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</si>
  <si>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</si>
  <si>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</si>
  <si>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</si>
  <si>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</si>
  <si>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</si>
  <si>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</si>
  <si>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</si>
  <si>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</si>
  <si>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</si>
  <si>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</si>
  <si>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</si>
  <si>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</si>
  <si>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</si>
  <si>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</si>
  <si>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</si>
  <si>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</si>
  <si>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</si>
  <si>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</si>
  <si>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</si>
  <si>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</si>
  <si>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</si>
  <si>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</si>
  <si>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</si>
  <si>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</si>
  <si>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</si>
  <si>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</si>
  <si>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</si>
  <si>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</si>
  <si>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</si>
  <si>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</si>
  <si>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</si>
  <si>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</si>
  <si>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</si>
  <si>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</si>
  <si>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</si>
  <si>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</si>
  <si>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</si>
  <si>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</si>
  <si>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</si>
  <si>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</si>
  <si>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</si>
  <si>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</si>
  <si>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</si>
  <si>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4100.07873</t>
  </si>
  <si>
    <t>846</t>
  </si>
  <si>
    <t>GWL_Item_WoQ_UD_Similar_02</t>
  </si>
  <si>
    <t>82.1175</t>
  </si>
  <si>
    <t>1037.2385</t>
  </si>
  <si>
    <t>GWL_Item_WoQ_UD_Similar_03</t>
  </si>
  <si>
    <t>43.301</t>
  </si>
  <si>
    <t>740.69834</t>
  </si>
  <si>
    <t>678</t>
  </si>
  <si>
    <t>GWL_Item_Reverse_13</t>
  </si>
  <si>
    <t>99</t>
  </si>
  <si>
    <t>50</t>
  </si>
  <si>
    <t>GWL_Item_Reverse_18</t>
  </si>
  <si>
    <t>INS</t>
  </si>
  <si>
    <t>GWL_Item_FP_service_01</t>
  </si>
  <si>
    <t>1671.19613</t>
  </si>
  <si>
    <t>RM WH</t>
  </si>
  <si>
    <t>6188.00023</t>
  </si>
  <si>
    <t>30</t>
  </si>
  <si>
    <t>GWL_Item_Reverse_19</t>
  </si>
  <si>
    <t>12112.5</t>
  </si>
  <si>
    <t>20</t>
  </si>
  <si>
    <t>GWL_Item_Reverse_16</t>
  </si>
  <si>
    <t>Purchase Order Amendment</t>
  </si>
  <si>
    <t>GWL_Item_Reverse_20</t>
  </si>
  <si>
    <t>GWL_Item_Reverse_21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</si>
  <si>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</si>
  <si>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</si>
  <si>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</si>
  <si>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</si>
  <si>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</si>
  <si>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</si>
  <si>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</si>
  <si>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</si>
  <si>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GWL_Item_Reverse_15</t>
  </si>
  <si>
    <t>GWL_Item_Reverse_14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</si>
  <si>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</si>
  <si>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</si>
  <si>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</si>
  <si>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</si>
  <si>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</si>
  <si>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</si>
  <si>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</si>
  <si>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</si>
  <si>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</si>
  <si>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</si>
  <si>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</si>
  <si>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</si>
  <si>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</si>
  <si>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</si>
  <si>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</si>
  <si>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</si>
  <si>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</si>
  <si>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</si>
  <si>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1342.29192</t>
  </si>
  <si>
    <t>840</t>
  </si>
  <si>
    <t>647.53619</t>
  </si>
  <si>
    <t>244</t>
  </si>
  <si>
    <t>447.43341</t>
  </si>
  <si>
    <t>630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</si>
  <si>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</si>
  <si>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</si>
  <si>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</si>
  <si>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</si>
  <si>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</si>
  <si>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</si>
  <si>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</si>
  <si>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</si>
  <si>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</si>
  <si>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GWL_Item_Moq_01</t>
  </si>
  <si>
    <t>1900</t>
  </si>
  <si>
    <t>965.16585</t>
  </si>
  <si>
    <t>875</t>
  </si>
  <si>
    <t>561.15301</t>
  </si>
  <si>
    <t>288</t>
  </si>
  <si>
    <t>387.35959</t>
  </si>
  <si>
    <t>740</t>
  </si>
  <si>
    <t>3714.5</t>
  </si>
  <si>
    <t>986.49226</t>
  </si>
  <si>
    <t>895</t>
  </si>
  <si>
    <t>6979.9875</t>
  </si>
  <si>
    <t>641.42056</t>
  </si>
  <si>
    <t>296</t>
  </si>
  <si>
    <t>3680.585</t>
  </si>
  <si>
    <t>426.16441</t>
  </si>
  <si>
    <t>760</t>
  </si>
  <si>
    <t>GWL_Item_FP_Rc_Service_01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</si>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</sst>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theme/theme1.xml" Type="http://schemas.openxmlformats.org/officeDocument/2006/relationships/theme"/><Relationship Id="rId73" Target="sharedStrings.xml" Type="http://schemas.openxmlformats.org/officeDocument/2006/relationships/sharedStrings"/><Relationship Id="rId74" Target="styles.xml" Type="http://schemas.openxmlformats.org/officeDocument/2006/relationships/style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0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0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9" max="39" customWidth="true" width="17.4285714285714"/>
    <col min="44" max="44" width="9.0"/>
    <col min="50" max="50" customWidth="true" width="16.7142857142857"/>
    <col min="52" max="52" customWidth="true" width="19.4285714285714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130</v>
      </c>
      <c r="BN4" t="s" s="0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132</v>
      </c>
      <c r="BN5" t="s" s="0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30.4285714285714"/>
    <col min="48" max="48" width="11.7142857142857"/>
    <col min="52" max="52" customWidth="true" width="19.4285714285714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134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135</v>
      </c>
      <c r="BN4" t="s" s="0">
        <v>136</v>
      </c>
      <c r="BO4" s="25">
        <f>ROUND((((AW4*AZ4)+(BN4*BM4))/(AW4+BN4)),5)</f>
        <v>10978.38233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739.07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62820.95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 s="0">
        <v>85</v>
      </c>
      <c r="AV5" t="s" s="0">
        <v>137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138</v>
      </c>
      <c r="BN5" t="s" s="0">
        <v>139</v>
      </c>
      <c r="BO5" s="25">
        <f>ROUND((((AW5*AZ5)+(BN5*BM5))/(AW5+BN5)),5)</f>
        <v>2384.05426</v>
      </c>
      <c r="BP5" s="31">
        <f>ROUND(BN5+AW5,3)</f>
        <v>306.345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140</v>
      </c>
      <c r="B3" s="112" t="s">
        <v>10</v>
      </c>
      <c r="C3" s="113" t="s">
        <v>141</v>
      </c>
      <c r="D3" s="112" t="s">
        <v>12</v>
      </c>
      <c r="E3" s="112" t="s">
        <v>13</v>
      </c>
      <c r="F3" s="114" t="s">
        <v>142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143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144</v>
      </c>
      <c r="T3" s="112" t="s">
        <v>28</v>
      </c>
      <c r="U3" s="13" t="s">
        <v>145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146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149</v>
      </c>
      <c r="AT4" s="25" t="s">
        <v>76</v>
      </c>
      <c r="AU4" s="5" t="s">
        <v>150</v>
      </c>
      <c r="AV4" s="5" t="s">
        <v>151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152</v>
      </c>
      <c r="BM4" s="5" t="s">
        <v>153</v>
      </c>
      <c r="BN4" s="5" t="s">
        <v>154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155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156</v>
      </c>
      <c r="AV5" t="s" s="0">
        <v>157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158</v>
      </c>
      <c r="BN5" t="s" s="0">
        <v>159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162</v>
      </c>
      <c r="AV6" t="s" s="0">
        <v>163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164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175</v>
      </c>
      <c r="AV4" t="s" s="0">
        <v>176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177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179</v>
      </c>
      <c r="AV5" t="s" s="0">
        <v>180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181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182</v>
      </c>
      <c r="AV6" t="s" s="0">
        <v>183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184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185</v>
      </c>
      <c r="C4" t="s" s="0">
        <v>185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P1" workbookViewId="0">
      <selection activeCell="AA2" sqref="AA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187</v>
      </c>
      <c r="BN4" t="s" s="0">
        <v>188</v>
      </c>
      <c r="BO4" s="25">
        <f t="shared" ref="BO4:BO6" si="16">ROUND((((AW4*AZ4)+(BN4*BM4))/(AW4+BN4)),5)</f>
        <v>4053.63558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191</v>
      </c>
      <c r="BN5" t="s" s="0">
        <v>182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194</v>
      </c>
      <c r="BN6" t="s" s="0">
        <v>195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7" sqref="B7:C7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10.1428571428571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76</v>
      </c>
      <c r="E4" s="19" t="s">
        <v>76</v>
      </c>
      <c r="F4" s="20">
        <v>100</v>
      </c>
      <c r="G4" s="20">
        <v>100</v>
      </c>
      <c r="H4" s="20">
        <f>F4*G4</f>
        <v>10000</v>
      </c>
      <c r="I4" s="20">
        <v>1</v>
      </c>
      <c r="J4" s="20">
        <v>0</v>
      </c>
      <c r="K4" s="20">
        <v>0</v>
      </c>
      <c r="L4" s="20">
        <f>H4</f>
        <v>10000</v>
      </c>
      <c r="M4" s="20">
        <f>ROUND(L4*I4%,2)</f>
        <v>100</v>
      </c>
      <c r="N4" s="20">
        <f>H4-M4</f>
        <v>9900</v>
      </c>
      <c r="O4" s="20">
        <f>ROUND(N4*J4%,2)</f>
        <v>0</v>
      </c>
      <c r="P4" s="20">
        <f>ROUND(N4-O4,2)</f>
        <v>9900</v>
      </c>
      <c r="Q4" s="20">
        <f>ROUND(P4*K4%,2)</f>
        <v>0</v>
      </c>
      <c r="R4" s="20">
        <f>M4+O4+Q4</f>
        <v>100</v>
      </c>
      <c r="S4" s="20">
        <f>(H4-R4)</f>
        <v>9900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1782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1782</v>
      </c>
      <c r="AC4" s="21">
        <f>IF($V2=1,S4+AB4,S4)</f>
        <v>11682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9900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0">
        <f>ROUND(AI4/AM4,5)</f>
        <v>99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99</v>
      </c>
      <c r="AS4" s="24" t="s">
        <v>120</v>
      </c>
      <c r="AT4" s="25" t="s">
        <v>76</v>
      </c>
      <c r="AU4" t="s" s="0">
        <v>85</v>
      </c>
      <c r="AV4" t="s" s="0">
        <v>197</v>
      </c>
      <c r="AW4" s="25">
        <f>AM4</f>
        <v>100</v>
      </c>
      <c r="AX4" s="25">
        <f>AR4</f>
        <v>99</v>
      </c>
      <c r="AY4" s="25">
        <f>AU4+AW4</f>
        <v>100</v>
      </c>
      <c r="AZ4" s="25">
        <f>ROUND(((AU4*AV4)+(AW4*AX4))/(AU4+AW4),5)</f>
        <v>99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197</v>
      </c>
      <c r="BN4" t="s" s="0">
        <v>198</v>
      </c>
      <c r="BO4" s="25">
        <f>ROUND((((AW4*AZ4)+(BN4*BM4))/(AW4+BN4)),5)</f>
        <v>99</v>
      </c>
      <c r="BP4" s="31">
        <f>ROUND(BN4+AW4,3)</f>
        <v>100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196</v>
      </c>
      <c r="C7" s="19" t="s">
        <v>196</v>
      </c>
      <c r="D7" s="19" t="s">
        <v>76</v>
      </c>
      <c r="E7" s="19" t="s">
        <v>76</v>
      </c>
      <c r="F7" s="20">
        <v>50</v>
      </c>
      <c r="G7" s="20">
        <v>100</v>
      </c>
      <c r="H7" s="20">
        <f>F7*G7</f>
        <v>5000</v>
      </c>
      <c r="I7" s="20">
        <v>1</v>
      </c>
      <c r="J7" s="20">
        <v>0</v>
      </c>
      <c r="K7" s="20">
        <v>0</v>
      </c>
      <c r="L7" s="20">
        <f>H7</f>
        <v>5000</v>
      </c>
      <c r="M7" s="20">
        <f>ROUND(L7*I7%,2)</f>
        <v>50</v>
      </c>
      <c r="N7" s="20">
        <f>H7-M7</f>
        <v>4950</v>
      </c>
      <c r="O7" s="20">
        <f>ROUND(N7*J7%,2)</f>
        <v>0</v>
      </c>
      <c r="P7" s="20">
        <f>ROUND(N7-O7,2)</f>
        <v>4950</v>
      </c>
      <c r="Q7" s="20">
        <f>ROUND(P7*K7%,2)</f>
        <v>0</v>
      </c>
      <c r="R7" s="20">
        <f>M7+O7+Q7</f>
        <v>50</v>
      </c>
      <c r="S7" s="20">
        <f>(H7-R7)</f>
        <v>4950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891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891</v>
      </c>
      <c r="AC7" s="20">
        <f>IF($V3=1,S7+AB7,S7)</f>
        <v>4950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4950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50</v>
      </c>
      <c r="AN7" s="22">
        <f>AI7/AM7</f>
        <v>99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99</v>
      </c>
      <c r="AS7" s="24" t="s">
        <v>120</v>
      </c>
      <c r="AT7" s="25" t="s">
        <v>76</v>
      </c>
      <c r="AU7" t="s" s="0">
        <v>85</v>
      </c>
      <c r="AV7" t="s" s="0">
        <v>197</v>
      </c>
      <c r="AW7" s="25">
        <f>AM7</f>
        <v>50</v>
      </c>
      <c r="AX7" s="25">
        <f>AR7</f>
        <v>99</v>
      </c>
      <c r="AY7" s="25">
        <f>AU7+AW7</f>
        <v>50</v>
      </c>
      <c r="AZ7" s="25">
        <f>ROUND(((AU7*AV7)+(AW7*AX7))/(AU7+AW7),5)</f>
        <v>99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197</v>
      </c>
      <c r="BN7" t="s" s="0">
        <v>198</v>
      </c>
      <c r="BO7" s="25">
        <f>ROUND((((AW7*AZ7)+(BN7*BM7))/(AW7+BN7)),5)</f>
        <v>99</v>
      </c>
      <c r="BP7" s="31">
        <f>ROUND(BN7+AW7,3)</f>
        <v>50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10000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100</v>
      </c>
      <c r="S8" s="37">
        <f t="shared" si="0"/>
        <v>9900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1782</v>
      </c>
      <c r="Y8" s="39"/>
      <c r="Z8" s="39"/>
      <c r="AA8" s="39"/>
      <c r="AB8" s="38">
        <f t="shared" ref="AB8:AE8" si="1">SUM(AB4:AB4)</f>
        <v>1782</v>
      </c>
      <c r="AC8" s="40">
        <f t="shared" si="1"/>
        <v>11682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9900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10000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100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9900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1782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11682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7" sqref="C7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199</v>
      </c>
      <c r="C4" s="19" t="s">
        <v>199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128.25</v>
      </c>
      <c r="W4" s="20">
        <f>IF($C$2=1,ROUND((((S4*U4)/100)/2),2),0)</f>
        <v>128.25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256.5</v>
      </c>
      <c r="AC4" s="21">
        <f>IF($V2=1,S4+AB4,S4)</f>
        <v>1681.5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1425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142.5</v>
      </c>
      <c r="AS4" s="24" t="s">
        <v>200</v>
      </c>
      <c r="AT4" s="25" t="s">
        <v>76</v>
      </c>
      <c r="AW4" s="25">
        <f>AM4</f>
        <v>10</v>
      </c>
      <c r="AX4" s="26">
        <f>AR4</f>
        <v>142.5</v>
      </c>
      <c r="AY4" s="25">
        <f>AU4+AW4</f>
        <v>20</v>
      </c>
      <c r="AZ4" s="25">
        <f>ROUND(((AU4*AV4)+(AW4*AX4))/(AU4+AW4),5)</f>
        <v>139.5075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 s="0">
        <v>85</v>
      </c>
      <c r="BN4" t="s" s="0">
        <v>85</v>
      </c>
      <c r="BO4" s="25">
        <f>ROUND((((AW4*AZ4)+(BN4*BM4))/(AW4+BN4)),5)</f>
        <v>130.8625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199</v>
      </c>
      <c r="C7" s="19" t="s">
        <v>199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64.13</v>
      </c>
      <c r="W7" s="20">
        <f>IF($C$2=1,ROUND((((S7*U7)/100)/2),2),0)</f>
        <v>64.13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128.26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712.5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142.5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142.5</v>
      </c>
      <c r="AS7" s="24" t="s">
        <v>200</v>
      </c>
      <c r="AT7" s="25" t="s">
        <v>76</v>
      </c>
      <c r="AW7" s="25">
        <f>AM7</f>
        <v>5</v>
      </c>
      <c r="AX7" s="25">
        <f>AR7</f>
        <v>142.5</v>
      </c>
      <c r="AY7" s="25">
        <f>AU7+AW7</f>
        <v>15</v>
      </c>
      <c r="AZ7" s="25">
        <f>ROUND(((AU7*AV7)+(AW7*AX7))/(AU7+AW7),5)</f>
        <v>138.51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 s="0">
        <v>85</v>
      </c>
      <c r="BN7" t="s" s="0">
        <v>85</v>
      </c>
      <c r="BO7" s="25">
        <f>ROUND((((AW7*AZ7)+(BN7*BM7))/(AW7+BN7)),5)</f>
        <v>128.934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128.25</v>
      </c>
      <c r="W8" s="39">
        <f t="shared" si="1"/>
        <v>128.25</v>
      </c>
      <c r="X8" s="39">
        <f t="shared" si="1"/>
        <v>0</v>
      </c>
      <c r="Y8" s="39"/>
      <c r="Z8" s="39"/>
      <c r="AA8" s="39"/>
      <c r="AB8" s="38">
        <f t="shared" ref="AB8:AE8" si="2">SUM(AB4:AB4)</f>
        <v>256.5</v>
      </c>
      <c r="AC8" s="40">
        <f t="shared" si="2"/>
        <v>1681.5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1425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256.5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1681.5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201</v>
      </c>
      <c r="C4" s="111" t="s">
        <v>201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200</v>
      </c>
      <c r="AT4" s="25" t="s">
        <v>76</v>
      </c>
      <c r="AU4" t="s" s="0">
        <v>162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201</v>
      </c>
      <c r="C7" s="111" t="s">
        <v>201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 s="0">
        <v>162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J1" workbookViewId="0">
      <selection activeCell="AW7" sqref="AW7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206</v>
      </c>
      <c r="C4" s="19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200</v>
      </c>
      <c r="AT4" s="25" t="s">
        <v>76</v>
      </c>
      <c r="AU4" t="s" s="0">
        <v>85</v>
      </c>
      <c r="AV4" t="s" s="0">
        <v>207</v>
      </c>
      <c r="AW4" s="25">
        <f>AM4</f>
        <v>10</v>
      </c>
      <c r="AX4" s="26">
        <f>AR4</f>
        <v>12112.5</v>
      </c>
      <c r="AY4" s="25">
        <f>AU4+AW4</f>
        <v>10</v>
      </c>
      <c r="AZ4" s="25">
        <f>ROUND(((AU4*AV4)+(AW4*AX4))/(AU4+AW4),5)</f>
        <v>8116.51467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 s="0">
        <v>207</v>
      </c>
      <c r="BN4" t="s" s="0">
        <v>208</v>
      </c>
      <c r="BO4" s="25">
        <f>ROUND((((AW4*AZ4)+(BN4*BM4))/(AW4+BN4)),5)</f>
        <v>3593.72523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206</v>
      </c>
      <c r="C7" s="19" t="s">
        <v>206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200</v>
      </c>
      <c r="AT7" s="25" t="s">
        <v>76</v>
      </c>
      <c r="AU7" t="s" s="0">
        <v>85</v>
      </c>
      <c r="AV7" t="s" s="0">
        <v>207</v>
      </c>
      <c r="AW7" s="25">
        <f>AM7</f>
        <v>5</v>
      </c>
      <c r="AX7" s="25">
        <f>AR7</f>
        <v>12112.5</v>
      </c>
      <c r="AY7" s="25">
        <f>AU7+AW7</f>
        <v>5</v>
      </c>
      <c r="AZ7" s="25">
        <f>ROUND(((AU7*AV7)+(AW7*AX7))/(AU7+AW7),5)</f>
        <v>6118.522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 s="0">
        <v>207</v>
      </c>
      <c r="BN7" t="s" s="0">
        <v>208</v>
      </c>
      <c r="BO7" s="25">
        <f>ROUND((((AW7*AZ7)+(BN7*BM7))/(AW7+BN7)),5)</f>
        <v>2662.18493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256.5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256.5</v>
      </c>
      <c r="AC4" s="21">
        <f>IF($V2=1,S4+AB4,S4)</f>
        <v>1681.5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1425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142.5</v>
      </c>
      <c r="AS4" s="24" t="s">
        <v>120</v>
      </c>
      <c r="AT4" s="25" t="s">
        <v>76</v>
      </c>
      <c r="AW4" s="25">
        <f>AM4</f>
        <v>10</v>
      </c>
      <c r="AX4" s="26">
        <f>AR4</f>
        <v>142.5</v>
      </c>
      <c r="AY4" s="25">
        <f>AU4+AW4</f>
        <v>15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154.81482</v>
      </c>
      <c r="BP4" s="31">
        <f>ROUND(BN4+AW4,3)</f>
        <v>20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209</v>
      </c>
      <c r="C7" s="19" t="s">
        <v>209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128.25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128.25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712.5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142.5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142.5</v>
      </c>
      <c r="AS7" s="24" t="s">
        <v>120</v>
      </c>
      <c r="AT7" s="25" t="s">
        <v>76</v>
      </c>
      <c r="AW7" s="25">
        <f>AM7</f>
        <v>5</v>
      </c>
      <c r="AX7" s="25">
        <f>AR7</f>
        <v>142.5</v>
      </c>
      <c r="AY7" s="25">
        <f>AU7+AW7</f>
        <v>10</v>
      </c>
      <c r="AZ7" s="25">
        <f>ROUND(((AU7*AV7)+(AW7*AX7))/(AU7+AW7),5)</f>
        <v>142.5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85</v>
      </c>
      <c r="BN7" t="s" s="0">
        <v>85</v>
      </c>
      <c r="BO7" s="25">
        <f>ROUND((((AW7*AZ7)+(BN7*BM7))/(AW7+BN7)),5)</f>
        <v>158.91975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75</v>
      </c>
      <c r="S8" s="37">
        <f t="shared" si="0"/>
        <v>1425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256.5</v>
      </c>
      <c r="Y8" s="39"/>
      <c r="Z8" s="39"/>
      <c r="AA8" s="39"/>
      <c r="AB8" s="38">
        <f t="shared" ref="AB8:AE8" si="1">SUM(AB4:AB4)</f>
        <v>256.5</v>
      </c>
      <c r="AC8" s="40">
        <f t="shared" si="1"/>
        <v>1681.5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1425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256.5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1681.5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BD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211</v>
      </c>
      <c r="C4" s="19" t="s">
        <v>211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128.25</v>
      </c>
      <c r="W4" s="20">
        <f>IF($C$2=1,ROUND((((S4*U4)/100)/2),2),0)</f>
        <v>128.25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256.5</v>
      </c>
      <c r="AC4" s="21">
        <f>IF($V2=1,S4+AB4,S4)</f>
        <v>1681.5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1425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142.5</v>
      </c>
      <c r="AS4" s="24" t="s">
        <v>200</v>
      </c>
      <c r="AT4" s="25" t="s">
        <v>76</v>
      </c>
      <c r="AU4" t="s" s="0">
        <v>174</v>
      </c>
      <c r="AV4" t="s" s="0">
        <v>112</v>
      </c>
      <c r="AW4" s="25">
        <f>AM4</f>
        <v>10</v>
      </c>
      <c r="AX4" s="26">
        <f>AR4</f>
        <v>142.5</v>
      </c>
      <c r="AY4" s="25">
        <f>AU4+AW4</f>
        <v>757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 s="0">
        <v>85</v>
      </c>
      <c r="BN4" t="s" s="0">
        <v>85</v>
      </c>
      <c r="BO4" s="25">
        <f>ROUND((((AW4*AZ4)+(BN4*BM4))/(AW4+BN4)),5)</f>
        <v>2090.6175</v>
      </c>
      <c r="BP4" s="31">
        <f>ROUND(BN4+AW4,3)</f>
        <v>690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211</v>
      </c>
      <c r="C7" s="19" t="s">
        <v>211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64.13</v>
      </c>
      <c r="W7" s="20">
        <f>IF($C$2=1,ROUND((((S7*U7)/100)/2),2),0)</f>
        <v>64.13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128.26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712.5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142.5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142.5</v>
      </c>
      <c r="AS7" s="24" t="s">
        <v>200</v>
      </c>
      <c r="AT7" s="25" t="s">
        <v>76</v>
      </c>
      <c r="AU7" t="s" s="0">
        <v>174</v>
      </c>
      <c r="AV7" t="s" s="0">
        <v>112</v>
      </c>
      <c r="AW7" s="25">
        <f>AM7</f>
        <v>5</v>
      </c>
      <c r="AX7" s="25">
        <f>AR7</f>
        <v>142.5</v>
      </c>
      <c r="AY7" s="25">
        <f>AU7+AW7</f>
        <v>752</v>
      </c>
      <c r="AZ7" s="25">
        <f>ROUND(((AU7*AV7)+(AW7*AX7))/(AU7+AW7),5)</f>
        <v>142.5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 s="0">
        <v>85</v>
      </c>
      <c r="BN7" t="s" s="0">
        <v>85</v>
      </c>
      <c r="BO7" s="25">
        <f>ROUND((((AW7*AZ7)+(BN7*BM7))/(AW7+BN7)),5)</f>
        <v>2368.92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128.25</v>
      </c>
      <c r="W8" s="39">
        <f t="shared" si="1"/>
        <v>128.25</v>
      </c>
      <c r="X8" s="39">
        <f t="shared" si="1"/>
        <v>0</v>
      </c>
      <c r="Y8" s="39"/>
      <c r="Z8" s="39"/>
      <c r="AA8" s="39"/>
      <c r="AB8" s="38">
        <f t="shared" ref="AB8:AE8" si="2">SUM(AB4:AB4)</f>
        <v>256.5</v>
      </c>
      <c r="AC8" s="40">
        <f t="shared" si="2"/>
        <v>1681.5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1425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256.5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1681.5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abSelected="1" topLeftCell="AT1" workbookViewId="0">
      <selection activeCell="BL9" sqref="BL9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212</v>
      </c>
      <c r="C4" s="19" t="s">
        <v>212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200</v>
      </c>
      <c r="AT4" s="25" t="s">
        <v>76</v>
      </c>
      <c r="AU4" t="s" s="0">
        <v>85</v>
      </c>
      <c r="AV4" t="s" s="0">
        <v>207</v>
      </c>
      <c r="AW4" s="25">
        <f>AM4</f>
        <v>10</v>
      </c>
      <c r="AX4" s="26">
        <f>AR4</f>
        <v>12112.5</v>
      </c>
      <c r="AY4" s="25">
        <f>AU4+AW4</f>
        <v>10</v>
      </c>
      <c r="AZ4" s="25">
        <f>ROUND(((AU4*AV4)+(AW4*AX4))/(AU4+AW4),5)</f>
        <v>9620.99237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152</v>
      </c>
      <c r="BM4" t="s" s="0">
        <v>207</v>
      </c>
      <c r="BN4" t="s" s="0">
        <v>174</v>
      </c>
      <c r="BO4" s="25">
        <f>ROUND((((AW4*AZ4)+(BN4*BM4))/(AW4+BN4)),5)</f>
        <v>6340.61773</v>
      </c>
      <c r="BP4" s="31">
        <f>ROUND(BN4+AW4,3)</f>
        <v>40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spans="1:69">
      <c r="A7" s="19">
        <v>1</v>
      </c>
      <c r="B7" s="19" t="s">
        <v>212</v>
      </c>
      <c r="C7" s="19" t="s">
        <v>212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200</v>
      </c>
      <c r="AT7" s="25" t="s">
        <v>76</v>
      </c>
      <c r="AU7" t="s" s="0">
        <v>85</v>
      </c>
      <c r="AV7" t="s" s="0">
        <v>207</v>
      </c>
      <c r="AW7" s="25">
        <f>AM7</f>
        <v>5</v>
      </c>
      <c r="AX7" s="25">
        <f>AR7</f>
        <v>12112.5</v>
      </c>
      <c r="AY7" s="25">
        <f>AU7+AW7</f>
        <v>5</v>
      </c>
      <c r="AZ7" s="25">
        <f>ROUND(((AU7*AV7)+(AW7*AX7))/(AU7+AW7),5)</f>
        <v>8998.11546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152</v>
      </c>
      <c r="BM7" t="s" s="0">
        <v>207</v>
      </c>
      <c r="BN7" t="s" s="0">
        <v>174</v>
      </c>
      <c r="BO7" s="25">
        <f>ROUND((((AW7*AZ7)+(BN7*BM7))/(AW7+BN7)),5)</f>
        <v>5783.01037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N5" sqref="BN5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213</v>
      </c>
      <c r="BN4" t="s" s="0">
        <v>214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 s="0">
        <v>85</v>
      </c>
      <c r="AV7" t="s" s="0">
        <v>167</v>
      </c>
      <c r="AW7" s="25">
        <f>AM7</f>
        <v>30</v>
      </c>
      <c r="AX7" s="25">
        <f>AR7</f>
        <v>124.545</v>
      </c>
      <c r="AY7" s="25">
        <f>AU7+AW7</f>
        <v>45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213</v>
      </c>
      <c r="BN7" t="s" s="0">
        <v>214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201</v>
      </c>
      <c r="C4" s="105" t="s">
        <v>201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213</v>
      </c>
      <c r="BN4" t="s" s="0">
        <v>214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201</v>
      </c>
      <c r="C7" s="105" t="s">
        <v>201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 s="0">
        <v>85</v>
      </c>
      <c r="AV7" t="s" s="0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213</v>
      </c>
      <c r="BN7" t="s" s="0">
        <v>214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C3" sqref="C3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200</v>
      </c>
      <c r="AT4" s="25" t="s">
        <v>76</v>
      </c>
      <c r="AU4" t="s" s="0">
        <v>85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215</v>
      </c>
      <c r="BN4" t="s" s="0">
        <v>216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336.27</v>
      </c>
      <c r="W7" s="20">
        <f>IF($C$2=1,ROUND((((S7*U7)/100)/2),2),0)</f>
        <v>336.27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200</v>
      </c>
      <c r="AT7" s="25" t="s">
        <v>76</v>
      </c>
      <c r="AU7" t="s" s="0">
        <v>85</v>
      </c>
      <c r="AV7" t="s" s="0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215</v>
      </c>
      <c r="BN7" t="s" s="0">
        <v>216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11" sqref="D11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200</v>
      </c>
      <c r="AT4" s="25" t="s">
        <v>76</v>
      </c>
      <c r="AU4" t="s" s="0">
        <v>85</v>
      </c>
      <c r="AV4" t="s" s="0">
        <v>77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217</v>
      </c>
      <c r="BN4" t="s" s="0">
        <v>218</v>
      </c>
      <c r="BO4" s="25">
        <f>ROUND((((AW4*AZ4)+(BN4*BM4))/(AW4+BN4)),5)</f>
        <v>138.1153</v>
      </c>
      <c r="BP4" s="31">
        <f>ROUND(BN4+AW4,3)</f>
        <v>190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200</v>
      </c>
      <c r="AT7" s="25" t="s">
        <v>76</v>
      </c>
      <c r="AU7" t="s" s="0">
        <v>85</v>
      </c>
      <c r="AV7" t="s" s="0">
        <v>77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217</v>
      </c>
      <c r="BN7" t="s" s="0">
        <v>218</v>
      </c>
      <c r="BO7" s="25">
        <f>ROUND((((AW7*AZ7)+(BN7*BM7))/(AW7+BN7)),5)</f>
        <v>138.48204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D1" workbookViewId="0">
      <selection activeCell="F8" sqref="F8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219</v>
      </c>
      <c r="BN4" t="s" s="0">
        <v>220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85</v>
      </c>
      <c r="AV7" t="s" s="0">
        <v>167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219</v>
      </c>
      <c r="BN7" t="s" s="0">
        <v>220</v>
      </c>
      <c r="BO7" s="25">
        <f>ROUND((((AW7*AZ7)+(BN7*BM7))/(AW7+BN7)),5)</f>
        <v>1987.52784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7" sqref="C7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customWidth="true" width="14.7142857142857"/>
    <col min="40" max="40" width="9.0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221</v>
      </c>
      <c r="C4" s="19" t="s">
        <v>221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120</v>
      </c>
      <c r="AT4" s="25" t="s">
        <v>76</v>
      </c>
      <c r="AU4" t="s" s="0">
        <v>85</v>
      </c>
      <c r="AV4" t="s" s="0">
        <v>207</v>
      </c>
      <c r="AW4" s="25">
        <f>AM4</f>
        <v>10</v>
      </c>
      <c r="AX4" s="26">
        <f>AR4</f>
        <v>12112.5</v>
      </c>
      <c r="AY4" s="25">
        <f>AU4+AW4</f>
        <v>757</v>
      </c>
      <c r="AZ4" s="25">
        <f>ROUND(((AU4*AV4)+(AW4*AX4))/(AU4+AW4),5)</f>
        <v>3164.56328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207</v>
      </c>
      <c r="BN4" t="s" s="0">
        <v>85</v>
      </c>
      <c r="BO4" s="25">
        <f>ROUND((((AW4*AZ4)+(BN4*BM4))/(AW4+BN4)),5)</f>
        <v>2667.06154</v>
      </c>
      <c r="BP4" s="31">
        <f>ROUND(BN4+AW4,3)</f>
        <v>690</v>
      </c>
      <c r="BQ4" s="32">
        <v>123562</v>
      </c>
    </row>
    <row r="5" ht="15.75" spans="1:69">
      <c r="A5" s="109" t="s">
        <v>210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221</v>
      </c>
      <c r="C7" s="19" t="s">
        <v>221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120</v>
      </c>
      <c r="AT7" s="25" t="s">
        <v>76</v>
      </c>
      <c r="AU7" t="s" s="0">
        <v>85</v>
      </c>
      <c r="AV7" t="s" s="0">
        <v>207</v>
      </c>
      <c r="AW7" s="25">
        <f>AM7</f>
        <v>5</v>
      </c>
      <c r="AX7" s="25">
        <f>AR7</f>
        <v>12112.5</v>
      </c>
      <c r="AY7" s="25">
        <f>AU7+AW7</f>
        <v>752</v>
      </c>
      <c r="AZ7" s="25">
        <f>ROUND(((AU7*AV7)+(AW7*AX7))/(AU7+AW7),5)</f>
        <v>3106.23253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207</v>
      </c>
      <c r="BN7" t="s" s="0">
        <v>85</v>
      </c>
      <c r="BO7" s="25">
        <f>ROUND((((AW7*AZ7)+(BN7*BM7))/(AW7+BN7)),5)</f>
        <v>2663.00437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B1" workbookViewId="0">
      <selection activeCell="B7" sqref="B7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2" t="s">
        <v>222</v>
      </c>
      <c r="C4" s="102" t="s">
        <v>222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0</v>
      </c>
      <c r="K4" s="20">
        <v>0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0</v>
      </c>
      <c r="P4" s="20">
        <f>ROUND(N4-O4,2)</f>
        <v>1425</v>
      </c>
      <c r="Q4" s="20">
        <f>ROUND(P4*K4%,2)</f>
        <v>0</v>
      </c>
      <c r="R4" s="20">
        <f>M4+O4+Q4</f>
        <v>75</v>
      </c>
      <c r="S4" s="20">
        <f>(H4-R4)</f>
        <v>1425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1425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121125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12112.5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12112.5</v>
      </c>
      <c r="AS4" s="24" t="s">
        <v>120</v>
      </c>
      <c r="AT4" s="25" t="s">
        <v>76</v>
      </c>
      <c r="AW4" s="25">
        <f>AM4</f>
        <v>10</v>
      </c>
      <c r="AX4" s="26">
        <f>AR4</f>
        <v>12112.5</v>
      </c>
      <c r="AY4" s="25">
        <f>AU4+AW4</f>
        <v>737</v>
      </c>
      <c r="AZ4" s="25">
        <f>ROUND(((AU4*AV4)+(AW4*AX4))/(AU4+AW4),5)</f>
        <v>12112.5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1191.13636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2" t="s">
        <v>222</v>
      </c>
      <c r="C7" s="102" t="s">
        <v>222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0</v>
      </c>
      <c r="K7" s="20">
        <v>0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0</v>
      </c>
      <c r="P7" s="20">
        <f>ROUND(N7-O7,2)</f>
        <v>712.5</v>
      </c>
      <c r="Q7" s="20">
        <f>ROUND(P7*K7%,2)</f>
        <v>0</v>
      </c>
      <c r="R7" s="20">
        <f>M7+O7+Q7</f>
        <v>37.5</v>
      </c>
      <c r="S7" s="20">
        <f>(H7-R7)</f>
        <v>712.5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712.5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60562.5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12112.5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12112.5</v>
      </c>
      <c r="AS7" s="24" t="s">
        <v>120</v>
      </c>
      <c r="AT7" s="25" t="s">
        <v>76</v>
      </c>
      <c r="AW7" s="25">
        <f>AM7</f>
        <v>5</v>
      </c>
      <c r="AX7" s="25">
        <f>AR7</f>
        <v>12112.5</v>
      </c>
      <c r="AY7" s="25">
        <f>AU7+AW7</f>
        <v>732</v>
      </c>
      <c r="AZ7" s="25">
        <f>ROUND(((AU7*AV7)+(AW7*AX7))/(AU7+AW7),5)</f>
        <v>12112.5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85</v>
      </c>
      <c r="BN7" t="s" s="0">
        <v>85</v>
      </c>
      <c r="BO7" s="25">
        <f>ROUND((((AW7*AZ7)+(BN7*BM7))/(AW7+BN7)),5)</f>
        <v>671.07143</v>
      </c>
      <c r="BP7" s="31">
        <f>ROUND(BN7+AW7,3)</f>
        <v>105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75</v>
      </c>
      <c r="S8" s="37">
        <f t="shared" si="1"/>
        <v>1425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1425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121125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75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1425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1425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201</v>
      </c>
      <c r="C4" s="105" t="s">
        <v>201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223</v>
      </c>
      <c r="C5" s="107" t="s">
        <v>223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224</v>
      </c>
      <c r="C6" s="107" t="s">
        <v>224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201</v>
      </c>
      <c r="C4" s="105" t="s">
        <v>201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223</v>
      </c>
      <c r="C5" s="107" t="s">
        <v>223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224</v>
      </c>
      <c r="C6" s="107" t="s">
        <v>224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225</v>
      </c>
      <c r="C4" s="19" t="s">
        <v>225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 t="shared" ref="H4:H6" si="0">F4*G4</f>
        <v>15000</v>
      </c>
      <c r="I4" t="s" s="0">
        <v>78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226</v>
      </c>
      <c r="BN4" t="s" s="0">
        <v>227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228</v>
      </c>
      <c r="C5" s="19" t="s">
        <v>228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229</v>
      </c>
      <c r="BN5" t="s" s="0">
        <v>230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231</v>
      </c>
      <c r="C6" s="19" t="s">
        <v>231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233</v>
      </c>
      <c r="BN6" t="s" s="0">
        <v>234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I23" sqref="I2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225</v>
      </c>
      <c r="C4" s="19" t="s">
        <v>225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>F4*G4</f>
        <v>15000</v>
      </c>
      <c r="I4" t="s" s="0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226</v>
      </c>
      <c r="BN4" t="s" s="0">
        <v>227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225</v>
      </c>
      <c r="C4" s="19" t="s">
        <v>225</v>
      </c>
      <c r="D4" s="19" t="s">
        <v>76</v>
      </c>
      <c r="E4" s="19" t="s">
        <v>76</v>
      </c>
      <c r="F4" s="20">
        <v>10</v>
      </c>
      <c r="G4" t="s" s="0">
        <v>198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235</v>
      </c>
      <c r="BN4" t="s" s="0">
        <v>236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228</v>
      </c>
      <c r="C5" s="19" t="s">
        <v>228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237</v>
      </c>
      <c r="BN5" t="s" s="0">
        <v>238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231</v>
      </c>
      <c r="C6" s="19" t="s">
        <v>231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239</v>
      </c>
      <c r="BN6" t="s" s="0">
        <v>240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225</v>
      </c>
      <c r="C4" s="19" t="s">
        <v>225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241</v>
      </c>
      <c r="BN4" t="s" s="0">
        <v>242</v>
      </c>
      <c r="BO4" s="25">
        <f t="shared" ref="BO4:BO6" si="16">ROUND((((AW4*AZ4)+(BN4*BM4))/(AW4+BN4)),5)</f>
        <v>925.99056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228</v>
      </c>
      <c r="C5" s="19" t="s">
        <v>228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243</v>
      </c>
      <c r="BN5" t="s" s="0">
        <v>244</v>
      </c>
      <c r="BO5" s="25">
        <f t="shared" si="16"/>
        <v>82.11993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231</v>
      </c>
      <c r="C6" s="19" t="s">
        <v>231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245</v>
      </c>
      <c r="BN6" t="s" s="0">
        <v>246</v>
      </c>
      <c r="BO6" s="25">
        <f t="shared" si="16"/>
        <v>43.30003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247</v>
      </c>
      <c r="C4" s="19" t="s">
        <v>247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248</v>
      </c>
      <c r="BN4" t="s" s="0">
        <v>249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250</v>
      </c>
      <c r="C5" s="19" t="s">
        <v>250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251</v>
      </c>
      <c r="BN5" t="s" s="0">
        <v>252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253</v>
      </c>
      <c r="C6" s="19" t="s">
        <v>253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254</v>
      </c>
      <c r="BN6" t="s" s="0">
        <v>255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9" max="49" width="12.847619047619"/>
    <col min="50" max="50" width="9.0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256</v>
      </c>
      <c r="C4" s="19" t="s">
        <v>256</v>
      </c>
      <c r="D4" s="19" t="s">
        <v>76</v>
      </c>
      <c r="E4" s="19" t="s">
        <v>76</v>
      </c>
      <c r="F4" s="20">
        <v>100</v>
      </c>
      <c r="G4" t="s" s="0">
        <v>77</v>
      </c>
      <c r="H4" s="20">
        <f>F4*G4</f>
        <v>15000</v>
      </c>
      <c r="I4" t="s" s="0">
        <v>78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257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247</v>
      </c>
      <c r="C4" s="19" t="s">
        <v>247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258</v>
      </c>
      <c r="BN4" t="s" s="0">
        <v>259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250</v>
      </c>
      <c r="C5" s="19" t="s">
        <v>250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260</v>
      </c>
      <c r="BN5" t="s" s="0">
        <v>261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253</v>
      </c>
      <c r="C6" s="19" t="s">
        <v>253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193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262</v>
      </c>
      <c r="BN6" t="s" s="0">
        <v>263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247</v>
      </c>
      <c r="C4" s="19" t="s">
        <v>247</v>
      </c>
      <c r="D4" s="19" t="s">
        <v>76</v>
      </c>
      <c r="E4" s="19" t="s">
        <v>76</v>
      </c>
      <c r="F4" s="20">
        <v>10</v>
      </c>
      <c r="G4" t="s" s="0">
        <v>198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264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265</v>
      </c>
      <c r="BN4" t="s" s="0">
        <v>266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250</v>
      </c>
      <c r="C5" s="19" t="s">
        <v>250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267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268</v>
      </c>
      <c r="BN5" t="s" s="0">
        <v>269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253</v>
      </c>
      <c r="C6" s="19" t="s">
        <v>253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270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271</v>
      </c>
      <c r="BN6" t="s" s="0">
        <v>272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273</v>
      </c>
      <c r="C4" s="105" t="s">
        <v>273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208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274</v>
      </c>
      <c r="C5" s="107" t="s">
        <v>274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275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275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276</v>
      </c>
      <c r="C6" s="107" t="s">
        <v>276</v>
      </c>
      <c r="D6" s="106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273</v>
      </c>
      <c r="C4" s="105" t="s">
        <v>273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208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274</v>
      </c>
      <c r="C5" s="107" t="s">
        <v>274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275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275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276</v>
      </c>
      <c r="C6" s="107" t="s">
        <v>276</v>
      </c>
      <c r="D6" s="106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273</v>
      </c>
      <c r="C4" s="105" t="s">
        <v>273</v>
      </c>
      <c r="D4" s="106" t="s">
        <v>76</v>
      </c>
      <c r="E4" s="19" t="s">
        <v>76</v>
      </c>
      <c r="F4" s="20">
        <v>10</v>
      </c>
      <c r="G4" t="s" s="0">
        <v>198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208</v>
      </c>
      <c r="AV4" t="s" s="0">
        <v>167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274</v>
      </c>
      <c r="C5" s="107" t="s">
        <v>274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275</v>
      </c>
      <c r="AV5" t="s" s="0">
        <v>157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275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276</v>
      </c>
      <c r="C6" s="107" t="s">
        <v>276</v>
      </c>
      <c r="D6" s="106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208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278</v>
      </c>
      <c r="C5" s="105" t="s">
        <v>278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275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275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279</v>
      </c>
      <c r="C6" s="108" t="s">
        <v>279</v>
      </c>
      <c r="D6" s="106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208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278</v>
      </c>
      <c r="C5" s="105" t="s">
        <v>278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275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275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279</v>
      </c>
      <c r="C6" s="108" t="s">
        <v>279</v>
      </c>
      <c r="D6" s="106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208</v>
      </c>
      <c r="AV4" t="s" s="0">
        <v>167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278</v>
      </c>
      <c r="C5" s="105" t="s">
        <v>278</v>
      </c>
      <c r="D5" s="106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275</v>
      </c>
      <c r="AV5" t="s" s="0">
        <v>157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275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279</v>
      </c>
      <c r="C6" s="108" t="s">
        <v>279</v>
      </c>
      <c r="D6" s="106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163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280</v>
      </c>
      <c r="C4" s="19" t="s">
        <v>280</v>
      </c>
      <c r="D4" s="19" t="s">
        <v>76</v>
      </c>
      <c r="E4" s="19" t="s">
        <v>76</v>
      </c>
      <c r="F4" s="20">
        <v>5</v>
      </c>
      <c r="G4" t="s" s="0">
        <v>198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281</v>
      </c>
      <c r="AV4" t="s" s="0">
        <v>282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283</v>
      </c>
      <c r="C5" s="19" t="s">
        <v>283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284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285</v>
      </c>
      <c r="AV5" t="s" s="0">
        <v>286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287</v>
      </c>
      <c r="C6" s="19" t="s">
        <v>287</v>
      </c>
      <c r="D6" s="19" t="s">
        <v>76</v>
      </c>
      <c r="E6" s="19" t="s">
        <v>76</v>
      </c>
      <c r="F6" s="20">
        <v>10</v>
      </c>
      <c r="G6" t="s" s="0">
        <v>77</v>
      </c>
      <c r="H6" s="20">
        <f>F6*G6</f>
        <v>1500</v>
      </c>
      <c r="I6" t="s" s="0">
        <v>288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289</v>
      </c>
      <c r="AV6" t="s" s="0">
        <v>290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280</v>
      </c>
      <c r="C4" s="19" t="s">
        <v>280</v>
      </c>
      <c r="D4" s="19" t="s">
        <v>76</v>
      </c>
      <c r="E4" s="19" t="s">
        <v>76</v>
      </c>
      <c r="F4" s="20">
        <v>5</v>
      </c>
      <c r="G4" t="s" s="0">
        <v>198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 s="0">
        <v>291</v>
      </c>
      <c r="AV4" t="s" s="0">
        <v>292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283</v>
      </c>
      <c r="C5" s="19" t="s">
        <v>283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284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 s="0">
        <v>293</v>
      </c>
      <c r="AV5" t="s" s="0">
        <v>294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287</v>
      </c>
      <c r="C6" s="19" t="s">
        <v>287</v>
      </c>
      <c r="D6" s="19" t="s">
        <v>76</v>
      </c>
      <c r="E6" s="19" t="s">
        <v>76</v>
      </c>
      <c r="F6" s="20">
        <v>10</v>
      </c>
      <c r="G6" t="s" s="0">
        <v>77</v>
      </c>
      <c r="H6" s="20">
        <f t="shared" si="0"/>
        <v>1500</v>
      </c>
      <c r="I6" t="s" s="0">
        <v>288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 s="0">
        <v>77</v>
      </c>
      <c r="AV6" t="s" s="0">
        <v>295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296</v>
      </c>
      <c r="C4" s="19" t="s">
        <v>296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297</v>
      </c>
      <c r="C5" s="19" t="s">
        <v>297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298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299</v>
      </c>
      <c r="C4" s="19" t="s">
        <v>299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300</v>
      </c>
      <c r="C5" s="19" t="s">
        <v>300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U5" t="s" s="0">
        <v>78</v>
      </c>
      <c r="AV5" t="s" s="0">
        <v>298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301</v>
      </c>
      <c r="C4" s="19" t="s">
        <v>301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303</v>
      </c>
      <c r="C4" s="19" t="s">
        <v>303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304</v>
      </c>
      <c r="BN4" t="s" s="0">
        <v>305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306</v>
      </c>
      <c r="C5" s="19" t="s">
        <v>306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307</v>
      </c>
      <c r="BN5" t="s" s="0">
        <v>308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309</v>
      </c>
      <c r="C4" s="19" t="s">
        <v>309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304</v>
      </c>
      <c r="BN4" t="s" s="0">
        <v>305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310</v>
      </c>
      <c r="C5" s="19" t="s">
        <v>310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307</v>
      </c>
      <c r="BN5" t="s" s="0">
        <v>308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311</v>
      </c>
      <c r="C4" s="19" t="s">
        <v>311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79</v>
      </c>
      <c r="AT4" s="25" t="s">
        <v>76</v>
      </c>
      <c r="AU4" t="s" s="0">
        <v>312</v>
      </c>
      <c r="AV4" t="s" s="0">
        <v>313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314</v>
      </c>
      <c r="BN4" t="s" s="0">
        <v>315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316</v>
      </c>
      <c r="C5" s="19" t="s">
        <v>316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79</v>
      </c>
      <c r="AT5" s="25" t="s">
        <v>76</v>
      </c>
      <c r="AU5" t="s" s="0">
        <v>285</v>
      </c>
      <c r="AV5" t="s" s="0">
        <v>317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318</v>
      </c>
      <c r="BN5" t="s" s="0">
        <v>319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321</v>
      </c>
      <c r="AV4" t="s" s="0">
        <v>322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324</v>
      </c>
      <c r="AV5" t="s" s="0">
        <v>325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326</v>
      </c>
      <c r="C6" s="102" t="s">
        <v>326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>F6*G6</f>
        <v>500</v>
      </c>
      <c r="I6" t="s" s="0">
        <v>232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205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321</v>
      </c>
      <c r="AV4" t="s" s="0">
        <v>322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324</v>
      </c>
      <c r="AV5" t="s" s="0">
        <v>325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326</v>
      </c>
      <c r="C6" s="102" t="s">
        <v>326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205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327</v>
      </c>
      <c r="C4" s="19" t="s">
        <v>327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321</v>
      </c>
      <c r="AV4" t="s" s="0">
        <v>328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281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329</v>
      </c>
      <c r="C5" s="19" t="s">
        <v>329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330</v>
      </c>
      <c r="AV5" t="s" s="0">
        <v>331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293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332</v>
      </c>
      <c r="C6" s="102" t="s">
        <v>332</v>
      </c>
      <c r="D6" s="19" t="s">
        <v>76</v>
      </c>
      <c r="E6" s="19" t="s">
        <v>76</v>
      </c>
      <c r="F6" s="20">
        <v>20</v>
      </c>
      <c r="G6" t="s" s="0">
        <v>198</v>
      </c>
      <c r="H6" s="20">
        <f>F6*G6</f>
        <v>1000</v>
      </c>
      <c r="I6" t="s" s="0">
        <v>232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333</v>
      </c>
      <c r="AV6" t="s" s="0">
        <v>334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335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327</v>
      </c>
      <c r="C4" s="19" t="s">
        <v>327</v>
      </c>
      <c r="D4" s="19" t="s">
        <v>76</v>
      </c>
      <c r="E4" s="19" t="s">
        <v>76</v>
      </c>
      <c r="F4" s="20">
        <v>5</v>
      </c>
      <c r="G4" t="s" s="0">
        <v>77</v>
      </c>
      <c r="H4" s="20">
        <f t="shared" ref="H4:H6" si="0">F4*G4</f>
        <v>750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174</v>
      </c>
      <c r="AV4" t="s" s="0">
        <v>167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329</v>
      </c>
      <c r="C5" s="19" t="s">
        <v>329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336</v>
      </c>
      <c r="AV5" t="s" s="0">
        <v>157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85</v>
      </c>
      <c r="BN5" t="s" s="0">
        <v>85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332</v>
      </c>
      <c r="C6" s="102" t="s">
        <v>332</v>
      </c>
      <c r="D6" s="19" t="s">
        <v>76</v>
      </c>
      <c r="E6" s="19" t="s">
        <v>76</v>
      </c>
      <c r="F6" s="20">
        <v>20</v>
      </c>
      <c r="G6" t="s" s="0">
        <v>198</v>
      </c>
      <c r="H6" s="20">
        <f t="shared" si="0"/>
        <v>1000</v>
      </c>
      <c r="I6" t="s" s="0">
        <v>232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205</v>
      </c>
      <c r="AV6" t="s" s="0">
        <v>163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85</v>
      </c>
      <c r="BN6" t="s" s="0">
        <v>85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337</v>
      </c>
      <c r="C4" s="19" t="s">
        <v>337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174</v>
      </c>
      <c r="AV4" t="s" s="0">
        <v>322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338</v>
      </c>
      <c r="C5" s="19" t="s">
        <v>338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336</v>
      </c>
      <c r="AV5" t="s" s="0">
        <v>325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339</v>
      </c>
      <c r="C6" s="102" t="s">
        <v>339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>F6*G6</f>
        <v>500</v>
      </c>
      <c r="I6" t="s" s="0">
        <v>232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208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337</v>
      </c>
      <c r="C4" s="19" t="s">
        <v>337</v>
      </c>
      <c r="D4" s="19" t="s">
        <v>76</v>
      </c>
      <c r="E4" s="19" t="s">
        <v>76</v>
      </c>
      <c r="F4" s="20">
        <v>5</v>
      </c>
      <c r="G4" t="s" s="0">
        <v>198</v>
      </c>
      <c r="H4" s="20">
        <f t="shared" ref="H4:H6" si="0">F4*G4</f>
        <v>250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 s="0">
        <v>174</v>
      </c>
      <c r="AV4" t="s" s="0">
        <v>322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338</v>
      </c>
      <c r="C5" s="19" t="s">
        <v>338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336</v>
      </c>
      <c r="AV5" t="s" s="0">
        <v>325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339</v>
      </c>
      <c r="C6" s="102" t="s">
        <v>339</v>
      </c>
      <c r="D6" s="19" t="s">
        <v>76</v>
      </c>
      <c r="E6" s="19" t="s">
        <v>76</v>
      </c>
      <c r="F6" s="20">
        <v>10</v>
      </c>
      <c r="G6" t="s" s="0">
        <v>198</v>
      </c>
      <c r="H6" s="20">
        <f t="shared" si="0"/>
        <v>500</v>
      </c>
      <c r="I6" t="s" s="0">
        <v>232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208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340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149</v>
      </c>
      <c r="AT4" s="75" t="s">
        <v>76</v>
      </c>
      <c r="AU4" s="50" t="s">
        <v>85</v>
      </c>
      <c r="AV4" s="50" t="s">
        <v>341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152</v>
      </c>
      <c r="BM4" s="50" t="s">
        <v>341</v>
      </c>
      <c r="BN4" s="50" t="s">
        <v>342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343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149</v>
      </c>
      <c r="AT5" s="75" t="s">
        <v>76</v>
      </c>
      <c r="AU5" s="50" t="s">
        <v>85</v>
      </c>
      <c r="AV5" s="50" t="s">
        <v>344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152</v>
      </c>
      <c r="BM5" s="50" t="s">
        <v>344</v>
      </c>
      <c r="BN5" s="50" t="s">
        <v>345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346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149</v>
      </c>
      <c r="AT6" s="79" t="s">
        <v>76</v>
      </c>
      <c r="AU6" s="50" t="s">
        <v>85</v>
      </c>
      <c r="AV6" s="50" t="s">
        <v>347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348</v>
      </c>
      <c r="BE6" s="79"/>
      <c r="BF6" s="79"/>
      <c r="BG6" s="79"/>
      <c r="BH6" s="79"/>
      <c r="BI6" s="79"/>
      <c r="BJ6" s="79"/>
      <c r="BK6" s="79"/>
      <c r="BL6" s="79" t="s">
        <v>152</v>
      </c>
      <c r="BM6" s="50" t="s">
        <v>347</v>
      </c>
      <c r="BN6" s="50" t="s">
        <v>349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22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22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350</v>
      </c>
      <c r="C4" s="19" t="s">
        <v>350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351</v>
      </c>
      <c r="AV4" t="s" s="0">
        <v>352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353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354</v>
      </c>
      <c r="C5" s="19" t="s">
        <v>354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355</v>
      </c>
      <c r="AV5" t="s" s="0">
        <v>356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357</v>
      </c>
      <c r="BN5" t="s" s="0">
        <v>358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359</v>
      </c>
      <c r="C6" s="19" t="s">
        <v>359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360</v>
      </c>
      <c r="AV6" t="s" s="0">
        <v>361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362</v>
      </c>
      <c r="BN6" t="s" s="0">
        <v>363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85</v>
      </c>
      <c r="AV4" t="s" s="0">
        <v>167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364</v>
      </c>
      <c r="BN4" t="s" s="0">
        <v>365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 s="0">
        <v>85</v>
      </c>
      <c r="AV5" t="s" s="0">
        <v>366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367</v>
      </c>
      <c r="BN5" t="s" s="0">
        <v>368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 s="0">
        <v>85</v>
      </c>
      <c r="AV6" t="s" s="0">
        <v>369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371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85</v>
      </c>
      <c r="AV4" t="s" s="0">
        <v>372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373</v>
      </c>
      <c r="BN4" t="s" s="0">
        <v>374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267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375</v>
      </c>
      <c r="BN5" t="s" s="0">
        <v>252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192</v>
      </c>
      <c r="C6" s="19" t="s">
        <v>192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270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376</v>
      </c>
      <c r="BN6" t="s" s="0">
        <v>377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350</v>
      </c>
      <c r="C4" s="19" t="s">
        <v>350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378</v>
      </c>
      <c r="AV4" t="s" s="0">
        <v>379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353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354</v>
      </c>
      <c r="C5" s="19" t="s">
        <v>354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380</v>
      </c>
      <c r="AV5" t="s" s="0">
        <v>381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357</v>
      </c>
      <c r="BN5" t="s" s="0">
        <v>358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359</v>
      </c>
      <c r="C6" s="19" t="s">
        <v>359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382</v>
      </c>
      <c r="AV6" t="s" s="0">
        <v>383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362</v>
      </c>
      <c r="BN6" t="s" s="0">
        <v>363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384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385</v>
      </c>
      <c r="C4" s="19" t="s">
        <v>385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386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387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388</v>
      </c>
      <c r="C5" s="19" t="s">
        <v>388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 s="0">
        <v>389</v>
      </c>
      <c r="AV5" t="s" s="0">
        <v>357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357</v>
      </c>
      <c r="BN5" t="s" s="0">
        <v>353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390</v>
      </c>
      <c r="C6" s="19" t="s">
        <v>390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351</v>
      </c>
      <c r="AV6" t="s" s="0">
        <v>362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362</v>
      </c>
      <c r="BN6" t="s" s="0">
        <v>353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385</v>
      </c>
      <c r="C4" s="19" t="s">
        <v>385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386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387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388</v>
      </c>
      <c r="C5" s="19" t="s">
        <v>388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 s="0">
        <v>389</v>
      </c>
      <c r="AV5" t="s" s="0">
        <v>357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357</v>
      </c>
      <c r="BN5" t="s" s="0">
        <v>353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390</v>
      </c>
      <c r="C6" s="19" t="s">
        <v>390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351</v>
      </c>
      <c r="AV6" t="s" s="0">
        <v>362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362</v>
      </c>
      <c r="BN6" t="s" s="0">
        <v>353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95</v>
      </c>
      <c r="F4" s="20">
        <v>6</v>
      </c>
      <c r="G4" t="s" s="0">
        <v>77</v>
      </c>
      <c r="H4" s="20">
        <f t="shared" ref="H4:H6" si="0">F4*G4</f>
        <v>900</v>
      </c>
      <c r="I4" t="s" s="0">
        <v>78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392</v>
      </c>
      <c r="BN4" t="s" s="0">
        <v>393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 s="0">
        <v>85</v>
      </c>
      <c r="AV5" t="s" s="0">
        <v>395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396</v>
      </c>
      <c r="BN5" t="s" s="0">
        <v>397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398</v>
      </c>
      <c r="C6" s="19" t="s">
        <v>398</v>
      </c>
      <c r="D6" s="19" t="s">
        <v>76</v>
      </c>
      <c r="E6" s="19" t="s">
        <v>95</v>
      </c>
      <c r="F6" s="20">
        <v>12</v>
      </c>
      <c r="G6" t="s" s="0">
        <v>198</v>
      </c>
      <c r="H6" s="20">
        <f t="shared" si="0"/>
        <v>600</v>
      </c>
      <c r="I6" t="s" s="0">
        <v>232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399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400</v>
      </c>
      <c r="BN6" t="s" s="0">
        <v>401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402</v>
      </c>
      <c r="BN4" t="s" s="0">
        <v>403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404</v>
      </c>
      <c r="BN5" t="s" s="0">
        <v>405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398</v>
      </c>
      <c r="C6" s="19" t="s">
        <v>398</v>
      </c>
      <c r="D6" s="19" t="s">
        <v>76</v>
      </c>
      <c r="E6" s="19" t="s">
        <v>95</v>
      </c>
      <c r="F6" s="20">
        <v>12</v>
      </c>
      <c r="G6" t="s" s="0">
        <v>198</v>
      </c>
      <c r="H6" s="20">
        <f t="shared" si="0"/>
        <v>600</v>
      </c>
      <c r="I6" t="s" s="0">
        <v>232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399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406</v>
      </c>
      <c r="BN6" t="s" s="0">
        <v>407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95</v>
      </c>
      <c r="F4" s="20">
        <v>3</v>
      </c>
      <c r="G4" t="s" s="0">
        <v>198</v>
      </c>
      <c r="H4" s="20">
        <f t="shared" ref="H4:H6" si="0">F4*G4</f>
        <v>150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408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409</v>
      </c>
      <c r="BN4" t="s" s="0">
        <v>410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85</v>
      </c>
      <c r="AV5" t="s" s="0">
        <v>411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412</v>
      </c>
      <c r="BN5" t="s" s="0">
        <v>413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398</v>
      </c>
      <c r="C6" s="19" t="s">
        <v>398</v>
      </c>
      <c r="D6" s="19" t="s">
        <v>76</v>
      </c>
      <c r="E6" s="19" t="s">
        <v>95</v>
      </c>
      <c r="F6" s="20">
        <v>9</v>
      </c>
      <c r="G6" t="s" s="0">
        <v>198</v>
      </c>
      <c r="H6" s="20">
        <f t="shared" si="0"/>
        <v>450</v>
      </c>
      <c r="I6" t="s" s="0">
        <v>232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 s="0">
        <v>85</v>
      </c>
      <c r="AV6" t="s" s="0">
        <v>414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415</v>
      </c>
      <c r="BN6" t="s" s="0">
        <v>416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417</v>
      </c>
      <c r="C4" s="19" t="s">
        <v>417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418</v>
      </c>
      <c r="BN4" t="s" s="0">
        <v>419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6</v>
      </c>
      <c r="G5" t="s" s="0">
        <v>87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421</v>
      </c>
      <c r="BN5" t="s" s="0">
        <v>422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12</v>
      </c>
      <c r="G6" t="s" s="0">
        <v>198</v>
      </c>
      <c r="H6" s="20">
        <f t="shared" si="0"/>
        <v>600</v>
      </c>
      <c r="I6" t="s" s="0">
        <v>232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85</v>
      </c>
      <c r="AV6" t="s" s="0">
        <v>399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424</v>
      </c>
      <c r="BN6" t="s" s="0">
        <v>425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417</v>
      </c>
      <c r="C4" s="19" t="s">
        <v>417</v>
      </c>
      <c r="D4" s="19" t="s">
        <v>76</v>
      </c>
      <c r="E4" s="19" t="s">
        <v>95</v>
      </c>
      <c r="F4" s="20">
        <v>3</v>
      </c>
      <c r="G4" t="s" s="0">
        <v>77</v>
      </c>
      <c r="H4" s="20">
        <f t="shared" ref="H4:H6" si="0">F4*G4</f>
        <v>450</v>
      </c>
      <c r="I4" t="s" s="0">
        <v>78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85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427</v>
      </c>
      <c r="BN4" t="s" s="0">
        <v>428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12</v>
      </c>
      <c r="G5" t="s" s="0">
        <v>87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429</v>
      </c>
      <c r="BN5" t="s" s="0">
        <v>430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9</v>
      </c>
      <c r="G6" t="s" s="0">
        <v>198</v>
      </c>
      <c r="H6" s="20">
        <f t="shared" si="0"/>
        <v>450</v>
      </c>
      <c r="I6" t="s" s="0">
        <v>232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85</v>
      </c>
      <c r="AV6" t="s" s="0">
        <v>362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431</v>
      </c>
      <c r="BN6" t="s" s="0">
        <v>432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417</v>
      </c>
      <c r="C4" s="19" t="s">
        <v>417</v>
      </c>
      <c r="D4" s="19" t="s">
        <v>76</v>
      </c>
      <c r="E4" s="19" t="s">
        <v>95</v>
      </c>
      <c r="F4" s="20">
        <v>6</v>
      </c>
      <c r="G4" t="s" s="0">
        <v>198</v>
      </c>
      <c r="H4" s="20">
        <f t="shared" ref="H4:H6" si="0">F4*G4</f>
        <v>300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408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433</v>
      </c>
      <c r="BN4" t="s" s="0">
        <v>434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9</v>
      </c>
      <c r="G5" t="s" s="0">
        <v>87</v>
      </c>
      <c r="H5" s="20">
        <f t="shared" si="0"/>
        <v>900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435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436</v>
      </c>
      <c r="BN5" t="s" s="0">
        <v>437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12</v>
      </c>
      <c r="G6" t="s" s="0">
        <v>198</v>
      </c>
      <c r="H6" s="20">
        <f t="shared" si="0"/>
        <v>600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438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439</v>
      </c>
      <c r="BN6" t="s" s="0">
        <v>440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441</v>
      </c>
      <c r="C4" s="19" t="s">
        <v>441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386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442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443</v>
      </c>
      <c r="C5" s="19" t="s">
        <v>443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444</v>
      </c>
      <c r="AV5" t="s" s="0">
        <v>357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357</v>
      </c>
      <c r="BN5" t="s" s="0">
        <v>166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445</v>
      </c>
      <c r="C6" s="19" t="s">
        <v>445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378</v>
      </c>
      <c r="AV6" t="s" s="0">
        <v>362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362</v>
      </c>
      <c r="BN6" t="s" s="0">
        <v>446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2026-06-23T11:57:53Z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