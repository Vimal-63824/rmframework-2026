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620"/>
  </bookViews>
  <sheets>
    <sheet name="D-PoToGRNFOCUDGeneralSameUOMWI" sheetId="32" r:id="rId1"/>
    <sheet name="D-PoToGRNFOCUDGeneralSameUOMWOI" sheetId="30" r:id="rId2"/>
    <sheet name="D-PoToGRNFOCUDServiceSameUOMWOI" sheetId="42" r:id="rId3"/>
    <sheet name="D-PoToGRNFOCUDStkTrnSameUOMWI" sheetId="47" r:id="rId4"/>
    <sheet name="D-PoToGRNFOCUDStkTrnSameUOMWOI" sheetId="46" r:id="rId5"/>
    <sheet name="D-PoToGRNFOCRCGeneralSameUOMWI" sheetId="35" r:id="rId6"/>
    <sheet name="D-PoToGRNFOCRCGeneralSameUOMWOI" sheetId="34" r:id="rId7"/>
    <sheet name="D-PoToGRNFOCRCServiceSameUOMWOI" sheetId="43" r:id="rId8"/>
    <sheet name="D-PoToGRNFOCRCStkTrnSameUOMWI" sheetId="51" r:id="rId9"/>
    <sheet name="D-PoToGRNFOCRCStkTrnSameUOMWOI" sheetId="50" r:id="rId10"/>
    <sheet name="D-PoToGRNFOCPLGeneralSameUOMWI" sheetId="36" r:id="rId11"/>
    <sheet name="D-PoToGRNFOCPLGeneralSameUOMWOI" sheetId="37" r:id="rId12"/>
    <sheet name="D-PoToGRNFOCPLServiceSameUOMWOI" sheetId="44" r:id="rId13"/>
    <sheet name="D-PoToGRNFOCPLStkTrnSameUOMWI" sheetId="53" r:id="rId14"/>
    <sheet name="D-PoToGRNFOCPLStkTrnSameUOMWOI" sheetId="52" r:id="rId15"/>
    <sheet name="D-PoToGRNFOCUDGeneralDiffUOMWI" sheetId="33" r:id="rId16"/>
    <sheet name="D-PoToGRNFOCUDGeneralDiffUOMWOI" sheetId="31" r:id="rId17"/>
    <sheet name="D-PoToGRNFOCUDStkTrnDiffUOMWI" sheetId="49" r:id="rId18"/>
    <sheet name="D-PoToGRNFOCUDStkTrnDiffUOMWOI" sheetId="48" r:id="rId19"/>
    <sheet name="D-PoToGRNFOCRCGeneralDiffUOMWI" sheetId="39" r:id="rId20"/>
    <sheet name="D-PoToGRNFOCRCGeneralDiffUOMWOI" sheetId="38" r:id="rId21"/>
    <sheet name="D-PoToGRNFOCRCStkTrnDiffUOMWI" sheetId="57" r:id="rId22"/>
    <sheet name="D-PoToGRNFOCRCStkTrnDiffUOMWOI" sheetId="54" r:id="rId23"/>
    <sheet name="D-PoToGRNFOCPLGeneralDiffUOMWI" sheetId="40" r:id="rId24"/>
    <sheet name="D-PoToGRNFOCPLGeneralDiffUOMWOI" sheetId="41" r:id="rId25"/>
    <sheet name="D-PoToGRNFOCPLStkTrnDiffUOMWI" sheetId="58" r:id="rId26"/>
    <sheet name="D-PoToGRNFOCPLStkTrnDiffUOMWOI" sheetId="55" r:id="rId2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<sst xmlns="http://schemas.openxmlformats.org/spreadsheetml/2006/main" count="2586" uniqueCount="167">
  <si>
    <t>Purchase Order &amp; GRN</t>
  </si>
  <si>
    <t>GST Purchase</t>
  </si>
  <si>
    <t>(1 - Local Purchase,2 Interstate Purchase, 3 Import Purchase,4-UTGST)</t>
  </si>
  <si>
    <t xml:space="preserve">Cur. </t>
  </si>
  <si>
    <t>INR</t>
  </si>
  <si>
    <t>Ex. Rate</t>
  </si>
  <si>
    <t>Apportion Basis</t>
  </si>
  <si>
    <t>1 - Value Based, 2 Weight/Volume Based</t>
  </si>
  <si>
    <t>(1 - Registered, 2 - Unregistered)</t>
  </si>
  <si>
    <t>No.</t>
  </si>
  <si>
    <t>Item</t>
  </si>
  <si>
    <t>Item Desc</t>
  </si>
  <si>
    <t>Stk. UOM</t>
  </si>
  <si>
    <t>Pur. UOM</t>
  </si>
  <si>
    <t>Qty</t>
  </si>
  <si>
    <t>Unit Cost</t>
  </si>
  <si>
    <t>Gross Amt.</t>
  </si>
  <si>
    <t>TD%</t>
  </si>
  <si>
    <t>SD%</t>
  </si>
  <si>
    <t>CD%</t>
  </si>
  <si>
    <t>TD Asbl. Val.</t>
  </si>
  <si>
    <t>TD Amt.</t>
  </si>
  <si>
    <t>SD Asbl. Val.</t>
  </si>
  <si>
    <t>SD Amt.</t>
  </si>
  <si>
    <t>CD Asbl. Val.</t>
  </si>
  <si>
    <t>CD Amt.</t>
  </si>
  <si>
    <t>Disc. Amt.</t>
  </si>
  <si>
    <t>Pur. Val.</t>
  </si>
  <si>
    <t>HSN</t>
  </si>
  <si>
    <t>Tax Rate</t>
  </si>
  <si>
    <t>CGST</t>
  </si>
  <si>
    <t>SGST</t>
  </si>
  <si>
    <t>IGST</t>
  </si>
  <si>
    <t>UTGST</t>
  </si>
  <si>
    <t>Cess%</t>
  </si>
  <si>
    <t>CESS</t>
  </si>
  <si>
    <t>Tax amt</t>
  </si>
  <si>
    <t>Net Amt</t>
  </si>
  <si>
    <t>Weight/Vol</t>
  </si>
  <si>
    <t>Customs Duty</t>
  </si>
  <si>
    <t>IGST (Import)</t>
  </si>
  <si>
    <t>Packing &amp; Forwarding</t>
  </si>
  <si>
    <t>Freight</t>
  </si>
  <si>
    <t>Pur Amt (BC)</t>
  </si>
  <si>
    <t>Chargeable Cost</t>
  </si>
  <si>
    <t>Landed Cost</t>
  </si>
  <si>
    <t>Conv. Factor</t>
  </si>
  <si>
    <t>Eqv.  Stock Qty</t>
  </si>
  <si>
    <t>Pur. Unit Cost (chr)</t>
  </si>
  <si>
    <t>Chrg. Unit Cost</t>
  </si>
  <si>
    <t>Landed Cost Unit Cost</t>
  </si>
  <si>
    <t>Stock UOM</t>
  </si>
  <si>
    <t>Unit Cost (Stock UOM)</t>
  </si>
  <si>
    <t>Ins. WH</t>
  </si>
  <si>
    <t>Qty Before Post</t>
  </si>
  <si>
    <t>Unit Cost Before Post</t>
  </si>
  <si>
    <t>Receipt Qty</t>
  </si>
  <si>
    <t>Receipt Unit cost</t>
  </si>
  <si>
    <t>Qty After Post</t>
  </si>
  <si>
    <t>Unit Cost After Post</t>
  </si>
  <si>
    <t>Result (Ok/Not OK)</t>
  </si>
  <si>
    <t>Stock Transaction</t>
  </si>
  <si>
    <t>Lot / Serial Type</t>
  </si>
  <si>
    <t>LOT_NUMBER</t>
  </si>
  <si>
    <t>SERIAL_NUMBER</t>
  </si>
  <si>
    <t>Lot / Serial Trans</t>
  </si>
  <si>
    <t>Locator Trans</t>
  </si>
  <si>
    <t>Batch Stocks</t>
  </si>
  <si>
    <t>Stock Ledger</t>
  </si>
  <si>
    <t>Stock As on Date (Qty)</t>
  </si>
  <si>
    <t>Stock As on Date (Qty &amp; vALUE)</t>
  </si>
  <si>
    <t>Sou.WH</t>
  </si>
  <si>
    <t>Unitcost Before Post For Source Warehouse</t>
  </si>
  <si>
    <t>Qty Before Post For Source WareHouse</t>
  </si>
  <si>
    <t>Qty After Post forSource Warehouse</t>
  </si>
  <si>
    <t>GWL_Item_Similar_2</t>
  </si>
  <si>
    <t>NOS</t>
  </si>
  <si>
    <t>HSN1</t>
  </si>
  <si>
    <t>INS WH-1</t>
  </si>
  <si>
    <t>274</t>
  </si>
  <si>
    <t>2636.71336</t>
  </si>
  <si>
    <t>Receipt Qty &amp; Unit cost</t>
  </si>
  <si>
    <t>LOT</t>
  </si>
  <si>
    <t>RM</t>
  </si>
  <si>
    <t>RMS</t>
  </si>
  <si>
    <t>RM WH-49</t>
  </si>
  <si>
    <t>829.13821</t>
  </si>
  <si>
    <t>134</t>
  </si>
  <si>
    <t>Total</t>
  </si>
  <si>
    <t>GWL_Item_Similar_05</t>
  </si>
  <si>
    <t>GWL_Item_Similar_05_Desc</t>
  </si>
  <si>
    <t>722</t>
  </si>
  <si>
    <t>1419.42655</t>
  </si>
  <si>
    <t>201.65001</t>
  </si>
  <si>
    <t>260</t>
  </si>
  <si>
    <t>VD Asbl. Val.</t>
  </si>
  <si>
    <t>Pur. Value</t>
  </si>
  <si>
    <t>Tax%</t>
  </si>
  <si>
    <t>Unit cost (Stk. UOM)</t>
  </si>
  <si>
    <t>GWL_Item_service_05</t>
  </si>
  <si>
    <t>0</t>
  </si>
  <si>
    <t>GWL_Item_Similar_St_08</t>
  </si>
  <si>
    <t>2</t>
  </si>
  <si>
    <t>GWL_Item_Similar_St_09</t>
  </si>
  <si>
    <t>GWL_Item_Similar_Rc_01</t>
  </si>
  <si>
    <t>186</t>
  </si>
  <si>
    <t>797.93932</t>
  </si>
  <si>
    <t>882.75645</t>
  </si>
  <si>
    <t>35</t>
  </si>
  <si>
    <t>GWL_Item_Similar_Rc_02</t>
  </si>
  <si>
    <t>150</t>
  </si>
  <si>
    <t>1444.92849</t>
  </si>
  <si>
    <t>1656.94355</t>
  </si>
  <si>
    <t>36</t>
  </si>
  <si>
    <t>GWL_Item_Service_Rc_06</t>
  </si>
  <si>
    <t>GWL_Item_Similar_Rc_St_01</t>
  </si>
  <si>
    <t>GWL_Item_Similar_Rc_St_02</t>
  </si>
  <si>
    <t>GWL_Item_Similar_Pl_01</t>
  </si>
  <si>
    <t>100</t>
  </si>
  <si>
    <t>3417.83524</t>
  </si>
  <si>
    <t>1335.62514</t>
  </si>
  <si>
    <t>116</t>
  </si>
  <si>
    <t>GWL_Item_Similar_Pl_02</t>
  </si>
  <si>
    <t>84</t>
  </si>
  <si>
    <t>2067.17684</t>
  </si>
  <si>
    <t>951.51751</t>
  </si>
  <si>
    <t>94</t>
  </si>
  <si>
    <t>GWL_Item_Service_Pl_03</t>
  </si>
  <si>
    <t>GWL_similar_Pl_St_01</t>
  </si>
  <si>
    <t>GWL_similar_Pl_St_02</t>
  </si>
  <si>
    <t>GWL_Item_Dissimilar_04</t>
  </si>
  <si>
    <t>34.327</t>
  </si>
  <si>
    <t>5879.70135</t>
  </si>
  <si>
    <t>3299.57978</t>
  </si>
  <si>
    <t>41.666</t>
  </si>
  <si>
    <t>GWL_Item_Dissimilar_05</t>
  </si>
  <si>
    <t>89.328</t>
  </si>
  <si>
    <t>3708.80937</t>
  </si>
  <si>
    <t>1359.83469</t>
  </si>
  <si>
    <t>84.666</t>
  </si>
  <si>
    <t>GWL_Dissimilar_St_01</t>
  </si>
  <si>
    <t>GWL_Dissimilar_St_02</t>
  </si>
  <si>
    <t>GWL_Item_Dissimilar_Rc_01</t>
  </si>
  <si>
    <t>79.999</t>
  </si>
  <si>
    <t>9849.65129</t>
  </si>
  <si>
    <t>1329.0903</t>
  </si>
  <si>
    <t>81.326</t>
  </si>
  <si>
    <t>GWL_Item_Dissimilar_Rc_02</t>
  </si>
  <si>
    <t>79.997</t>
  </si>
  <si>
    <t>6205.1568</t>
  </si>
  <si>
    <t>1014.55426</t>
  </si>
  <si>
    <t>79.993</t>
  </si>
  <si>
    <t>GWL_Item_Dissimilar_Pl_01</t>
  </si>
  <si>
    <t>81.666</t>
  </si>
  <si>
    <t>9967.43421</t>
  </si>
  <si>
    <t>373.635</t>
  </si>
  <si>
    <t>86.658</t>
  </si>
  <si>
    <t>GWL_Item_Dissimilar_Pl_02</t>
  </si>
  <si>
    <t>121.67</t>
  </si>
  <si>
    <t>6030.29507</t>
  </si>
  <si>
    <t>246.36</t>
  </si>
  <si>
    <t>120</t>
  </si>
  <si>
    <t>GWL_Item_Dissimilar_Pl_03</t>
  </si>
  <si>
    <t>93.327</t>
  </si>
  <si>
    <t>4806.50043</t>
  </si>
  <si>
    <t>129.9</t>
  </si>
  <si>
    <t>79.992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</si>
</sst>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3">
    <font>
      <sz val="11"/>
      <color theme="1"/>
      <name val="Calibri"/>
      <charset val="134"/>
      <scheme val="minor"/>
    </font>
    <font>
      <b/>
      <sz val="11"/>
      <color theme="1"/>
      <name val="Calibri Light"/>
      <charset val="134"/>
      <scheme val="major"/>
    </font>
    <font>
      <sz val="11"/>
      <color theme="1"/>
      <name val="Calibri Light"/>
      <charset val="134"/>
      <scheme val="major"/>
    </font>
    <font>
      <sz val="9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6" tint="0.59999389629810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799798577837458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79992065187536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0070C0"/>
      </left>
      <right style="medium">
        <color rgb="FF0070C0"/>
      </right>
      <top style="medium">
        <color rgb="FF0070C0"/>
      </top>
      <bottom style="medium">
        <color rgb="FF0070C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10" borderId="3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11" borderId="6" applyNumberFormat="0" applyAlignment="0" applyProtection="0">
      <alignment vertical="center"/>
    </xf>
    <xf numFmtId="0" fontId="13" fillId="12" borderId="7" applyNumberFormat="0" applyAlignment="0" applyProtection="0">
      <alignment vertical="center"/>
    </xf>
    <xf numFmtId="0" fontId="14" fillId="12" borderId="6" applyNumberFormat="0" applyAlignment="0" applyProtection="0">
      <alignment vertical="center"/>
    </xf>
    <xf numFmtId="0" fontId="15" fillId="13" borderId="8" applyNumberFormat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2" fillId="4" borderId="0" applyNumberFormat="0" applyBorder="0" applyAlignment="0" applyProtection="0">
      <alignment vertical="center"/>
    </xf>
    <xf numFmtId="0" fontId="21" fillId="37" borderId="0" applyNumberFormat="0" applyBorder="0" applyAlignment="0" applyProtection="0">
      <alignment vertical="center"/>
    </xf>
    <xf numFmtId="0" fontId="0" fillId="0" borderId="0">
      <alignment vertical="center"/>
    </xf>
  </cellStyleXfs>
  <cellXfs count="45">
    <xf numFmtId="0" fontId="0" fillId="0" borderId="0" xfId="0"/>
    <xf numFmtId="0" fontId="1" fillId="0" borderId="0" xfId="0" applyFont="1" applyFill="1" applyBorder="1" applyAlignment="1"/>
    <xf numFmtId="0" fontId="1" fillId="0" borderId="0" xfId="0" applyFont="1" applyFill="1" applyBorder="1" applyAlignment="1">
      <alignment horizontal="center"/>
    </xf>
    <xf numFmtId="0" fontId="2" fillId="0" borderId="1" xfId="0" applyFont="1" applyFill="1" applyBorder="1" applyAlignment="1">
      <alignment horizontal="left" vertical="top"/>
    </xf>
    <xf numFmtId="0" fontId="1" fillId="0" borderId="1" xfId="0" applyFont="1" applyFill="1" applyBorder="1" applyAlignment="1">
      <alignment horizontal="left" vertical="top"/>
    </xf>
    <xf numFmtId="0" fontId="1" fillId="2" borderId="1" xfId="0" applyFont="1" applyFill="1" applyBorder="1" applyAlignment="1">
      <alignment horizontal="left" vertical="top"/>
    </xf>
    <xf numFmtId="0" fontId="2" fillId="0" borderId="1" xfId="0" applyNumberFormat="1" applyFont="1" applyFill="1" applyBorder="1" applyAlignment="1">
      <alignment horizontal="left" vertical="top"/>
    </xf>
    <xf numFmtId="0" fontId="0" fillId="0" borderId="1" xfId="0" applyFill="1" applyBorder="1" applyAlignment="1">
      <alignment horizontal="left" vertical="top"/>
    </xf>
    <xf numFmtId="0" fontId="1" fillId="3" borderId="1" xfId="0" applyFont="1" applyFill="1" applyBorder="1" applyAlignment="1">
      <alignment horizontal="left" vertical="top"/>
    </xf>
    <xf numFmtId="0" fontId="1" fillId="3" borderId="1" xfId="0" applyNumberFormat="1" applyFont="1" applyFill="1" applyBorder="1" applyAlignment="1">
      <alignment horizontal="left" vertical="top"/>
    </xf>
    <xf numFmtId="0" fontId="2" fillId="0" borderId="0" xfId="0" applyFont="1" applyFill="1" applyBorder="1" applyAlignment="1"/>
    <xf numFmtId="0" fontId="1" fillId="4" borderId="1" xfId="0" applyFont="1" applyFill="1" applyBorder="1" applyAlignment="1">
      <alignment horizontal="left" vertical="top"/>
    </xf>
    <xf numFmtId="0" fontId="1" fillId="5" borderId="1" xfId="0" applyFont="1" applyFill="1" applyBorder="1" applyAlignment="1">
      <alignment horizontal="left" vertical="top"/>
    </xf>
    <xf numFmtId="0" fontId="2" fillId="0" borderId="0" xfId="0" applyFont="1" applyFill="1" applyAlignment="1"/>
    <xf numFmtId="0" fontId="1" fillId="6" borderId="1" xfId="0" applyFont="1" applyFill="1" applyBorder="1" applyAlignment="1">
      <alignment horizontal="left" vertical="top"/>
    </xf>
    <xf numFmtId="0" fontId="2" fillId="0" borderId="2" xfId="0" applyNumberFormat="1" applyFont="1" applyFill="1" applyBorder="1" applyAlignment="1"/>
    <xf numFmtId="0" fontId="1" fillId="7" borderId="1" xfId="0" applyFont="1" applyFill="1" applyBorder="1" applyAlignment="1">
      <alignment horizontal="left" vertical="top"/>
    </xf>
    <xf numFmtId="2" fontId="1" fillId="3" borderId="1" xfId="0" applyNumberFormat="1" applyFont="1" applyFill="1" applyBorder="1" applyAlignment="1">
      <alignment horizontal="left" vertical="top"/>
    </xf>
    <xf numFmtId="0" fontId="1" fillId="8" borderId="1" xfId="0" applyFont="1" applyFill="1" applyBorder="1" applyAlignment="1">
      <alignment horizontal="left" vertical="top"/>
    </xf>
    <xf numFmtId="0" fontId="2" fillId="2" borderId="1" xfId="0" applyFont="1" applyFill="1" applyBorder="1" applyAlignment="1">
      <alignment horizontal="left" vertical="top"/>
    </xf>
    <xf numFmtId="0" fontId="0" fillId="0" borderId="1" xfId="0" applyNumberFormat="1" applyFill="1" applyBorder="1" applyAlignment="1">
      <alignment horizontal="left" vertical="top"/>
    </xf>
    <xf numFmtId="0" fontId="0" fillId="0" borderId="1" xfId="0" applyNumberFormat="1" applyFont="1" applyFill="1" applyBorder="1" applyAlignment="1">
      <alignment horizontal="left" vertical="top"/>
    </xf>
    <xf numFmtId="0" fontId="3" fillId="0" borderId="1" xfId="0" applyFont="1" applyFill="1" applyBorder="1" applyAlignment="1">
      <alignment horizontal="left" vertical="top"/>
    </xf>
    <xf numFmtId="0" fontId="0" fillId="0" borderId="0" xfId="0" applyFill="1" applyAlignment="1"/>
    <xf numFmtId="0" fontId="1" fillId="0" borderId="1" xfId="0" applyFont="1" applyFill="1" applyBorder="1" applyAlignment="1">
      <alignment horizontal="center" vertical="top"/>
    </xf>
    <xf numFmtId="0" fontId="1" fillId="0" borderId="1" xfId="0" applyFont="1" applyFill="1" applyBorder="1" applyAlignment="1">
      <alignment vertical="top"/>
    </xf>
    <xf numFmtId="0" fontId="1" fillId="2" borderId="1" xfId="0" applyFont="1" applyFill="1" applyBorder="1" applyAlignment="1">
      <alignment horizontal="center" vertical="top"/>
    </xf>
    <xf numFmtId="0" fontId="2" fillId="0" borderId="1" xfId="0" applyFont="1" applyFill="1" applyBorder="1" applyAlignment="1">
      <alignment vertical="top"/>
    </xf>
    <xf numFmtId="0" fontId="2" fillId="0" borderId="1" xfId="0" applyNumberFormat="1" applyFont="1" applyFill="1" applyBorder="1" applyAlignment="1">
      <alignment vertical="top"/>
    </xf>
    <xf numFmtId="0" fontId="0" fillId="0" borderId="1" xfId="0" applyFill="1" applyBorder="1" applyAlignment="1">
      <alignment vertical="top"/>
    </xf>
    <xf numFmtId="0" fontId="1" fillId="3" borderId="1" xfId="0" applyFont="1" applyFill="1" applyBorder="1" applyAlignment="1">
      <alignment vertical="top"/>
    </xf>
    <xf numFmtId="0" fontId="1" fillId="3" borderId="1" xfId="0" applyNumberFormat="1" applyFont="1" applyFill="1" applyBorder="1" applyAlignment="1">
      <alignment vertical="top"/>
    </xf>
    <xf numFmtId="0" fontId="1" fillId="4" borderId="1" xfId="0" applyFont="1" applyFill="1" applyBorder="1" applyAlignment="1">
      <alignment horizontal="center" vertical="top"/>
    </xf>
    <xf numFmtId="0" fontId="1" fillId="5" borderId="1" xfId="0" applyFont="1" applyFill="1" applyBorder="1" applyAlignment="1">
      <alignment horizontal="center" vertical="top"/>
    </xf>
    <xf numFmtId="0" fontId="1" fillId="6" borderId="1" xfId="0" applyFont="1" applyFill="1" applyBorder="1" applyAlignment="1">
      <alignment horizontal="center" vertical="top"/>
    </xf>
    <xf numFmtId="0" fontId="1" fillId="7" borderId="1" xfId="0" applyFont="1" applyFill="1" applyBorder="1" applyAlignment="1">
      <alignment horizontal="center" vertical="top"/>
    </xf>
    <xf numFmtId="0" fontId="1" fillId="7" borderId="1" xfId="0" applyFont="1" applyFill="1" applyBorder="1" applyAlignment="1">
      <alignment vertical="top"/>
    </xf>
    <xf numFmtId="0" fontId="1" fillId="8" borderId="1" xfId="0" applyFont="1" applyFill="1" applyBorder="1" applyAlignment="1">
      <alignment horizontal="center" vertical="top"/>
    </xf>
    <xf numFmtId="0" fontId="2" fillId="2" borderId="1" xfId="0" applyFont="1" applyFill="1" applyBorder="1" applyAlignment="1">
      <alignment vertical="top"/>
    </xf>
    <xf numFmtId="0" fontId="0" fillId="0" borderId="1" xfId="0" applyNumberFormat="1" applyFill="1" applyBorder="1" applyAlignment="1">
      <alignment vertical="top"/>
    </xf>
    <xf numFmtId="0" fontId="0" fillId="0" borderId="1" xfId="0" applyNumberFormat="1" applyFont="1" applyFill="1" applyBorder="1" applyAlignment="1">
      <alignment vertical="top"/>
    </xf>
    <xf numFmtId="0" fontId="3" fillId="0" borderId="1" xfId="0" applyFont="1" applyFill="1" applyBorder="1" applyAlignment="1">
      <alignment vertical="top"/>
    </xf>
    <xf numFmtId="0" fontId="0" fillId="0" borderId="1" xfId="0" applyNumberFormat="1" applyFill="1" applyBorder="1" applyAlignment="1">
      <alignment horizontal="center" vertical="top"/>
    </xf>
    <xf numFmtId="2" fontId="1" fillId="3" borderId="1" xfId="0" applyNumberFormat="1" applyFont="1" applyFill="1" applyBorder="1" applyAlignment="1">
      <alignment vertical="top"/>
    </xf>
    <xf numFmtId="0" fontId="1" fillId="9" borderId="1" xfId="0" applyFont="1" applyFill="1" applyBorder="1" applyAlignment="1">
      <alignment horizontal="center" vertical="top"/>
    </xf>
  </cellXfs>
  <cellStyles count="50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0" Type="http://schemas.openxmlformats.org/officeDocument/2006/relationships/styles" Target="styles.xml"/><Relationship Id="rId3" Type="http://schemas.openxmlformats.org/officeDocument/2006/relationships/worksheet" Target="worksheets/sheet3.xml"/><Relationship Id="rId29" Type="http://schemas.openxmlformats.org/officeDocument/2006/relationships/sharedStrings" Target="sharedStrings.xml"/><Relationship Id="rId28" Type="http://schemas.openxmlformats.org/officeDocument/2006/relationships/theme" Target="theme/theme1.xml"/><Relationship Id="rId27" Type="http://schemas.openxmlformats.org/officeDocument/2006/relationships/worksheet" Target="worksheets/sheet27.xml"/><Relationship Id="rId26" Type="http://schemas.openxmlformats.org/officeDocument/2006/relationships/worksheet" Target="worksheets/sheet26.xml"/><Relationship Id="rId25" Type="http://schemas.openxmlformats.org/officeDocument/2006/relationships/worksheet" Target="worksheets/sheet25.xml"/><Relationship Id="rId24" Type="http://schemas.openxmlformats.org/officeDocument/2006/relationships/worksheet" Target="worksheets/sheet24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Q5"/>
  <sheetViews>
    <sheetView tabSelected="1" topLeftCell="AU1" workbookViewId="0">
      <selection activeCell="AZ10" sqref="AZ10"/>
    </sheetView>
  </sheetViews>
  <sheetFormatPr defaultColWidth="8.7047619047619" defaultRowHeight="15" outlineLevelRow="4"/>
  <cols>
    <col min="1" max="1" width="5.14285714285714" customWidth="1"/>
    <col min="2" max="3" width="20.5714285714286" customWidth="1"/>
    <col min="4" max="4" width="79.4285714285714" customWidth="1"/>
    <col min="5" max="5" width="11.5714285714286" customWidth="1"/>
    <col min="6" max="6" width="5.14285714285714" customWidth="1"/>
    <col min="7" max="7" width="11" customWidth="1"/>
    <col min="8" max="8" width="12.7142857142857" customWidth="1"/>
    <col min="9" max="10" width="5.85714285714286" customWidth="1"/>
    <col min="11" max="11" width="6" customWidth="1"/>
    <col min="12" max="12" width="14.2857142857143" customWidth="1"/>
    <col min="13" max="13" width="9.42857142857143" customWidth="1"/>
    <col min="14" max="14" width="14.2857142857143" customWidth="1"/>
    <col min="15" max="15" width="15.5714285714286" customWidth="1"/>
    <col min="16" max="16" width="14.4285714285714" customWidth="1"/>
    <col min="17" max="17" width="39.4285714285714" customWidth="1"/>
    <col min="18" max="18" width="11.7142857142857" customWidth="1"/>
    <col min="19" max="19" width="10" customWidth="1"/>
    <col min="20" max="20" width="6.42857142857143" customWidth="1"/>
    <col min="21" max="21" width="9.85714285714286" customWidth="1"/>
    <col min="22" max="22" width="6.57142857142857" customWidth="1"/>
    <col min="23" max="23" width="37.1428571428571" customWidth="1"/>
    <col min="24" max="25" width="8" customWidth="1"/>
    <col min="26" max="26" width="7.71428571428571" customWidth="1"/>
    <col min="27" max="27" width="6.28571428571429" customWidth="1"/>
    <col min="28" max="28" width="9.28571428571429" customWidth="1"/>
    <col min="29" max="29" width="9.71428571428571" customWidth="1"/>
    <col min="30" max="30" width="12.8571428571429" customWidth="1"/>
    <col min="31" max="31" width="16.1428571428571" customWidth="1"/>
    <col min="32" max="32" width="15.4285714285714" customWidth="1"/>
    <col min="33" max="33" width="24.5714285714286" customWidth="1"/>
    <col min="34" max="34" width="8.57142857142857" customWidth="1"/>
    <col min="35" max="35" width="14.7142857142857" customWidth="1"/>
    <col min="36" max="36" width="18.5714285714286" customWidth="1"/>
    <col min="37" max="37" width="14.1428571428571" customWidth="1"/>
    <col min="38" max="38" width="14.7142857142857" customWidth="1"/>
    <col min="39" max="39" width="17.4285714285714" customWidth="1"/>
    <col min="40" max="40" width="22" customWidth="1"/>
    <col min="41" max="41" width="17.5714285714286" customWidth="1"/>
    <col min="42" max="42" width="25.2857142857143" customWidth="1"/>
    <col min="43" max="43" width="13" customWidth="1"/>
    <col min="44" max="44" width="25.7142857142857" customWidth="1"/>
    <col min="45" max="45" width="10" customWidth="1"/>
    <col min="46" max="46" width="13" customWidth="1"/>
    <col min="47" max="47" width="15.5714285714286" customWidth="1"/>
    <col min="48" max="48" width="21.1428571428571" customWidth="1"/>
    <col min="49" max="49" width="11.5714285714286" customWidth="1"/>
    <col min="50" max="50" width="16.7142857142857" customWidth="1"/>
    <col min="51" max="51" width="14" customWidth="1"/>
    <col min="52" max="52" width="19.4285714285714" customWidth="1"/>
    <col min="53" max="53" width="18.8571428571429" customWidth="1"/>
    <col min="54" max="54" width="23.2857142857143" customWidth="1"/>
    <col min="55" max="55" width="15.5714285714286" customWidth="1"/>
    <col min="56" max="56" width="14.2857142857143" customWidth="1"/>
    <col min="57" max="57" width="17" customWidth="1"/>
    <col min="58" max="58" width="16.2857142857143" customWidth="1"/>
    <col min="59" max="59" width="13.5714285714286" customWidth="1"/>
    <col min="60" max="61" width="12.7142857142857" customWidth="1"/>
    <col min="62" max="62" width="21.8571428571429" customWidth="1"/>
    <col min="63" max="63" width="30.5714285714286" customWidth="1"/>
    <col min="64" max="64" width="10" customWidth="1"/>
    <col min="65" max="65" width="42.5714285714286" customWidth="1"/>
    <col min="66" max="66" width="38.1428571428571" customWidth="1"/>
    <col min="67" max="67" width="19.4285714285714" customWidth="1"/>
    <col min="68" max="68" width="35.4285714285714" customWidth="1"/>
    <col min="69" max="69" width="9.57142857142857" customWidth="1"/>
  </cols>
  <sheetData>
    <row r="1" spans="1:69">
      <c r="A1" s="1" t="s">
        <v>0</v>
      </c>
      <c r="B1" s="2"/>
      <c r="C1" s="2"/>
      <c r="D1" s="2"/>
      <c r="E1" s="2"/>
      <c r="F1" s="2"/>
      <c r="G1" s="2"/>
      <c r="H1" s="1"/>
      <c r="I1" s="10"/>
      <c r="J1" s="10"/>
      <c r="K1" s="10"/>
      <c r="L1" s="10"/>
      <c r="M1" s="10"/>
      <c r="N1" s="10"/>
      <c r="O1" s="10"/>
      <c r="P1" s="10"/>
      <c r="Q1" s="10"/>
      <c r="R1" s="1"/>
      <c r="S1" s="1"/>
      <c r="T1" s="1"/>
      <c r="U1" s="1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23"/>
      <c r="BQ1" s="23"/>
    </row>
    <row r="2" spans="1:69">
      <c r="A2" s="3" t="s">
        <v>1</v>
      </c>
      <c r="B2" s="3"/>
      <c r="C2" s="24">
        <v>2</v>
      </c>
      <c r="D2" s="4" t="s">
        <v>2</v>
      </c>
      <c r="E2" s="24"/>
      <c r="F2" s="24"/>
      <c r="G2" s="24"/>
      <c r="H2" s="25"/>
      <c r="I2" s="27" t="s">
        <v>3</v>
      </c>
      <c r="J2" s="27" t="s">
        <v>4</v>
      </c>
      <c r="K2" s="27"/>
      <c r="L2" s="27" t="s">
        <v>5</v>
      </c>
      <c r="M2" s="27">
        <v>1</v>
      </c>
      <c r="N2" s="27"/>
      <c r="O2" s="27" t="s">
        <v>6</v>
      </c>
      <c r="P2" s="27">
        <v>2</v>
      </c>
      <c r="Q2" s="27" t="s">
        <v>7</v>
      </c>
      <c r="R2" s="25"/>
      <c r="S2" s="25"/>
      <c r="T2" s="25"/>
      <c r="U2" s="25"/>
      <c r="V2" s="25">
        <v>1</v>
      </c>
      <c r="W2" s="25" t="s">
        <v>8</v>
      </c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  <c r="AR2" s="27"/>
      <c r="AS2" s="27"/>
      <c r="AT2" s="27"/>
      <c r="AU2" s="27"/>
      <c r="AV2" s="27"/>
      <c r="AW2" s="27"/>
      <c r="AX2" s="27"/>
      <c r="AY2" s="27"/>
      <c r="AZ2" s="27"/>
      <c r="BA2" s="27"/>
      <c r="BB2" s="27"/>
      <c r="BC2" s="27"/>
      <c r="BD2" s="27"/>
      <c r="BE2" s="27"/>
      <c r="BF2" s="27"/>
      <c r="BG2" s="27"/>
      <c r="BH2" s="27"/>
      <c r="BI2" s="27"/>
      <c r="BJ2" s="27"/>
      <c r="BK2" s="27"/>
      <c r="BL2" s="27"/>
      <c r="BM2" s="27"/>
      <c r="BN2" s="27"/>
      <c r="BO2" s="27"/>
      <c r="BP2" s="29"/>
      <c r="BQ2" s="29"/>
    </row>
    <row r="3" ht="15.75" spans="1:69">
      <c r="A3" s="26" t="s">
        <v>9</v>
      </c>
      <c r="B3" s="26" t="s">
        <v>10</v>
      </c>
      <c r="C3" s="26" t="s">
        <v>11</v>
      </c>
      <c r="D3" s="26" t="s">
        <v>12</v>
      </c>
      <c r="E3" s="26" t="s">
        <v>13</v>
      </c>
      <c r="F3" s="26" t="s">
        <v>14</v>
      </c>
      <c r="G3" s="26" t="s">
        <v>15</v>
      </c>
      <c r="H3" s="26" t="s">
        <v>16</v>
      </c>
      <c r="I3" s="32" t="s">
        <v>17</v>
      </c>
      <c r="J3" s="32" t="s">
        <v>18</v>
      </c>
      <c r="K3" s="32" t="s">
        <v>19</v>
      </c>
      <c r="L3" s="44" t="s">
        <v>20</v>
      </c>
      <c r="M3" s="44" t="s">
        <v>21</v>
      </c>
      <c r="N3" s="44" t="s">
        <v>22</v>
      </c>
      <c r="O3" s="44" t="s">
        <v>23</v>
      </c>
      <c r="P3" s="44" t="s">
        <v>24</v>
      </c>
      <c r="Q3" s="44" t="s">
        <v>25</v>
      </c>
      <c r="R3" s="32" t="s">
        <v>26</v>
      </c>
      <c r="S3" s="26" t="s">
        <v>27</v>
      </c>
      <c r="T3" s="26" t="s">
        <v>28</v>
      </c>
      <c r="U3" s="34" t="s">
        <v>29</v>
      </c>
      <c r="V3" s="34" t="s">
        <v>30</v>
      </c>
      <c r="W3" s="34" t="s">
        <v>31</v>
      </c>
      <c r="X3" s="34" t="s">
        <v>32</v>
      </c>
      <c r="Y3" s="34" t="s">
        <v>33</v>
      </c>
      <c r="Z3" s="34" t="s">
        <v>34</v>
      </c>
      <c r="AA3" s="34" t="s">
        <v>35</v>
      </c>
      <c r="AB3" s="34" t="s">
        <v>36</v>
      </c>
      <c r="AC3" s="35" t="s">
        <v>37</v>
      </c>
      <c r="AD3" s="35" t="s">
        <v>38</v>
      </c>
      <c r="AE3" s="35" t="s">
        <v>39</v>
      </c>
      <c r="AF3" s="35" t="s">
        <v>40</v>
      </c>
      <c r="AG3" s="35" t="s">
        <v>41</v>
      </c>
      <c r="AH3" s="35" t="s">
        <v>42</v>
      </c>
      <c r="AI3" s="35" t="s">
        <v>43</v>
      </c>
      <c r="AJ3" s="35" t="s">
        <v>44</v>
      </c>
      <c r="AK3" s="35" t="s">
        <v>45</v>
      </c>
      <c r="AL3" s="35" t="s">
        <v>46</v>
      </c>
      <c r="AM3" s="35" t="s">
        <v>47</v>
      </c>
      <c r="AN3" s="35" t="s">
        <v>48</v>
      </c>
      <c r="AO3" s="35" t="s">
        <v>49</v>
      </c>
      <c r="AP3" s="35" t="s">
        <v>50</v>
      </c>
      <c r="AQ3" s="35" t="s">
        <v>51</v>
      </c>
      <c r="AR3" s="37" t="s">
        <v>52</v>
      </c>
      <c r="AS3" s="26" t="s">
        <v>53</v>
      </c>
      <c r="AT3" s="26" t="s">
        <v>51</v>
      </c>
      <c r="AU3" s="38" t="s">
        <v>54</v>
      </c>
      <c r="AV3" s="38" t="s">
        <v>55</v>
      </c>
      <c r="AW3" s="38" t="s">
        <v>56</v>
      </c>
      <c r="AX3" s="38" t="s">
        <v>57</v>
      </c>
      <c r="AY3" s="38" t="s">
        <v>58</v>
      </c>
      <c r="AZ3" s="38" t="s">
        <v>59</v>
      </c>
      <c r="BA3" s="38" t="s">
        <v>60</v>
      </c>
      <c r="BB3" s="38" t="s">
        <v>61</v>
      </c>
      <c r="BC3" s="38" t="s">
        <v>62</v>
      </c>
      <c r="BD3" s="38" t="s">
        <v>63</v>
      </c>
      <c r="BE3" s="38" t="s">
        <v>64</v>
      </c>
      <c r="BF3" s="38" t="s">
        <v>65</v>
      </c>
      <c r="BG3" s="38" t="s">
        <v>66</v>
      </c>
      <c r="BH3" s="38" t="s">
        <v>67</v>
      </c>
      <c r="BI3" s="38" t="s">
        <v>68</v>
      </c>
      <c r="BJ3" s="38" t="s">
        <v>69</v>
      </c>
      <c r="BK3" s="38" t="s">
        <v>70</v>
      </c>
      <c r="BL3" s="38" t="s">
        <v>71</v>
      </c>
      <c r="BM3" s="38" t="s">
        <v>72</v>
      </c>
      <c r="BN3" s="38" t="s">
        <v>73</v>
      </c>
      <c r="BO3" s="38" t="s">
        <v>59</v>
      </c>
      <c r="BP3" s="38" t="s">
        <v>74</v>
      </c>
      <c r="BQ3" s="38" t="s">
        <v>28</v>
      </c>
    </row>
    <row r="4" ht="15.75" spans="1:69">
      <c r="A4" s="27">
        <v>1</v>
      </c>
      <c r="B4" s="27" t="s">
        <v>75</v>
      </c>
      <c r="C4" s="27" t="s">
        <v>75</v>
      </c>
      <c r="D4" s="27" t="s">
        <v>76</v>
      </c>
      <c r="E4" s="27" t="s">
        <v>76</v>
      </c>
      <c r="F4" s="28">
        <v>4</v>
      </c>
      <c r="G4" s="28">
        <v>100</v>
      </c>
      <c r="H4" s="28">
        <f>F4*G4</f>
        <v>400</v>
      </c>
      <c r="I4" s="29">
        <v>0</v>
      </c>
      <c r="J4" s="28">
        <v>2</v>
      </c>
      <c r="K4" s="28">
        <v>2</v>
      </c>
      <c r="L4" s="28">
        <f>H4</f>
        <v>400</v>
      </c>
      <c r="M4" s="28">
        <f>ROUND(L4*I4%,2)</f>
        <v>0</v>
      </c>
      <c r="N4" s="28">
        <f>H4-M4</f>
        <v>400</v>
      </c>
      <c r="O4" s="28">
        <f>ROUND(N4*J4%,2)</f>
        <v>8</v>
      </c>
      <c r="P4" s="28">
        <f>ROUND(N4-O4,2)</f>
        <v>392</v>
      </c>
      <c r="Q4" s="28">
        <f>ROUND(P4*K4%,2)</f>
        <v>7.84</v>
      </c>
      <c r="R4" s="28">
        <f>M4+O4+Q4</f>
        <v>15.84</v>
      </c>
      <c r="S4" s="28">
        <f>(H4-R4)</f>
        <v>384.16</v>
      </c>
      <c r="T4" s="28" t="s">
        <v>77</v>
      </c>
      <c r="U4" s="15">
        <v>18</v>
      </c>
      <c r="V4" s="15">
        <f>IF(OR($C$2=1,$C$2=4),ROUND((((S4*U4)/100)/2),2),0)</f>
        <v>0</v>
      </c>
      <c r="W4" s="15">
        <f>IF($C$2=1,ROUND((((S4*U4)/100)/2),2),0)</f>
        <v>0</v>
      </c>
      <c r="X4" s="15">
        <f>IF($C$2=2,ROUND(((S4*U4)/100),2),0)</f>
        <v>69.15</v>
      </c>
      <c r="Y4" s="15">
        <f>IF($C$2=4,ROUND((((S4*U4)/100)/2),2),0)</f>
        <v>0</v>
      </c>
      <c r="Z4" s="15">
        <v>0</v>
      </c>
      <c r="AA4" s="15">
        <f>IF($C2=3,0,(S4*Z4)/100)</f>
        <v>0</v>
      </c>
      <c r="AB4" s="15">
        <f>V4+W4+X4+Y4+AA4</f>
        <v>69.15</v>
      </c>
      <c r="AC4" s="28">
        <f>IF($V2=1,S4+AB4,S4)</f>
        <v>453.31</v>
      </c>
      <c r="AD4" s="28">
        <v>120</v>
      </c>
      <c r="AE4" s="28">
        <f>IF($P$2=1,(S4/$S$4)*$E$35,AD4/$AD$4*$E$35)</f>
        <v>0</v>
      </c>
      <c r="AF4" s="28"/>
      <c r="AG4" s="28">
        <f>IF($P$2=1,(S4/$S$4)*$E$37,AD4/$AD$4*$E$37)</f>
        <v>0</v>
      </c>
      <c r="AH4" s="28">
        <f>IF($P$2=1,(S4/$S$4)*$E$37,AD4/$AD$4*$E$37)</f>
        <v>0</v>
      </c>
      <c r="AI4" s="28">
        <f>S4*$M$21</f>
        <v>0</v>
      </c>
      <c r="AJ4" s="28">
        <f>IF($C$2=3,0,AG4+AH4)</f>
        <v>0</v>
      </c>
      <c r="AK4" s="28">
        <f>IF($C$2=3,AE4+AG4+AH4,0)</f>
        <v>0</v>
      </c>
      <c r="AL4" s="28">
        <v>1</v>
      </c>
      <c r="AM4" s="28">
        <f>F4/AL4</f>
        <v>4</v>
      </c>
      <c r="AN4" s="28">
        <f>AI4/AM4</f>
        <v>0</v>
      </c>
      <c r="AO4" s="28">
        <f>AJ4/AM4</f>
        <v>0</v>
      </c>
      <c r="AP4" s="28">
        <f>AK4/AM4</f>
        <v>0</v>
      </c>
      <c r="AQ4" s="28" t="s">
        <v>76</v>
      </c>
      <c r="AR4" s="28">
        <f>AN4+AO4+AP4</f>
        <v>0</v>
      </c>
      <c r="AS4" s="28" t="s">
        <v>78</v>
      </c>
      <c r="AT4" s="28" t="s">
        <v>76</v>
      </c>
      <c r="AU4" t="s">
        <v>79</v>
      </c>
      <c r="AV4" t="s">
        <v>80</v>
      </c>
      <c r="AW4" s="28">
        <f>AM4</f>
        <v>4</v>
      </c>
      <c r="AX4" s="28">
        <f>AR4</f>
        <v>0</v>
      </c>
      <c r="AY4" s="28">
        <f>AU4+AW4</f>
        <v>4</v>
      </c>
      <c r="AZ4" t="s">
        <v>80</v>
      </c>
      <c r="BA4" s="39"/>
      <c r="BB4" s="39" t="s">
        <v>81</v>
      </c>
      <c r="BC4" s="39" t="s">
        <v>82</v>
      </c>
      <c r="BD4" s="40" t="s">
        <v>83</v>
      </c>
      <c r="BE4" s="40" t="s">
        <v>84</v>
      </c>
      <c r="BF4" s="39"/>
      <c r="BG4" s="39"/>
      <c r="BH4" s="39"/>
      <c r="BI4" s="28"/>
      <c r="BJ4" s="28"/>
      <c r="BK4" s="28"/>
      <c r="BL4" s="41" t="s">
        <v>85</v>
      </c>
      <c r="BM4" t="s">
        <v>86</v>
      </c>
      <c r="BN4" t="s">
        <v>87</v>
      </c>
      <c r="BO4" s="28">
        <f>ROUND((((AW4*AZ4)+(BN4*BM4))/(AW4+BN4)),5)</f>
        <v>0</v>
      </c>
      <c r="BP4" s="39">
        <f>BN4+AW4</f>
        <v>4</v>
      </c>
      <c r="BQ4" s="42">
        <v>88363222</v>
      </c>
    </row>
    <row r="5" spans="1:69">
      <c r="A5" s="27"/>
      <c r="B5" s="29"/>
      <c r="C5" s="29"/>
      <c r="D5" s="30" t="s">
        <v>88</v>
      </c>
      <c r="E5" s="30"/>
      <c r="F5" s="30"/>
      <c r="G5" s="30"/>
      <c r="H5" s="31">
        <f>SUM(H4:H4)</f>
        <v>400</v>
      </c>
      <c r="I5" s="27"/>
      <c r="J5" s="27"/>
      <c r="K5" s="27"/>
      <c r="L5" s="27"/>
      <c r="M5" s="27"/>
      <c r="N5" s="27"/>
      <c r="O5" s="27"/>
      <c r="P5" s="27"/>
      <c r="Q5" s="27"/>
      <c r="R5" s="31">
        <f t="shared" ref="R5:AK5" si="0">SUM(R4:R4)</f>
        <v>15.84</v>
      </c>
      <c r="S5" s="31">
        <f t="shared" si="0"/>
        <v>384.16</v>
      </c>
      <c r="T5" s="30"/>
      <c r="U5" s="30"/>
      <c r="V5" s="31">
        <f t="shared" si="0"/>
        <v>0</v>
      </c>
      <c r="W5" s="31">
        <f t="shared" si="0"/>
        <v>0</v>
      </c>
      <c r="X5" s="31">
        <f t="shared" si="0"/>
        <v>69.15</v>
      </c>
      <c r="Y5" s="31">
        <f t="shared" si="0"/>
        <v>0</v>
      </c>
      <c r="Z5" s="31">
        <f t="shared" si="0"/>
        <v>0</v>
      </c>
      <c r="AA5" s="31">
        <f t="shared" si="0"/>
        <v>0</v>
      </c>
      <c r="AB5" s="31">
        <f t="shared" si="0"/>
        <v>69.15</v>
      </c>
      <c r="AC5" s="31">
        <f t="shared" si="0"/>
        <v>453.31</v>
      </c>
      <c r="AD5" s="31">
        <f t="shared" si="0"/>
        <v>120</v>
      </c>
      <c r="AE5" s="31">
        <f t="shared" si="0"/>
        <v>0</v>
      </c>
      <c r="AF5" s="31">
        <f t="shared" si="0"/>
        <v>0</v>
      </c>
      <c r="AG5" s="31">
        <f t="shared" si="0"/>
        <v>0</v>
      </c>
      <c r="AH5" s="31">
        <f t="shared" si="0"/>
        <v>0</v>
      </c>
      <c r="AI5" s="31">
        <f t="shared" si="0"/>
        <v>0</v>
      </c>
      <c r="AJ5" s="31">
        <f t="shared" si="0"/>
        <v>0</v>
      </c>
      <c r="AK5" s="31">
        <f t="shared" si="0"/>
        <v>0</v>
      </c>
      <c r="AL5" s="36"/>
      <c r="AM5" s="36"/>
      <c r="AN5" s="36"/>
      <c r="AO5" s="36"/>
      <c r="AP5" s="36"/>
      <c r="AQ5" s="36"/>
      <c r="AR5" s="36"/>
      <c r="AS5" s="27"/>
      <c r="AT5" s="27"/>
      <c r="AU5" s="29"/>
      <c r="AV5" s="29"/>
      <c r="AW5" s="27"/>
      <c r="AX5" s="27"/>
      <c r="AY5" s="27"/>
      <c r="AZ5" s="27"/>
      <c r="BA5" s="27"/>
      <c r="BB5" s="27"/>
      <c r="BC5" s="27"/>
      <c r="BD5" s="27"/>
      <c r="BE5" s="27"/>
      <c r="BF5" s="27"/>
      <c r="BG5" s="27"/>
      <c r="BH5" s="27"/>
      <c r="BI5" s="27"/>
      <c r="BJ5" s="27"/>
      <c r="BK5" s="27"/>
      <c r="BL5" s="27"/>
      <c r="BM5" s="27"/>
      <c r="BN5" s="27"/>
      <c r="BO5" s="27"/>
      <c r="BP5" s="29"/>
      <c r="BQ5" s="29"/>
    </row>
  </sheetData>
  <mergeCells count="1">
    <mergeCell ref="A2:B2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Q5"/>
  <sheetViews>
    <sheetView topLeftCell="P1" workbookViewId="0">
      <selection activeCell="U4" sqref="U4:AB4"/>
    </sheetView>
  </sheetViews>
  <sheetFormatPr defaultColWidth="8.7047619047619" defaultRowHeight="15" outlineLevelRow="4"/>
  <cols>
    <col min="1" max="1" width="5.14285714285714" customWidth="1"/>
    <col min="2" max="2" width="21.8571428571429" customWidth="1"/>
    <col min="3" max="3" width="27.5714285714286" customWidth="1"/>
    <col min="4" max="4" width="79.4285714285714" customWidth="1"/>
    <col min="5" max="5" width="11.5714285714286" customWidth="1"/>
    <col min="6" max="6" width="5.14285714285714" customWidth="1"/>
    <col min="7" max="7" width="11" customWidth="1"/>
    <col min="8" max="8" width="12.7142857142857" customWidth="1"/>
    <col min="9" max="10" width="5.85714285714286" customWidth="1"/>
    <col min="11" max="11" width="6" customWidth="1"/>
    <col min="12" max="12" width="14.2857142857143" customWidth="1"/>
    <col min="13" max="13" width="9.42857142857143" customWidth="1"/>
    <col min="14" max="14" width="14.2857142857143" customWidth="1"/>
    <col min="15" max="15" width="15.5714285714286" customWidth="1"/>
    <col min="16" max="16" width="14.4285714285714" customWidth="1"/>
    <col min="17" max="17" width="39.4285714285714" customWidth="1"/>
    <col min="18" max="18" width="11.7142857142857" customWidth="1"/>
    <col min="19" max="19" width="10" customWidth="1"/>
    <col min="20" max="20" width="6.42857142857143" customWidth="1"/>
    <col min="21" max="21" width="9.85714285714286" customWidth="1"/>
    <col min="22" max="22" width="6.57142857142857" customWidth="1"/>
    <col min="23" max="23" width="37.1428571428571" customWidth="1"/>
    <col min="24" max="25" width="8" customWidth="1"/>
    <col min="26" max="26" width="7.71428571428571" customWidth="1"/>
    <col min="27" max="27" width="6.28571428571429" customWidth="1"/>
    <col min="28" max="28" width="9.28571428571429" customWidth="1"/>
    <col min="29" max="29" width="9.71428571428571" customWidth="1"/>
    <col min="30" max="30" width="12.8571428571429" customWidth="1"/>
    <col min="31" max="31" width="16.1428571428571" customWidth="1"/>
    <col min="32" max="32" width="15.4285714285714" customWidth="1"/>
    <col min="33" max="33" width="24.5714285714286" customWidth="1"/>
    <col min="34" max="34" width="8.57142857142857" customWidth="1"/>
    <col min="35" max="35" width="14.7142857142857" customWidth="1"/>
    <col min="36" max="36" width="18.5714285714286" customWidth="1"/>
    <col min="37" max="37" width="14.1428571428571" customWidth="1"/>
    <col min="38" max="38" width="14.7142857142857" customWidth="1"/>
    <col min="39" max="39" width="17.4285714285714" customWidth="1"/>
    <col min="40" max="40" width="22" customWidth="1"/>
    <col min="41" max="41" width="17.5714285714286" customWidth="1"/>
    <col min="42" max="42" width="25.2857142857143" customWidth="1"/>
    <col min="43" max="43" width="13" customWidth="1"/>
    <col min="44" max="44" width="25.7142857142857" customWidth="1"/>
    <col min="45" max="45" width="10" customWidth="1"/>
    <col min="46" max="46" width="13" customWidth="1"/>
    <col min="47" max="47" width="15.5714285714286" customWidth="1"/>
    <col min="48" max="48" width="21.1428571428571" customWidth="1"/>
    <col min="49" max="49" width="11.5714285714286" customWidth="1"/>
    <col min="50" max="50" width="16.7142857142857" customWidth="1"/>
    <col min="51" max="51" width="14" customWidth="1"/>
    <col min="52" max="52" width="19.4285714285714" customWidth="1"/>
    <col min="53" max="53" width="18.8571428571429" customWidth="1"/>
    <col min="54" max="54" width="23.2857142857143" customWidth="1"/>
    <col min="55" max="55" width="15.5714285714286" customWidth="1"/>
    <col min="56" max="56" width="14.2857142857143" customWidth="1"/>
    <col min="57" max="57" width="17" customWidth="1"/>
    <col min="58" max="58" width="16.2857142857143" customWidth="1"/>
    <col min="59" max="59" width="13.5714285714286" customWidth="1"/>
    <col min="60" max="61" width="12.7142857142857" customWidth="1"/>
    <col min="62" max="62" width="21.8571428571429" customWidth="1"/>
    <col min="63" max="63" width="30.5714285714286" customWidth="1"/>
    <col min="64" max="64" width="10" customWidth="1"/>
    <col min="65" max="65" width="42.5714285714286" customWidth="1"/>
    <col min="66" max="66" width="38.1428571428571" customWidth="1"/>
    <col min="67" max="67" width="19.4285714285714" customWidth="1"/>
    <col min="68" max="68" width="35.4285714285714" customWidth="1"/>
    <col min="69" max="69" width="9.57142857142857" customWidth="1"/>
  </cols>
  <sheetData>
    <row r="1" spans="1:69">
      <c r="A1" s="1" t="s">
        <v>0</v>
      </c>
      <c r="B1" s="2"/>
      <c r="C1" s="2"/>
      <c r="D1" s="2"/>
      <c r="E1" s="2"/>
      <c r="F1" s="2"/>
      <c r="G1" s="2"/>
      <c r="H1" s="1"/>
      <c r="I1" s="10"/>
      <c r="J1" s="10"/>
      <c r="K1" s="10"/>
      <c r="L1" s="10"/>
      <c r="M1" s="10"/>
      <c r="N1" s="10"/>
      <c r="O1" s="10"/>
      <c r="P1" s="10"/>
      <c r="Q1" s="10"/>
      <c r="R1" s="1"/>
      <c r="S1" s="1"/>
      <c r="T1" s="1"/>
      <c r="U1" s="1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23"/>
      <c r="BQ1" s="23"/>
    </row>
    <row r="2" spans="1:69">
      <c r="A2" s="3" t="s">
        <v>1</v>
      </c>
      <c r="B2" s="3"/>
      <c r="C2" s="24">
        <v>2</v>
      </c>
      <c r="D2" s="4" t="s">
        <v>2</v>
      </c>
      <c r="E2" s="24"/>
      <c r="F2" s="24"/>
      <c r="G2" s="24"/>
      <c r="H2" s="25"/>
      <c r="I2" s="27" t="s">
        <v>3</v>
      </c>
      <c r="J2" s="27" t="s">
        <v>4</v>
      </c>
      <c r="K2" s="27"/>
      <c r="L2" s="27" t="s">
        <v>5</v>
      </c>
      <c r="M2" s="27">
        <v>1</v>
      </c>
      <c r="N2" s="27"/>
      <c r="O2" s="27" t="s">
        <v>6</v>
      </c>
      <c r="P2" s="27">
        <v>2</v>
      </c>
      <c r="Q2" s="27" t="s">
        <v>7</v>
      </c>
      <c r="R2" s="25"/>
      <c r="S2" s="25"/>
      <c r="T2" s="25"/>
      <c r="U2" s="25"/>
      <c r="V2" s="25">
        <v>1</v>
      </c>
      <c r="W2" s="25" t="s">
        <v>8</v>
      </c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  <c r="AR2" s="27"/>
      <c r="AS2" s="27"/>
      <c r="AT2" s="27"/>
      <c r="AU2" s="27"/>
      <c r="AV2" s="27"/>
      <c r="AW2" s="27"/>
      <c r="AX2" s="27"/>
      <c r="AY2" s="27"/>
      <c r="AZ2" s="27"/>
      <c r="BA2" s="27"/>
      <c r="BB2" s="27"/>
      <c r="BC2" s="27"/>
      <c r="BD2" s="27"/>
      <c r="BE2" s="27"/>
      <c r="BF2" s="27"/>
      <c r="BG2" s="27"/>
      <c r="BH2" s="27"/>
      <c r="BI2" s="27"/>
      <c r="BJ2" s="27"/>
      <c r="BK2" s="27"/>
      <c r="BL2" s="27"/>
      <c r="BM2" s="27"/>
      <c r="BN2" s="27"/>
      <c r="BO2" s="27"/>
      <c r="BP2" s="29"/>
      <c r="BQ2" s="29"/>
    </row>
    <row r="3" ht="15.75" spans="1:69">
      <c r="A3" s="26" t="s">
        <v>9</v>
      </c>
      <c r="B3" s="26" t="s">
        <v>10</v>
      </c>
      <c r="C3" s="26" t="s">
        <v>11</v>
      </c>
      <c r="D3" s="26" t="s">
        <v>12</v>
      </c>
      <c r="E3" s="26" t="s">
        <v>13</v>
      </c>
      <c r="F3" s="26" t="s">
        <v>14</v>
      </c>
      <c r="G3" s="26" t="s">
        <v>15</v>
      </c>
      <c r="H3" s="26" t="s">
        <v>16</v>
      </c>
      <c r="I3" s="32" t="s">
        <v>17</v>
      </c>
      <c r="J3" s="32" t="s">
        <v>18</v>
      </c>
      <c r="K3" s="32" t="s">
        <v>19</v>
      </c>
      <c r="L3" s="44" t="s">
        <v>20</v>
      </c>
      <c r="M3" s="44" t="s">
        <v>21</v>
      </c>
      <c r="N3" s="44" t="s">
        <v>22</v>
      </c>
      <c r="O3" s="44" t="s">
        <v>23</v>
      </c>
      <c r="P3" s="44" t="s">
        <v>24</v>
      </c>
      <c r="Q3" s="44" t="s">
        <v>25</v>
      </c>
      <c r="R3" s="32" t="s">
        <v>26</v>
      </c>
      <c r="S3" s="26" t="s">
        <v>27</v>
      </c>
      <c r="T3" s="26" t="s">
        <v>28</v>
      </c>
      <c r="U3" s="34" t="s">
        <v>29</v>
      </c>
      <c r="V3" s="34" t="s">
        <v>30</v>
      </c>
      <c r="W3" s="34" t="s">
        <v>31</v>
      </c>
      <c r="X3" s="34" t="s">
        <v>32</v>
      </c>
      <c r="Y3" s="34" t="s">
        <v>33</v>
      </c>
      <c r="Z3" s="34" t="s">
        <v>34</v>
      </c>
      <c r="AA3" s="34" t="s">
        <v>35</v>
      </c>
      <c r="AB3" s="34" t="s">
        <v>36</v>
      </c>
      <c r="AC3" s="35" t="s">
        <v>37</v>
      </c>
      <c r="AD3" s="35" t="s">
        <v>38</v>
      </c>
      <c r="AE3" s="35" t="s">
        <v>39</v>
      </c>
      <c r="AF3" s="35" t="s">
        <v>40</v>
      </c>
      <c r="AG3" s="35" t="s">
        <v>41</v>
      </c>
      <c r="AH3" s="35" t="s">
        <v>42</v>
      </c>
      <c r="AI3" s="35" t="s">
        <v>43</v>
      </c>
      <c r="AJ3" s="35" t="s">
        <v>44</v>
      </c>
      <c r="AK3" s="35" t="s">
        <v>45</v>
      </c>
      <c r="AL3" s="35" t="s">
        <v>46</v>
      </c>
      <c r="AM3" s="35" t="s">
        <v>47</v>
      </c>
      <c r="AN3" s="35" t="s">
        <v>48</v>
      </c>
      <c r="AO3" s="35" t="s">
        <v>49</v>
      </c>
      <c r="AP3" s="35" t="s">
        <v>50</v>
      </c>
      <c r="AQ3" s="35" t="s">
        <v>51</v>
      </c>
      <c r="AR3" s="37" t="s">
        <v>52</v>
      </c>
      <c r="AS3" s="26" t="s">
        <v>53</v>
      </c>
      <c r="AT3" s="26" t="s">
        <v>51</v>
      </c>
      <c r="AU3" s="38" t="s">
        <v>54</v>
      </c>
      <c r="AV3" s="38" t="s">
        <v>55</v>
      </c>
      <c r="AW3" s="38" t="s">
        <v>56</v>
      </c>
      <c r="AX3" s="38" t="s">
        <v>57</v>
      </c>
      <c r="AY3" s="38" t="s">
        <v>58</v>
      </c>
      <c r="AZ3" s="38" t="s">
        <v>59</v>
      </c>
      <c r="BA3" s="38" t="s">
        <v>60</v>
      </c>
      <c r="BB3" s="38" t="s">
        <v>61</v>
      </c>
      <c r="BC3" s="38" t="s">
        <v>62</v>
      </c>
      <c r="BD3" s="38" t="s">
        <v>63</v>
      </c>
      <c r="BE3" s="38" t="s">
        <v>64</v>
      </c>
      <c r="BF3" s="38" t="s">
        <v>65</v>
      </c>
      <c r="BG3" s="38" t="s">
        <v>66</v>
      </c>
      <c r="BH3" s="38" t="s">
        <v>67</v>
      </c>
      <c r="BI3" s="38" t="s">
        <v>68</v>
      </c>
      <c r="BJ3" s="38" t="s">
        <v>69</v>
      </c>
      <c r="BK3" s="38" t="s">
        <v>70</v>
      </c>
      <c r="BL3" s="38" t="s">
        <v>71</v>
      </c>
      <c r="BM3" s="38" t="s">
        <v>72</v>
      </c>
      <c r="BN3" s="38" t="s">
        <v>73</v>
      </c>
      <c r="BO3" s="38" t="s">
        <v>59</v>
      </c>
      <c r="BP3" s="38" t="s">
        <v>74</v>
      </c>
      <c r="BQ3" s="38" t="s">
        <v>28</v>
      </c>
    </row>
    <row r="4" ht="15.75" spans="1:69">
      <c r="A4" s="27">
        <v>1</v>
      </c>
      <c r="B4" s="27" t="s">
        <v>89</v>
      </c>
      <c r="C4" s="27" t="s">
        <v>90</v>
      </c>
      <c r="D4" s="27" t="s">
        <v>76</v>
      </c>
      <c r="E4" s="27" t="s">
        <v>76</v>
      </c>
      <c r="F4" s="28">
        <v>4</v>
      </c>
      <c r="G4" s="28">
        <v>100</v>
      </c>
      <c r="H4" s="28">
        <f>F4*G4</f>
        <v>400</v>
      </c>
      <c r="I4" s="29">
        <v>0</v>
      </c>
      <c r="J4" s="28">
        <v>2</v>
      </c>
      <c r="K4" s="28">
        <v>2</v>
      </c>
      <c r="L4" s="28">
        <f>H4</f>
        <v>400</v>
      </c>
      <c r="M4" s="28">
        <f>ROUND(L4*I4%,2)</f>
        <v>0</v>
      </c>
      <c r="N4" s="28">
        <f>H4-M4</f>
        <v>400</v>
      </c>
      <c r="O4" s="28">
        <f>ROUND(N4*J4%,2)</f>
        <v>8</v>
      </c>
      <c r="P4" s="28">
        <f>ROUND(N4-O4,2)</f>
        <v>392</v>
      </c>
      <c r="Q4" s="28">
        <f>ROUND(P4*K4%,2)</f>
        <v>7.84</v>
      </c>
      <c r="R4" s="28">
        <f>M4+O4+Q4</f>
        <v>15.84</v>
      </c>
      <c r="S4" s="28">
        <f>(H4-R4)</f>
        <v>384.16</v>
      </c>
      <c r="T4" s="28" t="s">
        <v>77</v>
      </c>
      <c r="U4" s="15">
        <v>18</v>
      </c>
      <c r="V4" s="15">
        <f>IF(OR($C$2=1,$C$2=4),ROUND((((S4*U4)/100)/2),2),0)</f>
        <v>0</v>
      </c>
      <c r="W4" s="15">
        <f>IF($C$2=1,ROUND((((S4*U4)/100)/2),2),0)</f>
        <v>0</v>
      </c>
      <c r="X4" s="15">
        <f>IF($C$2=2,ROUND(((S4*U4)/100),2),0)</f>
        <v>69.15</v>
      </c>
      <c r="Y4" s="15">
        <f>IF($C$2=4,ROUND((((S4*U4)/100)/2),2),0)</f>
        <v>0</v>
      </c>
      <c r="Z4" s="15">
        <v>0</v>
      </c>
      <c r="AA4" s="15">
        <f>IF($C2=3,0,(S4*Z4)/100)</f>
        <v>0</v>
      </c>
      <c r="AB4" s="15">
        <f>V4+W4+X4+Y4+AA4</f>
        <v>69.15</v>
      </c>
      <c r="AC4" s="28">
        <f>IF($V2=1,S4+AB4,S4)</f>
        <v>453.31</v>
      </c>
      <c r="AD4" s="28">
        <v>120</v>
      </c>
      <c r="AE4" s="28">
        <f>IF($P$2=1,(S4/$S$4)*$E$35,AD4/$AD$4*$E$35)</f>
        <v>0</v>
      </c>
      <c r="AF4" s="28"/>
      <c r="AG4" s="28">
        <f>IF($P$2=1,(S4/$S$4)*$E$37,AD4/$AD$4*$E$37)</f>
        <v>0</v>
      </c>
      <c r="AH4" s="28">
        <f>IF($P$2=1,(S4/$S$4)*$E$37,AD4/$AD$4*$E$37)</f>
        <v>0</v>
      </c>
      <c r="AI4" s="28">
        <f>S4*$M$21</f>
        <v>0</v>
      </c>
      <c r="AJ4" s="28">
        <f>IF($C$2=3,0,AG4+AH4)</f>
        <v>0</v>
      </c>
      <c r="AK4" s="28">
        <f>IF($C$2=3,AE4+AG4+AH4,0)</f>
        <v>0</v>
      </c>
      <c r="AL4" s="28">
        <v>1</v>
      </c>
      <c r="AM4" s="28">
        <f>F4/AL4</f>
        <v>4</v>
      </c>
      <c r="AN4" s="28">
        <f>AI4/AM4</f>
        <v>0</v>
      </c>
      <c r="AO4" s="28">
        <f>AJ4/AM4</f>
        <v>0</v>
      </c>
      <c r="AP4" s="28">
        <f>AK4/AM4</f>
        <v>0</v>
      </c>
      <c r="AQ4" s="28" t="s">
        <v>76</v>
      </c>
      <c r="AR4" s="28">
        <f>AN4+AO4+AP4</f>
        <v>0</v>
      </c>
      <c r="AS4" s="28" t="s">
        <v>78</v>
      </c>
      <c r="AT4" s="28" t="s">
        <v>76</v>
      </c>
      <c r="AU4" t="s">
        <v>91</v>
      </c>
      <c r="AV4" t="s">
        <v>92</v>
      </c>
      <c r="AW4" s="28">
        <f>AM4</f>
        <v>4</v>
      </c>
      <c r="AX4" s="28">
        <f>AR4</f>
        <v>0</v>
      </c>
      <c r="AY4" s="28">
        <f>AU4+AW4</f>
        <v>4</v>
      </c>
      <c r="AZ4" t="s">
        <v>92</v>
      </c>
      <c r="BA4" s="39"/>
      <c r="BB4" s="39" t="s">
        <v>81</v>
      </c>
      <c r="BC4" s="39" t="s">
        <v>82</v>
      </c>
      <c r="BD4" s="40" t="s">
        <v>83</v>
      </c>
      <c r="BE4" s="40" t="s">
        <v>84</v>
      </c>
      <c r="BF4" s="39"/>
      <c r="BG4" s="39"/>
      <c r="BH4" s="39"/>
      <c r="BI4" s="28"/>
      <c r="BJ4" s="28"/>
      <c r="BK4" s="28"/>
      <c r="BL4" s="41" t="s">
        <v>85</v>
      </c>
      <c r="BM4" t="s">
        <v>93</v>
      </c>
      <c r="BN4" t="s">
        <v>94</v>
      </c>
      <c r="BO4" s="28">
        <f>ROUND((((AW4*AZ4)+(BN4*BM4))/(AW4+BN4)),5)</f>
        <v>0</v>
      </c>
      <c r="BP4" s="39">
        <f>BN4+AW4</f>
        <v>4</v>
      </c>
      <c r="BQ4" s="42">
        <v>88363222</v>
      </c>
    </row>
    <row r="5" spans="1:69">
      <c r="A5" s="27"/>
      <c r="B5" s="29"/>
      <c r="C5" s="29"/>
      <c r="D5" s="30" t="s">
        <v>88</v>
      </c>
      <c r="E5" s="30"/>
      <c r="F5" s="30"/>
      <c r="G5" s="30"/>
      <c r="H5" s="31">
        <f>SUM(H4:H4)</f>
        <v>400</v>
      </c>
      <c r="I5" s="27"/>
      <c r="J5" s="27"/>
      <c r="K5" s="27"/>
      <c r="L5" s="27"/>
      <c r="M5" s="27"/>
      <c r="N5" s="27"/>
      <c r="O5" s="27"/>
      <c r="P5" s="27"/>
      <c r="Q5" s="27"/>
      <c r="R5" s="31">
        <f t="shared" ref="R5:X5" si="0">SUM(R4:R4)</f>
        <v>15.84</v>
      </c>
      <c r="S5" s="31">
        <f t="shared" si="0"/>
        <v>384.16</v>
      </c>
      <c r="T5" s="30"/>
      <c r="U5" s="30"/>
      <c r="V5" s="31">
        <f t="shared" si="0"/>
        <v>0</v>
      </c>
      <c r="W5" s="31">
        <f t="shared" si="0"/>
        <v>0</v>
      </c>
      <c r="X5" s="31">
        <f t="shared" si="0"/>
        <v>69.15</v>
      </c>
      <c r="Y5" s="43"/>
      <c r="Z5" s="43"/>
      <c r="AA5" s="43"/>
      <c r="AB5" s="31">
        <f t="shared" ref="AB5:AE5" si="1">SUM(AB4:AB4)</f>
        <v>69.15</v>
      </c>
      <c r="AC5" s="31">
        <f t="shared" si="1"/>
        <v>453.31</v>
      </c>
      <c r="AD5" s="31">
        <f t="shared" si="1"/>
        <v>120</v>
      </c>
      <c r="AE5" s="31">
        <f t="shared" si="1"/>
        <v>0</v>
      </c>
      <c r="AF5" s="36"/>
      <c r="AG5" s="31">
        <f t="shared" ref="AG5:AK5" si="2">SUM(AG4:AG4)</f>
        <v>0</v>
      </c>
      <c r="AH5" s="31">
        <f t="shared" si="2"/>
        <v>0</v>
      </c>
      <c r="AI5" s="31">
        <f t="shared" si="2"/>
        <v>0</v>
      </c>
      <c r="AJ5" s="31">
        <f t="shared" si="2"/>
        <v>0</v>
      </c>
      <c r="AK5" s="31">
        <f t="shared" si="2"/>
        <v>0</v>
      </c>
      <c r="AL5" s="36"/>
      <c r="AM5" s="36"/>
      <c r="AN5" s="36"/>
      <c r="AO5" s="36"/>
      <c r="AP5" s="36"/>
      <c r="AQ5" s="36"/>
      <c r="AR5" s="36"/>
      <c r="AS5" s="27"/>
      <c r="AT5" s="27"/>
      <c r="AU5" s="29"/>
      <c r="AV5" s="29"/>
      <c r="AW5" s="27"/>
      <c r="AX5" s="27"/>
      <c r="AY5" s="27"/>
      <c r="AZ5" s="27"/>
      <c r="BA5" s="27"/>
      <c r="BB5" s="27"/>
      <c r="BC5" s="27"/>
      <c r="BD5" s="27"/>
      <c r="BE5" s="27"/>
      <c r="BF5" s="27"/>
      <c r="BG5" s="27"/>
      <c r="BH5" s="27"/>
      <c r="BI5" s="27"/>
      <c r="BJ5" s="27"/>
      <c r="BK5" s="27"/>
      <c r="BL5" s="27"/>
      <c r="BM5" s="27"/>
      <c r="BN5" s="27"/>
      <c r="BO5" s="27"/>
      <c r="BP5" s="29"/>
      <c r="BQ5" s="29"/>
    </row>
  </sheetData>
  <mergeCells count="1">
    <mergeCell ref="A2:B2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Q5"/>
  <sheetViews>
    <sheetView topLeftCell="P1" workbookViewId="0">
      <selection activeCell="U4" sqref="U4:AB4"/>
    </sheetView>
  </sheetViews>
  <sheetFormatPr defaultColWidth="8.7047619047619" defaultRowHeight="15" outlineLevelRow="4"/>
  <cols>
    <col min="1" max="1" width="5.14285714285714" customWidth="1"/>
    <col min="2" max="3" width="22" customWidth="1"/>
    <col min="4" max="4" width="79.4285714285714" customWidth="1"/>
    <col min="5" max="5" width="11.5714285714286" customWidth="1"/>
    <col min="6" max="6" width="5.14285714285714" customWidth="1"/>
    <col min="7" max="7" width="11" customWidth="1"/>
    <col min="8" max="8" width="12.7142857142857" customWidth="1"/>
    <col min="9" max="9" width="5.85714285714286" customWidth="1"/>
    <col min="10" max="10" width="6" customWidth="1"/>
    <col min="11" max="11" width="5.85714285714286" customWidth="1"/>
    <col min="12" max="12" width="14.2857142857143" customWidth="1"/>
    <col min="13" max="13" width="9.42857142857143" customWidth="1"/>
    <col min="14" max="14" width="14.4285714285714" customWidth="1"/>
    <col min="15" max="15" width="15.5714285714286" customWidth="1"/>
    <col min="16" max="16" width="14.4285714285714" customWidth="1"/>
    <col min="17" max="17" width="39.4285714285714" customWidth="1"/>
    <col min="18" max="18" width="11.7142857142857" customWidth="1"/>
    <col min="19" max="19" width="11.8571428571429" customWidth="1"/>
    <col min="20" max="20" width="6.42857142857143" customWidth="1"/>
    <col min="21" max="22" width="6.57142857142857" customWidth="1"/>
    <col min="23" max="23" width="37.1428571428571" customWidth="1"/>
    <col min="24" max="25" width="8" customWidth="1"/>
    <col min="26" max="26" width="7.71428571428571" customWidth="1"/>
    <col min="27" max="27" width="6.28571428571429" customWidth="1"/>
    <col min="28" max="28" width="9.28571428571429" customWidth="1"/>
    <col min="29" max="29" width="9.71428571428571" customWidth="1"/>
    <col min="30" max="30" width="12.8571428571429" customWidth="1"/>
    <col min="31" max="31" width="16.1428571428571" customWidth="1"/>
    <col min="32" max="32" width="15.4285714285714" customWidth="1"/>
    <col min="33" max="33" width="24.5714285714286" customWidth="1"/>
    <col min="34" max="34" width="8.57142857142857" customWidth="1"/>
    <col min="35" max="35" width="14.7142857142857" customWidth="1"/>
    <col min="36" max="36" width="18.5714285714286" customWidth="1"/>
    <col min="37" max="37" width="14.1428571428571" customWidth="1"/>
    <col min="38" max="38" width="14.7142857142857" customWidth="1"/>
    <col min="39" max="39" width="17.4285714285714" customWidth="1"/>
    <col min="40" max="40" width="22" customWidth="1"/>
    <col min="41" max="41" width="17.5714285714286" customWidth="1"/>
    <col min="42" max="42" width="25.2857142857143" customWidth="1"/>
    <col min="43" max="43" width="13" customWidth="1"/>
    <col min="44" max="44" width="23.7142857142857" customWidth="1"/>
    <col min="45" max="45" width="10" customWidth="1"/>
    <col min="46" max="46" width="13" customWidth="1"/>
    <col min="47" max="47" width="15.5714285714286" customWidth="1"/>
    <col min="48" max="48" width="21.1428571428571" customWidth="1"/>
    <col min="49" max="49" width="11.5714285714286" customWidth="1"/>
    <col min="50" max="50" width="16.7142857142857" customWidth="1"/>
    <col min="51" max="51" width="14" customWidth="1"/>
    <col min="52" max="52" width="19.4285714285714" customWidth="1"/>
    <col min="53" max="53" width="18.8571428571429" customWidth="1"/>
    <col min="54" max="54" width="23.2857142857143" customWidth="1"/>
    <col min="55" max="55" width="15.5714285714286" customWidth="1"/>
    <col min="56" max="56" width="14.2857142857143" customWidth="1"/>
    <col min="57" max="57" width="17" customWidth="1"/>
    <col min="58" max="58" width="16.2857142857143" customWidth="1"/>
    <col min="59" max="59" width="13.5714285714286" customWidth="1"/>
    <col min="60" max="61" width="12.7142857142857" customWidth="1"/>
    <col min="62" max="62" width="21.8571428571429" customWidth="1"/>
    <col min="63" max="63" width="30.5714285714286" customWidth="1"/>
    <col min="64" max="64" width="10" customWidth="1"/>
    <col min="65" max="65" width="42.5714285714286" customWidth="1"/>
    <col min="66" max="66" width="38.1428571428571" customWidth="1"/>
    <col min="67" max="67" width="19.4285714285714" customWidth="1"/>
    <col min="68" max="68" width="35.4285714285714" customWidth="1"/>
    <col min="69" max="69" width="9.57142857142857" customWidth="1"/>
  </cols>
  <sheetData>
    <row r="1" spans="1:69">
      <c r="A1" s="1" t="s">
        <v>0</v>
      </c>
      <c r="B1" s="2"/>
      <c r="C1" s="2"/>
      <c r="D1" s="2"/>
      <c r="E1" s="2"/>
      <c r="F1" s="2"/>
      <c r="G1" s="2"/>
      <c r="H1" s="1"/>
      <c r="I1" s="10"/>
      <c r="J1" s="10"/>
      <c r="K1" s="10"/>
      <c r="L1" s="10"/>
      <c r="M1" s="10"/>
      <c r="N1" s="10"/>
      <c r="O1" s="10"/>
      <c r="P1" s="10"/>
      <c r="Q1" s="10"/>
      <c r="R1" s="1"/>
      <c r="S1" s="1"/>
      <c r="T1" s="1"/>
      <c r="U1" s="1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23"/>
      <c r="BQ1" s="23"/>
    </row>
    <row r="2" spans="1:69">
      <c r="A2" s="3" t="s">
        <v>1</v>
      </c>
      <c r="B2" s="3"/>
      <c r="C2" s="24">
        <v>2</v>
      </c>
      <c r="D2" s="4" t="s">
        <v>2</v>
      </c>
      <c r="E2" s="24"/>
      <c r="F2" s="24"/>
      <c r="G2" s="24"/>
      <c r="H2" s="25"/>
      <c r="I2" s="27" t="s">
        <v>3</v>
      </c>
      <c r="J2" s="27" t="s">
        <v>4</v>
      </c>
      <c r="K2" s="27"/>
      <c r="L2" s="27" t="s">
        <v>5</v>
      </c>
      <c r="M2" s="27">
        <v>1</v>
      </c>
      <c r="N2" s="27"/>
      <c r="O2" s="27" t="s">
        <v>6</v>
      </c>
      <c r="P2" s="27">
        <v>2</v>
      </c>
      <c r="Q2" s="27" t="s">
        <v>7</v>
      </c>
      <c r="R2" s="25"/>
      <c r="S2" s="25"/>
      <c r="T2" s="25"/>
      <c r="U2" s="25"/>
      <c r="V2" s="25">
        <v>1</v>
      </c>
      <c r="W2" s="25" t="s">
        <v>8</v>
      </c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  <c r="AR2" s="27"/>
      <c r="AS2" s="27"/>
      <c r="AT2" s="27"/>
      <c r="AU2" s="27"/>
      <c r="AV2" s="27"/>
      <c r="AW2" s="27"/>
      <c r="AX2" s="27"/>
      <c r="AY2" s="27"/>
      <c r="AZ2" s="27"/>
      <c r="BA2" s="27"/>
      <c r="BB2" s="27"/>
      <c r="BC2" s="27"/>
      <c r="BD2" s="27"/>
      <c r="BE2" s="27"/>
      <c r="BF2" s="27"/>
      <c r="BG2" s="27"/>
      <c r="BH2" s="27"/>
      <c r="BI2" s="27"/>
      <c r="BJ2" s="27"/>
      <c r="BK2" s="27"/>
      <c r="BL2" s="27"/>
      <c r="BM2" s="27"/>
      <c r="BN2" s="27"/>
      <c r="BO2" s="27"/>
      <c r="BP2" s="29"/>
      <c r="BQ2" s="29"/>
    </row>
    <row r="3" ht="15.75" spans="1:69">
      <c r="A3" s="26" t="s">
        <v>9</v>
      </c>
      <c r="B3" s="26" t="s">
        <v>10</v>
      </c>
      <c r="C3" s="26" t="s">
        <v>11</v>
      </c>
      <c r="D3" s="26" t="s">
        <v>12</v>
      </c>
      <c r="E3" s="26" t="s">
        <v>13</v>
      </c>
      <c r="F3" s="26" t="s">
        <v>14</v>
      </c>
      <c r="G3" s="26" t="s">
        <v>15</v>
      </c>
      <c r="H3" s="26" t="s">
        <v>16</v>
      </c>
      <c r="I3" s="32" t="s">
        <v>17</v>
      </c>
      <c r="J3" s="32" t="s">
        <v>19</v>
      </c>
      <c r="K3" s="32" t="s">
        <v>18</v>
      </c>
      <c r="L3" s="33" t="s">
        <v>20</v>
      </c>
      <c r="M3" s="33" t="s">
        <v>21</v>
      </c>
      <c r="N3" s="33" t="s">
        <v>24</v>
      </c>
      <c r="O3" s="33" t="s">
        <v>25</v>
      </c>
      <c r="P3" s="33" t="s">
        <v>95</v>
      </c>
      <c r="Q3" s="33" t="s">
        <v>23</v>
      </c>
      <c r="R3" s="32" t="s">
        <v>26</v>
      </c>
      <c r="S3" s="26" t="s">
        <v>96</v>
      </c>
      <c r="T3" s="26" t="s">
        <v>28</v>
      </c>
      <c r="U3" s="34" t="s">
        <v>97</v>
      </c>
      <c r="V3" s="34" t="s">
        <v>30</v>
      </c>
      <c r="W3" s="34" t="s">
        <v>31</v>
      </c>
      <c r="X3" s="34" t="s">
        <v>32</v>
      </c>
      <c r="Y3" s="34" t="s">
        <v>33</v>
      </c>
      <c r="Z3" s="34" t="s">
        <v>34</v>
      </c>
      <c r="AA3" s="34" t="s">
        <v>35</v>
      </c>
      <c r="AB3" s="34" t="s">
        <v>36</v>
      </c>
      <c r="AC3" s="35" t="s">
        <v>37</v>
      </c>
      <c r="AD3" s="35" t="s">
        <v>38</v>
      </c>
      <c r="AE3" s="35" t="s">
        <v>39</v>
      </c>
      <c r="AF3" s="35" t="s">
        <v>40</v>
      </c>
      <c r="AG3" s="35" t="s">
        <v>41</v>
      </c>
      <c r="AH3" s="35" t="s">
        <v>42</v>
      </c>
      <c r="AI3" s="35" t="s">
        <v>43</v>
      </c>
      <c r="AJ3" s="35" t="s">
        <v>44</v>
      </c>
      <c r="AK3" s="35" t="s">
        <v>45</v>
      </c>
      <c r="AL3" s="35" t="s">
        <v>46</v>
      </c>
      <c r="AM3" s="35" t="s">
        <v>47</v>
      </c>
      <c r="AN3" s="35" t="s">
        <v>48</v>
      </c>
      <c r="AO3" s="35" t="s">
        <v>49</v>
      </c>
      <c r="AP3" s="35" t="s">
        <v>50</v>
      </c>
      <c r="AQ3" s="35" t="s">
        <v>51</v>
      </c>
      <c r="AR3" s="37" t="s">
        <v>98</v>
      </c>
      <c r="AS3" s="26" t="s">
        <v>53</v>
      </c>
      <c r="AT3" s="26" t="s">
        <v>51</v>
      </c>
      <c r="AU3" s="38" t="s">
        <v>54</v>
      </c>
      <c r="AV3" s="38" t="s">
        <v>55</v>
      </c>
      <c r="AW3" s="38" t="s">
        <v>56</v>
      </c>
      <c r="AX3" s="38" t="s">
        <v>57</v>
      </c>
      <c r="AY3" s="38" t="s">
        <v>58</v>
      </c>
      <c r="AZ3" s="38" t="s">
        <v>59</v>
      </c>
      <c r="BA3" s="38" t="s">
        <v>60</v>
      </c>
      <c r="BB3" s="38" t="s">
        <v>61</v>
      </c>
      <c r="BC3" s="38" t="s">
        <v>62</v>
      </c>
      <c r="BD3" s="38" t="s">
        <v>63</v>
      </c>
      <c r="BE3" s="38" t="s">
        <v>64</v>
      </c>
      <c r="BF3" s="38" t="s">
        <v>65</v>
      </c>
      <c r="BG3" s="38" t="s">
        <v>66</v>
      </c>
      <c r="BH3" s="38" t="s">
        <v>67</v>
      </c>
      <c r="BI3" s="38" t="s">
        <v>68</v>
      </c>
      <c r="BJ3" s="38" t="s">
        <v>69</v>
      </c>
      <c r="BK3" s="38" t="s">
        <v>70</v>
      </c>
      <c r="BL3" s="38" t="s">
        <v>71</v>
      </c>
      <c r="BM3" s="38" t="s">
        <v>72</v>
      </c>
      <c r="BN3" s="38" t="s">
        <v>73</v>
      </c>
      <c r="BO3" s="38" t="s">
        <v>59</v>
      </c>
      <c r="BP3" s="38" t="s">
        <v>74</v>
      </c>
      <c r="BQ3" s="38" t="s">
        <v>28</v>
      </c>
    </row>
    <row r="4" ht="15.75" spans="1:69">
      <c r="A4" s="27">
        <v>1</v>
      </c>
      <c r="B4" s="27" t="s">
        <v>99</v>
      </c>
      <c r="C4" s="27" t="s">
        <v>99</v>
      </c>
      <c r="D4" s="27" t="s">
        <v>76</v>
      </c>
      <c r="E4" s="27" t="s">
        <v>76</v>
      </c>
      <c r="F4" s="28">
        <v>4</v>
      </c>
      <c r="G4" s="28">
        <v>100</v>
      </c>
      <c r="H4" s="28">
        <f>F4*G4</f>
        <v>400</v>
      </c>
      <c r="I4" s="29">
        <v>0</v>
      </c>
      <c r="J4" s="28">
        <v>2</v>
      </c>
      <c r="K4" s="28">
        <v>2</v>
      </c>
      <c r="L4" s="28">
        <f>H4</f>
        <v>400</v>
      </c>
      <c r="M4" s="28">
        <f>ROUND(L4*I4%,2)</f>
        <v>0</v>
      </c>
      <c r="N4" s="28">
        <f>H4-M4</f>
        <v>400</v>
      </c>
      <c r="O4" s="28">
        <f>ROUND(N4*J4%,2)</f>
        <v>8</v>
      </c>
      <c r="P4" s="28">
        <f>ROUND(N4-O4,2)</f>
        <v>392</v>
      </c>
      <c r="Q4" s="28">
        <f>ROUND(P4*K4%,2)</f>
        <v>7.84</v>
      </c>
      <c r="R4" s="28">
        <f>M4+O4+Q4</f>
        <v>15.84</v>
      </c>
      <c r="S4" s="28">
        <f>(H4-R4)</f>
        <v>384.16</v>
      </c>
      <c r="T4" s="28" t="s">
        <v>77</v>
      </c>
      <c r="U4" s="15">
        <v>18</v>
      </c>
      <c r="V4" s="15">
        <f>IF(OR($C$2=1,$C$2=4),ROUND((((S4*U4)/100)/2),2),0)</f>
        <v>0</v>
      </c>
      <c r="W4" s="15">
        <f>IF($C$2=1,ROUND((((S4*U4)/100)/2),2),0)</f>
        <v>0</v>
      </c>
      <c r="X4" s="15">
        <f>IF($C$2=2,ROUND(((S4*U4)/100),2),0)</f>
        <v>69.15</v>
      </c>
      <c r="Y4" s="15">
        <f>IF($C$2=4,ROUND((((S4*U4)/100)/2),2),0)</f>
        <v>0</v>
      </c>
      <c r="Z4" s="15">
        <v>0</v>
      </c>
      <c r="AA4" s="15">
        <f>IF($C2=3,0,(S4*Z4)/100)</f>
        <v>0</v>
      </c>
      <c r="AB4" s="15">
        <f>V4+W4+X4+Y4+AA4</f>
        <v>69.15</v>
      </c>
      <c r="AC4" s="28">
        <f>IF($V2=1,S4+AB4,S4)</f>
        <v>453.31</v>
      </c>
      <c r="AD4" s="28">
        <v>120</v>
      </c>
      <c r="AE4" s="28">
        <f>IF($P$2=1,(S4/$S$4)*$E$35,AD4/$AD$4*$E$35)</f>
        <v>0</v>
      </c>
      <c r="AF4" s="28"/>
      <c r="AG4" s="28">
        <f>IF($P$2=1,(S4/$S$4)*$E$37,AD4/$AD$4*$E$37)</f>
        <v>0</v>
      </c>
      <c r="AH4" s="28">
        <f>IF($P$2=1,(S4/$S$4)*$E$37,AD4/$AD$4*$E$37)</f>
        <v>0</v>
      </c>
      <c r="AI4" s="28">
        <f>S4*$M$21</f>
        <v>0</v>
      </c>
      <c r="AJ4" s="28">
        <f>IF($C$2=3,0,AG4+AH4)</f>
        <v>0</v>
      </c>
      <c r="AK4" s="28">
        <f>IF($C$2=3,AE4+AG4+AH4,0)</f>
        <v>0</v>
      </c>
      <c r="AL4" s="28">
        <v>1</v>
      </c>
      <c r="AM4" s="28">
        <f>F4/AL4</f>
        <v>4</v>
      </c>
      <c r="AN4" s="28">
        <f>AI4/AM4</f>
        <v>0</v>
      </c>
      <c r="AO4" s="28">
        <f>AJ4/AM4</f>
        <v>0</v>
      </c>
      <c r="AP4" s="28">
        <f>AK4/AM4</f>
        <v>0</v>
      </c>
      <c r="AQ4" s="28" t="s">
        <v>76</v>
      </c>
      <c r="AR4" s="28">
        <f>AN4+AO4+AP4</f>
        <v>0</v>
      </c>
      <c r="AS4" s="28" t="s">
        <v>78</v>
      </c>
      <c r="AT4" s="28" t="s">
        <v>76</v>
      </c>
      <c r="AU4" s="29"/>
      <c r="AV4" s="29"/>
      <c r="AW4" s="28">
        <f>AM4</f>
        <v>4</v>
      </c>
      <c r="AX4" s="28">
        <f>AR4</f>
        <v>0</v>
      </c>
      <c r="AY4" s="28">
        <f>AU4+AW4</f>
        <v>4</v>
      </c>
      <c r="AZ4" s="28">
        <f>ROUND(((AU4*AV4)+(AW4*AX4))/(AU4+AW4),5)</f>
        <v>0</v>
      </c>
      <c r="BA4" s="39"/>
      <c r="BB4" s="39" t="s">
        <v>81</v>
      </c>
      <c r="BC4" s="39" t="s">
        <v>82</v>
      </c>
      <c r="BD4" s="40" t="s">
        <v>83</v>
      </c>
      <c r="BE4" s="40" t="s">
        <v>84</v>
      </c>
      <c r="BF4" s="39"/>
      <c r="BG4" s="39"/>
      <c r="BH4" s="39"/>
      <c r="BI4" s="28"/>
      <c r="BJ4" s="28"/>
      <c r="BK4" s="28"/>
      <c r="BL4" s="41" t="s">
        <v>85</v>
      </c>
      <c r="BM4" s="29" t="s">
        <v>100</v>
      </c>
      <c r="BN4" s="29" t="s">
        <v>100</v>
      </c>
      <c r="BO4" s="28">
        <f>ROUND((((AW4*AZ4)+(BN4*BM4))/(AW4+BN4)),5)</f>
        <v>0</v>
      </c>
      <c r="BP4" s="39">
        <f>BN4+AW4</f>
        <v>4</v>
      </c>
      <c r="BQ4" s="42">
        <v>88363222</v>
      </c>
    </row>
    <row r="5" spans="1:69">
      <c r="A5" s="27"/>
      <c r="B5" s="29"/>
      <c r="C5" s="29"/>
      <c r="D5" s="30" t="s">
        <v>88</v>
      </c>
      <c r="E5" s="30"/>
      <c r="F5" s="30"/>
      <c r="G5" s="30"/>
      <c r="H5" s="31">
        <f>SUM(H4:H4)</f>
        <v>400</v>
      </c>
      <c r="I5" s="27"/>
      <c r="J5" s="27"/>
      <c r="K5" s="27"/>
      <c r="L5" s="27"/>
      <c r="M5" s="27"/>
      <c r="N5" s="27"/>
      <c r="O5" s="27"/>
      <c r="P5" s="27"/>
      <c r="Q5" s="27"/>
      <c r="R5" s="31">
        <f t="shared" ref="R5:X5" si="0">SUM(R4:R4)</f>
        <v>15.84</v>
      </c>
      <c r="S5" s="31">
        <f t="shared" si="0"/>
        <v>384.16</v>
      </c>
      <c r="T5" s="30"/>
      <c r="U5" s="30"/>
      <c r="V5" s="31">
        <f t="shared" si="0"/>
        <v>0</v>
      </c>
      <c r="W5" s="31">
        <f t="shared" si="0"/>
        <v>0</v>
      </c>
      <c r="X5" s="31">
        <f t="shared" si="0"/>
        <v>69.15</v>
      </c>
      <c r="Y5" s="43"/>
      <c r="Z5" s="43"/>
      <c r="AA5" s="43"/>
      <c r="AB5" s="31">
        <f t="shared" ref="AB5:AE5" si="1">SUM(AB4:AB4)</f>
        <v>69.15</v>
      </c>
      <c r="AC5" s="31">
        <f t="shared" si="1"/>
        <v>453.31</v>
      </c>
      <c r="AD5" s="31">
        <f t="shared" si="1"/>
        <v>120</v>
      </c>
      <c r="AE5" s="31">
        <f t="shared" si="1"/>
        <v>0</v>
      </c>
      <c r="AF5" s="36"/>
      <c r="AG5" s="31">
        <f t="shared" ref="AG5:AK5" si="2">SUM(AG4:AG4)</f>
        <v>0</v>
      </c>
      <c r="AH5" s="31">
        <f t="shared" si="2"/>
        <v>0</v>
      </c>
      <c r="AI5" s="31">
        <f t="shared" si="2"/>
        <v>0</v>
      </c>
      <c r="AJ5" s="31">
        <f t="shared" si="2"/>
        <v>0</v>
      </c>
      <c r="AK5" s="31">
        <f t="shared" si="2"/>
        <v>0</v>
      </c>
      <c r="AL5" s="36"/>
      <c r="AM5" s="36"/>
      <c r="AN5" s="36"/>
      <c r="AO5" s="36"/>
      <c r="AP5" s="36"/>
      <c r="AQ5" s="36"/>
      <c r="AR5" s="36"/>
      <c r="AS5" s="27"/>
      <c r="AT5" s="27"/>
      <c r="AU5" s="29"/>
      <c r="AV5" s="29"/>
      <c r="AW5" s="27"/>
      <c r="AX5" s="27"/>
      <c r="AY5" s="27"/>
      <c r="AZ5" s="27"/>
      <c r="BA5" s="27"/>
      <c r="BB5" s="27"/>
      <c r="BC5" s="27"/>
      <c r="BD5" s="27"/>
      <c r="BE5" s="27"/>
      <c r="BF5" s="27"/>
      <c r="BG5" s="27"/>
      <c r="BH5" s="27"/>
      <c r="BI5" s="27"/>
      <c r="BJ5" s="27"/>
      <c r="BK5" s="27"/>
      <c r="BL5" s="27"/>
      <c r="BM5" s="27"/>
      <c r="BN5" s="27"/>
      <c r="BO5" s="27"/>
      <c r="BP5" s="29"/>
      <c r="BQ5" s="29"/>
    </row>
  </sheetData>
  <mergeCells count="1">
    <mergeCell ref="A2:B2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Q5"/>
  <sheetViews>
    <sheetView topLeftCell="T1" workbookViewId="0">
      <selection activeCell="U4" sqref="U4:AB4"/>
    </sheetView>
  </sheetViews>
  <sheetFormatPr defaultColWidth="8.7047619047619" defaultRowHeight="15" outlineLevelRow="4"/>
  <cols>
    <col min="1" max="1" width="5.14285714285714" customWidth="1"/>
    <col min="2" max="3" width="25" customWidth="1"/>
    <col min="4" max="4" width="79.4285714285714" customWidth="1"/>
    <col min="5" max="5" width="11.5714285714286" customWidth="1"/>
    <col min="6" max="6" width="5.14285714285714" customWidth="1"/>
    <col min="7" max="7" width="11" customWidth="1"/>
    <col min="8" max="8" width="12.7142857142857" customWidth="1"/>
    <col min="9" max="9" width="5.85714285714286" customWidth="1"/>
    <col min="10" max="10" width="6" customWidth="1"/>
    <col min="11" max="11" width="5.85714285714286" customWidth="1"/>
    <col min="12" max="12" width="14.2857142857143" customWidth="1"/>
    <col min="13" max="13" width="9.42857142857143" customWidth="1"/>
    <col min="14" max="14" width="14.4285714285714" customWidth="1"/>
    <col min="15" max="15" width="15.5714285714286" customWidth="1"/>
    <col min="16" max="16" width="14.4285714285714" customWidth="1"/>
    <col min="17" max="17" width="39.4285714285714" customWidth="1"/>
    <col min="18" max="18" width="11.7142857142857" customWidth="1"/>
    <col min="19" max="19" width="11.8571428571429" customWidth="1"/>
    <col min="20" max="20" width="6.42857142857143" customWidth="1"/>
    <col min="21" max="22" width="6.57142857142857" customWidth="1"/>
    <col min="23" max="23" width="37.1428571428571" customWidth="1"/>
    <col min="24" max="25" width="8" customWidth="1"/>
    <col min="26" max="26" width="7.71428571428571" customWidth="1"/>
    <col min="27" max="27" width="6.28571428571429" customWidth="1"/>
    <col min="28" max="28" width="9.28571428571429" customWidth="1"/>
    <col min="29" max="29" width="9.71428571428571" customWidth="1"/>
    <col min="30" max="30" width="12.8571428571429" customWidth="1"/>
    <col min="31" max="31" width="16.1428571428571" customWidth="1"/>
    <col min="32" max="32" width="15.4285714285714" customWidth="1"/>
    <col min="33" max="33" width="24.5714285714286" customWidth="1"/>
    <col min="34" max="34" width="8.57142857142857" customWidth="1"/>
    <col min="35" max="35" width="14.7142857142857" customWidth="1"/>
    <col min="36" max="36" width="18.5714285714286" customWidth="1"/>
    <col min="37" max="37" width="14.1428571428571" customWidth="1"/>
    <col min="38" max="38" width="14.7142857142857" customWidth="1"/>
    <col min="39" max="39" width="17.4285714285714" customWidth="1"/>
    <col min="40" max="40" width="22" customWidth="1"/>
    <col min="41" max="41" width="17.5714285714286" customWidth="1"/>
    <col min="42" max="42" width="25.2857142857143" customWidth="1"/>
    <col min="43" max="43" width="13" customWidth="1"/>
    <col min="44" max="44" width="23.7142857142857" customWidth="1"/>
    <col min="45" max="45" width="10" customWidth="1"/>
    <col min="46" max="46" width="13" customWidth="1"/>
    <col min="47" max="47" width="15.5714285714286" customWidth="1"/>
    <col min="48" max="48" width="21.1428571428571" customWidth="1"/>
    <col min="49" max="49" width="11.5714285714286" customWidth="1"/>
    <col min="50" max="50" width="16.7142857142857" customWidth="1"/>
    <col min="51" max="51" width="14" customWidth="1"/>
    <col min="52" max="52" width="19.4285714285714" customWidth="1"/>
    <col min="53" max="53" width="18.8571428571429" customWidth="1"/>
    <col min="54" max="54" width="23.2857142857143" customWidth="1"/>
    <col min="55" max="55" width="15.5714285714286" customWidth="1"/>
    <col min="56" max="56" width="14.2857142857143" customWidth="1"/>
    <col min="57" max="57" width="17" customWidth="1"/>
    <col min="58" max="58" width="16.2857142857143" customWidth="1"/>
    <col min="59" max="59" width="13.5714285714286" customWidth="1"/>
    <col min="60" max="61" width="12.7142857142857" customWidth="1"/>
    <col min="62" max="62" width="21.8571428571429" customWidth="1"/>
    <col min="63" max="63" width="30.5714285714286" customWidth="1"/>
    <col min="64" max="64" width="10" customWidth="1"/>
    <col min="65" max="65" width="42.5714285714286" customWidth="1"/>
    <col min="66" max="66" width="38.1428571428571" customWidth="1"/>
    <col min="67" max="67" width="19.4285714285714" customWidth="1"/>
    <col min="68" max="68" width="35.4285714285714" customWidth="1"/>
    <col min="69" max="69" width="9.57142857142857" customWidth="1"/>
  </cols>
  <sheetData>
    <row r="1" spans="1:69">
      <c r="A1" s="1" t="s">
        <v>0</v>
      </c>
      <c r="B1" s="2"/>
      <c r="C1" s="2"/>
      <c r="D1" s="2"/>
      <c r="E1" s="2"/>
      <c r="F1" s="2"/>
      <c r="G1" s="2"/>
      <c r="H1" s="1"/>
      <c r="I1" s="10"/>
      <c r="J1" s="10"/>
      <c r="K1" s="10"/>
      <c r="L1" s="10"/>
      <c r="M1" s="10"/>
      <c r="N1" s="10"/>
      <c r="O1" s="10"/>
      <c r="P1" s="10"/>
      <c r="Q1" s="10"/>
      <c r="R1" s="1"/>
      <c r="S1" s="1"/>
      <c r="T1" s="1"/>
      <c r="U1" s="1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23"/>
      <c r="BQ1" s="23"/>
    </row>
    <row r="2" spans="1:69">
      <c r="A2" s="3" t="s">
        <v>1</v>
      </c>
      <c r="B2" s="3"/>
      <c r="C2" s="24">
        <v>2</v>
      </c>
      <c r="D2" s="4" t="s">
        <v>2</v>
      </c>
      <c r="E2" s="24"/>
      <c r="F2" s="24"/>
      <c r="G2" s="24"/>
      <c r="H2" s="25"/>
      <c r="I2" s="27" t="s">
        <v>3</v>
      </c>
      <c r="J2" s="27" t="s">
        <v>4</v>
      </c>
      <c r="K2" s="27"/>
      <c r="L2" s="27" t="s">
        <v>5</v>
      </c>
      <c r="M2" s="27">
        <v>1</v>
      </c>
      <c r="N2" s="27"/>
      <c r="O2" s="27" t="s">
        <v>6</v>
      </c>
      <c r="P2" s="27">
        <v>2</v>
      </c>
      <c r="Q2" s="27" t="s">
        <v>7</v>
      </c>
      <c r="R2" s="25"/>
      <c r="S2" s="25"/>
      <c r="T2" s="25"/>
      <c r="U2" s="25"/>
      <c r="V2" s="25">
        <v>1</v>
      </c>
      <c r="W2" s="25" t="s">
        <v>8</v>
      </c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  <c r="AR2" s="27"/>
      <c r="AS2" s="27"/>
      <c r="AT2" s="27"/>
      <c r="AU2" s="27"/>
      <c r="AV2" s="27"/>
      <c r="AW2" s="27"/>
      <c r="AX2" s="27"/>
      <c r="AY2" s="27"/>
      <c r="AZ2" s="27"/>
      <c r="BA2" s="27"/>
      <c r="BB2" s="27"/>
      <c r="BC2" s="27"/>
      <c r="BD2" s="27"/>
      <c r="BE2" s="27"/>
      <c r="BF2" s="27"/>
      <c r="BG2" s="27"/>
      <c r="BH2" s="27"/>
      <c r="BI2" s="27"/>
      <c r="BJ2" s="27"/>
      <c r="BK2" s="27"/>
      <c r="BL2" s="27"/>
      <c r="BM2" s="27"/>
      <c r="BN2" s="27"/>
      <c r="BO2" s="27"/>
      <c r="BP2" s="29"/>
      <c r="BQ2" s="29"/>
    </row>
    <row r="3" ht="15.75" spans="1:69">
      <c r="A3" s="26" t="s">
        <v>9</v>
      </c>
      <c r="B3" s="26" t="s">
        <v>10</v>
      </c>
      <c r="C3" s="26" t="s">
        <v>11</v>
      </c>
      <c r="D3" s="26" t="s">
        <v>12</v>
      </c>
      <c r="E3" s="26" t="s">
        <v>13</v>
      </c>
      <c r="F3" s="26" t="s">
        <v>14</v>
      </c>
      <c r="G3" s="26" t="s">
        <v>15</v>
      </c>
      <c r="H3" s="26" t="s">
        <v>16</v>
      </c>
      <c r="I3" s="32" t="s">
        <v>17</v>
      </c>
      <c r="J3" s="32" t="s">
        <v>19</v>
      </c>
      <c r="K3" s="32" t="s">
        <v>18</v>
      </c>
      <c r="L3" s="33" t="s">
        <v>20</v>
      </c>
      <c r="M3" s="33" t="s">
        <v>21</v>
      </c>
      <c r="N3" s="33" t="s">
        <v>24</v>
      </c>
      <c r="O3" s="33" t="s">
        <v>25</v>
      </c>
      <c r="P3" s="33" t="s">
        <v>95</v>
      </c>
      <c r="Q3" s="33" t="s">
        <v>23</v>
      </c>
      <c r="R3" s="32" t="s">
        <v>26</v>
      </c>
      <c r="S3" s="26" t="s">
        <v>96</v>
      </c>
      <c r="T3" s="26" t="s">
        <v>28</v>
      </c>
      <c r="U3" s="34" t="s">
        <v>97</v>
      </c>
      <c r="V3" s="34" t="s">
        <v>30</v>
      </c>
      <c r="W3" s="34" t="s">
        <v>31</v>
      </c>
      <c r="X3" s="34" t="s">
        <v>32</v>
      </c>
      <c r="Y3" s="34" t="s">
        <v>33</v>
      </c>
      <c r="Z3" s="34" t="s">
        <v>34</v>
      </c>
      <c r="AA3" s="34" t="s">
        <v>35</v>
      </c>
      <c r="AB3" s="34" t="s">
        <v>36</v>
      </c>
      <c r="AC3" s="35" t="s">
        <v>37</v>
      </c>
      <c r="AD3" s="35" t="s">
        <v>38</v>
      </c>
      <c r="AE3" s="35" t="s">
        <v>39</v>
      </c>
      <c r="AF3" s="35" t="s">
        <v>40</v>
      </c>
      <c r="AG3" s="35" t="s">
        <v>41</v>
      </c>
      <c r="AH3" s="35" t="s">
        <v>42</v>
      </c>
      <c r="AI3" s="35" t="s">
        <v>43</v>
      </c>
      <c r="AJ3" s="35" t="s">
        <v>44</v>
      </c>
      <c r="AK3" s="35" t="s">
        <v>45</v>
      </c>
      <c r="AL3" s="35" t="s">
        <v>46</v>
      </c>
      <c r="AM3" s="35" t="s">
        <v>47</v>
      </c>
      <c r="AN3" s="35" t="s">
        <v>48</v>
      </c>
      <c r="AO3" s="35" t="s">
        <v>49</v>
      </c>
      <c r="AP3" s="35" t="s">
        <v>50</v>
      </c>
      <c r="AQ3" s="35" t="s">
        <v>51</v>
      </c>
      <c r="AR3" s="37" t="s">
        <v>98</v>
      </c>
      <c r="AS3" s="26" t="s">
        <v>53</v>
      </c>
      <c r="AT3" s="26" t="s">
        <v>51</v>
      </c>
      <c r="AU3" s="38" t="s">
        <v>54</v>
      </c>
      <c r="AV3" s="38" t="s">
        <v>55</v>
      </c>
      <c r="AW3" s="38" t="s">
        <v>56</v>
      </c>
      <c r="AX3" s="38" t="s">
        <v>57</v>
      </c>
      <c r="AY3" s="38" t="s">
        <v>58</v>
      </c>
      <c r="AZ3" s="38" t="s">
        <v>59</v>
      </c>
      <c r="BA3" s="38" t="s">
        <v>60</v>
      </c>
      <c r="BB3" s="38" t="s">
        <v>61</v>
      </c>
      <c r="BC3" s="38" t="s">
        <v>62</v>
      </c>
      <c r="BD3" s="38" t="s">
        <v>63</v>
      </c>
      <c r="BE3" s="38" t="s">
        <v>64</v>
      </c>
      <c r="BF3" s="38" t="s">
        <v>65</v>
      </c>
      <c r="BG3" s="38" t="s">
        <v>66</v>
      </c>
      <c r="BH3" s="38" t="s">
        <v>67</v>
      </c>
      <c r="BI3" s="38" t="s">
        <v>68</v>
      </c>
      <c r="BJ3" s="38" t="s">
        <v>69</v>
      </c>
      <c r="BK3" s="38" t="s">
        <v>70</v>
      </c>
      <c r="BL3" s="38" t="s">
        <v>71</v>
      </c>
      <c r="BM3" s="38" t="s">
        <v>72</v>
      </c>
      <c r="BN3" s="38" t="s">
        <v>73</v>
      </c>
      <c r="BO3" s="38" t="s">
        <v>59</v>
      </c>
      <c r="BP3" s="38" t="s">
        <v>74</v>
      </c>
      <c r="BQ3" s="38" t="s">
        <v>28</v>
      </c>
    </row>
    <row r="4" ht="15.75" spans="1:69">
      <c r="A4" s="27">
        <v>1</v>
      </c>
      <c r="B4" s="27" t="s">
        <v>101</v>
      </c>
      <c r="C4" s="27" t="s">
        <v>101</v>
      </c>
      <c r="D4" s="27" t="s">
        <v>76</v>
      </c>
      <c r="E4" s="27" t="s">
        <v>76</v>
      </c>
      <c r="F4" s="28">
        <v>4</v>
      </c>
      <c r="G4" s="28">
        <v>100</v>
      </c>
      <c r="H4" s="28">
        <f>F4*G4</f>
        <v>400</v>
      </c>
      <c r="I4" s="29" t="s">
        <v>102</v>
      </c>
      <c r="J4" s="28">
        <v>2</v>
      </c>
      <c r="K4" s="28">
        <v>2</v>
      </c>
      <c r="L4" s="28">
        <f>H4</f>
        <v>400</v>
      </c>
      <c r="M4" s="28">
        <f>ROUND(L4*I4%,2)</f>
        <v>8</v>
      </c>
      <c r="N4" s="28">
        <f>H4-M4</f>
        <v>392</v>
      </c>
      <c r="O4" s="28">
        <f>ROUND(N4*J4%,2)</f>
        <v>7.84</v>
      </c>
      <c r="P4" s="28">
        <f>ROUND(N4-O4,2)</f>
        <v>384.16</v>
      </c>
      <c r="Q4" s="28">
        <f>ROUND(P4*K4%,2)</f>
        <v>7.68</v>
      </c>
      <c r="R4" s="28">
        <f>M4+O4+Q4</f>
        <v>23.52</v>
      </c>
      <c r="S4" s="28">
        <f>(H4-R4)</f>
        <v>376.48</v>
      </c>
      <c r="T4" s="28" t="s">
        <v>77</v>
      </c>
      <c r="U4" s="15">
        <v>18</v>
      </c>
      <c r="V4" s="15">
        <f>IF(OR($C$2=1,$C$2=4),ROUND((((S4*U4)/100)/2),2),0)</f>
        <v>0</v>
      </c>
      <c r="W4" s="15">
        <f>IF($C$2=1,ROUND((((S4*U4)/100)/2),2),0)</f>
        <v>0</v>
      </c>
      <c r="X4" s="15">
        <f>IF($C$2=2,ROUND(((S4*U4)/100),2),0)</f>
        <v>67.77</v>
      </c>
      <c r="Y4" s="15">
        <f>IF($C$2=4,ROUND((((S4*U4)/100)/2),2),0)</f>
        <v>0</v>
      </c>
      <c r="Z4" s="15">
        <v>0</v>
      </c>
      <c r="AA4" s="15">
        <f>IF($C2=3,0,(S4*Z4)/100)</f>
        <v>0</v>
      </c>
      <c r="AB4" s="15">
        <f>V4+W4+X4+Y4+AA4</f>
        <v>67.77</v>
      </c>
      <c r="AC4" s="28">
        <f>IF($V2=1,S4+AB4,S4)</f>
        <v>444.25</v>
      </c>
      <c r="AD4" s="28">
        <v>120</v>
      </c>
      <c r="AE4" s="28">
        <f>IF($P$2=1,(S4/$S$4)*$E$35,AD4/$AD$4*$E$35)</f>
        <v>0</v>
      </c>
      <c r="AF4" s="28"/>
      <c r="AG4" s="28">
        <f>IF($P$2=1,(S4/$S$4)*$E$37,AD4/$AD$4*$E$37)</f>
        <v>0</v>
      </c>
      <c r="AH4" s="28">
        <f>IF($P$2=1,(S4/$S$4)*$E$37,AD4/$AD$4*$E$37)</f>
        <v>0</v>
      </c>
      <c r="AI4" s="28">
        <f>S4*$M$21</f>
        <v>0</v>
      </c>
      <c r="AJ4" s="28">
        <f>IF($C$2=3,0,AG4+AH4)</f>
        <v>0</v>
      </c>
      <c r="AK4" s="28">
        <f>IF($C$2=3,AE4+AG4+AH4,0)</f>
        <v>0</v>
      </c>
      <c r="AL4" s="28">
        <v>1</v>
      </c>
      <c r="AM4" s="28">
        <f>F4/AL4</f>
        <v>4</v>
      </c>
      <c r="AN4" s="28">
        <f>AI4/AM4</f>
        <v>0</v>
      </c>
      <c r="AO4" s="28">
        <f>AJ4/AM4</f>
        <v>0</v>
      </c>
      <c r="AP4" s="28">
        <f>AK4/AM4</f>
        <v>0</v>
      </c>
      <c r="AQ4" s="28" t="s">
        <v>76</v>
      </c>
      <c r="AR4" s="28">
        <f>AN4+AO4+AP4</f>
        <v>0</v>
      </c>
      <c r="AS4" s="28" t="s">
        <v>78</v>
      </c>
      <c r="AT4" s="28" t="s">
        <v>76</v>
      </c>
      <c r="AW4" s="28">
        <f>AM4</f>
        <v>4</v>
      </c>
      <c r="AX4" s="28">
        <f>AR4</f>
        <v>0</v>
      </c>
      <c r="AY4" s="28">
        <f>AU4+AW4</f>
        <v>4</v>
      </c>
      <c r="AZ4" s="28">
        <f>ROUND(((AU4*AV4)+(AW4*AX4))/(AU4+AW4),5)</f>
        <v>0</v>
      </c>
      <c r="BA4" s="39"/>
      <c r="BB4" s="39" t="s">
        <v>81</v>
      </c>
      <c r="BC4" s="39" t="s">
        <v>82</v>
      </c>
      <c r="BD4" s="40" t="s">
        <v>83</v>
      </c>
      <c r="BE4" s="40" t="s">
        <v>84</v>
      </c>
      <c r="BF4" s="39"/>
      <c r="BG4" s="39"/>
      <c r="BH4" s="39"/>
      <c r="BI4" s="28"/>
      <c r="BJ4" s="28"/>
      <c r="BK4" s="28"/>
      <c r="BL4" s="41" t="s">
        <v>85</v>
      </c>
      <c r="BM4" t="s">
        <v>100</v>
      </c>
      <c r="BN4" t="s">
        <v>100</v>
      </c>
      <c r="BO4" s="28">
        <f>ROUND((((AW4*AZ4)+(BN4*BM4))/(AW4+BN4)),5)</f>
        <v>0</v>
      </c>
      <c r="BP4" s="39">
        <f>BN4+AW4</f>
        <v>4</v>
      </c>
      <c r="BQ4" s="42">
        <v>88363222</v>
      </c>
    </row>
    <row r="5" spans="1:69">
      <c r="A5" s="27"/>
      <c r="B5" s="29"/>
      <c r="C5" s="29"/>
      <c r="D5" s="30" t="s">
        <v>88</v>
      </c>
      <c r="E5" s="30"/>
      <c r="F5" s="30"/>
      <c r="G5" s="30"/>
      <c r="H5" s="31">
        <f>SUM(H4:H4)</f>
        <v>400</v>
      </c>
      <c r="I5" s="27"/>
      <c r="J5" s="27"/>
      <c r="K5" s="27"/>
      <c r="L5" s="27"/>
      <c r="M5" s="27"/>
      <c r="N5" s="27"/>
      <c r="O5" s="27"/>
      <c r="P5" s="27"/>
      <c r="Q5" s="27"/>
      <c r="R5" s="31">
        <f t="shared" ref="R5:X5" si="0">SUM(R4:R4)</f>
        <v>23.52</v>
      </c>
      <c r="S5" s="31">
        <f t="shared" si="0"/>
        <v>376.48</v>
      </c>
      <c r="T5" s="30"/>
      <c r="U5" s="30"/>
      <c r="V5" s="31">
        <f t="shared" si="0"/>
        <v>0</v>
      </c>
      <c r="W5" s="31">
        <f t="shared" si="0"/>
        <v>0</v>
      </c>
      <c r="X5" s="31">
        <f t="shared" si="0"/>
        <v>67.77</v>
      </c>
      <c r="Y5" s="43"/>
      <c r="Z5" s="43"/>
      <c r="AA5" s="43"/>
      <c r="AB5" s="31">
        <f t="shared" ref="AB5:AE5" si="1">SUM(AB4:AB4)</f>
        <v>67.77</v>
      </c>
      <c r="AC5" s="31">
        <f t="shared" si="1"/>
        <v>444.25</v>
      </c>
      <c r="AD5" s="31">
        <f t="shared" si="1"/>
        <v>120</v>
      </c>
      <c r="AE5" s="31">
        <f t="shared" si="1"/>
        <v>0</v>
      </c>
      <c r="AF5" s="36"/>
      <c r="AG5" s="31">
        <f t="shared" ref="AG5:AK5" si="2">SUM(AG4:AG4)</f>
        <v>0</v>
      </c>
      <c r="AH5" s="31">
        <f t="shared" si="2"/>
        <v>0</v>
      </c>
      <c r="AI5" s="31">
        <f t="shared" si="2"/>
        <v>0</v>
      </c>
      <c r="AJ5" s="31">
        <f t="shared" si="2"/>
        <v>0</v>
      </c>
      <c r="AK5" s="31">
        <f t="shared" si="2"/>
        <v>0</v>
      </c>
      <c r="AL5" s="36"/>
      <c r="AM5" s="36"/>
      <c r="AN5" s="36"/>
      <c r="AO5" s="36"/>
      <c r="AP5" s="36"/>
      <c r="AQ5" s="36"/>
      <c r="AR5" s="36"/>
      <c r="AS5" s="27"/>
      <c r="AT5" s="27"/>
      <c r="AU5" s="29"/>
      <c r="AV5" s="29"/>
      <c r="AW5" s="27"/>
      <c r="AX5" s="27"/>
      <c r="AY5" s="27"/>
      <c r="AZ5" s="27"/>
      <c r="BA5" s="27"/>
      <c r="BB5" s="27"/>
      <c r="BC5" s="27"/>
      <c r="BD5" s="27"/>
      <c r="BE5" s="27"/>
      <c r="BF5" s="27"/>
      <c r="BG5" s="27"/>
      <c r="BH5" s="27"/>
      <c r="BI5" s="27"/>
      <c r="BJ5" s="27"/>
      <c r="BK5" s="27"/>
      <c r="BL5" s="27"/>
      <c r="BM5" s="27"/>
      <c r="BN5" s="27"/>
      <c r="BO5" s="27"/>
      <c r="BP5" s="29"/>
      <c r="BQ5" s="29"/>
    </row>
  </sheetData>
  <mergeCells count="1">
    <mergeCell ref="A2:B2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Q5"/>
  <sheetViews>
    <sheetView topLeftCell="R1" workbookViewId="0">
      <selection activeCell="U4" sqref="U4:AB4"/>
    </sheetView>
  </sheetViews>
  <sheetFormatPr defaultColWidth="8.7047619047619" defaultRowHeight="15" outlineLevelRow="4"/>
  <cols>
    <col min="1" max="1" width="5.14285714285714" customWidth="1"/>
    <col min="2" max="3" width="25" customWidth="1"/>
    <col min="4" max="4" width="79.4285714285714" customWidth="1"/>
    <col min="5" max="5" width="11.5714285714286" customWidth="1"/>
    <col min="6" max="6" width="5.14285714285714" customWidth="1"/>
    <col min="7" max="7" width="11" customWidth="1"/>
    <col min="8" max="8" width="12.7142857142857" customWidth="1"/>
    <col min="9" max="9" width="5.85714285714286" customWidth="1"/>
    <col min="10" max="10" width="6" customWidth="1"/>
    <col min="11" max="11" width="5.85714285714286" customWidth="1"/>
    <col min="12" max="12" width="14.2857142857143" customWidth="1"/>
    <col min="13" max="13" width="9.42857142857143" customWidth="1"/>
    <col min="14" max="14" width="14.4285714285714" customWidth="1"/>
    <col min="15" max="15" width="15.5714285714286" customWidth="1"/>
    <col min="16" max="16" width="14.4285714285714" customWidth="1"/>
    <col min="17" max="17" width="39.4285714285714" customWidth="1"/>
    <col min="18" max="18" width="11.7142857142857" customWidth="1"/>
    <col min="19" max="19" width="11.8571428571429" customWidth="1"/>
    <col min="20" max="20" width="6.42857142857143" customWidth="1"/>
    <col min="21" max="22" width="6.57142857142857" customWidth="1"/>
    <col min="23" max="23" width="37.1428571428571" customWidth="1"/>
    <col min="24" max="25" width="8" customWidth="1"/>
    <col min="26" max="26" width="7.71428571428571" customWidth="1"/>
    <col min="27" max="27" width="6.28571428571429" customWidth="1"/>
    <col min="28" max="28" width="9.28571428571429" customWidth="1"/>
    <col min="29" max="29" width="9.71428571428571" customWidth="1"/>
    <col min="30" max="30" width="12.8571428571429" customWidth="1"/>
    <col min="31" max="31" width="16.1428571428571" customWidth="1"/>
    <col min="32" max="32" width="15.4285714285714" customWidth="1"/>
    <col min="33" max="33" width="24.5714285714286" customWidth="1"/>
    <col min="34" max="34" width="8.57142857142857" customWidth="1"/>
    <col min="35" max="35" width="14.7142857142857" customWidth="1"/>
    <col min="36" max="36" width="18.5714285714286" customWidth="1"/>
    <col min="37" max="37" width="14.1428571428571" customWidth="1"/>
    <col min="38" max="38" width="14.7142857142857" customWidth="1"/>
    <col min="39" max="39" width="17.4285714285714" customWidth="1"/>
    <col min="40" max="40" width="22" customWidth="1"/>
    <col min="41" max="41" width="17.5714285714286" customWidth="1"/>
    <col min="42" max="42" width="25.2857142857143" customWidth="1"/>
    <col min="43" max="43" width="13" customWidth="1"/>
    <col min="44" max="44" width="23.7142857142857" customWidth="1"/>
    <col min="45" max="45" width="10" customWidth="1"/>
    <col min="46" max="46" width="13" customWidth="1"/>
    <col min="47" max="47" width="15.5714285714286" customWidth="1"/>
    <col min="48" max="48" width="21.1428571428571" customWidth="1"/>
    <col min="49" max="49" width="11.5714285714286" customWidth="1"/>
    <col min="50" max="50" width="16.7142857142857" customWidth="1"/>
    <col min="51" max="51" width="14" customWidth="1"/>
    <col min="52" max="52" width="19.4285714285714" customWidth="1"/>
    <col min="53" max="53" width="18.8571428571429" customWidth="1"/>
    <col min="54" max="54" width="23.2857142857143" customWidth="1"/>
    <col min="55" max="55" width="15.5714285714286" customWidth="1"/>
    <col min="56" max="56" width="14.2857142857143" customWidth="1"/>
    <col min="57" max="57" width="17" customWidth="1"/>
    <col min="58" max="58" width="16.2857142857143" customWidth="1"/>
    <col min="59" max="59" width="13.5714285714286" customWidth="1"/>
    <col min="60" max="61" width="12.7142857142857" customWidth="1"/>
    <col min="62" max="62" width="21.8571428571429" customWidth="1"/>
    <col min="63" max="63" width="30.5714285714286" customWidth="1"/>
    <col min="64" max="64" width="10" customWidth="1"/>
    <col min="65" max="65" width="42.5714285714286" customWidth="1"/>
    <col min="66" max="66" width="38.1428571428571" customWidth="1"/>
    <col min="67" max="67" width="19.4285714285714" customWidth="1"/>
    <col min="68" max="68" width="35.4285714285714" customWidth="1"/>
    <col min="69" max="69" width="9.57142857142857" customWidth="1"/>
  </cols>
  <sheetData>
    <row r="1" spans="1:69">
      <c r="A1" s="1" t="s">
        <v>0</v>
      </c>
      <c r="B1" s="2"/>
      <c r="C1" s="2"/>
      <c r="D1" s="2"/>
      <c r="E1" s="2"/>
      <c r="F1" s="2"/>
      <c r="G1" s="2"/>
      <c r="H1" s="1"/>
      <c r="I1" s="10"/>
      <c r="J1" s="10"/>
      <c r="K1" s="10"/>
      <c r="L1" s="10"/>
      <c r="M1" s="10"/>
      <c r="N1" s="10"/>
      <c r="O1" s="10"/>
      <c r="P1" s="10"/>
      <c r="Q1" s="10"/>
      <c r="R1" s="1"/>
      <c r="S1" s="1"/>
      <c r="T1" s="1"/>
      <c r="U1" s="1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23"/>
      <c r="BQ1" s="23"/>
    </row>
    <row r="2" spans="1:69">
      <c r="A2" s="3" t="s">
        <v>1</v>
      </c>
      <c r="B2" s="3"/>
      <c r="C2" s="24">
        <v>2</v>
      </c>
      <c r="D2" s="4" t="s">
        <v>2</v>
      </c>
      <c r="E2" s="24"/>
      <c r="F2" s="24"/>
      <c r="G2" s="24"/>
      <c r="H2" s="25"/>
      <c r="I2" s="27" t="s">
        <v>3</v>
      </c>
      <c r="J2" s="27" t="s">
        <v>4</v>
      </c>
      <c r="K2" s="27"/>
      <c r="L2" s="27" t="s">
        <v>5</v>
      </c>
      <c r="M2" s="27">
        <v>1</v>
      </c>
      <c r="N2" s="27"/>
      <c r="O2" s="27" t="s">
        <v>6</v>
      </c>
      <c r="P2" s="27">
        <v>2</v>
      </c>
      <c r="Q2" s="27" t="s">
        <v>7</v>
      </c>
      <c r="R2" s="25"/>
      <c r="S2" s="25"/>
      <c r="T2" s="25"/>
      <c r="U2" s="25"/>
      <c r="V2" s="25">
        <v>1</v>
      </c>
      <c r="W2" s="25" t="s">
        <v>8</v>
      </c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  <c r="AR2" s="27"/>
      <c r="AS2" s="27"/>
      <c r="AT2" s="27"/>
      <c r="AU2" s="27"/>
      <c r="AV2" s="27"/>
      <c r="AW2" s="27"/>
      <c r="AX2" s="27"/>
      <c r="AY2" s="27"/>
      <c r="AZ2" s="27"/>
      <c r="BA2" s="27"/>
      <c r="BB2" s="27"/>
      <c r="BC2" s="27"/>
      <c r="BD2" s="27"/>
      <c r="BE2" s="27"/>
      <c r="BF2" s="27"/>
      <c r="BG2" s="27"/>
      <c r="BH2" s="27"/>
      <c r="BI2" s="27"/>
      <c r="BJ2" s="27"/>
      <c r="BK2" s="27"/>
      <c r="BL2" s="27"/>
      <c r="BM2" s="27"/>
      <c r="BN2" s="27"/>
      <c r="BO2" s="27"/>
      <c r="BP2" s="29"/>
      <c r="BQ2" s="29"/>
    </row>
    <row r="3" ht="15.75" spans="1:69">
      <c r="A3" s="26" t="s">
        <v>9</v>
      </c>
      <c r="B3" s="26" t="s">
        <v>10</v>
      </c>
      <c r="C3" s="26" t="s">
        <v>11</v>
      </c>
      <c r="D3" s="26" t="s">
        <v>12</v>
      </c>
      <c r="E3" s="26" t="s">
        <v>13</v>
      </c>
      <c r="F3" s="26" t="s">
        <v>14</v>
      </c>
      <c r="G3" s="26" t="s">
        <v>15</v>
      </c>
      <c r="H3" s="26" t="s">
        <v>16</v>
      </c>
      <c r="I3" s="32" t="s">
        <v>17</v>
      </c>
      <c r="J3" s="32" t="s">
        <v>19</v>
      </c>
      <c r="K3" s="32" t="s">
        <v>18</v>
      </c>
      <c r="L3" s="33" t="s">
        <v>20</v>
      </c>
      <c r="M3" s="33" t="s">
        <v>21</v>
      </c>
      <c r="N3" s="33" t="s">
        <v>24</v>
      </c>
      <c r="O3" s="33" t="s">
        <v>25</v>
      </c>
      <c r="P3" s="33" t="s">
        <v>95</v>
      </c>
      <c r="Q3" s="33" t="s">
        <v>23</v>
      </c>
      <c r="R3" s="32" t="s">
        <v>26</v>
      </c>
      <c r="S3" s="26" t="s">
        <v>96</v>
      </c>
      <c r="T3" s="26" t="s">
        <v>28</v>
      </c>
      <c r="U3" s="34" t="s">
        <v>97</v>
      </c>
      <c r="V3" s="34" t="s">
        <v>30</v>
      </c>
      <c r="W3" s="34" t="s">
        <v>31</v>
      </c>
      <c r="X3" s="34" t="s">
        <v>32</v>
      </c>
      <c r="Y3" s="34" t="s">
        <v>33</v>
      </c>
      <c r="Z3" s="34" t="s">
        <v>34</v>
      </c>
      <c r="AA3" s="34" t="s">
        <v>35</v>
      </c>
      <c r="AB3" s="34" t="s">
        <v>36</v>
      </c>
      <c r="AC3" s="35" t="s">
        <v>37</v>
      </c>
      <c r="AD3" s="35" t="s">
        <v>38</v>
      </c>
      <c r="AE3" s="35" t="s">
        <v>39</v>
      </c>
      <c r="AF3" s="35" t="s">
        <v>40</v>
      </c>
      <c r="AG3" s="35" t="s">
        <v>41</v>
      </c>
      <c r="AH3" s="35" t="s">
        <v>42</v>
      </c>
      <c r="AI3" s="35" t="s">
        <v>43</v>
      </c>
      <c r="AJ3" s="35" t="s">
        <v>44</v>
      </c>
      <c r="AK3" s="35" t="s">
        <v>45</v>
      </c>
      <c r="AL3" s="35" t="s">
        <v>46</v>
      </c>
      <c r="AM3" s="35" t="s">
        <v>47</v>
      </c>
      <c r="AN3" s="35" t="s">
        <v>48</v>
      </c>
      <c r="AO3" s="35" t="s">
        <v>49</v>
      </c>
      <c r="AP3" s="35" t="s">
        <v>50</v>
      </c>
      <c r="AQ3" s="35" t="s">
        <v>51</v>
      </c>
      <c r="AR3" s="37" t="s">
        <v>98</v>
      </c>
      <c r="AS3" s="26" t="s">
        <v>53</v>
      </c>
      <c r="AT3" s="26" t="s">
        <v>51</v>
      </c>
      <c r="AU3" s="38" t="s">
        <v>54</v>
      </c>
      <c r="AV3" s="38" t="s">
        <v>55</v>
      </c>
      <c r="AW3" s="38" t="s">
        <v>56</v>
      </c>
      <c r="AX3" s="38" t="s">
        <v>57</v>
      </c>
      <c r="AY3" s="38" t="s">
        <v>58</v>
      </c>
      <c r="AZ3" s="38" t="s">
        <v>59</v>
      </c>
      <c r="BA3" s="38" t="s">
        <v>60</v>
      </c>
      <c r="BB3" s="38" t="s">
        <v>61</v>
      </c>
      <c r="BC3" s="38" t="s">
        <v>62</v>
      </c>
      <c r="BD3" s="38" t="s">
        <v>63</v>
      </c>
      <c r="BE3" s="38" t="s">
        <v>64</v>
      </c>
      <c r="BF3" s="38" t="s">
        <v>65</v>
      </c>
      <c r="BG3" s="38" t="s">
        <v>66</v>
      </c>
      <c r="BH3" s="38" t="s">
        <v>67</v>
      </c>
      <c r="BI3" s="38" t="s">
        <v>68</v>
      </c>
      <c r="BJ3" s="38" t="s">
        <v>69</v>
      </c>
      <c r="BK3" s="38" t="s">
        <v>70</v>
      </c>
      <c r="BL3" s="38" t="s">
        <v>71</v>
      </c>
      <c r="BM3" s="38" t="s">
        <v>72</v>
      </c>
      <c r="BN3" s="38" t="s">
        <v>73</v>
      </c>
      <c r="BO3" s="38" t="s">
        <v>59</v>
      </c>
      <c r="BP3" s="38" t="s">
        <v>74</v>
      </c>
      <c r="BQ3" s="38" t="s">
        <v>28</v>
      </c>
    </row>
    <row r="4" ht="15.75" spans="1:69">
      <c r="A4" s="27">
        <v>1</v>
      </c>
      <c r="B4" s="27" t="s">
        <v>103</v>
      </c>
      <c r="C4" s="27" t="s">
        <v>103</v>
      </c>
      <c r="D4" s="27" t="s">
        <v>76</v>
      </c>
      <c r="E4" s="27" t="s">
        <v>76</v>
      </c>
      <c r="F4" s="28">
        <v>4</v>
      </c>
      <c r="G4" s="28">
        <v>100</v>
      </c>
      <c r="H4" s="28">
        <f>F4*G4</f>
        <v>400</v>
      </c>
      <c r="I4" s="29" t="s">
        <v>102</v>
      </c>
      <c r="J4" s="28">
        <v>2</v>
      </c>
      <c r="K4" s="28">
        <v>2</v>
      </c>
      <c r="L4" s="28">
        <f>H4</f>
        <v>400</v>
      </c>
      <c r="M4" s="28">
        <f>ROUND(L4*I4%,2)</f>
        <v>8</v>
      </c>
      <c r="N4" s="28">
        <f>H4-M4</f>
        <v>392</v>
      </c>
      <c r="O4" s="28">
        <f>ROUND(N4*J4%,2)</f>
        <v>7.84</v>
      </c>
      <c r="P4" s="28">
        <f>ROUND(N4-O4,2)</f>
        <v>384.16</v>
      </c>
      <c r="Q4" s="28">
        <f>ROUND(P4*K4%,2)</f>
        <v>7.68</v>
      </c>
      <c r="R4" s="28">
        <f>M4+O4+Q4</f>
        <v>23.52</v>
      </c>
      <c r="S4" s="28">
        <f>(H4-R4)</f>
        <v>376.48</v>
      </c>
      <c r="T4" s="28" t="s">
        <v>77</v>
      </c>
      <c r="U4" s="15">
        <v>18</v>
      </c>
      <c r="V4" s="15">
        <f>IF(OR($C$2=1,$C$2=4),ROUND((((S4*U4)/100)/2),2),0)</f>
        <v>0</v>
      </c>
      <c r="W4" s="15">
        <f>IF($C$2=1,ROUND((((S4*U4)/100)/2),2),0)</f>
        <v>0</v>
      </c>
      <c r="X4" s="15">
        <f>IF($C$2=2,ROUND(((S4*U4)/100),2),0)</f>
        <v>67.77</v>
      </c>
      <c r="Y4" s="15">
        <f>IF($C$2=4,ROUND((((S4*U4)/100)/2),2),0)</f>
        <v>0</v>
      </c>
      <c r="Z4" s="15">
        <v>0</v>
      </c>
      <c r="AA4" s="15">
        <f>IF($C2=3,0,(S4*Z4)/100)</f>
        <v>0</v>
      </c>
      <c r="AB4" s="15">
        <f>V4+W4+X4+Y4+AA4</f>
        <v>67.77</v>
      </c>
      <c r="AC4" s="28">
        <f>IF($V2=1,S4+AB4,S4)</f>
        <v>444.25</v>
      </c>
      <c r="AD4" s="28">
        <v>120</v>
      </c>
      <c r="AE4" s="28">
        <f>IF($P$2=1,(S4/$S$4)*$E$35,AD4/$AD$4*$E$35)</f>
        <v>0</v>
      </c>
      <c r="AF4" s="28"/>
      <c r="AG4" s="28">
        <f>IF($P$2=1,(S4/$S$4)*$E$37,AD4/$AD$4*$E$37)</f>
        <v>0</v>
      </c>
      <c r="AH4" s="28">
        <f>IF($P$2=1,(S4/$S$4)*$E$37,AD4/$AD$4*$E$37)</f>
        <v>0</v>
      </c>
      <c r="AI4" s="28">
        <f>S4*$M$21</f>
        <v>0</v>
      </c>
      <c r="AJ4" s="28">
        <f>IF($C$2=3,0,AG4+AH4)</f>
        <v>0</v>
      </c>
      <c r="AK4" s="28">
        <f>IF($C$2=3,AE4+AG4+AH4,0)</f>
        <v>0</v>
      </c>
      <c r="AL4" s="28">
        <v>1</v>
      </c>
      <c r="AM4" s="28">
        <f>F4/AL4</f>
        <v>4</v>
      </c>
      <c r="AN4" s="28">
        <f>AI4/AM4</f>
        <v>0</v>
      </c>
      <c r="AO4" s="28">
        <f>AJ4/AM4</f>
        <v>0</v>
      </c>
      <c r="AP4" s="28">
        <f>AK4/AM4</f>
        <v>0</v>
      </c>
      <c r="AQ4" s="28" t="s">
        <v>76</v>
      </c>
      <c r="AR4" s="28">
        <f>AN4+AO4+AP4</f>
        <v>0</v>
      </c>
      <c r="AS4" s="28" t="s">
        <v>78</v>
      </c>
      <c r="AT4" s="28" t="s">
        <v>76</v>
      </c>
      <c r="AW4" s="28">
        <f>AM4</f>
        <v>4</v>
      </c>
      <c r="AX4" s="28">
        <f>AR4</f>
        <v>0</v>
      </c>
      <c r="AY4" s="28">
        <f>AU4+AW4</f>
        <v>4</v>
      </c>
      <c r="AZ4" s="28">
        <f>ROUND(((AU4*AV4)+(AW4*AX4))/(AU4+AW4),5)</f>
        <v>0</v>
      </c>
      <c r="BA4" s="39"/>
      <c r="BB4" s="39" t="s">
        <v>81</v>
      </c>
      <c r="BC4" s="39" t="s">
        <v>82</v>
      </c>
      <c r="BD4" s="40" t="s">
        <v>83</v>
      </c>
      <c r="BE4" s="40" t="s">
        <v>84</v>
      </c>
      <c r="BF4" s="39"/>
      <c r="BG4" s="39"/>
      <c r="BH4" s="39"/>
      <c r="BI4" s="28"/>
      <c r="BJ4" s="28"/>
      <c r="BK4" s="28"/>
      <c r="BL4" s="41" t="s">
        <v>85</v>
      </c>
      <c r="BM4" t="s">
        <v>100</v>
      </c>
      <c r="BN4" t="s">
        <v>100</v>
      </c>
      <c r="BO4" s="28">
        <f>ROUND((((AW4*AZ4)+(BN4*BM4))/(AW4+BN4)),5)</f>
        <v>0</v>
      </c>
      <c r="BP4" s="39">
        <f>BN4+AW4</f>
        <v>4</v>
      </c>
      <c r="BQ4" s="42">
        <v>88363222</v>
      </c>
    </row>
    <row r="5" spans="1:69">
      <c r="A5" s="27"/>
      <c r="B5" s="29"/>
      <c r="C5" s="29"/>
      <c r="D5" s="30" t="s">
        <v>88</v>
      </c>
      <c r="E5" s="30"/>
      <c r="F5" s="30"/>
      <c r="G5" s="30"/>
      <c r="H5" s="31">
        <f>SUM(H4:H4)</f>
        <v>400</v>
      </c>
      <c r="I5" s="27"/>
      <c r="J5" s="27"/>
      <c r="K5" s="27"/>
      <c r="L5" s="27"/>
      <c r="M5" s="27"/>
      <c r="N5" s="27"/>
      <c r="O5" s="27"/>
      <c r="P5" s="27"/>
      <c r="Q5" s="27"/>
      <c r="R5" s="31">
        <f t="shared" ref="R5:X5" si="0">SUM(R4:R4)</f>
        <v>23.52</v>
      </c>
      <c r="S5" s="31">
        <f t="shared" si="0"/>
        <v>376.48</v>
      </c>
      <c r="T5" s="30"/>
      <c r="U5" s="30"/>
      <c r="V5" s="31">
        <f t="shared" si="0"/>
        <v>0</v>
      </c>
      <c r="W5" s="31">
        <f t="shared" si="0"/>
        <v>0</v>
      </c>
      <c r="X5" s="31">
        <f t="shared" si="0"/>
        <v>67.77</v>
      </c>
      <c r="Y5" s="43"/>
      <c r="Z5" s="43"/>
      <c r="AA5" s="43"/>
      <c r="AB5" s="31">
        <f t="shared" ref="AB5:AE5" si="1">SUM(AB4:AB4)</f>
        <v>67.77</v>
      </c>
      <c r="AC5" s="31">
        <f t="shared" si="1"/>
        <v>444.25</v>
      </c>
      <c r="AD5" s="31">
        <f t="shared" si="1"/>
        <v>120</v>
      </c>
      <c r="AE5" s="31">
        <f t="shared" si="1"/>
        <v>0</v>
      </c>
      <c r="AF5" s="36"/>
      <c r="AG5" s="31">
        <f t="shared" ref="AG5:AK5" si="2">SUM(AG4:AG4)</f>
        <v>0</v>
      </c>
      <c r="AH5" s="31">
        <f t="shared" si="2"/>
        <v>0</v>
      </c>
      <c r="AI5" s="31">
        <f t="shared" si="2"/>
        <v>0</v>
      </c>
      <c r="AJ5" s="31">
        <f t="shared" si="2"/>
        <v>0</v>
      </c>
      <c r="AK5" s="31">
        <f t="shared" si="2"/>
        <v>0</v>
      </c>
      <c r="AL5" s="36"/>
      <c r="AM5" s="36"/>
      <c r="AN5" s="36"/>
      <c r="AO5" s="36"/>
      <c r="AP5" s="36"/>
      <c r="AQ5" s="36"/>
      <c r="AR5" s="36"/>
      <c r="AS5" s="27"/>
      <c r="AT5" s="27"/>
      <c r="AU5" s="29"/>
      <c r="AV5" s="29"/>
      <c r="AW5" s="27"/>
      <c r="AX5" s="27"/>
      <c r="AY5" s="27"/>
      <c r="AZ5" s="27"/>
      <c r="BA5" s="27"/>
      <c r="BB5" s="27"/>
      <c r="BC5" s="27"/>
      <c r="BD5" s="27"/>
      <c r="BE5" s="27"/>
      <c r="BF5" s="27"/>
      <c r="BG5" s="27"/>
      <c r="BH5" s="27"/>
      <c r="BI5" s="27"/>
      <c r="BJ5" s="27"/>
      <c r="BK5" s="27"/>
      <c r="BL5" s="27"/>
      <c r="BM5" s="27"/>
      <c r="BN5" s="27"/>
      <c r="BO5" s="27"/>
      <c r="BP5" s="29"/>
      <c r="BQ5" s="29"/>
    </row>
  </sheetData>
  <mergeCells count="1">
    <mergeCell ref="A2:B2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Q5"/>
  <sheetViews>
    <sheetView topLeftCell="O1" workbookViewId="0">
      <selection activeCell="U4" sqref="U4:AB4"/>
    </sheetView>
  </sheetViews>
  <sheetFormatPr defaultColWidth="8.7047619047619" defaultRowHeight="15" outlineLevelRow="4"/>
  <cols>
    <col min="1" max="1" width="5.14285714285714" customWidth="1"/>
    <col min="2" max="3" width="25.2857142857143" customWidth="1"/>
    <col min="4" max="4" width="79.4285714285714" customWidth="1"/>
    <col min="5" max="5" width="11.5714285714286" customWidth="1"/>
    <col min="6" max="6" width="5.14285714285714" customWidth="1"/>
    <col min="7" max="7" width="11" customWidth="1"/>
    <col min="8" max="8" width="12.7142857142857" customWidth="1"/>
    <col min="9" max="9" width="5.85714285714286" customWidth="1"/>
    <col min="10" max="10" width="6" customWidth="1"/>
    <col min="11" max="11" width="5.85714285714286" customWidth="1"/>
    <col min="12" max="12" width="14.2857142857143" customWidth="1"/>
    <col min="13" max="13" width="9.42857142857143" customWidth="1"/>
    <col min="14" max="14" width="14.4285714285714" customWidth="1"/>
    <col min="15" max="15" width="15.5714285714286" customWidth="1"/>
    <col min="16" max="16" width="14.4285714285714" customWidth="1"/>
    <col min="17" max="17" width="39.4285714285714" customWidth="1"/>
    <col min="18" max="18" width="11.7142857142857" customWidth="1"/>
    <col min="19" max="19" width="11.8571428571429" customWidth="1"/>
    <col min="20" max="20" width="6.42857142857143" customWidth="1"/>
    <col min="21" max="22" width="6.57142857142857" customWidth="1"/>
    <col min="23" max="23" width="37.1428571428571" customWidth="1"/>
    <col min="24" max="25" width="8" customWidth="1"/>
    <col min="26" max="26" width="7.71428571428571" customWidth="1"/>
    <col min="27" max="27" width="6.28571428571429" customWidth="1"/>
    <col min="28" max="28" width="9.28571428571429" customWidth="1"/>
    <col min="29" max="29" width="9.71428571428571" customWidth="1"/>
    <col min="30" max="30" width="12.8571428571429" customWidth="1"/>
    <col min="31" max="31" width="16.1428571428571" customWidth="1"/>
    <col min="32" max="32" width="15.4285714285714" customWidth="1"/>
    <col min="33" max="33" width="24.5714285714286" customWidth="1"/>
    <col min="34" max="34" width="8.57142857142857" customWidth="1"/>
    <col min="35" max="35" width="14.7142857142857" customWidth="1"/>
    <col min="36" max="36" width="18.5714285714286" customWidth="1"/>
    <col min="37" max="37" width="14.1428571428571" customWidth="1"/>
    <col min="38" max="38" width="14.7142857142857" customWidth="1"/>
    <col min="39" max="39" width="17.4285714285714" customWidth="1"/>
    <col min="40" max="40" width="22" customWidth="1"/>
    <col min="41" max="41" width="17.5714285714286" customWidth="1"/>
    <col min="42" max="42" width="25.2857142857143" customWidth="1"/>
    <col min="43" max="43" width="13" customWidth="1"/>
    <col min="44" max="44" width="23.7142857142857" customWidth="1"/>
    <col min="45" max="45" width="10" customWidth="1"/>
    <col min="46" max="46" width="13" customWidth="1"/>
    <col min="47" max="47" width="15.5714285714286" customWidth="1"/>
    <col min="48" max="48" width="21.1428571428571" customWidth="1"/>
    <col min="49" max="49" width="11.5714285714286" customWidth="1"/>
    <col min="50" max="50" width="16.7142857142857" customWidth="1"/>
    <col min="51" max="51" width="14" customWidth="1"/>
    <col min="52" max="52" width="19.4285714285714" customWidth="1"/>
    <col min="53" max="53" width="18.8571428571429" customWidth="1"/>
    <col min="54" max="54" width="23.2857142857143" customWidth="1"/>
    <col min="55" max="55" width="15.5714285714286" customWidth="1"/>
    <col min="56" max="56" width="14.2857142857143" customWidth="1"/>
    <col min="57" max="57" width="17" customWidth="1"/>
    <col min="58" max="58" width="16.2857142857143" customWidth="1"/>
    <col min="59" max="59" width="13.5714285714286" customWidth="1"/>
    <col min="60" max="61" width="12.7142857142857" customWidth="1"/>
    <col min="62" max="62" width="21.8571428571429" customWidth="1"/>
    <col min="63" max="63" width="30.5714285714286" customWidth="1"/>
    <col min="64" max="64" width="10" customWidth="1"/>
    <col min="65" max="65" width="42.5714285714286" customWidth="1"/>
    <col min="66" max="66" width="38.1428571428571" customWidth="1"/>
    <col min="67" max="67" width="19.4285714285714" customWidth="1"/>
    <col min="68" max="68" width="35.4285714285714" customWidth="1"/>
    <col min="69" max="69" width="9.57142857142857" customWidth="1"/>
  </cols>
  <sheetData>
    <row r="1" spans="1:69">
      <c r="A1" s="1" t="s">
        <v>0</v>
      </c>
      <c r="B1" s="2"/>
      <c r="C1" s="2"/>
      <c r="D1" s="2"/>
      <c r="E1" s="2"/>
      <c r="F1" s="2"/>
      <c r="G1" s="2"/>
      <c r="H1" s="1"/>
      <c r="I1" s="10"/>
      <c r="J1" s="10"/>
      <c r="K1" s="10"/>
      <c r="L1" s="10"/>
      <c r="M1" s="10"/>
      <c r="N1" s="10"/>
      <c r="O1" s="10"/>
      <c r="P1" s="10"/>
      <c r="Q1" s="10"/>
      <c r="R1" s="1"/>
      <c r="S1" s="1"/>
      <c r="T1" s="1"/>
      <c r="U1" s="1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23"/>
      <c r="BQ1" s="23"/>
    </row>
    <row r="2" spans="1:69">
      <c r="A2" s="3" t="s">
        <v>1</v>
      </c>
      <c r="B2" s="3"/>
      <c r="C2" s="24">
        <v>2</v>
      </c>
      <c r="D2" s="4" t="s">
        <v>2</v>
      </c>
      <c r="E2" s="24"/>
      <c r="F2" s="24"/>
      <c r="G2" s="24"/>
      <c r="H2" s="25"/>
      <c r="I2" s="27" t="s">
        <v>3</v>
      </c>
      <c r="J2" s="27" t="s">
        <v>4</v>
      </c>
      <c r="K2" s="27"/>
      <c r="L2" s="27" t="s">
        <v>5</v>
      </c>
      <c r="M2" s="27">
        <v>1</v>
      </c>
      <c r="N2" s="27"/>
      <c r="O2" s="27" t="s">
        <v>6</v>
      </c>
      <c r="P2" s="27">
        <v>2</v>
      </c>
      <c r="Q2" s="27" t="s">
        <v>7</v>
      </c>
      <c r="R2" s="25"/>
      <c r="S2" s="25"/>
      <c r="T2" s="25"/>
      <c r="U2" s="25"/>
      <c r="V2" s="25">
        <v>1</v>
      </c>
      <c r="W2" s="25" t="s">
        <v>8</v>
      </c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  <c r="AR2" s="27"/>
      <c r="AS2" s="27"/>
      <c r="AT2" s="27"/>
      <c r="AU2" s="27"/>
      <c r="AV2" s="27"/>
      <c r="AW2" s="27"/>
      <c r="AX2" s="27"/>
      <c r="AY2" s="27"/>
      <c r="AZ2" s="27"/>
      <c r="BA2" s="27"/>
      <c r="BB2" s="27"/>
      <c r="BC2" s="27"/>
      <c r="BD2" s="27"/>
      <c r="BE2" s="27"/>
      <c r="BF2" s="27"/>
      <c r="BG2" s="27"/>
      <c r="BH2" s="27"/>
      <c r="BI2" s="27"/>
      <c r="BJ2" s="27"/>
      <c r="BK2" s="27"/>
      <c r="BL2" s="27"/>
      <c r="BM2" s="27"/>
      <c r="BN2" s="27"/>
      <c r="BO2" s="27"/>
      <c r="BP2" s="29"/>
      <c r="BQ2" s="29"/>
    </row>
    <row r="3" ht="15.75" spans="1:69">
      <c r="A3" s="26" t="s">
        <v>9</v>
      </c>
      <c r="B3" s="26" t="s">
        <v>10</v>
      </c>
      <c r="C3" s="26" t="s">
        <v>11</v>
      </c>
      <c r="D3" s="26" t="s">
        <v>12</v>
      </c>
      <c r="E3" s="26" t="s">
        <v>13</v>
      </c>
      <c r="F3" s="26" t="s">
        <v>14</v>
      </c>
      <c r="G3" s="26" t="s">
        <v>15</v>
      </c>
      <c r="H3" s="26" t="s">
        <v>16</v>
      </c>
      <c r="I3" s="32" t="s">
        <v>17</v>
      </c>
      <c r="J3" s="32" t="s">
        <v>19</v>
      </c>
      <c r="K3" s="32" t="s">
        <v>18</v>
      </c>
      <c r="L3" s="33" t="s">
        <v>20</v>
      </c>
      <c r="M3" s="33" t="s">
        <v>21</v>
      </c>
      <c r="N3" s="33" t="s">
        <v>24</v>
      </c>
      <c r="O3" s="33" t="s">
        <v>25</v>
      </c>
      <c r="P3" s="33" t="s">
        <v>95</v>
      </c>
      <c r="Q3" s="33" t="s">
        <v>23</v>
      </c>
      <c r="R3" s="32" t="s">
        <v>26</v>
      </c>
      <c r="S3" s="26" t="s">
        <v>96</v>
      </c>
      <c r="T3" s="26" t="s">
        <v>28</v>
      </c>
      <c r="U3" s="34" t="s">
        <v>97</v>
      </c>
      <c r="V3" s="34" t="s">
        <v>30</v>
      </c>
      <c r="W3" s="34" t="s">
        <v>31</v>
      </c>
      <c r="X3" s="34" t="s">
        <v>32</v>
      </c>
      <c r="Y3" s="34" t="s">
        <v>33</v>
      </c>
      <c r="Z3" s="34" t="s">
        <v>34</v>
      </c>
      <c r="AA3" s="34" t="s">
        <v>35</v>
      </c>
      <c r="AB3" s="34" t="s">
        <v>36</v>
      </c>
      <c r="AC3" s="35" t="s">
        <v>37</v>
      </c>
      <c r="AD3" s="35" t="s">
        <v>38</v>
      </c>
      <c r="AE3" s="35" t="s">
        <v>39</v>
      </c>
      <c r="AF3" s="35" t="s">
        <v>40</v>
      </c>
      <c r="AG3" s="35" t="s">
        <v>41</v>
      </c>
      <c r="AH3" s="35" t="s">
        <v>42</v>
      </c>
      <c r="AI3" s="35" t="s">
        <v>43</v>
      </c>
      <c r="AJ3" s="35" t="s">
        <v>44</v>
      </c>
      <c r="AK3" s="35" t="s">
        <v>45</v>
      </c>
      <c r="AL3" s="35" t="s">
        <v>46</v>
      </c>
      <c r="AM3" s="35" t="s">
        <v>47</v>
      </c>
      <c r="AN3" s="35" t="s">
        <v>48</v>
      </c>
      <c r="AO3" s="35" t="s">
        <v>49</v>
      </c>
      <c r="AP3" s="35" t="s">
        <v>50</v>
      </c>
      <c r="AQ3" s="35" t="s">
        <v>51</v>
      </c>
      <c r="AR3" s="37" t="s">
        <v>98</v>
      </c>
      <c r="AS3" s="26" t="s">
        <v>53</v>
      </c>
      <c r="AT3" s="26" t="s">
        <v>51</v>
      </c>
      <c r="AU3" s="38" t="s">
        <v>54</v>
      </c>
      <c r="AV3" s="38" t="s">
        <v>55</v>
      </c>
      <c r="AW3" s="38" t="s">
        <v>56</v>
      </c>
      <c r="AX3" s="38" t="s">
        <v>57</v>
      </c>
      <c r="AY3" s="38" t="s">
        <v>58</v>
      </c>
      <c r="AZ3" s="38" t="s">
        <v>59</v>
      </c>
      <c r="BA3" s="38" t="s">
        <v>60</v>
      </c>
      <c r="BB3" s="38" t="s">
        <v>61</v>
      </c>
      <c r="BC3" s="38" t="s">
        <v>62</v>
      </c>
      <c r="BD3" s="38" t="s">
        <v>63</v>
      </c>
      <c r="BE3" s="38" t="s">
        <v>64</v>
      </c>
      <c r="BF3" s="38" t="s">
        <v>65</v>
      </c>
      <c r="BG3" s="38" t="s">
        <v>66</v>
      </c>
      <c r="BH3" s="38" t="s">
        <v>67</v>
      </c>
      <c r="BI3" s="38" t="s">
        <v>68</v>
      </c>
      <c r="BJ3" s="38" t="s">
        <v>69</v>
      </c>
      <c r="BK3" s="38" t="s">
        <v>70</v>
      </c>
      <c r="BL3" s="38" t="s">
        <v>71</v>
      </c>
      <c r="BM3" s="38" t="s">
        <v>72</v>
      </c>
      <c r="BN3" s="38" t="s">
        <v>73</v>
      </c>
      <c r="BO3" s="38" t="s">
        <v>59</v>
      </c>
      <c r="BP3" s="38" t="s">
        <v>74</v>
      </c>
      <c r="BQ3" s="38" t="s">
        <v>28</v>
      </c>
    </row>
    <row r="4" ht="15.75" spans="1:69">
      <c r="A4" s="27">
        <v>1</v>
      </c>
      <c r="B4" s="27" t="s">
        <v>104</v>
      </c>
      <c r="C4" s="27" t="s">
        <v>104</v>
      </c>
      <c r="D4" s="27" t="s">
        <v>76</v>
      </c>
      <c r="E4" s="27" t="s">
        <v>76</v>
      </c>
      <c r="F4" s="28">
        <v>4</v>
      </c>
      <c r="G4" s="28">
        <v>100</v>
      </c>
      <c r="H4" s="28">
        <f>F4*G4</f>
        <v>400</v>
      </c>
      <c r="I4" s="29">
        <v>0</v>
      </c>
      <c r="J4" s="28">
        <v>2</v>
      </c>
      <c r="K4" s="28">
        <v>2</v>
      </c>
      <c r="L4" s="28">
        <f>H4</f>
        <v>400</v>
      </c>
      <c r="M4" s="28">
        <f>ROUND(L4*I4%,2)</f>
        <v>0</v>
      </c>
      <c r="N4" s="28">
        <f>H4-M4</f>
        <v>400</v>
      </c>
      <c r="O4" s="28">
        <f>ROUND(N4*J4%,2)</f>
        <v>8</v>
      </c>
      <c r="P4" s="28">
        <f>ROUND(N4-O4,2)</f>
        <v>392</v>
      </c>
      <c r="Q4" s="28">
        <f>ROUND(P4*K4%,2)</f>
        <v>7.84</v>
      </c>
      <c r="R4" s="28">
        <f>M4+O4+Q4</f>
        <v>15.84</v>
      </c>
      <c r="S4" s="28">
        <f>(H4-R4)</f>
        <v>384.16</v>
      </c>
      <c r="T4" s="28" t="s">
        <v>77</v>
      </c>
      <c r="U4" s="15">
        <v>18</v>
      </c>
      <c r="V4" s="15">
        <f>IF(OR($C$2=1,$C$2=4),ROUND((((S4*U4)/100)/2),2),0)</f>
        <v>0</v>
      </c>
      <c r="W4" s="15">
        <f>IF($C$2=1,ROUND((((S4*U4)/100)/2),2),0)</f>
        <v>0</v>
      </c>
      <c r="X4" s="15">
        <f>IF($C$2=2,ROUND(((S4*U4)/100),2),0)</f>
        <v>69.15</v>
      </c>
      <c r="Y4" s="15">
        <f>IF($C$2=4,ROUND((((S4*U4)/100)/2),2),0)</f>
        <v>0</v>
      </c>
      <c r="Z4" s="15">
        <v>0</v>
      </c>
      <c r="AA4" s="15">
        <f>IF($C2=3,0,(S4*Z4)/100)</f>
        <v>0</v>
      </c>
      <c r="AB4" s="15">
        <f>V4+W4+X4+Y4+AA4</f>
        <v>69.15</v>
      </c>
      <c r="AC4" s="28">
        <f>IF($V2=1,S4+AB4,S4)</f>
        <v>453.31</v>
      </c>
      <c r="AD4" s="28">
        <v>120</v>
      </c>
      <c r="AE4" s="28">
        <f>IF($P$2=1,(S4/$S$4)*$E$35,AD4/$AD$4*$E$35)</f>
        <v>0</v>
      </c>
      <c r="AF4" s="28"/>
      <c r="AG4" s="28">
        <f>IF($P$2=1,(S4/$S$4)*$E$37,AD4/$AD$4*$E$37)</f>
        <v>0</v>
      </c>
      <c r="AH4" s="28">
        <f>IF($P$2=1,(S4/$S$4)*$E$37,AD4/$AD$4*$E$37)</f>
        <v>0</v>
      </c>
      <c r="AI4" s="28">
        <f>S4*$M$21</f>
        <v>0</v>
      </c>
      <c r="AJ4" s="28">
        <f>IF($C$2=3,0,AG4+AH4)</f>
        <v>0</v>
      </c>
      <c r="AK4" s="28">
        <f>IF($C$2=3,AE4+AG4+AH4,0)</f>
        <v>0</v>
      </c>
      <c r="AL4" s="28">
        <v>1</v>
      </c>
      <c r="AM4" s="28">
        <f>F4/AL4</f>
        <v>4</v>
      </c>
      <c r="AN4" s="28">
        <f>AI4/AM4</f>
        <v>0</v>
      </c>
      <c r="AO4" s="28">
        <f>AJ4/AM4</f>
        <v>0</v>
      </c>
      <c r="AP4" s="28">
        <f>AK4/AM4</f>
        <v>0</v>
      </c>
      <c r="AQ4" s="28" t="s">
        <v>76</v>
      </c>
      <c r="AR4" s="28">
        <f>AN4+AO4+AP4</f>
        <v>0</v>
      </c>
      <c r="AS4" s="28" t="s">
        <v>78</v>
      </c>
      <c r="AT4" s="28" t="s">
        <v>76</v>
      </c>
      <c r="AU4" t="s">
        <v>105</v>
      </c>
      <c r="AV4" t="s">
        <v>106</v>
      </c>
      <c r="AW4" s="28">
        <f>AM4</f>
        <v>4</v>
      </c>
      <c r="AX4" s="28">
        <f>AR4</f>
        <v>0</v>
      </c>
      <c r="AY4" s="28">
        <f>AU4+AW4</f>
        <v>4</v>
      </c>
      <c r="AZ4" s="28">
        <f>ROUND(((AU4*AV4)+(AW4*AX4))/(AU4+AW4),5)</f>
        <v>781.1406</v>
      </c>
      <c r="BA4" s="39"/>
      <c r="BB4" s="39" t="s">
        <v>81</v>
      </c>
      <c r="BC4" s="39" t="s">
        <v>82</v>
      </c>
      <c r="BD4" s="40" t="s">
        <v>83</v>
      </c>
      <c r="BE4" s="40" t="s">
        <v>84</v>
      </c>
      <c r="BF4" s="39"/>
      <c r="BG4" s="39"/>
      <c r="BH4" s="39"/>
      <c r="BI4" s="28"/>
      <c r="BJ4" s="28"/>
      <c r="BK4" s="28"/>
      <c r="BL4" s="41" t="s">
        <v>85</v>
      </c>
      <c r="BM4" t="s">
        <v>107</v>
      </c>
      <c r="BN4" t="s">
        <v>108</v>
      </c>
      <c r="BO4" s="28">
        <f>ROUND((((AW4*AZ4)+(BN4*BM4))/(AW4+BN4)),5)</f>
        <v>872.33431</v>
      </c>
      <c r="BP4" s="39">
        <f>BN4+AW4</f>
        <v>4</v>
      </c>
      <c r="BQ4" s="42">
        <v>88363222</v>
      </c>
    </row>
    <row r="5" spans="1:69">
      <c r="A5" s="27"/>
      <c r="B5" s="29"/>
      <c r="C5" s="29"/>
      <c r="D5" s="30" t="s">
        <v>88</v>
      </c>
      <c r="E5" s="30"/>
      <c r="F5" s="30"/>
      <c r="G5" s="30"/>
      <c r="H5" s="31">
        <f>SUM(H4:H4)</f>
        <v>400</v>
      </c>
      <c r="I5" s="27"/>
      <c r="J5" s="27"/>
      <c r="K5" s="27"/>
      <c r="L5" s="27"/>
      <c r="M5" s="27"/>
      <c r="N5" s="27"/>
      <c r="O5" s="27"/>
      <c r="P5" s="27"/>
      <c r="Q5" s="27"/>
      <c r="R5" s="31">
        <f t="shared" ref="R5:AK5" si="0">SUM(R4:R4)</f>
        <v>15.84</v>
      </c>
      <c r="S5" s="31">
        <f t="shared" si="0"/>
        <v>384.16</v>
      </c>
      <c r="T5" s="30"/>
      <c r="U5" s="30"/>
      <c r="V5" s="31">
        <f t="shared" si="0"/>
        <v>0</v>
      </c>
      <c r="W5" s="31">
        <f t="shared" si="0"/>
        <v>0</v>
      </c>
      <c r="X5" s="31">
        <f t="shared" si="0"/>
        <v>69.15</v>
      </c>
      <c r="Y5" s="31">
        <f t="shared" si="0"/>
        <v>0</v>
      </c>
      <c r="Z5" s="31">
        <f t="shared" si="0"/>
        <v>0</v>
      </c>
      <c r="AA5" s="31">
        <f t="shared" si="0"/>
        <v>0</v>
      </c>
      <c r="AB5" s="31">
        <f t="shared" si="0"/>
        <v>69.15</v>
      </c>
      <c r="AC5" s="31">
        <f t="shared" si="0"/>
        <v>453.31</v>
      </c>
      <c r="AD5" s="31">
        <f t="shared" si="0"/>
        <v>120</v>
      </c>
      <c r="AE5" s="31">
        <f t="shared" si="0"/>
        <v>0</v>
      </c>
      <c r="AF5" s="31">
        <f t="shared" si="0"/>
        <v>0</v>
      </c>
      <c r="AG5" s="31">
        <f t="shared" si="0"/>
        <v>0</v>
      </c>
      <c r="AH5" s="31">
        <f t="shared" si="0"/>
        <v>0</v>
      </c>
      <c r="AI5" s="31">
        <f t="shared" si="0"/>
        <v>0</v>
      </c>
      <c r="AJ5" s="31">
        <f t="shared" si="0"/>
        <v>0</v>
      </c>
      <c r="AK5" s="31">
        <f t="shared" si="0"/>
        <v>0</v>
      </c>
      <c r="AL5" s="36"/>
      <c r="AM5" s="36"/>
      <c r="AN5" s="36"/>
      <c r="AO5" s="36"/>
      <c r="AP5" s="36"/>
      <c r="AQ5" s="36"/>
      <c r="AR5" s="36"/>
      <c r="AS5" s="27"/>
      <c r="AT5" s="27"/>
      <c r="AU5" s="29"/>
      <c r="AV5" s="29"/>
      <c r="AW5" s="27"/>
      <c r="AX5" s="27"/>
      <c r="AY5" s="27"/>
      <c r="AZ5" s="27"/>
      <c r="BA5" s="27"/>
      <c r="BB5" s="27"/>
      <c r="BC5" s="27"/>
      <c r="BD5" s="27"/>
      <c r="BE5" s="27"/>
      <c r="BF5" s="27"/>
      <c r="BG5" s="27"/>
      <c r="BH5" s="27"/>
      <c r="BI5" s="27"/>
      <c r="BJ5" s="27"/>
      <c r="BK5" s="27"/>
      <c r="BL5" s="27"/>
      <c r="BM5" s="27"/>
      <c r="BN5" s="27"/>
      <c r="BO5" s="27"/>
      <c r="BP5" s="29"/>
      <c r="BQ5" s="29"/>
    </row>
  </sheetData>
  <mergeCells count="1">
    <mergeCell ref="A2:B2"/>
  </mergeCell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Q5"/>
  <sheetViews>
    <sheetView topLeftCell="Q1" workbookViewId="0">
      <selection activeCell="U4" sqref="U4:AB4"/>
    </sheetView>
  </sheetViews>
  <sheetFormatPr defaultColWidth="8.7047619047619" defaultRowHeight="15" outlineLevelRow="4"/>
  <cols>
    <col min="1" max="1" width="5.14285714285714" customWidth="1"/>
    <col min="2" max="3" width="25.2857142857143" customWidth="1"/>
    <col min="4" max="4" width="79.4285714285714" customWidth="1"/>
    <col min="5" max="5" width="11.5714285714286" customWidth="1"/>
    <col min="6" max="6" width="5.14285714285714" customWidth="1"/>
    <col min="7" max="7" width="11" customWidth="1"/>
    <col min="8" max="8" width="12.7142857142857" customWidth="1"/>
    <col min="9" max="9" width="5.85714285714286" customWidth="1"/>
    <col min="10" max="10" width="6" customWidth="1"/>
    <col min="11" max="11" width="5.85714285714286" customWidth="1"/>
    <col min="12" max="12" width="14.2857142857143" customWidth="1"/>
    <col min="13" max="13" width="9.42857142857143" customWidth="1"/>
    <col min="14" max="14" width="14.4285714285714" customWidth="1"/>
    <col min="15" max="15" width="15.5714285714286" customWidth="1"/>
    <col min="16" max="16" width="14.4285714285714" customWidth="1"/>
    <col min="17" max="17" width="39.4285714285714" customWidth="1"/>
    <col min="18" max="18" width="11.7142857142857" customWidth="1"/>
    <col min="19" max="19" width="11.8571428571429" customWidth="1"/>
    <col min="20" max="20" width="6.42857142857143" customWidth="1"/>
    <col min="21" max="22" width="6.57142857142857" customWidth="1"/>
    <col min="23" max="23" width="37.1428571428571" customWidth="1"/>
    <col min="24" max="25" width="8" customWidth="1"/>
    <col min="26" max="26" width="7.71428571428571" customWidth="1"/>
    <col min="27" max="27" width="6.28571428571429" customWidth="1"/>
    <col min="28" max="28" width="9.28571428571429" customWidth="1"/>
    <col min="29" max="29" width="9.71428571428571" customWidth="1"/>
    <col min="30" max="30" width="12.8571428571429" customWidth="1"/>
    <col min="31" max="31" width="16.1428571428571" customWidth="1"/>
    <col min="32" max="32" width="15.4285714285714" customWidth="1"/>
    <col min="33" max="33" width="24.5714285714286" customWidth="1"/>
    <col min="34" max="34" width="8.57142857142857" customWidth="1"/>
    <col min="35" max="35" width="14.7142857142857" customWidth="1"/>
    <col min="36" max="36" width="18.5714285714286" customWidth="1"/>
    <col min="37" max="37" width="14.1428571428571" customWidth="1"/>
    <col min="38" max="38" width="14.7142857142857" customWidth="1"/>
    <col min="39" max="39" width="17.4285714285714" customWidth="1"/>
    <col min="40" max="40" width="22" customWidth="1"/>
    <col min="41" max="41" width="17.5714285714286" customWidth="1"/>
    <col min="42" max="42" width="25.2857142857143" customWidth="1"/>
    <col min="43" max="43" width="13" customWidth="1"/>
    <col min="44" max="44" width="23.7142857142857" customWidth="1"/>
    <col min="45" max="45" width="10" customWidth="1"/>
    <col min="46" max="46" width="13" customWidth="1"/>
    <col min="47" max="47" width="15.5714285714286" customWidth="1"/>
    <col min="48" max="48" width="21.1428571428571" customWidth="1"/>
    <col min="49" max="49" width="11.5714285714286" customWidth="1"/>
    <col min="50" max="50" width="16.7142857142857" customWidth="1"/>
    <col min="51" max="51" width="14" customWidth="1"/>
    <col min="52" max="52" width="19.4285714285714" customWidth="1"/>
    <col min="53" max="53" width="18.8571428571429" customWidth="1"/>
    <col min="54" max="54" width="23.2857142857143" customWidth="1"/>
    <col min="55" max="55" width="15.5714285714286" customWidth="1"/>
    <col min="56" max="56" width="14.2857142857143" customWidth="1"/>
    <col min="57" max="57" width="17" customWidth="1"/>
    <col min="58" max="58" width="16.2857142857143" customWidth="1"/>
    <col min="59" max="59" width="13.5714285714286" customWidth="1"/>
    <col min="60" max="61" width="12.7142857142857" customWidth="1"/>
    <col min="62" max="62" width="21.8571428571429" customWidth="1"/>
    <col min="63" max="63" width="30.5714285714286" customWidth="1"/>
    <col min="64" max="64" width="10" customWidth="1"/>
    <col min="65" max="65" width="42.5714285714286" customWidth="1"/>
    <col min="66" max="66" width="38.1428571428571" customWidth="1"/>
    <col min="67" max="67" width="19.4285714285714" customWidth="1"/>
    <col min="68" max="68" width="35.4285714285714" customWidth="1"/>
    <col min="69" max="69" width="9.57142857142857" customWidth="1"/>
  </cols>
  <sheetData>
    <row r="1" spans="1:69">
      <c r="A1" s="1" t="s">
        <v>0</v>
      </c>
      <c r="B1" s="2"/>
      <c r="C1" s="2"/>
      <c r="D1" s="2"/>
      <c r="E1" s="2"/>
      <c r="F1" s="2"/>
      <c r="G1" s="2"/>
      <c r="H1" s="1"/>
      <c r="I1" s="10"/>
      <c r="J1" s="10"/>
      <c r="K1" s="10"/>
      <c r="L1" s="10"/>
      <c r="M1" s="10"/>
      <c r="N1" s="10"/>
      <c r="O1" s="10"/>
      <c r="P1" s="10"/>
      <c r="Q1" s="10"/>
      <c r="R1" s="1"/>
      <c r="S1" s="1"/>
      <c r="T1" s="1"/>
      <c r="U1" s="1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23"/>
      <c r="BQ1" s="23"/>
    </row>
    <row r="2" spans="1:69">
      <c r="A2" s="3" t="s">
        <v>1</v>
      </c>
      <c r="B2" s="3"/>
      <c r="C2" s="24">
        <v>2</v>
      </c>
      <c r="D2" s="4" t="s">
        <v>2</v>
      </c>
      <c r="E2" s="24"/>
      <c r="F2" s="24"/>
      <c r="G2" s="24"/>
      <c r="H2" s="25"/>
      <c r="I2" s="27" t="s">
        <v>3</v>
      </c>
      <c r="J2" s="27" t="s">
        <v>4</v>
      </c>
      <c r="K2" s="27"/>
      <c r="L2" s="27" t="s">
        <v>5</v>
      </c>
      <c r="M2" s="27">
        <v>1</v>
      </c>
      <c r="N2" s="27"/>
      <c r="O2" s="27" t="s">
        <v>6</v>
      </c>
      <c r="P2" s="27">
        <v>2</v>
      </c>
      <c r="Q2" s="27" t="s">
        <v>7</v>
      </c>
      <c r="R2" s="25"/>
      <c r="S2" s="25"/>
      <c r="T2" s="25"/>
      <c r="U2" s="25"/>
      <c r="V2" s="25">
        <v>1</v>
      </c>
      <c r="W2" s="25" t="s">
        <v>8</v>
      </c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  <c r="AR2" s="27"/>
      <c r="AS2" s="27"/>
      <c r="AT2" s="27"/>
      <c r="AU2" s="27"/>
      <c r="AV2" s="27"/>
      <c r="AW2" s="27"/>
      <c r="AX2" s="27"/>
      <c r="AY2" s="27"/>
      <c r="AZ2" s="27"/>
      <c r="BA2" s="27"/>
      <c r="BB2" s="27"/>
      <c r="BC2" s="27"/>
      <c r="BD2" s="27"/>
      <c r="BE2" s="27"/>
      <c r="BF2" s="27"/>
      <c r="BG2" s="27"/>
      <c r="BH2" s="27"/>
      <c r="BI2" s="27"/>
      <c r="BJ2" s="27"/>
      <c r="BK2" s="27"/>
      <c r="BL2" s="27"/>
      <c r="BM2" s="27"/>
      <c r="BN2" s="27"/>
      <c r="BO2" s="27"/>
      <c r="BP2" s="29"/>
      <c r="BQ2" s="29"/>
    </row>
    <row r="3" ht="15.75" spans="1:69">
      <c r="A3" s="26" t="s">
        <v>9</v>
      </c>
      <c r="B3" s="26" t="s">
        <v>10</v>
      </c>
      <c r="C3" s="26" t="s">
        <v>11</v>
      </c>
      <c r="D3" s="26" t="s">
        <v>12</v>
      </c>
      <c r="E3" s="26" t="s">
        <v>13</v>
      </c>
      <c r="F3" s="26" t="s">
        <v>14</v>
      </c>
      <c r="G3" s="26" t="s">
        <v>15</v>
      </c>
      <c r="H3" s="26" t="s">
        <v>16</v>
      </c>
      <c r="I3" s="32" t="s">
        <v>17</v>
      </c>
      <c r="J3" s="32" t="s">
        <v>19</v>
      </c>
      <c r="K3" s="32" t="s">
        <v>18</v>
      </c>
      <c r="L3" s="33" t="s">
        <v>20</v>
      </c>
      <c r="M3" s="33" t="s">
        <v>21</v>
      </c>
      <c r="N3" s="33" t="s">
        <v>24</v>
      </c>
      <c r="O3" s="33" t="s">
        <v>25</v>
      </c>
      <c r="P3" s="33" t="s">
        <v>95</v>
      </c>
      <c r="Q3" s="33" t="s">
        <v>23</v>
      </c>
      <c r="R3" s="32" t="s">
        <v>26</v>
      </c>
      <c r="S3" s="26" t="s">
        <v>96</v>
      </c>
      <c r="T3" s="26" t="s">
        <v>28</v>
      </c>
      <c r="U3" s="34" t="s">
        <v>97</v>
      </c>
      <c r="V3" s="34" t="s">
        <v>30</v>
      </c>
      <c r="W3" s="34" t="s">
        <v>31</v>
      </c>
      <c r="X3" s="34" t="s">
        <v>32</v>
      </c>
      <c r="Y3" s="34" t="s">
        <v>33</v>
      </c>
      <c r="Z3" s="34" t="s">
        <v>34</v>
      </c>
      <c r="AA3" s="34" t="s">
        <v>35</v>
      </c>
      <c r="AB3" s="34" t="s">
        <v>36</v>
      </c>
      <c r="AC3" s="35" t="s">
        <v>37</v>
      </c>
      <c r="AD3" s="35" t="s">
        <v>38</v>
      </c>
      <c r="AE3" s="35" t="s">
        <v>39</v>
      </c>
      <c r="AF3" s="35" t="s">
        <v>40</v>
      </c>
      <c r="AG3" s="35" t="s">
        <v>41</v>
      </c>
      <c r="AH3" s="35" t="s">
        <v>42</v>
      </c>
      <c r="AI3" s="35" t="s">
        <v>43</v>
      </c>
      <c r="AJ3" s="35" t="s">
        <v>44</v>
      </c>
      <c r="AK3" s="35" t="s">
        <v>45</v>
      </c>
      <c r="AL3" s="35" t="s">
        <v>46</v>
      </c>
      <c r="AM3" s="35" t="s">
        <v>47</v>
      </c>
      <c r="AN3" s="35" t="s">
        <v>48</v>
      </c>
      <c r="AO3" s="35" t="s">
        <v>49</v>
      </c>
      <c r="AP3" s="35" t="s">
        <v>50</v>
      </c>
      <c r="AQ3" s="35" t="s">
        <v>51</v>
      </c>
      <c r="AR3" s="37" t="s">
        <v>98</v>
      </c>
      <c r="AS3" s="26" t="s">
        <v>53</v>
      </c>
      <c r="AT3" s="26" t="s">
        <v>51</v>
      </c>
      <c r="AU3" s="38" t="s">
        <v>54</v>
      </c>
      <c r="AV3" s="38" t="s">
        <v>55</v>
      </c>
      <c r="AW3" s="38" t="s">
        <v>56</v>
      </c>
      <c r="AX3" s="38" t="s">
        <v>57</v>
      </c>
      <c r="AY3" s="38" t="s">
        <v>58</v>
      </c>
      <c r="AZ3" s="38" t="s">
        <v>59</v>
      </c>
      <c r="BA3" s="38" t="s">
        <v>60</v>
      </c>
      <c r="BB3" s="38" t="s">
        <v>61</v>
      </c>
      <c r="BC3" s="38" t="s">
        <v>62</v>
      </c>
      <c r="BD3" s="38" t="s">
        <v>63</v>
      </c>
      <c r="BE3" s="38" t="s">
        <v>64</v>
      </c>
      <c r="BF3" s="38" t="s">
        <v>65</v>
      </c>
      <c r="BG3" s="38" t="s">
        <v>66</v>
      </c>
      <c r="BH3" s="38" t="s">
        <v>67</v>
      </c>
      <c r="BI3" s="38" t="s">
        <v>68</v>
      </c>
      <c r="BJ3" s="38" t="s">
        <v>69</v>
      </c>
      <c r="BK3" s="38" t="s">
        <v>70</v>
      </c>
      <c r="BL3" s="38" t="s">
        <v>71</v>
      </c>
      <c r="BM3" s="38" t="s">
        <v>72</v>
      </c>
      <c r="BN3" s="38" t="s">
        <v>73</v>
      </c>
      <c r="BO3" s="38" t="s">
        <v>59</v>
      </c>
      <c r="BP3" s="38" t="s">
        <v>74</v>
      </c>
      <c r="BQ3" s="38" t="s">
        <v>28</v>
      </c>
    </row>
    <row r="4" ht="15.75" spans="1:69">
      <c r="A4" s="27">
        <v>1</v>
      </c>
      <c r="B4" s="27" t="s">
        <v>109</v>
      </c>
      <c r="C4" s="27" t="s">
        <v>109</v>
      </c>
      <c r="D4" s="27" t="s">
        <v>76</v>
      </c>
      <c r="E4" s="27" t="s">
        <v>76</v>
      </c>
      <c r="F4" s="28">
        <v>4</v>
      </c>
      <c r="G4" s="28">
        <v>100</v>
      </c>
      <c r="H4" s="28">
        <f>F4*G4</f>
        <v>400</v>
      </c>
      <c r="I4" s="29">
        <v>0</v>
      </c>
      <c r="J4" s="28">
        <v>2</v>
      </c>
      <c r="K4" s="28">
        <v>2</v>
      </c>
      <c r="L4" s="28">
        <f>H4</f>
        <v>400</v>
      </c>
      <c r="M4" s="28">
        <f>ROUND(L4*I4%,2)</f>
        <v>0</v>
      </c>
      <c r="N4" s="28">
        <f>H4-M4</f>
        <v>400</v>
      </c>
      <c r="O4" s="28">
        <f>ROUND(N4*J4%,2)</f>
        <v>8</v>
      </c>
      <c r="P4" s="28">
        <f>ROUND(N4-O4,2)</f>
        <v>392</v>
      </c>
      <c r="Q4" s="28">
        <f>ROUND(P4*K4%,2)</f>
        <v>7.84</v>
      </c>
      <c r="R4" s="28">
        <f>M4+O4+Q4</f>
        <v>15.84</v>
      </c>
      <c r="S4" s="28">
        <f>(H4-R4)</f>
        <v>384.16</v>
      </c>
      <c r="T4" s="28" t="s">
        <v>77</v>
      </c>
      <c r="U4" s="15">
        <v>18</v>
      </c>
      <c r="V4" s="15">
        <f>IF(OR($C$2=1,$C$2=4),ROUND((((S4*U4)/100)/2),2),0)</f>
        <v>0</v>
      </c>
      <c r="W4" s="15">
        <f>IF($C$2=1,ROUND((((S4*U4)/100)/2),2),0)</f>
        <v>0</v>
      </c>
      <c r="X4" s="15">
        <f>IF($C$2=2,ROUND(((S4*U4)/100),2),0)</f>
        <v>69.15</v>
      </c>
      <c r="Y4" s="15">
        <f>IF($C$2=4,ROUND((((S4*U4)/100)/2),2),0)</f>
        <v>0</v>
      </c>
      <c r="Z4" s="15">
        <v>0</v>
      </c>
      <c r="AA4" s="15">
        <f>IF($C2=3,0,(S4*Z4)/100)</f>
        <v>0</v>
      </c>
      <c r="AB4" s="15">
        <f>V4+W4+X4+Y4+AA4</f>
        <v>69.15</v>
      </c>
      <c r="AC4" s="28">
        <f>IF($V2=1,S4+AB4,S4)</f>
        <v>453.31</v>
      </c>
      <c r="AD4" s="28">
        <v>120</v>
      </c>
      <c r="AE4" s="28">
        <f>IF($P$2=1,(S4/$S$4)*$E$35,AD4/$AD$4*$E$35)</f>
        <v>0</v>
      </c>
      <c r="AF4" s="28"/>
      <c r="AG4" s="28">
        <f>IF($P$2=1,(S4/$S$4)*$E$37,AD4/$AD$4*$E$37)</f>
        <v>0</v>
      </c>
      <c r="AH4" s="28">
        <f>IF($P$2=1,(S4/$S$4)*$E$37,AD4/$AD$4*$E$37)</f>
        <v>0</v>
      </c>
      <c r="AI4" s="28">
        <f>S4*$M$21</f>
        <v>0</v>
      </c>
      <c r="AJ4" s="28">
        <f>IF($C$2=3,0,AG4+AH4)</f>
        <v>0</v>
      </c>
      <c r="AK4" s="28">
        <f>IF($C$2=3,AE4+AG4+AH4,0)</f>
        <v>0</v>
      </c>
      <c r="AL4" s="28">
        <v>1</v>
      </c>
      <c r="AM4" s="28">
        <f>F4/AL4</f>
        <v>4</v>
      </c>
      <c r="AN4" s="28">
        <f>AI4/AM4</f>
        <v>0</v>
      </c>
      <c r="AO4" s="28">
        <f>AJ4/AM4</f>
        <v>0</v>
      </c>
      <c r="AP4" s="28">
        <f>AK4/AM4</f>
        <v>0</v>
      </c>
      <c r="AQ4" s="28" t="s">
        <v>76</v>
      </c>
      <c r="AR4" s="28">
        <f>AN4+AO4+AP4</f>
        <v>0</v>
      </c>
      <c r="AS4" s="28" t="s">
        <v>78</v>
      </c>
      <c r="AT4" s="28" t="s">
        <v>76</v>
      </c>
      <c r="AU4" t="s">
        <v>110</v>
      </c>
      <c r="AV4" t="s">
        <v>111</v>
      </c>
      <c r="AW4" s="28">
        <f>AM4</f>
        <v>4</v>
      </c>
      <c r="AX4" s="28">
        <f>AR4</f>
        <v>0</v>
      </c>
      <c r="AY4" s="28">
        <f>AU4+AW4</f>
        <v>4</v>
      </c>
      <c r="AZ4" s="28">
        <f>ROUND(((AU4*AV4)+(AW4*AX4))/(AU4+AW4),5)</f>
        <v>1407.39788</v>
      </c>
      <c r="BA4" s="39"/>
      <c r="BB4" s="39" t="s">
        <v>81</v>
      </c>
      <c r="BC4" s="39" t="s">
        <v>82</v>
      </c>
      <c r="BD4" s="40" t="s">
        <v>83</v>
      </c>
      <c r="BE4" s="40" t="s">
        <v>84</v>
      </c>
      <c r="BF4" s="39"/>
      <c r="BG4" s="39"/>
      <c r="BH4" s="39"/>
      <c r="BI4" s="28"/>
      <c r="BJ4" s="28"/>
      <c r="BK4" s="28"/>
      <c r="BL4" s="41" t="s">
        <v>85</v>
      </c>
      <c r="BM4" t="s">
        <v>112</v>
      </c>
      <c r="BN4" t="s">
        <v>113</v>
      </c>
      <c r="BO4" s="28">
        <f>ROUND((((AW4*AZ4)+(BN4*BM4))/(AW4+BN4)),5)</f>
        <v>1631.98898</v>
      </c>
      <c r="BP4" s="39">
        <f>BN4+AW4</f>
        <v>4</v>
      </c>
      <c r="BQ4" s="42">
        <v>88363222</v>
      </c>
    </row>
    <row r="5" spans="1:69">
      <c r="A5" s="27"/>
      <c r="B5" s="29"/>
      <c r="C5" s="29"/>
      <c r="D5" s="30" t="s">
        <v>88</v>
      </c>
      <c r="E5" s="30"/>
      <c r="F5" s="30"/>
      <c r="G5" s="30"/>
      <c r="H5" s="31">
        <f>SUM(H4:H4)</f>
        <v>400</v>
      </c>
      <c r="I5" s="27"/>
      <c r="J5" s="27"/>
      <c r="K5" s="27"/>
      <c r="L5" s="27"/>
      <c r="M5" s="27"/>
      <c r="N5" s="27"/>
      <c r="O5" s="27"/>
      <c r="P5" s="27"/>
      <c r="Q5" s="27"/>
      <c r="R5" s="31">
        <f t="shared" ref="R5:X5" si="0">SUM(R4:R4)</f>
        <v>15.84</v>
      </c>
      <c r="S5" s="31">
        <f t="shared" si="0"/>
        <v>384.16</v>
      </c>
      <c r="T5" s="30"/>
      <c r="U5" s="30"/>
      <c r="V5" s="31">
        <f t="shared" si="0"/>
        <v>0</v>
      </c>
      <c r="W5" s="31">
        <f t="shared" si="0"/>
        <v>0</v>
      </c>
      <c r="X5" s="31">
        <f t="shared" si="0"/>
        <v>69.15</v>
      </c>
      <c r="Y5" s="43"/>
      <c r="Z5" s="43"/>
      <c r="AA5" s="43"/>
      <c r="AB5" s="31">
        <f t="shared" ref="AB5:AE5" si="1">SUM(AB4:AB4)</f>
        <v>69.15</v>
      </c>
      <c r="AC5" s="31">
        <f t="shared" si="1"/>
        <v>453.31</v>
      </c>
      <c r="AD5" s="31">
        <f t="shared" si="1"/>
        <v>120</v>
      </c>
      <c r="AE5" s="31">
        <f t="shared" si="1"/>
        <v>0</v>
      </c>
      <c r="AF5" s="36"/>
      <c r="AG5" s="31">
        <f t="shared" ref="AG5:AK5" si="2">SUM(AG4:AG4)</f>
        <v>0</v>
      </c>
      <c r="AH5" s="31">
        <f t="shared" si="2"/>
        <v>0</v>
      </c>
      <c r="AI5" s="31">
        <f t="shared" si="2"/>
        <v>0</v>
      </c>
      <c r="AJ5" s="31">
        <f t="shared" si="2"/>
        <v>0</v>
      </c>
      <c r="AK5" s="31">
        <f t="shared" si="2"/>
        <v>0</v>
      </c>
      <c r="AL5" s="36"/>
      <c r="AM5" s="36"/>
      <c r="AN5" s="36"/>
      <c r="AO5" s="36"/>
      <c r="AP5" s="36"/>
      <c r="AQ5" s="36"/>
      <c r="AR5" s="36"/>
      <c r="AS5" s="27"/>
      <c r="AT5" s="27"/>
      <c r="AU5" s="29"/>
      <c r="AV5" s="29"/>
      <c r="AW5" s="27"/>
      <c r="AX5" s="27"/>
      <c r="AY5" s="27"/>
      <c r="AZ5" s="27"/>
      <c r="BA5" s="27"/>
      <c r="BB5" s="27"/>
      <c r="BC5" s="27"/>
      <c r="BD5" s="27"/>
      <c r="BE5" s="27"/>
      <c r="BF5" s="27"/>
      <c r="BG5" s="27"/>
      <c r="BH5" s="27"/>
      <c r="BI5" s="27"/>
      <c r="BJ5" s="27"/>
      <c r="BK5" s="27"/>
      <c r="BL5" s="27"/>
      <c r="BM5" s="27"/>
      <c r="BN5" s="27"/>
      <c r="BO5" s="27"/>
      <c r="BP5" s="29"/>
      <c r="BQ5" s="29"/>
    </row>
  </sheetData>
  <mergeCells count="1">
    <mergeCell ref="A2:B2"/>
  </mergeCells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Q5"/>
  <sheetViews>
    <sheetView topLeftCell="R1" workbookViewId="0">
      <selection activeCell="U4" sqref="U4:AB4"/>
    </sheetView>
  </sheetViews>
  <sheetFormatPr defaultColWidth="8.7047619047619" defaultRowHeight="15" outlineLevelRow="4"/>
  <cols>
    <col min="1" max="1" width="5.14285714285714" customWidth="1"/>
    <col min="2" max="3" width="25.5714285714286" customWidth="1"/>
    <col min="4" max="4" width="79.4285714285714" customWidth="1"/>
    <col min="5" max="5" width="11.5714285714286" customWidth="1"/>
    <col min="6" max="6" width="5.14285714285714" customWidth="1"/>
    <col min="7" max="7" width="11" customWidth="1"/>
    <col min="8" max="8" width="12.7142857142857" customWidth="1"/>
    <col min="9" max="9" width="5.85714285714286" customWidth="1"/>
    <col min="10" max="10" width="6" customWidth="1"/>
    <col min="11" max="11" width="5.85714285714286" customWidth="1"/>
    <col min="12" max="12" width="14.2857142857143" customWidth="1"/>
    <col min="13" max="13" width="9.42857142857143" customWidth="1"/>
    <col min="14" max="14" width="14.4285714285714" customWidth="1"/>
    <col min="15" max="15" width="15.5714285714286" customWidth="1"/>
    <col min="16" max="16" width="14.4285714285714" customWidth="1"/>
    <col min="17" max="17" width="39.4285714285714" customWidth="1"/>
    <col min="18" max="18" width="11.7142857142857" customWidth="1"/>
    <col min="19" max="19" width="11.8571428571429" customWidth="1"/>
    <col min="20" max="20" width="6.42857142857143" customWidth="1"/>
    <col min="21" max="22" width="6.57142857142857" customWidth="1"/>
    <col min="23" max="23" width="37.1428571428571" customWidth="1"/>
    <col min="24" max="25" width="8" customWidth="1"/>
    <col min="26" max="26" width="7.71428571428571" customWidth="1"/>
    <col min="27" max="27" width="6.28571428571429" customWidth="1"/>
    <col min="28" max="28" width="9.28571428571429" customWidth="1"/>
    <col min="29" max="29" width="9.71428571428571" customWidth="1"/>
    <col min="30" max="30" width="12.8571428571429" customWidth="1"/>
    <col min="31" max="31" width="16.1428571428571" customWidth="1"/>
    <col min="32" max="32" width="15.4285714285714" customWidth="1"/>
    <col min="33" max="33" width="24.5714285714286" customWidth="1"/>
    <col min="34" max="34" width="8.57142857142857" customWidth="1"/>
    <col min="35" max="35" width="14.7142857142857" customWidth="1"/>
    <col min="36" max="36" width="18.5714285714286" customWidth="1"/>
    <col min="37" max="37" width="14.1428571428571" customWidth="1"/>
    <col min="38" max="38" width="14.7142857142857" customWidth="1"/>
    <col min="39" max="39" width="17.4285714285714" customWidth="1"/>
    <col min="40" max="40" width="22" customWidth="1"/>
    <col min="41" max="41" width="17.5714285714286" customWidth="1"/>
    <col min="42" max="42" width="25.2857142857143" customWidth="1"/>
    <col min="43" max="43" width="13" customWidth="1"/>
    <col min="44" max="44" width="23.7142857142857" customWidth="1"/>
    <col min="45" max="45" width="10" customWidth="1"/>
    <col min="46" max="46" width="13" customWidth="1"/>
    <col min="47" max="47" width="15.5714285714286" customWidth="1"/>
    <col min="48" max="48" width="21.1428571428571" customWidth="1"/>
    <col min="49" max="49" width="11.5714285714286" customWidth="1"/>
    <col min="50" max="50" width="16.7142857142857" customWidth="1"/>
    <col min="51" max="51" width="14" customWidth="1"/>
    <col min="52" max="52" width="19.4285714285714" customWidth="1"/>
    <col min="53" max="53" width="18.8571428571429" customWidth="1"/>
    <col min="54" max="54" width="23.2857142857143" customWidth="1"/>
    <col min="55" max="55" width="15.5714285714286" customWidth="1"/>
    <col min="56" max="56" width="14.2857142857143" customWidth="1"/>
    <col min="57" max="57" width="17" customWidth="1"/>
    <col min="58" max="58" width="16.2857142857143" customWidth="1"/>
    <col min="59" max="59" width="13.5714285714286" customWidth="1"/>
    <col min="60" max="61" width="12.7142857142857" customWidth="1"/>
    <col min="62" max="62" width="21.8571428571429" customWidth="1"/>
    <col min="63" max="63" width="30.5714285714286" customWidth="1"/>
    <col min="64" max="64" width="10" customWidth="1"/>
    <col min="65" max="65" width="42.5714285714286" customWidth="1"/>
    <col min="66" max="66" width="38.1428571428571" customWidth="1"/>
    <col min="67" max="67" width="19.4285714285714" customWidth="1"/>
    <col min="68" max="68" width="35.4285714285714" customWidth="1"/>
    <col min="69" max="69" width="9.57142857142857" customWidth="1"/>
  </cols>
  <sheetData>
    <row r="1" spans="1:69">
      <c r="A1" s="1" t="s">
        <v>0</v>
      </c>
      <c r="B1" s="2"/>
      <c r="C1" s="2"/>
      <c r="D1" s="2"/>
      <c r="E1" s="2"/>
      <c r="F1" s="2"/>
      <c r="G1" s="2"/>
      <c r="H1" s="1"/>
      <c r="I1" s="10"/>
      <c r="J1" s="10"/>
      <c r="K1" s="10"/>
      <c r="L1" s="10"/>
      <c r="M1" s="10"/>
      <c r="N1" s="10"/>
      <c r="O1" s="10"/>
      <c r="P1" s="10"/>
      <c r="Q1" s="10"/>
      <c r="R1" s="1"/>
      <c r="S1" s="1"/>
      <c r="T1" s="1"/>
      <c r="U1" s="1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23"/>
      <c r="BQ1" s="23"/>
    </row>
    <row r="2" spans="1:69">
      <c r="A2" s="3" t="s">
        <v>1</v>
      </c>
      <c r="B2" s="3"/>
      <c r="C2" s="24">
        <v>2</v>
      </c>
      <c r="D2" s="4" t="s">
        <v>2</v>
      </c>
      <c r="E2" s="24"/>
      <c r="F2" s="24"/>
      <c r="G2" s="24"/>
      <c r="H2" s="25"/>
      <c r="I2" s="27" t="s">
        <v>3</v>
      </c>
      <c r="J2" s="27" t="s">
        <v>4</v>
      </c>
      <c r="K2" s="27"/>
      <c r="L2" s="27" t="s">
        <v>5</v>
      </c>
      <c r="M2" s="27">
        <v>1</v>
      </c>
      <c r="N2" s="27"/>
      <c r="O2" s="27" t="s">
        <v>6</v>
      </c>
      <c r="P2" s="27">
        <v>2</v>
      </c>
      <c r="Q2" s="27" t="s">
        <v>7</v>
      </c>
      <c r="R2" s="25"/>
      <c r="S2" s="25"/>
      <c r="T2" s="25"/>
      <c r="U2" s="25"/>
      <c r="V2" s="25">
        <v>1</v>
      </c>
      <c r="W2" s="25" t="s">
        <v>8</v>
      </c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  <c r="AR2" s="27"/>
      <c r="AS2" s="27"/>
      <c r="AT2" s="27"/>
      <c r="AU2" s="27"/>
      <c r="AV2" s="27"/>
      <c r="AW2" s="27"/>
      <c r="AX2" s="27"/>
      <c r="AY2" s="27"/>
      <c r="AZ2" s="27"/>
      <c r="BA2" s="27"/>
      <c r="BB2" s="27"/>
      <c r="BC2" s="27"/>
      <c r="BD2" s="27"/>
      <c r="BE2" s="27"/>
      <c r="BF2" s="27"/>
      <c r="BG2" s="27"/>
      <c r="BH2" s="27"/>
      <c r="BI2" s="27"/>
      <c r="BJ2" s="27"/>
      <c r="BK2" s="27"/>
      <c r="BL2" s="27"/>
      <c r="BM2" s="27"/>
      <c r="BN2" s="27"/>
      <c r="BO2" s="27"/>
      <c r="BP2" s="29"/>
      <c r="BQ2" s="29"/>
    </row>
    <row r="3" ht="15.75" spans="1:69">
      <c r="A3" s="26" t="s">
        <v>9</v>
      </c>
      <c r="B3" s="26" t="s">
        <v>10</v>
      </c>
      <c r="C3" s="26" t="s">
        <v>11</v>
      </c>
      <c r="D3" s="26" t="s">
        <v>12</v>
      </c>
      <c r="E3" s="26" t="s">
        <v>13</v>
      </c>
      <c r="F3" s="26" t="s">
        <v>14</v>
      </c>
      <c r="G3" s="26" t="s">
        <v>15</v>
      </c>
      <c r="H3" s="26" t="s">
        <v>16</v>
      </c>
      <c r="I3" s="32" t="s">
        <v>17</v>
      </c>
      <c r="J3" s="32" t="s">
        <v>19</v>
      </c>
      <c r="K3" s="32" t="s">
        <v>18</v>
      </c>
      <c r="L3" s="33" t="s">
        <v>20</v>
      </c>
      <c r="M3" s="33" t="s">
        <v>21</v>
      </c>
      <c r="N3" s="33" t="s">
        <v>24</v>
      </c>
      <c r="O3" s="33" t="s">
        <v>25</v>
      </c>
      <c r="P3" s="33" t="s">
        <v>95</v>
      </c>
      <c r="Q3" s="33" t="s">
        <v>23</v>
      </c>
      <c r="R3" s="32" t="s">
        <v>26</v>
      </c>
      <c r="S3" s="26" t="s">
        <v>96</v>
      </c>
      <c r="T3" s="26" t="s">
        <v>28</v>
      </c>
      <c r="U3" s="34" t="s">
        <v>97</v>
      </c>
      <c r="V3" s="34" t="s">
        <v>30</v>
      </c>
      <c r="W3" s="34" t="s">
        <v>31</v>
      </c>
      <c r="X3" s="34" t="s">
        <v>32</v>
      </c>
      <c r="Y3" s="34" t="s">
        <v>33</v>
      </c>
      <c r="Z3" s="34" t="s">
        <v>34</v>
      </c>
      <c r="AA3" s="34" t="s">
        <v>35</v>
      </c>
      <c r="AB3" s="34" t="s">
        <v>36</v>
      </c>
      <c r="AC3" s="35" t="s">
        <v>37</v>
      </c>
      <c r="AD3" s="35" t="s">
        <v>38</v>
      </c>
      <c r="AE3" s="35" t="s">
        <v>39</v>
      </c>
      <c r="AF3" s="35" t="s">
        <v>40</v>
      </c>
      <c r="AG3" s="35" t="s">
        <v>41</v>
      </c>
      <c r="AH3" s="35" t="s">
        <v>42</v>
      </c>
      <c r="AI3" s="35" t="s">
        <v>43</v>
      </c>
      <c r="AJ3" s="35" t="s">
        <v>44</v>
      </c>
      <c r="AK3" s="35" t="s">
        <v>45</v>
      </c>
      <c r="AL3" s="35" t="s">
        <v>46</v>
      </c>
      <c r="AM3" s="35" t="s">
        <v>47</v>
      </c>
      <c r="AN3" s="35" t="s">
        <v>48</v>
      </c>
      <c r="AO3" s="35" t="s">
        <v>49</v>
      </c>
      <c r="AP3" s="35" t="s">
        <v>50</v>
      </c>
      <c r="AQ3" s="35" t="s">
        <v>51</v>
      </c>
      <c r="AR3" s="37" t="s">
        <v>98</v>
      </c>
      <c r="AS3" s="26" t="s">
        <v>53</v>
      </c>
      <c r="AT3" s="26" t="s">
        <v>51</v>
      </c>
      <c r="AU3" s="38" t="s">
        <v>54</v>
      </c>
      <c r="AV3" s="38" t="s">
        <v>55</v>
      </c>
      <c r="AW3" s="38" t="s">
        <v>56</v>
      </c>
      <c r="AX3" s="38" t="s">
        <v>57</v>
      </c>
      <c r="AY3" s="38" t="s">
        <v>58</v>
      </c>
      <c r="AZ3" s="38" t="s">
        <v>59</v>
      </c>
      <c r="BA3" s="38" t="s">
        <v>60</v>
      </c>
      <c r="BB3" s="38" t="s">
        <v>61</v>
      </c>
      <c r="BC3" s="38" t="s">
        <v>62</v>
      </c>
      <c r="BD3" s="38" t="s">
        <v>63</v>
      </c>
      <c r="BE3" s="38" t="s">
        <v>64</v>
      </c>
      <c r="BF3" s="38" t="s">
        <v>65</v>
      </c>
      <c r="BG3" s="38" t="s">
        <v>66</v>
      </c>
      <c r="BH3" s="38" t="s">
        <v>67</v>
      </c>
      <c r="BI3" s="38" t="s">
        <v>68</v>
      </c>
      <c r="BJ3" s="38" t="s">
        <v>69</v>
      </c>
      <c r="BK3" s="38" t="s">
        <v>70</v>
      </c>
      <c r="BL3" s="38" t="s">
        <v>71</v>
      </c>
      <c r="BM3" s="38" t="s">
        <v>72</v>
      </c>
      <c r="BN3" s="38" t="s">
        <v>73</v>
      </c>
      <c r="BO3" s="38" t="s">
        <v>59</v>
      </c>
      <c r="BP3" s="38" t="s">
        <v>74</v>
      </c>
      <c r="BQ3" s="38" t="s">
        <v>28</v>
      </c>
    </row>
    <row r="4" ht="15.75" spans="1:69">
      <c r="A4" s="27">
        <v>1</v>
      </c>
      <c r="B4" s="27" t="s">
        <v>114</v>
      </c>
      <c r="C4" s="27" t="s">
        <v>114</v>
      </c>
      <c r="D4" s="27" t="s">
        <v>76</v>
      </c>
      <c r="E4" s="27" t="s">
        <v>76</v>
      </c>
      <c r="F4" s="28">
        <v>4</v>
      </c>
      <c r="G4" s="28">
        <v>100</v>
      </c>
      <c r="H4" s="28">
        <f>F4*G4</f>
        <v>400</v>
      </c>
      <c r="I4" s="29">
        <v>0</v>
      </c>
      <c r="J4" s="28">
        <v>2</v>
      </c>
      <c r="K4" s="28">
        <v>2</v>
      </c>
      <c r="L4" s="28">
        <f>H4</f>
        <v>400</v>
      </c>
      <c r="M4" s="28">
        <f>ROUND(L4*I4%,2)</f>
        <v>0</v>
      </c>
      <c r="N4" s="28">
        <f>H4-M4</f>
        <v>400</v>
      </c>
      <c r="O4" s="28">
        <f>ROUND(N4*J4%,2)</f>
        <v>8</v>
      </c>
      <c r="P4" s="28">
        <f>ROUND(N4-O4,2)</f>
        <v>392</v>
      </c>
      <c r="Q4" s="28">
        <f>ROUND(P4*K4%,2)</f>
        <v>7.84</v>
      </c>
      <c r="R4" s="28">
        <f>M4+O4+Q4</f>
        <v>15.84</v>
      </c>
      <c r="S4" s="28">
        <f>(H4-R4)</f>
        <v>384.16</v>
      </c>
      <c r="T4" s="28" t="s">
        <v>77</v>
      </c>
      <c r="U4" s="15">
        <v>18</v>
      </c>
      <c r="V4" s="15">
        <f>IF(OR($C$2=1,$C$2=4),ROUND((((S4*U4)/100)/2),2),0)</f>
        <v>0</v>
      </c>
      <c r="W4" s="15">
        <f>IF($C$2=1,ROUND((((S4*U4)/100)/2),2),0)</f>
        <v>0</v>
      </c>
      <c r="X4" s="15">
        <f>IF($C$2=2,ROUND(((S4*U4)/100),2),0)</f>
        <v>69.15</v>
      </c>
      <c r="Y4" s="15">
        <f>IF($C$2=4,ROUND((((S4*U4)/100)/2),2),0)</f>
        <v>0</v>
      </c>
      <c r="Z4" s="15">
        <v>0</v>
      </c>
      <c r="AA4" s="15">
        <f>IF($C2=3,0,(S4*Z4)/100)</f>
        <v>0</v>
      </c>
      <c r="AB4" s="15">
        <f>V4+W4+X4+Y4+AA4</f>
        <v>69.15</v>
      </c>
      <c r="AC4" s="28">
        <f>IF($V2=1,S4+AB4,S4)</f>
        <v>453.31</v>
      </c>
      <c r="AD4" s="28">
        <v>120</v>
      </c>
      <c r="AE4" s="28">
        <f>IF($P$2=1,(S4/$S$4)*$E$35,AD4/$AD$4*$E$35)</f>
        <v>0</v>
      </c>
      <c r="AF4" s="28"/>
      <c r="AG4" s="28">
        <f>IF($P$2=1,(S4/$S$4)*$E$37,AD4/$AD$4*$E$37)</f>
        <v>0</v>
      </c>
      <c r="AH4" s="28">
        <f>IF($P$2=1,(S4/$S$4)*$E$37,AD4/$AD$4*$E$37)</f>
        <v>0</v>
      </c>
      <c r="AI4" s="28">
        <f>S4*$M$21</f>
        <v>0</v>
      </c>
      <c r="AJ4" s="28">
        <f>IF($C$2=3,0,AG4+AH4)</f>
        <v>0</v>
      </c>
      <c r="AK4" s="28">
        <f>IF($C$2=3,AE4+AG4+AH4,0)</f>
        <v>0</v>
      </c>
      <c r="AL4" s="28">
        <v>1</v>
      </c>
      <c r="AM4" s="28">
        <f>F4/AL4</f>
        <v>4</v>
      </c>
      <c r="AN4" s="28">
        <f>AI4/AM4</f>
        <v>0</v>
      </c>
      <c r="AO4" s="28">
        <f>AJ4/AM4</f>
        <v>0</v>
      </c>
      <c r="AP4" s="28">
        <f>AK4/AM4</f>
        <v>0</v>
      </c>
      <c r="AQ4" s="28" t="s">
        <v>76</v>
      </c>
      <c r="AR4" s="28">
        <f>AN4+AO4+AP4</f>
        <v>0</v>
      </c>
      <c r="AS4" s="28" t="s">
        <v>78</v>
      </c>
      <c r="AT4" s="28" t="s">
        <v>76</v>
      </c>
      <c r="AU4" s="29"/>
      <c r="AV4" s="29"/>
      <c r="AW4" s="28">
        <f>AM4</f>
        <v>4</v>
      </c>
      <c r="AX4" s="28">
        <f>AR4</f>
        <v>0</v>
      </c>
      <c r="AY4" s="28">
        <f>AU4+AW4</f>
        <v>4</v>
      </c>
      <c r="AZ4" s="28">
        <f>ROUND(((AU4*AV4)+(AW4*AX4))/(AU4+AW4),5)</f>
        <v>0</v>
      </c>
      <c r="BA4" s="39"/>
      <c r="BB4" s="39" t="s">
        <v>81</v>
      </c>
      <c r="BC4" s="39" t="s">
        <v>82</v>
      </c>
      <c r="BD4" s="40" t="s">
        <v>83</v>
      </c>
      <c r="BE4" s="40" t="s">
        <v>84</v>
      </c>
      <c r="BF4" s="39"/>
      <c r="BG4" s="39"/>
      <c r="BH4" s="39"/>
      <c r="BI4" s="28"/>
      <c r="BJ4" s="28"/>
      <c r="BK4" s="28"/>
      <c r="BL4" s="41" t="s">
        <v>85</v>
      </c>
      <c r="BM4" s="29" t="s">
        <v>100</v>
      </c>
      <c r="BN4" s="29" t="s">
        <v>100</v>
      </c>
      <c r="BO4" s="28">
        <f>ROUND((((AW4*AZ4)+(BN4*BM4))/(AW4+BN4)),5)</f>
        <v>0</v>
      </c>
      <c r="BP4" s="39">
        <f>BN4+AW4</f>
        <v>4</v>
      </c>
      <c r="BQ4" s="42">
        <v>88363222</v>
      </c>
    </row>
    <row r="5" spans="1:69">
      <c r="A5" s="27"/>
      <c r="B5" s="29"/>
      <c r="C5" s="29"/>
      <c r="D5" s="30" t="s">
        <v>88</v>
      </c>
      <c r="E5" s="30"/>
      <c r="F5" s="30"/>
      <c r="G5" s="30"/>
      <c r="H5" s="31">
        <f>SUM(H4:H4)</f>
        <v>400</v>
      </c>
      <c r="I5" s="27"/>
      <c r="J5" s="27"/>
      <c r="K5" s="27"/>
      <c r="L5" s="27"/>
      <c r="M5" s="27"/>
      <c r="N5" s="27"/>
      <c r="O5" s="27"/>
      <c r="P5" s="27"/>
      <c r="Q5" s="27"/>
      <c r="R5" s="31">
        <f t="shared" ref="R5:X5" si="0">SUM(R4:R4)</f>
        <v>15.84</v>
      </c>
      <c r="S5" s="31">
        <f t="shared" si="0"/>
        <v>384.16</v>
      </c>
      <c r="T5" s="30"/>
      <c r="U5" s="30"/>
      <c r="V5" s="31">
        <f t="shared" si="0"/>
        <v>0</v>
      </c>
      <c r="W5" s="31">
        <f t="shared" si="0"/>
        <v>0</v>
      </c>
      <c r="X5" s="31">
        <f t="shared" si="0"/>
        <v>69.15</v>
      </c>
      <c r="Y5" s="43"/>
      <c r="Z5" s="43"/>
      <c r="AA5" s="43"/>
      <c r="AB5" s="31">
        <f t="shared" ref="AB5:AE5" si="1">SUM(AB4:AB4)</f>
        <v>69.15</v>
      </c>
      <c r="AC5" s="31">
        <f t="shared" si="1"/>
        <v>453.31</v>
      </c>
      <c r="AD5" s="31">
        <f t="shared" si="1"/>
        <v>120</v>
      </c>
      <c r="AE5" s="31">
        <f t="shared" si="1"/>
        <v>0</v>
      </c>
      <c r="AF5" s="36"/>
      <c r="AG5" s="31">
        <f t="shared" ref="AG5:AK5" si="2">SUM(AG4:AG4)</f>
        <v>0</v>
      </c>
      <c r="AH5" s="31">
        <f t="shared" si="2"/>
        <v>0</v>
      </c>
      <c r="AI5" s="31">
        <f t="shared" si="2"/>
        <v>0</v>
      </c>
      <c r="AJ5" s="31">
        <f t="shared" si="2"/>
        <v>0</v>
      </c>
      <c r="AK5" s="31">
        <f t="shared" si="2"/>
        <v>0</v>
      </c>
      <c r="AL5" s="36"/>
      <c r="AM5" s="36"/>
      <c r="AN5" s="36"/>
      <c r="AO5" s="36"/>
      <c r="AP5" s="36"/>
      <c r="AQ5" s="36"/>
      <c r="AR5" s="36"/>
      <c r="AS5" s="27"/>
      <c r="AT5" s="27"/>
      <c r="AU5" s="29"/>
      <c r="AV5" s="29"/>
      <c r="AW5" s="27"/>
      <c r="AX5" s="27"/>
      <c r="AY5" s="27"/>
      <c r="AZ5" s="27"/>
      <c r="BA5" s="27"/>
      <c r="BB5" s="27"/>
      <c r="BC5" s="27"/>
      <c r="BD5" s="27"/>
      <c r="BE5" s="27"/>
      <c r="BF5" s="27"/>
      <c r="BG5" s="27"/>
      <c r="BH5" s="27"/>
      <c r="BI5" s="27"/>
      <c r="BJ5" s="27"/>
      <c r="BK5" s="27"/>
      <c r="BL5" s="27"/>
      <c r="BM5" s="27"/>
      <c r="BN5" s="27"/>
      <c r="BO5" s="27"/>
      <c r="BP5" s="29"/>
      <c r="BQ5" s="29"/>
    </row>
  </sheetData>
  <mergeCells count="1">
    <mergeCell ref="A2:B2"/>
  </mergeCells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Q5"/>
  <sheetViews>
    <sheetView topLeftCell="Q1" workbookViewId="0">
      <selection activeCell="U4" sqref="U4:AB4"/>
    </sheetView>
  </sheetViews>
  <sheetFormatPr defaultColWidth="8.7047619047619" defaultRowHeight="15" outlineLevelRow="4"/>
  <cols>
    <col min="1" max="1" width="5.14285714285714" customWidth="1"/>
    <col min="2" max="3" width="28.2857142857143" customWidth="1"/>
    <col min="4" max="4" width="79.4285714285714" customWidth="1"/>
    <col min="5" max="5" width="11.5714285714286" customWidth="1"/>
    <col min="6" max="6" width="5.14285714285714" customWidth="1"/>
    <col min="7" max="7" width="11" customWidth="1"/>
    <col min="8" max="8" width="12.7142857142857" customWidth="1"/>
    <col min="9" max="9" width="5.85714285714286" customWidth="1"/>
    <col min="10" max="10" width="6" customWidth="1"/>
    <col min="11" max="11" width="5.85714285714286" customWidth="1"/>
    <col min="12" max="12" width="14.2857142857143" customWidth="1"/>
    <col min="13" max="13" width="9.42857142857143" customWidth="1"/>
    <col min="14" max="14" width="14.4285714285714" customWidth="1"/>
    <col min="15" max="15" width="15.5714285714286" customWidth="1"/>
    <col min="16" max="16" width="14.4285714285714" customWidth="1"/>
    <col min="17" max="17" width="39.4285714285714" customWidth="1"/>
    <col min="18" max="18" width="11.7142857142857" customWidth="1"/>
    <col min="19" max="19" width="11.8571428571429" customWidth="1"/>
    <col min="20" max="20" width="6.42857142857143" customWidth="1"/>
    <col min="21" max="22" width="6.57142857142857" customWidth="1"/>
    <col min="23" max="23" width="37.1428571428571" customWidth="1"/>
    <col min="24" max="25" width="8" customWidth="1"/>
    <col min="26" max="26" width="7.71428571428571" customWidth="1"/>
    <col min="27" max="27" width="6.28571428571429" customWidth="1"/>
    <col min="28" max="28" width="9.28571428571429" customWidth="1"/>
    <col min="29" max="29" width="9.71428571428571" customWidth="1"/>
    <col min="30" max="30" width="12.8571428571429" customWidth="1"/>
    <col min="31" max="31" width="16.1428571428571" customWidth="1"/>
    <col min="32" max="32" width="15.4285714285714" customWidth="1"/>
    <col min="33" max="33" width="24.5714285714286" customWidth="1"/>
    <col min="34" max="34" width="8.57142857142857" customWidth="1"/>
    <col min="35" max="35" width="14.7142857142857" customWidth="1"/>
    <col min="36" max="36" width="18.5714285714286" customWidth="1"/>
    <col min="37" max="37" width="14.1428571428571" customWidth="1"/>
    <col min="38" max="38" width="14.7142857142857" customWidth="1"/>
    <col min="39" max="39" width="17.4285714285714" customWidth="1"/>
    <col min="40" max="40" width="22" customWidth="1"/>
    <col min="41" max="41" width="17.5714285714286" customWidth="1"/>
    <col min="42" max="42" width="25.2857142857143" customWidth="1"/>
    <col min="43" max="43" width="13" customWidth="1"/>
    <col min="44" max="44" width="23.7142857142857" customWidth="1"/>
    <col min="45" max="45" width="10" customWidth="1"/>
    <col min="46" max="46" width="13" customWidth="1"/>
    <col min="47" max="47" width="15.5714285714286" customWidth="1"/>
    <col min="48" max="48" width="21.1428571428571" customWidth="1"/>
    <col min="49" max="49" width="11.5714285714286" customWidth="1"/>
    <col min="50" max="50" width="16.7142857142857" customWidth="1"/>
    <col min="51" max="51" width="14" customWidth="1"/>
    <col min="52" max="52" width="19.4285714285714" customWidth="1"/>
    <col min="53" max="53" width="18.8571428571429" customWidth="1"/>
    <col min="54" max="54" width="23.2857142857143" customWidth="1"/>
    <col min="55" max="55" width="15.5714285714286" customWidth="1"/>
    <col min="56" max="56" width="14.2857142857143" customWidth="1"/>
    <col min="57" max="57" width="17" customWidth="1"/>
    <col min="58" max="58" width="16.2857142857143" customWidth="1"/>
    <col min="59" max="59" width="13.5714285714286" customWidth="1"/>
    <col min="60" max="61" width="12.7142857142857" customWidth="1"/>
    <col min="62" max="62" width="21.8571428571429" customWidth="1"/>
    <col min="63" max="63" width="30.5714285714286" customWidth="1"/>
    <col min="64" max="64" width="10" customWidth="1"/>
    <col min="65" max="65" width="42.5714285714286" customWidth="1"/>
    <col min="66" max="66" width="38.1428571428571" customWidth="1"/>
    <col min="67" max="67" width="19.4285714285714" customWidth="1"/>
    <col min="68" max="68" width="35.4285714285714" customWidth="1"/>
    <col min="69" max="69" width="9.57142857142857" customWidth="1"/>
  </cols>
  <sheetData>
    <row r="1" spans="1:69">
      <c r="A1" s="1" t="s">
        <v>0</v>
      </c>
      <c r="B1" s="2"/>
      <c r="C1" s="2"/>
      <c r="D1" s="2"/>
      <c r="E1" s="2"/>
      <c r="F1" s="2"/>
      <c r="G1" s="2"/>
      <c r="H1" s="1"/>
      <c r="I1" s="10"/>
      <c r="J1" s="10"/>
      <c r="K1" s="10"/>
      <c r="L1" s="10"/>
      <c r="M1" s="10"/>
      <c r="N1" s="10"/>
      <c r="O1" s="10"/>
      <c r="P1" s="10"/>
      <c r="Q1" s="10"/>
      <c r="R1" s="1"/>
      <c r="S1" s="1"/>
      <c r="T1" s="1"/>
      <c r="U1" s="1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23"/>
      <c r="BQ1" s="23"/>
    </row>
    <row r="2" spans="1:69">
      <c r="A2" s="3" t="s">
        <v>1</v>
      </c>
      <c r="B2" s="3"/>
      <c r="C2" s="24">
        <v>2</v>
      </c>
      <c r="D2" s="4" t="s">
        <v>2</v>
      </c>
      <c r="E2" s="24"/>
      <c r="F2" s="24"/>
      <c r="G2" s="24"/>
      <c r="H2" s="25"/>
      <c r="I2" s="27" t="s">
        <v>3</v>
      </c>
      <c r="J2" s="27" t="s">
        <v>4</v>
      </c>
      <c r="K2" s="27"/>
      <c r="L2" s="27" t="s">
        <v>5</v>
      </c>
      <c r="M2" s="27">
        <v>1</v>
      </c>
      <c r="N2" s="27"/>
      <c r="O2" s="27" t="s">
        <v>6</v>
      </c>
      <c r="P2" s="27">
        <v>2</v>
      </c>
      <c r="Q2" s="27" t="s">
        <v>7</v>
      </c>
      <c r="R2" s="25"/>
      <c r="S2" s="25"/>
      <c r="T2" s="25"/>
      <c r="U2" s="25"/>
      <c r="V2" s="25">
        <v>1</v>
      </c>
      <c r="W2" s="25" t="s">
        <v>8</v>
      </c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  <c r="AR2" s="27"/>
      <c r="AS2" s="27"/>
      <c r="AT2" s="27"/>
      <c r="AU2" s="27"/>
      <c r="AV2" s="27"/>
      <c r="AW2" s="27"/>
      <c r="AX2" s="27"/>
      <c r="AY2" s="27"/>
      <c r="AZ2" s="27"/>
      <c r="BA2" s="27"/>
      <c r="BB2" s="27"/>
      <c r="BC2" s="27"/>
      <c r="BD2" s="27"/>
      <c r="BE2" s="27"/>
      <c r="BF2" s="27"/>
      <c r="BG2" s="27"/>
      <c r="BH2" s="27"/>
      <c r="BI2" s="27"/>
      <c r="BJ2" s="27"/>
      <c r="BK2" s="27"/>
      <c r="BL2" s="27"/>
      <c r="BM2" s="27"/>
      <c r="BN2" s="27"/>
      <c r="BO2" s="27"/>
      <c r="BP2" s="29"/>
      <c r="BQ2" s="29"/>
    </row>
    <row r="3" ht="15.75" spans="1:69">
      <c r="A3" s="26" t="s">
        <v>9</v>
      </c>
      <c r="B3" s="26" t="s">
        <v>10</v>
      </c>
      <c r="C3" s="26" t="s">
        <v>11</v>
      </c>
      <c r="D3" s="26" t="s">
        <v>12</v>
      </c>
      <c r="E3" s="26" t="s">
        <v>13</v>
      </c>
      <c r="F3" s="26" t="s">
        <v>14</v>
      </c>
      <c r="G3" s="26" t="s">
        <v>15</v>
      </c>
      <c r="H3" s="26" t="s">
        <v>16</v>
      </c>
      <c r="I3" s="32" t="s">
        <v>17</v>
      </c>
      <c r="J3" s="32" t="s">
        <v>19</v>
      </c>
      <c r="K3" s="32" t="s">
        <v>18</v>
      </c>
      <c r="L3" s="33" t="s">
        <v>20</v>
      </c>
      <c r="M3" s="33" t="s">
        <v>21</v>
      </c>
      <c r="N3" s="33" t="s">
        <v>24</v>
      </c>
      <c r="O3" s="33" t="s">
        <v>25</v>
      </c>
      <c r="P3" s="33" t="s">
        <v>95</v>
      </c>
      <c r="Q3" s="33" t="s">
        <v>23</v>
      </c>
      <c r="R3" s="32" t="s">
        <v>26</v>
      </c>
      <c r="S3" s="26" t="s">
        <v>96</v>
      </c>
      <c r="T3" s="26" t="s">
        <v>28</v>
      </c>
      <c r="U3" s="34" t="s">
        <v>97</v>
      </c>
      <c r="V3" s="34" t="s">
        <v>30</v>
      </c>
      <c r="W3" s="34" t="s">
        <v>31</v>
      </c>
      <c r="X3" s="34" t="s">
        <v>32</v>
      </c>
      <c r="Y3" s="34" t="s">
        <v>33</v>
      </c>
      <c r="Z3" s="34" t="s">
        <v>34</v>
      </c>
      <c r="AA3" s="34" t="s">
        <v>35</v>
      </c>
      <c r="AB3" s="34" t="s">
        <v>36</v>
      </c>
      <c r="AC3" s="35" t="s">
        <v>37</v>
      </c>
      <c r="AD3" s="35" t="s">
        <v>38</v>
      </c>
      <c r="AE3" s="35" t="s">
        <v>39</v>
      </c>
      <c r="AF3" s="35" t="s">
        <v>40</v>
      </c>
      <c r="AG3" s="35" t="s">
        <v>41</v>
      </c>
      <c r="AH3" s="35" t="s">
        <v>42</v>
      </c>
      <c r="AI3" s="35" t="s">
        <v>43</v>
      </c>
      <c r="AJ3" s="35" t="s">
        <v>44</v>
      </c>
      <c r="AK3" s="35" t="s">
        <v>45</v>
      </c>
      <c r="AL3" s="35" t="s">
        <v>46</v>
      </c>
      <c r="AM3" s="35" t="s">
        <v>47</v>
      </c>
      <c r="AN3" s="35" t="s">
        <v>48</v>
      </c>
      <c r="AO3" s="35" t="s">
        <v>49</v>
      </c>
      <c r="AP3" s="35" t="s">
        <v>50</v>
      </c>
      <c r="AQ3" s="35" t="s">
        <v>51</v>
      </c>
      <c r="AR3" s="37" t="s">
        <v>98</v>
      </c>
      <c r="AS3" s="26" t="s">
        <v>53</v>
      </c>
      <c r="AT3" s="26" t="s">
        <v>51</v>
      </c>
      <c r="AU3" s="38" t="s">
        <v>54</v>
      </c>
      <c r="AV3" s="38" t="s">
        <v>55</v>
      </c>
      <c r="AW3" s="38" t="s">
        <v>56</v>
      </c>
      <c r="AX3" s="38" t="s">
        <v>57</v>
      </c>
      <c r="AY3" s="38" t="s">
        <v>58</v>
      </c>
      <c r="AZ3" s="38" t="s">
        <v>59</v>
      </c>
      <c r="BA3" s="38" t="s">
        <v>60</v>
      </c>
      <c r="BB3" s="38" t="s">
        <v>61</v>
      </c>
      <c r="BC3" s="38" t="s">
        <v>62</v>
      </c>
      <c r="BD3" s="38" t="s">
        <v>63</v>
      </c>
      <c r="BE3" s="38" t="s">
        <v>64</v>
      </c>
      <c r="BF3" s="38" t="s">
        <v>65</v>
      </c>
      <c r="BG3" s="38" t="s">
        <v>66</v>
      </c>
      <c r="BH3" s="38" t="s">
        <v>67</v>
      </c>
      <c r="BI3" s="38" t="s">
        <v>68</v>
      </c>
      <c r="BJ3" s="38" t="s">
        <v>69</v>
      </c>
      <c r="BK3" s="38" t="s">
        <v>70</v>
      </c>
      <c r="BL3" s="38" t="s">
        <v>71</v>
      </c>
      <c r="BM3" s="38" t="s">
        <v>72</v>
      </c>
      <c r="BN3" s="38" t="s">
        <v>73</v>
      </c>
      <c r="BO3" s="38" t="s">
        <v>59</v>
      </c>
      <c r="BP3" s="38" t="s">
        <v>74</v>
      </c>
      <c r="BQ3" s="38" t="s">
        <v>28</v>
      </c>
    </row>
    <row r="4" ht="15.75" spans="1:69">
      <c r="A4" s="27">
        <v>1</v>
      </c>
      <c r="B4" s="27" t="s">
        <v>115</v>
      </c>
      <c r="C4" s="27" t="s">
        <v>115</v>
      </c>
      <c r="D4" s="27" t="s">
        <v>76</v>
      </c>
      <c r="E4" s="27" t="s">
        <v>76</v>
      </c>
      <c r="F4" s="28">
        <v>4</v>
      </c>
      <c r="G4" s="28">
        <v>100</v>
      </c>
      <c r="H4" s="28">
        <f>F4*G4</f>
        <v>400</v>
      </c>
      <c r="I4" s="29" t="s">
        <v>102</v>
      </c>
      <c r="J4" s="28">
        <v>2</v>
      </c>
      <c r="K4" s="28">
        <v>2</v>
      </c>
      <c r="L4" s="28">
        <f>H4</f>
        <v>400</v>
      </c>
      <c r="M4" s="28">
        <f>ROUND(L4*I4%,2)</f>
        <v>8</v>
      </c>
      <c r="N4" s="28">
        <f>H4-M4</f>
        <v>392</v>
      </c>
      <c r="O4" s="28">
        <f>ROUND(N4*J4%,2)</f>
        <v>7.84</v>
      </c>
      <c r="P4" s="28">
        <f>ROUND(N4-O4,2)</f>
        <v>384.16</v>
      </c>
      <c r="Q4" s="28">
        <f>ROUND(P4*K4%,2)</f>
        <v>7.68</v>
      </c>
      <c r="R4" s="28">
        <f>M4+O4+Q4</f>
        <v>23.52</v>
      </c>
      <c r="S4" s="28">
        <f>(H4-R4)</f>
        <v>376.48</v>
      </c>
      <c r="T4" s="28" t="s">
        <v>77</v>
      </c>
      <c r="U4" s="15">
        <v>18</v>
      </c>
      <c r="V4" s="15">
        <f>IF(OR($C$2=1,$C$2=4),ROUND((((S4*U4)/100)/2),2),0)</f>
        <v>0</v>
      </c>
      <c r="W4" s="15">
        <f>IF($C$2=1,ROUND((((S4*U4)/100)/2),2),0)</f>
        <v>0</v>
      </c>
      <c r="X4" s="15">
        <f>IF($C$2=2,ROUND(((S4*U4)/100),2),0)</f>
        <v>67.77</v>
      </c>
      <c r="Y4" s="15">
        <f>IF($C$2=4,ROUND((((S4*U4)/100)/2),2),0)</f>
        <v>0</v>
      </c>
      <c r="Z4" s="15">
        <v>0</v>
      </c>
      <c r="AA4" s="15">
        <f>IF($C2=3,0,(S4*Z4)/100)</f>
        <v>0</v>
      </c>
      <c r="AB4" s="15">
        <f>V4+W4+X4+Y4+AA4</f>
        <v>67.77</v>
      </c>
      <c r="AC4" s="28">
        <f>IF($V2=1,S4+AB4,S4)</f>
        <v>444.25</v>
      </c>
      <c r="AD4" s="28">
        <v>120</v>
      </c>
      <c r="AE4" s="28">
        <f>IF($P$2=1,(S4/$S$4)*$E$35,AD4/$AD$4*$E$35)</f>
        <v>0</v>
      </c>
      <c r="AF4" s="28"/>
      <c r="AG4" s="28">
        <f>IF($P$2=1,(S4/$S$4)*$E$37,AD4/$AD$4*$E$37)</f>
        <v>0</v>
      </c>
      <c r="AH4" s="28">
        <f>IF($P$2=1,(S4/$S$4)*$E$37,AD4/$AD$4*$E$37)</f>
        <v>0</v>
      </c>
      <c r="AI4" s="28">
        <f>S4*$M$21</f>
        <v>0</v>
      </c>
      <c r="AJ4" s="28">
        <f>IF($C$2=3,0,AG4+AH4)</f>
        <v>0</v>
      </c>
      <c r="AK4" s="28">
        <f>IF($C$2=3,AE4+AG4+AH4,0)</f>
        <v>0</v>
      </c>
      <c r="AL4" s="28">
        <v>1</v>
      </c>
      <c r="AM4" s="28">
        <f>F4/AL4</f>
        <v>4</v>
      </c>
      <c r="AN4" s="28">
        <f>AI4/AM4</f>
        <v>0</v>
      </c>
      <c r="AO4" s="28">
        <f>AJ4/AM4</f>
        <v>0</v>
      </c>
      <c r="AP4" s="28">
        <f>AK4/AM4</f>
        <v>0</v>
      </c>
      <c r="AQ4" s="28" t="s">
        <v>76</v>
      </c>
      <c r="AR4" s="28">
        <f>AN4+AO4+AP4</f>
        <v>0</v>
      </c>
      <c r="AS4" s="28" t="s">
        <v>78</v>
      </c>
      <c r="AT4" s="28" t="s">
        <v>76</v>
      </c>
      <c r="AW4" s="28">
        <f>AM4</f>
        <v>4</v>
      </c>
      <c r="AX4" s="28">
        <f>AR4</f>
        <v>0</v>
      </c>
      <c r="AY4" s="28">
        <f>AU4+AW4</f>
        <v>4</v>
      </c>
      <c r="AZ4" s="28">
        <f>ROUND(((AU4*AV4)+(AW4*AX4))/(AU4+AW4),5)</f>
        <v>0</v>
      </c>
      <c r="BA4" s="39"/>
      <c r="BB4" s="39" t="s">
        <v>81</v>
      </c>
      <c r="BC4" s="39" t="s">
        <v>82</v>
      </c>
      <c r="BD4" s="40" t="s">
        <v>83</v>
      </c>
      <c r="BE4" s="40" t="s">
        <v>84</v>
      </c>
      <c r="BF4" s="39"/>
      <c r="BG4" s="39"/>
      <c r="BH4" s="39"/>
      <c r="BI4" s="28"/>
      <c r="BJ4" s="28"/>
      <c r="BK4" s="28"/>
      <c r="BL4" s="41" t="s">
        <v>85</v>
      </c>
      <c r="BM4" t="s">
        <v>100</v>
      </c>
      <c r="BN4" t="s">
        <v>100</v>
      </c>
      <c r="BO4" s="28">
        <f>ROUND((((AW4*AZ4)+(BN4*BM4))/(AW4+BN4)),5)</f>
        <v>0</v>
      </c>
      <c r="BP4" s="39">
        <f>BN4+AW4</f>
        <v>4</v>
      </c>
      <c r="BQ4" s="42">
        <v>88363222</v>
      </c>
    </row>
    <row r="5" spans="1:69">
      <c r="A5" s="27"/>
      <c r="B5" s="29"/>
      <c r="C5" s="29"/>
      <c r="D5" s="30" t="s">
        <v>88</v>
      </c>
      <c r="E5" s="30"/>
      <c r="F5" s="30"/>
      <c r="G5" s="30"/>
      <c r="H5" s="31">
        <f>SUM(H4:H4)</f>
        <v>400</v>
      </c>
      <c r="I5" s="27"/>
      <c r="J5" s="27"/>
      <c r="K5" s="27"/>
      <c r="L5" s="27"/>
      <c r="M5" s="27"/>
      <c r="N5" s="27"/>
      <c r="O5" s="27"/>
      <c r="P5" s="27"/>
      <c r="Q5" s="27"/>
      <c r="R5" s="31">
        <f t="shared" ref="R5:X5" si="0">SUM(R4:R4)</f>
        <v>23.52</v>
      </c>
      <c r="S5" s="31">
        <f t="shared" si="0"/>
        <v>376.48</v>
      </c>
      <c r="T5" s="30"/>
      <c r="U5" s="30"/>
      <c r="V5" s="31">
        <f t="shared" si="0"/>
        <v>0</v>
      </c>
      <c r="W5" s="31">
        <f t="shared" si="0"/>
        <v>0</v>
      </c>
      <c r="X5" s="31">
        <f t="shared" si="0"/>
        <v>67.77</v>
      </c>
      <c r="Y5" s="43"/>
      <c r="Z5" s="43"/>
      <c r="AA5" s="43"/>
      <c r="AB5" s="31">
        <f t="shared" ref="AB5:AE5" si="1">SUM(AB4:AB4)</f>
        <v>67.77</v>
      </c>
      <c r="AC5" s="31">
        <f t="shared" si="1"/>
        <v>444.25</v>
      </c>
      <c r="AD5" s="31">
        <f t="shared" si="1"/>
        <v>120</v>
      </c>
      <c r="AE5" s="31">
        <f t="shared" si="1"/>
        <v>0</v>
      </c>
      <c r="AF5" s="36"/>
      <c r="AG5" s="31">
        <f t="shared" ref="AG5:AK5" si="2">SUM(AG4:AG4)</f>
        <v>0</v>
      </c>
      <c r="AH5" s="31">
        <f t="shared" si="2"/>
        <v>0</v>
      </c>
      <c r="AI5" s="31">
        <f t="shared" si="2"/>
        <v>0</v>
      </c>
      <c r="AJ5" s="31">
        <f t="shared" si="2"/>
        <v>0</v>
      </c>
      <c r="AK5" s="31">
        <f t="shared" si="2"/>
        <v>0</v>
      </c>
      <c r="AL5" s="36"/>
      <c r="AM5" s="36"/>
      <c r="AN5" s="36"/>
      <c r="AO5" s="36"/>
      <c r="AP5" s="36"/>
      <c r="AQ5" s="36"/>
      <c r="AR5" s="36"/>
      <c r="AS5" s="27"/>
      <c r="AT5" s="27"/>
      <c r="AU5" s="29"/>
      <c r="AV5" s="29"/>
      <c r="AW5" s="27"/>
      <c r="AX5" s="27"/>
      <c r="AY5" s="27"/>
      <c r="AZ5" s="27"/>
      <c r="BA5" s="27"/>
      <c r="BB5" s="27"/>
      <c r="BC5" s="27"/>
      <c r="BD5" s="27"/>
      <c r="BE5" s="27"/>
      <c r="BF5" s="27"/>
      <c r="BG5" s="27"/>
      <c r="BH5" s="27"/>
      <c r="BI5" s="27"/>
      <c r="BJ5" s="27"/>
      <c r="BK5" s="27"/>
      <c r="BL5" s="27"/>
      <c r="BM5" s="27"/>
      <c r="BN5" s="27"/>
      <c r="BO5" s="27"/>
      <c r="BP5" s="29"/>
      <c r="BQ5" s="29"/>
    </row>
  </sheetData>
  <mergeCells count="1">
    <mergeCell ref="A2:B2"/>
  </mergeCells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Q5"/>
  <sheetViews>
    <sheetView topLeftCell="U1" workbookViewId="0">
      <selection activeCell="AB12" sqref="AB12"/>
    </sheetView>
  </sheetViews>
  <sheetFormatPr defaultColWidth="8.7047619047619" defaultRowHeight="15" outlineLevelRow="4"/>
  <cols>
    <col min="1" max="1" width="5.14285714285714" customWidth="1"/>
    <col min="2" max="3" width="28.2857142857143" customWidth="1"/>
    <col min="4" max="4" width="79.4285714285714" customWidth="1"/>
    <col min="5" max="5" width="11.5714285714286" customWidth="1"/>
    <col min="6" max="6" width="5.14285714285714" customWidth="1"/>
    <col min="7" max="7" width="11" customWidth="1"/>
    <col min="8" max="8" width="12.7142857142857" customWidth="1"/>
    <col min="9" max="9" width="5.85714285714286" customWidth="1"/>
    <col min="10" max="10" width="6" customWidth="1"/>
    <col min="11" max="11" width="5.85714285714286" customWidth="1"/>
    <col min="12" max="12" width="14.2857142857143" customWidth="1"/>
    <col min="13" max="13" width="9.42857142857143" customWidth="1"/>
    <col min="14" max="14" width="14.4285714285714" customWidth="1"/>
    <col min="15" max="15" width="15.5714285714286" customWidth="1"/>
    <col min="16" max="16" width="14.4285714285714" customWidth="1"/>
    <col min="17" max="17" width="39.4285714285714" customWidth="1"/>
    <col min="18" max="18" width="11.7142857142857" customWidth="1"/>
    <col min="19" max="19" width="11.8571428571429" customWidth="1"/>
    <col min="20" max="20" width="6.42857142857143" customWidth="1"/>
    <col min="21" max="22" width="6.57142857142857" customWidth="1"/>
    <col min="23" max="23" width="37.1428571428571" customWidth="1"/>
    <col min="24" max="25" width="8" customWidth="1"/>
    <col min="26" max="26" width="7.71428571428571" customWidth="1"/>
    <col min="27" max="27" width="6.28571428571429" customWidth="1"/>
    <col min="28" max="28" width="9.28571428571429" customWidth="1"/>
    <col min="29" max="29" width="9.71428571428571" customWidth="1"/>
    <col min="30" max="30" width="12.8571428571429" customWidth="1"/>
    <col min="31" max="31" width="16.1428571428571" customWidth="1"/>
    <col min="32" max="32" width="15.4285714285714" customWidth="1"/>
    <col min="33" max="33" width="24.5714285714286" customWidth="1"/>
    <col min="34" max="34" width="8.57142857142857" customWidth="1"/>
    <col min="35" max="35" width="14.7142857142857" customWidth="1"/>
    <col min="36" max="36" width="18.5714285714286" customWidth="1"/>
    <col min="37" max="37" width="14.1428571428571" customWidth="1"/>
    <col min="38" max="38" width="14.7142857142857" customWidth="1"/>
    <col min="39" max="39" width="17.4285714285714" customWidth="1"/>
    <col min="40" max="40" width="22" customWidth="1"/>
    <col min="41" max="41" width="17.5714285714286" customWidth="1"/>
    <col min="42" max="42" width="25.2857142857143" customWidth="1"/>
    <col min="43" max="43" width="13" customWidth="1"/>
    <col min="44" max="44" width="23.7142857142857" customWidth="1"/>
    <col min="45" max="45" width="10" customWidth="1"/>
    <col min="46" max="46" width="13" customWidth="1"/>
    <col min="47" max="47" width="15.5714285714286" customWidth="1"/>
    <col min="48" max="48" width="21.1428571428571" customWidth="1"/>
    <col min="49" max="49" width="11.5714285714286" customWidth="1"/>
    <col min="50" max="50" width="16.7142857142857" customWidth="1"/>
    <col min="51" max="51" width="14" customWidth="1"/>
    <col min="52" max="52" width="19.4285714285714" customWidth="1"/>
    <col min="53" max="53" width="18.8571428571429" customWidth="1"/>
    <col min="54" max="54" width="23.2857142857143" customWidth="1"/>
    <col min="55" max="55" width="15.5714285714286" customWidth="1"/>
    <col min="56" max="56" width="14.2857142857143" customWidth="1"/>
    <col min="57" max="57" width="17" customWidth="1"/>
    <col min="58" max="58" width="16.2857142857143" customWidth="1"/>
    <col min="59" max="59" width="13.5714285714286" customWidth="1"/>
    <col min="60" max="61" width="12.7142857142857" customWidth="1"/>
    <col min="62" max="62" width="21.8571428571429" customWidth="1"/>
    <col min="63" max="63" width="30.5714285714286" customWidth="1"/>
    <col min="64" max="64" width="10" customWidth="1"/>
    <col min="65" max="65" width="42.5714285714286" customWidth="1"/>
    <col min="66" max="66" width="38.1428571428571" customWidth="1"/>
    <col min="67" max="67" width="19.4285714285714" customWidth="1"/>
    <col min="68" max="68" width="35.4285714285714" customWidth="1"/>
    <col min="69" max="69" width="9.57142857142857" customWidth="1"/>
  </cols>
  <sheetData>
    <row r="1" spans="1:69">
      <c r="A1" s="1" t="s">
        <v>0</v>
      </c>
      <c r="B1" s="2"/>
      <c r="C1" s="2"/>
      <c r="D1" s="2"/>
      <c r="E1" s="2"/>
      <c r="F1" s="2"/>
      <c r="G1" s="2"/>
      <c r="H1" s="1"/>
      <c r="I1" s="10"/>
      <c r="J1" s="10"/>
      <c r="K1" s="10"/>
      <c r="L1" s="10"/>
      <c r="M1" s="10"/>
      <c r="N1" s="10"/>
      <c r="O1" s="10"/>
      <c r="P1" s="10"/>
      <c r="Q1" s="10"/>
      <c r="R1" s="1"/>
      <c r="S1" s="1"/>
      <c r="T1" s="1"/>
      <c r="U1" s="1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23"/>
      <c r="BQ1" s="23"/>
    </row>
    <row r="2" spans="1:69">
      <c r="A2" s="3" t="s">
        <v>1</v>
      </c>
      <c r="B2" s="3"/>
      <c r="C2" s="24">
        <v>2</v>
      </c>
      <c r="D2" s="4" t="s">
        <v>2</v>
      </c>
      <c r="E2" s="24"/>
      <c r="F2" s="24"/>
      <c r="G2" s="24"/>
      <c r="H2" s="25"/>
      <c r="I2" s="27" t="s">
        <v>3</v>
      </c>
      <c r="J2" s="27" t="s">
        <v>4</v>
      </c>
      <c r="K2" s="27"/>
      <c r="L2" s="27" t="s">
        <v>5</v>
      </c>
      <c r="M2" s="27">
        <v>1</v>
      </c>
      <c r="N2" s="27"/>
      <c r="O2" s="27" t="s">
        <v>6</v>
      </c>
      <c r="P2" s="27">
        <v>2</v>
      </c>
      <c r="Q2" s="27" t="s">
        <v>7</v>
      </c>
      <c r="R2" s="25"/>
      <c r="S2" s="25"/>
      <c r="T2" s="25"/>
      <c r="U2" s="25"/>
      <c r="V2" s="25">
        <v>1</v>
      </c>
      <c r="W2" s="25" t="s">
        <v>8</v>
      </c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  <c r="AR2" s="27"/>
      <c r="AS2" s="27"/>
      <c r="AT2" s="27"/>
      <c r="AU2" s="27"/>
      <c r="AV2" s="27"/>
      <c r="AW2" s="27"/>
      <c r="AX2" s="27"/>
      <c r="AY2" s="27"/>
      <c r="AZ2" s="27"/>
      <c r="BA2" s="27"/>
      <c r="BB2" s="27"/>
      <c r="BC2" s="27"/>
      <c r="BD2" s="27"/>
      <c r="BE2" s="27"/>
      <c r="BF2" s="27"/>
      <c r="BG2" s="27"/>
      <c r="BH2" s="27"/>
      <c r="BI2" s="27"/>
      <c r="BJ2" s="27"/>
      <c r="BK2" s="27"/>
      <c r="BL2" s="27"/>
      <c r="BM2" s="27"/>
      <c r="BN2" s="27"/>
      <c r="BO2" s="27"/>
      <c r="BP2" s="29"/>
      <c r="BQ2" s="29"/>
    </row>
    <row r="3" ht="15.75" spans="1:69">
      <c r="A3" s="26" t="s">
        <v>9</v>
      </c>
      <c r="B3" s="26" t="s">
        <v>10</v>
      </c>
      <c r="C3" s="26" t="s">
        <v>11</v>
      </c>
      <c r="D3" s="26" t="s">
        <v>12</v>
      </c>
      <c r="E3" s="26" t="s">
        <v>13</v>
      </c>
      <c r="F3" s="26" t="s">
        <v>14</v>
      </c>
      <c r="G3" s="26" t="s">
        <v>15</v>
      </c>
      <c r="H3" s="26" t="s">
        <v>16</v>
      </c>
      <c r="I3" s="32" t="s">
        <v>17</v>
      </c>
      <c r="J3" s="32" t="s">
        <v>19</v>
      </c>
      <c r="K3" s="32" t="s">
        <v>18</v>
      </c>
      <c r="L3" s="33" t="s">
        <v>20</v>
      </c>
      <c r="M3" s="33" t="s">
        <v>21</v>
      </c>
      <c r="N3" s="33" t="s">
        <v>24</v>
      </c>
      <c r="O3" s="33" t="s">
        <v>25</v>
      </c>
      <c r="P3" s="33" t="s">
        <v>95</v>
      </c>
      <c r="Q3" s="33" t="s">
        <v>23</v>
      </c>
      <c r="R3" s="32" t="s">
        <v>26</v>
      </c>
      <c r="S3" s="26" t="s">
        <v>96</v>
      </c>
      <c r="T3" s="26" t="s">
        <v>28</v>
      </c>
      <c r="U3" s="34" t="s">
        <v>97</v>
      </c>
      <c r="V3" s="34" t="s">
        <v>30</v>
      </c>
      <c r="W3" s="34" t="s">
        <v>31</v>
      </c>
      <c r="X3" s="34" t="s">
        <v>32</v>
      </c>
      <c r="Y3" s="34" t="s">
        <v>33</v>
      </c>
      <c r="Z3" s="34" t="s">
        <v>34</v>
      </c>
      <c r="AA3" s="34" t="s">
        <v>35</v>
      </c>
      <c r="AB3" s="34" t="s">
        <v>36</v>
      </c>
      <c r="AC3" s="35" t="s">
        <v>37</v>
      </c>
      <c r="AD3" s="35" t="s">
        <v>38</v>
      </c>
      <c r="AE3" s="35" t="s">
        <v>39</v>
      </c>
      <c r="AF3" s="35" t="s">
        <v>40</v>
      </c>
      <c r="AG3" s="35" t="s">
        <v>41</v>
      </c>
      <c r="AH3" s="35" t="s">
        <v>42</v>
      </c>
      <c r="AI3" s="35" t="s">
        <v>43</v>
      </c>
      <c r="AJ3" s="35" t="s">
        <v>44</v>
      </c>
      <c r="AK3" s="35" t="s">
        <v>45</v>
      </c>
      <c r="AL3" s="35" t="s">
        <v>46</v>
      </c>
      <c r="AM3" s="35" t="s">
        <v>47</v>
      </c>
      <c r="AN3" s="35" t="s">
        <v>48</v>
      </c>
      <c r="AO3" s="35" t="s">
        <v>49</v>
      </c>
      <c r="AP3" s="35" t="s">
        <v>50</v>
      </c>
      <c r="AQ3" s="35" t="s">
        <v>51</v>
      </c>
      <c r="AR3" s="37" t="s">
        <v>98</v>
      </c>
      <c r="AS3" s="26" t="s">
        <v>53</v>
      </c>
      <c r="AT3" s="26" t="s">
        <v>51</v>
      </c>
      <c r="AU3" s="38" t="s">
        <v>54</v>
      </c>
      <c r="AV3" s="38" t="s">
        <v>55</v>
      </c>
      <c r="AW3" s="38" t="s">
        <v>56</v>
      </c>
      <c r="AX3" s="38" t="s">
        <v>57</v>
      </c>
      <c r="AY3" s="38" t="s">
        <v>58</v>
      </c>
      <c r="AZ3" s="38" t="s">
        <v>59</v>
      </c>
      <c r="BA3" s="38" t="s">
        <v>60</v>
      </c>
      <c r="BB3" s="38" t="s">
        <v>61</v>
      </c>
      <c r="BC3" s="38" t="s">
        <v>62</v>
      </c>
      <c r="BD3" s="38" t="s">
        <v>63</v>
      </c>
      <c r="BE3" s="38" t="s">
        <v>64</v>
      </c>
      <c r="BF3" s="38" t="s">
        <v>65</v>
      </c>
      <c r="BG3" s="38" t="s">
        <v>66</v>
      </c>
      <c r="BH3" s="38" t="s">
        <v>67</v>
      </c>
      <c r="BI3" s="38" t="s">
        <v>68</v>
      </c>
      <c r="BJ3" s="38" t="s">
        <v>69</v>
      </c>
      <c r="BK3" s="38" t="s">
        <v>70</v>
      </c>
      <c r="BL3" s="38" t="s">
        <v>71</v>
      </c>
      <c r="BM3" s="38" t="s">
        <v>72</v>
      </c>
      <c r="BN3" s="38" t="s">
        <v>73</v>
      </c>
      <c r="BO3" s="38" t="s">
        <v>59</v>
      </c>
      <c r="BP3" s="38" t="s">
        <v>74</v>
      </c>
      <c r="BQ3" s="38" t="s">
        <v>28</v>
      </c>
    </row>
    <row r="4" ht="15.75" spans="1:69">
      <c r="A4" s="27">
        <v>1</v>
      </c>
      <c r="B4" s="27" t="s">
        <v>116</v>
      </c>
      <c r="C4" s="27" t="s">
        <v>116</v>
      </c>
      <c r="D4" s="27" t="s">
        <v>76</v>
      </c>
      <c r="E4" s="27" t="s">
        <v>76</v>
      </c>
      <c r="F4" s="28">
        <v>4</v>
      </c>
      <c r="G4" s="28">
        <v>100</v>
      </c>
      <c r="H4" s="28">
        <f>F4*G4</f>
        <v>400</v>
      </c>
      <c r="I4" s="29" t="s">
        <v>102</v>
      </c>
      <c r="J4" s="28">
        <v>2</v>
      </c>
      <c r="K4" s="28">
        <v>2</v>
      </c>
      <c r="L4" s="28">
        <f>H4</f>
        <v>400</v>
      </c>
      <c r="M4" s="28">
        <f>ROUND(L4*I4%,2)</f>
        <v>8</v>
      </c>
      <c r="N4" s="28">
        <f>H4-M4</f>
        <v>392</v>
      </c>
      <c r="O4" s="28">
        <f>ROUND(N4*J4%,2)</f>
        <v>7.84</v>
      </c>
      <c r="P4" s="28">
        <f>ROUND(N4-O4,2)</f>
        <v>384.16</v>
      </c>
      <c r="Q4" s="28">
        <f>ROUND(P4*K4%,2)</f>
        <v>7.68</v>
      </c>
      <c r="R4" s="28">
        <f>M4+O4+Q4</f>
        <v>23.52</v>
      </c>
      <c r="S4" s="28">
        <f>(H4-R4)</f>
        <v>376.48</v>
      </c>
      <c r="T4" s="28" t="s">
        <v>77</v>
      </c>
      <c r="U4" s="15">
        <v>18</v>
      </c>
      <c r="V4" s="15">
        <f>IF(OR($C$2=1,$C$2=4),ROUND((((S4*U4)/100)/2),2),0)</f>
        <v>0</v>
      </c>
      <c r="W4" s="15">
        <f>IF($C$2=1,ROUND((((S4*U4)/100)/2),2),0)</f>
        <v>0</v>
      </c>
      <c r="X4" s="15">
        <f>IF($C$2=2,ROUND(((S4*U4)/100),2),0)</f>
        <v>67.77</v>
      </c>
      <c r="Y4" s="15">
        <f>IF($C$2=4,ROUND((((S4*U4)/100)/2),2),0)</f>
        <v>0</v>
      </c>
      <c r="Z4" s="15">
        <v>0</v>
      </c>
      <c r="AA4" s="15">
        <f>IF($C2=3,0,(S4*Z4)/100)</f>
        <v>0</v>
      </c>
      <c r="AB4" s="15">
        <f>V4+W4+X4+Y4+AA4</f>
        <v>67.77</v>
      </c>
      <c r="AC4" s="28">
        <f>IF($V2=1,S4+AB4,S4)</f>
        <v>444.25</v>
      </c>
      <c r="AD4" s="28">
        <v>120</v>
      </c>
      <c r="AE4" s="28">
        <f>IF($P$2=1,(S4/$S$4)*$E$35,AD4/$AD$4*$E$35)</f>
        <v>0</v>
      </c>
      <c r="AF4" s="28"/>
      <c r="AG4" s="28">
        <f>IF($P$2=1,(S4/$S$4)*$E$37,AD4/$AD$4*$E$37)</f>
        <v>0</v>
      </c>
      <c r="AH4" s="28">
        <f>IF($P$2=1,(S4/$S$4)*$E$37,AD4/$AD$4*$E$37)</f>
        <v>0</v>
      </c>
      <c r="AI4" s="28">
        <f>S4*$M$21</f>
        <v>0</v>
      </c>
      <c r="AJ4" s="28">
        <f>IF($C$2=3,0,AG4+AH4)</f>
        <v>0</v>
      </c>
      <c r="AK4" s="28">
        <f>IF($C$2=3,AE4+AG4+AH4,0)</f>
        <v>0</v>
      </c>
      <c r="AL4" s="28">
        <v>1</v>
      </c>
      <c r="AM4" s="28">
        <f>F4/AL4</f>
        <v>4</v>
      </c>
      <c r="AN4" s="28">
        <f>AI4/AM4</f>
        <v>0</v>
      </c>
      <c r="AO4" s="28">
        <f>AJ4/AM4</f>
        <v>0</v>
      </c>
      <c r="AP4" s="28">
        <f>AK4/AM4</f>
        <v>0</v>
      </c>
      <c r="AQ4" s="28" t="s">
        <v>76</v>
      </c>
      <c r="AR4" s="28">
        <f>AN4+AO4+AP4</f>
        <v>0</v>
      </c>
      <c r="AS4" s="28" t="s">
        <v>78</v>
      </c>
      <c r="AT4" s="28" t="s">
        <v>76</v>
      </c>
      <c r="AW4" s="28">
        <f>AM4</f>
        <v>4</v>
      </c>
      <c r="AX4" s="28">
        <f>AR4</f>
        <v>0</v>
      </c>
      <c r="AY4" s="28">
        <f>AU4+AW4</f>
        <v>4</v>
      </c>
      <c r="AZ4" s="28">
        <f>ROUND(((AU4*AV4)+(AW4*AX4))/(AU4+AW4),5)</f>
        <v>0</v>
      </c>
      <c r="BA4" s="39"/>
      <c r="BB4" s="39" t="s">
        <v>81</v>
      </c>
      <c r="BC4" s="39" t="s">
        <v>82</v>
      </c>
      <c r="BD4" s="40" t="s">
        <v>83</v>
      </c>
      <c r="BE4" s="40" t="s">
        <v>84</v>
      </c>
      <c r="BF4" s="39"/>
      <c r="BG4" s="39"/>
      <c r="BH4" s="39"/>
      <c r="BI4" s="28"/>
      <c r="BJ4" s="28"/>
      <c r="BK4" s="28"/>
      <c r="BL4" s="41" t="s">
        <v>85</v>
      </c>
      <c r="BM4" t="s">
        <v>100</v>
      </c>
      <c r="BN4" t="s">
        <v>100</v>
      </c>
      <c r="BO4" s="28">
        <f>ROUND((((AW4*AZ4)+(BN4*BM4))/(AW4+BN4)),5)</f>
        <v>0</v>
      </c>
      <c r="BP4" s="39">
        <f>BN4+AW4</f>
        <v>4</v>
      </c>
      <c r="BQ4" s="42">
        <v>88363222</v>
      </c>
    </row>
    <row r="5" spans="1:69">
      <c r="A5" s="27"/>
      <c r="B5" s="29"/>
      <c r="C5" s="29"/>
      <c r="D5" s="30" t="s">
        <v>88</v>
      </c>
      <c r="E5" s="30"/>
      <c r="F5" s="30"/>
      <c r="G5" s="30"/>
      <c r="H5" s="31">
        <f>SUM(H4:H4)</f>
        <v>400</v>
      </c>
      <c r="I5" s="27"/>
      <c r="J5" s="27"/>
      <c r="K5" s="27"/>
      <c r="L5" s="27"/>
      <c r="M5" s="27"/>
      <c r="N5" s="27"/>
      <c r="O5" s="27"/>
      <c r="P5" s="27"/>
      <c r="Q5" s="27"/>
      <c r="R5" s="31">
        <f t="shared" ref="R5:X5" si="0">SUM(R4:R4)</f>
        <v>23.52</v>
      </c>
      <c r="S5" s="31">
        <f t="shared" si="0"/>
        <v>376.48</v>
      </c>
      <c r="T5" s="30"/>
      <c r="U5" s="30"/>
      <c r="V5" s="31">
        <f t="shared" si="0"/>
        <v>0</v>
      </c>
      <c r="W5" s="31">
        <f t="shared" si="0"/>
        <v>0</v>
      </c>
      <c r="X5" s="31">
        <f t="shared" si="0"/>
        <v>67.77</v>
      </c>
      <c r="Y5" s="43"/>
      <c r="Z5" s="43"/>
      <c r="AA5" s="43"/>
      <c r="AB5" s="31">
        <f t="shared" ref="AB5:AE5" si="1">SUM(AB4:AB4)</f>
        <v>67.77</v>
      </c>
      <c r="AC5" s="31">
        <f t="shared" si="1"/>
        <v>444.25</v>
      </c>
      <c r="AD5" s="31">
        <f t="shared" si="1"/>
        <v>120</v>
      </c>
      <c r="AE5" s="31">
        <f t="shared" si="1"/>
        <v>0</v>
      </c>
      <c r="AF5" s="36"/>
      <c r="AG5" s="31">
        <f t="shared" ref="AG5:AK5" si="2">SUM(AG4:AG4)</f>
        <v>0</v>
      </c>
      <c r="AH5" s="31">
        <f t="shared" si="2"/>
        <v>0</v>
      </c>
      <c r="AI5" s="31">
        <f t="shared" si="2"/>
        <v>0</v>
      </c>
      <c r="AJ5" s="31">
        <f t="shared" si="2"/>
        <v>0</v>
      </c>
      <c r="AK5" s="31">
        <f t="shared" si="2"/>
        <v>0</v>
      </c>
      <c r="AL5" s="36"/>
      <c r="AM5" s="36"/>
      <c r="AN5" s="36"/>
      <c r="AO5" s="36"/>
      <c r="AP5" s="36"/>
      <c r="AQ5" s="36"/>
      <c r="AR5" s="36"/>
      <c r="AS5" s="27"/>
      <c r="AT5" s="27"/>
      <c r="AU5" s="29"/>
      <c r="AV5" s="29"/>
      <c r="AW5" s="27"/>
      <c r="AX5" s="27"/>
      <c r="AY5" s="27"/>
      <c r="AZ5" s="27"/>
      <c r="BA5" s="27"/>
      <c r="BB5" s="27"/>
      <c r="BC5" s="27"/>
      <c r="BD5" s="27"/>
      <c r="BE5" s="27"/>
      <c r="BF5" s="27"/>
      <c r="BG5" s="27"/>
      <c r="BH5" s="27"/>
      <c r="BI5" s="27"/>
      <c r="BJ5" s="27"/>
      <c r="BK5" s="27"/>
      <c r="BL5" s="27"/>
      <c r="BM5" s="27"/>
      <c r="BN5" s="27"/>
      <c r="BO5" s="27"/>
      <c r="BP5" s="29"/>
      <c r="BQ5" s="29"/>
    </row>
  </sheetData>
  <mergeCells count="1">
    <mergeCell ref="A2:B2"/>
  </mergeCells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Q5"/>
  <sheetViews>
    <sheetView topLeftCell="P1" workbookViewId="0">
      <selection activeCell="U4" sqref="U4:AB4"/>
    </sheetView>
  </sheetViews>
  <sheetFormatPr defaultColWidth="8.7047619047619" defaultRowHeight="15" outlineLevelRow="4"/>
  <cols>
    <col min="1" max="1" width="5.14285714285714" customWidth="1"/>
    <col min="2" max="3" width="24.7142857142857" customWidth="1"/>
    <col min="4" max="4" width="79.4285714285714" customWidth="1"/>
    <col min="5" max="5" width="11.5714285714286" customWidth="1"/>
    <col min="6" max="6" width="5.14285714285714" customWidth="1"/>
    <col min="7" max="7" width="11" customWidth="1"/>
    <col min="8" max="8" width="12.7142857142857" customWidth="1"/>
    <col min="9" max="9" width="5.85714285714286" customWidth="1"/>
    <col min="10" max="10" width="6" customWidth="1"/>
    <col min="11" max="11" width="5.85714285714286" customWidth="1"/>
    <col min="12" max="12" width="14.2857142857143" customWidth="1"/>
    <col min="13" max="13" width="9.42857142857143" customWidth="1"/>
    <col min="14" max="14" width="14.4285714285714" customWidth="1"/>
    <col min="15" max="15" width="15.5714285714286" customWidth="1"/>
    <col min="16" max="16" width="14.4285714285714" customWidth="1"/>
    <col min="17" max="17" width="39.4285714285714" customWidth="1"/>
    <col min="18" max="18" width="11.7142857142857" customWidth="1"/>
    <col min="19" max="19" width="11.8571428571429" customWidth="1"/>
    <col min="20" max="20" width="6.42857142857143" customWidth="1"/>
    <col min="21" max="22" width="6.57142857142857" customWidth="1"/>
    <col min="23" max="23" width="37.1428571428571" customWidth="1"/>
    <col min="24" max="25" width="8" customWidth="1"/>
    <col min="26" max="26" width="7.71428571428571" customWidth="1"/>
    <col min="27" max="27" width="6.28571428571429" customWidth="1"/>
    <col min="28" max="28" width="9.28571428571429" customWidth="1"/>
    <col min="29" max="29" width="9.71428571428571" customWidth="1"/>
    <col min="30" max="30" width="12.8571428571429" customWidth="1"/>
    <col min="31" max="31" width="16.1428571428571" customWidth="1"/>
    <col min="32" max="32" width="15.4285714285714" customWidth="1"/>
    <col min="33" max="33" width="24.5714285714286" customWidth="1"/>
    <col min="34" max="34" width="8.57142857142857" customWidth="1"/>
    <col min="35" max="35" width="14.7142857142857" customWidth="1"/>
    <col min="36" max="36" width="18.5714285714286" customWidth="1"/>
    <col min="37" max="37" width="14.1428571428571" customWidth="1"/>
    <col min="38" max="38" width="14.7142857142857" customWidth="1"/>
    <col min="39" max="39" width="17.4285714285714" customWidth="1"/>
    <col min="40" max="40" width="22" customWidth="1"/>
    <col min="41" max="41" width="17.5714285714286" customWidth="1"/>
    <col min="42" max="42" width="25.2857142857143" customWidth="1"/>
    <col min="43" max="43" width="13" customWidth="1"/>
    <col min="44" max="44" width="23.7142857142857" customWidth="1"/>
    <col min="45" max="45" width="10" customWidth="1"/>
    <col min="46" max="46" width="13" customWidth="1"/>
    <col min="47" max="47" width="15.5714285714286" customWidth="1"/>
    <col min="48" max="48" width="21.1428571428571" customWidth="1"/>
    <col min="49" max="49" width="11.5714285714286" customWidth="1"/>
    <col min="50" max="50" width="16.7142857142857" customWidth="1"/>
    <col min="51" max="51" width="14" customWidth="1"/>
    <col min="52" max="52" width="19.4285714285714" customWidth="1"/>
    <col min="53" max="53" width="18.8571428571429" customWidth="1"/>
    <col min="54" max="54" width="23.2857142857143" customWidth="1"/>
    <col min="55" max="55" width="15.5714285714286" customWidth="1"/>
    <col min="56" max="56" width="14.2857142857143" customWidth="1"/>
    <col min="57" max="57" width="17" customWidth="1"/>
    <col min="58" max="58" width="16.2857142857143" customWidth="1"/>
    <col min="59" max="59" width="13.5714285714286" customWidth="1"/>
    <col min="60" max="61" width="12.7142857142857" customWidth="1"/>
    <col min="62" max="62" width="21.8571428571429" customWidth="1"/>
    <col min="63" max="63" width="30.5714285714286" customWidth="1"/>
    <col min="64" max="64" width="10" customWidth="1"/>
    <col min="65" max="65" width="42.5714285714286" customWidth="1"/>
    <col min="66" max="66" width="38.1428571428571" customWidth="1"/>
    <col min="67" max="67" width="19.4285714285714" customWidth="1"/>
    <col min="68" max="68" width="35.4285714285714" customWidth="1"/>
    <col min="69" max="69" width="9.57142857142857" customWidth="1"/>
  </cols>
  <sheetData>
    <row r="1" spans="1:69">
      <c r="A1" s="1" t="s">
        <v>0</v>
      </c>
      <c r="B1" s="2"/>
      <c r="C1" s="2"/>
      <c r="D1" s="2"/>
      <c r="E1" s="2"/>
      <c r="F1" s="2"/>
      <c r="G1" s="2"/>
      <c r="H1" s="1"/>
      <c r="I1" s="10"/>
      <c r="J1" s="10"/>
      <c r="K1" s="10"/>
      <c r="L1" s="10"/>
      <c r="M1" s="10"/>
      <c r="N1" s="10"/>
      <c r="O1" s="10"/>
      <c r="P1" s="10"/>
      <c r="Q1" s="10"/>
      <c r="R1" s="1"/>
      <c r="S1" s="1"/>
      <c r="T1" s="1"/>
      <c r="U1" s="1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23"/>
      <c r="BQ1" s="23"/>
    </row>
    <row r="2" spans="1:69">
      <c r="A2" s="3" t="s">
        <v>1</v>
      </c>
      <c r="B2" s="3"/>
      <c r="C2" s="24">
        <v>2</v>
      </c>
      <c r="D2" s="4" t="s">
        <v>2</v>
      </c>
      <c r="E2" s="24"/>
      <c r="F2" s="24"/>
      <c r="G2" s="24"/>
      <c r="H2" s="25"/>
      <c r="I2" s="27" t="s">
        <v>3</v>
      </c>
      <c r="J2" s="27" t="s">
        <v>4</v>
      </c>
      <c r="K2" s="27"/>
      <c r="L2" s="27" t="s">
        <v>5</v>
      </c>
      <c r="M2" s="27">
        <v>1</v>
      </c>
      <c r="N2" s="27"/>
      <c r="O2" s="27" t="s">
        <v>6</v>
      </c>
      <c r="P2" s="27">
        <v>2</v>
      </c>
      <c r="Q2" s="27" t="s">
        <v>7</v>
      </c>
      <c r="R2" s="25"/>
      <c r="S2" s="25"/>
      <c r="T2" s="25"/>
      <c r="U2" s="25"/>
      <c r="V2" s="25">
        <v>1</v>
      </c>
      <c r="W2" s="25" t="s">
        <v>8</v>
      </c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  <c r="AR2" s="27"/>
      <c r="AS2" s="27"/>
      <c r="AT2" s="27"/>
      <c r="AU2" s="27"/>
      <c r="AV2" s="27"/>
      <c r="AW2" s="27"/>
      <c r="AX2" s="27"/>
      <c r="AY2" s="27"/>
      <c r="AZ2" s="27"/>
      <c r="BA2" s="27"/>
      <c r="BB2" s="27"/>
      <c r="BC2" s="27"/>
      <c r="BD2" s="27"/>
      <c r="BE2" s="27"/>
      <c r="BF2" s="27"/>
      <c r="BG2" s="27"/>
      <c r="BH2" s="27"/>
      <c r="BI2" s="27"/>
      <c r="BJ2" s="27"/>
      <c r="BK2" s="27"/>
      <c r="BL2" s="27"/>
      <c r="BM2" s="27"/>
      <c r="BN2" s="27"/>
      <c r="BO2" s="27"/>
      <c r="BP2" s="29"/>
      <c r="BQ2" s="29"/>
    </row>
    <row r="3" ht="15.75" spans="1:69">
      <c r="A3" s="26" t="s">
        <v>9</v>
      </c>
      <c r="B3" s="26" t="s">
        <v>10</v>
      </c>
      <c r="C3" s="26" t="s">
        <v>11</v>
      </c>
      <c r="D3" s="26" t="s">
        <v>12</v>
      </c>
      <c r="E3" s="26" t="s">
        <v>13</v>
      </c>
      <c r="F3" s="26" t="s">
        <v>14</v>
      </c>
      <c r="G3" s="26" t="s">
        <v>15</v>
      </c>
      <c r="H3" s="26" t="s">
        <v>16</v>
      </c>
      <c r="I3" s="32" t="s">
        <v>17</v>
      </c>
      <c r="J3" s="32" t="s">
        <v>19</v>
      </c>
      <c r="K3" s="32" t="s">
        <v>18</v>
      </c>
      <c r="L3" s="33" t="s">
        <v>20</v>
      </c>
      <c r="M3" s="33" t="s">
        <v>21</v>
      </c>
      <c r="N3" s="33" t="s">
        <v>24</v>
      </c>
      <c r="O3" s="33" t="s">
        <v>25</v>
      </c>
      <c r="P3" s="33" t="s">
        <v>95</v>
      </c>
      <c r="Q3" s="33" t="s">
        <v>23</v>
      </c>
      <c r="R3" s="32" t="s">
        <v>26</v>
      </c>
      <c r="S3" s="26" t="s">
        <v>96</v>
      </c>
      <c r="T3" s="26" t="s">
        <v>28</v>
      </c>
      <c r="U3" s="34" t="s">
        <v>97</v>
      </c>
      <c r="V3" s="34" t="s">
        <v>30</v>
      </c>
      <c r="W3" s="34" t="s">
        <v>31</v>
      </c>
      <c r="X3" s="34" t="s">
        <v>32</v>
      </c>
      <c r="Y3" s="34" t="s">
        <v>33</v>
      </c>
      <c r="Z3" s="34" t="s">
        <v>34</v>
      </c>
      <c r="AA3" s="34" t="s">
        <v>35</v>
      </c>
      <c r="AB3" s="34" t="s">
        <v>36</v>
      </c>
      <c r="AC3" s="35" t="s">
        <v>37</v>
      </c>
      <c r="AD3" s="35" t="s">
        <v>38</v>
      </c>
      <c r="AE3" s="35" t="s">
        <v>39</v>
      </c>
      <c r="AF3" s="35" t="s">
        <v>40</v>
      </c>
      <c r="AG3" s="35" t="s">
        <v>41</v>
      </c>
      <c r="AH3" s="35" t="s">
        <v>42</v>
      </c>
      <c r="AI3" s="35" t="s">
        <v>43</v>
      </c>
      <c r="AJ3" s="35" t="s">
        <v>44</v>
      </c>
      <c r="AK3" s="35" t="s">
        <v>45</v>
      </c>
      <c r="AL3" s="35" t="s">
        <v>46</v>
      </c>
      <c r="AM3" s="35" t="s">
        <v>47</v>
      </c>
      <c r="AN3" s="35" t="s">
        <v>48</v>
      </c>
      <c r="AO3" s="35" t="s">
        <v>49</v>
      </c>
      <c r="AP3" s="35" t="s">
        <v>50</v>
      </c>
      <c r="AQ3" s="35" t="s">
        <v>51</v>
      </c>
      <c r="AR3" s="37" t="s">
        <v>98</v>
      </c>
      <c r="AS3" s="26" t="s">
        <v>53</v>
      </c>
      <c r="AT3" s="26" t="s">
        <v>51</v>
      </c>
      <c r="AU3" s="38" t="s">
        <v>54</v>
      </c>
      <c r="AV3" s="38" t="s">
        <v>55</v>
      </c>
      <c r="AW3" s="38" t="s">
        <v>56</v>
      </c>
      <c r="AX3" s="38" t="s">
        <v>57</v>
      </c>
      <c r="AY3" s="38" t="s">
        <v>58</v>
      </c>
      <c r="AZ3" s="38" t="s">
        <v>59</v>
      </c>
      <c r="BA3" s="38" t="s">
        <v>60</v>
      </c>
      <c r="BB3" s="38" t="s">
        <v>61</v>
      </c>
      <c r="BC3" s="38" t="s">
        <v>62</v>
      </c>
      <c r="BD3" s="38" t="s">
        <v>63</v>
      </c>
      <c r="BE3" s="38" t="s">
        <v>64</v>
      </c>
      <c r="BF3" s="38" t="s">
        <v>65</v>
      </c>
      <c r="BG3" s="38" t="s">
        <v>66</v>
      </c>
      <c r="BH3" s="38" t="s">
        <v>67</v>
      </c>
      <c r="BI3" s="38" t="s">
        <v>68</v>
      </c>
      <c r="BJ3" s="38" t="s">
        <v>69</v>
      </c>
      <c r="BK3" s="38" t="s">
        <v>70</v>
      </c>
      <c r="BL3" s="38" t="s">
        <v>71</v>
      </c>
      <c r="BM3" s="38" t="s">
        <v>72</v>
      </c>
      <c r="BN3" s="38" t="s">
        <v>73</v>
      </c>
      <c r="BO3" s="38" t="s">
        <v>59</v>
      </c>
      <c r="BP3" s="38" t="s">
        <v>74</v>
      </c>
      <c r="BQ3" s="38" t="s">
        <v>28</v>
      </c>
    </row>
    <row r="4" ht="15.75" spans="1:69">
      <c r="A4" s="27">
        <v>1</v>
      </c>
      <c r="B4" s="27" t="s">
        <v>117</v>
      </c>
      <c r="C4" s="27" t="s">
        <v>117</v>
      </c>
      <c r="D4" s="27" t="s">
        <v>76</v>
      </c>
      <c r="E4" s="27" t="s">
        <v>76</v>
      </c>
      <c r="F4" s="28">
        <v>4</v>
      </c>
      <c r="G4" s="28">
        <v>100</v>
      </c>
      <c r="H4" s="28">
        <f>F4*G4</f>
        <v>400</v>
      </c>
      <c r="I4" s="29">
        <v>0</v>
      </c>
      <c r="J4" s="28">
        <v>2</v>
      </c>
      <c r="K4" s="28">
        <v>2</v>
      </c>
      <c r="L4" s="28">
        <f>H4</f>
        <v>400</v>
      </c>
      <c r="M4" s="28">
        <f>ROUND(L4*I4%,2)</f>
        <v>0</v>
      </c>
      <c r="N4" s="28">
        <f>H4-M4</f>
        <v>400</v>
      </c>
      <c r="O4" s="28">
        <f>ROUND(N4*J4%,2)</f>
        <v>8</v>
      </c>
      <c r="P4" s="28">
        <f>ROUND(N4-O4,2)</f>
        <v>392</v>
      </c>
      <c r="Q4" s="28">
        <f>ROUND(P4*K4%,2)</f>
        <v>7.84</v>
      </c>
      <c r="R4" s="28">
        <f>M4+O4+Q4</f>
        <v>15.84</v>
      </c>
      <c r="S4" s="28">
        <f>(H4-R4)</f>
        <v>384.16</v>
      </c>
      <c r="T4" s="28" t="s">
        <v>77</v>
      </c>
      <c r="U4" s="15">
        <v>18</v>
      </c>
      <c r="V4" s="15">
        <f>IF(OR($C$2=1,$C$2=4),ROUND((((S4*U4)/100)/2),2),0)</f>
        <v>0</v>
      </c>
      <c r="W4" s="15">
        <f>IF($C$2=1,ROUND((((S4*U4)/100)/2),2),0)</f>
        <v>0</v>
      </c>
      <c r="X4" s="15">
        <f>IF($C$2=2,ROUND(((S4*U4)/100),2),0)</f>
        <v>69.15</v>
      </c>
      <c r="Y4" s="15">
        <f>IF($C$2=4,ROUND((((S4*U4)/100)/2),2),0)</f>
        <v>0</v>
      </c>
      <c r="Z4" s="15">
        <v>0</v>
      </c>
      <c r="AA4" s="15">
        <f>IF($C2=3,0,(S4*Z4)/100)</f>
        <v>0</v>
      </c>
      <c r="AB4" s="15">
        <f>V4+W4+X4+Y4+AA4</f>
        <v>69.15</v>
      </c>
      <c r="AC4" s="28">
        <f>IF($V2=1,S4+AB4,S4)</f>
        <v>453.31</v>
      </c>
      <c r="AD4" s="28">
        <v>120</v>
      </c>
      <c r="AE4" s="28">
        <f>IF($P$2=1,(S4/$S$4)*$E$35,AD4/$AD$4*$E$35)</f>
        <v>0</v>
      </c>
      <c r="AF4" s="28"/>
      <c r="AG4" s="28">
        <f>IF($P$2=1,(S4/$S$4)*$E$37,AD4/$AD$4*$E$37)</f>
        <v>0</v>
      </c>
      <c r="AH4" s="28">
        <f>IF($P$2=1,(S4/$S$4)*$E$37,AD4/$AD$4*$E$37)</f>
        <v>0</v>
      </c>
      <c r="AI4" s="28">
        <f>S4*$M$21</f>
        <v>0</v>
      </c>
      <c r="AJ4" s="28">
        <f>IF($C$2=3,0,AG4+AH4)</f>
        <v>0</v>
      </c>
      <c r="AK4" s="28">
        <f>IF($C$2=3,AE4+AG4+AH4,0)</f>
        <v>0</v>
      </c>
      <c r="AL4" s="28">
        <v>1</v>
      </c>
      <c r="AM4" s="28">
        <f>F4/AL4</f>
        <v>4</v>
      </c>
      <c r="AN4" s="28">
        <f>AI4/AM4</f>
        <v>0</v>
      </c>
      <c r="AO4" s="28">
        <f>AJ4/AM4</f>
        <v>0</v>
      </c>
      <c r="AP4" s="28">
        <f>AK4/AM4</f>
        <v>0</v>
      </c>
      <c r="AQ4" s="28" t="s">
        <v>76</v>
      </c>
      <c r="AR4" s="28">
        <f>AN4+AO4+AP4</f>
        <v>0</v>
      </c>
      <c r="AS4" s="28" t="s">
        <v>78</v>
      </c>
      <c r="AT4" s="28" t="s">
        <v>76</v>
      </c>
      <c r="AU4" t="s">
        <v>118</v>
      </c>
      <c r="AV4" t="s">
        <v>119</v>
      </c>
      <c r="AW4" s="28">
        <f>AM4</f>
        <v>4</v>
      </c>
      <c r="AX4" s="28">
        <f>AR4</f>
        <v>0</v>
      </c>
      <c r="AY4" s="28">
        <f>AU4+AW4</f>
        <v>4</v>
      </c>
      <c r="AZ4" s="28">
        <f>ROUND(((AU4*AV4)+(AW4*AX4))/(AU4+AW4),5)</f>
        <v>3286.38004</v>
      </c>
      <c r="BA4" s="39"/>
      <c r="BB4" s="39" t="s">
        <v>81</v>
      </c>
      <c r="BC4" s="39" t="s">
        <v>82</v>
      </c>
      <c r="BD4" s="40" t="s">
        <v>83</v>
      </c>
      <c r="BE4" s="40" t="s">
        <v>84</v>
      </c>
      <c r="BF4" s="39"/>
      <c r="BG4" s="39"/>
      <c r="BH4" s="39"/>
      <c r="BI4" s="28"/>
      <c r="BJ4" s="28"/>
      <c r="BK4" s="28"/>
      <c r="BL4" s="41" t="s">
        <v>85</v>
      </c>
      <c r="BM4" t="s">
        <v>120</v>
      </c>
      <c r="BN4" t="s">
        <v>121</v>
      </c>
      <c r="BO4" s="28">
        <f>ROUND((((AW4*AZ4)+(BN4*BM4))/(AW4+BN4)),5)</f>
        <v>1400.6503</v>
      </c>
      <c r="BP4" s="39">
        <f>BN4+AW4</f>
        <v>4</v>
      </c>
      <c r="BQ4" s="42">
        <v>88363222</v>
      </c>
    </row>
    <row r="5" spans="1:69">
      <c r="A5" s="27"/>
      <c r="B5" s="29"/>
      <c r="C5" s="29"/>
      <c r="D5" s="30" t="s">
        <v>88</v>
      </c>
      <c r="E5" s="30"/>
      <c r="F5" s="30"/>
      <c r="G5" s="30"/>
      <c r="H5" s="31">
        <f>SUM(H4:H4)</f>
        <v>400</v>
      </c>
      <c r="I5" s="27"/>
      <c r="J5" s="27"/>
      <c r="K5" s="27"/>
      <c r="L5" s="27"/>
      <c r="M5" s="27"/>
      <c r="N5" s="27"/>
      <c r="O5" s="27"/>
      <c r="P5" s="27"/>
      <c r="Q5" s="27"/>
      <c r="R5" s="31">
        <f t="shared" ref="R5:AK5" si="0">SUM(R4:R4)</f>
        <v>15.84</v>
      </c>
      <c r="S5" s="31">
        <f t="shared" si="0"/>
        <v>384.16</v>
      </c>
      <c r="T5" s="30"/>
      <c r="U5" s="30"/>
      <c r="V5" s="31">
        <f t="shared" si="0"/>
        <v>0</v>
      </c>
      <c r="W5" s="31">
        <f t="shared" si="0"/>
        <v>0</v>
      </c>
      <c r="X5" s="31">
        <f t="shared" si="0"/>
        <v>69.15</v>
      </c>
      <c r="Y5" s="31">
        <f t="shared" si="0"/>
        <v>0</v>
      </c>
      <c r="Z5" s="31">
        <f t="shared" si="0"/>
        <v>0</v>
      </c>
      <c r="AA5" s="31">
        <f t="shared" si="0"/>
        <v>0</v>
      </c>
      <c r="AB5" s="31">
        <f t="shared" si="0"/>
        <v>69.15</v>
      </c>
      <c r="AC5" s="31">
        <f t="shared" si="0"/>
        <v>453.31</v>
      </c>
      <c r="AD5" s="31">
        <f t="shared" si="0"/>
        <v>120</v>
      </c>
      <c r="AE5" s="31">
        <f t="shared" si="0"/>
        <v>0</v>
      </c>
      <c r="AF5" s="31">
        <f t="shared" si="0"/>
        <v>0</v>
      </c>
      <c r="AG5" s="31">
        <f t="shared" si="0"/>
        <v>0</v>
      </c>
      <c r="AH5" s="31">
        <f t="shared" si="0"/>
        <v>0</v>
      </c>
      <c r="AI5" s="31">
        <f t="shared" si="0"/>
        <v>0</v>
      </c>
      <c r="AJ5" s="31">
        <f t="shared" si="0"/>
        <v>0</v>
      </c>
      <c r="AK5" s="31">
        <f t="shared" si="0"/>
        <v>0</v>
      </c>
      <c r="AL5" s="36"/>
      <c r="AM5" s="36"/>
      <c r="AN5" s="36"/>
      <c r="AO5" s="36"/>
      <c r="AP5" s="36"/>
      <c r="AQ5" s="36"/>
      <c r="AR5" s="36"/>
      <c r="AS5" s="27"/>
      <c r="AT5" s="27"/>
      <c r="AU5" s="29"/>
      <c r="AV5" s="29"/>
      <c r="AW5" s="27"/>
      <c r="AX5" s="27"/>
      <c r="AY5" s="27"/>
      <c r="AZ5" s="27"/>
      <c r="BA5" s="27"/>
      <c r="BB5" s="27"/>
      <c r="BC5" s="27"/>
      <c r="BD5" s="27"/>
      <c r="BE5" s="27"/>
      <c r="BF5" s="27"/>
      <c r="BG5" s="27"/>
      <c r="BH5" s="27"/>
      <c r="BI5" s="27"/>
      <c r="BJ5" s="27"/>
      <c r="BK5" s="27"/>
      <c r="BL5" s="27"/>
      <c r="BM5" s="27"/>
      <c r="BN5" s="27"/>
      <c r="BO5" s="27"/>
      <c r="BP5" s="29"/>
      <c r="BQ5" s="29"/>
    </row>
  </sheetData>
  <mergeCells count="1">
    <mergeCell ref="A2:B2"/>
  </mergeCells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Q5"/>
  <sheetViews>
    <sheetView topLeftCell="O1" workbookViewId="0">
      <selection activeCell="U4" sqref="U4:AB4"/>
    </sheetView>
  </sheetViews>
  <sheetFormatPr defaultColWidth="8.7047619047619" defaultRowHeight="15" outlineLevelRow="4"/>
  <cols>
    <col min="1" max="1" width="5.14285714285714" customWidth="1"/>
    <col min="2" max="3" width="24.7142857142857" customWidth="1"/>
    <col min="4" max="4" width="79.4285714285714" customWidth="1"/>
    <col min="5" max="5" width="11.5714285714286" customWidth="1"/>
    <col min="6" max="6" width="5.14285714285714" customWidth="1"/>
    <col min="7" max="7" width="11" customWidth="1"/>
    <col min="8" max="8" width="12.7142857142857" customWidth="1"/>
    <col min="9" max="9" width="5.85714285714286" customWidth="1"/>
    <col min="10" max="10" width="6" customWidth="1"/>
    <col min="11" max="11" width="5.85714285714286" customWidth="1"/>
    <col min="12" max="12" width="14.2857142857143" customWidth="1"/>
    <col min="13" max="13" width="9.42857142857143" customWidth="1"/>
    <col min="14" max="14" width="14.4285714285714" customWidth="1"/>
    <col min="15" max="15" width="15.5714285714286" customWidth="1"/>
    <col min="16" max="16" width="14.4285714285714" customWidth="1"/>
    <col min="17" max="17" width="39.4285714285714" customWidth="1"/>
    <col min="18" max="18" width="11.7142857142857" customWidth="1"/>
    <col min="19" max="19" width="11.8571428571429" customWidth="1"/>
    <col min="20" max="20" width="6.42857142857143" customWidth="1"/>
    <col min="21" max="22" width="6.57142857142857" customWidth="1"/>
    <col min="23" max="23" width="37.1428571428571" customWidth="1"/>
    <col min="24" max="25" width="8" customWidth="1"/>
    <col min="26" max="26" width="7.71428571428571" customWidth="1"/>
    <col min="27" max="27" width="6.28571428571429" customWidth="1"/>
    <col min="28" max="28" width="9.28571428571429" customWidth="1"/>
    <col min="29" max="29" width="9.71428571428571" customWidth="1"/>
    <col min="30" max="30" width="12.8571428571429" customWidth="1"/>
    <col min="31" max="31" width="16.1428571428571" customWidth="1"/>
    <col min="32" max="32" width="15.4285714285714" customWidth="1"/>
    <col min="33" max="33" width="24.5714285714286" customWidth="1"/>
    <col min="34" max="34" width="8.57142857142857" customWidth="1"/>
    <col min="35" max="35" width="14.7142857142857" customWidth="1"/>
    <col min="36" max="36" width="18.5714285714286" customWidth="1"/>
    <col min="37" max="37" width="14.1428571428571" customWidth="1"/>
    <col min="38" max="38" width="14.7142857142857" customWidth="1"/>
    <col min="39" max="39" width="17.4285714285714" customWidth="1"/>
    <col min="40" max="40" width="22" customWidth="1"/>
    <col min="41" max="41" width="17.5714285714286" customWidth="1"/>
    <col min="42" max="42" width="25.2857142857143" customWidth="1"/>
    <col min="43" max="43" width="13" customWidth="1"/>
    <col min="44" max="44" width="23.7142857142857" customWidth="1"/>
    <col min="45" max="45" width="10" customWidth="1"/>
    <col min="46" max="46" width="13" customWidth="1"/>
    <col min="47" max="47" width="15.5714285714286" customWidth="1"/>
    <col min="48" max="48" width="21.1428571428571" customWidth="1"/>
    <col min="49" max="49" width="11.5714285714286" customWidth="1"/>
    <col min="50" max="50" width="16.7142857142857" customWidth="1"/>
    <col min="51" max="51" width="14" customWidth="1"/>
    <col min="52" max="52" width="19.4285714285714" customWidth="1"/>
    <col min="53" max="53" width="18.8571428571429" customWidth="1"/>
    <col min="54" max="54" width="23.2857142857143" customWidth="1"/>
    <col min="55" max="55" width="15.5714285714286" customWidth="1"/>
    <col min="56" max="56" width="14.2857142857143" customWidth="1"/>
    <col min="57" max="57" width="17" customWidth="1"/>
    <col min="58" max="58" width="16.2857142857143" customWidth="1"/>
    <col min="59" max="59" width="13.5714285714286" customWidth="1"/>
    <col min="60" max="61" width="12.7142857142857" customWidth="1"/>
    <col min="62" max="62" width="21.8571428571429" customWidth="1"/>
    <col min="63" max="63" width="30.5714285714286" customWidth="1"/>
    <col min="64" max="64" width="10" customWidth="1"/>
    <col min="65" max="65" width="42.5714285714286" customWidth="1"/>
    <col min="66" max="66" width="38.1428571428571" customWidth="1"/>
    <col min="67" max="67" width="19.4285714285714" customWidth="1"/>
    <col min="68" max="68" width="35.4285714285714" customWidth="1"/>
    <col min="69" max="69" width="9.57142857142857" customWidth="1"/>
  </cols>
  <sheetData>
    <row r="1" spans="1:69">
      <c r="A1" s="1" t="s">
        <v>0</v>
      </c>
      <c r="B1" s="2"/>
      <c r="C1" s="2"/>
      <c r="D1" s="2"/>
      <c r="E1" s="2"/>
      <c r="F1" s="2"/>
      <c r="G1" s="2"/>
      <c r="H1" s="1"/>
      <c r="I1" s="10"/>
      <c r="J1" s="10"/>
      <c r="K1" s="10"/>
      <c r="L1" s="10"/>
      <c r="M1" s="10"/>
      <c r="N1" s="10"/>
      <c r="O1" s="10"/>
      <c r="P1" s="10"/>
      <c r="Q1" s="10"/>
      <c r="R1" s="1"/>
      <c r="S1" s="1"/>
      <c r="T1" s="1"/>
      <c r="U1" s="1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23"/>
      <c r="BQ1" s="23"/>
    </row>
    <row r="2" spans="1:69">
      <c r="A2" s="3" t="s">
        <v>1</v>
      </c>
      <c r="B2" s="3"/>
      <c r="C2" s="24">
        <v>2</v>
      </c>
      <c r="D2" s="4" t="s">
        <v>2</v>
      </c>
      <c r="E2" s="24"/>
      <c r="F2" s="24"/>
      <c r="G2" s="24"/>
      <c r="H2" s="25"/>
      <c r="I2" s="27" t="s">
        <v>3</v>
      </c>
      <c r="J2" s="27" t="s">
        <v>4</v>
      </c>
      <c r="K2" s="27"/>
      <c r="L2" s="27" t="s">
        <v>5</v>
      </c>
      <c r="M2" s="27">
        <v>1</v>
      </c>
      <c r="N2" s="27"/>
      <c r="O2" s="27" t="s">
        <v>6</v>
      </c>
      <c r="P2" s="27">
        <v>2</v>
      </c>
      <c r="Q2" s="27" t="s">
        <v>7</v>
      </c>
      <c r="R2" s="25"/>
      <c r="S2" s="25"/>
      <c r="T2" s="25"/>
      <c r="U2" s="25"/>
      <c r="V2" s="25">
        <v>1</v>
      </c>
      <c r="W2" s="25" t="s">
        <v>8</v>
      </c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  <c r="AR2" s="27"/>
      <c r="AS2" s="27"/>
      <c r="AT2" s="27"/>
      <c r="AU2" s="27"/>
      <c r="AV2" s="27"/>
      <c r="AW2" s="27"/>
      <c r="AX2" s="27"/>
      <c r="AY2" s="27"/>
      <c r="AZ2" s="27"/>
      <c r="BA2" s="27"/>
      <c r="BB2" s="27"/>
      <c r="BC2" s="27"/>
      <c r="BD2" s="27"/>
      <c r="BE2" s="27"/>
      <c r="BF2" s="27"/>
      <c r="BG2" s="27"/>
      <c r="BH2" s="27"/>
      <c r="BI2" s="27"/>
      <c r="BJ2" s="27"/>
      <c r="BK2" s="27"/>
      <c r="BL2" s="27"/>
      <c r="BM2" s="27"/>
      <c r="BN2" s="27"/>
      <c r="BO2" s="27"/>
      <c r="BP2" s="29"/>
      <c r="BQ2" s="29"/>
    </row>
    <row r="3" ht="15.75" spans="1:69">
      <c r="A3" s="26" t="s">
        <v>9</v>
      </c>
      <c r="B3" s="26" t="s">
        <v>10</v>
      </c>
      <c r="C3" s="26" t="s">
        <v>11</v>
      </c>
      <c r="D3" s="26" t="s">
        <v>12</v>
      </c>
      <c r="E3" s="26" t="s">
        <v>13</v>
      </c>
      <c r="F3" s="26" t="s">
        <v>14</v>
      </c>
      <c r="G3" s="26" t="s">
        <v>15</v>
      </c>
      <c r="H3" s="26" t="s">
        <v>16</v>
      </c>
      <c r="I3" s="32" t="s">
        <v>17</v>
      </c>
      <c r="J3" s="32" t="s">
        <v>19</v>
      </c>
      <c r="K3" s="32" t="s">
        <v>18</v>
      </c>
      <c r="L3" s="33" t="s">
        <v>20</v>
      </c>
      <c r="M3" s="33" t="s">
        <v>21</v>
      </c>
      <c r="N3" s="33" t="s">
        <v>24</v>
      </c>
      <c r="O3" s="33" t="s">
        <v>25</v>
      </c>
      <c r="P3" s="33" t="s">
        <v>95</v>
      </c>
      <c r="Q3" s="33" t="s">
        <v>23</v>
      </c>
      <c r="R3" s="32" t="s">
        <v>26</v>
      </c>
      <c r="S3" s="26" t="s">
        <v>96</v>
      </c>
      <c r="T3" s="26" t="s">
        <v>28</v>
      </c>
      <c r="U3" s="34" t="s">
        <v>97</v>
      </c>
      <c r="V3" s="34" t="s">
        <v>30</v>
      </c>
      <c r="W3" s="34" t="s">
        <v>31</v>
      </c>
      <c r="X3" s="34" t="s">
        <v>32</v>
      </c>
      <c r="Y3" s="34" t="s">
        <v>33</v>
      </c>
      <c r="Z3" s="34" t="s">
        <v>34</v>
      </c>
      <c r="AA3" s="34" t="s">
        <v>35</v>
      </c>
      <c r="AB3" s="34" t="s">
        <v>36</v>
      </c>
      <c r="AC3" s="35" t="s">
        <v>37</v>
      </c>
      <c r="AD3" s="35" t="s">
        <v>38</v>
      </c>
      <c r="AE3" s="35" t="s">
        <v>39</v>
      </c>
      <c r="AF3" s="35" t="s">
        <v>40</v>
      </c>
      <c r="AG3" s="35" t="s">
        <v>41</v>
      </c>
      <c r="AH3" s="35" t="s">
        <v>42</v>
      </c>
      <c r="AI3" s="35" t="s">
        <v>43</v>
      </c>
      <c r="AJ3" s="35" t="s">
        <v>44</v>
      </c>
      <c r="AK3" s="35" t="s">
        <v>45</v>
      </c>
      <c r="AL3" s="35" t="s">
        <v>46</v>
      </c>
      <c r="AM3" s="35" t="s">
        <v>47</v>
      </c>
      <c r="AN3" s="35" t="s">
        <v>48</v>
      </c>
      <c r="AO3" s="35" t="s">
        <v>49</v>
      </c>
      <c r="AP3" s="35" t="s">
        <v>50</v>
      </c>
      <c r="AQ3" s="35" t="s">
        <v>51</v>
      </c>
      <c r="AR3" s="37" t="s">
        <v>98</v>
      </c>
      <c r="AS3" s="26" t="s">
        <v>53</v>
      </c>
      <c r="AT3" s="26" t="s">
        <v>51</v>
      </c>
      <c r="AU3" s="38" t="s">
        <v>54</v>
      </c>
      <c r="AV3" s="38" t="s">
        <v>55</v>
      </c>
      <c r="AW3" s="38" t="s">
        <v>56</v>
      </c>
      <c r="AX3" s="38" t="s">
        <v>57</v>
      </c>
      <c r="AY3" s="38" t="s">
        <v>58</v>
      </c>
      <c r="AZ3" s="38" t="s">
        <v>59</v>
      </c>
      <c r="BA3" s="38" t="s">
        <v>60</v>
      </c>
      <c r="BB3" s="38" t="s">
        <v>61</v>
      </c>
      <c r="BC3" s="38" t="s">
        <v>62</v>
      </c>
      <c r="BD3" s="38" t="s">
        <v>63</v>
      </c>
      <c r="BE3" s="38" t="s">
        <v>64</v>
      </c>
      <c r="BF3" s="38" t="s">
        <v>65</v>
      </c>
      <c r="BG3" s="38" t="s">
        <v>66</v>
      </c>
      <c r="BH3" s="38" t="s">
        <v>67</v>
      </c>
      <c r="BI3" s="38" t="s">
        <v>68</v>
      </c>
      <c r="BJ3" s="38" t="s">
        <v>69</v>
      </c>
      <c r="BK3" s="38" t="s">
        <v>70</v>
      </c>
      <c r="BL3" s="38" t="s">
        <v>71</v>
      </c>
      <c r="BM3" s="38" t="s">
        <v>72</v>
      </c>
      <c r="BN3" s="38" t="s">
        <v>73</v>
      </c>
      <c r="BO3" s="38" t="s">
        <v>59</v>
      </c>
      <c r="BP3" s="38" t="s">
        <v>74</v>
      </c>
      <c r="BQ3" s="38" t="s">
        <v>28</v>
      </c>
    </row>
    <row r="4" ht="15.75" spans="1:69">
      <c r="A4" s="27">
        <v>1</v>
      </c>
      <c r="B4" s="27" t="s">
        <v>122</v>
      </c>
      <c r="C4" s="27" t="s">
        <v>122</v>
      </c>
      <c r="D4" s="27" t="s">
        <v>76</v>
      </c>
      <c r="E4" s="27" t="s">
        <v>76</v>
      </c>
      <c r="F4" s="28">
        <v>4</v>
      </c>
      <c r="G4" s="28">
        <v>100</v>
      </c>
      <c r="H4" s="28">
        <f>F4*G4</f>
        <v>400</v>
      </c>
      <c r="I4" s="29">
        <v>0</v>
      </c>
      <c r="J4" s="28">
        <v>2</v>
      </c>
      <c r="K4" s="28">
        <v>2</v>
      </c>
      <c r="L4" s="28">
        <f>H4</f>
        <v>400</v>
      </c>
      <c r="M4" s="28">
        <f>ROUND(L4*I4%,2)</f>
        <v>0</v>
      </c>
      <c r="N4" s="28">
        <f>H4-M4</f>
        <v>400</v>
      </c>
      <c r="O4" s="28">
        <f>ROUND(N4*J4%,2)</f>
        <v>8</v>
      </c>
      <c r="P4" s="28">
        <f>ROUND(N4-O4,2)</f>
        <v>392</v>
      </c>
      <c r="Q4" s="28">
        <f>ROUND(P4*K4%,2)</f>
        <v>7.84</v>
      </c>
      <c r="R4" s="28">
        <f>M4+O4+Q4</f>
        <v>15.84</v>
      </c>
      <c r="S4" s="28">
        <f>(H4-R4)</f>
        <v>384.16</v>
      </c>
      <c r="T4" s="28" t="s">
        <v>77</v>
      </c>
      <c r="U4" s="15">
        <v>18</v>
      </c>
      <c r="V4" s="15">
        <f>IF(OR($C$2=1,$C$2=4),ROUND((((S4*U4)/100)/2),2),0)</f>
        <v>0</v>
      </c>
      <c r="W4" s="15">
        <f>IF($C$2=1,ROUND((((S4*U4)/100)/2),2),0)</f>
        <v>0</v>
      </c>
      <c r="X4" s="15">
        <f>IF($C$2=2,ROUND(((S4*U4)/100),2),0)</f>
        <v>69.15</v>
      </c>
      <c r="Y4" s="15">
        <f>IF($C$2=4,ROUND((((S4*U4)/100)/2),2),0)</f>
        <v>0</v>
      </c>
      <c r="Z4" s="15">
        <v>0</v>
      </c>
      <c r="AA4" s="15">
        <f>IF($C2=3,0,(S4*Z4)/100)</f>
        <v>0</v>
      </c>
      <c r="AB4" s="15">
        <f>V4+W4+X4+Y4+AA4</f>
        <v>69.15</v>
      </c>
      <c r="AC4" s="28">
        <f>IF($V2=1,S4+AB4,S4)</f>
        <v>453.31</v>
      </c>
      <c r="AD4" s="28">
        <v>120</v>
      </c>
      <c r="AE4" s="28">
        <f>IF($P$2=1,(S4/$S$4)*$E$35,AD4/$AD$4*$E$35)</f>
        <v>0</v>
      </c>
      <c r="AF4" s="28"/>
      <c r="AG4" s="28">
        <f>IF($P$2=1,(S4/$S$4)*$E$37,AD4/$AD$4*$E$37)</f>
        <v>0</v>
      </c>
      <c r="AH4" s="28">
        <f>IF($P$2=1,(S4/$S$4)*$E$37,AD4/$AD$4*$E$37)</f>
        <v>0</v>
      </c>
      <c r="AI4" s="28">
        <f>S4*$M$21</f>
        <v>0</v>
      </c>
      <c r="AJ4" s="28">
        <f>IF($C$2=3,0,AG4+AH4)</f>
        <v>0</v>
      </c>
      <c r="AK4" s="28">
        <f>IF($C$2=3,AE4+AG4+AH4,0)</f>
        <v>0</v>
      </c>
      <c r="AL4" s="28">
        <v>1</v>
      </c>
      <c r="AM4" s="28">
        <f>F4/AL4</f>
        <v>4</v>
      </c>
      <c r="AN4" s="28">
        <f>AI4/AM4</f>
        <v>0</v>
      </c>
      <c r="AO4" s="28">
        <f>AJ4/AM4</f>
        <v>0</v>
      </c>
      <c r="AP4" s="28">
        <f>AK4/AM4</f>
        <v>0</v>
      </c>
      <c r="AQ4" s="28" t="s">
        <v>76</v>
      </c>
      <c r="AR4" s="28">
        <f>AN4+AO4+AP4</f>
        <v>0</v>
      </c>
      <c r="AS4" s="28" t="s">
        <v>78</v>
      </c>
      <c r="AT4" s="28" t="s">
        <v>76</v>
      </c>
      <c r="AU4" t="s">
        <v>123</v>
      </c>
      <c r="AV4" t="s">
        <v>124</v>
      </c>
      <c r="AW4" s="28">
        <f>AM4</f>
        <v>4</v>
      </c>
      <c r="AX4" s="28">
        <f>AR4</f>
        <v>0</v>
      </c>
      <c r="AY4" s="28">
        <f>AU4+AW4</f>
        <v>4</v>
      </c>
      <c r="AZ4" s="28">
        <f>ROUND(((AU4*AV4)+(AW4*AX4))/(AU4+AW4),5)</f>
        <v>1973.21426</v>
      </c>
      <c r="BA4" s="39"/>
      <c r="BB4" s="39" t="s">
        <v>81</v>
      </c>
      <c r="BC4" s="39" t="s">
        <v>82</v>
      </c>
      <c r="BD4" s="40" t="s">
        <v>83</v>
      </c>
      <c r="BE4" s="40" t="s">
        <v>84</v>
      </c>
      <c r="BF4" s="39"/>
      <c r="BG4" s="39"/>
      <c r="BH4" s="39"/>
      <c r="BI4" s="28"/>
      <c r="BJ4" s="28"/>
      <c r="BK4" s="28"/>
      <c r="BL4" s="41" t="s">
        <v>85</v>
      </c>
      <c r="BM4" t="s">
        <v>125</v>
      </c>
      <c r="BN4" t="s">
        <v>126</v>
      </c>
      <c r="BO4" s="28">
        <f>ROUND((((AW4*AZ4)+(BN4*BM4))/(AW4+BN4)),5)</f>
        <v>993.21942</v>
      </c>
      <c r="BP4" s="39">
        <f>BN4+AW4</f>
        <v>4</v>
      </c>
      <c r="BQ4" s="42">
        <v>88363222</v>
      </c>
    </row>
    <row r="5" spans="1:69">
      <c r="A5" s="27"/>
      <c r="B5" s="29"/>
      <c r="C5" s="29"/>
      <c r="D5" s="30" t="s">
        <v>88</v>
      </c>
      <c r="E5" s="30"/>
      <c r="F5" s="30"/>
      <c r="G5" s="30"/>
      <c r="H5" s="31">
        <f>SUM(H4:H4)</f>
        <v>400</v>
      </c>
      <c r="I5" s="27"/>
      <c r="J5" s="27"/>
      <c r="K5" s="27"/>
      <c r="L5" s="27"/>
      <c r="M5" s="27"/>
      <c r="N5" s="27"/>
      <c r="O5" s="27"/>
      <c r="P5" s="27"/>
      <c r="Q5" s="27"/>
      <c r="R5" s="31">
        <f t="shared" ref="R5:X5" si="0">SUM(R4:R4)</f>
        <v>15.84</v>
      </c>
      <c r="S5" s="31">
        <f t="shared" si="0"/>
        <v>384.16</v>
      </c>
      <c r="T5" s="30"/>
      <c r="U5" s="30"/>
      <c r="V5" s="31">
        <f t="shared" si="0"/>
        <v>0</v>
      </c>
      <c r="W5" s="31">
        <f t="shared" si="0"/>
        <v>0</v>
      </c>
      <c r="X5" s="31">
        <f t="shared" si="0"/>
        <v>69.15</v>
      </c>
      <c r="Y5" s="43"/>
      <c r="Z5" s="43"/>
      <c r="AA5" s="43"/>
      <c r="AB5" s="31">
        <f t="shared" ref="AB5:AE5" si="1">SUM(AB4:AB4)</f>
        <v>69.15</v>
      </c>
      <c r="AC5" s="31">
        <f t="shared" si="1"/>
        <v>453.31</v>
      </c>
      <c r="AD5" s="31">
        <f t="shared" si="1"/>
        <v>120</v>
      </c>
      <c r="AE5" s="31">
        <f t="shared" si="1"/>
        <v>0</v>
      </c>
      <c r="AF5" s="36"/>
      <c r="AG5" s="31">
        <f t="shared" ref="AG5:AK5" si="2">SUM(AG4:AG4)</f>
        <v>0</v>
      </c>
      <c r="AH5" s="31">
        <f t="shared" si="2"/>
        <v>0</v>
      </c>
      <c r="AI5" s="31">
        <f t="shared" si="2"/>
        <v>0</v>
      </c>
      <c r="AJ5" s="31">
        <f t="shared" si="2"/>
        <v>0</v>
      </c>
      <c r="AK5" s="31">
        <f t="shared" si="2"/>
        <v>0</v>
      </c>
      <c r="AL5" s="36"/>
      <c r="AM5" s="36"/>
      <c r="AN5" s="36"/>
      <c r="AO5" s="36"/>
      <c r="AP5" s="36"/>
      <c r="AQ5" s="36"/>
      <c r="AR5" s="36"/>
      <c r="AS5" s="27"/>
      <c r="AT5" s="27"/>
      <c r="AU5" s="29"/>
      <c r="AV5" s="29"/>
      <c r="AW5" s="27"/>
      <c r="AX5" s="27"/>
      <c r="AY5" s="27"/>
      <c r="AZ5" s="27"/>
      <c r="BA5" s="27"/>
      <c r="BB5" s="27"/>
      <c r="BC5" s="27"/>
      <c r="BD5" s="27"/>
      <c r="BE5" s="27"/>
      <c r="BF5" s="27"/>
      <c r="BG5" s="27"/>
      <c r="BH5" s="27"/>
      <c r="BI5" s="27"/>
      <c r="BJ5" s="27"/>
      <c r="BK5" s="27"/>
      <c r="BL5" s="27"/>
      <c r="BM5" s="27"/>
      <c r="BN5" s="27"/>
      <c r="BO5" s="27"/>
      <c r="BP5" s="29"/>
      <c r="BQ5" s="29"/>
    </row>
  </sheetData>
  <mergeCells count="1">
    <mergeCell ref="A2:B2"/>
  </mergeCells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Q5"/>
  <sheetViews>
    <sheetView topLeftCell="P1" workbookViewId="0">
      <selection activeCell="U4" sqref="U4:AB4"/>
    </sheetView>
  </sheetViews>
  <sheetFormatPr defaultColWidth="8.7047619047619" defaultRowHeight="15" outlineLevelRow="4"/>
  <cols>
    <col min="1" max="1" width="5.14285714285714" customWidth="1"/>
    <col min="2" max="3" width="25.1428571428571" customWidth="1"/>
    <col min="4" max="4" width="79.4285714285714" customWidth="1"/>
    <col min="5" max="5" width="11.5714285714286" customWidth="1"/>
    <col min="6" max="6" width="5.14285714285714" customWidth="1"/>
    <col min="7" max="7" width="11" customWidth="1"/>
    <col min="8" max="8" width="12.7142857142857" customWidth="1"/>
    <col min="9" max="9" width="5.85714285714286" customWidth="1"/>
    <col min="10" max="10" width="6" customWidth="1"/>
    <col min="11" max="11" width="5.85714285714286" customWidth="1"/>
    <col min="12" max="12" width="14.2857142857143" customWidth="1"/>
    <col min="13" max="13" width="9.42857142857143" customWidth="1"/>
    <col min="14" max="14" width="14.4285714285714" customWidth="1"/>
    <col min="15" max="15" width="15.5714285714286" customWidth="1"/>
    <col min="16" max="16" width="14.4285714285714" customWidth="1"/>
    <col min="17" max="17" width="39.4285714285714" customWidth="1"/>
    <col min="18" max="18" width="11.7142857142857" customWidth="1"/>
    <col min="19" max="19" width="11.8571428571429" customWidth="1"/>
    <col min="20" max="20" width="6.42857142857143" customWidth="1"/>
    <col min="21" max="22" width="6.57142857142857" customWidth="1"/>
    <col min="23" max="23" width="37.1428571428571" customWidth="1"/>
    <col min="24" max="25" width="8" customWidth="1"/>
    <col min="26" max="26" width="7.71428571428571" customWidth="1"/>
    <col min="27" max="27" width="6.28571428571429" customWidth="1"/>
    <col min="28" max="28" width="9.28571428571429" customWidth="1"/>
    <col min="29" max="29" width="9.71428571428571" customWidth="1"/>
    <col min="30" max="30" width="12.8571428571429" customWidth="1"/>
    <col min="31" max="31" width="16.1428571428571" customWidth="1"/>
    <col min="32" max="32" width="15.4285714285714" customWidth="1"/>
    <col min="33" max="33" width="24.5714285714286" customWidth="1"/>
    <col min="34" max="34" width="8.57142857142857" customWidth="1"/>
    <col min="35" max="35" width="14.7142857142857" customWidth="1"/>
    <col min="36" max="36" width="18.5714285714286" customWidth="1"/>
    <col min="37" max="37" width="14.1428571428571" customWidth="1"/>
    <col min="38" max="38" width="14.7142857142857" customWidth="1"/>
    <col min="39" max="39" width="17.4285714285714" customWidth="1"/>
    <col min="40" max="40" width="22" customWidth="1"/>
    <col min="41" max="41" width="17.5714285714286" customWidth="1"/>
    <col min="42" max="42" width="25.2857142857143" customWidth="1"/>
    <col min="43" max="43" width="13" customWidth="1"/>
    <col min="44" max="44" width="23.7142857142857" customWidth="1"/>
    <col min="45" max="45" width="10" customWidth="1"/>
    <col min="46" max="46" width="13" customWidth="1"/>
    <col min="47" max="47" width="15.5714285714286" customWidth="1"/>
    <col min="48" max="48" width="21.1428571428571" customWidth="1"/>
    <col min="49" max="49" width="11.5714285714286" customWidth="1"/>
    <col min="50" max="50" width="16.7142857142857" customWidth="1"/>
    <col min="51" max="51" width="14" customWidth="1"/>
    <col min="52" max="52" width="19.4285714285714" customWidth="1"/>
    <col min="53" max="53" width="18.8571428571429" customWidth="1"/>
    <col min="54" max="54" width="23.2857142857143" customWidth="1"/>
    <col min="55" max="55" width="15.5714285714286" customWidth="1"/>
    <col min="56" max="56" width="14.2857142857143" customWidth="1"/>
    <col min="57" max="57" width="17" customWidth="1"/>
    <col min="58" max="58" width="16.2857142857143" customWidth="1"/>
    <col min="59" max="59" width="13.5714285714286" customWidth="1"/>
    <col min="60" max="61" width="12.7142857142857" customWidth="1"/>
    <col min="62" max="62" width="21.8571428571429" customWidth="1"/>
    <col min="63" max="63" width="30.5714285714286" customWidth="1"/>
    <col min="64" max="64" width="10" customWidth="1"/>
    <col min="65" max="65" width="42.5714285714286" customWidth="1"/>
    <col min="66" max="66" width="38.1428571428571" customWidth="1"/>
    <col min="67" max="67" width="19.4285714285714" customWidth="1"/>
    <col min="68" max="68" width="35.4285714285714" customWidth="1"/>
    <col min="69" max="69" width="9.57142857142857" customWidth="1"/>
  </cols>
  <sheetData>
    <row r="1" spans="1:69">
      <c r="A1" s="1" t="s">
        <v>0</v>
      </c>
      <c r="B1" s="2"/>
      <c r="C1" s="2"/>
      <c r="D1" s="2"/>
      <c r="E1" s="2"/>
      <c r="F1" s="2"/>
      <c r="G1" s="2"/>
      <c r="H1" s="1"/>
      <c r="I1" s="10"/>
      <c r="J1" s="10"/>
      <c r="K1" s="10"/>
      <c r="L1" s="10"/>
      <c r="M1" s="10"/>
      <c r="N1" s="10"/>
      <c r="O1" s="10"/>
      <c r="P1" s="10"/>
      <c r="Q1" s="10"/>
      <c r="R1" s="1"/>
      <c r="S1" s="1"/>
      <c r="T1" s="1"/>
      <c r="U1" s="1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23"/>
      <c r="BQ1" s="23"/>
    </row>
    <row r="2" spans="1:69">
      <c r="A2" s="3" t="s">
        <v>1</v>
      </c>
      <c r="B2" s="3"/>
      <c r="C2" s="24">
        <v>2</v>
      </c>
      <c r="D2" s="4" t="s">
        <v>2</v>
      </c>
      <c r="E2" s="24"/>
      <c r="F2" s="24"/>
      <c r="G2" s="24"/>
      <c r="H2" s="25"/>
      <c r="I2" s="27" t="s">
        <v>3</v>
      </c>
      <c r="J2" s="27" t="s">
        <v>4</v>
      </c>
      <c r="K2" s="27"/>
      <c r="L2" s="27" t="s">
        <v>5</v>
      </c>
      <c r="M2" s="27">
        <v>1</v>
      </c>
      <c r="N2" s="27"/>
      <c r="O2" s="27" t="s">
        <v>6</v>
      </c>
      <c r="P2" s="27">
        <v>2</v>
      </c>
      <c r="Q2" s="27" t="s">
        <v>7</v>
      </c>
      <c r="R2" s="25"/>
      <c r="S2" s="25"/>
      <c r="T2" s="25"/>
      <c r="U2" s="25"/>
      <c r="V2" s="25">
        <v>1</v>
      </c>
      <c r="W2" s="25" t="s">
        <v>8</v>
      </c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  <c r="AR2" s="27"/>
      <c r="AS2" s="27"/>
      <c r="AT2" s="27"/>
      <c r="AU2" s="27"/>
      <c r="AV2" s="27"/>
      <c r="AW2" s="27"/>
      <c r="AX2" s="27"/>
      <c r="AY2" s="27"/>
      <c r="AZ2" s="27"/>
      <c r="BA2" s="27"/>
      <c r="BB2" s="27"/>
      <c r="BC2" s="27"/>
      <c r="BD2" s="27"/>
      <c r="BE2" s="27"/>
      <c r="BF2" s="27"/>
      <c r="BG2" s="27"/>
      <c r="BH2" s="27"/>
      <c r="BI2" s="27"/>
      <c r="BJ2" s="27"/>
      <c r="BK2" s="27"/>
      <c r="BL2" s="27"/>
      <c r="BM2" s="27"/>
      <c r="BN2" s="27"/>
      <c r="BO2" s="27"/>
      <c r="BP2" s="29"/>
      <c r="BQ2" s="29"/>
    </row>
    <row r="3" ht="15.75" spans="1:69">
      <c r="A3" s="26" t="s">
        <v>9</v>
      </c>
      <c r="B3" s="26" t="s">
        <v>10</v>
      </c>
      <c r="C3" s="26" t="s">
        <v>11</v>
      </c>
      <c r="D3" s="26" t="s">
        <v>12</v>
      </c>
      <c r="E3" s="26" t="s">
        <v>13</v>
      </c>
      <c r="F3" s="26" t="s">
        <v>14</v>
      </c>
      <c r="G3" s="26" t="s">
        <v>15</v>
      </c>
      <c r="H3" s="26" t="s">
        <v>16</v>
      </c>
      <c r="I3" s="32" t="s">
        <v>17</v>
      </c>
      <c r="J3" s="32" t="s">
        <v>19</v>
      </c>
      <c r="K3" s="32" t="s">
        <v>18</v>
      </c>
      <c r="L3" s="33" t="s">
        <v>20</v>
      </c>
      <c r="M3" s="33" t="s">
        <v>21</v>
      </c>
      <c r="N3" s="33" t="s">
        <v>24</v>
      </c>
      <c r="O3" s="33" t="s">
        <v>25</v>
      </c>
      <c r="P3" s="33" t="s">
        <v>95</v>
      </c>
      <c r="Q3" s="33" t="s">
        <v>23</v>
      </c>
      <c r="R3" s="32" t="s">
        <v>26</v>
      </c>
      <c r="S3" s="26" t="s">
        <v>96</v>
      </c>
      <c r="T3" s="26" t="s">
        <v>28</v>
      </c>
      <c r="U3" s="34" t="s">
        <v>97</v>
      </c>
      <c r="V3" s="34" t="s">
        <v>30</v>
      </c>
      <c r="W3" s="34" t="s">
        <v>31</v>
      </c>
      <c r="X3" s="34" t="s">
        <v>32</v>
      </c>
      <c r="Y3" s="34" t="s">
        <v>33</v>
      </c>
      <c r="Z3" s="34" t="s">
        <v>34</v>
      </c>
      <c r="AA3" s="34" t="s">
        <v>35</v>
      </c>
      <c r="AB3" s="34" t="s">
        <v>36</v>
      </c>
      <c r="AC3" s="35" t="s">
        <v>37</v>
      </c>
      <c r="AD3" s="35" t="s">
        <v>38</v>
      </c>
      <c r="AE3" s="35" t="s">
        <v>39</v>
      </c>
      <c r="AF3" s="35" t="s">
        <v>40</v>
      </c>
      <c r="AG3" s="35" t="s">
        <v>41</v>
      </c>
      <c r="AH3" s="35" t="s">
        <v>42</v>
      </c>
      <c r="AI3" s="35" t="s">
        <v>43</v>
      </c>
      <c r="AJ3" s="35" t="s">
        <v>44</v>
      </c>
      <c r="AK3" s="35" t="s">
        <v>45</v>
      </c>
      <c r="AL3" s="35" t="s">
        <v>46</v>
      </c>
      <c r="AM3" s="35" t="s">
        <v>47</v>
      </c>
      <c r="AN3" s="35" t="s">
        <v>48</v>
      </c>
      <c r="AO3" s="35" t="s">
        <v>49</v>
      </c>
      <c r="AP3" s="35" t="s">
        <v>50</v>
      </c>
      <c r="AQ3" s="35" t="s">
        <v>51</v>
      </c>
      <c r="AR3" s="37" t="s">
        <v>98</v>
      </c>
      <c r="AS3" s="26" t="s">
        <v>53</v>
      </c>
      <c r="AT3" s="26" t="s">
        <v>51</v>
      </c>
      <c r="AU3" s="38" t="s">
        <v>54</v>
      </c>
      <c r="AV3" s="38" t="s">
        <v>55</v>
      </c>
      <c r="AW3" s="38" t="s">
        <v>56</v>
      </c>
      <c r="AX3" s="38" t="s">
        <v>57</v>
      </c>
      <c r="AY3" s="38" t="s">
        <v>58</v>
      </c>
      <c r="AZ3" s="38" t="s">
        <v>59</v>
      </c>
      <c r="BA3" s="38" t="s">
        <v>60</v>
      </c>
      <c r="BB3" s="38" t="s">
        <v>61</v>
      </c>
      <c r="BC3" s="38" t="s">
        <v>62</v>
      </c>
      <c r="BD3" s="38" t="s">
        <v>63</v>
      </c>
      <c r="BE3" s="38" t="s">
        <v>64</v>
      </c>
      <c r="BF3" s="38" t="s">
        <v>65</v>
      </c>
      <c r="BG3" s="38" t="s">
        <v>66</v>
      </c>
      <c r="BH3" s="38" t="s">
        <v>67</v>
      </c>
      <c r="BI3" s="38" t="s">
        <v>68</v>
      </c>
      <c r="BJ3" s="38" t="s">
        <v>69</v>
      </c>
      <c r="BK3" s="38" t="s">
        <v>70</v>
      </c>
      <c r="BL3" s="38" t="s">
        <v>71</v>
      </c>
      <c r="BM3" s="38" t="s">
        <v>72</v>
      </c>
      <c r="BN3" s="38" t="s">
        <v>73</v>
      </c>
      <c r="BO3" s="38" t="s">
        <v>59</v>
      </c>
      <c r="BP3" s="38" t="s">
        <v>74</v>
      </c>
      <c r="BQ3" s="38" t="s">
        <v>28</v>
      </c>
    </row>
    <row r="4" ht="15.75" spans="1:69">
      <c r="A4" s="27">
        <v>1</v>
      </c>
      <c r="B4" s="27" t="s">
        <v>127</v>
      </c>
      <c r="C4" s="27" t="s">
        <v>127</v>
      </c>
      <c r="D4" s="27" t="s">
        <v>76</v>
      </c>
      <c r="E4" s="27" t="s">
        <v>76</v>
      </c>
      <c r="F4" s="28">
        <v>4</v>
      </c>
      <c r="G4" s="28">
        <v>100</v>
      </c>
      <c r="H4" s="28">
        <f>F4*G4</f>
        <v>400</v>
      </c>
      <c r="I4" s="29">
        <v>0</v>
      </c>
      <c r="J4" s="28">
        <v>2</v>
      </c>
      <c r="K4" s="28">
        <v>2</v>
      </c>
      <c r="L4" s="28">
        <f>H4</f>
        <v>400</v>
      </c>
      <c r="M4" s="28">
        <f>ROUND(L4*I4%,2)</f>
        <v>0</v>
      </c>
      <c r="N4" s="28">
        <f>H4-M4</f>
        <v>400</v>
      </c>
      <c r="O4" s="28">
        <f>ROUND(N4*J4%,2)</f>
        <v>8</v>
      </c>
      <c r="P4" s="28">
        <f>ROUND(N4-O4,2)</f>
        <v>392</v>
      </c>
      <c r="Q4" s="28">
        <f>ROUND(P4*K4%,2)</f>
        <v>7.84</v>
      </c>
      <c r="R4" s="28">
        <f>M4+O4+Q4</f>
        <v>15.84</v>
      </c>
      <c r="S4" s="28">
        <f>(H4-R4)</f>
        <v>384.16</v>
      </c>
      <c r="T4" s="28" t="s">
        <v>77</v>
      </c>
      <c r="U4" s="15">
        <v>18</v>
      </c>
      <c r="V4" s="15">
        <f>IF(OR($C$2=1,$C$2=4),ROUND((((S4*U4)/100)/2),2),0)</f>
        <v>0</v>
      </c>
      <c r="W4" s="15">
        <f>IF($C$2=1,ROUND((((S4*U4)/100)/2),2),0)</f>
        <v>0</v>
      </c>
      <c r="X4" s="15">
        <f>IF($C$2=2,ROUND(((S4*U4)/100),2),0)</f>
        <v>69.15</v>
      </c>
      <c r="Y4" s="15">
        <f>IF($C$2=4,ROUND((((S4*U4)/100)/2),2),0)</f>
        <v>0</v>
      </c>
      <c r="Z4" s="15">
        <v>0</v>
      </c>
      <c r="AA4" s="15">
        <f>IF($C2=3,0,(S4*Z4)/100)</f>
        <v>0</v>
      </c>
      <c r="AB4" s="15">
        <f>V4+W4+X4+Y4+AA4</f>
        <v>69.15</v>
      </c>
      <c r="AC4" s="28">
        <f>IF($V2=1,S4+AB4,S4)</f>
        <v>453.31</v>
      </c>
      <c r="AD4" s="28">
        <v>120</v>
      </c>
      <c r="AE4" s="28">
        <f>IF($P$2=1,(S4/$S$4)*$E$35,AD4/$AD$4*$E$35)</f>
        <v>0</v>
      </c>
      <c r="AF4" s="28"/>
      <c r="AG4" s="28">
        <f>IF($P$2=1,(S4/$S$4)*$E$37,AD4/$AD$4*$E$37)</f>
        <v>0</v>
      </c>
      <c r="AH4" s="28">
        <f>IF($P$2=1,(S4/$S$4)*$E$37,AD4/$AD$4*$E$37)</f>
        <v>0</v>
      </c>
      <c r="AI4" s="28">
        <f>S4*$M$21</f>
        <v>0</v>
      </c>
      <c r="AJ4" s="28">
        <f>IF($C$2=3,0,AG4+AH4)</f>
        <v>0</v>
      </c>
      <c r="AK4" s="28">
        <f>IF($C$2=3,AE4+AG4+AH4,0)</f>
        <v>0</v>
      </c>
      <c r="AL4" s="28">
        <v>1</v>
      </c>
      <c r="AM4" s="28">
        <f>F4/AL4</f>
        <v>4</v>
      </c>
      <c r="AN4" s="28">
        <f>AI4/AM4</f>
        <v>0</v>
      </c>
      <c r="AO4" s="28">
        <f>AJ4/AM4</f>
        <v>0</v>
      </c>
      <c r="AP4" s="28">
        <f>AK4/AM4</f>
        <v>0</v>
      </c>
      <c r="AQ4" s="28" t="s">
        <v>76</v>
      </c>
      <c r="AR4" s="28">
        <f>AN4+AO4+AP4</f>
        <v>0</v>
      </c>
      <c r="AS4" s="28" t="s">
        <v>78</v>
      </c>
      <c r="AT4" s="28" t="s">
        <v>76</v>
      </c>
      <c r="AU4" s="29"/>
      <c r="AV4" s="29"/>
      <c r="AW4" s="28">
        <f>AM4</f>
        <v>4</v>
      </c>
      <c r="AX4" s="28">
        <f>AR4</f>
        <v>0</v>
      </c>
      <c r="AY4" s="28">
        <f>AU4+AW4</f>
        <v>4</v>
      </c>
      <c r="AZ4" s="28">
        <f>ROUND(((AU4*AV4)+(AW4*AX4))/(AU4+AW4),5)</f>
        <v>0</v>
      </c>
      <c r="BA4" s="39"/>
      <c r="BB4" s="39" t="s">
        <v>81</v>
      </c>
      <c r="BC4" s="39" t="s">
        <v>82</v>
      </c>
      <c r="BD4" s="40" t="s">
        <v>83</v>
      </c>
      <c r="BE4" s="40" t="s">
        <v>84</v>
      </c>
      <c r="BF4" s="39"/>
      <c r="BG4" s="39"/>
      <c r="BH4" s="39"/>
      <c r="BI4" s="28"/>
      <c r="BJ4" s="28"/>
      <c r="BK4" s="28"/>
      <c r="BL4" s="41" t="s">
        <v>85</v>
      </c>
      <c r="BM4" s="29" t="s">
        <v>100</v>
      </c>
      <c r="BN4" s="29" t="s">
        <v>100</v>
      </c>
      <c r="BO4" s="28">
        <f>ROUND((((AW4*AZ4)+(BN4*BM4))/(AW4+BN4)),5)</f>
        <v>0</v>
      </c>
      <c r="BP4" s="39">
        <f>BN4+AW4</f>
        <v>4</v>
      </c>
      <c r="BQ4" s="42">
        <v>88363222</v>
      </c>
    </row>
    <row r="5" spans="1:69">
      <c r="A5" s="27"/>
      <c r="B5" s="29"/>
      <c r="C5" s="29"/>
      <c r="D5" s="30" t="s">
        <v>88</v>
      </c>
      <c r="E5" s="30"/>
      <c r="F5" s="30"/>
      <c r="G5" s="30"/>
      <c r="H5" s="31">
        <f>SUM(H4:H4)</f>
        <v>400</v>
      </c>
      <c r="I5" s="27"/>
      <c r="J5" s="27"/>
      <c r="K5" s="27"/>
      <c r="L5" s="27"/>
      <c r="M5" s="27"/>
      <c r="N5" s="27"/>
      <c r="O5" s="27"/>
      <c r="P5" s="27"/>
      <c r="Q5" s="27"/>
      <c r="R5" s="31">
        <f t="shared" ref="R5:X5" si="0">SUM(R4:R4)</f>
        <v>15.84</v>
      </c>
      <c r="S5" s="31">
        <f t="shared" si="0"/>
        <v>384.16</v>
      </c>
      <c r="T5" s="30"/>
      <c r="U5" s="30"/>
      <c r="V5" s="31">
        <f t="shared" si="0"/>
        <v>0</v>
      </c>
      <c r="W5" s="31">
        <f t="shared" si="0"/>
        <v>0</v>
      </c>
      <c r="X5" s="31">
        <f t="shared" si="0"/>
        <v>69.15</v>
      </c>
      <c r="Y5" s="43"/>
      <c r="Z5" s="43"/>
      <c r="AA5" s="43"/>
      <c r="AB5" s="31">
        <f t="shared" ref="AB5:AE5" si="1">SUM(AB4:AB4)</f>
        <v>69.15</v>
      </c>
      <c r="AC5" s="31">
        <f t="shared" si="1"/>
        <v>453.31</v>
      </c>
      <c r="AD5" s="31">
        <f t="shared" si="1"/>
        <v>120</v>
      </c>
      <c r="AE5" s="31">
        <f t="shared" si="1"/>
        <v>0</v>
      </c>
      <c r="AF5" s="36"/>
      <c r="AG5" s="31">
        <f t="shared" ref="AG5:AK5" si="2">SUM(AG4:AG4)</f>
        <v>0</v>
      </c>
      <c r="AH5" s="31">
        <f t="shared" si="2"/>
        <v>0</v>
      </c>
      <c r="AI5" s="31">
        <f t="shared" si="2"/>
        <v>0</v>
      </c>
      <c r="AJ5" s="31">
        <f t="shared" si="2"/>
        <v>0</v>
      </c>
      <c r="AK5" s="31">
        <f t="shared" si="2"/>
        <v>0</v>
      </c>
      <c r="AL5" s="36"/>
      <c r="AM5" s="36"/>
      <c r="AN5" s="36"/>
      <c r="AO5" s="36"/>
      <c r="AP5" s="36"/>
      <c r="AQ5" s="36"/>
      <c r="AR5" s="36"/>
      <c r="AS5" s="27"/>
      <c r="AT5" s="27"/>
      <c r="AU5" s="29"/>
      <c r="AV5" s="29"/>
      <c r="AW5" s="27"/>
      <c r="AX5" s="27"/>
      <c r="AY5" s="27"/>
      <c r="AZ5" s="27"/>
      <c r="BA5" s="27"/>
      <c r="BB5" s="27"/>
      <c r="BC5" s="27"/>
      <c r="BD5" s="27"/>
      <c r="BE5" s="27"/>
      <c r="BF5" s="27"/>
      <c r="BG5" s="27"/>
      <c r="BH5" s="27"/>
      <c r="BI5" s="27"/>
      <c r="BJ5" s="27"/>
      <c r="BK5" s="27"/>
      <c r="BL5" s="27"/>
      <c r="BM5" s="27"/>
      <c r="BN5" s="27"/>
      <c r="BO5" s="27"/>
      <c r="BP5" s="29"/>
      <c r="BQ5" s="29"/>
    </row>
  </sheetData>
  <mergeCells count="1">
    <mergeCell ref="A2:B2"/>
  </mergeCells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Q5"/>
  <sheetViews>
    <sheetView topLeftCell="R1" workbookViewId="0">
      <selection activeCell="U4" sqref="U4:AB4"/>
    </sheetView>
  </sheetViews>
  <sheetFormatPr defaultColWidth="8.7047619047619" defaultRowHeight="15" outlineLevelRow="4"/>
  <cols>
    <col min="1" max="1" width="5.14285714285714" customWidth="1"/>
    <col min="2" max="3" width="22" customWidth="1"/>
    <col min="4" max="4" width="79.4285714285714" customWidth="1"/>
    <col min="5" max="5" width="11.5714285714286" customWidth="1"/>
    <col min="6" max="6" width="5.14285714285714" customWidth="1"/>
    <col min="7" max="7" width="11" customWidth="1"/>
    <col min="8" max="8" width="12.7142857142857" customWidth="1"/>
    <col min="9" max="9" width="5.85714285714286" customWidth="1"/>
    <col min="10" max="10" width="6" customWidth="1"/>
    <col min="11" max="11" width="5.85714285714286" customWidth="1"/>
    <col min="12" max="12" width="14.2857142857143" customWidth="1"/>
    <col min="13" max="13" width="9.42857142857143" customWidth="1"/>
    <col min="14" max="14" width="14.4285714285714" customWidth="1"/>
    <col min="15" max="15" width="15.5714285714286" customWidth="1"/>
    <col min="16" max="16" width="14.4285714285714" customWidth="1"/>
    <col min="17" max="17" width="39.4285714285714" customWidth="1"/>
    <col min="18" max="18" width="11.7142857142857" customWidth="1"/>
    <col min="19" max="19" width="11.8571428571429" customWidth="1"/>
    <col min="20" max="20" width="6.42857142857143" customWidth="1"/>
    <col min="21" max="22" width="6.57142857142857" customWidth="1"/>
    <col min="23" max="23" width="37.1428571428571" customWidth="1"/>
    <col min="24" max="25" width="8" customWidth="1"/>
    <col min="26" max="26" width="7.71428571428571" customWidth="1"/>
    <col min="27" max="27" width="6.28571428571429" customWidth="1"/>
    <col min="28" max="28" width="9.28571428571429" customWidth="1"/>
    <col min="29" max="29" width="9.71428571428571" customWidth="1"/>
    <col min="30" max="30" width="12.8571428571429" customWidth="1"/>
    <col min="31" max="31" width="16.1428571428571" customWidth="1"/>
    <col min="32" max="32" width="15.4285714285714" customWidth="1"/>
    <col min="33" max="33" width="24.5714285714286" customWidth="1"/>
    <col min="34" max="34" width="8.57142857142857" customWidth="1"/>
    <col min="35" max="35" width="14.7142857142857" customWidth="1"/>
    <col min="36" max="36" width="18.5714285714286" customWidth="1"/>
    <col min="37" max="37" width="14.1428571428571" customWidth="1"/>
    <col min="38" max="38" width="14.7142857142857" customWidth="1"/>
    <col min="39" max="39" width="17.4285714285714" customWidth="1"/>
    <col min="40" max="40" width="22" customWidth="1"/>
    <col min="41" max="41" width="17.5714285714286" customWidth="1"/>
    <col min="42" max="42" width="25.2857142857143" customWidth="1"/>
    <col min="43" max="43" width="13" customWidth="1"/>
    <col min="44" max="44" width="23.7142857142857" customWidth="1"/>
    <col min="45" max="45" width="10" customWidth="1"/>
    <col min="46" max="46" width="13" customWidth="1"/>
    <col min="47" max="47" width="15.5714285714286" customWidth="1"/>
    <col min="48" max="48" width="21.1428571428571" customWidth="1"/>
    <col min="49" max="49" width="11.5714285714286" customWidth="1"/>
    <col min="50" max="50" width="16.7142857142857" customWidth="1"/>
    <col min="51" max="51" width="14" customWidth="1"/>
    <col min="52" max="52" width="19.4285714285714" customWidth="1"/>
    <col min="53" max="53" width="18.8571428571429" customWidth="1"/>
    <col min="54" max="54" width="23.2857142857143" customWidth="1"/>
    <col min="55" max="55" width="15.5714285714286" customWidth="1"/>
    <col min="56" max="56" width="14.2857142857143" customWidth="1"/>
    <col min="57" max="57" width="17" customWidth="1"/>
    <col min="58" max="58" width="16.2857142857143" customWidth="1"/>
    <col min="59" max="59" width="13.5714285714286" customWidth="1"/>
    <col min="60" max="61" width="12.7142857142857" customWidth="1"/>
    <col min="62" max="62" width="21.8571428571429" customWidth="1"/>
    <col min="63" max="63" width="30.5714285714286" customWidth="1"/>
    <col min="64" max="64" width="10" customWidth="1"/>
    <col min="65" max="65" width="42.5714285714286" customWidth="1"/>
    <col min="66" max="66" width="38.1428571428571" customWidth="1"/>
    <col min="67" max="67" width="19.4285714285714" customWidth="1"/>
    <col min="68" max="68" width="35.4285714285714" customWidth="1"/>
    <col min="69" max="69" width="9.57142857142857" customWidth="1"/>
  </cols>
  <sheetData>
    <row r="1" spans="1:69">
      <c r="A1" s="1" t="s">
        <v>0</v>
      </c>
      <c r="B1" s="2"/>
      <c r="C1" s="2"/>
      <c r="D1" s="2"/>
      <c r="E1" s="2"/>
      <c r="F1" s="2"/>
      <c r="G1" s="2"/>
      <c r="H1" s="1"/>
      <c r="I1" s="10"/>
      <c r="J1" s="10"/>
      <c r="K1" s="10"/>
      <c r="L1" s="10"/>
      <c r="M1" s="10"/>
      <c r="N1" s="10"/>
      <c r="O1" s="10"/>
      <c r="P1" s="10"/>
      <c r="Q1" s="10"/>
      <c r="R1" s="1"/>
      <c r="S1" s="1"/>
      <c r="T1" s="1"/>
      <c r="U1" s="1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23"/>
      <c r="BQ1" s="23"/>
    </row>
    <row r="2" spans="1:69">
      <c r="A2" s="3" t="s">
        <v>1</v>
      </c>
      <c r="B2" s="3"/>
      <c r="C2" s="24">
        <v>2</v>
      </c>
      <c r="D2" s="4" t="s">
        <v>2</v>
      </c>
      <c r="E2" s="24"/>
      <c r="F2" s="24"/>
      <c r="G2" s="24"/>
      <c r="H2" s="25"/>
      <c r="I2" s="27" t="s">
        <v>3</v>
      </c>
      <c r="J2" s="27" t="s">
        <v>4</v>
      </c>
      <c r="K2" s="27"/>
      <c r="L2" s="27" t="s">
        <v>5</v>
      </c>
      <c r="M2" s="27">
        <v>1</v>
      </c>
      <c r="N2" s="27"/>
      <c r="O2" s="27" t="s">
        <v>6</v>
      </c>
      <c r="P2" s="27">
        <v>2</v>
      </c>
      <c r="Q2" s="27" t="s">
        <v>7</v>
      </c>
      <c r="R2" s="25"/>
      <c r="S2" s="25"/>
      <c r="T2" s="25"/>
      <c r="U2" s="25"/>
      <c r="V2" s="25">
        <v>1</v>
      </c>
      <c r="W2" s="25" t="s">
        <v>8</v>
      </c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  <c r="AR2" s="27"/>
      <c r="AS2" s="27"/>
      <c r="AT2" s="27"/>
      <c r="AU2" s="27"/>
      <c r="AV2" s="27"/>
      <c r="AW2" s="27"/>
      <c r="AX2" s="27"/>
      <c r="AY2" s="27"/>
      <c r="AZ2" s="27"/>
      <c r="BA2" s="27"/>
      <c r="BB2" s="27"/>
      <c r="BC2" s="27"/>
      <c r="BD2" s="27"/>
      <c r="BE2" s="27"/>
      <c r="BF2" s="27"/>
      <c r="BG2" s="27"/>
      <c r="BH2" s="27"/>
      <c r="BI2" s="27"/>
      <c r="BJ2" s="27"/>
      <c r="BK2" s="27"/>
      <c r="BL2" s="27"/>
      <c r="BM2" s="27"/>
      <c r="BN2" s="27"/>
      <c r="BO2" s="27"/>
      <c r="BP2" s="29"/>
      <c r="BQ2" s="29"/>
    </row>
    <row r="3" ht="15.75" spans="1:69">
      <c r="A3" s="26" t="s">
        <v>9</v>
      </c>
      <c r="B3" s="26" t="s">
        <v>10</v>
      </c>
      <c r="C3" s="26" t="s">
        <v>11</v>
      </c>
      <c r="D3" s="26" t="s">
        <v>12</v>
      </c>
      <c r="E3" s="26" t="s">
        <v>13</v>
      </c>
      <c r="F3" s="26" t="s">
        <v>14</v>
      </c>
      <c r="G3" s="26" t="s">
        <v>15</v>
      </c>
      <c r="H3" s="26" t="s">
        <v>16</v>
      </c>
      <c r="I3" s="32" t="s">
        <v>17</v>
      </c>
      <c r="J3" s="32" t="s">
        <v>19</v>
      </c>
      <c r="K3" s="32" t="s">
        <v>18</v>
      </c>
      <c r="L3" s="33" t="s">
        <v>20</v>
      </c>
      <c r="M3" s="33" t="s">
        <v>21</v>
      </c>
      <c r="N3" s="33" t="s">
        <v>24</v>
      </c>
      <c r="O3" s="33" t="s">
        <v>25</v>
      </c>
      <c r="P3" s="33" t="s">
        <v>95</v>
      </c>
      <c r="Q3" s="33" t="s">
        <v>23</v>
      </c>
      <c r="R3" s="32" t="s">
        <v>26</v>
      </c>
      <c r="S3" s="26" t="s">
        <v>96</v>
      </c>
      <c r="T3" s="26" t="s">
        <v>28</v>
      </c>
      <c r="U3" s="34" t="s">
        <v>97</v>
      </c>
      <c r="V3" s="34" t="s">
        <v>30</v>
      </c>
      <c r="W3" s="34" t="s">
        <v>31</v>
      </c>
      <c r="X3" s="34" t="s">
        <v>32</v>
      </c>
      <c r="Y3" s="34" t="s">
        <v>33</v>
      </c>
      <c r="Z3" s="34" t="s">
        <v>34</v>
      </c>
      <c r="AA3" s="34" t="s">
        <v>35</v>
      </c>
      <c r="AB3" s="34" t="s">
        <v>36</v>
      </c>
      <c r="AC3" s="35" t="s">
        <v>37</v>
      </c>
      <c r="AD3" s="35" t="s">
        <v>38</v>
      </c>
      <c r="AE3" s="35" t="s">
        <v>39</v>
      </c>
      <c r="AF3" s="35" t="s">
        <v>40</v>
      </c>
      <c r="AG3" s="35" t="s">
        <v>41</v>
      </c>
      <c r="AH3" s="35" t="s">
        <v>42</v>
      </c>
      <c r="AI3" s="35" t="s">
        <v>43</v>
      </c>
      <c r="AJ3" s="35" t="s">
        <v>44</v>
      </c>
      <c r="AK3" s="35" t="s">
        <v>45</v>
      </c>
      <c r="AL3" s="35" t="s">
        <v>46</v>
      </c>
      <c r="AM3" s="35" t="s">
        <v>47</v>
      </c>
      <c r="AN3" s="35" t="s">
        <v>48</v>
      </c>
      <c r="AO3" s="35" t="s">
        <v>49</v>
      </c>
      <c r="AP3" s="35" t="s">
        <v>50</v>
      </c>
      <c r="AQ3" s="35" t="s">
        <v>51</v>
      </c>
      <c r="AR3" s="37" t="s">
        <v>98</v>
      </c>
      <c r="AS3" s="26" t="s">
        <v>53</v>
      </c>
      <c r="AT3" s="26" t="s">
        <v>51</v>
      </c>
      <c r="AU3" s="38" t="s">
        <v>54</v>
      </c>
      <c r="AV3" s="38" t="s">
        <v>55</v>
      </c>
      <c r="AW3" s="38" t="s">
        <v>56</v>
      </c>
      <c r="AX3" s="38" t="s">
        <v>57</v>
      </c>
      <c r="AY3" s="38" t="s">
        <v>58</v>
      </c>
      <c r="AZ3" s="38" t="s">
        <v>59</v>
      </c>
      <c r="BA3" s="38" t="s">
        <v>60</v>
      </c>
      <c r="BB3" s="38" t="s">
        <v>61</v>
      </c>
      <c r="BC3" s="38" t="s">
        <v>62</v>
      </c>
      <c r="BD3" s="38" t="s">
        <v>63</v>
      </c>
      <c r="BE3" s="38" t="s">
        <v>64</v>
      </c>
      <c r="BF3" s="38" t="s">
        <v>65</v>
      </c>
      <c r="BG3" s="38" t="s">
        <v>66</v>
      </c>
      <c r="BH3" s="38" t="s">
        <v>67</v>
      </c>
      <c r="BI3" s="38" t="s">
        <v>68</v>
      </c>
      <c r="BJ3" s="38" t="s">
        <v>69</v>
      </c>
      <c r="BK3" s="38" t="s">
        <v>70</v>
      </c>
      <c r="BL3" s="38" t="s">
        <v>71</v>
      </c>
      <c r="BM3" s="38" t="s">
        <v>72</v>
      </c>
      <c r="BN3" s="38" t="s">
        <v>73</v>
      </c>
      <c r="BO3" s="38" t="s">
        <v>59</v>
      </c>
      <c r="BP3" s="38" t="s">
        <v>74</v>
      </c>
      <c r="BQ3" s="38" t="s">
        <v>28</v>
      </c>
    </row>
    <row r="4" ht="15.75" spans="1:69">
      <c r="A4" s="27">
        <v>1</v>
      </c>
      <c r="B4" s="27" t="s">
        <v>128</v>
      </c>
      <c r="C4" s="27" t="s">
        <v>128</v>
      </c>
      <c r="D4" s="27" t="s">
        <v>76</v>
      </c>
      <c r="E4" s="27" t="s">
        <v>76</v>
      </c>
      <c r="F4" s="28">
        <v>4</v>
      </c>
      <c r="G4" s="28">
        <v>100</v>
      </c>
      <c r="H4" s="28">
        <f>F4*G4</f>
        <v>400</v>
      </c>
      <c r="I4" s="29" t="s">
        <v>102</v>
      </c>
      <c r="J4" s="28">
        <v>2</v>
      </c>
      <c r="K4" s="28">
        <v>2</v>
      </c>
      <c r="L4" s="28">
        <f>H4</f>
        <v>400</v>
      </c>
      <c r="M4" s="28">
        <f>ROUND(L4*I4%,2)</f>
        <v>8</v>
      </c>
      <c r="N4" s="28">
        <f>H4-M4</f>
        <v>392</v>
      </c>
      <c r="O4" s="28">
        <f>ROUND(N4*J4%,2)</f>
        <v>7.84</v>
      </c>
      <c r="P4" s="28">
        <f>ROUND(N4-O4,2)</f>
        <v>384.16</v>
      </c>
      <c r="Q4" s="28">
        <f>ROUND(P4*K4%,2)</f>
        <v>7.68</v>
      </c>
      <c r="R4" s="28">
        <f>M4+O4+Q4</f>
        <v>23.52</v>
      </c>
      <c r="S4" s="28">
        <f>(H4-R4)</f>
        <v>376.48</v>
      </c>
      <c r="T4" s="28" t="s">
        <v>77</v>
      </c>
      <c r="U4" s="15">
        <v>18</v>
      </c>
      <c r="V4" s="15">
        <f>IF(OR($C$2=1,$C$2=4),ROUND((((S4*U4)/100)/2),2),0)</f>
        <v>0</v>
      </c>
      <c r="W4" s="15">
        <f>IF($C$2=1,ROUND((((S4*U4)/100)/2),2),0)</f>
        <v>0</v>
      </c>
      <c r="X4" s="15">
        <f>IF($C$2=2,ROUND(((S4*U4)/100),2),0)</f>
        <v>67.77</v>
      </c>
      <c r="Y4" s="15">
        <f>IF($C$2=4,ROUND((((S4*U4)/100)/2),2),0)</f>
        <v>0</v>
      </c>
      <c r="Z4" s="15">
        <v>0</v>
      </c>
      <c r="AA4" s="15">
        <f>IF($C2=3,0,(S4*Z4)/100)</f>
        <v>0</v>
      </c>
      <c r="AB4" s="15">
        <f>V4+W4+X4+Y4+AA4</f>
        <v>67.77</v>
      </c>
      <c r="AC4" s="28">
        <f>IF($V2=1,S4+AB4,S4)</f>
        <v>444.25</v>
      </c>
      <c r="AD4" s="28">
        <v>120</v>
      </c>
      <c r="AE4" s="28">
        <f>IF($P$2=1,(S4/$S$4)*$E$35,AD4/$AD$4*$E$35)</f>
        <v>0</v>
      </c>
      <c r="AF4" s="28"/>
      <c r="AG4" s="28">
        <f>IF($P$2=1,(S4/$S$4)*$E$37,AD4/$AD$4*$E$37)</f>
        <v>0</v>
      </c>
      <c r="AH4" s="28">
        <f>IF($P$2=1,(S4/$S$4)*$E$37,AD4/$AD$4*$E$37)</f>
        <v>0</v>
      </c>
      <c r="AI4" s="28">
        <f>S4*$M$21</f>
        <v>0</v>
      </c>
      <c r="AJ4" s="28">
        <f>IF($C$2=3,0,AG4+AH4)</f>
        <v>0</v>
      </c>
      <c r="AK4" s="28">
        <f>IF($C$2=3,AE4+AG4+AH4,0)</f>
        <v>0</v>
      </c>
      <c r="AL4" s="28">
        <v>1</v>
      </c>
      <c r="AM4" s="28">
        <f>F4/AL4</f>
        <v>4</v>
      </c>
      <c r="AN4" s="28">
        <f>AI4/AM4</f>
        <v>0</v>
      </c>
      <c r="AO4" s="28">
        <f>AJ4/AM4</f>
        <v>0</v>
      </c>
      <c r="AP4" s="28">
        <f>AK4/AM4</f>
        <v>0</v>
      </c>
      <c r="AQ4" s="28" t="s">
        <v>76</v>
      </c>
      <c r="AR4" s="28">
        <f>AN4+AO4+AP4</f>
        <v>0</v>
      </c>
      <c r="AS4" s="28" t="s">
        <v>78</v>
      </c>
      <c r="AT4" s="28" t="s">
        <v>76</v>
      </c>
      <c r="AW4" s="28">
        <f>AM4</f>
        <v>4</v>
      </c>
      <c r="AX4" s="28">
        <f>AR4</f>
        <v>0</v>
      </c>
      <c r="AY4" s="28">
        <f>AU4+AW4</f>
        <v>4</v>
      </c>
      <c r="AZ4" s="28">
        <f>ROUND(((AU4*AV4)+(AW4*AX4))/(AU4+AW4),5)</f>
        <v>0</v>
      </c>
      <c r="BA4" s="39"/>
      <c r="BB4" s="39" t="s">
        <v>81</v>
      </c>
      <c r="BC4" s="39" t="s">
        <v>82</v>
      </c>
      <c r="BD4" s="40" t="s">
        <v>83</v>
      </c>
      <c r="BE4" s="40" t="s">
        <v>84</v>
      </c>
      <c r="BF4" s="39"/>
      <c r="BG4" s="39"/>
      <c r="BH4" s="39"/>
      <c r="BI4" s="28"/>
      <c r="BJ4" s="28"/>
      <c r="BK4" s="28"/>
      <c r="BL4" s="41" t="s">
        <v>85</v>
      </c>
      <c r="BM4" t="s">
        <v>100</v>
      </c>
      <c r="BN4" t="s">
        <v>100</v>
      </c>
      <c r="BO4" s="28">
        <f>ROUND((((AW4*AZ4)+(BN4*BM4))/(AW4+BN4)),5)</f>
        <v>0</v>
      </c>
      <c r="BP4" s="39">
        <f>BN4+AW4</f>
        <v>4</v>
      </c>
      <c r="BQ4" s="42">
        <v>88363222</v>
      </c>
    </row>
    <row r="5" spans="1:69">
      <c r="A5" s="27"/>
      <c r="B5" s="29"/>
      <c r="C5" s="29"/>
      <c r="D5" s="30" t="s">
        <v>88</v>
      </c>
      <c r="E5" s="30"/>
      <c r="F5" s="30"/>
      <c r="G5" s="30"/>
      <c r="H5" s="31">
        <f>SUM(H4:H4)</f>
        <v>400</v>
      </c>
      <c r="I5" s="27"/>
      <c r="J5" s="27"/>
      <c r="K5" s="27"/>
      <c r="L5" s="27"/>
      <c r="M5" s="27"/>
      <c r="N5" s="27"/>
      <c r="O5" s="27"/>
      <c r="P5" s="27"/>
      <c r="Q5" s="27"/>
      <c r="R5" s="31">
        <f t="shared" ref="R5:X5" si="0">SUM(R4:R4)</f>
        <v>23.52</v>
      </c>
      <c r="S5" s="31">
        <f t="shared" si="0"/>
        <v>376.48</v>
      </c>
      <c r="T5" s="30"/>
      <c r="U5" s="30"/>
      <c r="V5" s="31">
        <f t="shared" si="0"/>
        <v>0</v>
      </c>
      <c r="W5" s="31">
        <f t="shared" si="0"/>
        <v>0</v>
      </c>
      <c r="X5" s="31">
        <f t="shared" si="0"/>
        <v>67.77</v>
      </c>
      <c r="Y5" s="43"/>
      <c r="Z5" s="43"/>
      <c r="AA5" s="43"/>
      <c r="AB5" s="31">
        <f t="shared" ref="AB5:AE5" si="1">SUM(AB4:AB4)</f>
        <v>67.77</v>
      </c>
      <c r="AC5" s="31">
        <f t="shared" si="1"/>
        <v>444.25</v>
      </c>
      <c r="AD5" s="31">
        <f t="shared" si="1"/>
        <v>120</v>
      </c>
      <c r="AE5" s="31">
        <f t="shared" si="1"/>
        <v>0</v>
      </c>
      <c r="AF5" s="36"/>
      <c r="AG5" s="31">
        <f t="shared" ref="AG5:AK5" si="2">SUM(AG4:AG4)</f>
        <v>0</v>
      </c>
      <c r="AH5" s="31">
        <f t="shared" si="2"/>
        <v>0</v>
      </c>
      <c r="AI5" s="31">
        <f t="shared" si="2"/>
        <v>0</v>
      </c>
      <c r="AJ5" s="31">
        <f t="shared" si="2"/>
        <v>0</v>
      </c>
      <c r="AK5" s="31">
        <f t="shared" si="2"/>
        <v>0</v>
      </c>
      <c r="AL5" s="36"/>
      <c r="AM5" s="36"/>
      <c r="AN5" s="36"/>
      <c r="AO5" s="36"/>
      <c r="AP5" s="36"/>
      <c r="AQ5" s="36"/>
      <c r="AR5" s="36"/>
      <c r="AS5" s="27"/>
      <c r="AT5" s="27"/>
      <c r="AU5" s="29"/>
      <c r="AV5" s="29"/>
      <c r="AW5" s="27"/>
      <c r="AX5" s="27"/>
      <c r="AY5" s="27"/>
      <c r="AZ5" s="27"/>
      <c r="BA5" s="27"/>
      <c r="BB5" s="27"/>
      <c r="BC5" s="27"/>
      <c r="BD5" s="27"/>
      <c r="BE5" s="27"/>
      <c r="BF5" s="27"/>
      <c r="BG5" s="27"/>
      <c r="BH5" s="27"/>
      <c r="BI5" s="27"/>
      <c r="BJ5" s="27"/>
      <c r="BK5" s="27"/>
      <c r="BL5" s="27"/>
      <c r="BM5" s="27"/>
      <c r="BN5" s="27"/>
      <c r="BO5" s="27"/>
      <c r="BP5" s="29"/>
      <c r="BQ5" s="29"/>
    </row>
  </sheetData>
  <mergeCells count="1">
    <mergeCell ref="A2:B2"/>
  </mergeCells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Q5"/>
  <sheetViews>
    <sheetView topLeftCell="R1" workbookViewId="0">
      <selection activeCell="U4" sqref="U4:AB4"/>
    </sheetView>
  </sheetViews>
  <sheetFormatPr defaultColWidth="8.7047619047619" defaultRowHeight="15" outlineLevelRow="4"/>
  <cols>
    <col min="1" max="1" width="5.14285714285714" customWidth="1"/>
    <col min="2" max="3" width="22" customWidth="1"/>
    <col min="4" max="4" width="79.4285714285714" customWidth="1"/>
    <col min="5" max="5" width="11.5714285714286" customWidth="1"/>
    <col min="6" max="6" width="5.14285714285714" customWidth="1"/>
    <col min="7" max="7" width="11" customWidth="1"/>
    <col min="8" max="8" width="12.7142857142857" customWidth="1"/>
    <col min="9" max="9" width="5.85714285714286" customWidth="1"/>
    <col min="10" max="10" width="6" customWidth="1"/>
    <col min="11" max="11" width="5.85714285714286" customWidth="1"/>
    <col min="12" max="12" width="14.2857142857143" customWidth="1"/>
    <col min="13" max="13" width="9.42857142857143" customWidth="1"/>
    <col min="14" max="14" width="14.4285714285714" customWidth="1"/>
    <col min="15" max="15" width="15.5714285714286" customWidth="1"/>
    <col min="16" max="16" width="14.4285714285714" customWidth="1"/>
    <col min="17" max="17" width="39.4285714285714" customWidth="1"/>
    <col min="18" max="18" width="11.7142857142857" customWidth="1"/>
    <col min="19" max="19" width="11.8571428571429" customWidth="1"/>
    <col min="20" max="20" width="6.42857142857143" customWidth="1"/>
    <col min="21" max="22" width="6.57142857142857" customWidth="1"/>
    <col min="23" max="23" width="37.1428571428571" customWidth="1"/>
    <col min="24" max="25" width="8" customWidth="1"/>
    <col min="26" max="26" width="7.71428571428571" customWidth="1"/>
    <col min="27" max="27" width="6.28571428571429" customWidth="1"/>
    <col min="28" max="28" width="9.28571428571429" customWidth="1"/>
    <col min="29" max="29" width="9.71428571428571" customWidth="1"/>
    <col min="30" max="30" width="12.8571428571429" customWidth="1"/>
    <col min="31" max="31" width="16.1428571428571" customWidth="1"/>
    <col min="32" max="32" width="15.4285714285714" customWidth="1"/>
    <col min="33" max="33" width="24.5714285714286" customWidth="1"/>
    <col min="34" max="34" width="8.57142857142857" customWidth="1"/>
    <col min="35" max="35" width="14.7142857142857" customWidth="1"/>
    <col min="36" max="36" width="18.5714285714286" customWidth="1"/>
    <col min="37" max="37" width="14.1428571428571" customWidth="1"/>
    <col min="38" max="38" width="14.7142857142857" customWidth="1"/>
    <col min="39" max="39" width="17.4285714285714" customWidth="1"/>
    <col min="40" max="40" width="22" customWidth="1"/>
    <col min="41" max="41" width="17.5714285714286" customWidth="1"/>
    <col min="42" max="42" width="25.2857142857143" customWidth="1"/>
    <col min="43" max="43" width="13" customWidth="1"/>
    <col min="44" max="44" width="23.7142857142857" customWidth="1"/>
    <col min="45" max="45" width="10" customWidth="1"/>
    <col min="46" max="46" width="13" customWidth="1"/>
    <col min="47" max="47" width="15.5714285714286" customWidth="1"/>
    <col min="48" max="48" width="21.1428571428571" customWidth="1"/>
    <col min="49" max="49" width="11.5714285714286" customWidth="1"/>
    <col min="50" max="50" width="16.7142857142857" customWidth="1"/>
    <col min="51" max="51" width="14" customWidth="1"/>
    <col min="52" max="52" width="19.4285714285714" customWidth="1"/>
    <col min="53" max="53" width="18.8571428571429" customWidth="1"/>
    <col min="54" max="54" width="23.2857142857143" customWidth="1"/>
    <col min="55" max="55" width="15.5714285714286" customWidth="1"/>
    <col min="56" max="56" width="14.2857142857143" customWidth="1"/>
    <col min="57" max="57" width="17" customWidth="1"/>
    <col min="58" max="58" width="16.2857142857143" customWidth="1"/>
    <col min="59" max="59" width="13.5714285714286" customWidth="1"/>
    <col min="60" max="61" width="12.7142857142857" customWidth="1"/>
    <col min="62" max="62" width="21.8571428571429" customWidth="1"/>
    <col min="63" max="63" width="30.5714285714286" customWidth="1"/>
    <col min="64" max="64" width="10" customWidth="1"/>
    <col min="65" max="65" width="42.5714285714286" customWidth="1"/>
    <col min="66" max="66" width="38.1428571428571" customWidth="1"/>
    <col min="67" max="67" width="19.4285714285714" customWidth="1"/>
    <col min="68" max="68" width="35.4285714285714" customWidth="1"/>
    <col min="69" max="69" width="9.57142857142857" customWidth="1"/>
  </cols>
  <sheetData>
    <row r="1" spans="1:69">
      <c r="A1" s="1" t="s">
        <v>0</v>
      </c>
      <c r="B1" s="2"/>
      <c r="C1" s="2"/>
      <c r="D1" s="2"/>
      <c r="E1" s="2"/>
      <c r="F1" s="2"/>
      <c r="G1" s="2"/>
      <c r="H1" s="1"/>
      <c r="I1" s="10"/>
      <c r="J1" s="10"/>
      <c r="K1" s="10"/>
      <c r="L1" s="10"/>
      <c r="M1" s="10"/>
      <c r="N1" s="10"/>
      <c r="O1" s="10"/>
      <c r="P1" s="10"/>
      <c r="Q1" s="10"/>
      <c r="R1" s="1"/>
      <c r="S1" s="1"/>
      <c r="T1" s="1"/>
      <c r="U1" s="1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23"/>
      <c r="BQ1" s="23"/>
    </row>
    <row r="2" spans="1:69">
      <c r="A2" s="3" t="s">
        <v>1</v>
      </c>
      <c r="B2" s="3"/>
      <c r="C2" s="24">
        <v>2</v>
      </c>
      <c r="D2" s="4" t="s">
        <v>2</v>
      </c>
      <c r="E2" s="24"/>
      <c r="F2" s="24"/>
      <c r="G2" s="24"/>
      <c r="H2" s="25"/>
      <c r="I2" s="27" t="s">
        <v>3</v>
      </c>
      <c r="J2" s="27" t="s">
        <v>4</v>
      </c>
      <c r="K2" s="27"/>
      <c r="L2" s="27" t="s">
        <v>5</v>
      </c>
      <c r="M2" s="27">
        <v>1</v>
      </c>
      <c r="N2" s="27"/>
      <c r="O2" s="27" t="s">
        <v>6</v>
      </c>
      <c r="P2" s="27">
        <v>2</v>
      </c>
      <c r="Q2" s="27" t="s">
        <v>7</v>
      </c>
      <c r="R2" s="25"/>
      <c r="S2" s="25"/>
      <c r="T2" s="25"/>
      <c r="U2" s="25"/>
      <c r="V2" s="25">
        <v>1</v>
      </c>
      <c r="W2" s="25" t="s">
        <v>8</v>
      </c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  <c r="AR2" s="27"/>
      <c r="AS2" s="27"/>
      <c r="AT2" s="27"/>
      <c r="AU2" s="27"/>
      <c r="AV2" s="27"/>
      <c r="AW2" s="27"/>
      <c r="AX2" s="27"/>
      <c r="AY2" s="27"/>
      <c r="AZ2" s="27"/>
      <c r="BA2" s="27"/>
      <c r="BB2" s="27"/>
      <c r="BC2" s="27"/>
      <c r="BD2" s="27"/>
      <c r="BE2" s="27"/>
      <c r="BF2" s="27"/>
      <c r="BG2" s="27"/>
      <c r="BH2" s="27"/>
      <c r="BI2" s="27"/>
      <c r="BJ2" s="27"/>
      <c r="BK2" s="27"/>
      <c r="BL2" s="27"/>
      <c r="BM2" s="27"/>
      <c r="BN2" s="27"/>
      <c r="BO2" s="27"/>
      <c r="BP2" s="29"/>
      <c r="BQ2" s="29"/>
    </row>
    <row r="3" ht="15.75" spans="1:69">
      <c r="A3" s="26" t="s">
        <v>9</v>
      </c>
      <c r="B3" s="26" t="s">
        <v>10</v>
      </c>
      <c r="C3" s="26" t="s">
        <v>11</v>
      </c>
      <c r="D3" s="26" t="s">
        <v>12</v>
      </c>
      <c r="E3" s="26" t="s">
        <v>13</v>
      </c>
      <c r="F3" s="26" t="s">
        <v>14</v>
      </c>
      <c r="G3" s="26" t="s">
        <v>15</v>
      </c>
      <c r="H3" s="26" t="s">
        <v>16</v>
      </c>
      <c r="I3" s="32" t="s">
        <v>17</v>
      </c>
      <c r="J3" s="32" t="s">
        <v>19</v>
      </c>
      <c r="K3" s="32" t="s">
        <v>18</v>
      </c>
      <c r="L3" s="33" t="s">
        <v>20</v>
      </c>
      <c r="M3" s="33" t="s">
        <v>21</v>
      </c>
      <c r="N3" s="33" t="s">
        <v>24</v>
      </c>
      <c r="O3" s="33" t="s">
        <v>25</v>
      </c>
      <c r="P3" s="33" t="s">
        <v>95</v>
      </c>
      <c r="Q3" s="33" t="s">
        <v>23</v>
      </c>
      <c r="R3" s="32" t="s">
        <v>26</v>
      </c>
      <c r="S3" s="26" t="s">
        <v>96</v>
      </c>
      <c r="T3" s="26" t="s">
        <v>28</v>
      </c>
      <c r="U3" s="34" t="s">
        <v>97</v>
      </c>
      <c r="V3" s="34" t="s">
        <v>30</v>
      </c>
      <c r="W3" s="34" t="s">
        <v>31</v>
      </c>
      <c r="X3" s="34" t="s">
        <v>32</v>
      </c>
      <c r="Y3" s="34" t="s">
        <v>33</v>
      </c>
      <c r="Z3" s="34" t="s">
        <v>34</v>
      </c>
      <c r="AA3" s="34" t="s">
        <v>35</v>
      </c>
      <c r="AB3" s="34" t="s">
        <v>36</v>
      </c>
      <c r="AC3" s="35" t="s">
        <v>37</v>
      </c>
      <c r="AD3" s="35" t="s">
        <v>38</v>
      </c>
      <c r="AE3" s="35" t="s">
        <v>39</v>
      </c>
      <c r="AF3" s="35" t="s">
        <v>40</v>
      </c>
      <c r="AG3" s="35" t="s">
        <v>41</v>
      </c>
      <c r="AH3" s="35" t="s">
        <v>42</v>
      </c>
      <c r="AI3" s="35" t="s">
        <v>43</v>
      </c>
      <c r="AJ3" s="35" t="s">
        <v>44</v>
      </c>
      <c r="AK3" s="35" t="s">
        <v>45</v>
      </c>
      <c r="AL3" s="35" t="s">
        <v>46</v>
      </c>
      <c r="AM3" s="35" t="s">
        <v>47</v>
      </c>
      <c r="AN3" s="35" t="s">
        <v>48</v>
      </c>
      <c r="AO3" s="35" t="s">
        <v>49</v>
      </c>
      <c r="AP3" s="35" t="s">
        <v>50</v>
      </c>
      <c r="AQ3" s="35" t="s">
        <v>51</v>
      </c>
      <c r="AR3" s="37" t="s">
        <v>98</v>
      </c>
      <c r="AS3" s="26" t="s">
        <v>53</v>
      </c>
      <c r="AT3" s="26" t="s">
        <v>51</v>
      </c>
      <c r="AU3" s="38" t="s">
        <v>54</v>
      </c>
      <c r="AV3" s="38" t="s">
        <v>55</v>
      </c>
      <c r="AW3" s="38" t="s">
        <v>56</v>
      </c>
      <c r="AX3" s="38" t="s">
        <v>57</v>
      </c>
      <c r="AY3" s="38" t="s">
        <v>58</v>
      </c>
      <c r="AZ3" s="38" t="s">
        <v>59</v>
      </c>
      <c r="BA3" s="38" t="s">
        <v>60</v>
      </c>
      <c r="BB3" s="38" t="s">
        <v>61</v>
      </c>
      <c r="BC3" s="38" t="s">
        <v>62</v>
      </c>
      <c r="BD3" s="38" t="s">
        <v>63</v>
      </c>
      <c r="BE3" s="38" t="s">
        <v>64</v>
      </c>
      <c r="BF3" s="38" t="s">
        <v>65</v>
      </c>
      <c r="BG3" s="38" t="s">
        <v>66</v>
      </c>
      <c r="BH3" s="38" t="s">
        <v>67</v>
      </c>
      <c r="BI3" s="38" t="s">
        <v>68</v>
      </c>
      <c r="BJ3" s="38" t="s">
        <v>69</v>
      </c>
      <c r="BK3" s="38" t="s">
        <v>70</v>
      </c>
      <c r="BL3" s="38" t="s">
        <v>71</v>
      </c>
      <c r="BM3" s="38" t="s">
        <v>72</v>
      </c>
      <c r="BN3" s="38" t="s">
        <v>73</v>
      </c>
      <c r="BO3" s="38" t="s">
        <v>59</v>
      </c>
      <c r="BP3" s="38" t="s">
        <v>74</v>
      </c>
      <c r="BQ3" s="38" t="s">
        <v>28</v>
      </c>
    </row>
    <row r="4" ht="15.75" spans="1:69">
      <c r="A4" s="27">
        <v>1</v>
      </c>
      <c r="B4" s="27" t="s">
        <v>129</v>
      </c>
      <c r="C4" s="27" t="s">
        <v>129</v>
      </c>
      <c r="D4" s="27" t="s">
        <v>76</v>
      </c>
      <c r="E4" s="27" t="s">
        <v>76</v>
      </c>
      <c r="F4" s="28">
        <v>4</v>
      </c>
      <c r="G4" s="28">
        <v>100</v>
      </c>
      <c r="H4" s="28">
        <f>F4*G4</f>
        <v>400</v>
      </c>
      <c r="I4" s="29" t="s">
        <v>102</v>
      </c>
      <c r="J4" s="28">
        <v>2</v>
      </c>
      <c r="K4" s="28">
        <v>2</v>
      </c>
      <c r="L4" s="28">
        <f>H4</f>
        <v>400</v>
      </c>
      <c r="M4" s="28">
        <f>ROUND(L4*I4%,2)</f>
        <v>8</v>
      </c>
      <c r="N4" s="28">
        <f>H4-M4</f>
        <v>392</v>
      </c>
      <c r="O4" s="28">
        <f>ROUND(N4*J4%,2)</f>
        <v>7.84</v>
      </c>
      <c r="P4" s="28">
        <f>ROUND(N4-O4,2)</f>
        <v>384.16</v>
      </c>
      <c r="Q4" s="28">
        <f>ROUND(P4*K4%,2)</f>
        <v>7.68</v>
      </c>
      <c r="R4" s="28">
        <f>M4+O4+Q4</f>
        <v>23.52</v>
      </c>
      <c r="S4" s="28">
        <f>(H4-R4)</f>
        <v>376.48</v>
      </c>
      <c r="T4" s="28" t="s">
        <v>77</v>
      </c>
      <c r="U4" s="15">
        <v>18</v>
      </c>
      <c r="V4" s="15">
        <f>IF(OR($C$2=1,$C$2=4),ROUND((((S4*U4)/100)/2),2),0)</f>
        <v>0</v>
      </c>
      <c r="W4" s="15">
        <f>IF($C$2=1,ROUND((((S4*U4)/100)/2),2),0)</f>
        <v>0</v>
      </c>
      <c r="X4" s="15">
        <f>IF($C$2=2,ROUND(((S4*U4)/100),2),0)</f>
        <v>67.77</v>
      </c>
      <c r="Y4" s="15">
        <f>IF($C$2=4,ROUND((((S4*U4)/100)/2),2),0)</f>
        <v>0</v>
      </c>
      <c r="Z4" s="15">
        <v>0</v>
      </c>
      <c r="AA4" s="15">
        <f>IF($C2=3,0,(S4*Z4)/100)</f>
        <v>0</v>
      </c>
      <c r="AB4" s="15">
        <f>V4+W4+X4+Y4+AA4</f>
        <v>67.77</v>
      </c>
      <c r="AC4" s="28">
        <f>IF($V2=1,S4+AB4,S4)</f>
        <v>444.25</v>
      </c>
      <c r="AD4" s="28">
        <v>120</v>
      </c>
      <c r="AE4" s="28">
        <f>IF($P$2=1,(S4/$S$4)*$E$35,AD4/$AD$4*$E$35)</f>
        <v>0</v>
      </c>
      <c r="AF4" s="28"/>
      <c r="AG4" s="28">
        <f>IF($P$2=1,(S4/$S$4)*$E$37,AD4/$AD$4*$E$37)</f>
        <v>0</v>
      </c>
      <c r="AH4" s="28">
        <f>IF($P$2=1,(S4/$S$4)*$E$37,AD4/$AD$4*$E$37)</f>
        <v>0</v>
      </c>
      <c r="AI4" s="28">
        <f>S4*$M$21</f>
        <v>0</v>
      </c>
      <c r="AJ4" s="28">
        <f>IF($C$2=3,0,AG4+AH4)</f>
        <v>0</v>
      </c>
      <c r="AK4" s="28">
        <f>IF($C$2=3,AE4+AG4+AH4,0)</f>
        <v>0</v>
      </c>
      <c r="AL4" s="28">
        <v>1</v>
      </c>
      <c r="AM4" s="28">
        <f>F4/AL4</f>
        <v>4</v>
      </c>
      <c r="AN4" s="28">
        <f>AI4/AM4</f>
        <v>0</v>
      </c>
      <c r="AO4" s="28">
        <f>AJ4/AM4</f>
        <v>0</v>
      </c>
      <c r="AP4" s="28">
        <f>AK4/AM4</f>
        <v>0</v>
      </c>
      <c r="AQ4" s="28" t="s">
        <v>76</v>
      </c>
      <c r="AR4" s="28">
        <f>AN4+AO4+AP4</f>
        <v>0</v>
      </c>
      <c r="AS4" s="28" t="s">
        <v>78</v>
      </c>
      <c r="AT4" s="28" t="s">
        <v>76</v>
      </c>
      <c r="AW4" s="28">
        <f>AM4</f>
        <v>4</v>
      </c>
      <c r="AX4" s="28">
        <f>AR4</f>
        <v>0</v>
      </c>
      <c r="AY4" s="28">
        <f>AU4+AW4</f>
        <v>4</v>
      </c>
      <c r="AZ4" s="28">
        <f>ROUND(((AU4*AV4)+(AW4*AX4))/(AU4+AW4),5)</f>
        <v>0</v>
      </c>
      <c r="BA4" s="39"/>
      <c r="BB4" s="39" t="s">
        <v>81</v>
      </c>
      <c r="BC4" s="39" t="s">
        <v>82</v>
      </c>
      <c r="BD4" s="40" t="s">
        <v>83</v>
      </c>
      <c r="BE4" s="40" t="s">
        <v>84</v>
      </c>
      <c r="BF4" s="39"/>
      <c r="BG4" s="39"/>
      <c r="BH4" s="39"/>
      <c r="BI4" s="28"/>
      <c r="BJ4" s="28"/>
      <c r="BK4" s="28"/>
      <c r="BL4" s="41" t="s">
        <v>85</v>
      </c>
      <c r="BM4" t="s">
        <v>100</v>
      </c>
      <c r="BN4" t="s">
        <v>100</v>
      </c>
      <c r="BO4" s="28">
        <f>ROUND((((AW4*AZ4)+(BN4*BM4))/(AW4+BN4)),5)</f>
        <v>0</v>
      </c>
      <c r="BP4" s="39">
        <f>BN4+AW4</f>
        <v>4</v>
      </c>
      <c r="BQ4" s="42">
        <v>88363222</v>
      </c>
    </row>
    <row r="5" spans="1:69">
      <c r="A5" s="27"/>
      <c r="B5" s="29"/>
      <c r="C5" s="29"/>
      <c r="D5" s="30" t="s">
        <v>88</v>
      </c>
      <c r="E5" s="30"/>
      <c r="F5" s="30"/>
      <c r="G5" s="30"/>
      <c r="H5" s="31">
        <f>SUM(H4:H4)</f>
        <v>400</v>
      </c>
      <c r="I5" s="27"/>
      <c r="J5" s="27"/>
      <c r="K5" s="27"/>
      <c r="L5" s="27"/>
      <c r="M5" s="27"/>
      <c r="N5" s="27"/>
      <c r="O5" s="27"/>
      <c r="P5" s="27"/>
      <c r="Q5" s="27"/>
      <c r="R5" s="31">
        <f t="shared" ref="R5:X5" si="0">SUM(R4:R4)</f>
        <v>23.52</v>
      </c>
      <c r="S5" s="31">
        <f t="shared" si="0"/>
        <v>376.48</v>
      </c>
      <c r="T5" s="30"/>
      <c r="U5" s="30"/>
      <c r="V5" s="31">
        <f t="shared" si="0"/>
        <v>0</v>
      </c>
      <c r="W5" s="31">
        <f t="shared" si="0"/>
        <v>0</v>
      </c>
      <c r="X5" s="31">
        <f t="shared" si="0"/>
        <v>67.77</v>
      </c>
      <c r="Y5" s="43"/>
      <c r="Z5" s="43"/>
      <c r="AA5" s="43"/>
      <c r="AB5" s="31">
        <f t="shared" ref="AB5:AE5" si="1">SUM(AB4:AB4)</f>
        <v>67.77</v>
      </c>
      <c r="AC5" s="31">
        <f t="shared" si="1"/>
        <v>444.25</v>
      </c>
      <c r="AD5" s="31">
        <f t="shared" si="1"/>
        <v>120</v>
      </c>
      <c r="AE5" s="31">
        <f t="shared" si="1"/>
        <v>0</v>
      </c>
      <c r="AF5" s="36"/>
      <c r="AG5" s="31">
        <f t="shared" ref="AG5:AK5" si="2">SUM(AG4:AG4)</f>
        <v>0</v>
      </c>
      <c r="AH5" s="31">
        <f t="shared" si="2"/>
        <v>0</v>
      </c>
      <c r="AI5" s="31">
        <f t="shared" si="2"/>
        <v>0</v>
      </c>
      <c r="AJ5" s="31">
        <f t="shared" si="2"/>
        <v>0</v>
      </c>
      <c r="AK5" s="31">
        <f t="shared" si="2"/>
        <v>0</v>
      </c>
      <c r="AL5" s="36"/>
      <c r="AM5" s="36"/>
      <c r="AN5" s="36"/>
      <c r="AO5" s="36"/>
      <c r="AP5" s="36"/>
      <c r="AQ5" s="36"/>
      <c r="AR5" s="36"/>
      <c r="AS5" s="27"/>
      <c r="AT5" s="27"/>
      <c r="AU5" s="29"/>
      <c r="AV5" s="29"/>
      <c r="AW5" s="27"/>
      <c r="AX5" s="27"/>
      <c r="AY5" s="27"/>
      <c r="AZ5" s="27"/>
      <c r="BA5" s="27"/>
      <c r="BB5" s="27"/>
      <c r="BC5" s="27"/>
      <c r="BD5" s="27"/>
      <c r="BE5" s="27"/>
      <c r="BF5" s="27"/>
      <c r="BG5" s="27"/>
      <c r="BH5" s="27"/>
      <c r="BI5" s="27"/>
      <c r="BJ5" s="27"/>
      <c r="BK5" s="27"/>
      <c r="BL5" s="27"/>
      <c r="BM5" s="27"/>
      <c r="BN5" s="27"/>
      <c r="BO5" s="27"/>
      <c r="BP5" s="29"/>
      <c r="BQ5" s="29"/>
    </row>
  </sheetData>
  <mergeCells count="1">
    <mergeCell ref="A2:B2"/>
  </mergeCells>
  <pageMargins left="0.75" right="0.75" top="1" bottom="1" header="0.5" footer="0.5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Q5"/>
  <sheetViews>
    <sheetView topLeftCell="S1" workbookViewId="0">
      <selection activeCell="U4" sqref="U4:AB4"/>
    </sheetView>
  </sheetViews>
  <sheetFormatPr defaultColWidth="8.7047619047619" defaultRowHeight="15" outlineLevelRow="4"/>
  <cols>
    <col min="1" max="1" width="5.14285714285714" customWidth="1"/>
    <col min="2" max="3" width="24.5714285714286" customWidth="1"/>
    <col min="4" max="4" width="79.4285714285714" customWidth="1"/>
    <col min="5" max="5" width="11.5714285714286" customWidth="1"/>
    <col min="6" max="6" width="5.14285714285714" customWidth="1"/>
    <col min="7" max="7" width="11" customWidth="1"/>
    <col min="8" max="8" width="12.7142857142857" customWidth="1"/>
    <col min="9" max="9" width="5.85714285714286" customWidth="1"/>
    <col min="10" max="10" width="6" customWidth="1"/>
    <col min="11" max="11" width="5.85714285714286" customWidth="1"/>
    <col min="12" max="12" width="14.2857142857143" customWidth="1"/>
    <col min="13" max="13" width="9.42857142857143" customWidth="1"/>
    <col min="14" max="14" width="14.4285714285714" customWidth="1"/>
    <col min="15" max="15" width="15.5714285714286" customWidth="1"/>
    <col min="16" max="16" width="14.4285714285714" customWidth="1"/>
    <col min="17" max="17" width="39.4285714285714" customWidth="1"/>
    <col min="18" max="18" width="11.7142857142857" customWidth="1"/>
    <col min="19" max="19" width="11.8571428571429" customWidth="1"/>
    <col min="20" max="20" width="6.42857142857143" customWidth="1"/>
    <col min="21" max="22" width="6.57142857142857" customWidth="1"/>
    <col min="23" max="23" width="37.1428571428571" customWidth="1"/>
    <col min="24" max="25" width="8" customWidth="1"/>
    <col min="26" max="26" width="7.71428571428571" customWidth="1"/>
    <col min="27" max="27" width="6.28571428571429" customWidth="1"/>
    <col min="28" max="28" width="9.28571428571429" customWidth="1"/>
    <col min="29" max="29" width="9.71428571428571" customWidth="1"/>
    <col min="30" max="30" width="12.8571428571429" customWidth="1"/>
    <col min="31" max="31" width="16.1428571428571" customWidth="1"/>
    <col min="32" max="32" width="15.4285714285714" customWidth="1"/>
    <col min="33" max="33" width="24.5714285714286" customWidth="1"/>
    <col min="34" max="34" width="8.57142857142857" customWidth="1"/>
    <col min="35" max="35" width="14.7142857142857" customWidth="1"/>
    <col min="36" max="36" width="18.5714285714286" customWidth="1"/>
    <col min="37" max="37" width="14.1428571428571" customWidth="1"/>
    <col min="38" max="38" width="14.7142857142857" customWidth="1"/>
    <col min="39" max="39" width="17.4285714285714" customWidth="1"/>
    <col min="40" max="40" width="22" customWidth="1"/>
    <col min="41" max="41" width="17.5714285714286" customWidth="1"/>
    <col min="42" max="42" width="25.2857142857143" customWidth="1"/>
    <col min="43" max="43" width="13" customWidth="1"/>
    <col min="44" max="44" width="23.7142857142857" customWidth="1"/>
    <col min="45" max="45" width="10" customWidth="1"/>
    <col min="46" max="46" width="13" customWidth="1"/>
    <col min="47" max="47" width="15.5714285714286" customWidth="1"/>
    <col min="48" max="48" width="21.1428571428571" customWidth="1"/>
    <col min="49" max="49" width="11.5714285714286" customWidth="1"/>
    <col min="50" max="50" width="16.7142857142857" customWidth="1"/>
    <col min="51" max="51" width="14" customWidth="1"/>
    <col min="52" max="52" width="19.4285714285714" customWidth="1"/>
    <col min="53" max="53" width="18.8571428571429" customWidth="1"/>
    <col min="54" max="54" width="23.2857142857143" customWidth="1"/>
    <col min="55" max="55" width="15.5714285714286" customWidth="1"/>
    <col min="56" max="56" width="14.2857142857143" customWidth="1"/>
    <col min="57" max="57" width="17" customWidth="1"/>
    <col min="58" max="58" width="16.2857142857143" customWidth="1"/>
    <col min="59" max="59" width="13.5714285714286" customWidth="1"/>
    <col min="60" max="61" width="12.7142857142857" customWidth="1"/>
    <col min="62" max="62" width="21.8571428571429" customWidth="1"/>
    <col min="63" max="63" width="30.5714285714286" customWidth="1"/>
    <col min="64" max="64" width="10" customWidth="1"/>
    <col min="65" max="65" width="42.5714285714286" customWidth="1"/>
    <col min="66" max="66" width="38.1428571428571" customWidth="1"/>
    <col min="67" max="67" width="19.4285714285714" customWidth="1"/>
    <col min="68" max="68" width="35.4285714285714" customWidth="1"/>
    <col min="69" max="69" width="9.57142857142857" customWidth="1"/>
  </cols>
  <sheetData>
    <row r="1" spans="1:69">
      <c r="A1" s="1" t="s">
        <v>0</v>
      </c>
      <c r="B1" s="2"/>
      <c r="C1" s="2"/>
      <c r="D1" s="2"/>
      <c r="E1" s="2"/>
      <c r="F1" s="2"/>
      <c r="G1" s="2"/>
      <c r="H1" s="1"/>
      <c r="I1" s="10"/>
      <c r="J1" s="10"/>
      <c r="K1" s="10"/>
      <c r="L1" s="10"/>
      <c r="M1" s="10"/>
      <c r="N1" s="10"/>
      <c r="O1" s="10"/>
      <c r="P1" s="10"/>
      <c r="Q1" s="10"/>
      <c r="R1" s="1"/>
      <c r="S1" s="1"/>
      <c r="T1" s="1"/>
      <c r="U1" s="1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23"/>
      <c r="BQ1" s="23"/>
    </row>
    <row r="2" spans="1:69">
      <c r="A2" s="3" t="s">
        <v>1</v>
      </c>
      <c r="B2" s="3"/>
      <c r="C2" s="24">
        <v>2</v>
      </c>
      <c r="D2" s="4" t="s">
        <v>2</v>
      </c>
      <c r="E2" s="24"/>
      <c r="F2" s="24"/>
      <c r="G2" s="24"/>
      <c r="H2" s="25"/>
      <c r="I2" s="27" t="s">
        <v>3</v>
      </c>
      <c r="J2" s="27" t="s">
        <v>4</v>
      </c>
      <c r="K2" s="27"/>
      <c r="L2" s="27" t="s">
        <v>5</v>
      </c>
      <c r="M2" s="27">
        <v>1</v>
      </c>
      <c r="N2" s="27"/>
      <c r="O2" s="27" t="s">
        <v>6</v>
      </c>
      <c r="P2" s="27">
        <v>2</v>
      </c>
      <c r="Q2" s="27" t="s">
        <v>7</v>
      </c>
      <c r="R2" s="25"/>
      <c r="S2" s="25"/>
      <c r="T2" s="25"/>
      <c r="U2" s="25"/>
      <c r="V2" s="25">
        <v>1</v>
      </c>
      <c r="W2" s="25" t="s">
        <v>8</v>
      </c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  <c r="AR2" s="27"/>
      <c r="AS2" s="27"/>
      <c r="AT2" s="27"/>
      <c r="AU2" s="27"/>
      <c r="AV2" s="27"/>
      <c r="AW2" s="27"/>
      <c r="AX2" s="27"/>
      <c r="AY2" s="27"/>
      <c r="AZ2" s="27"/>
      <c r="BA2" s="27"/>
      <c r="BB2" s="27"/>
      <c r="BC2" s="27"/>
      <c r="BD2" s="27"/>
      <c r="BE2" s="27"/>
      <c r="BF2" s="27"/>
      <c r="BG2" s="27"/>
      <c r="BH2" s="27"/>
      <c r="BI2" s="27"/>
      <c r="BJ2" s="27"/>
      <c r="BK2" s="27"/>
      <c r="BL2" s="27"/>
      <c r="BM2" s="27"/>
      <c r="BN2" s="27"/>
      <c r="BO2" s="27"/>
      <c r="BP2" s="29"/>
      <c r="BQ2" s="29"/>
    </row>
    <row r="3" ht="15.75" spans="1:69">
      <c r="A3" s="26" t="s">
        <v>9</v>
      </c>
      <c r="B3" s="26" t="s">
        <v>10</v>
      </c>
      <c r="C3" s="26" t="s">
        <v>11</v>
      </c>
      <c r="D3" s="26" t="s">
        <v>12</v>
      </c>
      <c r="E3" s="26" t="s">
        <v>13</v>
      </c>
      <c r="F3" s="26" t="s">
        <v>14</v>
      </c>
      <c r="G3" s="26" t="s">
        <v>15</v>
      </c>
      <c r="H3" s="26" t="s">
        <v>16</v>
      </c>
      <c r="I3" s="32" t="s">
        <v>17</v>
      </c>
      <c r="J3" s="32" t="s">
        <v>19</v>
      </c>
      <c r="K3" s="32" t="s">
        <v>18</v>
      </c>
      <c r="L3" s="33" t="s">
        <v>20</v>
      </c>
      <c r="M3" s="33" t="s">
        <v>21</v>
      </c>
      <c r="N3" s="33" t="s">
        <v>24</v>
      </c>
      <c r="O3" s="33" t="s">
        <v>25</v>
      </c>
      <c r="P3" s="33" t="s">
        <v>95</v>
      </c>
      <c r="Q3" s="33" t="s">
        <v>23</v>
      </c>
      <c r="R3" s="32" t="s">
        <v>26</v>
      </c>
      <c r="S3" s="26" t="s">
        <v>96</v>
      </c>
      <c r="T3" s="26" t="s">
        <v>28</v>
      </c>
      <c r="U3" s="34" t="s">
        <v>97</v>
      </c>
      <c r="V3" s="34" t="s">
        <v>30</v>
      </c>
      <c r="W3" s="34" t="s">
        <v>31</v>
      </c>
      <c r="X3" s="34" t="s">
        <v>32</v>
      </c>
      <c r="Y3" s="34" t="s">
        <v>33</v>
      </c>
      <c r="Z3" s="34" t="s">
        <v>34</v>
      </c>
      <c r="AA3" s="34" t="s">
        <v>35</v>
      </c>
      <c r="AB3" s="34" t="s">
        <v>36</v>
      </c>
      <c r="AC3" s="35" t="s">
        <v>37</v>
      </c>
      <c r="AD3" s="35" t="s">
        <v>38</v>
      </c>
      <c r="AE3" s="35" t="s">
        <v>39</v>
      </c>
      <c r="AF3" s="35" t="s">
        <v>40</v>
      </c>
      <c r="AG3" s="35" t="s">
        <v>41</v>
      </c>
      <c r="AH3" s="35" t="s">
        <v>42</v>
      </c>
      <c r="AI3" s="35" t="s">
        <v>43</v>
      </c>
      <c r="AJ3" s="35" t="s">
        <v>44</v>
      </c>
      <c r="AK3" s="35" t="s">
        <v>45</v>
      </c>
      <c r="AL3" s="35" t="s">
        <v>46</v>
      </c>
      <c r="AM3" s="35" t="s">
        <v>47</v>
      </c>
      <c r="AN3" s="35" t="s">
        <v>48</v>
      </c>
      <c r="AO3" s="35" t="s">
        <v>49</v>
      </c>
      <c r="AP3" s="35" t="s">
        <v>50</v>
      </c>
      <c r="AQ3" s="35" t="s">
        <v>51</v>
      </c>
      <c r="AR3" s="37" t="s">
        <v>98</v>
      </c>
      <c r="AS3" s="26" t="s">
        <v>53</v>
      </c>
      <c r="AT3" s="26" t="s">
        <v>51</v>
      </c>
      <c r="AU3" s="38" t="s">
        <v>54</v>
      </c>
      <c r="AV3" s="38" t="s">
        <v>55</v>
      </c>
      <c r="AW3" s="38" t="s">
        <v>56</v>
      </c>
      <c r="AX3" s="38" t="s">
        <v>57</v>
      </c>
      <c r="AY3" s="38" t="s">
        <v>58</v>
      </c>
      <c r="AZ3" s="38" t="s">
        <v>59</v>
      </c>
      <c r="BA3" s="38" t="s">
        <v>60</v>
      </c>
      <c r="BB3" s="38" t="s">
        <v>61</v>
      </c>
      <c r="BC3" s="38" t="s">
        <v>62</v>
      </c>
      <c r="BD3" s="38" t="s">
        <v>63</v>
      </c>
      <c r="BE3" s="38" t="s">
        <v>64</v>
      </c>
      <c r="BF3" s="38" t="s">
        <v>65</v>
      </c>
      <c r="BG3" s="38" t="s">
        <v>66</v>
      </c>
      <c r="BH3" s="38" t="s">
        <v>67</v>
      </c>
      <c r="BI3" s="38" t="s">
        <v>68</v>
      </c>
      <c r="BJ3" s="38" t="s">
        <v>69</v>
      </c>
      <c r="BK3" s="38" t="s">
        <v>70</v>
      </c>
      <c r="BL3" s="38" t="s">
        <v>71</v>
      </c>
      <c r="BM3" s="38" t="s">
        <v>72</v>
      </c>
      <c r="BN3" s="38" t="s">
        <v>73</v>
      </c>
      <c r="BO3" s="38" t="s">
        <v>59</v>
      </c>
      <c r="BP3" s="38" t="s">
        <v>74</v>
      </c>
      <c r="BQ3" s="38" t="s">
        <v>28</v>
      </c>
    </row>
    <row r="4" ht="15.75" spans="1:69">
      <c r="A4" s="27">
        <v>1</v>
      </c>
      <c r="B4" s="27" t="s">
        <v>130</v>
      </c>
      <c r="C4" s="27" t="s">
        <v>130</v>
      </c>
      <c r="D4" s="27" t="s">
        <v>76</v>
      </c>
      <c r="E4" s="27" t="s">
        <v>76</v>
      </c>
      <c r="F4" s="28">
        <v>4</v>
      </c>
      <c r="G4" s="28">
        <v>100</v>
      </c>
      <c r="H4" s="28">
        <f>F4*G4</f>
        <v>400</v>
      </c>
      <c r="I4" s="29">
        <v>0</v>
      </c>
      <c r="J4" s="28">
        <v>2</v>
      </c>
      <c r="K4" s="28">
        <v>2</v>
      </c>
      <c r="L4" s="28">
        <f>H4</f>
        <v>400</v>
      </c>
      <c r="M4" s="28">
        <f>ROUND(L4*I4%,2)</f>
        <v>0</v>
      </c>
      <c r="N4" s="28">
        <f>H4-M4</f>
        <v>400</v>
      </c>
      <c r="O4" s="28">
        <f>ROUND(N4*J4%,2)</f>
        <v>8</v>
      </c>
      <c r="P4" s="28">
        <f>ROUND(N4-O4,2)</f>
        <v>392</v>
      </c>
      <c r="Q4" s="28">
        <f>ROUND(P4*K4%,2)</f>
        <v>7.84</v>
      </c>
      <c r="R4" s="28">
        <f>M4+O4+Q4</f>
        <v>15.84</v>
      </c>
      <c r="S4" s="28">
        <f>(H4-R4)</f>
        <v>384.16</v>
      </c>
      <c r="T4" s="28" t="s">
        <v>77</v>
      </c>
      <c r="U4" s="15">
        <v>18</v>
      </c>
      <c r="V4" s="15">
        <f>IF(OR($C$2=1,$C$2=4),ROUND((((S4*U4)/100)/2),2),0)</f>
        <v>0</v>
      </c>
      <c r="W4" s="15">
        <f>IF($C$2=1,ROUND((((S4*U4)/100)/2),2),0)</f>
        <v>0</v>
      </c>
      <c r="X4" s="15">
        <f>IF($C$2=2,ROUND(((S4*U4)/100),2),0)</f>
        <v>69.15</v>
      </c>
      <c r="Y4" s="15">
        <f>IF($C$2=4,ROUND((((S4*U4)/100)/2),2),0)</f>
        <v>0</v>
      </c>
      <c r="Z4" s="15">
        <v>0</v>
      </c>
      <c r="AA4" s="15">
        <f>IF($C2=3,0,(S4*Z4)/100)</f>
        <v>0</v>
      </c>
      <c r="AB4" s="15">
        <f>V4+W4+X4+Y4+AA4</f>
        <v>69.15</v>
      </c>
      <c r="AC4" s="28">
        <f>IF($V2=1,S4+AB4,S4)</f>
        <v>453.31</v>
      </c>
      <c r="AD4" s="28">
        <v>120</v>
      </c>
      <c r="AE4" s="28">
        <f>IF($P$2=1,(S4/$S$4)*$E$35,AD4/$AD$4*$E$35)</f>
        <v>0</v>
      </c>
      <c r="AF4" s="28"/>
      <c r="AG4" s="28">
        <f>IF($P$2=1,(S4/$S$4)*$E$37,AD4/$AD$4*$E$37)</f>
        <v>0</v>
      </c>
      <c r="AH4" s="28">
        <f>IF($P$2=1,(S4/$S$4)*$E$37,AD4/$AD$4*$E$37)</f>
        <v>0</v>
      </c>
      <c r="AI4" s="28">
        <f>S4*$M$21</f>
        <v>0</v>
      </c>
      <c r="AJ4" s="28">
        <f>IF($C$2=3,0,AG4+AH4)</f>
        <v>0</v>
      </c>
      <c r="AK4" s="28">
        <f>IF($C$2=3,AE4+AG4+AH4,0)</f>
        <v>0</v>
      </c>
      <c r="AL4" s="28">
        <v>3</v>
      </c>
      <c r="AM4" s="28">
        <f>F4/AL4</f>
        <v>1.33333333333333</v>
      </c>
      <c r="AN4" s="28">
        <f>AI4/AM4</f>
        <v>0</v>
      </c>
      <c r="AO4" s="28">
        <f>AJ4/AM4</f>
        <v>0</v>
      </c>
      <c r="AP4" s="28">
        <f>AK4/AM4</f>
        <v>0</v>
      </c>
      <c r="AQ4" s="28" t="s">
        <v>76</v>
      </c>
      <c r="AR4" s="28">
        <f>AN4+AO4+AP4</f>
        <v>0</v>
      </c>
      <c r="AS4" s="28" t="s">
        <v>78</v>
      </c>
      <c r="AT4" s="28" t="s">
        <v>76</v>
      </c>
      <c r="AU4" t="s">
        <v>131</v>
      </c>
      <c r="AV4" t="s">
        <v>132</v>
      </c>
      <c r="AW4" s="28">
        <f>AM4</f>
        <v>1.33333333333333</v>
      </c>
      <c r="AX4" s="28">
        <f>AR4</f>
        <v>0</v>
      </c>
      <c r="AY4" s="28">
        <f>AU4+AW4</f>
        <v>32.6603333333333</v>
      </c>
      <c r="AZ4" t="s">
        <v>132</v>
      </c>
      <c r="BA4" s="39"/>
      <c r="BB4" s="39" t="s">
        <v>81</v>
      </c>
      <c r="BC4" s="39" t="s">
        <v>82</v>
      </c>
      <c r="BD4" s="40" t="s">
        <v>83</v>
      </c>
      <c r="BE4" s="40" t="s">
        <v>84</v>
      </c>
      <c r="BF4" s="39"/>
      <c r="BG4" s="39"/>
      <c r="BH4" s="39"/>
      <c r="BI4" s="28"/>
      <c r="BJ4" s="28"/>
      <c r="BK4" s="28"/>
      <c r="BL4" s="41" t="s">
        <v>85</v>
      </c>
      <c r="BM4" t="s">
        <v>133</v>
      </c>
      <c r="BN4" t="s">
        <v>134</v>
      </c>
      <c r="BO4" s="28">
        <f>ROUND((((AW4*AZ4)+(BN4*BM4))/(AW4+BN4)),5)</f>
        <v>2862.99219</v>
      </c>
      <c r="BP4" s="39">
        <f>BN4+AW4</f>
        <v>35.9993333333333</v>
      </c>
      <c r="BQ4" s="42">
        <v>88363222</v>
      </c>
    </row>
    <row r="5" spans="1:69">
      <c r="A5" s="27"/>
      <c r="B5" s="29"/>
      <c r="C5" s="29"/>
      <c r="D5" s="30" t="s">
        <v>88</v>
      </c>
      <c r="E5" s="30"/>
      <c r="F5" s="30"/>
      <c r="G5" s="30"/>
      <c r="H5" s="31">
        <f>SUM(H4:H4)</f>
        <v>400</v>
      </c>
      <c r="I5" s="27"/>
      <c r="J5" s="27"/>
      <c r="K5" s="27"/>
      <c r="L5" s="27"/>
      <c r="M5" s="27"/>
      <c r="N5" s="27"/>
      <c r="O5" s="27"/>
      <c r="P5" s="27"/>
      <c r="Q5" s="27"/>
      <c r="R5" s="31">
        <f t="shared" ref="R5:AK5" si="0">SUM(R4:R4)</f>
        <v>15.84</v>
      </c>
      <c r="S5" s="31">
        <f t="shared" si="0"/>
        <v>384.16</v>
      </c>
      <c r="T5" s="30"/>
      <c r="U5" s="30"/>
      <c r="V5" s="31">
        <f t="shared" si="0"/>
        <v>0</v>
      </c>
      <c r="W5" s="31">
        <f t="shared" si="0"/>
        <v>0</v>
      </c>
      <c r="X5" s="31">
        <f t="shared" si="0"/>
        <v>69.15</v>
      </c>
      <c r="Y5" s="31">
        <f t="shared" si="0"/>
        <v>0</v>
      </c>
      <c r="Z5" s="31">
        <f t="shared" si="0"/>
        <v>0</v>
      </c>
      <c r="AA5" s="31">
        <f t="shared" si="0"/>
        <v>0</v>
      </c>
      <c r="AB5" s="31">
        <f t="shared" si="0"/>
        <v>69.15</v>
      </c>
      <c r="AC5" s="31">
        <f t="shared" si="0"/>
        <v>453.31</v>
      </c>
      <c r="AD5" s="31">
        <f t="shared" si="0"/>
        <v>120</v>
      </c>
      <c r="AE5" s="31">
        <f t="shared" si="0"/>
        <v>0</v>
      </c>
      <c r="AF5" s="31">
        <f t="shared" si="0"/>
        <v>0</v>
      </c>
      <c r="AG5" s="31">
        <f t="shared" si="0"/>
        <v>0</v>
      </c>
      <c r="AH5" s="31">
        <f t="shared" si="0"/>
        <v>0</v>
      </c>
      <c r="AI5" s="31">
        <f t="shared" si="0"/>
        <v>0</v>
      </c>
      <c r="AJ5" s="31">
        <f t="shared" si="0"/>
        <v>0</v>
      </c>
      <c r="AK5" s="31">
        <f t="shared" si="0"/>
        <v>0</v>
      </c>
      <c r="AL5" s="36"/>
      <c r="AM5" s="36"/>
      <c r="AN5" s="36"/>
      <c r="AO5" s="36"/>
      <c r="AP5" s="36"/>
      <c r="AQ5" s="36"/>
      <c r="AR5" s="36"/>
      <c r="AS5" s="27"/>
      <c r="AT5" s="27"/>
      <c r="AU5" s="29"/>
      <c r="AV5" s="29"/>
      <c r="AW5" s="27"/>
      <c r="AX5" s="27"/>
      <c r="AY5" s="27"/>
      <c r="AZ5" s="27"/>
      <c r="BA5" s="27"/>
      <c r="BB5" s="27"/>
      <c r="BC5" s="27"/>
      <c r="BD5" s="27"/>
      <c r="BE5" s="27"/>
      <c r="BF5" s="27"/>
      <c r="BG5" s="27"/>
      <c r="BH5" s="27"/>
      <c r="BI5" s="27"/>
      <c r="BJ5" s="27"/>
      <c r="BK5" s="27"/>
      <c r="BL5" s="27"/>
      <c r="BM5" s="27"/>
      <c r="BN5" s="27"/>
      <c r="BO5" s="27"/>
      <c r="BP5" s="29"/>
      <c r="BQ5" s="29"/>
    </row>
  </sheetData>
  <mergeCells count="1">
    <mergeCell ref="A2:B2"/>
  </mergeCells>
  <pageMargins left="0.75" right="0.75" top="1" bottom="1" header="0.5" footer="0.5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Q5"/>
  <sheetViews>
    <sheetView topLeftCell="P1" workbookViewId="0">
      <selection activeCell="U4" sqref="U4:AB4"/>
    </sheetView>
  </sheetViews>
  <sheetFormatPr defaultColWidth="8.7047619047619" defaultRowHeight="15" outlineLevelRow="4"/>
  <cols>
    <col min="1" max="1" width="5.14285714285714" customWidth="1"/>
    <col min="2" max="3" width="24.5714285714286" customWidth="1"/>
    <col min="4" max="4" width="79.4285714285714" customWidth="1"/>
    <col min="5" max="5" width="11.5714285714286" customWidth="1"/>
    <col min="6" max="6" width="5.14285714285714" customWidth="1"/>
    <col min="7" max="7" width="11" customWidth="1"/>
    <col min="8" max="8" width="12.7142857142857" customWidth="1"/>
    <col min="9" max="9" width="5.85714285714286" customWidth="1"/>
    <col min="10" max="10" width="6" customWidth="1"/>
    <col min="11" max="11" width="5.85714285714286" customWidth="1"/>
    <col min="12" max="12" width="14.2857142857143" customWidth="1"/>
    <col min="13" max="13" width="9.42857142857143" customWidth="1"/>
    <col min="14" max="14" width="14.4285714285714" customWidth="1"/>
    <col min="15" max="15" width="15.5714285714286" customWidth="1"/>
    <col min="16" max="16" width="14.4285714285714" customWidth="1"/>
    <col min="17" max="17" width="39.4285714285714" customWidth="1"/>
    <col min="18" max="18" width="11.7142857142857" customWidth="1"/>
    <col min="19" max="19" width="11.8571428571429" customWidth="1"/>
    <col min="20" max="20" width="6.42857142857143" customWidth="1"/>
    <col min="21" max="22" width="6.57142857142857" customWidth="1"/>
    <col min="23" max="23" width="37.1428571428571" customWidth="1"/>
    <col min="24" max="25" width="8" customWidth="1"/>
    <col min="26" max="26" width="7.71428571428571" customWidth="1"/>
    <col min="27" max="27" width="6.28571428571429" customWidth="1"/>
    <col min="28" max="28" width="9.28571428571429" customWidth="1"/>
    <col min="29" max="29" width="9.71428571428571" customWidth="1"/>
    <col min="30" max="30" width="12.8571428571429" customWidth="1"/>
    <col min="31" max="31" width="16.1428571428571" customWidth="1"/>
    <col min="32" max="32" width="15.4285714285714" customWidth="1"/>
    <col min="33" max="33" width="24.5714285714286" customWidth="1"/>
    <col min="34" max="34" width="8.57142857142857" customWidth="1"/>
    <col min="35" max="35" width="14.7142857142857" customWidth="1"/>
    <col min="36" max="36" width="18.5714285714286" customWidth="1"/>
    <col min="37" max="37" width="14.1428571428571" customWidth="1"/>
    <col min="38" max="38" width="14.7142857142857" customWidth="1"/>
    <col min="39" max="39" width="17.4285714285714" customWidth="1"/>
    <col min="40" max="40" width="22" customWidth="1"/>
    <col min="41" max="41" width="17.5714285714286" customWidth="1"/>
    <col min="42" max="42" width="25.2857142857143" customWidth="1"/>
    <col min="43" max="43" width="13" customWidth="1"/>
    <col min="44" max="44" width="23.7142857142857" customWidth="1"/>
    <col min="45" max="45" width="10" customWidth="1"/>
    <col min="46" max="46" width="13" customWidth="1"/>
    <col min="47" max="47" width="15.5714285714286" customWidth="1"/>
    <col min="48" max="48" width="21.1428571428571" customWidth="1"/>
    <col min="49" max="49" width="11.5714285714286" customWidth="1"/>
    <col min="50" max="50" width="16.7142857142857" customWidth="1"/>
    <col min="51" max="51" width="14" customWidth="1"/>
    <col min="52" max="52" width="19.4285714285714" customWidth="1"/>
    <col min="53" max="53" width="18.8571428571429" customWidth="1"/>
    <col min="54" max="54" width="23.2857142857143" customWidth="1"/>
    <col min="55" max="55" width="15.5714285714286" customWidth="1"/>
    <col min="56" max="56" width="14.2857142857143" customWidth="1"/>
    <col min="57" max="57" width="17" customWidth="1"/>
    <col min="58" max="58" width="16.2857142857143" customWidth="1"/>
    <col min="59" max="59" width="13.5714285714286" customWidth="1"/>
    <col min="60" max="61" width="12.7142857142857" customWidth="1"/>
    <col min="62" max="62" width="21.8571428571429" customWidth="1"/>
    <col min="63" max="63" width="30.5714285714286" customWidth="1"/>
    <col min="64" max="64" width="10" customWidth="1"/>
    <col min="65" max="65" width="42.5714285714286" customWidth="1"/>
    <col min="66" max="66" width="38.1428571428571" customWidth="1"/>
    <col min="67" max="67" width="19.4285714285714" customWidth="1"/>
    <col min="68" max="68" width="35.4285714285714" customWidth="1"/>
    <col min="69" max="69" width="9.57142857142857" customWidth="1"/>
  </cols>
  <sheetData>
    <row r="1" spans="1:69">
      <c r="A1" s="1" t="s">
        <v>0</v>
      </c>
      <c r="B1" s="2"/>
      <c r="C1" s="2"/>
      <c r="D1" s="2"/>
      <c r="E1" s="2"/>
      <c r="F1" s="2"/>
      <c r="G1" s="2"/>
      <c r="H1" s="1"/>
      <c r="I1" s="10"/>
      <c r="J1" s="10"/>
      <c r="K1" s="10"/>
      <c r="L1" s="10"/>
      <c r="M1" s="10"/>
      <c r="N1" s="10"/>
      <c r="O1" s="10"/>
      <c r="P1" s="10"/>
      <c r="Q1" s="10"/>
      <c r="R1" s="1"/>
      <c r="S1" s="1"/>
      <c r="T1" s="1"/>
      <c r="U1" s="1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23"/>
      <c r="BQ1" s="23"/>
    </row>
    <row r="2" spans="1:69">
      <c r="A2" s="3" t="s">
        <v>1</v>
      </c>
      <c r="B2" s="3"/>
      <c r="C2" s="24">
        <v>2</v>
      </c>
      <c r="D2" s="4" t="s">
        <v>2</v>
      </c>
      <c r="E2" s="24"/>
      <c r="F2" s="24"/>
      <c r="G2" s="24"/>
      <c r="H2" s="25"/>
      <c r="I2" s="27" t="s">
        <v>3</v>
      </c>
      <c r="J2" s="27" t="s">
        <v>4</v>
      </c>
      <c r="K2" s="27"/>
      <c r="L2" s="27" t="s">
        <v>5</v>
      </c>
      <c r="M2" s="27">
        <v>1</v>
      </c>
      <c r="N2" s="27"/>
      <c r="O2" s="27" t="s">
        <v>6</v>
      </c>
      <c r="P2" s="27">
        <v>2</v>
      </c>
      <c r="Q2" s="27" t="s">
        <v>7</v>
      </c>
      <c r="R2" s="25"/>
      <c r="S2" s="25"/>
      <c r="T2" s="25"/>
      <c r="U2" s="25"/>
      <c r="V2" s="25">
        <v>1</v>
      </c>
      <c r="W2" s="25" t="s">
        <v>8</v>
      </c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  <c r="AR2" s="27"/>
      <c r="AS2" s="27"/>
      <c r="AT2" s="27"/>
      <c r="AU2" s="27"/>
      <c r="AV2" s="27"/>
      <c r="AW2" s="27"/>
      <c r="AX2" s="27"/>
      <c r="AY2" s="27"/>
      <c r="AZ2" s="27"/>
      <c r="BA2" s="27"/>
      <c r="BB2" s="27"/>
      <c r="BC2" s="27"/>
      <c r="BD2" s="27"/>
      <c r="BE2" s="27"/>
      <c r="BF2" s="27"/>
      <c r="BG2" s="27"/>
      <c r="BH2" s="27"/>
      <c r="BI2" s="27"/>
      <c r="BJ2" s="27"/>
      <c r="BK2" s="27"/>
      <c r="BL2" s="27"/>
      <c r="BM2" s="27"/>
      <c r="BN2" s="27"/>
      <c r="BO2" s="27"/>
      <c r="BP2" s="29"/>
      <c r="BQ2" s="29"/>
    </row>
    <row r="3" ht="15.75" spans="1:69">
      <c r="A3" s="26" t="s">
        <v>9</v>
      </c>
      <c r="B3" s="26" t="s">
        <v>10</v>
      </c>
      <c r="C3" s="26" t="s">
        <v>11</v>
      </c>
      <c r="D3" s="26" t="s">
        <v>12</v>
      </c>
      <c r="E3" s="26" t="s">
        <v>13</v>
      </c>
      <c r="F3" s="26" t="s">
        <v>14</v>
      </c>
      <c r="G3" s="26" t="s">
        <v>15</v>
      </c>
      <c r="H3" s="26" t="s">
        <v>16</v>
      </c>
      <c r="I3" s="32" t="s">
        <v>17</v>
      </c>
      <c r="J3" s="32" t="s">
        <v>19</v>
      </c>
      <c r="K3" s="32" t="s">
        <v>18</v>
      </c>
      <c r="L3" s="33" t="s">
        <v>20</v>
      </c>
      <c r="M3" s="33" t="s">
        <v>21</v>
      </c>
      <c r="N3" s="33" t="s">
        <v>24</v>
      </c>
      <c r="O3" s="33" t="s">
        <v>25</v>
      </c>
      <c r="P3" s="33" t="s">
        <v>95</v>
      </c>
      <c r="Q3" s="33" t="s">
        <v>23</v>
      </c>
      <c r="R3" s="32" t="s">
        <v>26</v>
      </c>
      <c r="S3" s="26" t="s">
        <v>96</v>
      </c>
      <c r="T3" s="26" t="s">
        <v>28</v>
      </c>
      <c r="U3" s="34" t="s">
        <v>97</v>
      </c>
      <c r="V3" s="34" t="s">
        <v>30</v>
      </c>
      <c r="W3" s="34" t="s">
        <v>31</v>
      </c>
      <c r="X3" s="34" t="s">
        <v>32</v>
      </c>
      <c r="Y3" s="34" t="s">
        <v>33</v>
      </c>
      <c r="Z3" s="34" t="s">
        <v>34</v>
      </c>
      <c r="AA3" s="34" t="s">
        <v>35</v>
      </c>
      <c r="AB3" s="34" t="s">
        <v>36</v>
      </c>
      <c r="AC3" s="35" t="s">
        <v>37</v>
      </c>
      <c r="AD3" s="35" t="s">
        <v>38</v>
      </c>
      <c r="AE3" s="35" t="s">
        <v>39</v>
      </c>
      <c r="AF3" s="35" t="s">
        <v>40</v>
      </c>
      <c r="AG3" s="35" t="s">
        <v>41</v>
      </c>
      <c r="AH3" s="35" t="s">
        <v>42</v>
      </c>
      <c r="AI3" s="35" t="s">
        <v>43</v>
      </c>
      <c r="AJ3" s="35" t="s">
        <v>44</v>
      </c>
      <c r="AK3" s="35" t="s">
        <v>45</v>
      </c>
      <c r="AL3" s="35" t="s">
        <v>46</v>
      </c>
      <c r="AM3" s="35" t="s">
        <v>47</v>
      </c>
      <c r="AN3" s="35" t="s">
        <v>48</v>
      </c>
      <c r="AO3" s="35" t="s">
        <v>49</v>
      </c>
      <c r="AP3" s="35" t="s">
        <v>50</v>
      </c>
      <c r="AQ3" s="35" t="s">
        <v>51</v>
      </c>
      <c r="AR3" s="37" t="s">
        <v>98</v>
      </c>
      <c r="AS3" s="26" t="s">
        <v>53</v>
      </c>
      <c r="AT3" s="26" t="s">
        <v>51</v>
      </c>
      <c r="AU3" s="38" t="s">
        <v>54</v>
      </c>
      <c r="AV3" s="38" t="s">
        <v>55</v>
      </c>
      <c r="AW3" s="38" t="s">
        <v>56</v>
      </c>
      <c r="AX3" s="38" t="s">
        <v>57</v>
      </c>
      <c r="AY3" s="38" t="s">
        <v>58</v>
      </c>
      <c r="AZ3" s="38" t="s">
        <v>59</v>
      </c>
      <c r="BA3" s="38" t="s">
        <v>60</v>
      </c>
      <c r="BB3" s="38" t="s">
        <v>61</v>
      </c>
      <c r="BC3" s="38" t="s">
        <v>62</v>
      </c>
      <c r="BD3" s="38" t="s">
        <v>63</v>
      </c>
      <c r="BE3" s="38" t="s">
        <v>64</v>
      </c>
      <c r="BF3" s="38" t="s">
        <v>65</v>
      </c>
      <c r="BG3" s="38" t="s">
        <v>66</v>
      </c>
      <c r="BH3" s="38" t="s">
        <v>67</v>
      </c>
      <c r="BI3" s="38" t="s">
        <v>68</v>
      </c>
      <c r="BJ3" s="38" t="s">
        <v>69</v>
      </c>
      <c r="BK3" s="38" t="s">
        <v>70</v>
      </c>
      <c r="BL3" s="38" t="s">
        <v>71</v>
      </c>
      <c r="BM3" s="38" t="s">
        <v>72</v>
      </c>
      <c r="BN3" s="38" t="s">
        <v>73</v>
      </c>
      <c r="BO3" s="38" t="s">
        <v>59</v>
      </c>
      <c r="BP3" s="38" t="s">
        <v>74</v>
      </c>
      <c r="BQ3" s="38" t="s">
        <v>28</v>
      </c>
    </row>
    <row r="4" ht="15.75" spans="1:69">
      <c r="A4" s="27">
        <v>1</v>
      </c>
      <c r="B4" s="27" t="s">
        <v>135</v>
      </c>
      <c r="C4" s="27" t="s">
        <v>135</v>
      </c>
      <c r="D4" s="27" t="s">
        <v>76</v>
      </c>
      <c r="E4" s="27" t="s">
        <v>76</v>
      </c>
      <c r="F4" s="28">
        <v>4</v>
      </c>
      <c r="G4" s="28">
        <v>100</v>
      </c>
      <c r="H4" s="28">
        <f>F4*G4</f>
        <v>400</v>
      </c>
      <c r="I4" s="29">
        <v>0</v>
      </c>
      <c r="J4" s="28">
        <v>2</v>
      </c>
      <c r="K4" s="28">
        <v>2</v>
      </c>
      <c r="L4" s="28">
        <f>H4</f>
        <v>400</v>
      </c>
      <c r="M4" s="28">
        <f>ROUND(L4*I4%,2)</f>
        <v>0</v>
      </c>
      <c r="N4" s="28">
        <f>H4-M4</f>
        <v>400</v>
      </c>
      <c r="O4" s="28">
        <f>ROUND(N4*J4%,2)</f>
        <v>8</v>
      </c>
      <c r="P4" s="28">
        <f>ROUND(N4-O4,2)</f>
        <v>392</v>
      </c>
      <c r="Q4" s="28">
        <f>ROUND(P4*K4%,2)</f>
        <v>7.84</v>
      </c>
      <c r="R4" s="28">
        <f>M4+O4+Q4</f>
        <v>15.84</v>
      </c>
      <c r="S4" s="28">
        <f>(H4-R4)</f>
        <v>384.16</v>
      </c>
      <c r="T4" s="28" t="s">
        <v>77</v>
      </c>
      <c r="U4" s="15">
        <v>18</v>
      </c>
      <c r="V4" s="15">
        <f>IF(OR($C$2=1,$C$2=4),ROUND((((S4*U4)/100)/2),2),0)</f>
        <v>0</v>
      </c>
      <c r="W4" s="15">
        <f>IF($C$2=1,ROUND((((S4*U4)/100)/2),2),0)</f>
        <v>0</v>
      </c>
      <c r="X4" s="15">
        <f>IF($C$2=2,ROUND(((S4*U4)/100),2),0)</f>
        <v>69.15</v>
      </c>
      <c r="Y4" s="15">
        <f>IF($C$2=4,ROUND((((S4*U4)/100)/2),2),0)</f>
        <v>0</v>
      </c>
      <c r="Z4" s="15">
        <v>0</v>
      </c>
      <c r="AA4" s="15">
        <f>IF($C2=3,0,(S4*Z4)/100)</f>
        <v>0</v>
      </c>
      <c r="AB4" s="15">
        <f>V4+W4+X4+Y4+AA4</f>
        <v>69.15</v>
      </c>
      <c r="AC4" s="28">
        <f>IF($V2=1,S4+AB4,S4)</f>
        <v>453.31</v>
      </c>
      <c r="AD4" s="28">
        <v>120</v>
      </c>
      <c r="AE4" s="28">
        <f>IF($P$2=1,(S4/$S$4)*$E$35,AD4/$AD$4*$E$35)</f>
        <v>0</v>
      </c>
      <c r="AF4" s="28"/>
      <c r="AG4" s="28">
        <f>IF($P$2=1,(S4/$S$4)*$E$37,AD4/$AD$4*$E$37)</f>
        <v>0</v>
      </c>
      <c r="AH4" s="28">
        <f>IF($P$2=1,(S4/$S$4)*$E$37,AD4/$AD$4*$E$37)</f>
        <v>0</v>
      </c>
      <c r="AI4" s="28">
        <f>S4*$M$21</f>
        <v>0</v>
      </c>
      <c r="AJ4" s="28">
        <f>IF($C$2=3,0,AG4+AH4)</f>
        <v>0</v>
      </c>
      <c r="AK4" s="28">
        <f>IF($C$2=3,AE4+AG4+AH4,0)</f>
        <v>0</v>
      </c>
      <c r="AL4" s="28">
        <v>3</v>
      </c>
      <c r="AM4" s="28">
        <f>F4/AL4</f>
        <v>1.33333333333333</v>
      </c>
      <c r="AN4" s="28">
        <f>AI4/AM4</f>
        <v>0</v>
      </c>
      <c r="AO4" s="28">
        <f>AJ4/AM4</f>
        <v>0</v>
      </c>
      <c r="AP4" s="28">
        <f>AK4/AM4</f>
        <v>0</v>
      </c>
      <c r="AQ4" s="28" t="s">
        <v>76</v>
      </c>
      <c r="AR4" s="28">
        <f>AN4+AO4+AP4</f>
        <v>0</v>
      </c>
      <c r="AS4" s="28" t="s">
        <v>78</v>
      </c>
      <c r="AT4" s="28" t="s">
        <v>76</v>
      </c>
      <c r="AU4" t="s">
        <v>136</v>
      </c>
      <c r="AV4" t="s">
        <v>137</v>
      </c>
      <c r="AW4" s="28">
        <f>AM4</f>
        <v>1.33333333333333</v>
      </c>
      <c r="AX4" s="28">
        <f>AR4</f>
        <v>0</v>
      </c>
      <c r="AY4" s="28">
        <f>AU4+AW4</f>
        <v>83.3283333333333</v>
      </c>
      <c r="AZ4" t="s">
        <v>137</v>
      </c>
      <c r="BA4" s="39"/>
      <c r="BB4" s="39" t="s">
        <v>81</v>
      </c>
      <c r="BC4" s="39" t="s">
        <v>82</v>
      </c>
      <c r="BD4" s="40" t="s">
        <v>83</v>
      </c>
      <c r="BE4" s="40" t="s">
        <v>84</v>
      </c>
      <c r="BF4" s="39"/>
      <c r="BG4" s="39"/>
      <c r="BH4" s="39"/>
      <c r="BI4" s="28"/>
      <c r="BJ4" s="28"/>
      <c r="BK4" s="28"/>
      <c r="BL4" s="41" t="s">
        <v>85</v>
      </c>
      <c r="BM4" t="s">
        <v>138</v>
      </c>
      <c r="BN4" t="s">
        <v>139</v>
      </c>
      <c r="BO4" s="28">
        <f>ROUND((((AW4*AZ4)+(BN4*BM4))/(AW4+BN4)),5)</f>
        <v>917.40987</v>
      </c>
      <c r="BP4" s="39">
        <f>BN4+AW4</f>
        <v>71.9993333333333</v>
      </c>
      <c r="BQ4" s="42">
        <v>88363222</v>
      </c>
    </row>
    <row r="5" spans="1:69">
      <c r="A5" s="27"/>
      <c r="B5" s="29"/>
      <c r="C5" s="29"/>
      <c r="D5" s="30" t="s">
        <v>88</v>
      </c>
      <c r="E5" s="30"/>
      <c r="F5" s="30"/>
      <c r="G5" s="30"/>
      <c r="H5" s="31">
        <f>SUM(H4:H4)</f>
        <v>400</v>
      </c>
      <c r="I5" s="27"/>
      <c r="J5" s="27"/>
      <c r="K5" s="27"/>
      <c r="L5" s="27"/>
      <c r="M5" s="27"/>
      <c r="N5" s="27"/>
      <c r="O5" s="27"/>
      <c r="P5" s="27"/>
      <c r="Q5" s="27"/>
      <c r="R5" s="31">
        <f t="shared" ref="R5:AK5" si="0">SUM(R4:R4)</f>
        <v>15.84</v>
      </c>
      <c r="S5" s="31">
        <f t="shared" si="0"/>
        <v>384.16</v>
      </c>
      <c r="T5" s="30"/>
      <c r="U5" s="30"/>
      <c r="V5" s="31">
        <f t="shared" si="0"/>
        <v>0</v>
      </c>
      <c r="W5" s="31">
        <f t="shared" si="0"/>
        <v>0</v>
      </c>
      <c r="X5" s="31">
        <f t="shared" si="0"/>
        <v>69.15</v>
      </c>
      <c r="Y5" s="31">
        <f t="shared" si="0"/>
        <v>0</v>
      </c>
      <c r="Z5" s="31">
        <f t="shared" si="0"/>
        <v>0</v>
      </c>
      <c r="AA5" s="31">
        <f t="shared" si="0"/>
        <v>0</v>
      </c>
      <c r="AB5" s="31">
        <f t="shared" si="0"/>
        <v>69.15</v>
      </c>
      <c r="AC5" s="31">
        <f t="shared" si="0"/>
        <v>453.31</v>
      </c>
      <c r="AD5" s="31">
        <f t="shared" si="0"/>
        <v>120</v>
      </c>
      <c r="AE5" s="31">
        <f t="shared" si="0"/>
        <v>0</v>
      </c>
      <c r="AF5" s="31">
        <f t="shared" si="0"/>
        <v>0</v>
      </c>
      <c r="AG5" s="31">
        <f t="shared" si="0"/>
        <v>0</v>
      </c>
      <c r="AH5" s="31">
        <f t="shared" si="0"/>
        <v>0</v>
      </c>
      <c r="AI5" s="31">
        <f t="shared" si="0"/>
        <v>0</v>
      </c>
      <c r="AJ5" s="31">
        <f t="shared" si="0"/>
        <v>0</v>
      </c>
      <c r="AK5" s="31">
        <f t="shared" si="0"/>
        <v>0</v>
      </c>
      <c r="AL5" s="36"/>
      <c r="AM5" s="36"/>
      <c r="AN5" s="36"/>
      <c r="AO5" s="36"/>
      <c r="AP5" s="36"/>
      <c r="AQ5" s="36"/>
      <c r="AR5" s="36"/>
      <c r="AS5" s="27"/>
      <c r="AT5" s="27"/>
      <c r="AU5" s="29"/>
      <c r="AV5" s="29"/>
      <c r="AW5" s="27"/>
      <c r="AX5" s="27"/>
      <c r="AY5" s="27"/>
      <c r="AZ5" s="27"/>
      <c r="BA5" s="27"/>
      <c r="BB5" s="27"/>
      <c r="BC5" s="27"/>
      <c r="BD5" s="27"/>
      <c r="BE5" s="27"/>
      <c r="BF5" s="27"/>
      <c r="BG5" s="27"/>
      <c r="BH5" s="27"/>
      <c r="BI5" s="27"/>
      <c r="BJ5" s="27"/>
      <c r="BK5" s="27"/>
      <c r="BL5" s="27"/>
      <c r="BM5" s="27"/>
      <c r="BN5" s="27"/>
      <c r="BO5" s="27"/>
      <c r="BP5" s="29"/>
      <c r="BQ5" s="29"/>
    </row>
  </sheetData>
  <mergeCells count="1">
    <mergeCell ref="A2:B2"/>
  </mergeCells>
  <pageMargins left="0.75" right="0.75" top="1" bottom="1" header="0.5" footer="0.5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Q5"/>
  <sheetViews>
    <sheetView topLeftCell="U1" workbookViewId="0">
      <selection activeCell="U4" sqref="U4:AB4"/>
    </sheetView>
  </sheetViews>
  <sheetFormatPr defaultColWidth="8.7047619047619" defaultRowHeight="15" outlineLevelRow="4"/>
  <cols>
    <col min="1" max="1" width="5.14285714285714" customWidth="1"/>
    <col min="2" max="3" width="22" customWidth="1"/>
    <col min="4" max="4" width="79.4285714285714" customWidth="1"/>
    <col min="5" max="5" width="11.5714285714286" customWidth="1"/>
    <col min="6" max="6" width="5.14285714285714" customWidth="1"/>
    <col min="7" max="7" width="11" customWidth="1"/>
    <col min="8" max="8" width="12.7142857142857" customWidth="1"/>
    <col min="9" max="9" width="5.85714285714286" customWidth="1"/>
    <col min="10" max="10" width="6" customWidth="1"/>
    <col min="11" max="11" width="5.85714285714286" customWidth="1"/>
    <col min="12" max="12" width="14.2857142857143" customWidth="1"/>
    <col min="13" max="13" width="9.42857142857143" customWidth="1"/>
    <col min="14" max="14" width="14.4285714285714" customWidth="1"/>
    <col min="15" max="15" width="15.5714285714286" customWidth="1"/>
    <col min="16" max="16" width="14.4285714285714" customWidth="1"/>
    <col min="17" max="17" width="39.4285714285714" customWidth="1"/>
    <col min="18" max="18" width="11.7142857142857" customWidth="1"/>
    <col min="19" max="19" width="11.8571428571429" customWidth="1"/>
    <col min="20" max="20" width="6.42857142857143" customWidth="1"/>
    <col min="21" max="22" width="6.57142857142857" customWidth="1"/>
    <col min="23" max="23" width="37.1428571428571" customWidth="1"/>
    <col min="24" max="25" width="8" customWidth="1"/>
    <col min="26" max="26" width="7.71428571428571" customWidth="1"/>
    <col min="27" max="27" width="6.28571428571429" customWidth="1"/>
    <col min="28" max="28" width="9.28571428571429" customWidth="1"/>
    <col min="29" max="29" width="9.71428571428571" customWidth="1"/>
    <col min="30" max="30" width="12.8571428571429" customWidth="1"/>
    <col min="31" max="31" width="16.1428571428571" customWidth="1"/>
    <col min="32" max="32" width="15.4285714285714" customWidth="1"/>
    <col min="33" max="33" width="24.5714285714286" customWidth="1"/>
    <col min="34" max="34" width="8.57142857142857" customWidth="1"/>
    <col min="35" max="35" width="14.7142857142857" customWidth="1"/>
    <col min="36" max="36" width="18.5714285714286" customWidth="1"/>
    <col min="37" max="37" width="14.1428571428571" customWidth="1"/>
    <col min="38" max="38" width="14.7142857142857" customWidth="1"/>
    <col min="39" max="39" width="17.4285714285714" customWidth="1"/>
    <col min="40" max="40" width="22" customWidth="1"/>
    <col min="41" max="41" width="17.5714285714286" customWidth="1"/>
    <col min="42" max="42" width="25.2857142857143" customWidth="1"/>
    <col min="43" max="43" width="13" customWidth="1"/>
    <col min="44" max="44" width="23.7142857142857" customWidth="1"/>
    <col min="45" max="45" width="10" customWidth="1"/>
    <col min="46" max="46" width="13" customWidth="1"/>
    <col min="47" max="47" width="15.5714285714286" customWidth="1"/>
    <col min="48" max="48" width="21.1428571428571" customWidth="1"/>
    <col min="49" max="49" width="11.5714285714286" customWidth="1"/>
    <col min="50" max="50" width="16.7142857142857" customWidth="1"/>
    <col min="51" max="51" width="14" customWidth="1"/>
    <col min="52" max="52" width="19.4285714285714" customWidth="1"/>
    <col min="53" max="53" width="18.8571428571429" customWidth="1"/>
    <col min="54" max="54" width="23.2857142857143" customWidth="1"/>
    <col min="55" max="55" width="15.5714285714286" customWidth="1"/>
    <col min="56" max="56" width="14.2857142857143" customWidth="1"/>
    <col min="57" max="57" width="17" customWidth="1"/>
    <col min="58" max="58" width="16.2857142857143" customWidth="1"/>
    <col min="59" max="59" width="13.5714285714286" customWidth="1"/>
    <col min="60" max="61" width="12.7142857142857" customWidth="1"/>
    <col min="62" max="62" width="21.8571428571429" customWidth="1"/>
    <col min="63" max="63" width="30.5714285714286" customWidth="1"/>
    <col min="64" max="64" width="10" customWidth="1"/>
    <col min="65" max="65" width="42.5714285714286" customWidth="1"/>
    <col min="66" max="66" width="38.1428571428571" customWidth="1"/>
    <col min="67" max="67" width="19.4285714285714" customWidth="1"/>
    <col min="68" max="68" width="35.4285714285714" customWidth="1"/>
    <col min="69" max="69" width="9.57142857142857" customWidth="1"/>
  </cols>
  <sheetData>
    <row r="1" spans="1:69">
      <c r="A1" s="1" t="s">
        <v>0</v>
      </c>
      <c r="B1" s="2"/>
      <c r="C1" s="2"/>
      <c r="D1" s="2"/>
      <c r="E1" s="2"/>
      <c r="F1" s="2"/>
      <c r="G1" s="2"/>
      <c r="H1" s="1"/>
      <c r="I1" s="10"/>
      <c r="J1" s="10"/>
      <c r="K1" s="10"/>
      <c r="L1" s="10"/>
      <c r="M1" s="10"/>
      <c r="N1" s="10"/>
      <c r="O1" s="10"/>
      <c r="P1" s="10"/>
      <c r="Q1" s="10"/>
      <c r="R1" s="1"/>
      <c r="S1" s="1"/>
      <c r="T1" s="1"/>
      <c r="U1" s="1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23"/>
      <c r="BQ1" s="23"/>
    </row>
    <row r="2" spans="1:69">
      <c r="A2" s="3" t="s">
        <v>1</v>
      </c>
      <c r="B2" s="3"/>
      <c r="C2" s="24">
        <v>2</v>
      </c>
      <c r="D2" s="4" t="s">
        <v>2</v>
      </c>
      <c r="E2" s="24"/>
      <c r="F2" s="24"/>
      <c r="G2" s="24"/>
      <c r="H2" s="25"/>
      <c r="I2" s="27" t="s">
        <v>3</v>
      </c>
      <c r="J2" s="27" t="s">
        <v>4</v>
      </c>
      <c r="K2" s="27"/>
      <c r="L2" s="27" t="s">
        <v>5</v>
      </c>
      <c r="M2" s="27">
        <v>1</v>
      </c>
      <c r="N2" s="27"/>
      <c r="O2" s="27" t="s">
        <v>6</v>
      </c>
      <c r="P2" s="27">
        <v>2</v>
      </c>
      <c r="Q2" s="27" t="s">
        <v>7</v>
      </c>
      <c r="R2" s="25"/>
      <c r="S2" s="25"/>
      <c r="T2" s="25"/>
      <c r="U2" s="25"/>
      <c r="V2" s="25">
        <v>1</v>
      </c>
      <c r="W2" s="25" t="s">
        <v>8</v>
      </c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  <c r="AR2" s="27"/>
      <c r="AS2" s="27"/>
      <c r="AT2" s="27"/>
      <c r="AU2" s="27"/>
      <c r="AV2" s="27"/>
      <c r="AW2" s="27"/>
      <c r="AX2" s="27"/>
      <c r="AY2" s="27"/>
      <c r="AZ2" s="27"/>
      <c r="BA2" s="27"/>
      <c r="BB2" s="27"/>
      <c r="BC2" s="27"/>
      <c r="BD2" s="27"/>
      <c r="BE2" s="27"/>
      <c r="BF2" s="27"/>
      <c r="BG2" s="27"/>
      <c r="BH2" s="27"/>
      <c r="BI2" s="27"/>
      <c r="BJ2" s="27"/>
      <c r="BK2" s="27"/>
      <c r="BL2" s="27"/>
      <c r="BM2" s="27"/>
      <c r="BN2" s="27"/>
      <c r="BO2" s="27"/>
      <c r="BP2" s="29"/>
      <c r="BQ2" s="29"/>
    </row>
    <row r="3" ht="15.75" spans="1:69">
      <c r="A3" s="26" t="s">
        <v>9</v>
      </c>
      <c r="B3" s="26" t="s">
        <v>10</v>
      </c>
      <c r="C3" s="26" t="s">
        <v>11</v>
      </c>
      <c r="D3" s="26" t="s">
        <v>12</v>
      </c>
      <c r="E3" s="26" t="s">
        <v>13</v>
      </c>
      <c r="F3" s="26" t="s">
        <v>14</v>
      </c>
      <c r="G3" s="26" t="s">
        <v>15</v>
      </c>
      <c r="H3" s="26" t="s">
        <v>16</v>
      </c>
      <c r="I3" s="32" t="s">
        <v>17</v>
      </c>
      <c r="J3" s="32" t="s">
        <v>19</v>
      </c>
      <c r="K3" s="32" t="s">
        <v>18</v>
      </c>
      <c r="L3" s="33" t="s">
        <v>20</v>
      </c>
      <c r="M3" s="33" t="s">
        <v>21</v>
      </c>
      <c r="N3" s="33" t="s">
        <v>24</v>
      </c>
      <c r="O3" s="33" t="s">
        <v>25</v>
      </c>
      <c r="P3" s="33" t="s">
        <v>95</v>
      </c>
      <c r="Q3" s="33" t="s">
        <v>23</v>
      </c>
      <c r="R3" s="32" t="s">
        <v>26</v>
      </c>
      <c r="S3" s="26" t="s">
        <v>96</v>
      </c>
      <c r="T3" s="26" t="s">
        <v>28</v>
      </c>
      <c r="U3" s="34" t="s">
        <v>97</v>
      </c>
      <c r="V3" s="34" t="s">
        <v>30</v>
      </c>
      <c r="W3" s="34" t="s">
        <v>31</v>
      </c>
      <c r="X3" s="34" t="s">
        <v>32</v>
      </c>
      <c r="Y3" s="34" t="s">
        <v>33</v>
      </c>
      <c r="Z3" s="34" t="s">
        <v>34</v>
      </c>
      <c r="AA3" s="34" t="s">
        <v>35</v>
      </c>
      <c r="AB3" s="34" t="s">
        <v>36</v>
      </c>
      <c r="AC3" s="35" t="s">
        <v>37</v>
      </c>
      <c r="AD3" s="35" t="s">
        <v>38</v>
      </c>
      <c r="AE3" s="35" t="s">
        <v>39</v>
      </c>
      <c r="AF3" s="35" t="s">
        <v>40</v>
      </c>
      <c r="AG3" s="35" t="s">
        <v>41</v>
      </c>
      <c r="AH3" s="35" t="s">
        <v>42</v>
      </c>
      <c r="AI3" s="35" t="s">
        <v>43</v>
      </c>
      <c r="AJ3" s="35" t="s">
        <v>44</v>
      </c>
      <c r="AK3" s="35" t="s">
        <v>45</v>
      </c>
      <c r="AL3" s="35" t="s">
        <v>46</v>
      </c>
      <c r="AM3" s="35" t="s">
        <v>47</v>
      </c>
      <c r="AN3" s="35" t="s">
        <v>48</v>
      </c>
      <c r="AO3" s="35" t="s">
        <v>49</v>
      </c>
      <c r="AP3" s="35" t="s">
        <v>50</v>
      </c>
      <c r="AQ3" s="35" t="s">
        <v>51</v>
      </c>
      <c r="AR3" s="37" t="s">
        <v>98</v>
      </c>
      <c r="AS3" s="26" t="s">
        <v>53</v>
      </c>
      <c r="AT3" s="26" t="s">
        <v>51</v>
      </c>
      <c r="AU3" s="38" t="s">
        <v>54</v>
      </c>
      <c r="AV3" s="38" t="s">
        <v>55</v>
      </c>
      <c r="AW3" s="38" t="s">
        <v>56</v>
      </c>
      <c r="AX3" s="38" t="s">
        <v>57</v>
      </c>
      <c r="AY3" s="38" t="s">
        <v>58</v>
      </c>
      <c r="AZ3" s="38" t="s">
        <v>59</v>
      </c>
      <c r="BA3" s="38" t="s">
        <v>60</v>
      </c>
      <c r="BB3" s="38" t="s">
        <v>61</v>
      </c>
      <c r="BC3" s="38" t="s">
        <v>62</v>
      </c>
      <c r="BD3" s="38" t="s">
        <v>63</v>
      </c>
      <c r="BE3" s="38" t="s">
        <v>64</v>
      </c>
      <c r="BF3" s="38" t="s">
        <v>65</v>
      </c>
      <c r="BG3" s="38" t="s">
        <v>66</v>
      </c>
      <c r="BH3" s="38" t="s">
        <v>67</v>
      </c>
      <c r="BI3" s="38" t="s">
        <v>68</v>
      </c>
      <c r="BJ3" s="38" t="s">
        <v>69</v>
      </c>
      <c r="BK3" s="38" t="s">
        <v>70</v>
      </c>
      <c r="BL3" s="38" t="s">
        <v>71</v>
      </c>
      <c r="BM3" s="38" t="s">
        <v>72</v>
      </c>
      <c r="BN3" s="38" t="s">
        <v>73</v>
      </c>
      <c r="BO3" s="38" t="s">
        <v>59</v>
      </c>
      <c r="BP3" s="38" t="s">
        <v>74</v>
      </c>
      <c r="BQ3" s="38" t="s">
        <v>28</v>
      </c>
    </row>
    <row r="4" ht="15.75" spans="1:69">
      <c r="A4" s="27">
        <v>1</v>
      </c>
      <c r="B4" s="27" t="s">
        <v>140</v>
      </c>
      <c r="C4" s="27" t="s">
        <v>140</v>
      </c>
      <c r="D4" s="27" t="s">
        <v>76</v>
      </c>
      <c r="E4" s="27" t="s">
        <v>76</v>
      </c>
      <c r="F4" s="28">
        <v>4</v>
      </c>
      <c r="G4" s="28">
        <v>100</v>
      </c>
      <c r="H4" s="28">
        <f>F4*G4</f>
        <v>400</v>
      </c>
      <c r="I4" s="29" t="s">
        <v>102</v>
      </c>
      <c r="J4" s="28">
        <v>2</v>
      </c>
      <c r="K4" s="28">
        <v>2</v>
      </c>
      <c r="L4" s="28">
        <f>H4</f>
        <v>400</v>
      </c>
      <c r="M4" s="28">
        <f>ROUND(L4*I4%,2)</f>
        <v>8</v>
      </c>
      <c r="N4" s="28">
        <f>H4-M4</f>
        <v>392</v>
      </c>
      <c r="O4" s="28">
        <f>ROUND(N4*J4%,2)</f>
        <v>7.84</v>
      </c>
      <c r="P4" s="28">
        <f>ROUND(N4-O4,2)</f>
        <v>384.16</v>
      </c>
      <c r="Q4" s="28">
        <f>ROUND(P4*K4%,2)</f>
        <v>7.68</v>
      </c>
      <c r="R4" s="28">
        <f>M4+O4+Q4</f>
        <v>23.52</v>
      </c>
      <c r="S4" s="28">
        <f>(H4-R4)</f>
        <v>376.48</v>
      </c>
      <c r="T4" s="28" t="s">
        <v>77</v>
      </c>
      <c r="U4" s="15">
        <v>18</v>
      </c>
      <c r="V4" s="15">
        <f>IF(OR($C$2=1,$C$2=4),ROUND((((S4*U4)/100)/2),2),0)</f>
        <v>0</v>
      </c>
      <c r="W4" s="15">
        <f>IF($C$2=1,ROUND((((S4*U4)/100)/2),2),0)</f>
        <v>0</v>
      </c>
      <c r="X4" s="15">
        <f>IF($C$2=2,ROUND(((S4*U4)/100),2),0)</f>
        <v>67.77</v>
      </c>
      <c r="Y4" s="15">
        <f>IF($C$2=4,ROUND((((S4*U4)/100)/2),2),0)</f>
        <v>0</v>
      </c>
      <c r="Z4" s="15">
        <v>0</v>
      </c>
      <c r="AA4" s="15">
        <f>IF($C2=3,0,(S4*Z4)/100)</f>
        <v>0</v>
      </c>
      <c r="AB4" s="15">
        <f>V4+W4+X4+Y4+AA4</f>
        <v>67.77</v>
      </c>
      <c r="AC4" s="28">
        <f>IF($V2=1,S4+AB4,S4)</f>
        <v>444.25</v>
      </c>
      <c r="AD4" s="28">
        <v>120</v>
      </c>
      <c r="AE4" s="28">
        <f>IF($P$2=1,(S4/$S$4)*$E$35,AD4/$AD$4*$E$35)</f>
        <v>0</v>
      </c>
      <c r="AF4" s="28"/>
      <c r="AG4" s="28">
        <f>IF($P$2=1,(S4/$S$4)*$E$37,AD4/$AD$4*$E$37)</f>
        <v>0</v>
      </c>
      <c r="AH4" s="28">
        <f>IF($P$2=1,(S4/$S$4)*$E$37,AD4/$AD$4*$E$37)</f>
        <v>0</v>
      </c>
      <c r="AI4" s="28">
        <f>S4*$M$21</f>
        <v>0</v>
      </c>
      <c r="AJ4" s="28">
        <f>IF($C$2=3,0,AG4+AH4)</f>
        <v>0</v>
      </c>
      <c r="AK4" s="28">
        <f>IF($C$2=3,AE4+AG4+AH4,0)</f>
        <v>0</v>
      </c>
      <c r="AL4" s="28">
        <v>1</v>
      </c>
      <c r="AM4" s="28">
        <f>F4/AL4</f>
        <v>4</v>
      </c>
      <c r="AN4" s="28">
        <f>AI4/AM4</f>
        <v>0</v>
      </c>
      <c r="AO4" s="28">
        <f>AJ4/AM4</f>
        <v>0</v>
      </c>
      <c r="AP4" s="28">
        <f>AK4/AM4</f>
        <v>0</v>
      </c>
      <c r="AQ4" s="28" t="s">
        <v>76</v>
      </c>
      <c r="AR4" s="28">
        <f>AN4+AO4+AP4</f>
        <v>0</v>
      </c>
      <c r="AS4" s="28" t="s">
        <v>78</v>
      </c>
      <c r="AT4" s="28" t="s">
        <v>76</v>
      </c>
      <c r="AW4" s="28">
        <f>AM4</f>
        <v>4</v>
      </c>
      <c r="AX4" s="28">
        <f>AR4</f>
        <v>0</v>
      </c>
      <c r="AY4" s="28">
        <f>AU4+AW4</f>
        <v>4</v>
      </c>
      <c r="AZ4" s="28">
        <f>ROUND(((AU4*AV4)+(AW4*AX4))/(AU4+AW4),5)</f>
        <v>0</v>
      </c>
      <c r="BA4" s="39"/>
      <c r="BB4" s="39" t="s">
        <v>81</v>
      </c>
      <c r="BC4" s="39" t="s">
        <v>82</v>
      </c>
      <c r="BD4" s="40" t="s">
        <v>83</v>
      </c>
      <c r="BE4" s="40" t="s">
        <v>84</v>
      </c>
      <c r="BF4" s="39"/>
      <c r="BG4" s="39"/>
      <c r="BH4" s="39"/>
      <c r="BI4" s="28"/>
      <c r="BJ4" s="28"/>
      <c r="BK4" s="28"/>
      <c r="BL4" s="41" t="s">
        <v>85</v>
      </c>
      <c r="BM4" t="s">
        <v>100</v>
      </c>
      <c r="BN4" t="s">
        <v>100</v>
      </c>
      <c r="BO4" s="28">
        <f>ROUND((((AW4*AZ4)+(BN4*BM4))/(AW4+BN4)),5)</f>
        <v>0</v>
      </c>
      <c r="BP4" s="39">
        <f>BN4+AW4</f>
        <v>4</v>
      </c>
      <c r="BQ4" s="42">
        <v>88363222</v>
      </c>
    </row>
    <row r="5" spans="1:69">
      <c r="A5" s="27"/>
      <c r="B5" s="29"/>
      <c r="C5" s="29"/>
      <c r="D5" s="30" t="s">
        <v>88</v>
      </c>
      <c r="E5" s="30"/>
      <c r="F5" s="30"/>
      <c r="G5" s="30"/>
      <c r="H5" s="31">
        <f>SUM(H4:H4)</f>
        <v>400</v>
      </c>
      <c r="I5" s="27"/>
      <c r="J5" s="27"/>
      <c r="K5" s="27"/>
      <c r="L5" s="27"/>
      <c r="M5" s="27"/>
      <c r="N5" s="27"/>
      <c r="O5" s="27"/>
      <c r="P5" s="27"/>
      <c r="Q5" s="27"/>
      <c r="R5" s="31">
        <f t="shared" ref="R5:X5" si="0">SUM(R4:R4)</f>
        <v>23.52</v>
      </c>
      <c r="S5" s="31">
        <f t="shared" si="0"/>
        <v>376.48</v>
      </c>
      <c r="T5" s="30"/>
      <c r="U5" s="30"/>
      <c r="V5" s="31">
        <f t="shared" si="0"/>
        <v>0</v>
      </c>
      <c r="W5" s="31">
        <f t="shared" si="0"/>
        <v>0</v>
      </c>
      <c r="X5" s="31">
        <f t="shared" si="0"/>
        <v>67.77</v>
      </c>
      <c r="Y5" s="43"/>
      <c r="Z5" s="43"/>
      <c r="AA5" s="43"/>
      <c r="AB5" s="31">
        <f t="shared" ref="AB5:AE5" si="1">SUM(AB4:AB4)</f>
        <v>67.77</v>
      </c>
      <c r="AC5" s="31">
        <f t="shared" si="1"/>
        <v>444.25</v>
      </c>
      <c r="AD5" s="31">
        <f t="shared" si="1"/>
        <v>120</v>
      </c>
      <c r="AE5" s="31">
        <f t="shared" si="1"/>
        <v>0</v>
      </c>
      <c r="AF5" s="36"/>
      <c r="AG5" s="31">
        <f t="shared" ref="AG5:AK5" si="2">SUM(AG4:AG4)</f>
        <v>0</v>
      </c>
      <c r="AH5" s="31">
        <f t="shared" si="2"/>
        <v>0</v>
      </c>
      <c r="AI5" s="31">
        <f t="shared" si="2"/>
        <v>0</v>
      </c>
      <c r="AJ5" s="31">
        <f t="shared" si="2"/>
        <v>0</v>
      </c>
      <c r="AK5" s="31">
        <f t="shared" si="2"/>
        <v>0</v>
      </c>
      <c r="AL5" s="36"/>
      <c r="AM5" s="36"/>
      <c r="AN5" s="36"/>
      <c r="AO5" s="36"/>
      <c r="AP5" s="36"/>
      <c r="AQ5" s="36"/>
      <c r="AR5" s="36"/>
      <c r="AS5" s="27"/>
      <c r="AT5" s="27"/>
      <c r="AU5" s="29"/>
      <c r="AV5" s="29"/>
      <c r="AW5" s="27"/>
      <c r="AX5" s="27"/>
      <c r="AY5" s="27"/>
      <c r="AZ5" s="27"/>
      <c r="BA5" s="27"/>
      <c r="BB5" s="27"/>
      <c r="BC5" s="27"/>
      <c r="BD5" s="27"/>
      <c r="BE5" s="27"/>
      <c r="BF5" s="27"/>
      <c r="BG5" s="27"/>
      <c r="BH5" s="27"/>
      <c r="BI5" s="27"/>
      <c r="BJ5" s="27"/>
      <c r="BK5" s="27"/>
      <c r="BL5" s="27"/>
      <c r="BM5" s="27"/>
      <c r="BN5" s="27"/>
      <c r="BO5" s="27"/>
      <c r="BP5" s="29"/>
      <c r="BQ5" s="29"/>
    </row>
  </sheetData>
  <mergeCells count="1">
    <mergeCell ref="A2:B2"/>
  </mergeCells>
  <pageMargins left="0.75" right="0.75" top="1" bottom="1" header="0.5" footer="0.5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Q5"/>
  <sheetViews>
    <sheetView topLeftCell="P1" workbookViewId="0">
      <selection activeCell="U4" sqref="U4:AB4"/>
    </sheetView>
  </sheetViews>
  <sheetFormatPr defaultColWidth="8.7047619047619" defaultRowHeight="15" outlineLevelRow="4"/>
  <cols>
    <col min="1" max="1" width="5.14285714285714" customWidth="1"/>
    <col min="2" max="3" width="22" customWidth="1"/>
    <col min="4" max="4" width="79.4285714285714" customWidth="1"/>
    <col min="5" max="5" width="11.5714285714286" customWidth="1"/>
    <col min="6" max="6" width="5.14285714285714" customWidth="1"/>
    <col min="7" max="7" width="11" customWidth="1"/>
    <col min="8" max="8" width="12.7142857142857" customWidth="1"/>
    <col min="9" max="9" width="5.85714285714286" customWidth="1"/>
    <col min="10" max="10" width="6" customWidth="1"/>
    <col min="11" max="11" width="5.85714285714286" customWidth="1"/>
    <col min="12" max="12" width="14.2857142857143" customWidth="1"/>
    <col min="13" max="13" width="9.42857142857143" customWidth="1"/>
    <col min="14" max="14" width="14.4285714285714" customWidth="1"/>
    <col min="15" max="15" width="15.5714285714286" customWidth="1"/>
    <col min="16" max="16" width="14.4285714285714" customWidth="1"/>
    <col min="17" max="17" width="39.4285714285714" customWidth="1"/>
    <col min="18" max="18" width="11.7142857142857" customWidth="1"/>
    <col min="19" max="19" width="11.8571428571429" customWidth="1"/>
    <col min="20" max="20" width="6.42857142857143" customWidth="1"/>
    <col min="21" max="22" width="6.57142857142857" customWidth="1"/>
    <col min="23" max="23" width="37.1428571428571" customWidth="1"/>
    <col min="24" max="25" width="8" customWidth="1"/>
    <col min="26" max="26" width="7.71428571428571" customWidth="1"/>
    <col min="27" max="27" width="6.28571428571429" customWidth="1"/>
    <col min="28" max="28" width="9.28571428571429" customWidth="1"/>
    <col min="29" max="29" width="9.71428571428571" customWidth="1"/>
    <col min="30" max="30" width="12.8571428571429" customWidth="1"/>
    <col min="31" max="31" width="16.1428571428571" customWidth="1"/>
    <col min="32" max="32" width="15.4285714285714" customWidth="1"/>
    <col min="33" max="33" width="24.5714285714286" customWidth="1"/>
    <col min="34" max="34" width="8.57142857142857" customWidth="1"/>
    <col min="35" max="35" width="14.7142857142857" customWidth="1"/>
    <col min="36" max="36" width="18.5714285714286" customWidth="1"/>
    <col min="37" max="37" width="14.1428571428571" customWidth="1"/>
    <col min="38" max="38" width="14.7142857142857" customWidth="1"/>
    <col min="39" max="39" width="17.4285714285714" customWidth="1"/>
    <col min="40" max="40" width="22" customWidth="1"/>
    <col min="41" max="41" width="17.5714285714286" customWidth="1"/>
    <col min="42" max="42" width="25.2857142857143" customWidth="1"/>
    <col min="43" max="43" width="13" customWidth="1"/>
    <col min="44" max="44" width="23.7142857142857" customWidth="1"/>
    <col min="45" max="45" width="10" customWidth="1"/>
    <col min="46" max="46" width="13" customWidth="1"/>
    <col min="47" max="47" width="15.5714285714286" customWidth="1"/>
    <col min="48" max="48" width="21.1428571428571" customWidth="1"/>
    <col min="49" max="49" width="11.5714285714286" customWidth="1"/>
    <col min="50" max="50" width="16.7142857142857" customWidth="1"/>
    <col min="51" max="51" width="14" customWidth="1"/>
    <col min="52" max="52" width="19.4285714285714" customWidth="1"/>
    <col min="53" max="53" width="18.8571428571429" customWidth="1"/>
    <col min="54" max="54" width="23.2857142857143" customWidth="1"/>
    <col min="55" max="55" width="15.5714285714286" customWidth="1"/>
    <col min="56" max="56" width="14.2857142857143" customWidth="1"/>
    <col min="57" max="57" width="17" customWidth="1"/>
    <col min="58" max="58" width="16.2857142857143" customWidth="1"/>
    <col min="59" max="59" width="13.5714285714286" customWidth="1"/>
    <col min="60" max="61" width="12.7142857142857" customWidth="1"/>
    <col min="62" max="62" width="21.8571428571429" customWidth="1"/>
    <col min="63" max="63" width="30.5714285714286" customWidth="1"/>
    <col min="64" max="64" width="10" customWidth="1"/>
    <col min="65" max="65" width="42.5714285714286" customWidth="1"/>
    <col min="66" max="66" width="38.1428571428571" customWidth="1"/>
    <col min="67" max="67" width="19.4285714285714" customWidth="1"/>
    <col min="68" max="68" width="35.4285714285714" customWidth="1"/>
    <col min="69" max="69" width="9.57142857142857" customWidth="1"/>
  </cols>
  <sheetData>
    <row r="1" spans="1:69">
      <c r="A1" s="1" t="s">
        <v>0</v>
      </c>
      <c r="B1" s="2"/>
      <c r="C1" s="2"/>
      <c r="D1" s="2"/>
      <c r="E1" s="2"/>
      <c r="F1" s="2"/>
      <c r="G1" s="2"/>
      <c r="H1" s="1"/>
      <c r="I1" s="10"/>
      <c r="J1" s="10"/>
      <c r="K1" s="10"/>
      <c r="L1" s="10"/>
      <c r="M1" s="10"/>
      <c r="N1" s="10"/>
      <c r="O1" s="10"/>
      <c r="P1" s="10"/>
      <c r="Q1" s="10"/>
      <c r="R1" s="1"/>
      <c r="S1" s="1"/>
      <c r="T1" s="1"/>
      <c r="U1" s="1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23"/>
      <c r="BQ1" s="23"/>
    </row>
    <row r="2" spans="1:69">
      <c r="A2" s="3" t="s">
        <v>1</v>
      </c>
      <c r="B2" s="3"/>
      <c r="C2" s="24">
        <v>2</v>
      </c>
      <c r="D2" s="4" t="s">
        <v>2</v>
      </c>
      <c r="E2" s="24"/>
      <c r="F2" s="24"/>
      <c r="G2" s="24"/>
      <c r="H2" s="25"/>
      <c r="I2" s="27" t="s">
        <v>3</v>
      </c>
      <c r="J2" s="27" t="s">
        <v>4</v>
      </c>
      <c r="K2" s="27"/>
      <c r="L2" s="27" t="s">
        <v>5</v>
      </c>
      <c r="M2" s="27">
        <v>1</v>
      </c>
      <c r="N2" s="27"/>
      <c r="O2" s="27" t="s">
        <v>6</v>
      </c>
      <c r="P2" s="27">
        <v>2</v>
      </c>
      <c r="Q2" s="27" t="s">
        <v>7</v>
      </c>
      <c r="R2" s="25"/>
      <c r="S2" s="25"/>
      <c r="T2" s="25"/>
      <c r="U2" s="25"/>
      <c r="V2" s="25">
        <v>1</v>
      </c>
      <c r="W2" s="25" t="s">
        <v>8</v>
      </c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  <c r="AR2" s="27"/>
      <c r="AS2" s="27"/>
      <c r="AT2" s="27"/>
      <c r="AU2" s="27"/>
      <c r="AV2" s="27"/>
      <c r="AW2" s="27"/>
      <c r="AX2" s="27"/>
      <c r="AY2" s="27"/>
      <c r="AZ2" s="27"/>
      <c r="BA2" s="27"/>
      <c r="BB2" s="27"/>
      <c r="BC2" s="27"/>
      <c r="BD2" s="27"/>
      <c r="BE2" s="27"/>
      <c r="BF2" s="27"/>
      <c r="BG2" s="27"/>
      <c r="BH2" s="27"/>
      <c r="BI2" s="27"/>
      <c r="BJ2" s="27"/>
      <c r="BK2" s="27"/>
      <c r="BL2" s="27"/>
      <c r="BM2" s="27"/>
      <c r="BN2" s="27"/>
      <c r="BO2" s="27"/>
      <c r="BP2" s="29"/>
      <c r="BQ2" s="29"/>
    </row>
    <row r="3" ht="15.75" spans="1:69">
      <c r="A3" s="26" t="s">
        <v>9</v>
      </c>
      <c r="B3" s="26" t="s">
        <v>10</v>
      </c>
      <c r="C3" s="26" t="s">
        <v>11</v>
      </c>
      <c r="D3" s="26" t="s">
        <v>12</v>
      </c>
      <c r="E3" s="26" t="s">
        <v>13</v>
      </c>
      <c r="F3" s="26" t="s">
        <v>14</v>
      </c>
      <c r="G3" s="26" t="s">
        <v>15</v>
      </c>
      <c r="H3" s="26" t="s">
        <v>16</v>
      </c>
      <c r="I3" s="32" t="s">
        <v>17</v>
      </c>
      <c r="J3" s="32" t="s">
        <v>19</v>
      </c>
      <c r="K3" s="32" t="s">
        <v>18</v>
      </c>
      <c r="L3" s="33" t="s">
        <v>20</v>
      </c>
      <c r="M3" s="33" t="s">
        <v>21</v>
      </c>
      <c r="N3" s="33" t="s">
        <v>24</v>
      </c>
      <c r="O3" s="33" t="s">
        <v>25</v>
      </c>
      <c r="P3" s="33" t="s">
        <v>95</v>
      </c>
      <c r="Q3" s="33" t="s">
        <v>23</v>
      </c>
      <c r="R3" s="32" t="s">
        <v>26</v>
      </c>
      <c r="S3" s="26" t="s">
        <v>96</v>
      </c>
      <c r="T3" s="26" t="s">
        <v>28</v>
      </c>
      <c r="U3" s="34" t="s">
        <v>97</v>
      </c>
      <c r="V3" s="34" t="s">
        <v>30</v>
      </c>
      <c r="W3" s="34" t="s">
        <v>31</v>
      </c>
      <c r="X3" s="34" t="s">
        <v>32</v>
      </c>
      <c r="Y3" s="34" t="s">
        <v>33</v>
      </c>
      <c r="Z3" s="34" t="s">
        <v>34</v>
      </c>
      <c r="AA3" s="34" t="s">
        <v>35</v>
      </c>
      <c r="AB3" s="34" t="s">
        <v>36</v>
      </c>
      <c r="AC3" s="35" t="s">
        <v>37</v>
      </c>
      <c r="AD3" s="35" t="s">
        <v>38</v>
      </c>
      <c r="AE3" s="35" t="s">
        <v>39</v>
      </c>
      <c r="AF3" s="35" t="s">
        <v>40</v>
      </c>
      <c r="AG3" s="35" t="s">
        <v>41</v>
      </c>
      <c r="AH3" s="35" t="s">
        <v>42</v>
      </c>
      <c r="AI3" s="35" t="s">
        <v>43</v>
      </c>
      <c r="AJ3" s="35" t="s">
        <v>44</v>
      </c>
      <c r="AK3" s="35" t="s">
        <v>45</v>
      </c>
      <c r="AL3" s="35" t="s">
        <v>46</v>
      </c>
      <c r="AM3" s="35" t="s">
        <v>47</v>
      </c>
      <c r="AN3" s="35" t="s">
        <v>48</v>
      </c>
      <c r="AO3" s="35" t="s">
        <v>49</v>
      </c>
      <c r="AP3" s="35" t="s">
        <v>50</v>
      </c>
      <c r="AQ3" s="35" t="s">
        <v>51</v>
      </c>
      <c r="AR3" s="37" t="s">
        <v>98</v>
      </c>
      <c r="AS3" s="26" t="s">
        <v>53</v>
      </c>
      <c r="AT3" s="26" t="s">
        <v>51</v>
      </c>
      <c r="AU3" s="38" t="s">
        <v>54</v>
      </c>
      <c r="AV3" s="38" t="s">
        <v>55</v>
      </c>
      <c r="AW3" s="38" t="s">
        <v>56</v>
      </c>
      <c r="AX3" s="38" t="s">
        <v>57</v>
      </c>
      <c r="AY3" s="38" t="s">
        <v>58</v>
      </c>
      <c r="AZ3" s="38" t="s">
        <v>59</v>
      </c>
      <c r="BA3" s="38" t="s">
        <v>60</v>
      </c>
      <c r="BB3" s="38" t="s">
        <v>61</v>
      </c>
      <c r="BC3" s="38" t="s">
        <v>62</v>
      </c>
      <c r="BD3" s="38" t="s">
        <v>63</v>
      </c>
      <c r="BE3" s="38" t="s">
        <v>64</v>
      </c>
      <c r="BF3" s="38" t="s">
        <v>65</v>
      </c>
      <c r="BG3" s="38" t="s">
        <v>66</v>
      </c>
      <c r="BH3" s="38" t="s">
        <v>67</v>
      </c>
      <c r="BI3" s="38" t="s">
        <v>68</v>
      </c>
      <c r="BJ3" s="38" t="s">
        <v>69</v>
      </c>
      <c r="BK3" s="38" t="s">
        <v>70</v>
      </c>
      <c r="BL3" s="38" t="s">
        <v>71</v>
      </c>
      <c r="BM3" s="38" t="s">
        <v>72</v>
      </c>
      <c r="BN3" s="38" t="s">
        <v>73</v>
      </c>
      <c r="BO3" s="38" t="s">
        <v>59</v>
      </c>
      <c r="BP3" s="38" t="s">
        <v>74</v>
      </c>
      <c r="BQ3" s="38" t="s">
        <v>28</v>
      </c>
    </row>
    <row r="4" ht="15.75" spans="1:69">
      <c r="A4" s="27">
        <v>1</v>
      </c>
      <c r="B4" s="27" t="s">
        <v>141</v>
      </c>
      <c r="C4" s="27" t="s">
        <v>141</v>
      </c>
      <c r="D4" s="27" t="s">
        <v>76</v>
      </c>
      <c r="E4" s="27" t="s">
        <v>76</v>
      </c>
      <c r="F4" s="28">
        <v>4</v>
      </c>
      <c r="G4" s="28">
        <v>100</v>
      </c>
      <c r="H4" s="28">
        <f>F4*G4</f>
        <v>400</v>
      </c>
      <c r="I4" s="29" t="s">
        <v>102</v>
      </c>
      <c r="J4" s="28">
        <v>2</v>
      </c>
      <c r="K4" s="28">
        <v>2</v>
      </c>
      <c r="L4" s="28">
        <f>H4</f>
        <v>400</v>
      </c>
      <c r="M4" s="28">
        <f>ROUND(L4*I4%,2)</f>
        <v>8</v>
      </c>
      <c r="N4" s="28">
        <f>H4-M4</f>
        <v>392</v>
      </c>
      <c r="O4" s="28">
        <f>ROUND(N4*J4%,2)</f>
        <v>7.84</v>
      </c>
      <c r="P4" s="28">
        <f>ROUND(N4-O4,2)</f>
        <v>384.16</v>
      </c>
      <c r="Q4" s="28">
        <f>ROUND(P4*K4%,2)</f>
        <v>7.68</v>
      </c>
      <c r="R4" s="28">
        <f>M4+O4+Q4</f>
        <v>23.52</v>
      </c>
      <c r="S4" s="28">
        <f>(H4-R4)</f>
        <v>376.48</v>
      </c>
      <c r="T4" s="28" t="s">
        <v>77</v>
      </c>
      <c r="U4" s="15">
        <v>18</v>
      </c>
      <c r="V4" s="15">
        <f>IF(OR($C$2=1,$C$2=4),ROUND((((S4*U4)/100)/2),2),0)</f>
        <v>0</v>
      </c>
      <c r="W4" s="15">
        <f>IF($C$2=1,ROUND((((S4*U4)/100)/2),2),0)</f>
        <v>0</v>
      </c>
      <c r="X4" s="15">
        <f>IF($C$2=2,ROUND(((S4*U4)/100),2),0)</f>
        <v>67.77</v>
      </c>
      <c r="Y4" s="15">
        <f>IF($C$2=4,ROUND((((S4*U4)/100)/2),2),0)</f>
        <v>0</v>
      </c>
      <c r="Z4" s="15">
        <v>0</v>
      </c>
      <c r="AA4" s="15">
        <f>IF($C2=3,0,(S4*Z4)/100)</f>
        <v>0</v>
      </c>
      <c r="AB4" s="15">
        <f>V4+W4+X4+Y4+AA4</f>
        <v>67.77</v>
      </c>
      <c r="AC4" s="28">
        <f>IF($V2=1,S4+AB4,S4)</f>
        <v>444.25</v>
      </c>
      <c r="AD4" s="28">
        <v>120</v>
      </c>
      <c r="AE4" s="28">
        <f>IF($P$2=1,(S4/$S$4)*$E$35,AD4/$AD$4*$E$35)</f>
        <v>0</v>
      </c>
      <c r="AF4" s="28"/>
      <c r="AG4" s="28">
        <f>IF($P$2=1,(S4/$S$4)*$E$37,AD4/$AD$4*$E$37)</f>
        <v>0</v>
      </c>
      <c r="AH4" s="28">
        <f>IF($P$2=1,(S4/$S$4)*$E$37,AD4/$AD$4*$E$37)</f>
        <v>0</v>
      </c>
      <c r="AI4" s="28">
        <f>S4*$M$21</f>
        <v>0</v>
      </c>
      <c r="AJ4" s="28">
        <f>IF($C$2=3,0,AG4+AH4)</f>
        <v>0</v>
      </c>
      <c r="AK4" s="28">
        <f>IF($C$2=3,AE4+AG4+AH4,0)</f>
        <v>0</v>
      </c>
      <c r="AL4" s="28">
        <v>1</v>
      </c>
      <c r="AM4" s="28">
        <f>F4/AL4</f>
        <v>4</v>
      </c>
      <c r="AN4" s="28">
        <f>AI4/AM4</f>
        <v>0</v>
      </c>
      <c r="AO4" s="28">
        <f>AJ4/AM4</f>
        <v>0</v>
      </c>
      <c r="AP4" s="28">
        <f>AK4/AM4</f>
        <v>0</v>
      </c>
      <c r="AQ4" s="28" t="s">
        <v>76</v>
      </c>
      <c r="AR4" s="28">
        <f>AN4+AO4+AP4</f>
        <v>0</v>
      </c>
      <c r="AS4" s="28" t="s">
        <v>78</v>
      </c>
      <c r="AT4" s="28" t="s">
        <v>76</v>
      </c>
      <c r="AW4" s="28">
        <f>AM4</f>
        <v>4</v>
      </c>
      <c r="AX4" s="28">
        <f>AR4</f>
        <v>0</v>
      </c>
      <c r="AY4" s="28">
        <f>AU4+AW4</f>
        <v>4</v>
      </c>
      <c r="AZ4" s="28">
        <f>ROUND(((AU4*AV4)+(AW4*AX4))/(AU4+AW4),5)</f>
        <v>0</v>
      </c>
      <c r="BA4" s="39"/>
      <c r="BB4" s="39" t="s">
        <v>81</v>
      </c>
      <c r="BC4" s="39" t="s">
        <v>82</v>
      </c>
      <c r="BD4" s="40" t="s">
        <v>83</v>
      </c>
      <c r="BE4" s="40" t="s">
        <v>84</v>
      </c>
      <c r="BF4" s="39"/>
      <c r="BG4" s="39"/>
      <c r="BH4" s="39"/>
      <c r="BI4" s="28"/>
      <c r="BJ4" s="28"/>
      <c r="BK4" s="28"/>
      <c r="BL4" s="41" t="s">
        <v>85</v>
      </c>
      <c r="BM4" t="s">
        <v>100</v>
      </c>
      <c r="BN4" t="s">
        <v>100</v>
      </c>
      <c r="BO4" s="28">
        <f>ROUND((((AW4*AZ4)+(BN4*BM4))/(AW4+BN4)),5)</f>
        <v>0</v>
      </c>
      <c r="BP4" s="39">
        <f>BN4+AW4</f>
        <v>4</v>
      </c>
      <c r="BQ4" s="42">
        <v>88363222</v>
      </c>
    </row>
    <row r="5" spans="1:69">
      <c r="A5" s="27"/>
      <c r="B5" s="29"/>
      <c r="C5" s="29"/>
      <c r="D5" s="30" t="s">
        <v>88</v>
      </c>
      <c r="E5" s="30"/>
      <c r="F5" s="30"/>
      <c r="G5" s="30"/>
      <c r="H5" s="31">
        <f>SUM(H4:H4)</f>
        <v>400</v>
      </c>
      <c r="I5" s="27"/>
      <c r="J5" s="27"/>
      <c r="K5" s="27"/>
      <c r="L5" s="27"/>
      <c r="M5" s="27"/>
      <c r="N5" s="27"/>
      <c r="O5" s="27"/>
      <c r="P5" s="27"/>
      <c r="Q5" s="27"/>
      <c r="R5" s="31">
        <f t="shared" ref="R5:X5" si="0">SUM(R4:R4)</f>
        <v>23.52</v>
      </c>
      <c r="S5" s="31">
        <f t="shared" si="0"/>
        <v>376.48</v>
      </c>
      <c r="T5" s="30"/>
      <c r="U5" s="30"/>
      <c r="V5" s="31">
        <f t="shared" si="0"/>
        <v>0</v>
      </c>
      <c r="W5" s="31">
        <f t="shared" si="0"/>
        <v>0</v>
      </c>
      <c r="X5" s="31">
        <f t="shared" si="0"/>
        <v>67.77</v>
      </c>
      <c r="Y5" s="43"/>
      <c r="Z5" s="43"/>
      <c r="AA5" s="43"/>
      <c r="AB5" s="31">
        <f t="shared" ref="AB5:AE5" si="1">SUM(AB4:AB4)</f>
        <v>67.77</v>
      </c>
      <c r="AC5" s="31">
        <f t="shared" si="1"/>
        <v>444.25</v>
      </c>
      <c r="AD5" s="31">
        <f t="shared" si="1"/>
        <v>120</v>
      </c>
      <c r="AE5" s="31">
        <f t="shared" si="1"/>
        <v>0</v>
      </c>
      <c r="AF5" s="36"/>
      <c r="AG5" s="31">
        <f t="shared" ref="AG5:AK5" si="2">SUM(AG4:AG4)</f>
        <v>0</v>
      </c>
      <c r="AH5" s="31">
        <f t="shared" si="2"/>
        <v>0</v>
      </c>
      <c r="AI5" s="31">
        <f t="shared" si="2"/>
        <v>0</v>
      </c>
      <c r="AJ5" s="31">
        <f t="shared" si="2"/>
        <v>0</v>
      </c>
      <c r="AK5" s="31">
        <f t="shared" si="2"/>
        <v>0</v>
      </c>
      <c r="AL5" s="36"/>
      <c r="AM5" s="36"/>
      <c r="AN5" s="36"/>
      <c r="AO5" s="36"/>
      <c r="AP5" s="36"/>
      <c r="AQ5" s="36"/>
      <c r="AR5" s="36"/>
      <c r="AS5" s="27"/>
      <c r="AT5" s="27"/>
      <c r="AU5" s="29"/>
      <c r="AV5" s="29"/>
      <c r="AW5" s="27"/>
      <c r="AX5" s="27"/>
      <c r="AY5" s="27"/>
      <c r="AZ5" s="27"/>
      <c r="BA5" s="27"/>
      <c r="BB5" s="27"/>
      <c r="BC5" s="27"/>
      <c r="BD5" s="27"/>
      <c r="BE5" s="27"/>
      <c r="BF5" s="27"/>
      <c r="BG5" s="27"/>
      <c r="BH5" s="27"/>
      <c r="BI5" s="27"/>
      <c r="BJ5" s="27"/>
      <c r="BK5" s="27"/>
      <c r="BL5" s="27"/>
      <c r="BM5" s="27"/>
      <c r="BN5" s="27"/>
      <c r="BO5" s="27"/>
      <c r="BP5" s="29"/>
      <c r="BQ5" s="29"/>
    </row>
  </sheetData>
  <mergeCells count="1">
    <mergeCell ref="A2:B2"/>
  </mergeCells>
  <pageMargins left="0.75" right="0.75" top="1" bottom="1" header="0.5" footer="0.5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Q5"/>
  <sheetViews>
    <sheetView topLeftCell="P1" workbookViewId="0">
      <selection activeCell="U4" sqref="U4:AB4"/>
    </sheetView>
  </sheetViews>
  <sheetFormatPr defaultColWidth="8.7047619047619" defaultRowHeight="15" outlineLevelRow="4"/>
  <cols>
    <col min="1" max="1" width="5.14285714285714" customWidth="1"/>
    <col min="2" max="3" width="28" customWidth="1"/>
    <col min="4" max="4" width="79.4285714285714" customWidth="1"/>
    <col min="5" max="5" width="11.5714285714286" customWidth="1"/>
    <col min="6" max="6" width="5.14285714285714" customWidth="1"/>
    <col min="7" max="7" width="11" customWidth="1"/>
    <col min="8" max="8" width="12.7142857142857" customWidth="1"/>
    <col min="9" max="9" width="5.85714285714286" customWidth="1"/>
    <col min="10" max="10" width="6" customWidth="1"/>
    <col min="11" max="11" width="5.85714285714286" customWidth="1"/>
    <col min="12" max="12" width="14.2857142857143" customWidth="1"/>
    <col min="13" max="13" width="9.42857142857143" customWidth="1"/>
    <col min="14" max="14" width="14.4285714285714" customWidth="1"/>
    <col min="15" max="15" width="15.5714285714286" customWidth="1"/>
    <col min="16" max="16" width="14.4285714285714" customWidth="1"/>
    <col min="17" max="17" width="39.4285714285714" customWidth="1"/>
    <col min="18" max="18" width="11.7142857142857" customWidth="1"/>
    <col min="19" max="19" width="11.8571428571429" customWidth="1"/>
    <col min="20" max="20" width="6.42857142857143" customWidth="1"/>
    <col min="21" max="22" width="6.57142857142857" customWidth="1"/>
    <col min="23" max="23" width="37.1428571428571" customWidth="1"/>
    <col min="24" max="25" width="8" customWidth="1"/>
    <col min="26" max="26" width="7.71428571428571" customWidth="1"/>
    <col min="27" max="27" width="6.28571428571429" customWidth="1"/>
    <col min="28" max="28" width="9.28571428571429" customWidth="1"/>
    <col min="29" max="29" width="9.71428571428571" customWidth="1"/>
    <col min="30" max="30" width="12.8571428571429" customWidth="1"/>
    <col min="31" max="31" width="16.1428571428571" customWidth="1"/>
    <col min="32" max="32" width="15.4285714285714" customWidth="1"/>
    <col min="33" max="33" width="24.5714285714286" customWidth="1"/>
    <col min="34" max="34" width="8.57142857142857" customWidth="1"/>
    <col min="35" max="35" width="14.7142857142857" customWidth="1"/>
    <col min="36" max="36" width="18.5714285714286" customWidth="1"/>
    <col min="37" max="37" width="14.1428571428571" customWidth="1"/>
    <col min="38" max="38" width="14.7142857142857" customWidth="1"/>
    <col min="39" max="39" width="17.4285714285714" customWidth="1"/>
    <col min="40" max="40" width="22" customWidth="1"/>
    <col min="41" max="41" width="17.5714285714286" customWidth="1"/>
    <col min="42" max="42" width="25.2857142857143" customWidth="1"/>
    <col min="43" max="43" width="13" customWidth="1"/>
    <col min="44" max="44" width="23.7142857142857" customWidth="1"/>
    <col min="45" max="45" width="10" customWidth="1"/>
    <col min="46" max="46" width="13" customWidth="1"/>
    <col min="47" max="47" width="15.5714285714286" customWidth="1"/>
    <col min="48" max="48" width="21.1428571428571" customWidth="1"/>
    <col min="49" max="49" width="11.5714285714286" customWidth="1"/>
    <col min="50" max="50" width="16.7142857142857" customWidth="1"/>
    <col min="51" max="51" width="14" customWidth="1"/>
    <col min="52" max="52" width="19.4285714285714" customWidth="1"/>
    <col min="53" max="53" width="18.8571428571429" customWidth="1"/>
    <col min="54" max="54" width="23.2857142857143" customWidth="1"/>
    <col min="55" max="55" width="15.5714285714286" customWidth="1"/>
    <col min="56" max="56" width="14.2857142857143" customWidth="1"/>
    <col min="57" max="57" width="17" customWidth="1"/>
    <col min="58" max="58" width="16.2857142857143" customWidth="1"/>
    <col min="59" max="59" width="13.5714285714286" customWidth="1"/>
    <col min="60" max="61" width="12.7142857142857" customWidth="1"/>
    <col min="62" max="62" width="21.8571428571429" customWidth="1"/>
    <col min="63" max="63" width="30.5714285714286" customWidth="1"/>
    <col min="64" max="64" width="10" customWidth="1"/>
    <col min="65" max="65" width="42.5714285714286" customWidth="1"/>
    <col min="66" max="66" width="38.1428571428571" customWidth="1"/>
    <col min="67" max="67" width="19.4285714285714" customWidth="1"/>
    <col min="68" max="68" width="35.4285714285714" customWidth="1"/>
    <col min="69" max="69" width="9.57142857142857" customWidth="1"/>
  </cols>
  <sheetData>
    <row r="1" spans="1:69">
      <c r="A1" s="1" t="s">
        <v>0</v>
      </c>
      <c r="B1" s="2"/>
      <c r="C1" s="2"/>
      <c r="D1" s="2"/>
      <c r="E1" s="2"/>
      <c r="F1" s="2"/>
      <c r="G1" s="2"/>
      <c r="H1" s="1"/>
      <c r="I1" s="10"/>
      <c r="J1" s="10"/>
      <c r="K1" s="10"/>
      <c r="L1" s="10"/>
      <c r="M1" s="10"/>
      <c r="N1" s="10"/>
      <c r="O1" s="10"/>
      <c r="P1" s="10"/>
      <c r="Q1" s="10"/>
      <c r="R1" s="1"/>
      <c r="S1" s="1"/>
      <c r="T1" s="1"/>
      <c r="U1" s="1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23"/>
      <c r="BQ1" s="23"/>
    </row>
    <row r="2" spans="1:69">
      <c r="A2" s="3" t="s">
        <v>1</v>
      </c>
      <c r="B2" s="3"/>
      <c r="C2" s="24">
        <v>2</v>
      </c>
      <c r="D2" s="4" t="s">
        <v>2</v>
      </c>
      <c r="E2" s="24"/>
      <c r="F2" s="24"/>
      <c r="G2" s="24"/>
      <c r="H2" s="25"/>
      <c r="I2" s="27" t="s">
        <v>3</v>
      </c>
      <c r="J2" s="27" t="s">
        <v>4</v>
      </c>
      <c r="K2" s="27"/>
      <c r="L2" s="27" t="s">
        <v>5</v>
      </c>
      <c r="M2" s="27">
        <v>1</v>
      </c>
      <c r="N2" s="27"/>
      <c r="O2" s="27" t="s">
        <v>6</v>
      </c>
      <c r="P2" s="27">
        <v>2</v>
      </c>
      <c r="Q2" s="27" t="s">
        <v>7</v>
      </c>
      <c r="R2" s="25"/>
      <c r="S2" s="25"/>
      <c r="T2" s="25"/>
      <c r="U2" s="25"/>
      <c r="V2" s="25">
        <v>1</v>
      </c>
      <c r="W2" s="25" t="s">
        <v>8</v>
      </c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  <c r="AR2" s="27"/>
      <c r="AS2" s="27"/>
      <c r="AT2" s="27"/>
      <c r="AU2" s="27"/>
      <c r="AV2" s="27"/>
      <c r="AW2" s="27"/>
      <c r="AX2" s="27"/>
      <c r="AY2" s="27"/>
      <c r="AZ2" s="27"/>
      <c r="BA2" s="27"/>
      <c r="BB2" s="27"/>
      <c r="BC2" s="27"/>
      <c r="BD2" s="27"/>
      <c r="BE2" s="27"/>
      <c r="BF2" s="27"/>
      <c r="BG2" s="27"/>
      <c r="BH2" s="27"/>
      <c r="BI2" s="27"/>
      <c r="BJ2" s="27"/>
      <c r="BK2" s="27"/>
      <c r="BL2" s="27"/>
      <c r="BM2" s="27"/>
      <c r="BN2" s="27"/>
      <c r="BO2" s="27"/>
      <c r="BP2" s="29"/>
      <c r="BQ2" s="29"/>
    </row>
    <row r="3" ht="15.75" spans="1:69">
      <c r="A3" s="26" t="s">
        <v>9</v>
      </c>
      <c r="B3" s="26" t="s">
        <v>10</v>
      </c>
      <c r="C3" s="26" t="s">
        <v>11</v>
      </c>
      <c r="D3" s="26" t="s">
        <v>12</v>
      </c>
      <c r="E3" s="26" t="s">
        <v>13</v>
      </c>
      <c r="F3" s="26" t="s">
        <v>14</v>
      </c>
      <c r="G3" s="26" t="s">
        <v>15</v>
      </c>
      <c r="H3" s="26" t="s">
        <v>16</v>
      </c>
      <c r="I3" s="32" t="s">
        <v>17</v>
      </c>
      <c r="J3" s="32" t="s">
        <v>19</v>
      </c>
      <c r="K3" s="32" t="s">
        <v>18</v>
      </c>
      <c r="L3" s="33" t="s">
        <v>20</v>
      </c>
      <c r="M3" s="33" t="s">
        <v>21</v>
      </c>
      <c r="N3" s="33" t="s">
        <v>24</v>
      </c>
      <c r="O3" s="33" t="s">
        <v>25</v>
      </c>
      <c r="P3" s="33" t="s">
        <v>95</v>
      </c>
      <c r="Q3" s="33" t="s">
        <v>23</v>
      </c>
      <c r="R3" s="32" t="s">
        <v>26</v>
      </c>
      <c r="S3" s="26" t="s">
        <v>96</v>
      </c>
      <c r="T3" s="26" t="s">
        <v>28</v>
      </c>
      <c r="U3" s="34" t="s">
        <v>97</v>
      </c>
      <c r="V3" s="34" t="s">
        <v>30</v>
      </c>
      <c r="W3" s="34" t="s">
        <v>31</v>
      </c>
      <c r="X3" s="34" t="s">
        <v>32</v>
      </c>
      <c r="Y3" s="34" t="s">
        <v>33</v>
      </c>
      <c r="Z3" s="34" t="s">
        <v>34</v>
      </c>
      <c r="AA3" s="34" t="s">
        <v>35</v>
      </c>
      <c r="AB3" s="34" t="s">
        <v>36</v>
      </c>
      <c r="AC3" s="35" t="s">
        <v>37</v>
      </c>
      <c r="AD3" s="35" t="s">
        <v>38</v>
      </c>
      <c r="AE3" s="35" t="s">
        <v>39</v>
      </c>
      <c r="AF3" s="35" t="s">
        <v>40</v>
      </c>
      <c r="AG3" s="35" t="s">
        <v>41</v>
      </c>
      <c r="AH3" s="35" t="s">
        <v>42</v>
      </c>
      <c r="AI3" s="35" t="s">
        <v>43</v>
      </c>
      <c r="AJ3" s="35" t="s">
        <v>44</v>
      </c>
      <c r="AK3" s="35" t="s">
        <v>45</v>
      </c>
      <c r="AL3" s="35" t="s">
        <v>46</v>
      </c>
      <c r="AM3" s="35" t="s">
        <v>47</v>
      </c>
      <c r="AN3" s="35" t="s">
        <v>48</v>
      </c>
      <c r="AO3" s="35" t="s">
        <v>49</v>
      </c>
      <c r="AP3" s="35" t="s">
        <v>50</v>
      </c>
      <c r="AQ3" s="35" t="s">
        <v>51</v>
      </c>
      <c r="AR3" s="37" t="s">
        <v>98</v>
      </c>
      <c r="AS3" s="26" t="s">
        <v>53</v>
      </c>
      <c r="AT3" s="26" t="s">
        <v>51</v>
      </c>
      <c r="AU3" s="38" t="s">
        <v>54</v>
      </c>
      <c r="AV3" s="38" t="s">
        <v>55</v>
      </c>
      <c r="AW3" s="38" t="s">
        <v>56</v>
      </c>
      <c r="AX3" s="38" t="s">
        <v>57</v>
      </c>
      <c r="AY3" s="38" t="s">
        <v>58</v>
      </c>
      <c r="AZ3" s="38" t="s">
        <v>59</v>
      </c>
      <c r="BA3" s="38" t="s">
        <v>60</v>
      </c>
      <c r="BB3" s="38" t="s">
        <v>61</v>
      </c>
      <c r="BC3" s="38" t="s">
        <v>62</v>
      </c>
      <c r="BD3" s="38" t="s">
        <v>63</v>
      </c>
      <c r="BE3" s="38" t="s">
        <v>64</v>
      </c>
      <c r="BF3" s="38" t="s">
        <v>65</v>
      </c>
      <c r="BG3" s="38" t="s">
        <v>66</v>
      </c>
      <c r="BH3" s="38" t="s">
        <v>67</v>
      </c>
      <c r="BI3" s="38" t="s">
        <v>68</v>
      </c>
      <c r="BJ3" s="38" t="s">
        <v>69</v>
      </c>
      <c r="BK3" s="38" t="s">
        <v>70</v>
      </c>
      <c r="BL3" s="38" t="s">
        <v>71</v>
      </c>
      <c r="BM3" s="38" t="s">
        <v>72</v>
      </c>
      <c r="BN3" s="38" t="s">
        <v>73</v>
      </c>
      <c r="BO3" s="38" t="s">
        <v>59</v>
      </c>
      <c r="BP3" s="38" t="s">
        <v>74</v>
      </c>
      <c r="BQ3" s="38" t="s">
        <v>28</v>
      </c>
    </row>
    <row r="4" ht="15.75" spans="1:69">
      <c r="A4" s="27">
        <v>1</v>
      </c>
      <c r="B4" s="27" t="s">
        <v>142</v>
      </c>
      <c r="C4" s="27" t="s">
        <v>142</v>
      </c>
      <c r="D4" s="27" t="s">
        <v>76</v>
      </c>
      <c r="E4" s="27" t="s">
        <v>76</v>
      </c>
      <c r="F4" s="28">
        <v>4</v>
      </c>
      <c r="G4" s="28">
        <v>100</v>
      </c>
      <c r="H4" s="28">
        <f>F4*G4</f>
        <v>400</v>
      </c>
      <c r="I4" s="29">
        <v>0</v>
      </c>
      <c r="J4" s="28">
        <v>2</v>
      </c>
      <c r="K4" s="28">
        <v>2</v>
      </c>
      <c r="L4" s="28">
        <f>H4</f>
        <v>400</v>
      </c>
      <c r="M4" s="28">
        <f>ROUND(L4*I4%,2)</f>
        <v>0</v>
      </c>
      <c r="N4" s="28">
        <f>H4-M4</f>
        <v>400</v>
      </c>
      <c r="O4" s="28">
        <f>ROUND(N4*J4%,2)</f>
        <v>8</v>
      </c>
      <c r="P4" s="28">
        <f>ROUND(N4-O4,2)</f>
        <v>392</v>
      </c>
      <c r="Q4" s="28">
        <f>ROUND(P4*K4%,2)</f>
        <v>7.84</v>
      </c>
      <c r="R4" s="28">
        <f>M4+O4+Q4</f>
        <v>15.84</v>
      </c>
      <c r="S4" s="28">
        <f>(H4-R4)</f>
        <v>384.16</v>
      </c>
      <c r="T4" s="28" t="s">
        <v>77</v>
      </c>
      <c r="U4" s="15">
        <v>18</v>
      </c>
      <c r="V4" s="15">
        <f>IF(OR($C$2=1,$C$2=4),ROUND((((S4*U4)/100)/2),2),0)</f>
        <v>0</v>
      </c>
      <c r="W4" s="15">
        <f>IF($C$2=1,ROUND((((S4*U4)/100)/2),2),0)</f>
        <v>0</v>
      </c>
      <c r="X4" s="15">
        <f>IF($C$2=2,ROUND(((S4*U4)/100),2),0)</f>
        <v>69.15</v>
      </c>
      <c r="Y4" s="15">
        <f>IF($C$2=4,ROUND((((S4*U4)/100)/2),2),0)</f>
        <v>0</v>
      </c>
      <c r="Z4" s="15">
        <v>0</v>
      </c>
      <c r="AA4" s="15">
        <f>IF($C2=3,0,(S4*Z4)/100)</f>
        <v>0</v>
      </c>
      <c r="AB4" s="15">
        <f>V4+W4+X4+Y4+AA4</f>
        <v>69.15</v>
      </c>
      <c r="AC4" s="28">
        <f>IF($V2=1,S4+AB4,S4)</f>
        <v>453.31</v>
      </c>
      <c r="AD4" s="28">
        <v>120</v>
      </c>
      <c r="AE4" s="28">
        <f>IF($P$2=1,(S4/$S$4)*$E$35,AD4/$AD$4*$E$35)</f>
        <v>0</v>
      </c>
      <c r="AF4" s="28"/>
      <c r="AG4" s="28">
        <f>IF($P$2=1,(S4/$S$4)*$E$37,AD4/$AD$4*$E$37)</f>
        <v>0</v>
      </c>
      <c r="AH4" s="28">
        <f>IF($P$2=1,(S4/$S$4)*$E$37,AD4/$AD$4*$E$37)</f>
        <v>0</v>
      </c>
      <c r="AI4" s="28">
        <f>S4*$M$21</f>
        <v>0</v>
      </c>
      <c r="AJ4" s="28">
        <f>IF($C$2=3,0,AG4+AH4)</f>
        <v>0</v>
      </c>
      <c r="AK4" s="28">
        <f>IF($C$2=3,AE4+AG4+AH4,0)</f>
        <v>0</v>
      </c>
      <c r="AL4" s="28">
        <v>3</v>
      </c>
      <c r="AM4" s="28">
        <f>F4/AL4</f>
        <v>1.33333333333333</v>
      </c>
      <c r="AN4" s="28">
        <f>AI4/AM4</f>
        <v>0</v>
      </c>
      <c r="AO4" s="28">
        <f>AJ4/AM4</f>
        <v>0</v>
      </c>
      <c r="AP4" s="28">
        <f>AK4/AM4</f>
        <v>0</v>
      </c>
      <c r="AQ4" s="28" t="s">
        <v>76</v>
      </c>
      <c r="AR4" s="28">
        <f>AN4+AO4+AP4</f>
        <v>0</v>
      </c>
      <c r="AS4" s="28" t="s">
        <v>78</v>
      </c>
      <c r="AT4" s="28" t="s">
        <v>76</v>
      </c>
      <c r="AU4" t="s">
        <v>143</v>
      </c>
      <c r="AV4" t="s">
        <v>144</v>
      </c>
      <c r="AW4" s="28">
        <f>AM4</f>
        <v>1.33333333333333</v>
      </c>
      <c r="AX4" s="28">
        <f>AR4</f>
        <v>0</v>
      </c>
      <c r="AY4" s="28">
        <f>AU4+AW4</f>
        <v>81.3323333333333</v>
      </c>
      <c r="AZ4" s="28">
        <f>ROUND(((AU4*AV4)+(AW4*AX4))/(AU4+AW4),5)</f>
        <v>10643.56051</v>
      </c>
      <c r="BA4" s="39"/>
      <c r="BB4" s="39" t="s">
        <v>81</v>
      </c>
      <c r="BC4" s="39" t="s">
        <v>82</v>
      </c>
      <c r="BD4" s="40" t="s">
        <v>83</v>
      </c>
      <c r="BE4" s="40" t="s">
        <v>84</v>
      </c>
      <c r="BF4" s="39"/>
      <c r="BG4" s="39"/>
      <c r="BH4" s="39"/>
      <c r="BI4" s="28"/>
      <c r="BJ4" s="28"/>
      <c r="BK4" s="28"/>
      <c r="BL4" s="41" t="s">
        <v>85</v>
      </c>
      <c r="BM4" t="s">
        <v>145</v>
      </c>
      <c r="BN4" t="s">
        <v>146</v>
      </c>
      <c r="BO4" s="28">
        <f>ROUND((((AW4*AZ4)+(BN4*BM4))/(AW4+BN4)),5)</f>
        <v>557.04454</v>
      </c>
      <c r="BP4" s="39">
        <f>BN4+AW4</f>
        <v>74.6593333333333</v>
      </c>
      <c r="BQ4" s="42">
        <v>88363222</v>
      </c>
    </row>
    <row r="5" spans="1:69">
      <c r="A5" s="27"/>
      <c r="B5" s="29"/>
      <c r="C5" s="29"/>
      <c r="D5" s="30" t="s">
        <v>88</v>
      </c>
      <c r="E5" s="30"/>
      <c r="F5" s="30"/>
      <c r="G5" s="30"/>
      <c r="H5" s="31">
        <f>SUM(H4:H4)</f>
        <v>400</v>
      </c>
      <c r="I5" s="27"/>
      <c r="J5" s="27"/>
      <c r="K5" s="27"/>
      <c r="L5" s="27"/>
      <c r="M5" s="27"/>
      <c r="N5" s="27"/>
      <c r="O5" s="27"/>
      <c r="P5" s="27"/>
      <c r="Q5" s="27"/>
      <c r="R5" s="31">
        <f t="shared" ref="R5:AK5" si="0">SUM(R4:R4)</f>
        <v>15.84</v>
      </c>
      <c r="S5" s="31">
        <f t="shared" si="0"/>
        <v>384.16</v>
      </c>
      <c r="T5" s="30"/>
      <c r="U5" s="30"/>
      <c r="V5" s="31">
        <f t="shared" si="0"/>
        <v>0</v>
      </c>
      <c r="W5" s="31">
        <f t="shared" si="0"/>
        <v>0</v>
      </c>
      <c r="X5" s="31">
        <f t="shared" si="0"/>
        <v>69.15</v>
      </c>
      <c r="Y5" s="31">
        <f t="shared" si="0"/>
        <v>0</v>
      </c>
      <c r="Z5" s="31">
        <f t="shared" si="0"/>
        <v>0</v>
      </c>
      <c r="AA5" s="31">
        <f t="shared" si="0"/>
        <v>0</v>
      </c>
      <c r="AB5" s="31">
        <f t="shared" si="0"/>
        <v>69.15</v>
      </c>
      <c r="AC5" s="31">
        <f t="shared" si="0"/>
        <v>453.31</v>
      </c>
      <c r="AD5" s="31">
        <f t="shared" si="0"/>
        <v>120</v>
      </c>
      <c r="AE5" s="31">
        <f t="shared" si="0"/>
        <v>0</v>
      </c>
      <c r="AF5" s="31">
        <f t="shared" si="0"/>
        <v>0</v>
      </c>
      <c r="AG5" s="31">
        <f t="shared" si="0"/>
        <v>0</v>
      </c>
      <c r="AH5" s="31">
        <f t="shared" si="0"/>
        <v>0</v>
      </c>
      <c r="AI5" s="31">
        <f t="shared" si="0"/>
        <v>0</v>
      </c>
      <c r="AJ5" s="31">
        <f t="shared" si="0"/>
        <v>0</v>
      </c>
      <c r="AK5" s="31">
        <f t="shared" si="0"/>
        <v>0</v>
      </c>
      <c r="AL5" s="36"/>
      <c r="AM5" s="36"/>
      <c r="AN5" s="36"/>
      <c r="AO5" s="36"/>
      <c r="AP5" s="36"/>
      <c r="AQ5" s="36"/>
      <c r="AR5" s="36"/>
      <c r="AS5" s="27"/>
      <c r="AT5" s="27"/>
      <c r="AU5" s="29"/>
      <c r="AV5" s="29"/>
      <c r="AW5" s="27"/>
      <c r="AX5" s="27"/>
      <c r="AY5" s="27"/>
      <c r="AZ5" s="27"/>
      <c r="BA5" s="27"/>
      <c r="BB5" s="27"/>
      <c r="BC5" s="27"/>
      <c r="BD5" s="27"/>
      <c r="BE5" s="27"/>
      <c r="BF5" s="27"/>
      <c r="BG5" s="27"/>
      <c r="BH5" s="27"/>
      <c r="BI5" s="27"/>
      <c r="BJ5" s="27"/>
      <c r="BK5" s="27"/>
      <c r="BL5" s="27"/>
      <c r="BM5" s="27"/>
      <c r="BN5" s="27"/>
      <c r="BO5" s="27"/>
      <c r="BP5" s="29"/>
      <c r="BQ5" s="29"/>
    </row>
  </sheetData>
  <mergeCells count="1">
    <mergeCell ref="A2:B2"/>
  </mergeCells>
  <pageMargins left="0.75" right="0.75" top="1" bottom="1" header="0.5" footer="0.5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Q5"/>
  <sheetViews>
    <sheetView topLeftCell="P1" workbookViewId="0">
      <selection activeCell="U4" sqref="U4:AB4"/>
    </sheetView>
  </sheetViews>
  <sheetFormatPr defaultColWidth="8.7047619047619" defaultRowHeight="15" outlineLevelRow="4"/>
  <cols>
    <col min="1" max="1" width="5.14285714285714" customWidth="1"/>
    <col min="2" max="3" width="28" customWidth="1"/>
    <col min="4" max="4" width="79.4285714285714" customWidth="1"/>
    <col min="5" max="5" width="11.5714285714286" customWidth="1"/>
    <col min="6" max="6" width="5.14285714285714" customWidth="1"/>
    <col min="7" max="7" width="11" customWidth="1"/>
    <col min="8" max="8" width="12.7142857142857" customWidth="1"/>
    <col min="9" max="9" width="5.85714285714286" customWidth="1"/>
    <col min="10" max="10" width="6" customWidth="1"/>
    <col min="11" max="11" width="5.85714285714286" customWidth="1"/>
    <col min="12" max="12" width="14.2857142857143" customWidth="1"/>
    <col min="13" max="13" width="9.42857142857143" customWidth="1"/>
    <col min="14" max="14" width="14.4285714285714" customWidth="1"/>
    <col min="15" max="15" width="15.5714285714286" customWidth="1"/>
    <col min="16" max="16" width="14.4285714285714" customWidth="1"/>
    <col min="17" max="17" width="39.4285714285714" customWidth="1"/>
    <col min="18" max="18" width="11.7142857142857" customWidth="1"/>
    <col min="19" max="19" width="11.8571428571429" customWidth="1"/>
    <col min="20" max="20" width="6.42857142857143" customWidth="1"/>
    <col min="21" max="22" width="6.57142857142857" customWidth="1"/>
    <col min="23" max="23" width="37.1428571428571" customWidth="1"/>
    <col min="24" max="25" width="8" customWidth="1"/>
    <col min="26" max="26" width="7.71428571428571" customWidth="1"/>
    <col min="27" max="27" width="6.28571428571429" customWidth="1"/>
    <col min="28" max="28" width="9.28571428571429" customWidth="1"/>
    <col min="29" max="29" width="9.71428571428571" customWidth="1"/>
    <col min="30" max="30" width="12.8571428571429" customWidth="1"/>
    <col min="31" max="31" width="16.1428571428571" customWidth="1"/>
    <col min="32" max="32" width="15.4285714285714" customWidth="1"/>
    <col min="33" max="33" width="24.5714285714286" customWidth="1"/>
    <col min="34" max="34" width="8.57142857142857" customWidth="1"/>
    <col min="35" max="35" width="14.7142857142857" customWidth="1"/>
    <col min="36" max="36" width="18.5714285714286" customWidth="1"/>
    <col min="37" max="37" width="14.1428571428571" customWidth="1"/>
    <col min="38" max="38" width="14.7142857142857" customWidth="1"/>
    <col min="39" max="39" width="17.4285714285714" customWidth="1"/>
    <col min="40" max="40" width="22" customWidth="1"/>
    <col min="41" max="41" width="17.5714285714286" customWidth="1"/>
    <col min="42" max="42" width="25.2857142857143" customWidth="1"/>
    <col min="43" max="43" width="13" customWidth="1"/>
    <col min="44" max="44" width="23.7142857142857" customWidth="1"/>
    <col min="45" max="45" width="10" customWidth="1"/>
    <col min="46" max="46" width="13" customWidth="1"/>
    <col min="47" max="47" width="15.5714285714286" customWidth="1"/>
    <col min="48" max="48" width="21.1428571428571" customWidth="1"/>
    <col min="49" max="49" width="11.5714285714286" customWidth="1"/>
    <col min="50" max="50" width="16.7142857142857" customWidth="1"/>
    <col min="51" max="51" width="14" customWidth="1"/>
    <col min="52" max="52" width="19.4285714285714" customWidth="1"/>
    <col min="53" max="53" width="18.8571428571429" customWidth="1"/>
    <col min="54" max="54" width="23.2857142857143" customWidth="1"/>
    <col min="55" max="55" width="15.5714285714286" customWidth="1"/>
    <col min="56" max="56" width="14.2857142857143" customWidth="1"/>
    <col min="57" max="57" width="17" customWidth="1"/>
    <col min="58" max="58" width="16.2857142857143" customWidth="1"/>
    <col min="59" max="59" width="13.5714285714286" customWidth="1"/>
    <col min="60" max="61" width="12.7142857142857" customWidth="1"/>
    <col min="62" max="62" width="21.8571428571429" customWidth="1"/>
    <col min="63" max="63" width="30.5714285714286" customWidth="1"/>
    <col min="64" max="64" width="10" customWidth="1"/>
    <col min="65" max="65" width="42.5714285714286" customWidth="1"/>
    <col min="66" max="66" width="38.1428571428571" customWidth="1"/>
    <col min="67" max="67" width="19.4285714285714" customWidth="1"/>
    <col min="68" max="68" width="35.4285714285714" customWidth="1"/>
    <col min="69" max="69" width="9.57142857142857" customWidth="1"/>
  </cols>
  <sheetData>
    <row r="1" spans="1:69">
      <c r="A1" s="1" t="s">
        <v>0</v>
      </c>
      <c r="B1" s="2"/>
      <c r="C1" s="2"/>
      <c r="D1" s="2"/>
      <c r="E1" s="2"/>
      <c r="F1" s="2"/>
      <c r="G1" s="2"/>
      <c r="H1" s="1"/>
      <c r="I1" s="10"/>
      <c r="J1" s="10"/>
      <c r="K1" s="10"/>
      <c r="L1" s="10"/>
      <c r="M1" s="10"/>
      <c r="N1" s="10"/>
      <c r="O1" s="10"/>
      <c r="P1" s="10"/>
      <c r="Q1" s="10"/>
      <c r="R1" s="1"/>
      <c r="S1" s="1"/>
      <c r="T1" s="1"/>
      <c r="U1" s="1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23"/>
      <c r="BQ1" s="23"/>
    </row>
    <row r="2" spans="1:69">
      <c r="A2" s="3" t="s">
        <v>1</v>
      </c>
      <c r="B2" s="3"/>
      <c r="C2" s="24">
        <v>2</v>
      </c>
      <c r="D2" s="4" t="s">
        <v>2</v>
      </c>
      <c r="E2" s="24"/>
      <c r="F2" s="24"/>
      <c r="G2" s="24"/>
      <c r="H2" s="25"/>
      <c r="I2" s="27" t="s">
        <v>3</v>
      </c>
      <c r="J2" s="27" t="s">
        <v>4</v>
      </c>
      <c r="K2" s="27"/>
      <c r="L2" s="27" t="s">
        <v>5</v>
      </c>
      <c r="M2" s="27">
        <v>1</v>
      </c>
      <c r="N2" s="27"/>
      <c r="O2" s="27" t="s">
        <v>6</v>
      </c>
      <c r="P2" s="27">
        <v>2</v>
      </c>
      <c r="Q2" s="27" t="s">
        <v>7</v>
      </c>
      <c r="R2" s="25"/>
      <c r="S2" s="25"/>
      <c r="T2" s="25"/>
      <c r="U2" s="25"/>
      <c r="V2" s="25">
        <v>1</v>
      </c>
      <c r="W2" s="25" t="s">
        <v>8</v>
      </c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  <c r="AR2" s="27"/>
      <c r="AS2" s="27"/>
      <c r="AT2" s="27"/>
      <c r="AU2" s="27"/>
      <c r="AV2" s="27"/>
      <c r="AW2" s="27"/>
      <c r="AX2" s="27"/>
      <c r="AY2" s="27"/>
      <c r="AZ2" s="27"/>
      <c r="BA2" s="27"/>
      <c r="BB2" s="27"/>
      <c r="BC2" s="27"/>
      <c r="BD2" s="27"/>
      <c r="BE2" s="27"/>
      <c r="BF2" s="27"/>
      <c r="BG2" s="27"/>
      <c r="BH2" s="27"/>
      <c r="BI2" s="27"/>
      <c r="BJ2" s="27"/>
      <c r="BK2" s="27"/>
      <c r="BL2" s="27"/>
      <c r="BM2" s="27"/>
      <c r="BN2" s="27"/>
      <c r="BO2" s="27"/>
      <c r="BP2" s="29"/>
      <c r="BQ2" s="29"/>
    </row>
    <row r="3" ht="15.75" spans="1:69">
      <c r="A3" s="26" t="s">
        <v>9</v>
      </c>
      <c r="B3" s="26" t="s">
        <v>10</v>
      </c>
      <c r="C3" s="26" t="s">
        <v>11</v>
      </c>
      <c r="D3" s="26" t="s">
        <v>12</v>
      </c>
      <c r="E3" s="26" t="s">
        <v>13</v>
      </c>
      <c r="F3" s="26" t="s">
        <v>14</v>
      </c>
      <c r="G3" s="26" t="s">
        <v>15</v>
      </c>
      <c r="H3" s="26" t="s">
        <v>16</v>
      </c>
      <c r="I3" s="32" t="s">
        <v>17</v>
      </c>
      <c r="J3" s="32" t="s">
        <v>19</v>
      </c>
      <c r="K3" s="32" t="s">
        <v>18</v>
      </c>
      <c r="L3" s="33" t="s">
        <v>20</v>
      </c>
      <c r="M3" s="33" t="s">
        <v>21</v>
      </c>
      <c r="N3" s="33" t="s">
        <v>24</v>
      </c>
      <c r="O3" s="33" t="s">
        <v>25</v>
      </c>
      <c r="P3" s="33" t="s">
        <v>95</v>
      </c>
      <c r="Q3" s="33" t="s">
        <v>23</v>
      </c>
      <c r="R3" s="32" t="s">
        <v>26</v>
      </c>
      <c r="S3" s="26" t="s">
        <v>96</v>
      </c>
      <c r="T3" s="26" t="s">
        <v>28</v>
      </c>
      <c r="U3" s="34" t="s">
        <v>97</v>
      </c>
      <c r="V3" s="34" t="s">
        <v>30</v>
      </c>
      <c r="W3" s="34" t="s">
        <v>31</v>
      </c>
      <c r="X3" s="34" t="s">
        <v>32</v>
      </c>
      <c r="Y3" s="34" t="s">
        <v>33</v>
      </c>
      <c r="Z3" s="34" t="s">
        <v>34</v>
      </c>
      <c r="AA3" s="34" t="s">
        <v>35</v>
      </c>
      <c r="AB3" s="34" t="s">
        <v>36</v>
      </c>
      <c r="AC3" s="35" t="s">
        <v>37</v>
      </c>
      <c r="AD3" s="35" t="s">
        <v>38</v>
      </c>
      <c r="AE3" s="35" t="s">
        <v>39</v>
      </c>
      <c r="AF3" s="35" t="s">
        <v>40</v>
      </c>
      <c r="AG3" s="35" t="s">
        <v>41</v>
      </c>
      <c r="AH3" s="35" t="s">
        <v>42</v>
      </c>
      <c r="AI3" s="35" t="s">
        <v>43</v>
      </c>
      <c r="AJ3" s="35" t="s">
        <v>44</v>
      </c>
      <c r="AK3" s="35" t="s">
        <v>45</v>
      </c>
      <c r="AL3" s="35" t="s">
        <v>46</v>
      </c>
      <c r="AM3" s="35" t="s">
        <v>47</v>
      </c>
      <c r="AN3" s="35" t="s">
        <v>48</v>
      </c>
      <c r="AO3" s="35" t="s">
        <v>49</v>
      </c>
      <c r="AP3" s="35" t="s">
        <v>50</v>
      </c>
      <c r="AQ3" s="35" t="s">
        <v>51</v>
      </c>
      <c r="AR3" s="37" t="s">
        <v>98</v>
      </c>
      <c r="AS3" s="26" t="s">
        <v>53</v>
      </c>
      <c r="AT3" s="26" t="s">
        <v>51</v>
      </c>
      <c r="AU3" s="38" t="s">
        <v>54</v>
      </c>
      <c r="AV3" s="38" t="s">
        <v>55</v>
      </c>
      <c r="AW3" s="38" t="s">
        <v>56</v>
      </c>
      <c r="AX3" s="38" t="s">
        <v>57</v>
      </c>
      <c r="AY3" s="38" t="s">
        <v>58</v>
      </c>
      <c r="AZ3" s="38" t="s">
        <v>59</v>
      </c>
      <c r="BA3" s="38" t="s">
        <v>60</v>
      </c>
      <c r="BB3" s="38" t="s">
        <v>61</v>
      </c>
      <c r="BC3" s="38" t="s">
        <v>62</v>
      </c>
      <c r="BD3" s="38" t="s">
        <v>63</v>
      </c>
      <c r="BE3" s="38" t="s">
        <v>64</v>
      </c>
      <c r="BF3" s="38" t="s">
        <v>65</v>
      </c>
      <c r="BG3" s="38" t="s">
        <v>66</v>
      </c>
      <c r="BH3" s="38" t="s">
        <v>67</v>
      </c>
      <c r="BI3" s="38" t="s">
        <v>68</v>
      </c>
      <c r="BJ3" s="38" t="s">
        <v>69</v>
      </c>
      <c r="BK3" s="38" t="s">
        <v>70</v>
      </c>
      <c r="BL3" s="38" t="s">
        <v>71</v>
      </c>
      <c r="BM3" s="38" t="s">
        <v>72</v>
      </c>
      <c r="BN3" s="38" t="s">
        <v>73</v>
      </c>
      <c r="BO3" s="38" t="s">
        <v>59</v>
      </c>
      <c r="BP3" s="38" t="s">
        <v>74</v>
      </c>
      <c r="BQ3" s="38" t="s">
        <v>28</v>
      </c>
    </row>
    <row r="4" ht="15.75" spans="1:69">
      <c r="A4" s="27">
        <v>1</v>
      </c>
      <c r="B4" s="27" t="s">
        <v>147</v>
      </c>
      <c r="C4" s="27" t="s">
        <v>147</v>
      </c>
      <c r="D4" s="27" t="s">
        <v>76</v>
      </c>
      <c r="E4" s="27" t="s">
        <v>76</v>
      </c>
      <c r="F4" s="28">
        <v>4</v>
      </c>
      <c r="G4" s="28">
        <v>100</v>
      </c>
      <c r="H4" s="28">
        <f>F4*G4</f>
        <v>400</v>
      </c>
      <c r="I4" s="29">
        <v>0</v>
      </c>
      <c r="J4" s="28">
        <v>2</v>
      </c>
      <c r="K4" s="28">
        <v>2</v>
      </c>
      <c r="L4" s="28">
        <f>H4</f>
        <v>400</v>
      </c>
      <c r="M4" s="28">
        <f>ROUND(L4*I4%,2)</f>
        <v>0</v>
      </c>
      <c r="N4" s="28">
        <f>H4-M4</f>
        <v>400</v>
      </c>
      <c r="O4" s="28">
        <f>ROUND(N4*J4%,2)</f>
        <v>8</v>
      </c>
      <c r="P4" s="28">
        <f>ROUND(N4-O4,2)</f>
        <v>392</v>
      </c>
      <c r="Q4" s="28">
        <f>ROUND(P4*K4%,2)</f>
        <v>7.84</v>
      </c>
      <c r="R4" s="28">
        <f>M4+O4+Q4</f>
        <v>15.84</v>
      </c>
      <c r="S4" s="28">
        <f>(H4-R4)</f>
        <v>384.16</v>
      </c>
      <c r="T4" s="28" t="s">
        <v>77</v>
      </c>
      <c r="U4" s="15">
        <v>18</v>
      </c>
      <c r="V4" s="15">
        <f>IF(OR($C$2=1,$C$2=4),ROUND((((S4*U4)/100)/2),2),0)</f>
        <v>0</v>
      </c>
      <c r="W4" s="15">
        <f>IF($C$2=1,ROUND((((S4*U4)/100)/2),2),0)</f>
        <v>0</v>
      </c>
      <c r="X4" s="15">
        <f>IF($C$2=2,ROUND(((S4*U4)/100),2),0)</f>
        <v>69.15</v>
      </c>
      <c r="Y4" s="15">
        <f>IF($C$2=4,ROUND((((S4*U4)/100)/2),2),0)</f>
        <v>0</v>
      </c>
      <c r="Z4" s="15">
        <v>0</v>
      </c>
      <c r="AA4" s="15">
        <f>IF($C2=3,0,(S4*Z4)/100)</f>
        <v>0</v>
      </c>
      <c r="AB4" s="15">
        <f>V4+W4+X4+Y4+AA4</f>
        <v>69.15</v>
      </c>
      <c r="AC4" s="28">
        <f>IF($V2=1,S4+AB4,S4)</f>
        <v>453.31</v>
      </c>
      <c r="AD4" s="28">
        <v>120</v>
      </c>
      <c r="AE4" s="28">
        <f>IF($P$2=1,(S4/$S$4)*$E$35,AD4/$AD$4*$E$35)</f>
        <v>0</v>
      </c>
      <c r="AF4" s="28"/>
      <c r="AG4" s="28">
        <f>IF($P$2=1,(S4/$S$4)*$E$37,AD4/$AD$4*$E$37)</f>
        <v>0</v>
      </c>
      <c r="AH4" s="28">
        <f>IF($P$2=1,(S4/$S$4)*$E$37,AD4/$AD$4*$E$37)</f>
        <v>0</v>
      </c>
      <c r="AI4" s="28">
        <f>S4*$M$21</f>
        <v>0</v>
      </c>
      <c r="AJ4" s="28">
        <f>IF($C$2=3,0,AG4+AH4)</f>
        <v>0</v>
      </c>
      <c r="AK4" s="28">
        <f>IF($C$2=3,AE4+AG4+AH4,0)</f>
        <v>0</v>
      </c>
      <c r="AL4" s="28">
        <v>3</v>
      </c>
      <c r="AM4" s="28">
        <f>F4/AL4</f>
        <v>1.33333333333333</v>
      </c>
      <c r="AN4" s="28">
        <f>AI4/AM4</f>
        <v>0</v>
      </c>
      <c r="AO4" s="28">
        <f>AJ4/AM4</f>
        <v>0</v>
      </c>
      <c r="AP4" s="28">
        <f>AK4/AM4</f>
        <v>0</v>
      </c>
      <c r="AQ4" s="28" t="s">
        <v>76</v>
      </c>
      <c r="AR4" s="28">
        <f>AN4+AO4+AP4</f>
        <v>0</v>
      </c>
      <c r="AS4" s="28" t="s">
        <v>78</v>
      </c>
      <c r="AT4" s="28" t="s">
        <v>76</v>
      </c>
      <c r="AU4" t="s">
        <v>148</v>
      </c>
      <c r="AV4" t="s">
        <v>149</v>
      </c>
      <c r="AW4" s="28">
        <f>AM4</f>
        <v>1.33333333333333</v>
      </c>
      <c r="AX4" s="28">
        <f>AR4</f>
        <v>0</v>
      </c>
      <c r="AY4" s="28">
        <f>AU4+AW4</f>
        <v>81.3303333333333</v>
      </c>
      <c r="AZ4" s="28">
        <f>ROUND(((AU4*AV4)+(AW4*AX4))/(AU4+AW4),5)</f>
        <v>6858.99232</v>
      </c>
      <c r="BA4" s="39"/>
      <c r="BB4" s="39" t="s">
        <v>81</v>
      </c>
      <c r="BC4" s="39" t="s">
        <v>82</v>
      </c>
      <c r="BD4" s="40" t="s">
        <v>83</v>
      </c>
      <c r="BE4" s="40" t="s">
        <v>84</v>
      </c>
      <c r="BF4" s="39"/>
      <c r="BG4" s="39"/>
      <c r="BH4" s="39"/>
      <c r="BI4" s="28"/>
      <c r="BJ4" s="28"/>
      <c r="BK4" s="28"/>
      <c r="BL4" s="41" t="s">
        <v>85</v>
      </c>
      <c r="BM4" t="s">
        <v>150</v>
      </c>
      <c r="BN4" t="s">
        <v>151</v>
      </c>
      <c r="BO4" s="28">
        <f>ROUND((((AW4*AZ4)+(BN4*BM4))/(AW4+BN4)),5)</f>
        <v>369.97273</v>
      </c>
      <c r="BP4" s="39">
        <f>BN4+AW4</f>
        <v>71.3263333333333</v>
      </c>
      <c r="BQ4" s="42">
        <v>88363222</v>
      </c>
    </row>
    <row r="5" spans="1:69">
      <c r="A5" s="27"/>
      <c r="B5" s="29"/>
      <c r="C5" s="29"/>
      <c r="D5" s="30" t="s">
        <v>88</v>
      </c>
      <c r="E5" s="30"/>
      <c r="F5" s="30"/>
      <c r="G5" s="30"/>
      <c r="H5" s="31">
        <f>SUM(H4:H4)</f>
        <v>400</v>
      </c>
      <c r="I5" s="27"/>
      <c r="J5" s="27"/>
      <c r="K5" s="27"/>
      <c r="L5" s="27"/>
      <c r="M5" s="27"/>
      <c r="N5" s="27"/>
      <c r="O5" s="27"/>
      <c r="P5" s="27"/>
      <c r="Q5" s="27"/>
      <c r="R5" s="31">
        <f t="shared" ref="R5:AK5" si="0">SUM(R4:R4)</f>
        <v>15.84</v>
      </c>
      <c r="S5" s="31">
        <f t="shared" si="0"/>
        <v>384.16</v>
      </c>
      <c r="T5" s="30"/>
      <c r="U5" s="30"/>
      <c r="V5" s="31">
        <f t="shared" si="0"/>
        <v>0</v>
      </c>
      <c r="W5" s="31">
        <f t="shared" si="0"/>
        <v>0</v>
      </c>
      <c r="X5" s="31">
        <f t="shared" si="0"/>
        <v>69.15</v>
      </c>
      <c r="Y5" s="31">
        <f t="shared" si="0"/>
        <v>0</v>
      </c>
      <c r="Z5" s="31">
        <f t="shared" si="0"/>
        <v>0</v>
      </c>
      <c r="AA5" s="31">
        <f t="shared" si="0"/>
        <v>0</v>
      </c>
      <c r="AB5" s="31">
        <f t="shared" si="0"/>
        <v>69.15</v>
      </c>
      <c r="AC5" s="31">
        <f t="shared" si="0"/>
        <v>453.31</v>
      </c>
      <c r="AD5" s="31">
        <f t="shared" si="0"/>
        <v>120</v>
      </c>
      <c r="AE5" s="31">
        <f t="shared" si="0"/>
        <v>0</v>
      </c>
      <c r="AF5" s="31">
        <f t="shared" si="0"/>
        <v>0</v>
      </c>
      <c r="AG5" s="31">
        <f t="shared" si="0"/>
        <v>0</v>
      </c>
      <c r="AH5" s="31">
        <f t="shared" si="0"/>
        <v>0</v>
      </c>
      <c r="AI5" s="31">
        <f t="shared" si="0"/>
        <v>0</v>
      </c>
      <c r="AJ5" s="31">
        <f t="shared" si="0"/>
        <v>0</v>
      </c>
      <c r="AK5" s="31">
        <f t="shared" si="0"/>
        <v>0</v>
      </c>
      <c r="AL5" s="36"/>
      <c r="AM5" s="36"/>
      <c r="AN5" s="36"/>
      <c r="AO5" s="36"/>
      <c r="AP5" s="36"/>
      <c r="AQ5" s="36"/>
      <c r="AR5" s="36"/>
      <c r="AS5" s="27"/>
      <c r="AT5" s="27"/>
      <c r="AU5" s="29"/>
      <c r="AV5" s="29"/>
      <c r="AW5" s="27"/>
      <c r="AX5" s="27"/>
      <c r="AY5" s="27"/>
      <c r="AZ5" s="27"/>
      <c r="BA5" s="27"/>
      <c r="BB5" s="27"/>
      <c r="BC5" s="27"/>
      <c r="BD5" s="27"/>
      <c r="BE5" s="27"/>
      <c r="BF5" s="27"/>
      <c r="BG5" s="27"/>
      <c r="BH5" s="27"/>
      <c r="BI5" s="27"/>
      <c r="BJ5" s="27"/>
      <c r="BK5" s="27"/>
      <c r="BL5" s="27"/>
      <c r="BM5" s="27"/>
      <c r="BN5" s="27"/>
      <c r="BO5" s="27"/>
      <c r="BP5" s="29"/>
      <c r="BQ5" s="29"/>
    </row>
  </sheetData>
  <mergeCells count="1">
    <mergeCell ref="A2:B2"/>
  </mergeCells>
  <pageMargins left="0.75" right="0.75" top="1" bottom="1" header="0.5" footer="0.5"/>
  <headerFooter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Q5"/>
  <sheetViews>
    <sheetView topLeftCell="Q1" workbookViewId="0">
      <selection activeCell="U4" sqref="U4:AB4"/>
    </sheetView>
  </sheetViews>
  <sheetFormatPr defaultColWidth="8.7047619047619" defaultRowHeight="15" outlineLevelRow="4"/>
  <cols>
    <col min="1" max="1" width="5.14285714285714" customWidth="1"/>
    <col min="2" max="3" width="28" customWidth="1"/>
    <col min="4" max="4" width="79.4285714285714" customWidth="1"/>
    <col min="5" max="5" width="11.5714285714286" customWidth="1"/>
    <col min="6" max="6" width="5.14285714285714" customWidth="1"/>
    <col min="7" max="7" width="11" customWidth="1"/>
    <col min="8" max="8" width="12.7142857142857" customWidth="1"/>
    <col min="9" max="9" width="5.85714285714286" customWidth="1"/>
    <col min="10" max="10" width="6" customWidth="1"/>
    <col min="11" max="11" width="5.85714285714286" customWidth="1"/>
    <col min="12" max="12" width="14.2857142857143" customWidth="1"/>
    <col min="13" max="13" width="9.42857142857143" customWidth="1"/>
    <col min="14" max="14" width="14.4285714285714" customWidth="1"/>
    <col min="15" max="15" width="15.5714285714286" customWidth="1"/>
    <col min="16" max="16" width="14.4285714285714" customWidth="1"/>
    <col min="17" max="17" width="39.4285714285714" customWidth="1"/>
    <col min="18" max="18" width="11.7142857142857" customWidth="1"/>
    <col min="19" max="19" width="11.8571428571429" customWidth="1"/>
    <col min="20" max="20" width="6.42857142857143" customWidth="1"/>
    <col min="21" max="22" width="6.57142857142857" customWidth="1"/>
    <col min="23" max="23" width="37.1428571428571" customWidth="1"/>
    <col min="24" max="25" width="8" customWidth="1"/>
    <col min="26" max="26" width="7.71428571428571" customWidth="1"/>
    <col min="27" max="27" width="6.28571428571429" customWidth="1"/>
    <col min="28" max="28" width="9.28571428571429" customWidth="1"/>
    <col min="29" max="29" width="9.71428571428571" customWidth="1"/>
    <col min="30" max="30" width="12.8571428571429" customWidth="1"/>
    <col min="31" max="31" width="16.1428571428571" customWidth="1"/>
    <col min="32" max="32" width="15.4285714285714" customWidth="1"/>
    <col min="33" max="33" width="24.5714285714286" customWidth="1"/>
    <col min="34" max="34" width="8.57142857142857" customWidth="1"/>
    <col min="35" max="35" width="14.7142857142857" customWidth="1"/>
    <col min="36" max="36" width="18.5714285714286" customWidth="1"/>
    <col min="37" max="37" width="14.1428571428571" customWidth="1"/>
    <col min="38" max="38" width="14.7142857142857" customWidth="1"/>
    <col min="39" max="39" width="17.4285714285714" customWidth="1"/>
    <col min="40" max="40" width="22" customWidth="1"/>
    <col min="41" max="41" width="17.5714285714286" customWidth="1"/>
    <col min="42" max="42" width="25.2857142857143" customWidth="1"/>
    <col min="43" max="43" width="13" customWidth="1"/>
    <col min="44" max="44" width="23.7142857142857" customWidth="1"/>
    <col min="45" max="45" width="10" customWidth="1"/>
    <col min="46" max="46" width="13" customWidth="1"/>
    <col min="47" max="47" width="15.5714285714286" customWidth="1"/>
    <col min="48" max="48" width="21.1428571428571" customWidth="1"/>
    <col min="49" max="49" width="11.5714285714286" customWidth="1"/>
    <col min="50" max="50" width="16.7142857142857" customWidth="1"/>
    <col min="51" max="51" width="14" customWidth="1"/>
    <col min="52" max="52" width="19.4285714285714" customWidth="1"/>
    <col min="53" max="53" width="18.8571428571429" customWidth="1"/>
    <col min="54" max="54" width="23.2857142857143" customWidth="1"/>
    <col min="55" max="55" width="15.5714285714286" customWidth="1"/>
    <col min="56" max="56" width="14.2857142857143" customWidth="1"/>
    <col min="57" max="57" width="17" customWidth="1"/>
    <col min="58" max="58" width="16.2857142857143" customWidth="1"/>
    <col min="59" max="59" width="13.5714285714286" customWidth="1"/>
    <col min="60" max="61" width="12.7142857142857" customWidth="1"/>
    <col min="62" max="62" width="21.8571428571429" customWidth="1"/>
    <col min="63" max="63" width="30.5714285714286" customWidth="1"/>
    <col min="64" max="64" width="10" customWidth="1"/>
    <col min="65" max="65" width="42.5714285714286" customWidth="1"/>
    <col min="66" max="66" width="38.1428571428571" customWidth="1"/>
    <col min="67" max="67" width="19.4285714285714" customWidth="1"/>
    <col min="68" max="68" width="35.4285714285714" customWidth="1"/>
    <col min="69" max="69" width="9.57142857142857" customWidth="1"/>
  </cols>
  <sheetData>
    <row r="1" spans="1:69">
      <c r="A1" s="1" t="s">
        <v>0</v>
      </c>
      <c r="B1" s="2"/>
      <c r="C1" s="2"/>
      <c r="D1" s="2"/>
      <c r="E1" s="2"/>
      <c r="F1" s="2"/>
      <c r="G1" s="2"/>
      <c r="H1" s="1"/>
      <c r="I1" s="10"/>
      <c r="J1" s="10"/>
      <c r="K1" s="10"/>
      <c r="L1" s="10"/>
      <c r="M1" s="10"/>
      <c r="N1" s="10"/>
      <c r="O1" s="10"/>
      <c r="P1" s="10"/>
      <c r="Q1" s="10"/>
      <c r="R1" s="1"/>
      <c r="S1" s="1"/>
      <c r="T1" s="1"/>
      <c r="U1" s="1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23"/>
      <c r="BQ1" s="23"/>
    </row>
    <row r="2" spans="1:69">
      <c r="A2" s="3" t="s">
        <v>1</v>
      </c>
      <c r="B2" s="3"/>
      <c r="C2" s="24">
        <v>2</v>
      </c>
      <c r="D2" s="4" t="s">
        <v>2</v>
      </c>
      <c r="E2" s="24"/>
      <c r="F2" s="24"/>
      <c r="G2" s="24"/>
      <c r="H2" s="25"/>
      <c r="I2" s="27" t="s">
        <v>3</v>
      </c>
      <c r="J2" s="27" t="s">
        <v>4</v>
      </c>
      <c r="K2" s="27"/>
      <c r="L2" s="27" t="s">
        <v>5</v>
      </c>
      <c r="M2" s="27">
        <v>1</v>
      </c>
      <c r="N2" s="27"/>
      <c r="O2" s="27" t="s">
        <v>6</v>
      </c>
      <c r="P2" s="27">
        <v>2</v>
      </c>
      <c r="Q2" s="27" t="s">
        <v>7</v>
      </c>
      <c r="R2" s="25"/>
      <c r="S2" s="25"/>
      <c r="T2" s="25"/>
      <c r="U2" s="25"/>
      <c r="V2" s="25">
        <v>1</v>
      </c>
      <c r="W2" s="25" t="s">
        <v>8</v>
      </c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  <c r="AR2" s="27"/>
      <c r="AS2" s="27"/>
      <c r="AT2" s="27"/>
      <c r="AU2" s="27"/>
      <c r="AV2" s="27"/>
      <c r="AW2" s="27"/>
      <c r="AX2" s="27"/>
      <c r="AY2" s="27"/>
      <c r="AZ2" s="27"/>
      <c r="BA2" s="27"/>
      <c r="BB2" s="27"/>
      <c r="BC2" s="27"/>
      <c r="BD2" s="27"/>
      <c r="BE2" s="27"/>
      <c r="BF2" s="27"/>
      <c r="BG2" s="27"/>
      <c r="BH2" s="27"/>
      <c r="BI2" s="27"/>
      <c r="BJ2" s="27"/>
      <c r="BK2" s="27"/>
      <c r="BL2" s="27"/>
      <c r="BM2" s="27"/>
      <c r="BN2" s="27"/>
      <c r="BO2" s="27"/>
      <c r="BP2" s="29"/>
      <c r="BQ2" s="29"/>
    </row>
    <row r="3" ht="15.75" spans="1:69">
      <c r="A3" s="26" t="s">
        <v>9</v>
      </c>
      <c r="B3" s="26" t="s">
        <v>10</v>
      </c>
      <c r="C3" s="26" t="s">
        <v>11</v>
      </c>
      <c r="D3" s="26" t="s">
        <v>12</v>
      </c>
      <c r="E3" s="26" t="s">
        <v>13</v>
      </c>
      <c r="F3" s="26" t="s">
        <v>14</v>
      </c>
      <c r="G3" s="26" t="s">
        <v>15</v>
      </c>
      <c r="H3" s="26" t="s">
        <v>16</v>
      </c>
      <c r="I3" s="32" t="s">
        <v>17</v>
      </c>
      <c r="J3" s="32" t="s">
        <v>19</v>
      </c>
      <c r="K3" s="32" t="s">
        <v>18</v>
      </c>
      <c r="L3" s="33" t="s">
        <v>20</v>
      </c>
      <c r="M3" s="33" t="s">
        <v>21</v>
      </c>
      <c r="N3" s="33" t="s">
        <v>24</v>
      </c>
      <c r="O3" s="33" t="s">
        <v>25</v>
      </c>
      <c r="P3" s="33" t="s">
        <v>95</v>
      </c>
      <c r="Q3" s="33" t="s">
        <v>23</v>
      </c>
      <c r="R3" s="32" t="s">
        <v>26</v>
      </c>
      <c r="S3" s="26" t="s">
        <v>96</v>
      </c>
      <c r="T3" s="26" t="s">
        <v>28</v>
      </c>
      <c r="U3" s="34" t="s">
        <v>97</v>
      </c>
      <c r="V3" s="34" t="s">
        <v>30</v>
      </c>
      <c r="W3" s="34" t="s">
        <v>31</v>
      </c>
      <c r="X3" s="34" t="s">
        <v>32</v>
      </c>
      <c r="Y3" s="34" t="s">
        <v>33</v>
      </c>
      <c r="Z3" s="34" t="s">
        <v>34</v>
      </c>
      <c r="AA3" s="34" t="s">
        <v>35</v>
      </c>
      <c r="AB3" s="34" t="s">
        <v>36</v>
      </c>
      <c r="AC3" s="35" t="s">
        <v>37</v>
      </c>
      <c r="AD3" s="35" t="s">
        <v>38</v>
      </c>
      <c r="AE3" s="35" t="s">
        <v>39</v>
      </c>
      <c r="AF3" s="35" t="s">
        <v>40</v>
      </c>
      <c r="AG3" s="35" t="s">
        <v>41</v>
      </c>
      <c r="AH3" s="35" t="s">
        <v>42</v>
      </c>
      <c r="AI3" s="35" t="s">
        <v>43</v>
      </c>
      <c r="AJ3" s="35" t="s">
        <v>44</v>
      </c>
      <c r="AK3" s="35" t="s">
        <v>45</v>
      </c>
      <c r="AL3" s="35" t="s">
        <v>46</v>
      </c>
      <c r="AM3" s="35" t="s">
        <v>47</v>
      </c>
      <c r="AN3" s="35" t="s">
        <v>48</v>
      </c>
      <c r="AO3" s="35" t="s">
        <v>49</v>
      </c>
      <c r="AP3" s="35" t="s">
        <v>50</v>
      </c>
      <c r="AQ3" s="35" t="s">
        <v>51</v>
      </c>
      <c r="AR3" s="37" t="s">
        <v>98</v>
      </c>
      <c r="AS3" s="26" t="s">
        <v>53</v>
      </c>
      <c r="AT3" s="26" t="s">
        <v>51</v>
      </c>
      <c r="AU3" s="38" t="s">
        <v>54</v>
      </c>
      <c r="AV3" s="38" t="s">
        <v>55</v>
      </c>
      <c r="AW3" s="38" t="s">
        <v>56</v>
      </c>
      <c r="AX3" s="38" t="s">
        <v>57</v>
      </c>
      <c r="AY3" s="38" t="s">
        <v>58</v>
      </c>
      <c r="AZ3" s="38" t="s">
        <v>59</v>
      </c>
      <c r="BA3" s="38" t="s">
        <v>60</v>
      </c>
      <c r="BB3" s="38" t="s">
        <v>61</v>
      </c>
      <c r="BC3" s="38" t="s">
        <v>62</v>
      </c>
      <c r="BD3" s="38" t="s">
        <v>63</v>
      </c>
      <c r="BE3" s="38" t="s">
        <v>64</v>
      </c>
      <c r="BF3" s="38" t="s">
        <v>65</v>
      </c>
      <c r="BG3" s="38" t="s">
        <v>66</v>
      </c>
      <c r="BH3" s="38" t="s">
        <v>67</v>
      </c>
      <c r="BI3" s="38" t="s">
        <v>68</v>
      </c>
      <c r="BJ3" s="38" t="s">
        <v>69</v>
      </c>
      <c r="BK3" s="38" t="s">
        <v>70</v>
      </c>
      <c r="BL3" s="38" t="s">
        <v>71</v>
      </c>
      <c r="BM3" s="38" t="s">
        <v>72</v>
      </c>
      <c r="BN3" s="38" t="s">
        <v>73</v>
      </c>
      <c r="BO3" s="38" t="s">
        <v>59</v>
      </c>
      <c r="BP3" s="38" t="s">
        <v>74</v>
      </c>
      <c r="BQ3" s="38" t="s">
        <v>28</v>
      </c>
    </row>
    <row r="4" ht="15.75" spans="1:69">
      <c r="A4" s="27">
        <v>1</v>
      </c>
      <c r="B4" s="27" t="s">
        <v>142</v>
      </c>
      <c r="C4" s="27" t="s">
        <v>142</v>
      </c>
      <c r="D4" s="27" t="s">
        <v>76</v>
      </c>
      <c r="E4" s="27" t="s">
        <v>76</v>
      </c>
      <c r="F4" s="28">
        <v>4</v>
      </c>
      <c r="G4" s="28">
        <v>100</v>
      </c>
      <c r="H4" s="28">
        <f>F4*G4</f>
        <v>400</v>
      </c>
      <c r="I4" s="29" t="s">
        <v>102</v>
      </c>
      <c r="J4" s="28">
        <v>2</v>
      </c>
      <c r="K4" s="28">
        <v>2</v>
      </c>
      <c r="L4" s="28">
        <f>H4</f>
        <v>400</v>
      </c>
      <c r="M4" s="28">
        <f>ROUND(L4*I4%,2)</f>
        <v>8</v>
      </c>
      <c r="N4" s="28">
        <f>H4-M4</f>
        <v>392</v>
      </c>
      <c r="O4" s="28">
        <f>ROUND(N4*J4%,2)</f>
        <v>7.84</v>
      </c>
      <c r="P4" s="28">
        <f>ROUND(N4-O4,2)</f>
        <v>384.16</v>
      </c>
      <c r="Q4" s="28">
        <f>ROUND(P4*K4%,2)</f>
        <v>7.68</v>
      </c>
      <c r="R4" s="28">
        <f>M4+O4+Q4</f>
        <v>23.52</v>
      </c>
      <c r="S4" s="28">
        <f>(H4-R4)</f>
        <v>376.48</v>
      </c>
      <c r="T4" s="28" t="s">
        <v>77</v>
      </c>
      <c r="U4" s="15">
        <v>18</v>
      </c>
      <c r="V4" s="15">
        <f>IF(OR($C$2=1,$C$2=4),ROUND((((S4*U4)/100)/2),2),0)</f>
        <v>0</v>
      </c>
      <c r="W4" s="15">
        <f>IF($C$2=1,ROUND((((S4*U4)/100)/2),2),0)</f>
        <v>0</v>
      </c>
      <c r="X4" s="15">
        <f>IF($C$2=2,ROUND(((S4*U4)/100),2),0)</f>
        <v>67.77</v>
      </c>
      <c r="Y4" s="15">
        <f>IF($C$2=4,ROUND((((S4*U4)/100)/2),2),0)</f>
        <v>0</v>
      </c>
      <c r="Z4" s="15">
        <v>0</v>
      </c>
      <c r="AA4" s="15">
        <f>IF($C2=3,0,(S4*Z4)/100)</f>
        <v>0</v>
      </c>
      <c r="AB4" s="15">
        <f>V4+W4+X4+Y4+AA4</f>
        <v>67.77</v>
      </c>
      <c r="AC4" s="28">
        <f>IF($V2=1,S4+AB4,S4)</f>
        <v>444.25</v>
      </c>
      <c r="AD4" s="28">
        <v>120</v>
      </c>
      <c r="AE4" s="28">
        <f>IF($P$2=1,(S4/$S$4)*$E$35,AD4/$AD$4*$E$35)</f>
        <v>0</v>
      </c>
      <c r="AF4" s="28"/>
      <c r="AG4" s="28">
        <f>IF($P$2=1,(S4/$S$4)*$E$37,AD4/$AD$4*$E$37)</f>
        <v>0</v>
      </c>
      <c r="AH4" s="28">
        <f>IF($P$2=1,(S4/$S$4)*$E$37,AD4/$AD$4*$E$37)</f>
        <v>0</v>
      </c>
      <c r="AI4" s="28">
        <f>S4*$M$21</f>
        <v>0</v>
      </c>
      <c r="AJ4" s="28">
        <f>IF($C$2=3,0,AG4+AH4)</f>
        <v>0</v>
      </c>
      <c r="AK4" s="28">
        <f>IF($C$2=3,AE4+AG4+AH4,0)</f>
        <v>0</v>
      </c>
      <c r="AL4" s="28">
        <v>1</v>
      </c>
      <c r="AM4" s="28">
        <f>F4/AL4</f>
        <v>4</v>
      </c>
      <c r="AN4" s="28">
        <f>AI4/AM4</f>
        <v>0</v>
      </c>
      <c r="AO4" s="28">
        <f>AJ4/AM4</f>
        <v>0</v>
      </c>
      <c r="AP4" s="28">
        <f>AK4/AM4</f>
        <v>0</v>
      </c>
      <c r="AQ4" s="28" t="s">
        <v>76</v>
      </c>
      <c r="AR4" s="28">
        <f>AN4+AO4+AP4</f>
        <v>0</v>
      </c>
      <c r="AS4" s="28" t="s">
        <v>78</v>
      </c>
      <c r="AT4" s="28" t="s">
        <v>76</v>
      </c>
      <c r="AU4" t="s">
        <v>143</v>
      </c>
      <c r="AV4" t="s">
        <v>144</v>
      </c>
      <c r="AW4" s="28">
        <f>AM4</f>
        <v>4</v>
      </c>
      <c r="AX4" s="28">
        <f>AR4</f>
        <v>0</v>
      </c>
      <c r="AY4" s="28">
        <f>AU4+AW4</f>
        <v>4</v>
      </c>
      <c r="AZ4" s="28">
        <f>ROUND(((AU4*AV4)+(AW4*AX4))/(AU4+AW4),5)</f>
        <v>0</v>
      </c>
      <c r="BA4" s="39"/>
      <c r="BB4" s="39" t="s">
        <v>81</v>
      </c>
      <c r="BC4" s="39" t="s">
        <v>82</v>
      </c>
      <c r="BD4" s="40" t="s">
        <v>83</v>
      </c>
      <c r="BE4" s="40" t="s">
        <v>84</v>
      </c>
      <c r="BF4" s="39"/>
      <c r="BG4" s="39"/>
      <c r="BH4" s="39"/>
      <c r="BI4" s="28"/>
      <c r="BJ4" s="28"/>
      <c r="BK4" s="28"/>
      <c r="BL4" s="41" t="s">
        <v>85</v>
      </c>
      <c r="BM4" t="s">
        <v>145</v>
      </c>
      <c r="BN4" t="s">
        <v>146</v>
      </c>
      <c r="BO4" s="28">
        <f>ROUND((((AW4*AZ4)+(BN4*BM4))/(AW4+BN4)),5)</f>
        <v>0</v>
      </c>
      <c r="BP4" s="39">
        <f>BN4+AW4</f>
        <v>4</v>
      </c>
      <c r="BQ4" s="42">
        <v>88363222</v>
      </c>
    </row>
    <row r="5" spans="1:69">
      <c r="A5" s="27"/>
      <c r="B5" s="29"/>
      <c r="C5" s="29"/>
      <c r="D5" s="30" t="s">
        <v>88</v>
      </c>
      <c r="E5" s="30"/>
      <c r="F5" s="30"/>
      <c r="G5" s="30"/>
      <c r="H5" s="31">
        <f>SUM(H4:H4)</f>
        <v>400</v>
      </c>
      <c r="I5" s="27"/>
      <c r="J5" s="27"/>
      <c r="K5" s="27"/>
      <c r="L5" s="27"/>
      <c r="M5" s="27"/>
      <c r="N5" s="27"/>
      <c r="O5" s="27"/>
      <c r="P5" s="27"/>
      <c r="Q5" s="27"/>
      <c r="R5" s="31">
        <f t="shared" ref="R5:X5" si="0">SUM(R4:R4)</f>
        <v>23.52</v>
      </c>
      <c r="S5" s="31">
        <f t="shared" si="0"/>
        <v>376.48</v>
      </c>
      <c r="T5" s="30"/>
      <c r="U5" s="30"/>
      <c r="V5" s="31">
        <f t="shared" si="0"/>
        <v>0</v>
      </c>
      <c r="W5" s="31">
        <f t="shared" si="0"/>
        <v>0</v>
      </c>
      <c r="X5" s="31">
        <f t="shared" si="0"/>
        <v>67.77</v>
      </c>
      <c r="Y5" s="43"/>
      <c r="Z5" s="43"/>
      <c r="AA5" s="43"/>
      <c r="AB5" s="31">
        <f t="shared" ref="AB5:AE5" si="1">SUM(AB4:AB4)</f>
        <v>67.77</v>
      </c>
      <c r="AC5" s="31">
        <f t="shared" si="1"/>
        <v>444.25</v>
      </c>
      <c r="AD5" s="31">
        <f t="shared" si="1"/>
        <v>120</v>
      </c>
      <c r="AE5" s="31">
        <f t="shared" si="1"/>
        <v>0</v>
      </c>
      <c r="AF5" s="36"/>
      <c r="AG5" s="31">
        <f t="shared" ref="AG5:AK5" si="2">SUM(AG4:AG4)</f>
        <v>0</v>
      </c>
      <c r="AH5" s="31">
        <f t="shared" si="2"/>
        <v>0</v>
      </c>
      <c r="AI5" s="31">
        <f t="shared" si="2"/>
        <v>0</v>
      </c>
      <c r="AJ5" s="31">
        <f t="shared" si="2"/>
        <v>0</v>
      </c>
      <c r="AK5" s="31">
        <f t="shared" si="2"/>
        <v>0</v>
      </c>
      <c r="AL5" s="36"/>
      <c r="AM5" s="36"/>
      <c r="AN5" s="36"/>
      <c r="AO5" s="36"/>
      <c r="AP5" s="36"/>
      <c r="AQ5" s="36"/>
      <c r="AR5" s="36"/>
      <c r="AS5" s="27"/>
      <c r="AT5" s="27"/>
      <c r="AU5" s="29"/>
      <c r="AV5" s="29"/>
      <c r="AW5" s="27"/>
      <c r="AX5" s="27"/>
      <c r="AY5" s="27"/>
      <c r="AZ5" s="27"/>
      <c r="BA5" s="27"/>
      <c r="BB5" s="27"/>
      <c r="BC5" s="27"/>
      <c r="BD5" s="27"/>
      <c r="BE5" s="27"/>
      <c r="BF5" s="27"/>
      <c r="BG5" s="27"/>
      <c r="BH5" s="27"/>
      <c r="BI5" s="27"/>
      <c r="BJ5" s="27"/>
      <c r="BK5" s="27"/>
      <c r="BL5" s="27"/>
      <c r="BM5" s="27"/>
      <c r="BN5" s="27"/>
      <c r="BO5" s="27"/>
      <c r="BP5" s="29"/>
      <c r="BQ5" s="29"/>
    </row>
  </sheetData>
  <mergeCells count="1">
    <mergeCell ref="A2:B2"/>
  </mergeCells>
  <pageMargins left="0.75" right="0.75" top="1" bottom="1" header="0.5" footer="0.5"/>
  <headerFooter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Q5"/>
  <sheetViews>
    <sheetView topLeftCell="O1" workbookViewId="0">
      <selection activeCell="U4" sqref="U4:AB4"/>
    </sheetView>
  </sheetViews>
  <sheetFormatPr defaultColWidth="8.7047619047619" defaultRowHeight="15" outlineLevelRow="4"/>
  <cols>
    <col min="1" max="1" width="5.14285714285714" customWidth="1"/>
    <col min="2" max="3" width="28" customWidth="1"/>
    <col min="4" max="4" width="79.4285714285714" customWidth="1"/>
    <col min="5" max="5" width="11.5714285714286" customWidth="1"/>
    <col min="6" max="6" width="5.14285714285714" customWidth="1"/>
    <col min="7" max="7" width="11" customWidth="1"/>
    <col min="8" max="8" width="12.7142857142857" customWidth="1"/>
    <col min="9" max="9" width="5.85714285714286" customWidth="1"/>
    <col min="10" max="10" width="6" customWidth="1"/>
    <col min="11" max="11" width="5.85714285714286" customWidth="1"/>
    <col min="12" max="12" width="14.2857142857143" customWidth="1"/>
    <col min="13" max="13" width="9.42857142857143" customWidth="1"/>
    <col min="14" max="14" width="14.4285714285714" customWidth="1"/>
    <col min="15" max="15" width="15.5714285714286" customWidth="1"/>
    <col min="16" max="16" width="14.4285714285714" customWidth="1"/>
    <col min="17" max="17" width="39.4285714285714" customWidth="1"/>
    <col min="18" max="18" width="11.7142857142857" customWidth="1"/>
    <col min="19" max="19" width="11.8571428571429" customWidth="1"/>
    <col min="20" max="20" width="6.42857142857143" customWidth="1"/>
    <col min="21" max="22" width="6.57142857142857" customWidth="1"/>
    <col min="23" max="23" width="37.1428571428571" customWidth="1"/>
    <col min="24" max="25" width="8" customWidth="1"/>
    <col min="26" max="26" width="7.71428571428571" customWidth="1"/>
    <col min="27" max="27" width="6.28571428571429" customWidth="1"/>
    <col min="28" max="28" width="9.28571428571429" customWidth="1"/>
    <col min="29" max="29" width="9.71428571428571" customWidth="1"/>
    <col min="30" max="30" width="12.8571428571429" customWidth="1"/>
    <col min="31" max="31" width="16.1428571428571" customWidth="1"/>
    <col min="32" max="32" width="15.4285714285714" customWidth="1"/>
    <col min="33" max="33" width="24.5714285714286" customWidth="1"/>
    <col min="34" max="34" width="8.57142857142857" customWidth="1"/>
    <col min="35" max="35" width="14.7142857142857" customWidth="1"/>
    <col min="36" max="36" width="18.5714285714286" customWidth="1"/>
    <col min="37" max="37" width="14.1428571428571" customWidth="1"/>
    <col min="38" max="38" width="14.7142857142857" customWidth="1"/>
    <col min="39" max="39" width="17.4285714285714" customWidth="1"/>
    <col min="40" max="40" width="22" customWidth="1"/>
    <col min="41" max="41" width="17.5714285714286" customWidth="1"/>
    <col min="42" max="42" width="25.2857142857143" customWidth="1"/>
    <col min="43" max="43" width="13" customWidth="1"/>
    <col min="44" max="44" width="23.7142857142857" customWidth="1"/>
    <col min="45" max="45" width="10" customWidth="1"/>
    <col min="46" max="46" width="13" customWidth="1"/>
    <col min="47" max="47" width="15.5714285714286" customWidth="1"/>
    <col min="48" max="48" width="21.1428571428571" customWidth="1"/>
    <col min="49" max="49" width="11.5714285714286" customWidth="1"/>
    <col min="50" max="50" width="16.7142857142857" customWidth="1"/>
    <col min="51" max="51" width="14" customWidth="1"/>
    <col min="52" max="52" width="19.4285714285714" customWidth="1"/>
    <col min="53" max="53" width="18.8571428571429" customWidth="1"/>
    <col min="54" max="54" width="23.2857142857143" customWidth="1"/>
    <col min="55" max="55" width="15.5714285714286" customWidth="1"/>
    <col min="56" max="56" width="14.2857142857143" customWidth="1"/>
    <col min="57" max="57" width="17" customWidth="1"/>
    <col min="58" max="58" width="16.2857142857143" customWidth="1"/>
    <col min="59" max="59" width="13.5714285714286" customWidth="1"/>
    <col min="60" max="61" width="12.7142857142857" customWidth="1"/>
    <col min="62" max="62" width="21.8571428571429" customWidth="1"/>
    <col min="63" max="63" width="30.5714285714286" customWidth="1"/>
    <col min="64" max="64" width="10" customWidth="1"/>
    <col min="65" max="65" width="42.5714285714286" customWidth="1"/>
    <col min="66" max="66" width="38.1428571428571" customWidth="1"/>
    <col min="67" max="67" width="19.4285714285714" customWidth="1"/>
    <col min="68" max="68" width="35.4285714285714" customWidth="1"/>
    <col min="69" max="69" width="9.57142857142857" customWidth="1"/>
  </cols>
  <sheetData>
    <row r="1" spans="1:69">
      <c r="A1" s="1" t="s">
        <v>0</v>
      </c>
      <c r="B1" s="2"/>
      <c r="C1" s="2"/>
      <c r="D1" s="2"/>
      <c r="E1" s="2"/>
      <c r="F1" s="2"/>
      <c r="G1" s="2"/>
      <c r="H1" s="1"/>
      <c r="I1" s="10"/>
      <c r="J1" s="10"/>
      <c r="K1" s="10"/>
      <c r="L1" s="10"/>
      <c r="M1" s="10"/>
      <c r="N1" s="10"/>
      <c r="O1" s="10"/>
      <c r="P1" s="10"/>
      <c r="Q1" s="10"/>
      <c r="R1" s="1"/>
      <c r="S1" s="1"/>
      <c r="T1" s="1"/>
      <c r="U1" s="1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23"/>
      <c r="BQ1" s="23"/>
    </row>
    <row r="2" spans="1:69">
      <c r="A2" s="3" t="s">
        <v>1</v>
      </c>
      <c r="B2" s="3"/>
      <c r="C2" s="24">
        <v>2</v>
      </c>
      <c r="D2" s="4" t="s">
        <v>2</v>
      </c>
      <c r="E2" s="24"/>
      <c r="F2" s="24"/>
      <c r="G2" s="24"/>
      <c r="H2" s="25"/>
      <c r="I2" s="27" t="s">
        <v>3</v>
      </c>
      <c r="J2" s="27" t="s">
        <v>4</v>
      </c>
      <c r="K2" s="27"/>
      <c r="L2" s="27" t="s">
        <v>5</v>
      </c>
      <c r="M2" s="27">
        <v>1</v>
      </c>
      <c r="N2" s="27"/>
      <c r="O2" s="27" t="s">
        <v>6</v>
      </c>
      <c r="P2" s="27">
        <v>2</v>
      </c>
      <c r="Q2" s="27" t="s">
        <v>7</v>
      </c>
      <c r="R2" s="25"/>
      <c r="S2" s="25"/>
      <c r="T2" s="25"/>
      <c r="U2" s="25"/>
      <c r="V2" s="25">
        <v>1</v>
      </c>
      <c r="W2" s="25" t="s">
        <v>8</v>
      </c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  <c r="AR2" s="27"/>
      <c r="AS2" s="27"/>
      <c r="AT2" s="27"/>
      <c r="AU2" s="27"/>
      <c r="AV2" s="27"/>
      <c r="AW2" s="27"/>
      <c r="AX2" s="27"/>
      <c r="AY2" s="27"/>
      <c r="AZ2" s="27"/>
      <c r="BA2" s="27"/>
      <c r="BB2" s="27"/>
      <c r="BC2" s="27"/>
      <c r="BD2" s="27"/>
      <c r="BE2" s="27"/>
      <c r="BF2" s="27"/>
      <c r="BG2" s="27"/>
      <c r="BH2" s="27"/>
      <c r="BI2" s="27"/>
      <c r="BJ2" s="27"/>
      <c r="BK2" s="27"/>
      <c r="BL2" s="27"/>
      <c r="BM2" s="27"/>
      <c r="BN2" s="27"/>
      <c r="BO2" s="27"/>
      <c r="BP2" s="29"/>
      <c r="BQ2" s="29"/>
    </row>
    <row r="3" ht="15.75" spans="1:69">
      <c r="A3" s="26" t="s">
        <v>9</v>
      </c>
      <c r="B3" s="26" t="s">
        <v>10</v>
      </c>
      <c r="C3" s="26" t="s">
        <v>11</v>
      </c>
      <c r="D3" s="26" t="s">
        <v>12</v>
      </c>
      <c r="E3" s="26" t="s">
        <v>13</v>
      </c>
      <c r="F3" s="26" t="s">
        <v>14</v>
      </c>
      <c r="G3" s="26" t="s">
        <v>15</v>
      </c>
      <c r="H3" s="26" t="s">
        <v>16</v>
      </c>
      <c r="I3" s="32" t="s">
        <v>17</v>
      </c>
      <c r="J3" s="32" t="s">
        <v>19</v>
      </c>
      <c r="K3" s="32" t="s">
        <v>18</v>
      </c>
      <c r="L3" s="33" t="s">
        <v>20</v>
      </c>
      <c r="M3" s="33" t="s">
        <v>21</v>
      </c>
      <c r="N3" s="33" t="s">
        <v>24</v>
      </c>
      <c r="O3" s="33" t="s">
        <v>25</v>
      </c>
      <c r="P3" s="33" t="s">
        <v>95</v>
      </c>
      <c r="Q3" s="33" t="s">
        <v>23</v>
      </c>
      <c r="R3" s="32" t="s">
        <v>26</v>
      </c>
      <c r="S3" s="26" t="s">
        <v>96</v>
      </c>
      <c r="T3" s="26" t="s">
        <v>28</v>
      </c>
      <c r="U3" s="34" t="s">
        <v>97</v>
      </c>
      <c r="V3" s="34" t="s">
        <v>30</v>
      </c>
      <c r="W3" s="34" t="s">
        <v>31</v>
      </c>
      <c r="X3" s="34" t="s">
        <v>32</v>
      </c>
      <c r="Y3" s="34" t="s">
        <v>33</v>
      </c>
      <c r="Z3" s="34" t="s">
        <v>34</v>
      </c>
      <c r="AA3" s="34" t="s">
        <v>35</v>
      </c>
      <c r="AB3" s="34" t="s">
        <v>36</v>
      </c>
      <c r="AC3" s="35" t="s">
        <v>37</v>
      </c>
      <c r="AD3" s="35" t="s">
        <v>38</v>
      </c>
      <c r="AE3" s="35" t="s">
        <v>39</v>
      </c>
      <c r="AF3" s="35" t="s">
        <v>40</v>
      </c>
      <c r="AG3" s="35" t="s">
        <v>41</v>
      </c>
      <c r="AH3" s="35" t="s">
        <v>42</v>
      </c>
      <c r="AI3" s="35" t="s">
        <v>43</v>
      </c>
      <c r="AJ3" s="35" t="s">
        <v>44</v>
      </c>
      <c r="AK3" s="35" t="s">
        <v>45</v>
      </c>
      <c r="AL3" s="35" t="s">
        <v>46</v>
      </c>
      <c r="AM3" s="35" t="s">
        <v>47</v>
      </c>
      <c r="AN3" s="35" t="s">
        <v>48</v>
      </c>
      <c r="AO3" s="35" t="s">
        <v>49</v>
      </c>
      <c r="AP3" s="35" t="s">
        <v>50</v>
      </c>
      <c r="AQ3" s="35" t="s">
        <v>51</v>
      </c>
      <c r="AR3" s="37" t="s">
        <v>98</v>
      </c>
      <c r="AS3" s="26" t="s">
        <v>53</v>
      </c>
      <c r="AT3" s="26" t="s">
        <v>51</v>
      </c>
      <c r="AU3" s="38" t="s">
        <v>54</v>
      </c>
      <c r="AV3" s="38" t="s">
        <v>55</v>
      </c>
      <c r="AW3" s="38" t="s">
        <v>56</v>
      </c>
      <c r="AX3" s="38" t="s">
        <v>57</v>
      </c>
      <c r="AY3" s="38" t="s">
        <v>58</v>
      </c>
      <c r="AZ3" s="38" t="s">
        <v>59</v>
      </c>
      <c r="BA3" s="38" t="s">
        <v>60</v>
      </c>
      <c r="BB3" s="38" t="s">
        <v>61</v>
      </c>
      <c r="BC3" s="38" t="s">
        <v>62</v>
      </c>
      <c r="BD3" s="38" t="s">
        <v>63</v>
      </c>
      <c r="BE3" s="38" t="s">
        <v>64</v>
      </c>
      <c r="BF3" s="38" t="s">
        <v>65</v>
      </c>
      <c r="BG3" s="38" t="s">
        <v>66</v>
      </c>
      <c r="BH3" s="38" t="s">
        <v>67</v>
      </c>
      <c r="BI3" s="38" t="s">
        <v>68</v>
      </c>
      <c r="BJ3" s="38" t="s">
        <v>69</v>
      </c>
      <c r="BK3" s="38" t="s">
        <v>70</v>
      </c>
      <c r="BL3" s="38" t="s">
        <v>71</v>
      </c>
      <c r="BM3" s="38" t="s">
        <v>72</v>
      </c>
      <c r="BN3" s="38" t="s">
        <v>73</v>
      </c>
      <c r="BO3" s="38" t="s">
        <v>59</v>
      </c>
      <c r="BP3" s="38" t="s">
        <v>74</v>
      </c>
      <c r="BQ3" s="38" t="s">
        <v>28</v>
      </c>
    </row>
    <row r="4" ht="15.75" spans="1:69">
      <c r="A4" s="27">
        <v>1</v>
      </c>
      <c r="B4" s="27" t="s">
        <v>147</v>
      </c>
      <c r="C4" s="27" t="s">
        <v>147</v>
      </c>
      <c r="D4" s="27" t="s">
        <v>76</v>
      </c>
      <c r="E4" s="27" t="s">
        <v>76</v>
      </c>
      <c r="F4" s="28">
        <v>4</v>
      </c>
      <c r="G4" s="28">
        <v>100</v>
      </c>
      <c r="H4" s="28">
        <f>F4*G4</f>
        <v>400</v>
      </c>
      <c r="I4" s="29" t="s">
        <v>102</v>
      </c>
      <c r="J4" s="28">
        <v>2</v>
      </c>
      <c r="K4" s="28">
        <v>2</v>
      </c>
      <c r="L4" s="28">
        <f>H4</f>
        <v>400</v>
      </c>
      <c r="M4" s="28">
        <f>ROUND(L4*I4%,2)</f>
        <v>8</v>
      </c>
      <c r="N4" s="28">
        <f>H4-M4</f>
        <v>392</v>
      </c>
      <c r="O4" s="28">
        <f>ROUND(N4*J4%,2)</f>
        <v>7.84</v>
      </c>
      <c r="P4" s="28">
        <f>ROUND(N4-O4,2)</f>
        <v>384.16</v>
      </c>
      <c r="Q4" s="28">
        <f>ROUND(P4*K4%,2)</f>
        <v>7.68</v>
      </c>
      <c r="R4" s="28">
        <f>M4+O4+Q4</f>
        <v>23.52</v>
      </c>
      <c r="S4" s="28">
        <f>(H4-R4)</f>
        <v>376.48</v>
      </c>
      <c r="T4" s="28" t="s">
        <v>77</v>
      </c>
      <c r="U4" s="15">
        <v>18</v>
      </c>
      <c r="V4" s="15">
        <f>IF(OR($C$2=1,$C$2=4),ROUND((((S4*U4)/100)/2),2),0)</f>
        <v>0</v>
      </c>
      <c r="W4" s="15">
        <f>IF($C$2=1,ROUND((((S4*U4)/100)/2),2),0)</f>
        <v>0</v>
      </c>
      <c r="X4" s="15">
        <f>IF($C$2=2,ROUND(((S4*U4)/100),2),0)</f>
        <v>67.77</v>
      </c>
      <c r="Y4" s="15">
        <f>IF($C$2=4,ROUND((((S4*U4)/100)/2),2),0)</f>
        <v>0</v>
      </c>
      <c r="Z4" s="15">
        <v>0</v>
      </c>
      <c r="AA4" s="15">
        <f>IF($C2=3,0,(S4*Z4)/100)</f>
        <v>0</v>
      </c>
      <c r="AB4" s="15">
        <f>V4+W4+X4+Y4+AA4</f>
        <v>67.77</v>
      </c>
      <c r="AC4" s="28">
        <f>IF($V2=1,S4+AB4,S4)</f>
        <v>444.25</v>
      </c>
      <c r="AD4" s="28">
        <v>120</v>
      </c>
      <c r="AE4" s="28">
        <f>IF($P$2=1,(S4/$S$4)*$E$35,AD4/$AD$4*$E$35)</f>
        <v>0</v>
      </c>
      <c r="AF4" s="28"/>
      <c r="AG4" s="28">
        <f>IF($P$2=1,(S4/$S$4)*$E$37,AD4/$AD$4*$E$37)</f>
        <v>0</v>
      </c>
      <c r="AH4" s="28">
        <f>IF($P$2=1,(S4/$S$4)*$E$37,AD4/$AD$4*$E$37)</f>
        <v>0</v>
      </c>
      <c r="AI4" s="28">
        <f>S4*$M$21</f>
        <v>0</v>
      </c>
      <c r="AJ4" s="28">
        <f>IF($C$2=3,0,AG4+AH4)</f>
        <v>0</v>
      </c>
      <c r="AK4" s="28">
        <f>IF($C$2=3,AE4+AG4+AH4,0)</f>
        <v>0</v>
      </c>
      <c r="AL4" s="28">
        <v>1</v>
      </c>
      <c r="AM4" s="28">
        <f>F4/AL4</f>
        <v>4</v>
      </c>
      <c r="AN4" s="28">
        <f>AI4/AM4</f>
        <v>0</v>
      </c>
      <c r="AO4" s="28">
        <f>AJ4/AM4</f>
        <v>0</v>
      </c>
      <c r="AP4" s="28">
        <f>AK4/AM4</f>
        <v>0</v>
      </c>
      <c r="AQ4" s="28" t="s">
        <v>76</v>
      </c>
      <c r="AR4" s="28">
        <f>AN4+AO4+AP4</f>
        <v>0</v>
      </c>
      <c r="AS4" s="28" t="s">
        <v>78</v>
      </c>
      <c r="AT4" s="28" t="s">
        <v>76</v>
      </c>
      <c r="AU4" t="s">
        <v>148</v>
      </c>
      <c r="AV4" t="s">
        <v>149</v>
      </c>
      <c r="AW4" s="28">
        <f>AM4</f>
        <v>4</v>
      </c>
      <c r="AX4" s="28">
        <f>AR4</f>
        <v>0</v>
      </c>
      <c r="AY4" s="28">
        <f>AU4+AW4</f>
        <v>4</v>
      </c>
      <c r="AZ4" s="28">
        <f>ROUND(((AU4*AV4)+(AW4*AX4))/(AU4+AW4),5)</f>
        <v>0</v>
      </c>
      <c r="BA4" s="39"/>
      <c r="BB4" s="39" t="s">
        <v>81</v>
      </c>
      <c r="BC4" s="39" t="s">
        <v>82</v>
      </c>
      <c r="BD4" s="40" t="s">
        <v>83</v>
      </c>
      <c r="BE4" s="40" t="s">
        <v>84</v>
      </c>
      <c r="BF4" s="39"/>
      <c r="BG4" s="39"/>
      <c r="BH4" s="39"/>
      <c r="BI4" s="28"/>
      <c r="BJ4" s="28"/>
      <c r="BK4" s="28"/>
      <c r="BL4" s="41" t="s">
        <v>85</v>
      </c>
      <c r="BM4" t="s">
        <v>150</v>
      </c>
      <c r="BN4" t="s">
        <v>151</v>
      </c>
      <c r="BO4" s="28">
        <f>ROUND((((AW4*AZ4)+(BN4*BM4))/(AW4+BN4)),5)</f>
        <v>0</v>
      </c>
      <c r="BP4" s="39">
        <f>BN4+AW4</f>
        <v>4</v>
      </c>
      <c r="BQ4" s="42">
        <v>88363222</v>
      </c>
    </row>
    <row r="5" spans="1:69">
      <c r="A5" s="27"/>
      <c r="B5" s="29"/>
      <c r="C5" s="29"/>
      <c r="D5" s="30" t="s">
        <v>88</v>
      </c>
      <c r="E5" s="30"/>
      <c r="F5" s="30"/>
      <c r="G5" s="30"/>
      <c r="H5" s="31">
        <f>SUM(H4:H4)</f>
        <v>400</v>
      </c>
      <c r="I5" s="27"/>
      <c r="J5" s="27"/>
      <c r="K5" s="27"/>
      <c r="L5" s="27"/>
      <c r="M5" s="27"/>
      <c r="N5" s="27"/>
      <c r="O5" s="27"/>
      <c r="P5" s="27"/>
      <c r="Q5" s="27"/>
      <c r="R5" s="31">
        <f t="shared" ref="R5:X5" si="0">SUM(R4:R4)</f>
        <v>23.52</v>
      </c>
      <c r="S5" s="31">
        <f t="shared" si="0"/>
        <v>376.48</v>
      </c>
      <c r="T5" s="30"/>
      <c r="U5" s="30"/>
      <c r="V5" s="31">
        <f t="shared" si="0"/>
        <v>0</v>
      </c>
      <c r="W5" s="31">
        <f t="shared" si="0"/>
        <v>0</v>
      </c>
      <c r="X5" s="31">
        <f t="shared" si="0"/>
        <v>67.77</v>
      </c>
      <c r="Y5" s="43"/>
      <c r="Z5" s="43"/>
      <c r="AA5" s="43"/>
      <c r="AB5" s="31">
        <f t="shared" ref="AB5:AE5" si="1">SUM(AB4:AB4)</f>
        <v>67.77</v>
      </c>
      <c r="AC5" s="31">
        <f t="shared" si="1"/>
        <v>444.25</v>
      </c>
      <c r="AD5" s="31">
        <f t="shared" si="1"/>
        <v>120</v>
      </c>
      <c r="AE5" s="31">
        <f t="shared" si="1"/>
        <v>0</v>
      </c>
      <c r="AF5" s="36"/>
      <c r="AG5" s="31">
        <f t="shared" ref="AG5:AK5" si="2">SUM(AG4:AG4)</f>
        <v>0</v>
      </c>
      <c r="AH5" s="31">
        <f t="shared" si="2"/>
        <v>0</v>
      </c>
      <c r="AI5" s="31">
        <f t="shared" si="2"/>
        <v>0</v>
      </c>
      <c r="AJ5" s="31">
        <f t="shared" si="2"/>
        <v>0</v>
      </c>
      <c r="AK5" s="31">
        <f t="shared" si="2"/>
        <v>0</v>
      </c>
      <c r="AL5" s="36"/>
      <c r="AM5" s="36"/>
      <c r="AN5" s="36"/>
      <c r="AO5" s="36"/>
      <c r="AP5" s="36"/>
      <c r="AQ5" s="36"/>
      <c r="AR5" s="36"/>
      <c r="AS5" s="27"/>
      <c r="AT5" s="27"/>
      <c r="AU5" s="29"/>
      <c r="AV5" s="29"/>
      <c r="AW5" s="27"/>
      <c r="AX5" s="27"/>
      <c r="AY5" s="27"/>
      <c r="AZ5" s="27"/>
      <c r="BA5" s="27"/>
      <c r="BB5" s="27"/>
      <c r="BC5" s="27"/>
      <c r="BD5" s="27"/>
      <c r="BE5" s="27"/>
      <c r="BF5" s="27"/>
      <c r="BG5" s="27"/>
      <c r="BH5" s="27"/>
      <c r="BI5" s="27"/>
      <c r="BJ5" s="27"/>
      <c r="BK5" s="27"/>
      <c r="BL5" s="27"/>
      <c r="BM5" s="27"/>
      <c r="BN5" s="27"/>
      <c r="BO5" s="27"/>
      <c r="BP5" s="29"/>
      <c r="BQ5" s="29"/>
    </row>
  </sheetData>
  <mergeCells count="1">
    <mergeCell ref="A2:B2"/>
  </mergeCells>
  <pageMargins left="0.75" right="0.75" top="1" bottom="1" header="0.5" footer="0.5"/>
  <headerFooter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Q5"/>
  <sheetViews>
    <sheetView topLeftCell="U1" workbookViewId="0">
      <selection activeCell="U4" sqref="U4:AB4"/>
    </sheetView>
  </sheetViews>
  <sheetFormatPr defaultColWidth="8.7047619047619" defaultRowHeight="15" outlineLevelRow="4"/>
  <cols>
    <col min="1" max="1" width="5.14285714285714" customWidth="1"/>
    <col min="2" max="3" width="27.5714285714286" customWidth="1"/>
    <col min="4" max="4" width="79.4285714285714" customWidth="1"/>
    <col min="5" max="5" width="11.5714285714286" customWidth="1"/>
    <col min="6" max="6" width="5.14285714285714" customWidth="1"/>
    <col min="7" max="7" width="11" customWidth="1"/>
    <col min="8" max="8" width="12.7142857142857" customWidth="1"/>
    <col min="9" max="9" width="5.85714285714286" customWidth="1"/>
    <col min="10" max="10" width="6" customWidth="1"/>
    <col min="11" max="11" width="5.85714285714286" customWidth="1"/>
    <col min="12" max="12" width="14.2857142857143" customWidth="1"/>
    <col min="13" max="13" width="9.42857142857143" customWidth="1"/>
    <col min="14" max="14" width="14.4285714285714" customWidth="1"/>
    <col min="15" max="15" width="15.5714285714286" customWidth="1"/>
    <col min="16" max="16" width="14.4285714285714" customWidth="1"/>
    <col min="17" max="17" width="39.4285714285714" customWidth="1"/>
    <col min="18" max="18" width="11.7142857142857" customWidth="1"/>
    <col min="19" max="19" width="11.8571428571429" customWidth="1"/>
    <col min="20" max="20" width="6.42857142857143" customWidth="1"/>
    <col min="21" max="22" width="6.57142857142857" customWidth="1"/>
    <col min="23" max="23" width="37.1428571428571" customWidth="1"/>
    <col min="24" max="25" width="8" customWidth="1"/>
    <col min="26" max="26" width="7.71428571428571" customWidth="1"/>
    <col min="27" max="27" width="6.28571428571429" customWidth="1"/>
    <col min="28" max="28" width="9.28571428571429" customWidth="1"/>
    <col min="29" max="29" width="9.71428571428571" customWidth="1"/>
    <col min="30" max="30" width="12.8571428571429" customWidth="1"/>
    <col min="31" max="31" width="16.1428571428571" customWidth="1"/>
    <col min="32" max="32" width="15.4285714285714" customWidth="1"/>
    <col min="33" max="33" width="24.5714285714286" customWidth="1"/>
    <col min="34" max="34" width="8.57142857142857" customWidth="1"/>
    <col min="35" max="35" width="14.7142857142857" customWidth="1"/>
    <col min="36" max="36" width="18.5714285714286" customWidth="1"/>
    <col min="37" max="37" width="14.1428571428571" customWidth="1"/>
    <col min="38" max="38" width="14.7142857142857" customWidth="1"/>
    <col min="39" max="39" width="17.4285714285714" customWidth="1"/>
    <col min="40" max="40" width="22" customWidth="1"/>
    <col min="41" max="41" width="17.5714285714286" customWidth="1"/>
    <col min="42" max="42" width="25.2857142857143" customWidth="1"/>
    <col min="43" max="43" width="13" customWidth="1"/>
    <col min="44" max="44" width="23.7142857142857" customWidth="1"/>
    <col min="45" max="45" width="10" customWidth="1"/>
    <col min="46" max="46" width="13" customWidth="1"/>
    <col min="47" max="47" width="15.5714285714286" customWidth="1"/>
    <col min="48" max="48" width="21.1428571428571" customWidth="1"/>
    <col min="49" max="49" width="11.5714285714286" customWidth="1"/>
    <col min="50" max="50" width="16.7142857142857" customWidth="1"/>
    <col min="51" max="51" width="14" customWidth="1"/>
    <col min="52" max="52" width="19.4285714285714" customWidth="1"/>
    <col min="53" max="53" width="18.8571428571429" customWidth="1"/>
    <col min="54" max="54" width="23.2857142857143" customWidth="1"/>
    <col min="55" max="55" width="15.5714285714286" customWidth="1"/>
    <col min="56" max="56" width="14.2857142857143" customWidth="1"/>
    <col min="57" max="57" width="17" customWidth="1"/>
    <col min="58" max="58" width="16.2857142857143" customWidth="1"/>
    <col min="59" max="59" width="13.5714285714286" customWidth="1"/>
    <col min="60" max="61" width="12.7142857142857" customWidth="1"/>
    <col min="62" max="62" width="21.8571428571429" customWidth="1"/>
    <col min="63" max="63" width="30.5714285714286" customWidth="1"/>
    <col min="64" max="64" width="10" customWidth="1"/>
    <col min="65" max="65" width="42.5714285714286" customWidth="1"/>
    <col min="66" max="66" width="38.1428571428571" customWidth="1"/>
    <col min="67" max="67" width="19.4285714285714" customWidth="1"/>
    <col min="68" max="68" width="35.4285714285714" customWidth="1"/>
    <col min="69" max="69" width="9.57142857142857" customWidth="1"/>
  </cols>
  <sheetData>
    <row r="1" spans="1:69">
      <c r="A1" s="1" t="s">
        <v>0</v>
      </c>
      <c r="B1" s="2"/>
      <c r="C1" s="2"/>
      <c r="D1" s="2"/>
      <c r="E1" s="2"/>
      <c r="F1" s="2"/>
      <c r="G1" s="2"/>
      <c r="H1" s="1"/>
      <c r="I1" s="10"/>
      <c r="J1" s="10"/>
      <c r="K1" s="10"/>
      <c r="L1" s="10"/>
      <c r="M1" s="10"/>
      <c r="N1" s="10"/>
      <c r="O1" s="10"/>
      <c r="P1" s="10"/>
      <c r="Q1" s="10"/>
      <c r="R1" s="1"/>
      <c r="S1" s="1"/>
      <c r="T1" s="1"/>
      <c r="U1" s="1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23"/>
      <c r="BQ1" s="23"/>
    </row>
    <row r="2" spans="1:69">
      <c r="A2" s="3" t="s">
        <v>1</v>
      </c>
      <c r="B2" s="3"/>
      <c r="C2" s="24">
        <v>2</v>
      </c>
      <c r="D2" s="4" t="s">
        <v>2</v>
      </c>
      <c r="E2" s="24"/>
      <c r="F2" s="24"/>
      <c r="G2" s="24"/>
      <c r="H2" s="25"/>
      <c r="I2" s="27" t="s">
        <v>3</v>
      </c>
      <c r="J2" s="27" t="s">
        <v>4</v>
      </c>
      <c r="K2" s="27"/>
      <c r="L2" s="27" t="s">
        <v>5</v>
      </c>
      <c r="M2" s="27">
        <v>1</v>
      </c>
      <c r="N2" s="27"/>
      <c r="O2" s="27" t="s">
        <v>6</v>
      </c>
      <c r="P2" s="27">
        <v>2</v>
      </c>
      <c r="Q2" s="27" t="s">
        <v>7</v>
      </c>
      <c r="R2" s="25"/>
      <c r="S2" s="25"/>
      <c r="T2" s="25"/>
      <c r="U2" s="25"/>
      <c r="V2" s="25">
        <v>1</v>
      </c>
      <c r="W2" s="25" t="s">
        <v>8</v>
      </c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  <c r="AR2" s="27"/>
      <c r="AS2" s="27"/>
      <c r="AT2" s="27"/>
      <c r="AU2" s="27"/>
      <c r="AV2" s="27"/>
      <c r="AW2" s="27"/>
      <c r="AX2" s="27"/>
      <c r="AY2" s="27"/>
      <c r="AZ2" s="27"/>
      <c r="BA2" s="27"/>
      <c r="BB2" s="27"/>
      <c r="BC2" s="27"/>
      <c r="BD2" s="27"/>
      <c r="BE2" s="27"/>
      <c r="BF2" s="27"/>
      <c r="BG2" s="27"/>
      <c r="BH2" s="27"/>
      <c r="BI2" s="27"/>
      <c r="BJ2" s="27"/>
      <c r="BK2" s="27"/>
      <c r="BL2" s="27"/>
      <c r="BM2" s="27"/>
      <c r="BN2" s="27"/>
      <c r="BO2" s="27"/>
      <c r="BP2" s="29"/>
      <c r="BQ2" s="29"/>
    </row>
    <row r="3" ht="15.75" spans="1:69">
      <c r="A3" s="26" t="s">
        <v>9</v>
      </c>
      <c r="B3" s="26" t="s">
        <v>10</v>
      </c>
      <c r="C3" s="26" t="s">
        <v>11</v>
      </c>
      <c r="D3" s="26" t="s">
        <v>12</v>
      </c>
      <c r="E3" s="26" t="s">
        <v>13</v>
      </c>
      <c r="F3" s="26" t="s">
        <v>14</v>
      </c>
      <c r="G3" s="26" t="s">
        <v>15</v>
      </c>
      <c r="H3" s="26" t="s">
        <v>16</v>
      </c>
      <c r="I3" s="32" t="s">
        <v>17</v>
      </c>
      <c r="J3" s="32" t="s">
        <v>19</v>
      </c>
      <c r="K3" s="32" t="s">
        <v>18</v>
      </c>
      <c r="L3" s="33" t="s">
        <v>20</v>
      </c>
      <c r="M3" s="33" t="s">
        <v>21</v>
      </c>
      <c r="N3" s="33" t="s">
        <v>24</v>
      </c>
      <c r="O3" s="33" t="s">
        <v>25</v>
      </c>
      <c r="P3" s="33" t="s">
        <v>95</v>
      </c>
      <c r="Q3" s="33" t="s">
        <v>23</v>
      </c>
      <c r="R3" s="32" t="s">
        <v>26</v>
      </c>
      <c r="S3" s="26" t="s">
        <v>96</v>
      </c>
      <c r="T3" s="26" t="s">
        <v>28</v>
      </c>
      <c r="U3" s="34" t="s">
        <v>97</v>
      </c>
      <c r="V3" s="34" t="s">
        <v>30</v>
      </c>
      <c r="W3" s="34" t="s">
        <v>31</v>
      </c>
      <c r="X3" s="34" t="s">
        <v>32</v>
      </c>
      <c r="Y3" s="34" t="s">
        <v>33</v>
      </c>
      <c r="Z3" s="34" t="s">
        <v>34</v>
      </c>
      <c r="AA3" s="34" t="s">
        <v>35</v>
      </c>
      <c r="AB3" s="34" t="s">
        <v>36</v>
      </c>
      <c r="AC3" s="35" t="s">
        <v>37</v>
      </c>
      <c r="AD3" s="35" t="s">
        <v>38</v>
      </c>
      <c r="AE3" s="35" t="s">
        <v>39</v>
      </c>
      <c r="AF3" s="35" t="s">
        <v>40</v>
      </c>
      <c r="AG3" s="35" t="s">
        <v>41</v>
      </c>
      <c r="AH3" s="35" t="s">
        <v>42</v>
      </c>
      <c r="AI3" s="35" t="s">
        <v>43</v>
      </c>
      <c r="AJ3" s="35" t="s">
        <v>44</v>
      </c>
      <c r="AK3" s="35" t="s">
        <v>45</v>
      </c>
      <c r="AL3" s="35" t="s">
        <v>46</v>
      </c>
      <c r="AM3" s="35" t="s">
        <v>47</v>
      </c>
      <c r="AN3" s="35" t="s">
        <v>48</v>
      </c>
      <c r="AO3" s="35" t="s">
        <v>49</v>
      </c>
      <c r="AP3" s="35" t="s">
        <v>50</v>
      </c>
      <c r="AQ3" s="35" t="s">
        <v>51</v>
      </c>
      <c r="AR3" s="37" t="s">
        <v>98</v>
      </c>
      <c r="AS3" s="26" t="s">
        <v>53</v>
      </c>
      <c r="AT3" s="26" t="s">
        <v>51</v>
      </c>
      <c r="AU3" s="38" t="s">
        <v>54</v>
      </c>
      <c r="AV3" s="38" t="s">
        <v>55</v>
      </c>
      <c r="AW3" s="38" t="s">
        <v>56</v>
      </c>
      <c r="AX3" s="38" t="s">
        <v>57</v>
      </c>
      <c r="AY3" s="38" t="s">
        <v>58</v>
      </c>
      <c r="AZ3" s="38" t="s">
        <v>59</v>
      </c>
      <c r="BA3" s="38" t="s">
        <v>60</v>
      </c>
      <c r="BB3" s="38" t="s">
        <v>61</v>
      </c>
      <c r="BC3" s="38" t="s">
        <v>62</v>
      </c>
      <c r="BD3" s="38" t="s">
        <v>63</v>
      </c>
      <c r="BE3" s="38" t="s">
        <v>64</v>
      </c>
      <c r="BF3" s="38" t="s">
        <v>65</v>
      </c>
      <c r="BG3" s="38" t="s">
        <v>66</v>
      </c>
      <c r="BH3" s="38" t="s">
        <v>67</v>
      </c>
      <c r="BI3" s="38" t="s">
        <v>68</v>
      </c>
      <c r="BJ3" s="38" t="s">
        <v>69</v>
      </c>
      <c r="BK3" s="38" t="s">
        <v>70</v>
      </c>
      <c r="BL3" s="38" t="s">
        <v>71</v>
      </c>
      <c r="BM3" s="38" t="s">
        <v>72</v>
      </c>
      <c r="BN3" s="38" t="s">
        <v>73</v>
      </c>
      <c r="BO3" s="38" t="s">
        <v>59</v>
      </c>
      <c r="BP3" s="38" t="s">
        <v>74</v>
      </c>
      <c r="BQ3" s="38" t="s">
        <v>28</v>
      </c>
    </row>
    <row r="4" ht="15.75" spans="1:69">
      <c r="A4" s="27">
        <v>1</v>
      </c>
      <c r="B4" s="27" t="s">
        <v>152</v>
      </c>
      <c r="C4" s="27" t="s">
        <v>152</v>
      </c>
      <c r="D4" s="27" t="s">
        <v>76</v>
      </c>
      <c r="E4" s="27" t="s">
        <v>76</v>
      </c>
      <c r="F4" s="28">
        <v>4</v>
      </c>
      <c r="G4" s="28">
        <v>100</v>
      </c>
      <c r="H4" s="28">
        <f>F4*G4</f>
        <v>400</v>
      </c>
      <c r="I4" s="29">
        <v>0</v>
      </c>
      <c r="J4" s="28">
        <v>2</v>
      </c>
      <c r="K4" s="28">
        <v>2</v>
      </c>
      <c r="L4" s="28">
        <f>H4</f>
        <v>400</v>
      </c>
      <c r="M4" s="28">
        <f>ROUND(L4*I4%,2)</f>
        <v>0</v>
      </c>
      <c r="N4" s="28">
        <f>H4-M4</f>
        <v>400</v>
      </c>
      <c r="O4" s="28">
        <f>ROUND(N4*J4%,2)</f>
        <v>8</v>
      </c>
      <c r="P4" s="28">
        <f>ROUND(N4-O4,2)</f>
        <v>392</v>
      </c>
      <c r="Q4" s="28">
        <f>ROUND(P4*K4%,2)</f>
        <v>7.84</v>
      </c>
      <c r="R4" s="28">
        <f>M4+O4+Q4</f>
        <v>15.84</v>
      </c>
      <c r="S4" s="28">
        <f>(H4-R4)</f>
        <v>384.16</v>
      </c>
      <c r="T4" s="28" t="s">
        <v>77</v>
      </c>
      <c r="U4" s="15">
        <v>18</v>
      </c>
      <c r="V4" s="15">
        <f>IF(OR($C$2=1,$C$2=4),ROUND((((S4*U4)/100)/2),2),0)</f>
        <v>0</v>
      </c>
      <c r="W4" s="15">
        <f>IF($C$2=1,ROUND((((S4*U4)/100)/2),2),0)</f>
        <v>0</v>
      </c>
      <c r="X4" s="15">
        <f>IF($C$2=2,ROUND(((S4*U4)/100),2),0)</f>
        <v>69.15</v>
      </c>
      <c r="Y4" s="15">
        <f>IF($C$2=4,ROUND((((S4*U4)/100)/2),2),0)</f>
        <v>0</v>
      </c>
      <c r="Z4" s="15">
        <v>0</v>
      </c>
      <c r="AA4" s="15">
        <f>IF($C2=3,0,(S4*Z4)/100)</f>
        <v>0</v>
      </c>
      <c r="AB4" s="15">
        <f>V4+W4+X4+Y4+AA4</f>
        <v>69.15</v>
      </c>
      <c r="AC4" s="28">
        <f>IF($V2=1,S4+AB4,S4)</f>
        <v>453.31</v>
      </c>
      <c r="AD4" s="28">
        <v>120</v>
      </c>
      <c r="AE4" s="28">
        <f>IF($P$2=1,(S4/$S$4)*$E$35,AD4/$AD$4*$E$35)</f>
        <v>0</v>
      </c>
      <c r="AF4" s="28"/>
      <c r="AG4" s="28">
        <f>IF($P$2=1,(S4/$S$4)*$E$37,AD4/$AD$4*$E$37)</f>
        <v>0</v>
      </c>
      <c r="AH4" s="28">
        <f>IF($P$2=1,(S4/$S$4)*$E$37,AD4/$AD$4*$E$37)</f>
        <v>0</v>
      </c>
      <c r="AI4" s="28">
        <f>S4*$M$21</f>
        <v>0</v>
      </c>
      <c r="AJ4" s="28">
        <f>IF($C$2=3,0,AG4+AH4)</f>
        <v>0</v>
      </c>
      <c r="AK4" s="28">
        <f>IF($C$2=3,AE4+AG4+AH4,0)</f>
        <v>0</v>
      </c>
      <c r="AL4" s="28">
        <v>3</v>
      </c>
      <c r="AM4" s="28">
        <f>F4/AL4</f>
        <v>1.33333333333333</v>
      </c>
      <c r="AN4" s="28">
        <f>AI4/AM4</f>
        <v>0</v>
      </c>
      <c r="AO4" s="28">
        <f>AJ4/AM4</f>
        <v>0</v>
      </c>
      <c r="AP4" s="28">
        <f>AK4/AM4</f>
        <v>0</v>
      </c>
      <c r="AQ4" s="28" t="s">
        <v>76</v>
      </c>
      <c r="AR4" s="28">
        <f>AN4+AO4+AP4</f>
        <v>0</v>
      </c>
      <c r="AS4" s="28" t="s">
        <v>78</v>
      </c>
      <c r="AT4" s="28" t="s">
        <v>76</v>
      </c>
      <c r="AU4" t="s">
        <v>153</v>
      </c>
      <c r="AV4" t="s">
        <v>154</v>
      </c>
      <c r="AW4" s="28">
        <f>AM4</f>
        <v>1.33333333333333</v>
      </c>
      <c r="AX4" s="28">
        <f>AR4</f>
        <v>0</v>
      </c>
      <c r="AY4" s="28">
        <f>AU4+AW4</f>
        <v>82.9993333333333</v>
      </c>
      <c r="AZ4" s="28">
        <f>ROUND(((AU4*AV4)+(AW4*AX4))/(AU4+AW4),5)</f>
        <v>9807.3135</v>
      </c>
      <c r="BA4" s="39"/>
      <c r="BB4" s="39" t="s">
        <v>81</v>
      </c>
      <c r="BC4" s="39" t="s">
        <v>82</v>
      </c>
      <c r="BD4" s="40" t="s">
        <v>83</v>
      </c>
      <c r="BE4" s="40" t="s">
        <v>84</v>
      </c>
      <c r="BF4" s="39"/>
      <c r="BG4" s="39"/>
      <c r="BH4" s="39"/>
      <c r="BI4" s="28"/>
      <c r="BJ4" s="28"/>
      <c r="BK4" s="28"/>
      <c r="BL4" s="41" t="s">
        <v>85</v>
      </c>
      <c r="BM4" t="s">
        <v>155</v>
      </c>
      <c r="BN4" t="s">
        <v>156</v>
      </c>
      <c r="BO4" s="28">
        <f>ROUND((((AW4*AZ4)+(BN4*BM4))/(AW4+BN4)),5)</f>
        <v>516.5836</v>
      </c>
      <c r="BP4" s="39">
        <f>BN4+AW4</f>
        <v>87.9913333333333</v>
      </c>
      <c r="BQ4" s="42">
        <v>88363222</v>
      </c>
    </row>
    <row r="5" spans="1:69">
      <c r="A5" s="27"/>
      <c r="B5" s="29"/>
      <c r="C5" s="29"/>
      <c r="D5" s="30" t="s">
        <v>88</v>
      </c>
      <c r="E5" s="30"/>
      <c r="F5" s="30"/>
      <c r="G5" s="30"/>
      <c r="H5" s="31">
        <f>SUM(H4:H4)</f>
        <v>400</v>
      </c>
      <c r="I5" s="27"/>
      <c r="J5" s="27"/>
      <c r="K5" s="27"/>
      <c r="L5" s="27"/>
      <c r="M5" s="27"/>
      <c r="N5" s="27"/>
      <c r="O5" s="27"/>
      <c r="P5" s="27"/>
      <c r="Q5" s="27"/>
      <c r="R5" s="31">
        <f t="shared" ref="R5:AK5" si="0">SUM(R4:R4)</f>
        <v>15.84</v>
      </c>
      <c r="S5" s="31">
        <f t="shared" si="0"/>
        <v>384.16</v>
      </c>
      <c r="T5" s="30"/>
      <c r="U5" s="30"/>
      <c r="V5" s="31">
        <f t="shared" si="0"/>
        <v>0</v>
      </c>
      <c r="W5" s="31">
        <f t="shared" si="0"/>
        <v>0</v>
      </c>
      <c r="X5" s="31">
        <f t="shared" si="0"/>
        <v>69.15</v>
      </c>
      <c r="Y5" s="31">
        <f t="shared" si="0"/>
        <v>0</v>
      </c>
      <c r="Z5" s="31">
        <f t="shared" si="0"/>
        <v>0</v>
      </c>
      <c r="AA5" s="31">
        <f t="shared" si="0"/>
        <v>0</v>
      </c>
      <c r="AB5" s="31">
        <f t="shared" si="0"/>
        <v>69.15</v>
      </c>
      <c r="AC5" s="31">
        <f t="shared" si="0"/>
        <v>453.31</v>
      </c>
      <c r="AD5" s="31">
        <f t="shared" si="0"/>
        <v>120</v>
      </c>
      <c r="AE5" s="31">
        <f t="shared" si="0"/>
        <v>0</v>
      </c>
      <c r="AF5" s="31">
        <f t="shared" si="0"/>
        <v>0</v>
      </c>
      <c r="AG5" s="31">
        <f t="shared" si="0"/>
        <v>0</v>
      </c>
      <c r="AH5" s="31">
        <f t="shared" si="0"/>
        <v>0</v>
      </c>
      <c r="AI5" s="31">
        <f t="shared" si="0"/>
        <v>0</v>
      </c>
      <c r="AJ5" s="31">
        <f t="shared" si="0"/>
        <v>0</v>
      </c>
      <c r="AK5" s="31">
        <f t="shared" si="0"/>
        <v>0</v>
      </c>
      <c r="AL5" s="36"/>
      <c r="AM5" s="36"/>
      <c r="AN5" s="36"/>
      <c r="AO5" s="36"/>
      <c r="AP5" s="36"/>
      <c r="AQ5" s="36"/>
      <c r="AR5" s="36"/>
      <c r="AS5" s="27"/>
      <c r="AT5" s="27"/>
      <c r="AU5" s="29"/>
      <c r="AV5" s="29"/>
      <c r="AW5" s="27"/>
      <c r="AX5" s="27"/>
      <c r="AY5" s="27"/>
      <c r="AZ5" s="27"/>
      <c r="BA5" s="27"/>
      <c r="BB5" s="27"/>
      <c r="BC5" s="27"/>
      <c r="BD5" s="27"/>
      <c r="BE5" s="27"/>
      <c r="BF5" s="27"/>
      <c r="BG5" s="27"/>
      <c r="BH5" s="27"/>
      <c r="BI5" s="27"/>
      <c r="BJ5" s="27"/>
      <c r="BK5" s="27"/>
      <c r="BL5" s="27"/>
      <c r="BM5" s="27"/>
      <c r="BN5" s="27"/>
      <c r="BO5" s="27"/>
      <c r="BP5" s="29"/>
      <c r="BQ5" s="29"/>
    </row>
  </sheetData>
  <mergeCells count="1">
    <mergeCell ref="A2:B2"/>
  </mergeCells>
  <pageMargins left="0.75" right="0.75" top="1" bottom="1" header="0.5" footer="0.5"/>
  <headerFooter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Q5"/>
  <sheetViews>
    <sheetView topLeftCell="R1" workbookViewId="0">
      <selection activeCell="U4" sqref="U4:AB4"/>
    </sheetView>
  </sheetViews>
  <sheetFormatPr defaultColWidth="8.7047619047619" defaultRowHeight="15" outlineLevelRow="4"/>
  <cols>
    <col min="1" max="1" width="5.14285714285714" customWidth="1"/>
    <col min="2" max="3" width="27.5714285714286" customWidth="1"/>
    <col min="4" max="4" width="79.4285714285714" customWidth="1"/>
    <col min="5" max="5" width="11.5714285714286" customWidth="1"/>
    <col min="6" max="6" width="5.14285714285714" customWidth="1"/>
    <col min="7" max="7" width="11" customWidth="1"/>
    <col min="8" max="8" width="12.7142857142857" customWidth="1"/>
    <col min="9" max="9" width="5.85714285714286" customWidth="1"/>
    <col min="10" max="10" width="6" customWidth="1"/>
    <col min="11" max="11" width="5.85714285714286" customWidth="1"/>
    <col min="12" max="12" width="14.2857142857143" customWidth="1"/>
    <col min="13" max="13" width="9.42857142857143" customWidth="1"/>
    <col min="14" max="14" width="14.4285714285714" customWidth="1"/>
    <col min="15" max="15" width="15.5714285714286" customWidth="1"/>
    <col min="16" max="16" width="14.4285714285714" customWidth="1"/>
    <col min="17" max="17" width="39.4285714285714" customWidth="1"/>
    <col min="18" max="18" width="11.7142857142857" customWidth="1"/>
    <col min="19" max="19" width="11.8571428571429" customWidth="1"/>
    <col min="20" max="20" width="6.42857142857143" customWidth="1"/>
    <col min="21" max="22" width="6.57142857142857" customWidth="1"/>
    <col min="23" max="23" width="37.1428571428571" customWidth="1"/>
    <col min="24" max="25" width="8" customWidth="1"/>
    <col min="26" max="26" width="7.71428571428571" customWidth="1"/>
    <col min="27" max="27" width="6.28571428571429" customWidth="1"/>
    <col min="28" max="28" width="9.28571428571429" customWidth="1"/>
    <col min="29" max="29" width="9.71428571428571" customWidth="1"/>
    <col min="30" max="30" width="12.8571428571429" customWidth="1"/>
    <col min="31" max="31" width="16.1428571428571" customWidth="1"/>
    <col min="32" max="32" width="15.4285714285714" customWidth="1"/>
    <col min="33" max="33" width="24.5714285714286" customWidth="1"/>
    <col min="34" max="34" width="8.57142857142857" customWidth="1"/>
    <col min="35" max="35" width="14.7142857142857" customWidth="1"/>
    <col min="36" max="36" width="18.5714285714286" customWidth="1"/>
    <col min="37" max="37" width="14.1428571428571" customWidth="1"/>
    <col min="38" max="38" width="14.7142857142857" customWidth="1"/>
    <col min="39" max="39" width="17.4285714285714" customWidth="1"/>
    <col min="40" max="40" width="22" customWidth="1"/>
    <col min="41" max="41" width="17.5714285714286" customWidth="1"/>
    <col min="42" max="42" width="25.2857142857143" customWidth="1"/>
    <col min="43" max="43" width="13" customWidth="1"/>
    <col min="44" max="44" width="23.7142857142857" customWidth="1"/>
    <col min="45" max="45" width="10" customWidth="1"/>
    <col min="46" max="46" width="13" customWidth="1"/>
    <col min="47" max="47" width="15.5714285714286" customWidth="1"/>
    <col min="48" max="48" width="21.1428571428571" customWidth="1"/>
    <col min="49" max="49" width="11.5714285714286" customWidth="1"/>
    <col min="50" max="50" width="16.7142857142857" customWidth="1"/>
    <col min="51" max="51" width="14" customWidth="1"/>
    <col min="52" max="52" width="19.4285714285714" customWidth="1"/>
    <col min="53" max="53" width="18.8571428571429" customWidth="1"/>
    <col min="54" max="54" width="23.2857142857143" customWidth="1"/>
    <col min="55" max="55" width="15.5714285714286" customWidth="1"/>
    <col min="56" max="56" width="14.2857142857143" customWidth="1"/>
    <col min="57" max="57" width="17" customWidth="1"/>
    <col min="58" max="58" width="16.2857142857143" customWidth="1"/>
    <col min="59" max="59" width="13.5714285714286" customWidth="1"/>
    <col min="60" max="61" width="12.7142857142857" customWidth="1"/>
    <col min="62" max="62" width="21.8571428571429" customWidth="1"/>
    <col min="63" max="63" width="30.5714285714286" customWidth="1"/>
    <col min="64" max="64" width="10" customWidth="1"/>
    <col min="65" max="65" width="42.5714285714286" customWidth="1"/>
    <col min="66" max="66" width="38.1428571428571" customWidth="1"/>
    <col min="67" max="67" width="19.4285714285714" customWidth="1"/>
    <col min="68" max="68" width="35.4285714285714" customWidth="1"/>
    <col min="69" max="69" width="9.57142857142857" customWidth="1"/>
  </cols>
  <sheetData>
    <row r="1" spans="1:69">
      <c r="A1" s="1" t="s">
        <v>0</v>
      </c>
      <c r="B1" s="2"/>
      <c r="C1" s="2"/>
      <c r="D1" s="2"/>
      <c r="E1" s="2"/>
      <c r="F1" s="2"/>
      <c r="G1" s="2"/>
      <c r="H1" s="1"/>
      <c r="I1" s="10"/>
      <c r="J1" s="10"/>
      <c r="K1" s="10"/>
      <c r="L1" s="10"/>
      <c r="M1" s="10"/>
      <c r="N1" s="10"/>
      <c r="O1" s="10"/>
      <c r="P1" s="10"/>
      <c r="Q1" s="10"/>
      <c r="R1" s="1"/>
      <c r="S1" s="1"/>
      <c r="T1" s="1"/>
      <c r="U1" s="1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23"/>
      <c r="BQ1" s="23"/>
    </row>
    <row r="2" spans="1:69">
      <c r="A2" s="3" t="s">
        <v>1</v>
      </c>
      <c r="B2" s="3"/>
      <c r="C2" s="24">
        <v>2</v>
      </c>
      <c r="D2" s="4" t="s">
        <v>2</v>
      </c>
      <c r="E2" s="24"/>
      <c r="F2" s="24"/>
      <c r="G2" s="24"/>
      <c r="H2" s="25"/>
      <c r="I2" s="27" t="s">
        <v>3</v>
      </c>
      <c r="J2" s="27" t="s">
        <v>4</v>
      </c>
      <c r="K2" s="27"/>
      <c r="L2" s="27" t="s">
        <v>5</v>
      </c>
      <c r="M2" s="27">
        <v>1</v>
      </c>
      <c r="N2" s="27"/>
      <c r="O2" s="27" t="s">
        <v>6</v>
      </c>
      <c r="P2" s="27">
        <v>2</v>
      </c>
      <c r="Q2" s="27" t="s">
        <v>7</v>
      </c>
      <c r="R2" s="25"/>
      <c r="S2" s="25"/>
      <c r="T2" s="25"/>
      <c r="U2" s="25"/>
      <c r="V2" s="25">
        <v>1</v>
      </c>
      <c r="W2" s="25" t="s">
        <v>8</v>
      </c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  <c r="AR2" s="27"/>
      <c r="AS2" s="27"/>
      <c r="AT2" s="27"/>
      <c r="AU2" s="27"/>
      <c r="AV2" s="27"/>
      <c r="AW2" s="27"/>
      <c r="AX2" s="27"/>
      <c r="AY2" s="27"/>
      <c r="AZ2" s="27"/>
      <c r="BA2" s="27"/>
      <c r="BB2" s="27"/>
      <c r="BC2" s="27"/>
      <c r="BD2" s="27"/>
      <c r="BE2" s="27"/>
      <c r="BF2" s="27"/>
      <c r="BG2" s="27"/>
      <c r="BH2" s="27"/>
      <c r="BI2" s="27"/>
      <c r="BJ2" s="27"/>
      <c r="BK2" s="27"/>
      <c r="BL2" s="27"/>
      <c r="BM2" s="27"/>
      <c r="BN2" s="27"/>
      <c r="BO2" s="27"/>
      <c r="BP2" s="29"/>
      <c r="BQ2" s="29"/>
    </row>
    <row r="3" ht="15.75" spans="1:69">
      <c r="A3" s="26" t="s">
        <v>9</v>
      </c>
      <c r="B3" s="26" t="s">
        <v>10</v>
      </c>
      <c r="C3" s="26" t="s">
        <v>11</v>
      </c>
      <c r="D3" s="26" t="s">
        <v>12</v>
      </c>
      <c r="E3" s="26" t="s">
        <v>13</v>
      </c>
      <c r="F3" s="26" t="s">
        <v>14</v>
      </c>
      <c r="G3" s="26" t="s">
        <v>15</v>
      </c>
      <c r="H3" s="26" t="s">
        <v>16</v>
      </c>
      <c r="I3" s="32" t="s">
        <v>17</v>
      </c>
      <c r="J3" s="32" t="s">
        <v>19</v>
      </c>
      <c r="K3" s="32" t="s">
        <v>18</v>
      </c>
      <c r="L3" s="33" t="s">
        <v>20</v>
      </c>
      <c r="M3" s="33" t="s">
        <v>21</v>
      </c>
      <c r="N3" s="33" t="s">
        <v>24</v>
      </c>
      <c r="O3" s="33" t="s">
        <v>25</v>
      </c>
      <c r="P3" s="33" t="s">
        <v>95</v>
      </c>
      <c r="Q3" s="33" t="s">
        <v>23</v>
      </c>
      <c r="R3" s="32" t="s">
        <v>26</v>
      </c>
      <c r="S3" s="26" t="s">
        <v>96</v>
      </c>
      <c r="T3" s="26" t="s">
        <v>28</v>
      </c>
      <c r="U3" s="34" t="s">
        <v>97</v>
      </c>
      <c r="V3" s="34" t="s">
        <v>30</v>
      </c>
      <c r="W3" s="34" t="s">
        <v>31</v>
      </c>
      <c r="X3" s="34" t="s">
        <v>32</v>
      </c>
      <c r="Y3" s="34" t="s">
        <v>33</v>
      </c>
      <c r="Z3" s="34" t="s">
        <v>34</v>
      </c>
      <c r="AA3" s="34" t="s">
        <v>35</v>
      </c>
      <c r="AB3" s="34" t="s">
        <v>36</v>
      </c>
      <c r="AC3" s="35" t="s">
        <v>37</v>
      </c>
      <c r="AD3" s="35" t="s">
        <v>38</v>
      </c>
      <c r="AE3" s="35" t="s">
        <v>39</v>
      </c>
      <c r="AF3" s="35" t="s">
        <v>40</v>
      </c>
      <c r="AG3" s="35" t="s">
        <v>41</v>
      </c>
      <c r="AH3" s="35" t="s">
        <v>42</v>
      </c>
      <c r="AI3" s="35" t="s">
        <v>43</v>
      </c>
      <c r="AJ3" s="35" t="s">
        <v>44</v>
      </c>
      <c r="AK3" s="35" t="s">
        <v>45</v>
      </c>
      <c r="AL3" s="35" t="s">
        <v>46</v>
      </c>
      <c r="AM3" s="35" t="s">
        <v>47</v>
      </c>
      <c r="AN3" s="35" t="s">
        <v>48</v>
      </c>
      <c r="AO3" s="35" t="s">
        <v>49</v>
      </c>
      <c r="AP3" s="35" t="s">
        <v>50</v>
      </c>
      <c r="AQ3" s="35" t="s">
        <v>51</v>
      </c>
      <c r="AR3" s="37" t="s">
        <v>98</v>
      </c>
      <c r="AS3" s="26" t="s">
        <v>53</v>
      </c>
      <c r="AT3" s="26" t="s">
        <v>51</v>
      </c>
      <c r="AU3" s="38" t="s">
        <v>54</v>
      </c>
      <c r="AV3" s="38" t="s">
        <v>55</v>
      </c>
      <c r="AW3" s="38" t="s">
        <v>56</v>
      </c>
      <c r="AX3" s="38" t="s">
        <v>57</v>
      </c>
      <c r="AY3" s="38" t="s">
        <v>58</v>
      </c>
      <c r="AZ3" s="38" t="s">
        <v>59</v>
      </c>
      <c r="BA3" s="38" t="s">
        <v>60</v>
      </c>
      <c r="BB3" s="38" t="s">
        <v>61</v>
      </c>
      <c r="BC3" s="38" t="s">
        <v>62</v>
      </c>
      <c r="BD3" s="38" t="s">
        <v>63</v>
      </c>
      <c r="BE3" s="38" t="s">
        <v>64</v>
      </c>
      <c r="BF3" s="38" t="s">
        <v>65</v>
      </c>
      <c r="BG3" s="38" t="s">
        <v>66</v>
      </c>
      <c r="BH3" s="38" t="s">
        <v>67</v>
      </c>
      <c r="BI3" s="38" t="s">
        <v>68</v>
      </c>
      <c r="BJ3" s="38" t="s">
        <v>69</v>
      </c>
      <c r="BK3" s="38" t="s">
        <v>70</v>
      </c>
      <c r="BL3" s="38" t="s">
        <v>71</v>
      </c>
      <c r="BM3" s="38" t="s">
        <v>72</v>
      </c>
      <c r="BN3" s="38" t="s">
        <v>73</v>
      </c>
      <c r="BO3" s="38" t="s">
        <v>59</v>
      </c>
      <c r="BP3" s="38" t="s">
        <v>74</v>
      </c>
      <c r="BQ3" s="38" t="s">
        <v>28</v>
      </c>
    </row>
    <row r="4" ht="15.75" spans="1:69">
      <c r="A4" s="27">
        <v>1</v>
      </c>
      <c r="B4" s="27" t="s">
        <v>157</v>
      </c>
      <c r="C4" s="27" t="s">
        <v>157</v>
      </c>
      <c r="D4" s="27" t="s">
        <v>76</v>
      </c>
      <c r="E4" s="27" t="s">
        <v>76</v>
      </c>
      <c r="F4" s="28">
        <v>4</v>
      </c>
      <c r="G4" s="28">
        <v>100</v>
      </c>
      <c r="H4" s="28">
        <f>F4*G4</f>
        <v>400</v>
      </c>
      <c r="I4" s="29">
        <v>0</v>
      </c>
      <c r="J4" s="28">
        <v>2</v>
      </c>
      <c r="K4" s="28">
        <v>2</v>
      </c>
      <c r="L4" s="28">
        <f>H4</f>
        <v>400</v>
      </c>
      <c r="M4" s="28">
        <f>ROUND(L4*I4%,2)</f>
        <v>0</v>
      </c>
      <c r="N4" s="28">
        <f>H4-M4</f>
        <v>400</v>
      </c>
      <c r="O4" s="28">
        <f>ROUND(N4*J4%,2)</f>
        <v>8</v>
      </c>
      <c r="P4" s="28">
        <f>ROUND(N4-O4,2)</f>
        <v>392</v>
      </c>
      <c r="Q4" s="28">
        <f>ROUND(P4*K4%,2)</f>
        <v>7.84</v>
      </c>
      <c r="R4" s="28">
        <f>M4+O4+Q4</f>
        <v>15.84</v>
      </c>
      <c r="S4" s="28">
        <f>(H4-R4)</f>
        <v>384.16</v>
      </c>
      <c r="T4" s="28" t="s">
        <v>77</v>
      </c>
      <c r="U4" s="15">
        <v>18</v>
      </c>
      <c r="V4" s="15">
        <f>IF(OR($C$2=1,$C$2=4),ROUND((((S4*U4)/100)/2),2),0)</f>
        <v>0</v>
      </c>
      <c r="W4" s="15">
        <f>IF($C$2=1,ROUND((((S4*U4)/100)/2),2),0)</f>
        <v>0</v>
      </c>
      <c r="X4" s="15">
        <f>IF($C$2=2,ROUND(((S4*U4)/100),2),0)</f>
        <v>69.15</v>
      </c>
      <c r="Y4" s="15">
        <f>IF($C$2=4,ROUND((((S4*U4)/100)/2),2),0)</f>
        <v>0</v>
      </c>
      <c r="Z4" s="15">
        <v>0</v>
      </c>
      <c r="AA4" s="15">
        <f>IF($C2=3,0,(S4*Z4)/100)</f>
        <v>0</v>
      </c>
      <c r="AB4" s="15">
        <f>V4+W4+X4+Y4+AA4</f>
        <v>69.15</v>
      </c>
      <c r="AC4" s="28">
        <f>IF($V2=1,S4+AB4,S4)</f>
        <v>453.31</v>
      </c>
      <c r="AD4" s="28">
        <v>120</v>
      </c>
      <c r="AE4" s="28">
        <f>IF($P$2=1,(S4/$S$4)*$E$35,AD4/$AD$4*$E$35)</f>
        <v>0</v>
      </c>
      <c r="AF4" s="28"/>
      <c r="AG4" s="28">
        <f>IF($P$2=1,(S4/$S$4)*$E$37,AD4/$AD$4*$E$37)</f>
        <v>0</v>
      </c>
      <c r="AH4" s="28">
        <f>IF($P$2=1,(S4/$S$4)*$E$37,AD4/$AD$4*$E$37)</f>
        <v>0</v>
      </c>
      <c r="AI4" s="28">
        <f>S4*$M$21</f>
        <v>0</v>
      </c>
      <c r="AJ4" s="28">
        <f>IF($C$2=3,0,AG4+AH4)</f>
        <v>0</v>
      </c>
      <c r="AK4" s="28">
        <f>IF($C$2=3,AE4+AG4+AH4,0)</f>
        <v>0</v>
      </c>
      <c r="AL4" s="28">
        <v>3</v>
      </c>
      <c r="AM4" s="28">
        <f>F4/AL4</f>
        <v>1.33333333333333</v>
      </c>
      <c r="AN4" s="28">
        <f>AI4/AM4</f>
        <v>0</v>
      </c>
      <c r="AO4" s="28">
        <f>AJ4/AM4</f>
        <v>0</v>
      </c>
      <c r="AP4" s="28">
        <f>AK4/AM4</f>
        <v>0</v>
      </c>
      <c r="AQ4" s="28" t="s">
        <v>76</v>
      </c>
      <c r="AR4" s="28">
        <f>AN4+AO4+AP4</f>
        <v>0</v>
      </c>
      <c r="AS4" s="28" t="s">
        <v>78</v>
      </c>
      <c r="AT4" s="28" t="s">
        <v>76</v>
      </c>
      <c r="AU4" t="s">
        <v>158</v>
      </c>
      <c r="AV4" t="s">
        <v>159</v>
      </c>
      <c r="AW4" s="28">
        <f>AM4</f>
        <v>1.33333333333333</v>
      </c>
      <c r="AX4" s="28">
        <f>AR4</f>
        <v>0</v>
      </c>
      <c r="AY4" s="28">
        <f>AU4+AW4</f>
        <v>123.003333333333</v>
      </c>
      <c r="AZ4" s="28">
        <f>ROUND(((AU4*AV4)+(AW4*AX4))/(AU4+AW4),5)</f>
        <v>5964.92779</v>
      </c>
      <c r="BA4" s="39"/>
      <c r="BB4" s="39" t="s">
        <v>81</v>
      </c>
      <c r="BC4" s="39" t="s">
        <v>82</v>
      </c>
      <c r="BD4" s="40" t="s">
        <v>83</v>
      </c>
      <c r="BE4" s="40" t="s">
        <v>84</v>
      </c>
      <c r="BF4" s="39"/>
      <c r="BG4" s="39"/>
      <c r="BH4" s="39"/>
      <c r="BI4" s="28"/>
      <c r="BJ4" s="28"/>
      <c r="BK4" s="28"/>
      <c r="BL4" s="41" t="s">
        <v>85</v>
      </c>
      <c r="BM4" t="s">
        <v>160</v>
      </c>
      <c r="BN4" t="s">
        <v>161</v>
      </c>
      <c r="BO4" s="28">
        <f>ROUND((((AW4*AZ4)+(BN4*BM4))/(AW4+BN4)),5)</f>
        <v>309.2014</v>
      </c>
      <c r="BP4" s="39">
        <f>BN4+AW4</f>
        <v>121.333333333333</v>
      </c>
      <c r="BQ4" s="42">
        <v>88363222</v>
      </c>
    </row>
    <row r="5" spans="1:69">
      <c r="A5" s="27"/>
      <c r="B5" s="29"/>
      <c r="C5" s="29"/>
      <c r="D5" s="30" t="s">
        <v>88</v>
      </c>
      <c r="E5" s="30"/>
      <c r="F5" s="30"/>
      <c r="G5" s="30"/>
      <c r="H5" s="31">
        <f>SUM(H4:H4)</f>
        <v>400</v>
      </c>
      <c r="I5" s="27"/>
      <c r="J5" s="27"/>
      <c r="K5" s="27"/>
      <c r="L5" s="27"/>
      <c r="M5" s="27"/>
      <c r="N5" s="27"/>
      <c r="O5" s="27"/>
      <c r="P5" s="27"/>
      <c r="Q5" s="27"/>
      <c r="R5" s="31">
        <f t="shared" ref="R5:AK5" si="0">SUM(R4:R4)</f>
        <v>15.84</v>
      </c>
      <c r="S5" s="31">
        <f t="shared" si="0"/>
        <v>384.16</v>
      </c>
      <c r="T5" s="30"/>
      <c r="U5" s="30"/>
      <c r="V5" s="31">
        <f t="shared" si="0"/>
        <v>0</v>
      </c>
      <c r="W5" s="31">
        <f t="shared" si="0"/>
        <v>0</v>
      </c>
      <c r="X5" s="31">
        <f t="shared" si="0"/>
        <v>69.15</v>
      </c>
      <c r="Y5" s="31">
        <f t="shared" si="0"/>
        <v>0</v>
      </c>
      <c r="Z5" s="31">
        <f t="shared" si="0"/>
        <v>0</v>
      </c>
      <c r="AA5" s="31">
        <f t="shared" si="0"/>
        <v>0</v>
      </c>
      <c r="AB5" s="31">
        <f t="shared" si="0"/>
        <v>69.15</v>
      </c>
      <c r="AC5" s="31">
        <f t="shared" si="0"/>
        <v>453.31</v>
      </c>
      <c r="AD5" s="31">
        <f t="shared" si="0"/>
        <v>120</v>
      </c>
      <c r="AE5" s="31">
        <f t="shared" si="0"/>
        <v>0</v>
      </c>
      <c r="AF5" s="31">
        <f t="shared" si="0"/>
        <v>0</v>
      </c>
      <c r="AG5" s="31">
        <f t="shared" si="0"/>
        <v>0</v>
      </c>
      <c r="AH5" s="31">
        <f t="shared" si="0"/>
        <v>0</v>
      </c>
      <c r="AI5" s="31">
        <f t="shared" si="0"/>
        <v>0</v>
      </c>
      <c r="AJ5" s="31">
        <f t="shared" si="0"/>
        <v>0</v>
      </c>
      <c r="AK5" s="31">
        <f t="shared" si="0"/>
        <v>0</v>
      </c>
      <c r="AL5" s="36"/>
      <c r="AM5" s="36"/>
      <c r="AN5" s="36"/>
      <c r="AO5" s="36"/>
      <c r="AP5" s="36"/>
      <c r="AQ5" s="36"/>
      <c r="AR5" s="36"/>
      <c r="AS5" s="27"/>
      <c r="AT5" s="27"/>
      <c r="AU5" s="29"/>
      <c r="AV5" s="29"/>
      <c r="AW5" s="27"/>
      <c r="AX5" s="27"/>
      <c r="AY5" s="27"/>
      <c r="AZ5" s="27"/>
      <c r="BA5" s="27"/>
      <c r="BB5" s="27"/>
      <c r="BC5" s="27"/>
      <c r="BD5" s="27"/>
      <c r="BE5" s="27"/>
      <c r="BF5" s="27"/>
      <c r="BG5" s="27"/>
      <c r="BH5" s="27"/>
      <c r="BI5" s="27"/>
      <c r="BJ5" s="27"/>
      <c r="BK5" s="27"/>
      <c r="BL5" s="27"/>
      <c r="BM5" s="27"/>
      <c r="BN5" s="27"/>
      <c r="BO5" s="27"/>
      <c r="BP5" s="29"/>
      <c r="BQ5" s="29"/>
    </row>
  </sheetData>
  <mergeCells count="1">
    <mergeCell ref="A2:B2"/>
  </mergeCells>
  <pageMargins left="0.75" right="0.75" top="1" bottom="1" header="0.5" footer="0.5"/>
  <headerFooter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Q5"/>
  <sheetViews>
    <sheetView topLeftCell="T1" workbookViewId="0">
      <selection activeCell="U4" sqref="U4:AB4"/>
    </sheetView>
  </sheetViews>
  <sheetFormatPr defaultColWidth="8.7047619047619" defaultRowHeight="15" outlineLevelRow="4"/>
  <cols>
    <col min="1" max="1" width="5.14285714285714" customWidth="1"/>
    <col min="2" max="3" width="27.5714285714286" customWidth="1"/>
    <col min="4" max="4" width="79.4285714285714" customWidth="1"/>
    <col min="5" max="5" width="11.5714285714286" customWidth="1"/>
    <col min="6" max="6" width="5.14285714285714" customWidth="1"/>
    <col min="7" max="7" width="11" customWidth="1"/>
    <col min="8" max="8" width="12.7142857142857" customWidth="1"/>
    <col min="9" max="9" width="5.85714285714286" customWidth="1"/>
    <col min="10" max="10" width="6" customWidth="1"/>
    <col min="11" max="11" width="5.85714285714286" customWidth="1"/>
    <col min="12" max="12" width="14.2857142857143" customWidth="1"/>
    <col min="13" max="13" width="9.42857142857143" customWidth="1"/>
    <col min="14" max="14" width="14.4285714285714" customWidth="1"/>
    <col min="15" max="15" width="15.5714285714286" customWidth="1"/>
    <col min="16" max="16" width="14.4285714285714" customWidth="1"/>
    <col min="17" max="17" width="39.4285714285714" customWidth="1"/>
    <col min="18" max="18" width="11.7142857142857" customWidth="1"/>
    <col min="19" max="19" width="11.8571428571429" customWidth="1"/>
    <col min="20" max="20" width="6.42857142857143" customWidth="1"/>
    <col min="21" max="22" width="6.57142857142857" customWidth="1"/>
    <col min="23" max="23" width="37.1428571428571" customWidth="1"/>
    <col min="24" max="25" width="8" customWidth="1"/>
    <col min="26" max="26" width="7.71428571428571" customWidth="1"/>
    <col min="27" max="27" width="6.28571428571429" customWidth="1"/>
    <col min="28" max="28" width="9.28571428571429" customWidth="1"/>
    <col min="29" max="29" width="9.71428571428571" customWidth="1"/>
    <col min="30" max="30" width="12.8571428571429" customWidth="1"/>
    <col min="31" max="31" width="16.1428571428571" customWidth="1"/>
    <col min="32" max="32" width="15.4285714285714" customWidth="1"/>
    <col min="33" max="33" width="24.5714285714286" customWidth="1"/>
    <col min="34" max="34" width="8.57142857142857" customWidth="1"/>
    <col min="35" max="35" width="14.7142857142857" customWidth="1"/>
    <col min="36" max="36" width="18.5714285714286" customWidth="1"/>
    <col min="37" max="37" width="14.1428571428571" customWidth="1"/>
    <col min="38" max="38" width="14.7142857142857" customWidth="1"/>
    <col min="39" max="39" width="17.4285714285714" customWidth="1"/>
    <col min="40" max="40" width="22" customWidth="1"/>
    <col min="41" max="41" width="17.5714285714286" customWidth="1"/>
    <col min="42" max="42" width="25.2857142857143" customWidth="1"/>
    <col min="43" max="43" width="13" customWidth="1"/>
    <col min="44" max="44" width="23.7142857142857" customWidth="1"/>
    <col min="45" max="45" width="10" customWidth="1"/>
    <col min="46" max="46" width="13" customWidth="1"/>
    <col min="47" max="47" width="15.5714285714286" customWidth="1"/>
    <col min="48" max="48" width="21.1428571428571" customWidth="1"/>
    <col min="49" max="49" width="11.5714285714286" customWidth="1"/>
    <col min="50" max="50" width="16.7142857142857" customWidth="1"/>
    <col min="51" max="51" width="14" customWidth="1"/>
    <col min="52" max="52" width="19.4285714285714" customWidth="1"/>
    <col min="53" max="53" width="18.8571428571429" customWidth="1"/>
    <col min="54" max="54" width="23.2857142857143" customWidth="1"/>
    <col min="55" max="55" width="15.5714285714286" customWidth="1"/>
    <col min="56" max="56" width="14.2857142857143" customWidth="1"/>
    <col min="57" max="57" width="17" customWidth="1"/>
    <col min="58" max="58" width="16.2857142857143" customWidth="1"/>
    <col min="59" max="59" width="13.5714285714286" customWidth="1"/>
    <col min="60" max="61" width="12.7142857142857" customWidth="1"/>
    <col min="62" max="62" width="21.8571428571429" customWidth="1"/>
    <col min="63" max="63" width="30.5714285714286" customWidth="1"/>
    <col min="64" max="64" width="10" customWidth="1"/>
    <col min="65" max="65" width="42.5714285714286" customWidth="1"/>
    <col min="66" max="66" width="38.1428571428571" customWidth="1"/>
    <col min="67" max="67" width="19.4285714285714" customWidth="1"/>
    <col min="68" max="68" width="35.4285714285714" customWidth="1"/>
    <col min="69" max="69" width="9.57142857142857" customWidth="1"/>
  </cols>
  <sheetData>
    <row r="1" spans="1:69">
      <c r="A1" s="1" t="s">
        <v>0</v>
      </c>
      <c r="B1" s="2"/>
      <c r="C1" s="2"/>
      <c r="D1" s="2"/>
      <c r="E1" s="2"/>
      <c r="F1" s="2"/>
      <c r="G1" s="2"/>
      <c r="H1" s="1"/>
      <c r="I1" s="10"/>
      <c r="J1" s="10"/>
      <c r="K1" s="10"/>
      <c r="L1" s="10"/>
      <c r="M1" s="10"/>
      <c r="N1" s="10"/>
      <c r="O1" s="10"/>
      <c r="P1" s="10"/>
      <c r="Q1" s="10"/>
      <c r="R1" s="1"/>
      <c r="S1" s="1"/>
      <c r="T1" s="1"/>
      <c r="U1" s="1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23"/>
      <c r="BQ1" s="23"/>
    </row>
    <row r="2" spans="1:69">
      <c r="A2" s="3" t="s">
        <v>1</v>
      </c>
      <c r="B2" s="3"/>
      <c r="C2" s="4">
        <v>2</v>
      </c>
      <c r="D2" s="4" t="s">
        <v>2</v>
      </c>
      <c r="E2" s="4"/>
      <c r="F2" s="4"/>
      <c r="G2" s="4"/>
      <c r="H2" s="4"/>
      <c r="I2" s="3" t="s">
        <v>3</v>
      </c>
      <c r="J2" s="3" t="s">
        <v>4</v>
      </c>
      <c r="K2" s="3"/>
      <c r="L2" s="3" t="s">
        <v>5</v>
      </c>
      <c r="M2" s="3">
        <v>1</v>
      </c>
      <c r="N2" s="3"/>
      <c r="O2" s="3" t="s">
        <v>6</v>
      </c>
      <c r="P2" s="3">
        <v>2</v>
      </c>
      <c r="Q2" s="3" t="s">
        <v>7</v>
      </c>
      <c r="R2" s="4"/>
      <c r="S2" s="4"/>
      <c r="T2" s="4"/>
      <c r="U2" s="4"/>
      <c r="V2" s="4">
        <v>1</v>
      </c>
      <c r="W2" s="4" t="s">
        <v>8</v>
      </c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7"/>
      <c r="BQ2" s="7"/>
    </row>
    <row r="3" ht="15.75" spans="1:69">
      <c r="A3" s="5" t="s">
        <v>9</v>
      </c>
      <c r="B3" s="5" t="s">
        <v>10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5" t="s">
        <v>16</v>
      </c>
      <c r="I3" s="11" t="s">
        <v>17</v>
      </c>
      <c r="J3" s="11" t="s">
        <v>19</v>
      </c>
      <c r="K3" s="11" t="s">
        <v>18</v>
      </c>
      <c r="L3" s="12" t="s">
        <v>20</v>
      </c>
      <c r="M3" s="12" t="s">
        <v>21</v>
      </c>
      <c r="N3" s="12" t="s">
        <v>24</v>
      </c>
      <c r="O3" s="12" t="s">
        <v>25</v>
      </c>
      <c r="P3" s="12" t="s">
        <v>95</v>
      </c>
      <c r="Q3" s="12" t="s">
        <v>23</v>
      </c>
      <c r="R3" s="11" t="s">
        <v>26</v>
      </c>
      <c r="S3" s="5" t="s">
        <v>96</v>
      </c>
      <c r="T3" s="5" t="s">
        <v>28</v>
      </c>
      <c r="U3" s="14" t="s">
        <v>97</v>
      </c>
      <c r="V3" s="14" t="s">
        <v>30</v>
      </c>
      <c r="W3" s="14" t="s">
        <v>31</v>
      </c>
      <c r="X3" s="14" t="s">
        <v>32</v>
      </c>
      <c r="Y3" s="14" t="s">
        <v>33</v>
      </c>
      <c r="Z3" s="14" t="s">
        <v>34</v>
      </c>
      <c r="AA3" s="14" t="s">
        <v>35</v>
      </c>
      <c r="AB3" s="14" t="s">
        <v>36</v>
      </c>
      <c r="AC3" s="16" t="s">
        <v>37</v>
      </c>
      <c r="AD3" s="16" t="s">
        <v>38</v>
      </c>
      <c r="AE3" s="16" t="s">
        <v>39</v>
      </c>
      <c r="AF3" s="16" t="s">
        <v>40</v>
      </c>
      <c r="AG3" s="16" t="s">
        <v>41</v>
      </c>
      <c r="AH3" s="16" t="s">
        <v>42</v>
      </c>
      <c r="AI3" s="16" t="s">
        <v>43</v>
      </c>
      <c r="AJ3" s="16" t="s">
        <v>44</v>
      </c>
      <c r="AK3" s="16" t="s">
        <v>45</v>
      </c>
      <c r="AL3" s="16" t="s">
        <v>46</v>
      </c>
      <c r="AM3" s="16" t="s">
        <v>47</v>
      </c>
      <c r="AN3" s="16" t="s">
        <v>48</v>
      </c>
      <c r="AO3" s="16" t="s">
        <v>49</v>
      </c>
      <c r="AP3" s="16" t="s">
        <v>50</v>
      </c>
      <c r="AQ3" s="16" t="s">
        <v>51</v>
      </c>
      <c r="AR3" s="18" t="s">
        <v>98</v>
      </c>
      <c r="AS3" s="5" t="s">
        <v>53</v>
      </c>
      <c r="AT3" s="5" t="s">
        <v>51</v>
      </c>
      <c r="AU3" s="19" t="s">
        <v>54</v>
      </c>
      <c r="AV3" s="19" t="s">
        <v>55</v>
      </c>
      <c r="AW3" s="19" t="s">
        <v>56</v>
      </c>
      <c r="AX3" s="19" t="s">
        <v>57</v>
      </c>
      <c r="AY3" s="19" t="s">
        <v>58</v>
      </c>
      <c r="AZ3" s="19" t="s">
        <v>59</v>
      </c>
      <c r="BA3" s="19" t="s">
        <v>60</v>
      </c>
      <c r="BB3" s="19" t="s">
        <v>61</v>
      </c>
      <c r="BC3" s="19" t="s">
        <v>62</v>
      </c>
      <c r="BD3" s="19" t="s">
        <v>63</v>
      </c>
      <c r="BE3" s="19" t="s">
        <v>64</v>
      </c>
      <c r="BF3" s="19" t="s">
        <v>65</v>
      </c>
      <c r="BG3" s="19" t="s">
        <v>66</v>
      </c>
      <c r="BH3" s="19" t="s">
        <v>67</v>
      </c>
      <c r="BI3" s="19" t="s">
        <v>68</v>
      </c>
      <c r="BJ3" s="19" t="s">
        <v>69</v>
      </c>
      <c r="BK3" s="19" t="s">
        <v>70</v>
      </c>
      <c r="BL3" s="19" t="s">
        <v>71</v>
      </c>
      <c r="BM3" s="19" t="s">
        <v>72</v>
      </c>
      <c r="BN3" s="19" t="s">
        <v>73</v>
      </c>
      <c r="BO3" s="19" t="s">
        <v>59</v>
      </c>
      <c r="BP3" s="19" t="s">
        <v>74</v>
      </c>
      <c r="BQ3" s="19" t="s">
        <v>28</v>
      </c>
    </row>
    <row r="4" ht="15.75" spans="1:69">
      <c r="A4" s="3">
        <v>1</v>
      </c>
      <c r="B4" s="3" t="s">
        <v>152</v>
      </c>
      <c r="C4" s="3" t="s">
        <v>152</v>
      </c>
      <c r="D4" s="3" t="s">
        <v>76</v>
      </c>
      <c r="E4" s="3" t="s">
        <v>76</v>
      </c>
      <c r="F4" s="6">
        <v>4</v>
      </c>
      <c r="G4" s="6">
        <v>100</v>
      </c>
      <c r="H4" s="6">
        <f>F4*G4</f>
        <v>400</v>
      </c>
      <c r="I4" s="7" t="s">
        <v>102</v>
      </c>
      <c r="J4" s="6">
        <v>2</v>
      </c>
      <c r="K4" s="6">
        <v>2</v>
      </c>
      <c r="L4" s="6">
        <f>H4</f>
        <v>400</v>
      </c>
      <c r="M4" s="6">
        <f>ROUND(L4*I4%,2)</f>
        <v>8</v>
      </c>
      <c r="N4" s="6">
        <f>H4-M4</f>
        <v>392</v>
      </c>
      <c r="O4" s="6">
        <f>ROUND(N4*J4%,2)</f>
        <v>7.84</v>
      </c>
      <c r="P4" s="6">
        <f>ROUND(N4-O4,2)</f>
        <v>384.16</v>
      </c>
      <c r="Q4" s="6">
        <f>ROUND(P4*K4%,2)</f>
        <v>7.68</v>
      </c>
      <c r="R4" s="6">
        <f>M4+O4+Q4</f>
        <v>23.52</v>
      </c>
      <c r="S4" s="6">
        <f>(H4-R4)</f>
        <v>376.48</v>
      </c>
      <c r="T4" s="6" t="s">
        <v>77</v>
      </c>
      <c r="U4" s="15">
        <v>18</v>
      </c>
      <c r="V4" s="15">
        <f>IF(OR($C$2=1,$C$2=4),ROUND((((S4*U4)/100)/2),2),0)</f>
        <v>0</v>
      </c>
      <c r="W4" s="15">
        <f>IF($C$2=1,ROUND((((S4*U4)/100)/2),2),0)</f>
        <v>0</v>
      </c>
      <c r="X4" s="15">
        <f>IF($C$2=2,ROUND(((S4*U4)/100),2),0)</f>
        <v>67.77</v>
      </c>
      <c r="Y4" s="15">
        <f>IF($C$2=4,ROUND((((S4*U4)/100)/2),2),0)</f>
        <v>0</v>
      </c>
      <c r="Z4" s="15">
        <v>0</v>
      </c>
      <c r="AA4" s="15">
        <f>IF($C2=3,0,(S4*Z4)/100)</f>
        <v>0</v>
      </c>
      <c r="AB4" s="15">
        <f>V4+W4+X4+Y4+AA4</f>
        <v>67.77</v>
      </c>
      <c r="AC4" s="6">
        <f>IF($V2=1,S4+AB4,S4)</f>
        <v>444.25</v>
      </c>
      <c r="AD4" s="6">
        <v>120</v>
      </c>
      <c r="AE4" s="6">
        <f>IF($P$2=1,(S4/$S$4)*$E$35,AD4/$AD$4*$E$35)</f>
        <v>0</v>
      </c>
      <c r="AF4" s="6"/>
      <c r="AG4" s="6">
        <f>IF($P$2=1,(S4/$S$4)*$E$37,AD4/$AD$4*$E$37)</f>
        <v>0</v>
      </c>
      <c r="AH4" s="6">
        <f>IF($P$2=1,(S4/$S$4)*$E$37,AD4/$AD$4*$E$37)</f>
        <v>0</v>
      </c>
      <c r="AI4" s="6">
        <f>S4*$M$21</f>
        <v>0</v>
      </c>
      <c r="AJ4" s="6">
        <f>IF($C$2=3,0,AG4+AH4)</f>
        <v>0</v>
      </c>
      <c r="AK4" s="6">
        <f>IF($C$2=3,AE4+AG4+AH4,0)</f>
        <v>0</v>
      </c>
      <c r="AL4" s="6">
        <v>1</v>
      </c>
      <c r="AM4" s="6">
        <f>F4/AL4</f>
        <v>4</v>
      </c>
      <c r="AN4" s="6">
        <f>AI4/AM4</f>
        <v>0</v>
      </c>
      <c r="AO4" s="6">
        <f>AJ4/AM4</f>
        <v>0</v>
      </c>
      <c r="AP4" s="6">
        <f>AK4/AM4</f>
        <v>0</v>
      </c>
      <c r="AQ4" s="6" t="s">
        <v>76</v>
      </c>
      <c r="AR4" s="6">
        <f>AN4+AO4+AP4</f>
        <v>0</v>
      </c>
      <c r="AS4" s="6" t="s">
        <v>78</v>
      </c>
      <c r="AT4" s="6" t="s">
        <v>76</v>
      </c>
      <c r="AU4" t="s">
        <v>153</v>
      </c>
      <c r="AV4" t="s">
        <v>154</v>
      </c>
      <c r="AW4" s="6">
        <f>AM4</f>
        <v>4</v>
      </c>
      <c r="AX4" s="6">
        <f>AR4</f>
        <v>0</v>
      </c>
      <c r="AY4" s="6">
        <f>AU4+AW4</f>
        <v>4</v>
      </c>
      <c r="AZ4" s="6">
        <f>ROUND(((AU4*AV4)+(AW4*AX4))/(AU4+AW4),5)</f>
        <v>0</v>
      </c>
      <c r="BA4" s="20"/>
      <c r="BB4" s="20" t="s">
        <v>81</v>
      </c>
      <c r="BC4" s="20" t="s">
        <v>82</v>
      </c>
      <c r="BD4" s="21" t="s">
        <v>83</v>
      </c>
      <c r="BE4" s="21" t="s">
        <v>84</v>
      </c>
      <c r="BF4" s="20"/>
      <c r="BG4" s="20"/>
      <c r="BH4" s="20"/>
      <c r="BI4" s="6"/>
      <c r="BJ4" s="6"/>
      <c r="BK4" s="6"/>
      <c r="BL4" s="22" t="s">
        <v>85</v>
      </c>
      <c r="BM4" t="s">
        <v>155</v>
      </c>
      <c r="BN4" t="s">
        <v>156</v>
      </c>
      <c r="BO4" s="6">
        <f>ROUND((((AW4*AZ4)+(BN4*BM4))/(AW4+BN4)),5)</f>
        <v>0</v>
      </c>
      <c r="BP4" s="20">
        <f>BN4+AW4</f>
        <v>4</v>
      </c>
      <c r="BQ4" s="20">
        <v>88363222</v>
      </c>
    </row>
    <row r="5" spans="1:69">
      <c r="A5" s="3"/>
      <c r="B5" s="7"/>
      <c r="C5" s="7"/>
      <c r="D5" s="8" t="s">
        <v>88</v>
      </c>
      <c r="E5" s="8"/>
      <c r="F5" s="8"/>
      <c r="G5" s="8"/>
      <c r="H5" s="9">
        <f>SUM(H4:H4)</f>
        <v>400</v>
      </c>
      <c r="I5" s="3"/>
      <c r="J5" s="3"/>
      <c r="K5" s="3"/>
      <c r="L5" s="3"/>
      <c r="M5" s="3"/>
      <c r="N5" s="3"/>
      <c r="O5" s="3"/>
      <c r="P5" s="3"/>
      <c r="Q5" s="3"/>
      <c r="R5" s="9">
        <f t="shared" ref="R5:X5" si="0">SUM(R4:R4)</f>
        <v>23.52</v>
      </c>
      <c r="S5" s="9">
        <f t="shared" si="0"/>
        <v>376.48</v>
      </c>
      <c r="T5" s="8"/>
      <c r="U5" s="8"/>
      <c r="V5" s="9">
        <f t="shared" si="0"/>
        <v>0</v>
      </c>
      <c r="W5" s="9">
        <f t="shared" si="0"/>
        <v>0</v>
      </c>
      <c r="X5" s="9">
        <f t="shared" si="0"/>
        <v>67.77</v>
      </c>
      <c r="Y5" s="17"/>
      <c r="Z5" s="17"/>
      <c r="AA5" s="17"/>
      <c r="AB5" s="9">
        <f t="shared" ref="AB5:AE5" si="1">SUM(AB4:AB4)</f>
        <v>67.77</v>
      </c>
      <c r="AC5" s="9">
        <f t="shared" si="1"/>
        <v>444.25</v>
      </c>
      <c r="AD5" s="9">
        <f t="shared" si="1"/>
        <v>120</v>
      </c>
      <c r="AE5" s="9">
        <f t="shared" si="1"/>
        <v>0</v>
      </c>
      <c r="AF5" s="16"/>
      <c r="AG5" s="9">
        <f t="shared" ref="AG5:AK5" si="2">SUM(AG4:AG4)</f>
        <v>0</v>
      </c>
      <c r="AH5" s="9">
        <f t="shared" si="2"/>
        <v>0</v>
      </c>
      <c r="AI5" s="9">
        <f t="shared" si="2"/>
        <v>0</v>
      </c>
      <c r="AJ5" s="9">
        <f t="shared" si="2"/>
        <v>0</v>
      </c>
      <c r="AK5" s="9">
        <f t="shared" si="2"/>
        <v>0</v>
      </c>
      <c r="AL5" s="16"/>
      <c r="AM5" s="16"/>
      <c r="AN5" s="16"/>
      <c r="AO5" s="16"/>
      <c r="AP5" s="16"/>
      <c r="AQ5" s="16"/>
      <c r="AR5" s="16"/>
      <c r="AS5" s="3"/>
      <c r="AT5" s="3"/>
      <c r="AU5" s="7"/>
      <c r="AV5" s="7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7"/>
      <c r="BQ5" s="7"/>
    </row>
  </sheetData>
  <mergeCells count="1">
    <mergeCell ref="A2:B2"/>
  </mergeCells>
  <pageMargins left="0.75" right="0.75" top="1" bottom="1" header="0.5" footer="0.5"/>
  <headerFooter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Q5"/>
  <sheetViews>
    <sheetView workbookViewId="0">
      <selection activeCell="Z9" sqref="Z9"/>
    </sheetView>
  </sheetViews>
  <sheetFormatPr defaultColWidth="8.7047619047619" defaultRowHeight="15" outlineLevelRow="4"/>
  <cols>
    <col min="1" max="1" width="5.14285714285714" customWidth="1"/>
    <col min="2" max="3" width="27.5714285714286" customWidth="1"/>
    <col min="4" max="4" width="79.4285714285714" customWidth="1"/>
    <col min="5" max="5" width="11.5714285714286" customWidth="1"/>
    <col min="6" max="6" width="5.14285714285714" customWidth="1"/>
    <col min="7" max="7" width="11" customWidth="1"/>
    <col min="8" max="8" width="12.7142857142857" customWidth="1"/>
    <col min="9" max="9" width="5.85714285714286" customWidth="1"/>
    <col min="10" max="10" width="6" customWidth="1"/>
    <col min="11" max="11" width="5.85714285714286" customWidth="1"/>
    <col min="12" max="12" width="14.2857142857143" customWidth="1"/>
    <col min="13" max="13" width="9.42857142857143" customWidth="1"/>
    <col min="14" max="14" width="14.4285714285714" customWidth="1"/>
    <col min="15" max="15" width="15.5714285714286" customWidth="1"/>
    <col min="16" max="16" width="14.4285714285714" customWidth="1"/>
    <col min="17" max="17" width="39.4285714285714" customWidth="1"/>
    <col min="18" max="18" width="11.7142857142857" customWidth="1"/>
    <col min="19" max="19" width="11.8571428571429" customWidth="1"/>
    <col min="20" max="20" width="6.42857142857143" customWidth="1"/>
    <col min="21" max="22" width="6.57142857142857" customWidth="1"/>
    <col min="23" max="23" width="37.1428571428571" customWidth="1"/>
    <col min="24" max="25" width="8" customWidth="1"/>
    <col min="26" max="26" width="7.71428571428571" customWidth="1"/>
    <col min="27" max="27" width="6.28571428571429" customWidth="1"/>
    <col min="28" max="28" width="9.28571428571429" customWidth="1"/>
    <col min="29" max="29" width="9.71428571428571" customWidth="1"/>
    <col min="30" max="30" width="12.8571428571429" customWidth="1"/>
    <col min="31" max="31" width="16.1428571428571" customWidth="1"/>
    <col min="32" max="32" width="15.4285714285714" customWidth="1"/>
    <col min="33" max="33" width="24.5714285714286" customWidth="1"/>
    <col min="34" max="34" width="8.57142857142857" customWidth="1"/>
    <col min="35" max="35" width="14.7142857142857" customWidth="1"/>
    <col min="36" max="36" width="18.5714285714286" customWidth="1"/>
    <col min="37" max="37" width="14.1428571428571" customWidth="1"/>
    <col min="38" max="38" width="14.7142857142857" customWidth="1"/>
    <col min="39" max="39" width="17.4285714285714" customWidth="1"/>
    <col min="40" max="40" width="22" customWidth="1"/>
    <col min="41" max="41" width="17.5714285714286" customWidth="1"/>
    <col min="42" max="42" width="25.2857142857143" customWidth="1"/>
    <col min="43" max="43" width="13" customWidth="1"/>
    <col min="44" max="44" width="23.7142857142857" customWidth="1"/>
    <col min="45" max="45" width="10" customWidth="1"/>
    <col min="46" max="46" width="13" customWidth="1"/>
    <col min="47" max="47" width="15.5714285714286" customWidth="1"/>
    <col min="48" max="48" width="21.1428571428571" customWidth="1"/>
    <col min="49" max="49" width="11.5714285714286" customWidth="1"/>
    <col min="50" max="50" width="16.7142857142857" customWidth="1"/>
    <col min="51" max="51" width="14" customWidth="1"/>
    <col min="52" max="52" width="19.4285714285714" customWidth="1"/>
    <col min="53" max="53" width="18.8571428571429" customWidth="1"/>
    <col min="54" max="54" width="23.2857142857143" customWidth="1"/>
    <col min="55" max="55" width="15.5714285714286" customWidth="1"/>
    <col min="56" max="56" width="14.2857142857143" customWidth="1"/>
    <col min="57" max="57" width="17" customWidth="1"/>
    <col min="58" max="58" width="16.2857142857143" customWidth="1"/>
    <col min="59" max="59" width="13.5714285714286" customWidth="1"/>
    <col min="60" max="61" width="12.7142857142857" customWidth="1"/>
    <col min="62" max="62" width="21.8571428571429" customWidth="1"/>
    <col min="63" max="63" width="30.5714285714286" customWidth="1"/>
    <col min="64" max="64" width="10" customWidth="1"/>
    <col min="65" max="65" width="42.5714285714286" customWidth="1"/>
    <col min="66" max="66" width="38.1428571428571" customWidth="1"/>
    <col min="67" max="67" width="19.4285714285714" customWidth="1"/>
    <col min="68" max="68" width="35.4285714285714" customWidth="1"/>
    <col min="69" max="69" width="9.57142857142857" customWidth="1"/>
  </cols>
  <sheetData>
    <row r="1" spans="1:69">
      <c r="A1" s="1" t="s">
        <v>0</v>
      </c>
      <c r="B1" s="2"/>
      <c r="C1" s="2"/>
      <c r="D1" s="2"/>
      <c r="E1" s="2"/>
      <c r="F1" s="2"/>
      <c r="G1" s="2"/>
      <c r="H1" s="1"/>
      <c r="I1" s="10"/>
      <c r="J1" s="10"/>
      <c r="K1" s="10"/>
      <c r="L1" s="10"/>
      <c r="M1" s="10"/>
      <c r="N1" s="10"/>
      <c r="O1" s="10"/>
      <c r="P1" s="10"/>
      <c r="Q1" s="10"/>
      <c r="R1" s="1"/>
      <c r="S1" s="1"/>
      <c r="T1" s="1"/>
      <c r="U1" s="1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23"/>
      <c r="BQ1" s="23"/>
    </row>
    <row r="2" spans="1:69">
      <c r="A2" s="3" t="s">
        <v>1</v>
      </c>
      <c r="B2" s="3"/>
      <c r="C2" s="4">
        <v>2</v>
      </c>
      <c r="D2" s="4" t="s">
        <v>2</v>
      </c>
      <c r="E2" s="4"/>
      <c r="F2" s="4"/>
      <c r="G2" s="4"/>
      <c r="H2" s="4"/>
      <c r="I2" s="3" t="s">
        <v>3</v>
      </c>
      <c r="J2" s="3" t="s">
        <v>4</v>
      </c>
      <c r="K2" s="3"/>
      <c r="L2" s="3" t="s">
        <v>5</v>
      </c>
      <c r="M2" s="3">
        <v>1</v>
      </c>
      <c r="N2" s="3"/>
      <c r="O2" s="3" t="s">
        <v>6</v>
      </c>
      <c r="P2" s="3">
        <v>2</v>
      </c>
      <c r="Q2" s="3" t="s">
        <v>7</v>
      </c>
      <c r="R2" s="4"/>
      <c r="S2" s="4"/>
      <c r="T2" s="4"/>
      <c r="U2" s="4"/>
      <c r="V2" s="4">
        <v>1</v>
      </c>
      <c r="W2" s="4" t="s">
        <v>8</v>
      </c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7"/>
      <c r="BQ2" s="7"/>
    </row>
    <row r="3" ht="15.75" spans="1:69">
      <c r="A3" s="5" t="s">
        <v>9</v>
      </c>
      <c r="B3" s="5" t="s">
        <v>10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5" t="s">
        <v>16</v>
      </c>
      <c r="I3" s="11" t="s">
        <v>17</v>
      </c>
      <c r="J3" s="11" t="s">
        <v>19</v>
      </c>
      <c r="K3" s="11" t="s">
        <v>18</v>
      </c>
      <c r="L3" s="12" t="s">
        <v>20</v>
      </c>
      <c r="M3" s="12" t="s">
        <v>21</v>
      </c>
      <c r="N3" s="12" t="s">
        <v>24</v>
      </c>
      <c r="O3" s="12" t="s">
        <v>25</v>
      </c>
      <c r="P3" s="12" t="s">
        <v>95</v>
      </c>
      <c r="Q3" s="12" t="s">
        <v>23</v>
      </c>
      <c r="R3" s="11" t="s">
        <v>26</v>
      </c>
      <c r="S3" s="5" t="s">
        <v>96</v>
      </c>
      <c r="T3" s="5" t="s">
        <v>28</v>
      </c>
      <c r="U3" s="14" t="s">
        <v>97</v>
      </c>
      <c r="V3" s="14" t="s">
        <v>30</v>
      </c>
      <c r="W3" s="14" t="s">
        <v>31</v>
      </c>
      <c r="X3" s="14" t="s">
        <v>32</v>
      </c>
      <c r="Y3" s="14" t="s">
        <v>33</v>
      </c>
      <c r="Z3" s="14" t="s">
        <v>34</v>
      </c>
      <c r="AA3" s="14" t="s">
        <v>35</v>
      </c>
      <c r="AB3" s="14" t="s">
        <v>36</v>
      </c>
      <c r="AC3" s="16" t="s">
        <v>37</v>
      </c>
      <c r="AD3" s="16" t="s">
        <v>38</v>
      </c>
      <c r="AE3" s="16" t="s">
        <v>39</v>
      </c>
      <c r="AF3" s="16" t="s">
        <v>40</v>
      </c>
      <c r="AG3" s="16" t="s">
        <v>41</v>
      </c>
      <c r="AH3" s="16" t="s">
        <v>42</v>
      </c>
      <c r="AI3" s="16" t="s">
        <v>43</v>
      </c>
      <c r="AJ3" s="16" t="s">
        <v>44</v>
      </c>
      <c r="AK3" s="16" t="s">
        <v>45</v>
      </c>
      <c r="AL3" s="16" t="s">
        <v>46</v>
      </c>
      <c r="AM3" s="16" t="s">
        <v>47</v>
      </c>
      <c r="AN3" s="16" t="s">
        <v>48</v>
      </c>
      <c r="AO3" s="16" t="s">
        <v>49</v>
      </c>
      <c r="AP3" s="16" t="s">
        <v>50</v>
      </c>
      <c r="AQ3" s="16" t="s">
        <v>51</v>
      </c>
      <c r="AR3" s="18" t="s">
        <v>98</v>
      </c>
      <c r="AS3" s="5" t="s">
        <v>53</v>
      </c>
      <c r="AT3" s="5" t="s">
        <v>51</v>
      </c>
      <c r="AU3" s="19" t="s">
        <v>54</v>
      </c>
      <c r="AV3" s="19" t="s">
        <v>55</v>
      </c>
      <c r="AW3" s="19" t="s">
        <v>56</v>
      </c>
      <c r="AX3" s="19" t="s">
        <v>57</v>
      </c>
      <c r="AY3" s="19" t="s">
        <v>58</v>
      </c>
      <c r="AZ3" s="19" t="s">
        <v>59</v>
      </c>
      <c r="BA3" s="19" t="s">
        <v>60</v>
      </c>
      <c r="BB3" s="19" t="s">
        <v>61</v>
      </c>
      <c r="BC3" s="19" t="s">
        <v>62</v>
      </c>
      <c r="BD3" s="19" t="s">
        <v>63</v>
      </c>
      <c r="BE3" s="19" t="s">
        <v>64</v>
      </c>
      <c r="BF3" s="19" t="s">
        <v>65</v>
      </c>
      <c r="BG3" s="19" t="s">
        <v>66</v>
      </c>
      <c r="BH3" s="19" t="s">
        <v>67</v>
      </c>
      <c r="BI3" s="19" t="s">
        <v>68</v>
      </c>
      <c r="BJ3" s="19" t="s">
        <v>69</v>
      </c>
      <c r="BK3" s="19" t="s">
        <v>70</v>
      </c>
      <c r="BL3" s="19" t="s">
        <v>71</v>
      </c>
      <c r="BM3" s="19" t="s">
        <v>72</v>
      </c>
      <c r="BN3" s="19" t="s">
        <v>73</v>
      </c>
      <c r="BO3" s="19" t="s">
        <v>59</v>
      </c>
      <c r="BP3" s="19" t="s">
        <v>74</v>
      </c>
      <c r="BQ3" s="19" t="s">
        <v>28</v>
      </c>
    </row>
    <row r="4" ht="15.75" spans="1:69">
      <c r="A4" s="3">
        <v>1</v>
      </c>
      <c r="B4" s="3" t="s">
        <v>162</v>
      </c>
      <c r="C4" s="3" t="s">
        <v>162</v>
      </c>
      <c r="D4" s="3" t="s">
        <v>76</v>
      </c>
      <c r="E4" s="3" t="s">
        <v>76</v>
      </c>
      <c r="F4" s="6">
        <v>4</v>
      </c>
      <c r="G4" s="6">
        <v>100</v>
      </c>
      <c r="H4" s="6">
        <f>F4*G4</f>
        <v>400</v>
      </c>
      <c r="I4" s="7" t="s">
        <v>102</v>
      </c>
      <c r="J4" s="6">
        <v>2</v>
      </c>
      <c r="K4" s="6">
        <v>2</v>
      </c>
      <c r="L4" s="6">
        <f>H4</f>
        <v>400</v>
      </c>
      <c r="M4" s="6">
        <f>ROUND(L4*I4%,2)</f>
        <v>8</v>
      </c>
      <c r="N4" s="6">
        <f>H4-M4</f>
        <v>392</v>
      </c>
      <c r="O4" s="6">
        <f>ROUND(N4*J4%,2)</f>
        <v>7.84</v>
      </c>
      <c r="P4" s="6">
        <f>ROUND(N4-O4,2)</f>
        <v>384.16</v>
      </c>
      <c r="Q4" s="6">
        <f>ROUND(P4*K4%,2)</f>
        <v>7.68</v>
      </c>
      <c r="R4" s="6">
        <f>M4+O4+Q4</f>
        <v>23.52</v>
      </c>
      <c r="S4" s="6">
        <f>(H4-R4)</f>
        <v>376.48</v>
      </c>
      <c r="T4" s="6" t="s">
        <v>77</v>
      </c>
      <c r="U4" s="15">
        <v>18</v>
      </c>
      <c r="V4" s="15">
        <f>IF(OR($C$2=1,$C$2=4),ROUND((((S4*U4)/100)/2),2),0)</f>
        <v>0</v>
      </c>
      <c r="W4" s="15">
        <f>IF($C$2=1,ROUND((((S4*U4)/100)/2),2),0)</f>
        <v>0</v>
      </c>
      <c r="X4" s="15">
        <f>IF($C$2=2,ROUND(((S4*U4)/100),2),0)</f>
        <v>67.77</v>
      </c>
      <c r="Y4" s="15">
        <f>IF($C$2=4,ROUND((((S4*U4)/100)/2),2),0)</f>
        <v>0</v>
      </c>
      <c r="Z4" s="15">
        <v>0</v>
      </c>
      <c r="AA4" s="15">
        <f>IF($C2=3,0,(S4*Z4)/100)</f>
        <v>0</v>
      </c>
      <c r="AB4" s="15">
        <f>V4+W4+X4+Y4+AA4</f>
        <v>67.77</v>
      </c>
      <c r="AC4" s="6">
        <f>IF($V2=1,S4+AB4,S4)</f>
        <v>444.25</v>
      </c>
      <c r="AD4" s="6">
        <v>120</v>
      </c>
      <c r="AE4" s="6">
        <f>IF($P$2=1,(S4/$S$4)*$E$35,AD4/$AD$4*$E$35)</f>
        <v>0</v>
      </c>
      <c r="AF4" s="6"/>
      <c r="AG4" s="6">
        <f>IF($P$2=1,(S4/$S$4)*$E$37,AD4/$AD$4*$E$37)</f>
        <v>0</v>
      </c>
      <c r="AH4" s="6">
        <f>IF($P$2=1,(S4/$S$4)*$E$37,AD4/$AD$4*$E$37)</f>
        <v>0</v>
      </c>
      <c r="AI4" s="6">
        <f>S4*$M$21</f>
        <v>0</v>
      </c>
      <c r="AJ4" s="6">
        <f>IF($C$2=3,0,AG4+AH4)</f>
        <v>0</v>
      </c>
      <c r="AK4" s="6">
        <f>IF($C$2=3,AE4+AG4+AH4,0)</f>
        <v>0</v>
      </c>
      <c r="AL4" s="6">
        <v>1</v>
      </c>
      <c r="AM4" s="6">
        <f>F4/AL4</f>
        <v>4</v>
      </c>
      <c r="AN4" s="6">
        <f>AI4/AM4</f>
        <v>0</v>
      </c>
      <c r="AO4" s="6">
        <f>AJ4/AM4</f>
        <v>0</v>
      </c>
      <c r="AP4" s="6">
        <f>AK4/AM4</f>
        <v>0</v>
      </c>
      <c r="AQ4" s="6" t="s">
        <v>76</v>
      </c>
      <c r="AR4" s="6">
        <f>AN4+AO4+AP4</f>
        <v>0</v>
      </c>
      <c r="AS4" s="6" t="s">
        <v>78</v>
      </c>
      <c r="AT4" s="6" t="s">
        <v>76</v>
      </c>
      <c r="AU4" t="s">
        <v>163</v>
      </c>
      <c r="AV4" t="s">
        <v>164</v>
      </c>
      <c r="AW4" s="6">
        <f>AM4</f>
        <v>4</v>
      </c>
      <c r="AX4" s="6">
        <f>AR4</f>
        <v>0</v>
      </c>
      <c r="AY4" s="6">
        <f>AU4+AW4</f>
        <v>4</v>
      </c>
      <c r="AZ4" s="6">
        <f>ROUND(((AU4*AV4)+(AW4*AX4))/(AU4+AW4),5)</f>
        <v>4608.96016</v>
      </c>
      <c r="BA4" s="20"/>
      <c r="BB4" s="20" t="s">
        <v>81</v>
      </c>
      <c r="BC4" s="20" t="s">
        <v>82</v>
      </c>
      <c r="BD4" s="21" t="s">
        <v>83</v>
      </c>
      <c r="BE4" s="21" t="s">
        <v>84</v>
      </c>
      <c r="BF4" s="20"/>
      <c r="BG4" s="20"/>
      <c r="BH4" s="20"/>
      <c r="BI4" s="6"/>
      <c r="BJ4" s="6"/>
      <c r="BK4" s="6"/>
      <c r="BL4" s="22" t="s">
        <v>85</v>
      </c>
      <c r="BM4" t="s">
        <v>165</v>
      </c>
      <c r="BN4" t="s">
        <v>166</v>
      </c>
      <c r="BO4" s="6">
        <f>ROUND((((AW4*AZ4)+(BN4*BM4))/(AW4+BN4)),5)</f>
        <v>343.20889</v>
      </c>
      <c r="BP4" s="20">
        <f>BN4+AW4</f>
        <v>4</v>
      </c>
      <c r="BQ4" s="20">
        <v>88363222</v>
      </c>
    </row>
    <row r="5" spans="1:69">
      <c r="A5" s="3"/>
      <c r="B5" s="7"/>
      <c r="C5" s="7"/>
      <c r="D5" s="8" t="s">
        <v>88</v>
      </c>
      <c r="E5" s="8"/>
      <c r="F5" s="8"/>
      <c r="G5" s="8"/>
      <c r="H5" s="9">
        <f>SUM(H4:H4)</f>
        <v>400</v>
      </c>
      <c r="I5" s="3"/>
      <c r="J5" s="3"/>
      <c r="K5" s="3"/>
      <c r="L5" s="3"/>
      <c r="M5" s="3"/>
      <c r="N5" s="3"/>
      <c r="O5" s="3"/>
      <c r="P5" s="3"/>
      <c r="Q5" s="3"/>
      <c r="R5" s="9">
        <f t="shared" ref="R5:X5" si="0">SUM(R4:R4)</f>
        <v>23.52</v>
      </c>
      <c r="S5" s="9">
        <f t="shared" si="0"/>
        <v>376.48</v>
      </c>
      <c r="T5" s="8"/>
      <c r="U5" s="8"/>
      <c r="V5" s="9">
        <f t="shared" si="0"/>
        <v>0</v>
      </c>
      <c r="W5" s="9">
        <f t="shared" si="0"/>
        <v>0</v>
      </c>
      <c r="X5" s="9">
        <f t="shared" si="0"/>
        <v>67.77</v>
      </c>
      <c r="Y5" s="17"/>
      <c r="Z5" s="17"/>
      <c r="AA5" s="17"/>
      <c r="AB5" s="9">
        <f t="shared" ref="AB5:AE5" si="1">SUM(AB4:AB4)</f>
        <v>67.77</v>
      </c>
      <c r="AC5" s="9">
        <f t="shared" si="1"/>
        <v>444.25</v>
      </c>
      <c r="AD5" s="9">
        <f t="shared" si="1"/>
        <v>120</v>
      </c>
      <c r="AE5" s="9">
        <f t="shared" si="1"/>
        <v>0</v>
      </c>
      <c r="AF5" s="16"/>
      <c r="AG5" s="9">
        <f t="shared" ref="AG5:AK5" si="2">SUM(AG4:AG4)</f>
        <v>0</v>
      </c>
      <c r="AH5" s="9">
        <f t="shared" si="2"/>
        <v>0</v>
      </c>
      <c r="AI5" s="9">
        <f t="shared" si="2"/>
        <v>0</v>
      </c>
      <c r="AJ5" s="9">
        <f t="shared" si="2"/>
        <v>0</v>
      </c>
      <c r="AK5" s="9">
        <f t="shared" si="2"/>
        <v>0</v>
      </c>
      <c r="AL5" s="16"/>
      <c r="AM5" s="16"/>
      <c r="AN5" s="16"/>
      <c r="AO5" s="16"/>
      <c r="AP5" s="16"/>
      <c r="AQ5" s="16"/>
      <c r="AR5" s="16"/>
      <c r="AS5" s="3"/>
      <c r="AT5" s="3"/>
      <c r="AU5" s="7"/>
      <c r="AV5" s="7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7"/>
      <c r="BQ5" s="7"/>
    </row>
  </sheetData>
  <mergeCells count="1">
    <mergeCell ref="A2:B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27</vt:i4>
      </vt:variant>
    </vt:vector>
  </HeadingPairs>
  <TitlesOfParts>
    <vt:vector size="27" baseType="lpstr">
      <vt:lpstr>D-PoToGRNFOCUDGeneralSameUOMWI</vt:lpstr>
      <vt:lpstr>D-PoToGRNFOCUDGeneralSameUOMWOI</vt:lpstr>
      <vt:lpstr>D-PoToGRNFOCUDServiceSameUOMWOI</vt:lpstr>
      <vt:lpstr>D-PoToGRNFOCUDStkTrnSameUOMWI</vt:lpstr>
      <vt:lpstr>D-PoToGRNFOCUDStkTrnSameUOMWOI</vt:lpstr>
      <vt:lpstr>D-PoToGRNFOCRCGeneralSameUOMWI</vt:lpstr>
      <vt:lpstr>D-PoToGRNFOCRCGeneralSameUOMWOI</vt:lpstr>
      <vt:lpstr>D-PoToGRNFOCRCServiceSameUOMWOI</vt:lpstr>
      <vt:lpstr>D-PoToGRNFOCRCStkTrnSameUOMWI</vt:lpstr>
      <vt:lpstr>D-PoToGRNFOCRCStkTrnSameUOMWOI</vt:lpstr>
      <vt:lpstr>D-PoToGRNFOCPLGeneralSameUOMWI</vt:lpstr>
      <vt:lpstr>D-PoToGRNFOCPLGeneralSameUOMWOI</vt:lpstr>
      <vt:lpstr>D-PoToGRNFOCPLServiceSameUOMWOI</vt:lpstr>
      <vt:lpstr>D-PoToGRNFOCPLStkTrnSameUOMWI</vt:lpstr>
      <vt:lpstr>D-PoToGRNFOCPLStkTrnSameUOMWOI</vt:lpstr>
      <vt:lpstr>D-PoToGRNFOCUDGeneralDiffUOMWI</vt:lpstr>
      <vt:lpstr>D-PoToGRNFOCUDGeneralDiffUOMWOI</vt:lpstr>
      <vt:lpstr>D-PoToGRNFOCUDStkTrnDiffUOMWI</vt:lpstr>
      <vt:lpstr>D-PoToGRNFOCUDStkTrnDiffUOMWOI</vt:lpstr>
      <vt:lpstr>D-PoToGRNFOCRCGeneralDiffUOMWI</vt:lpstr>
      <vt:lpstr>D-PoToGRNFOCRCGeneralDiffUOMWOI</vt:lpstr>
      <vt:lpstr>D-PoToGRNFOCRCStkTrnDiffUOMWI</vt:lpstr>
      <vt:lpstr>D-PoToGRNFOCRCStkTrnDiffUOMWOI</vt:lpstr>
      <vt:lpstr>D-PoToGRNFOCPLGeneralDiffUOMWI</vt:lpstr>
      <vt:lpstr>D-PoToGRNFOCPLGeneralDiffUOMWOI</vt:lpstr>
      <vt:lpstr>D-PoToGRNFOCPLStkTrnDiffUOMWI</vt:lpstr>
      <vt:lpstr>D-PoToGRNFOCPLStkTrnDiffUOMWOI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2025-12-11T12:04:00Z</dcterms:created>
  <dcterms:modified xsi:type="dcterms:W3CDTF">2026-02-26T06:17:53Z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4E9ECC40A3E54A168E585F45F91ADEB2_12</vt:lpwstr>
  </property>
  <property fmtid="{D5CDD505-2E9C-101B-9397-08002B2CF9AE}" pid="3" name="KSOProductBuildVer">
    <vt:lpwstr>2057-12.2.0.23196</vt:lpwstr>
  </property>
</Properties>
</file>