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920" firstSheet="25" activeTab="26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<sst xmlns="http://schemas.openxmlformats.org/spreadsheetml/2006/main" count="2577" uniqueCount="116">
  <si>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</si>
  <si>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</si>
  <si>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</si>
  <si>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</si>
  <si>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</si>
  <si>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</si>
  <si>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</si>
  <si>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</si>
  <si>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</si>
  <si>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</si>
  <si>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</si>
  <si>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</si>
  <si>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</si>
  <si>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</si>
  <si>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</si>
  <si>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</si>
  <si>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</si>
  <si>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</si>
  <si>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</si>
  <si>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</si>
  <si>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</si>
  <si>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</si>
  <si>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</si>
  <si>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</si>
  <si>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</si>
  <si>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</si>
  <si>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</si>
  <si>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</si>
  <si>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</si>
  <si>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</si>
  <si>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</si>
  <si>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</si>
  <si>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</si>
  <si>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</si>
  <si>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</si>
  <si>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</si>
  <si>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</si>
  <si>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</si>
  <si>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</si>
  <si>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</si>
  <si>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</si>
  <si>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</si>
  <si>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</si>
  <si>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</si>
  <si>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</si>
  <si>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</si>
  <si>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</si>
  <si>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</si>
  <si>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</si>
  <si>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</si>
  <si>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</si>
  <si>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</si>
  <si>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</si>
  <si>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</si>
  <si>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</si>
  <si>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</si>
  <si>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</si>
  <si>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</si>
  <si>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</si>
  <si>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</si>
  <si>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</si>
  <si>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</si>
  <si>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</si>
  <si>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</si>
  <si>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</si>
  <si>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</si>
  <si>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</si>
  <si>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</si>
  <si>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</si>
  <si>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</si>
  <si>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</si>
  <si>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</si>
  <si>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</si>
  <si>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</si>
  <si>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</si>
  <si>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</si>
  <si>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</si>
  <si>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INS WH-1</t>
  </si>
  <si>
    <t>2</t>
  </si>
  <si>
    <t>18387.625</t>
  </si>
  <si>
    <t>Receipt Qty &amp; Unit cost</t>
  </si>
  <si>
    <t>LOT</t>
  </si>
  <si>
    <t>RM</t>
  </si>
  <si>
    <t>RMS</t>
  </si>
  <si>
    <t>RM WH-49</t>
  </si>
  <si>
    <t>17578.05921</t>
  </si>
  <si>
    <t>531</t>
  </si>
  <si>
    <t>Total</t>
  </si>
  <si>
    <t>GWL_Item_Similar_05</t>
  </si>
  <si>
    <t>GWL_Item_Similar_05_Desc</t>
  </si>
  <si>
    <t>VD Asbl. Val.</t>
  </si>
  <si>
    <t>Pur. Value</t>
  </si>
  <si>
    <t>Tax%</t>
  </si>
  <si>
    <t>Unit cost (Stk. UOM)</t>
  </si>
  <si>
    <t>GWL_Item_service_05</t>
  </si>
  <si>
    <t>GWL_Item_Similar_St_08</t>
  </si>
  <si>
    <t>GWL_Item_Similar_St_09</t>
  </si>
  <si>
    <t>GWL_Item_Similar_Rc_01</t>
  </si>
  <si>
    <t>GWL_Item_Similar_Rc_02</t>
  </si>
  <si>
    <t>GWL_Item_Service_Rc_06</t>
  </si>
  <si>
    <t>GWL_Item_Similar_Rc_St_01</t>
  </si>
  <si>
    <t>GWL_Item_Similar_Rc_St_02</t>
  </si>
  <si>
    <t>GWL_Item_Similar_Pl_01</t>
  </si>
  <si>
    <t>GWL_Item_Similar_Pl_02</t>
  </si>
  <si>
    <t>GWL_Item_Service_Pl_03</t>
  </si>
  <si>
    <t>GWL_similar_Pl_St_01</t>
  </si>
  <si>
    <t>GWL_similar_Pl_St_02</t>
  </si>
  <si>
    <t>GWL_Item_Dissimilar_04</t>
  </si>
  <si>
    <t>GWL_Item_Dissimilar_05</t>
  </si>
  <si>
    <t>GWL_Dissimilar_St_01</t>
  </si>
  <si>
    <t>GWL_Dissimilar_St_02</t>
  </si>
  <si>
    <t>GWL_Item_Dissimilar_Rc_01</t>
  </si>
  <si>
    <t>GWL_Item_Dissimilar_Rc_02</t>
  </si>
  <si>
    <t>GWL_Item_Dissimilar_Pl_01</t>
  </si>
  <si>
    <t>GWL_Item_Dissimilar_Pl_02</t>
  </si>
  <si>
    <t>GWL_Item_Dissimilar_Pl_03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</si>
</sst>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7" applyNumberFormat="0" applyAlignment="0" applyProtection="0">
      <alignment vertical="center"/>
    </xf>
    <xf numFmtId="0" fontId="12" fillId="12" borderId="8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3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6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49" applyNumberFormat="1" applyFont="1" applyFill="1" applyBorder="1" applyAlignment="1"/>
    <xf numFmtId="0" fontId="0" fillId="0" borderId="0" xfId="49" applyFill="1" applyAlignment="1"/>
    <xf numFmtId="0" fontId="2" fillId="0" borderId="3" xfId="49" applyNumberFormat="1" applyFont="1" applyFill="1" applyBorder="1" applyAlignment="1"/>
    <xf numFmtId="0" fontId="0" fillId="0" borderId="0" xfId="49">
      <alignment vertical="center"/>
    </xf>
    <xf numFmtId="0" fontId="0" fillId="0" borderId="3" xfId="49" applyNumberFormat="1" applyFill="1" applyBorder="1" applyAlignment="1"/>
    <xf numFmtId="0" fontId="0" fillId="0" borderId="1" xfId="49" applyFill="1" applyBorder="1" applyAlignment="1">
      <alignment vertical="center"/>
    </xf>
    <xf numFmtId="0" fontId="0" fillId="0" borderId="1" xfId="49" applyNumberFormat="1" applyFont="1" applyFill="1" applyBorder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theme" Target="theme/theme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B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0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18</v>
      </c>
      <c r="K3" s="34" t="s">
        <v>19</v>
      </c>
      <c r="L3" s="45" t="s">
        <v>20</v>
      </c>
      <c r="M3" s="45" t="s">
        <v>21</v>
      </c>
      <c r="N3" s="45" t="s">
        <v>22</v>
      </c>
      <c r="O3" s="45" t="s">
        <v>23</v>
      </c>
      <c r="P3" s="45" t="s">
        <v>24</v>
      </c>
      <c r="Q3" s="45" t="s">
        <v>25</v>
      </c>
      <c r="R3" s="34" t="s">
        <v>26</v>
      </c>
      <c r="S3" s="33" t="s">
        <v>27</v>
      </c>
      <c r="T3" s="33" t="s">
        <v>28</v>
      </c>
      <c r="U3" s="36" t="s">
        <v>29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52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75</v>
      </c>
      <c r="C4" s="31" t="s">
        <v>75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18</v>
      </c>
      <c r="K3" s="34" t="s">
        <v>19</v>
      </c>
      <c r="L3" s="45" t="s">
        <v>20</v>
      </c>
      <c r="M3" s="45" t="s">
        <v>21</v>
      </c>
      <c r="N3" s="45" t="s">
        <v>22</v>
      </c>
      <c r="O3" s="45" t="s">
        <v>23</v>
      </c>
      <c r="P3" s="45" t="s">
        <v>24</v>
      </c>
      <c r="Q3" s="45" t="s">
        <v>25</v>
      </c>
      <c r="R3" s="34" t="s">
        <v>26</v>
      </c>
      <c r="S3" s="33" t="s">
        <v>27</v>
      </c>
      <c r="T3" s="33" t="s">
        <v>28</v>
      </c>
      <c r="U3" s="36" t="s">
        <v>29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52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88</v>
      </c>
      <c r="C4" s="31" t="s">
        <v>89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15.2128</v>
      </c>
      <c r="AC5" s="42">
        <f t="shared" si="1"/>
        <v>395.5328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94</v>
      </c>
      <c r="C4" s="31" t="s">
        <v>94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15.2128</v>
      </c>
      <c r="AC5" s="42">
        <f t="shared" si="1"/>
        <v>395.5328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95</v>
      </c>
      <c r="C4" s="31" t="s">
        <v>95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96</v>
      </c>
      <c r="C4" s="31" t="s">
        <v>96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5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97</v>
      </c>
      <c r="C4" s="31" t="s">
        <v>97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5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98</v>
      </c>
      <c r="C4" s="31" t="s">
        <v>98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15.2128</v>
      </c>
      <c r="AC5" s="42">
        <f t="shared" si="1"/>
        <v>395.5328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5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99</v>
      </c>
      <c r="C4" s="31" t="s">
        <v>99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15.2128</v>
      </c>
      <c r="AC5" s="42">
        <f t="shared" si="1"/>
        <v>395.5328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8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100</v>
      </c>
      <c r="C4" s="31" t="s">
        <v>100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8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101</v>
      </c>
      <c r="C4" s="31" t="s">
        <v>101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4.718181818181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102</v>
      </c>
      <c r="C4" s="31" t="s">
        <v>102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4.718181818181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103</v>
      </c>
      <c r="C4" s="31" t="s">
        <v>103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15.2128</v>
      </c>
      <c r="AC5" s="42">
        <f t="shared" si="1"/>
        <v>395.5328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5.145454545454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104</v>
      </c>
      <c r="C4" s="31" t="s">
        <v>104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95.08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95.08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95.08</v>
      </c>
      <c r="AY4" s="19">
        <f>AU4+AW4</f>
        <v>6</v>
      </c>
      <c r="AZ4" s="19">
        <f>ROUND(((AU4*AV4)+(AW4*AX4))/(AU4+AW4),5)</f>
        <v>6192.595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17492.93424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15.2128</v>
      </c>
      <c r="AC5" s="42">
        <f t="shared" si="1"/>
        <v>395.5328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380.32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105</v>
      </c>
      <c r="C4" s="31" t="s">
        <v>105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106</v>
      </c>
      <c r="C4" s="31" t="s">
        <v>106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1</v>
      </c>
      <c r="AM4" s="17">
        <f>F4/AL4</f>
        <v>4</v>
      </c>
      <c r="AN4" s="17">
        <f>AI4/AM4</f>
        <v>94.12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94.12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4</v>
      </c>
      <c r="AX4" s="19">
        <f>AR4</f>
        <v>94.12</v>
      </c>
      <c r="AY4" s="19">
        <f>AU4+AW4</f>
        <v>6</v>
      </c>
      <c r="AZ4" s="19">
        <f>ROUND(((AU4*AV4)+(AW4*AX4))/(AU4+AW4),5)</f>
        <v>6191.955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17492.92946</v>
      </c>
      <c r="BP4" s="24">
        <f>BN4+AW4</f>
        <v>535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L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4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107</v>
      </c>
      <c r="C4" s="31" t="s">
        <v>107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4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108</v>
      </c>
      <c r="C4" s="31" t="s">
        <v>108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109</v>
      </c>
      <c r="C4" s="31" t="s">
        <v>109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110</v>
      </c>
      <c r="C4" s="31" t="s">
        <v>110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111</v>
      </c>
      <c r="C4" s="31" t="s">
        <v>111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112</v>
      </c>
      <c r="C4" s="31" t="s">
        <v>112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111</v>
      </c>
      <c r="C4" s="31" t="s">
        <v>111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112</v>
      </c>
      <c r="C4" s="31" t="s">
        <v>112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 t="s">
        <v>78</v>
      </c>
      <c r="J4" s="40">
        <v>2</v>
      </c>
      <c r="K4" s="40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X5" si="0">SUM(R4:R4)</f>
        <v>23.52</v>
      </c>
      <c r="S5" s="42">
        <f t="shared" si="0"/>
        <v>376.48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4"/>
      <c r="Z5" s="44"/>
      <c r="AA5" s="44"/>
      <c r="AB5" s="42">
        <f t="shared" ref="AB5:AE5" si="1">SUM(AB4:AB4)</f>
        <v>15.0592</v>
      </c>
      <c r="AC5" s="42">
        <f t="shared" si="1"/>
        <v>391.5392</v>
      </c>
      <c r="AD5" s="42">
        <f t="shared" si="1"/>
        <v>120</v>
      </c>
      <c r="AE5" s="42">
        <f t="shared" si="1"/>
        <v>0</v>
      </c>
      <c r="AF5" s="43"/>
      <c r="AG5" s="42">
        <f t="shared" ref="AG5:AK5" si="2">SUM(AG4:AG4)</f>
        <v>0</v>
      </c>
      <c r="AH5" s="42">
        <f t="shared" si="2"/>
        <v>0</v>
      </c>
      <c r="AI5" s="42">
        <f t="shared" si="2"/>
        <v>376.48</v>
      </c>
      <c r="AJ5" s="42">
        <f t="shared" si="2"/>
        <v>0</v>
      </c>
      <c r="AK5" s="42">
        <f t="shared" si="2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113</v>
      </c>
      <c r="C4" s="31" t="s">
        <v>113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9">
        <v>2</v>
      </c>
      <c r="D2" s="7" t="s">
        <v>2</v>
      </c>
      <c r="E2" s="29"/>
      <c r="F2" s="29"/>
      <c r="G2" s="29"/>
      <c r="H2" s="30"/>
      <c r="I2" s="31" t="s">
        <v>3</v>
      </c>
      <c r="J2" s="31" t="s">
        <v>4</v>
      </c>
      <c r="K2" s="31"/>
      <c r="L2" s="31" t="s">
        <v>5</v>
      </c>
      <c r="M2" s="31">
        <v>1</v>
      </c>
      <c r="N2" s="31"/>
      <c r="O2" s="31" t="s">
        <v>6</v>
      </c>
      <c r="P2" s="31">
        <v>2</v>
      </c>
      <c r="Q2" s="31" t="s">
        <v>7</v>
      </c>
      <c r="R2" s="30"/>
      <c r="S2" s="30"/>
      <c r="T2" s="30"/>
      <c r="U2" s="30"/>
      <c r="V2" s="30">
        <v>1</v>
      </c>
      <c r="W2" s="30" t="s">
        <v>8</v>
      </c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2"/>
      <c r="BQ2" s="32"/>
    </row>
    <row r="3" ht="15.25" spans="1:69">
      <c r="A3" s="33" t="s">
        <v>9</v>
      </c>
      <c r="B3" s="33" t="s">
        <v>10</v>
      </c>
      <c r="C3" s="33" t="s">
        <v>11</v>
      </c>
      <c r="D3" s="33" t="s">
        <v>12</v>
      </c>
      <c r="E3" s="33" t="s">
        <v>13</v>
      </c>
      <c r="F3" s="33" t="s">
        <v>14</v>
      </c>
      <c r="G3" s="33" t="s">
        <v>15</v>
      </c>
      <c r="H3" s="33" t="s">
        <v>16</v>
      </c>
      <c r="I3" s="34" t="s">
        <v>17</v>
      </c>
      <c r="J3" s="34" t="s">
        <v>19</v>
      </c>
      <c r="K3" s="34" t="s">
        <v>18</v>
      </c>
      <c r="L3" s="35" t="s">
        <v>20</v>
      </c>
      <c r="M3" s="35" t="s">
        <v>21</v>
      </c>
      <c r="N3" s="35" t="s">
        <v>24</v>
      </c>
      <c r="O3" s="35" t="s">
        <v>25</v>
      </c>
      <c r="P3" s="35" t="s">
        <v>90</v>
      </c>
      <c r="Q3" s="35" t="s">
        <v>23</v>
      </c>
      <c r="R3" s="34" t="s">
        <v>26</v>
      </c>
      <c r="S3" s="33" t="s">
        <v>91</v>
      </c>
      <c r="T3" s="33" t="s">
        <v>28</v>
      </c>
      <c r="U3" s="36" t="s">
        <v>92</v>
      </c>
      <c r="V3" s="36" t="s">
        <v>30</v>
      </c>
      <c r="W3" s="36" t="s">
        <v>31</v>
      </c>
      <c r="X3" s="36" t="s">
        <v>32</v>
      </c>
      <c r="Y3" s="36" t="s">
        <v>33</v>
      </c>
      <c r="Z3" s="36" t="s">
        <v>34</v>
      </c>
      <c r="AA3" s="36" t="s">
        <v>35</v>
      </c>
      <c r="AB3" s="36" t="s">
        <v>36</v>
      </c>
      <c r="AC3" s="37" t="s">
        <v>37</v>
      </c>
      <c r="AD3" s="37" t="s">
        <v>38</v>
      </c>
      <c r="AE3" s="37" t="s">
        <v>39</v>
      </c>
      <c r="AF3" s="37" t="s">
        <v>40</v>
      </c>
      <c r="AG3" s="37" t="s">
        <v>41</v>
      </c>
      <c r="AH3" s="37" t="s">
        <v>42</v>
      </c>
      <c r="AI3" s="37" t="s">
        <v>43</v>
      </c>
      <c r="AJ3" s="37" t="s">
        <v>44</v>
      </c>
      <c r="AK3" s="37" t="s">
        <v>45</v>
      </c>
      <c r="AL3" s="37" t="s">
        <v>46</v>
      </c>
      <c r="AM3" s="37" t="s">
        <v>47</v>
      </c>
      <c r="AN3" s="37" t="s">
        <v>48</v>
      </c>
      <c r="AO3" s="37" t="s">
        <v>49</v>
      </c>
      <c r="AP3" s="37" t="s">
        <v>50</v>
      </c>
      <c r="AQ3" s="37" t="s">
        <v>51</v>
      </c>
      <c r="AR3" s="38" t="s">
        <v>93</v>
      </c>
      <c r="AS3" s="33" t="s">
        <v>53</v>
      </c>
      <c r="AT3" s="33" t="s">
        <v>51</v>
      </c>
      <c r="AU3" s="39" t="s">
        <v>54</v>
      </c>
      <c r="AV3" s="39" t="s">
        <v>55</v>
      </c>
      <c r="AW3" s="39" t="s">
        <v>56</v>
      </c>
      <c r="AX3" s="39" t="s">
        <v>57</v>
      </c>
      <c r="AY3" s="39" t="s">
        <v>58</v>
      </c>
      <c r="AZ3" s="39" t="s">
        <v>59</v>
      </c>
      <c r="BA3" s="39" t="s">
        <v>60</v>
      </c>
      <c r="BB3" s="39" t="s">
        <v>61</v>
      </c>
      <c r="BC3" s="39" t="s">
        <v>62</v>
      </c>
      <c r="BD3" s="39" t="s">
        <v>63</v>
      </c>
      <c r="BE3" s="39" t="s">
        <v>64</v>
      </c>
      <c r="BF3" s="39" t="s">
        <v>65</v>
      </c>
      <c r="BG3" s="39" t="s">
        <v>66</v>
      </c>
      <c r="BH3" s="39" t="s">
        <v>67</v>
      </c>
      <c r="BI3" s="39" t="s">
        <v>68</v>
      </c>
      <c r="BJ3" s="39" t="s">
        <v>69</v>
      </c>
      <c r="BK3" s="39" t="s">
        <v>70</v>
      </c>
      <c r="BL3" s="39" t="s">
        <v>71</v>
      </c>
      <c r="BM3" s="39" t="s">
        <v>72</v>
      </c>
      <c r="BN3" s="39" t="s">
        <v>73</v>
      </c>
      <c r="BO3" s="39" t="s">
        <v>59</v>
      </c>
      <c r="BP3" s="39" t="s">
        <v>74</v>
      </c>
      <c r="BQ3" s="39" t="s">
        <v>28</v>
      </c>
    </row>
    <row r="4" ht="15.25" spans="1:69">
      <c r="A4" s="31">
        <v>1</v>
      </c>
      <c r="B4" s="31" t="s">
        <v>114</v>
      </c>
      <c r="C4" s="31" t="s">
        <v>114</v>
      </c>
      <c r="D4" s="31" t="s">
        <v>76</v>
      </c>
      <c r="E4" s="31" t="s">
        <v>76</v>
      </c>
      <c r="F4" s="40">
        <v>4</v>
      </c>
      <c r="G4" s="40">
        <v>100</v>
      </c>
      <c r="H4" s="40">
        <f>F4*G4</f>
        <v>400</v>
      </c>
      <c r="I4" s="32">
        <v>1</v>
      </c>
      <c r="J4" s="40">
        <v>2</v>
      </c>
      <c r="K4" s="40">
        <v>2</v>
      </c>
      <c r="L4" s="17">
        <f>H4</f>
        <v>400</v>
      </c>
      <c r="M4" s="17">
        <f>ROUND(L4*I4%,2)</f>
        <v>4</v>
      </c>
      <c r="N4" s="17">
        <f>H4-M4</f>
        <v>396</v>
      </c>
      <c r="O4" s="17">
        <f>ROUND(N4*J4%,2)</f>
        <v>7.92</v>
      </c>
      <c r="P4" s="17">
        <f>ROUND(N4-O4,2)</f>
        <v>388.08</v>
      </c>
      <c r="Q4" s="17">
        <f>ROUND(P4*K4%,2)</f>
        <v>7.76</v>
      </c>
      <c r="R4" s="17">
        <f>M4+O4+Q4</f>
        <v>19.68</v>
      </c>
      <c r="S4" s="17">
        <f>(H4-R4)</f>
        <v>380.32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15.2128</v>
      </c>
      <c r="AB4" s="17">
        <f>V4+W4+X4+Y4+AA4</f>
        <v>15.2128</v>
      </c>
      <c r="AC4" s="17">
        <f>IF($V2=1,S4+AB4,S4)</f>
        <v>395.5328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380.32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285.24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285.24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285.24</v>
      </c>
      <c r="AY4" s="19">
        <f>AU4+AW4</f>
        <v>3.33333333333333</v>
      </c>
      <c r="AZ4" s="19">
        <f>ROUND(((AU4*AV4)+(AW4*AX4))/(AU4+AW4),5)</f>
        <v>11146.671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17561.95054</v>
      </c>
      <c r="BP4" s="24">
        <f>BN4+AW4</f>
        <v>532.333333333333</v>
      </c>
      <c r="BQ4" s="25">
        <v>123562</v>
      </c>
    </row>
    <row r="5" spans="1:69">
      <c r="A5" s="31"/>
      <c r="B5" s="32"/>
      <c r="C5" s="32"/>
      <c r="D5" s="41" t="s">
        <v>87</v>
      </c>
      <c r="E5" s="41"/>
      <c r="F5" s="41"/>
      <c r="G5" s="41"/>
      <c r="H5" s="42">
        <f>SUM(H4:H4)</f>
        <v>400</v>
      </c>
      <c r="I5" s="31"/>
      <c r="J5" s="31"/>
      <c r="K5" s="31"/>
      <c r="L5" s="31"/>
      <c r="M5" s="31"/>
      <c r="N5" s="31"/>
      <c r="O5" s="31"/>
      <c r="P5" s="31"/>
      <c r="Q5" s="31"/>
      <c r="R5" s="42">
        <f t="shared" ref="R5:AK5" si="0">SUM(R4:R4)</f>
        <v>19.68</v>
      </c>
      <c r="S5" s="42">
        <f t="shared" si="0"/>
        <v>380.32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>
        <f t="shared" si="0"/>
        <v>0</v>
      </c>
      <c r="Z5" s="42">
        <f t="shared" si="0"/>
        <v>4</v>
      </c>
      <c r="AA5" s="42">
        <f t="shared" si="0"/>
        <v>15.2128</v>
      </c>
      <c r="AB5" s="42">
        <f t="shared" si="0"/>
        <v>15.2128</v>
      </c>
      <c r="AC5" s="42">
        <f t="shared" si="0"/>
        <v>395.5328</v>
      </c>
      <c r="AD5" s="42">
        <f t="shared" si="0"/>
        <v>120</v>
      </c>
      <c r="AE5" s="42">
        <f t="shared" si="0"/>
        <v>0</v>
      </c>
      <c r="AF5" s="42">
        <f t="shared" si="0"/>
        <v>0</v>
      </c>
      <c r="AG5" s="42">
        <f t="shared" si="0"/>
        <v>0</v>
      </c>
      <c r="AH5" s="42">
        <f t="shared" si="0"/>
        <v>0</v>
      </c>
      <c r="AI5" s="42">
        <f t="shared" si="0"/>
        <v>380.32</v>
      </c>
      <c r="AJ5" s="42">
        <f t="shared" si="0"/>
        <v>0</v>
      </c>
      <c r="AK5" s="42">
        <f t="shared" si="0"/>
        <v>0</v>
      </c>
      <c r="AL5" s="43"/>
      <c r="AM5" s="43"/>
      <c r="AN5" s="43"/>
      <c r="AO5" s="43"/>
      <c r="AP5" s="43"/>
      <c r="AQ5" s="43"/>
      <c r="AR5" s="43"/>
      <c r="AS5" s="31"/>
      <c r="AT5" s="31"/>
      <c r="AU5" s="32"/>
      <c r="AV5" s="32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2"/>
      <c r="BQ5" s="32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L4" sqref="L4:BQ4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90</v>
      </c>
      <c r="Q3" s="11" t="s">
        <v>23</v>
      </c>
      <c r="R3" s="10" t="s">
        <v>26</v>
      </c>
      <c r="S3" s="9" t="s">
        <v>91</v>
      </c>
      <c r="T3" s="9" t="s">
        <v>28</v>
      </c>
      <c r="U3" s="12" t="s">
        <v>92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93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113</v>
      </c>
      <c r="C4" s="6" t="s">
        <v>113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78</v>
      </c>
      <c r="J4" s="16">
        <v>2</v>
      </c>
      <c r="K4" s="16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6"/>
      <c r="B5" s="8"/>
      <c r="C5" s="8"/>
      <c r="D5" s="26" t="s">
        <v>87</v>
      </c>
      <c r="E5" s="26"/>
      <c r="F5" s="26"/>
      <c r="G5" s="26"/>
      <c r="H5" s="27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7">
        <f t="shared" ref="R5:X5" si="0">SUM(R4:R4)</f>
        <v>23.52</v>
      </c>
      <c r="S5" s="27">
        <f t="shared" si="0"/>
        <v>376.48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0</v>
      </c>
      <c r="Y5" s="28"/>
      <c r="Z5" s="28"/>
      <c r="AA5" s="28"/>
      <c r="AB5" s="27">
        <f t="shared" ref="AB5:AE5" si="1">SUM(AB4:AB4)</f>
        <v>15.0592</v>
      </c>
      <c r="AC5" s="27">
        <f t="shared" si="1"/>
        <v>391.5392</v>
      </c>
      <c r="AD5" s="27">
        <f t="shared" si="1"/>
        <v>120</v>
      </c>
      <c r="AE5" s="27">
        <f t="shared" si="1"/>
        <v>0</v>
      </c>
      <c r="AF5" s="13"/>
      <c r="AG5" s="27">
        <f t="shared" ref="AG5:AK5" si="2">SUM(AG4:AG4)</f>
        <v>0</v>
      </c>
      <c r="AH5" s="27">
        <f t="shared" si="2"/>
        <v>0</v>
      </c>
      <c r="AI5" s="27">
        <f t="shared" si="2"/>
        <v>376.48</v>
      </c>
      <c r="AJ5" s="27">
        <f t="shared" si="2"/>
        <v>0</v>
      </c>
      <c r="AK5" s="27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E1" workbookViewId="0">
      <selection activeCell="P14" sqref="P14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90</v>
      </c>
      <c r="Q3" s="11" t="s">
        <v>23</v>
      </c>
      <c r="R3" s="10" t="s">
        <v>26</v>
      </c>
      <c r="S3" s="9" t="s">
        <v>91</v>
      </c>
      <c r="T3" s="9" t="s">
        <v>28</v>
      </c>
      <c r="U3" s="12" t="s">
        <v>92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93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115</v>
      </c>
      <c r="C4" s="6" t="s">
        <v>115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78</v>
      </c>
      <c r="J4" s="16">
        <v>2</v>
      </c>
      <c r="K4" s="16">
        <v>2</v>
      </c>
      <c r="L4" s="17">
        <f>H4</f>
        <v>400</v>
      </c>
      <c r="M4" s="17">
        <f>ROUND(L4*I4%,2)</f>
        <v>8</v>
      </c>
      <c r="N4" s="17">
        <f>H4-M4</f>
        <v>392</v>
      </c>
      <c r="O4" s="17">
        <f>ROUND(N4*J4%,2)</f>
        <v>7.84</v>
      </c>
      <c r="P4" s="17">
        <f>ROUND(N4-O4,2)</f>
        <v>384.16</v>
      </c>
      <c r="Q4" s="17">
        <f>ROUND(P4*K4%,2)</f>
        <v>7.68</v>
      </c>
      <c r="R4" s="17">
        <f>M4+O4+Q4</f>
        <v>23.52</v>
      </c>
      <c r="S4" s="17">
        <f>(H4-R4)</f>
        <v>376.48</v>
      </c>
      <c r="T4" s="17">
        <v>88363222</v>
      </c>
      <c r="U4" s="17">
        <v>0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0</v>
      </c>
      <c r="Y4" s="17">
        <f>IF($C$2=4,ROUND((((S4*U4)/100)/2),2),0)</f>
        <v>0</v>
      </c>
      <c r="Z4" s="17">
        <v>4</v>
      </c>
      <c r="AA4" s="17">
        <f>IF($C2=3,0,(S4*Z4)/100)</f>
        <v>15.0592</v>
      </c>
      <c r="AB4" s="17">
        <f>V4+W4+X4+Y4+AA4</f>
        <v>15.0592</v>
      </c>
      <c r="AC4" s="17">
        <f>IF($V2=1,S4+AB4,S4)</f>
        <v>391.5392</v>
      </c>
      <c r="AD4" s="17">
        <v>120</v>
      </c>
      <c r="AE4" s="17">
        <f>IF($P$2=1,(S4/$S$5)*$E$16,AD4/$AD$5*$E$16)</f>
        <v>0</v>
      </c>
      <c r="AF4" s="17"/>
      <c r="AG4" s="17">
        <f>IF($P$2=1,(S4/$S$5)*$E$18,AD4/$AD$5*$E$18)</f>
        <v>0</v>
      </c>
      <c r="AH4" s="17">
        <f>IF($P$2=1,(S4/$S$5)*$E$18,AD4/$AD$5*$E$18)</f>
        <v>0</v>
      </c>
      <c r="AI4" s="17">
        <f>S4*$M$2</f>
        <v>376.48</v>
      </c>
      <c r="AJ4" s="17">
        <f>IF($C$2=3,0,AG4+AH4)</f>
        <v>0</v>
      </c>
      <c r="AK4" s="17">
        <f>IF($C$2=3,AE4+AG4+AH4,0)</f>
        <v>0</v>
      </c>
      <c r="AL4" s="17">
        <v>3</v>
      </c>
      <c r="AM4" s="17">
        <f>F4/AL4</f>
        <v>1.33333333333333</v>
      </c>
      <c r="AN4" s="17">
        <f>AI4/AM4</f>
        <v>282.36</v>
      </c>
      <c r="AO4" s="17">
        <f>AJ4/AM4</f>
        <v>0</v>
      </c>
      <c r="AP4" s="17">
        <f>AK4/AM4</f>
        <v>0</v>
      </c>
      <c r="AQ4" s="17" t="s">
        <v>76</v>
      </c>
      <c r="AR4" s="18">
        <f>ROUND(AN4+AO4+AP4,5)</f>
        <v>282.36</v>
      </c>
      <c r="AS4" s="18" t="s">
        <v>77</v>
      </c>
      <c r="AT4" s="19" t="s">
        <v>76</v>
      </c>
      <c r="AU4" s="20" t="s">
        <v>78</v>
      </c>
      <c r="AV4" s="20" t="s">
        <v>79</v>
      </c>
      <c r="AW4" s="19">
        <f>AM4</f>
        <v>1.33333333333333</v>
      </c>
      <c r="AX4" s="19">
        <f>AR4</f>
        <v>282.36</v>
      </c>
      <c r="AY4" s="19">
        <f>AU4+AW4</f>
        <v>3.33333333333333</v>
      </c>
      <c r="AZ4" s="19">
        <f>ROUND(((AU4*AV4)+(AW4*AX4))/(AU4+AW4),5)</f>
        <v>11145.519</v>
      </c>
      <c r="BA4" s="21"/>
      <c r="BB4" s="21" t="s">
        <v>80</v>
      </c>
      <c r="BC4" s="22" t="s">
        <v>81</v>
      </c>
      <c r="BD4" s="23" t="s">
        <v>82</v>
      </c>
      <c r="BE4" s="23" t="s">
        <v>83</v>
      </c>
      <c r="BF4" s="21"/>
      <c r="BG4" s="21"/>
      <c r="BH4" s="21"/>
      <c r="BI4" s="19"/>
      <c r="BJ4" s="18"/>
      <c r="BK4" s="18"/>
      <c r="BL4" s="19" t="s">
        <v>84</v>
      </c>
      <c r="BM4" s="20" t="s">
        <v>85</v>
      </c>
      <c r="BN4" s="20" t="s">
        <v>86</v>
      </c>
      <c r="BO4" s="19">
        <f>ROUND((((AW4*AZ4)+(BN4*BM4))/(AW4+BN4)),5)</f>
        <v>17561.94765</v>
      </c>
      <c r="BP4" s="24">
        <f>BN4+AW4</f>
        <v>532.333333333333</v>
      </c>
      <c r="BQ4" s="25">
        <v>123562</v>
      </c>
    </row>
    <row r="5" spans="1:69">
      <c r="A5" s="6"/>
      <c r="B5" s="8"/>
      <c r="C5" s="8"/>
      <c r="D5" s="26" t="s">
        <v>87</v>
      </c>
      <c r="E5" s="26"/>
      <c r="F5" s="26"/>
      <c r="G5" s="26"/>
      <c r="H5" s="27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7">
        <f t="shared" ref="R5:X5" si="0">SUM(R4:R4)</f>
        <v>23.52</v>
      </c>
      <c r="S5" s="27">
        <f t="shared" si="0"/>
        <v>376.48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0</v>
      </c>
      <c r="Y5" s="28"/>
      <c r="Z5" s="28"/>
      <c r="AA5" s="28"/>
      <c r="AB5" s="27">
        <f t="shared" ref="AB5:AE5" si="1">SUM(AB4:AB4)</f>
        <v>15.0592</v>
      </c>
      <c r="AC5" s="27">
        <f t="shared" si="1"/>
        <v>391.5392</v>
      </c>
      <c r="AD5" s="27">
        <f t="shared" si="1"/>
        <v>120</v>
      </c>
      <c r="AE5" s="27">
        <f t="shared" si="1"/>
        <v>0</v>
      </c>
      <c r="AF5" s="13"/>
      <c r="AG5" s="27">
        <f t="shared" ref="AG5:AK5" si="2">SUM(AG4:AG4)</f>
        <v>0</v>
      </c>
      <c r="AH5" s="27">
        <f t="shared" si="2"/>
        <v>0</v>
      </c>
      <c r="AI5" s="27">
        <f t="shared" si="2"/>
        <v>376.48</v>
      </c>
      <c r="AJ5" s="27">
        <f t="shared" si="2"/>
        <v>0</v>
      </c>
      <c r="AK5" s="27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galaxy</cp:lastModifiedBy>
  <dcterms:created xsi:type="dcterms:W3CDTF">2025-12-11T12:04:00Z</dcterms:created>
  <dcterms:modified xsi:type="dcterms:W3CDTF">2026-09-23T14:10:38Z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