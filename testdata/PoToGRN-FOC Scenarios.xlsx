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activeTab="1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<sst xmlns="http://schemas.openxmlformats.org/spreadsheetml/2006/main" count="2586" uniqueCount="173">
  <si>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</si>
  <si>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</si>
  <si>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</si>
  <si>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</si>
  <si>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</si>
  <si>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</si>
  <si>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</si>
  <si>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</si>
  <si>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</si>
  <si>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</si>
  <si>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</si>
  <si>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</si>
  <si>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</si>
  <si>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</si>
  <si>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</si>
  <si>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</si>
  <si>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</si>
  <si>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</si>
  <si>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</si>
  <si>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</si>
  <si>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</si>
  <si>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</si>
  <si>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</si>
  <si>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</si>
  <si>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</si>
  <si>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</si>
  <si>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</si>
  <si>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</si>
  <si>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</si>
  <si>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</si>
  <si>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</si>
  <si>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</si>
  <si>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</si>
  <si>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</si>
  <si>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</si>
  <si>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</si>
  <si>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</si>
  <si>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</si>
  <si>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</si>
  <si>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</si>
  <si>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</si>
  <si>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</si>
  <si>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</si>
  <si>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</si>
  <si>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</si>
  <si>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</si>
  <si>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</si>
  <si>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</si>
  <si>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</si>
  <si>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</si>
  <si>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</si>
  <si>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</si>
  <si>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</si>
  <si>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</si>
  <si>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</si>
  <si>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</si>
  <si>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</si>
  <si>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</si>
  <si>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</si>
  <si>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</si>
  <si>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</si>
  <si>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</si>
  <si>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</si>
  <si>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</si>
  <si>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</si>
  <si>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</si>
  <si>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</si>
  <si>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</si>
  <si>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</si>
  <si>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</si>
  <si>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</si>
  <si>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</si>
  <si>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</si>
  <si>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</si>
  <si>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</si>
  <si>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</si>
  <si>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</si>
  <si>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HSN1</t>
  </si>
  <si>
    <t>INS WH-1</t>
  </si>
  <si>
    <t>326</t>
  </si>
  <si>
    <t>3858.62995</t>
  </si>
  <si>
    <t>Receipt Qty &amp; Unit cost</t>
  </si>
  <si>
    <t>LOT</t>
  </si>
  <si>
    <t>RM</t>
  </si>
  <si>
    <t>RMS</t>
  </si>
  <si>
    <t>RM WH-49</t>
  </si>
  <si>
    <t>1729.22114</t>
  </si>
  <si>
    <t>210</t>
  </si>
  <si>
    <t>Total</t>
  </si>
  <si>
    <t>GWL_Item_Similar_05</t>
  </si>
  <si>
    <t>GWL_Item_Similar_05_Desc</t>
  </si>
  <si>
    <t>990</t>
  </si>
  <si>
    <t>2297.6737</t>
  </si>
  <si>
    <t>984.36607</t>
  </si>
  <si>
    <t>458</t>
  </si>
  <si>
    <t>VD Asbl. Val.</t>
  </si>
  <si>
    <t>Pur. Value</t>
  </si>
  <si>
    <t>Tax%</t>
  </si>
  <si>
    <t>Unit cost (Stk. UOM)</t>
  </si>
  <si>
    <t>GWL_Item_service_05</t>
  </si>
  <si>
    <t>0</t>
  </si>
  <si>
    <t>GWL_Item_Similar_St_08</t>
  </si>
  <si>
    <t>2</t>
  </si>
  <si>
    <t>GWL_Item_Similar_St_09</t>
  </si>
  <si>
    <t>GWL_Item_Similar_Rc_01</t>
  </si>
  <si>
    <t>211</t>
  </si>
  <si>
    <t>1153.87619</t>
  </si>
  <si>
    <t>1032.45735</t>
  </si>
  <si>
    <t>134</t>
  </si>
  <si>
    <t>GWL_Item_Similar_Rc_02</t>
  </si>
  <si>
    <t>184</t>
  </si>
  <si>
    <t>1608.65077</t>
  </si>
  <si>
    <t>1627.48519</t>
  </si>
  <si>
    <t>90</t>
  </si>
  <si>
    <t>GWL_Item_Service_Rc_06</t>
  </si>
  <si>
    <t>GWL_Item_Similar_Rc_St_01</t>
  </si>
  <si>
    <t>GWL_Item_Similar_Rc_St_02</t>
  </si>
  <si>
    <t>GWL_Item_Similar_Pl_01</t>
  </si>
  <si>
    <t>122</t>
  </si>
  <si>
    <t>4519.6395</t>
  </si>
  <si>
    <t>2856.39276</t>
  </si>
  <si>
    <t>213</t>
  </si>
  <si>
    <t>GWL_Item_Similar_Pl_02</t>
  </si>
  <si>
    <t>112</t>
  </si>
  <si>
    <t>2017.92932</t>
  </si>
  <si>
    <t>1434.63456</t>
  </si>
  <si>
    <t>146</t>
  </si>
  <si>
    <t>GWL_Item_Service_Pl_03</t>
  </si>
  <si>
    <t>GWL_similar_Pl_St_01</t>
  </si>
  <si>
    <t>GWL_similar_Pl_St_02</t>
  </si>
  <si>
    <t>GWL_Item_Dissimilar_04</t>
  </si>
  <si>
    <t>46.66</t>
  </si>
  <si>
    <t>8607.54384</t>
  </si>
  <si>
    <t>5800.02511</t>
  </si>
  <si>
    <t>83.998</t>
  </si>
  <si>
    <t>GWL_Item_Dissimilar_05</t>
  </si>
  <si>
    <t>118.328</t>
  </si>
  <si>
    <t>4549.43797</t>
  </si>
  <si>
    <t>3016.99644</t>
  </si>
  <si>
    <t>172.664</t>
  </si>
  <si>
    <t>GWL_Dissimilar_St_01</t>
  </si>
  <si>
    <t>GWL_Dissimilar_St_02</t>
  </si>
  <si>
    <t>GWL_Item_Dissimilar_Rc_01</t>
  </si>
  <si>
    <t>106.33</t>
  </si>
  <si>
    <t>7864.52145</t>
  </si>
  <si>
    <t>4053.37644</t>
  </si>
  <si>
    <t>121.326</t>
  </si>
  <si>
    <t>GWL_Item_Dissimilar_Rc_02</t>
  </si>
  <si>
    <t>113.328</t>
  </si>
  <si>
    <t>5089.37351</t>
  </si>
  <si>
    <t>2772.09455</t>
  </si>
  <si>
    <t>126.993</t>
  </si>
  <si>
    <t>107.663</t>
  </si>
  <si>
    <t>7770.68065</t>
  </si>
  <si>
    <t>114.661</t>
  </si>
  <si>
    <t>5033.5227</t>
  </si>
  <si>
    <t>GWL_Item_Dissimilar_Pl_01</t>
  </si>
  <si>
    <t>106.664</t>
  </si>
  <si>
    <t>7570.00244</t>
  </si>
  <si>
    <t>3628.55556</t>
  </si>
  <si>
    <t>139.658</t>
  </si>
  <si>
    <t>GWL_Item_Dissimilar_Pl_02</t>
  </si>
  <si>
    <t>152.668</t>
  </si>
  <si>
    <t>4546.36566</t>
  </si>
  <si>
    <t>1899.41182</t>
  </si>
  <si>
    <t>179</t>
  </si>
  <si>
    <t>107.997</t>
  </si>
  <si>
    <t>7480.08709</t>
  </si>
  <si>
    <t>GWL_Item_Dissimilar_Pl_03</t>
  </si>
  <si>
    <t>109.327</t>
  </si>
  <si>
    <t>5747.55068</t>
  </si>
  <si>
    <t>2805.0549</t>
  </si>
  <si>
    <t>161.992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</si>
</sst>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5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/>
    <xf numFmtId="0" fontId="0" fillId="0" borderId="1" xfId="0" applyNumberForma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3" fillId="0" borderId="1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0" fillId="0" borderId="1" xfId="0" applyNumberFormat="1" applyFill="1" applyBorder="1" applyAlignment="1">
      <alignment vertical="top"/>
    </xf>
    <xf numFmtId="0" fontId="0" fillId="0" borderId="1" xfId="0" applyNumberFormat="1" applyFont="1" applyFill="1" applyBorder="1" applyAlignment="1">
      <alignment vertical="top"/>
    </xf>
    <xf numFmtId="0" fontId="3" fillId="0" borderId="1" xfId="0" applyFont="1" applyFill="1" applyBorder="1" applyAlignment="1">
      <alignment vertical="top"/>
    </xf>
    <xf numFmtId="0" fontId="0" fillId="0" borderId="1" xfId="0" applyNumberFormat="1" applyFill="1" applyBorder="1" applyAlignment="1">
      <alignment horizontal="center"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sharedStrings" Target="sharedStrings.xml"/><Relationship Id="rId28" Type="http://schemas.openxmlformats.org/officeDocument/2006/relationships/theme" Target="theme/theme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B4" sqref="B4"/>
    </sheetView>
  </sheetViews>
  <sheetFormatPr defaultColWidth="8.70909090909091" defaultRowHeight="14.5" outlineLevelRow="4"/>
  <cols>
    <col min="1" max="1" width="5.14545454545455" customWidth="1"/>
    <col min="2" max="3" width="20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75</v>
      </c>
      <c r="C4" s="26" t="s">
        <v>75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S4*$M$4</f>
        <v>1521.28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380.32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380.32</v>
      </c>
      <c r="AS4" s="35" t="s">
        <v>78</v>
      </c>
      <c r="AT4" s="35" t="s">
        <v>76</v>
      </c>
      <c r="AU4" t="s">
        <v>79</v>
      </c>
      <c r="AV4" t="s">
        <v>80</v>
      </c>
      <c r="AW4" s="35">
        <f>AM4</f>
        <v>4</v>
      </c>
      <c r="AX4" s="35">
        <f>AR4</f>
        <v>380.32</v>
      </c>
      <c r="AY4" s="35">
        <f>AU4+AW4</f>
        <v>4</v>
      </c>
      <c r="AZ4" t="s">
        <v>80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86</v>
      </c>
      <c r="BN4" t="s">
        <v>87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1521.28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D6" sqref="D6"/>
    </sheetView>
  </sheetViews>
  <sheetFormatPr defaultColWidth="8.70909090909091" defaultRowHeight="14.5" outlineLevelRow="4"/>
  <cols>
    <col min="1" max="1" width="5.14545454545455" customWidth="1"/>
    <col min="2" max="2" width="21.8545454545455" customWidth="1"/>
    <col min="3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10" width="5.85454545454545" customWidth="1"/>
    <col min="11" max="11" width="6" customWidth="1"/>
    <col min="12" max="12" width="14.2818181818182" customWidth="1"/>
    <col min="13" max="13" width="9.42727272727273" customWidth="1"/>
    <col min="14" max="14" width="14.2818181818182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0" customWidth="1"/>
    <col min="20" max="20" width="6.42727272727273" customWidth="1"/>
    <col min="21" max="21" width="9.85454545454546" customWidth="1"/>
    <col min="22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5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spans="1:69">
      <c r="A4" s="26">
        <v>1</v>
      </c>
      <c r="B4" s="26" t="s">
        <v>89</v>
      </c>
      <c r="C4" s="26" t="s">
        <v>90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91</v>
      </c>
      <c r="AV4" t="s">
        <v>92</v>
      </c>
      <c r="AW4" s="35">
        <f>AM4</f>
        <v>4</v>
      </c>
      <c r="AX4" s="35">
        <f>AR4</f>
        <v>0</v>
      </c>
      <c r="AY4" s="35">
        <f>AU4+AW4</f>
        <v>4</v>
      </c>
      <c r="AZ4" t="s">
        <v>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93</v>
      </c>
      <c r="BN4" t="s">
        <v>94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4" sqref="G1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99</v>
      </c>
      <c r="C4" s="26" t="s">
        <v>99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101</v>
      </c>
      <c r="C4" s="26" t="s">
        <v>101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103</v>
      </c>
      <c r="C4" s="26" t="s">
        <v>103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G12" sqref="G12"/>
    </sheetView>
  </sheetViews>
  <sheetFormatPr defaultColWidth="8.70909090909091" defaultRowHeight="14.5" outlineLevelRow="4"/>
  <cols>
    <col min="1" max="1" width="5.14545454545455" customWidth="1"/>
    <col min="2" max="3" width="25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104</v>
      </c>
      <c r="C4" s="26" t="s">
        <v>104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105</v>
      </c>
      <c r="AV4" t="s">
        <v>106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1284.68377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107</v>
      </c>
      <c r="BN4" t="s">
        <v>108</v>
      </c>
      <c r="BO4" s="35">
        <f>ROUND((((AW4*AZ4)+(BN4*BM4))/(AW4+BN4)),5)</f>
        <v>1026.44741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5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109</v>
      </c>
      <c r="C4" s="26" t="s">
        <v>109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110</v>
      </c>
      <c r="AV4" t="s">
        <v>111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1877.58956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112</v>
      </c>
      <c r="BN4" t="s">
        <v>113</v>
      </c>
      <c r="BO4" s="35">
        <f>ROUND((((AW4*AZ4)+(BN4*BM4))/(AW4+BN4)),5)</f>
        <v>1629.19616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C1"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5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114</v>
      </c>
      <c r="C4" s="26" t="s">
        <v>114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8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115</v>
      </c>
      <c r="C4" s="26" t="s">
        <v>115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AB12" sqref="AB12"/>
    </sheetView>
  </sheetViews>
  <sheetFormatPr defaultColWidth="8.70909090909091" defaultRowHeight="14.5" outlineLevelRow="4"/>
  <cols>
    <col min="1" max="1" width="5.14545454545455" customWidth="1"/>
    <col min="2" max="3" width="28.281818181818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116</v>
      </c>
      <c r="C4" s="26" t="s">
        <v>116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4.718181818181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117</v>
      </c>
      <c r="C4" s="26" t="s">
        <v>117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118</v>
      </c>
      <c r="AV4" t="s">
        <v>119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5500.1713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120</v>
      </c>
      <c r="BN4" t="s">
        <v>121</v>
      </c>
      <c r="BO4" s="35">
        <f>ROUND((((AW4*AZ4)+(BN4*BM4))/(AW4+BN4)),5)</f>
        <v>2798.45686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4.718181818181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122</v>
      </c>
      <c r="C4" s="26" t="s">
        <v>122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123</v>
      </c>
      <c r="AV4" t="s">
        <v>124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2624.53362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125</v>
      </c>
      <c r="BN4" t="s">
        <v>126</v>
      </c>
      <c r="BO4" s="35">
        <f>ROUND((((AW4*AZ4)+(BN4*BM4))/(AW4+BN4)),5)</f>
        <v>1419.85043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20" sqref="D20"/>
    </sheetView>
  </sheetViews>
  <sheetFormatPr defaultColWidth="8.70909090909091" defaultRowHeight="14.5" outlineLevelRow="4"/>
  <cols>
    <col min="1" max="1" width="5.14545454545455" customWidth="1"/>
    <col min="2" max="3" width="25.1454545454545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127</v>
      </c>
      <c r="C4" s="26" t="s">
        <v>127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128</v>
      </c>
      <c r="C4" s="26" t="s">
        <v>128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129</v>
      </c>
      <c r="C4" s="26" t="s">
        <v>129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4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130</v>
      </c>
      <c r="C4" s="26" t="s">
        <v>130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131</v>
      </c>
      <c r="AV4" t="s">
        <v>132</v>
      </c>
      <c r="AW4" s="35">
        <f>AM4</f>
        <v>1.33333333333333</v>
      </c>
      <c r="AX4" s="35">
        <f>AR4</f>
        <v>0</v>
      </c>
      <c r="AY4" s="35">
        <f>AU4+AW4</f>
        <v>32.6603333333333</v>
      </c>
      <c r="AZ4" t="s">
        <v>132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133</v>
      </c>
      <c r="BN4" t="s">
        <v>134</v>
      </c>
      <c r="BO4" s="35">
        <f>ROUND((((AW4*AZ4)+(BN4*BM4))/(AW4+BN4)),5)</f>
        <v>2862.99219</v>
      </c>
      <c r="BP4" s="36">
        <f>BN4+AW4</f>
        <v>35.9993333333333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4" sqref="D14"/>
    </sheetView>
  </sheetViews>
  <sheetFormatPr defaultColWidth="8.70909090909091" defaultRowHeight="14.5" outlineLevelRow="4"/>
  <cols>
    <col min="1" max="1" width="5.14545454545455" customWidth="1"/>
    <col min="2" max="3" width="24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135</v>
      </c>
      <c r="C4" s="26" t="s">
        <v>135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136</v>
      </c>
      <c r="AV4" t="s">
        <v>137</v>
      </c>
      <c r="AW4" s="35">
        <f>AM4</f>
        <v>1.33333333333333</v>
      </c>
      <c r="AX4" s="35">
        <f>AR4</f>
        <v>0</v>
      </c>
      <c r="AY4" s="35">
        <f>AU4+AW4</f>
        <v>83.3283333333333</v>
      </c>
      <c r="AZ4" t="s">
        <v>137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138</v>
      </c>
      <c r="BN4" t="s">
        <v>139</v>
      </c>
      <c r="BO4" s="35">
        <f>ROUND((((AW4*AZ4)+(BN4*BM4))/(AW4+BN4)),5)</f>
        <v>917.40987</v>
      </c>
      <c r="BP4" s="36">
        <f>BN4+AW4</f>
        <v>71.9993333333333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140</v>
      </c>
      <c r="C4" s="26" t="s">
        <v>140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2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141</v>
      </c>
      <c r="C4" s="26" t="s">
        <v>141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100</v>
      </c>
      <c r="BN4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143</v>
      </c>
      <c r="AV4" t="s">
        <v>144</v>
      </c>
      <c r="AW4" s="35">
        <f>AM4</f>
        <v>1.33333333333333</v>
      </c>
      <c r="AX4" s="35">
        <f>AR4</f>
        <v>0</v>
      </c>
      <c r="AY4" s="35">
        <f>AU4+AW4</f>
        <v>81.3323333333333</v>
      </c>
      <c r="AZ4" s="35">
        <f>ROUND(((AU4*AV4)+(AW4*AX4))/(AU4+AW4),5)</f>
        <v>9585.55308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145</v>
      </c>
      <c r="BN4" t="s">
        <v>146</v>
      </c>
      <c r="BO4" s="35">
        <f>ROUND((((AW4*AZ4)+(BN4*BM4))/(AW4+BN4)),5)</f>
        <v>3942.08083</v>
      </c>
      <c r="BP4" s="36">
        <f>BN4+AW4</f>
        <v>74.6593333333333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H15" sqref="H15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148</v>
      </c>
      <c r="AV4" t="s">
        <v>149</v>
      </c>
      <c r="AW4" s="35">
        <f>AM4</f>
        <v>1.33333333333333</v>
      </c>
      <c r="AX4" s="35">
        <f>AR4</f>
        <v>0</v>
      </c>
      <c r="AY4" s="35">
        <f>AU4+AW4</f>
        <v>81.3303333333333</v>
      </c>
      <c r="AZ4" s="35">
        <f>ROUND(((AU4*AV4)+(AW4*AX4))/(AU4+AW4),5)</f>
        <v>6302.49699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150</v>
      </c>
      <c r="BN4" t="s">
        <v>151</v>
      </c>
      <c r="BO4" s="35">
        <f>ROUND((((AW4*AZ4)+(BN4*BM4))/(AW4+BN4)),5)</f>
        <v>2676.09025</v>
      </c>
      <c r="BP4" s="36">
        <f>BN4+AW4</f>
        <v>71.3263333333333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152</v>
      </c>
      <c r="AV4" t="s">
        <v>153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145</v>
      </c>
      <c r="BN4" t="s">
        <v>146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8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154</v>
      </c>
      <c r="AV4" t="s">
        <v>155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150</v>
      </c>
      <c r="BN4" t="s">
        <v>151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K11" sqref="K11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156</v>
      </c>
      <c r="C4" s="26" t="s">
        <v>156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157</v>
      </c>
      <c r="AV4" t="s">
        <v>158</v>
      </c>
      <c r="AW4" s="35">
        <f>AM4</f>
        <v>1.33333333333333</v>
      </c>
      <c r="AX4" s="35">
        <f>AR4</f>
        <v>0</v>
      </c>
      <c r="AY4" s="35">
        <f>AU4+AW4</f>
        <v>82.9993333333333</v>
      </c>
      <c r="AZ4" s="35">
        <f>ROUND(((AU4*AV4)+(AW4*AX4))/(AU4+AW4),5)</f>
        <v>9446.04092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159</v>
      </c>
      <c r="BN4" t="s">
        <v>160</v>
      </c>
      <c r="BO4" s="35">
        <f>ROUND((((AW4*AZ4)+(BN4*BM4))/(AW4+BN4)),5)</f>
        <v>3379.9894</v>
      </c>
      <c r="BP4" s="36">
        <f>BN4+AW4</f>
        <v>87.9913333333333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D15" sqref="D15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2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25" spans="1:69">
      <c r="A4" s="26">
        <v>1</v>
      </c>
      <c r="B4" s="26" t="s">
        <v>161</v>
      </c>
      <c r="C4" s="26" t="s">
        <v>161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162</v>
      </c>
      <c r="AV4" t="s">
        <v>163</v>
      </c>
      <c r="AW4" s="35">
        <f>AM4</f>
        <v>1.33333333333333</v>
      </c>
      <c r="AX4" s="35">
        <f>AR4</f>
        <v>0</v>
      </c>
      <c r="AY4" s="35">
        <f>AU4+AW4</f>
        <v>123.003333333333</v>
      </c>
      <c r="AZ4" s="35">
        <f>ROUND(((AU4*AV4)+(AW4*AX4))/(AU4+AW4),5)</f>
        <v>5423.47644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164</v>
      </c>
      <c r="BN4" t="s">
        <v>165</v>
      </c>
      <c r="BO4" s="35">
        <f>ROUND((((AW4*AZ4)+(BN4*BM4))/(AW4+BN4)),5)</f>
        <v>1740.653</v>
      </c>
      <c r="BP4" s="36">
        <f>BN4+AW4</f>
        <v>121.333333333333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156</v>
      </c>
      <c r="C4" s="6" t="s">
        <v>156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>
        <v>166</v>
      </c>
      <c r="AV4" t="s">
        <v>167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0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>
        <v>159</v>
      </c>
      <c r="BN4" t="s">
        <v>160</v>
      </c>
      <c r="BO4" s="16">
        <f>ROUND((((AW4*AZ4)+(BN4*BM4))/(AW4+BN4)),5)</f>
        <v>0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5" sqref="D15"/>
    </sheetView>
  </sheetViews>
  <sheetFormatPr defaultColWidth="8.70909090909091" defaultRowHeight="14.5" outlineLevelRow="4"/>
  <cols>
    <col min="1" max="1" width="5.14545454545455" customWidth="1"/>
    <col min="2" max="3" width="27.5727272727273" customWidth="1"/>
    <col min="4" max="4" width="79.4272727272727" customWidth="1"/>
    <col min="5" max="5" width="11.5727272727273" customWidth="1"/>
    <col min="6" max="6" width="5.14545454545455" customWidth="1"/>
    <col min="7" max="7" width="11" customWidth="1"/>
    <col min="8" max="8" width="12.7181818181818" customWidth="1"/>
    <col min="9" max="9" width="5.85454545454545" customWidth="1"/>
    <col min="10" max="10" width="6" customWidth="1"/>
    <col min="11" max="11" width="5.85454545454545" customWidth="1"/>
    <col min="12" max="12" width="14.2818181818182" customWidth="1"/>
    <col min="13" max="13" width="9.42727272727273" customWidth="1"/>
    <col min="14" max="14" width="14.4272727272727" customWidth="1"/>
    <col min="15" max="15" width="15.5727272727273" customWidth="1"/>
    <col min="16" max="16" width="14.4272727272727" customWidth="1"/>
    <col min="17" max="17" width="39.4272727272727" customWidth="1"/>
    <col min="18" max="18" width="11.7181818181818" customWidth="1"/>
    <col min="19" max="19" width="11.8545454545455" customWidth="1"/>
    <col min="20" max="20" width="6.42727272727273" customWidth="1"/>
    <col min="21" max="22" width="6.57272727272727" customWidth="1"/>
    <col min="23" max="23" width="37.1454545454545" customWidth="1"/>
    <col min="24" max="25" width="8" customWidth="1"/>
    <col min="26" max="26" width="7.71818181818182" customWidth="1"/>
    <col min="27" max="27" width="6.28181818181818" customWidth="1"/>
    <col min="28" max="28" width="9.28181818181818" customWidth="1"/>
    <col min="29" max="29" width="9.71818181818182" customWidth="1"/>
    <col min="30" max="30" width="12.8545454545455" customWidth="1"/>
    <col min="31" max="31" width="16.1454545454545" customWidth="1"/>
    <col min="32" max="32" width="15.4272727272727" customWidth="1"/>
    <col min="33" max="33" width="24.5727272727273" customWidth="1"/>
    <col min="34" max="34" width="8.57272727272727" customWidth="1"/>
    <col min="35" max="35" width="14.7181818181818" customWidth="1"/>
    <col min="36" max="36" width="18.5727272727273" customWidth="1"/>
    <col min="37" max="37" width="14.1454545454545" customWidth="1"/>
    <col min="38" max="38" width="14.7181818181818" customWidth="1"/>
    <col min="39" max="39" width="17.4272727272727" customWidth="1"/>
    <col min="40" max="40" width="22" customWidth="1"/>
    <col min="41" max="41" width="17.5727272727273" customWidth="1"/>
    <col min="42" max="42" width="25.2818181818182" customWidth="1"/>
    <col min="43" max="43" width="13" customWidth="1"/>
    <col min="44" max="44" width="23.7181818181818" customWidth="1"/>
    <col min="45" max="45" width="10" customWidth="1"/>
    <col min="46" max="46" width="13" customWidth="1"/>
    <col min="47" max="47" width="15.5727272727273" customWidth="1"/>
    <col min="48" max="48" width="21.1454545454545" customWidth="1"/>
    <col min="49" max="49" width="11.5727272727273" customWidth="1"/>
    <col min="50" max="50" width="16.7181818181818" customWidth="1"/>
    <col min="51" max="51" width="14" customWidth="1"/>
    <col min="52" max="52" width="19.4272727272727" customWidth="1"/>
    <col min="53" max="53" width="18.8545454545455" customWidth="1"/>
    <col min="54" max="54" width="23.2818181818182" customWidth="1"/>
    <col min="55" max="55" width="15.5727272727273" customWidth="1"/>
    <col min="56" max="56" width="14.2818181818182" customWidth="1"/>
    <col min="57" max="57" width="17" customWidth="1"/>
    <col min="58" max="58" width="16.2818181818182" customWidth="1"/>
    <col min="59" max="59" width="13.5727272727273" customWidth="1"/>
    <col min="60" max="61" width="12.7181818181818" customWidth="1"/>
    <col min="62" max="62" width="21.8545454545455" customWidth="1"/>
    <col min="63" max="63" width="30.5727272727273" customWidth="1"/>
    <col min="64" max="64" width="10" customWidth="1"/>
    <col min="65" max="65" width="42.5727272727273" customWidth="1"/>
    <col min="66" max="66" width="38.1454545454545" customWidth="1"/>
    <col min="67" max="67" width="19.4272727272727" customWidth="1"/>
    <col min="68" max="68" width="35.4272727272727" customWidth="1"/>
    <col min="69" max="69" width="9.5727272727272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2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25" spans="1:69">
      <c r="A4" s="6">
        <v>1</v>
      </c>
      <c r="B4" s="6" t="s">
        <v>168</v>
      </c>
      <c r="C4" s="6" t="s">
        <v>168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>
        <v>169</v>
      </c>
      <c r="AV4" t="s">
        <v>170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4608.96016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>
        <v>171</v>
      </c>
      <c r="BN4" t="s">
        <v>172</v>
      </c>
      <c r="BO4" s="16">
        <f>ROUND((((AW4*AZ4)+(BN4*BM4))/(AW4+BN4)),5)</f>
        <v>343.20889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Sakthi R</cp:lastModifiedBy>
  <dcterms:created xsi:type="dcterms:W3CDTF">2025-12-11T12:04:00Z</dcterms:created>
  <dcterms:modified xsi:type="dcterms:W3CDTF">2026-04-21T16:14:14Z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