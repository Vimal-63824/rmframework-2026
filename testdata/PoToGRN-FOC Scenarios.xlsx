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020" firstSheet="5" activeTab="5"/>
  </bookViews>
  <sheets>
    <sheet name="D-PoToGRNFOCUDGeneralSameUOMWI" sheetId="32" r:id="rId1"/>
    <sheet name="D-PoToGRNFOCUDGeneralSameUOMWOI" sheetId="30" r:id="rId2"/>
    <sheet name="D-PoToGRNFOCUDServiceSameUOMWOI" sheetId="42" r:id="rId3"/>
    <sheet name="D-PoToGRNFOCUDStkTrnSameUOMWI" sheetId="47" r:id="rId4"/>
    <sheet name="D-PoToGRNFOCUDStkTrnSameUOMWOI" sheetId="46" r:id="rId5"/>
    <sheet name="D-PoToGRNFOCRCGeneralSameUOMWI" sheetId="35" r:id="rId6"/>
    <sheet name="D-PoToGRNFOCRCGeneralSameUOMWOI" sheetId="34" r:id="rId7"/>
    <sheet name="D-PoToGRNFOCRCServiceSameUOMWOI" sheetId="43" r:id="rId8"/>
    <sheet name="D-PoToGRNFOCRCStkTrnSameUOMWI" sheetId="51" r:id="rId9"/>
    <sheet name="D-PoToGRNFOCRCStkTrnSameUOMWOI" sheetId="50" r:id="rId10"/>
    <sheet name="D-PoToGRNFOCPLGeneralSameUOMWI" sheetId="36" r:id="rId11"/>
    <sheet name="D-PoToGRNFOCPLGeneralSameUOMWOI" sheetId="37" r:id="rId12"/>
    <sheet name="D-PoToGRNFOCPLServiceSameUOMWOI" sheetId="44" r:id="rId13"/>
    <sheet name="D-PoToGRNFOCPLStkTrnSameUOMWI" sheetId="53" r:id="rId14"/>
    <sheet name="D-PoToGRNFOCPLStkTrnSameUOMWOI" sheetId="52" r:id="rId15"/>
    <sheet name="D-PoToGRNFOCUDGeneralDiffUOMWI" sheetId="33" r:id="rId16"/>
    <sheet name="D-PoToGRNFOCUDGeneralDiffUOMWOI" sheetId="31" r:id="rId17"/>
    <sheet name="D-PoToGRNFOCUDStkTrnDiffUOMWI" sheetId="49" r:id="rId18"/>
    <sheet name="D-PoToGRNFOCUDStkTrnDiffUOMWOI" sheetId="48" r:id="rId19"/>
    <sheet name="D-PoToGRNFOCRCGeneralDiffUOMWI" sheetId="39" r:id="rId20"/>
    <sheet name="D-PoToGRNFOCRCGeneralDiffUOMWOI" sheetId="38" r:id="rId21"/>
    <sheet name="D-PoToGRNFOCRCStkTrnDiffUOMWI" sheetId="57" r:id="rId22"/>
    <sheet name="D-PoToGRNFOCRCStkTrnDiffUOMWOI" sheetId="54" r:id="rId23"/>
    <sheet name="D-PoToGRNFOCPLGeneralDiffUOMWI" sheetId="40" r:id="rId24"/>
    <sheet name="D-PoToGRNFOCPLGeneralDiffUOMWOI" sheetId="41" r:id="rId25"/>
    <sheet name="D-PoToGRNFOCPLStkTrnDiffUOMWI" sheetId="58" r:id="rId26"/>
    <sheet name="D-PoToGRNFOCPLStkTrnDiffUOMWOI" sheetId="55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<sst xmlns="http://schemas.openxmlformats.org/spreadsheetml/2006/main" count="2596" uniqueCount="169">
  <si>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</si>
  <si>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</si>
  <si>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</si>
  <si>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</si>
  <si>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</si>
  <si>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</si>
  <si>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</si>
  <si>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</si>
  <si>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</si>
  <si>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</si>
  <si>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</si>
  <si>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</si>
  <si>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</si>
  <si>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</si>
  <si>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</si>
  <si>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</si>
  <si>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</si>
  <si>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</si>
  <si>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</si>
  <si>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</si>
  <si>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</si>
  <si>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</si>
  <si>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</si>
  <si>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</si>
  <si>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</si>
  <si>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</si>
  <si>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</si>
  <si>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</si>
  <si>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</si>
  <si>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</si>
  <si>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</si>
  <si>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</si>
  <si>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</si>
  <si>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</si>
  <si>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</si>
  <si>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</si>
  <si>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</si>
  <si>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</si>
  <si>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</si>
  <si>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</si>
  <si>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</si>
  <si>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</si>
  <si>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</si>
  <si>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</si>
  <si>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</si>
  <si>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</si>
  <si>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</si>
  <si>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</si>
  <si>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</si>
  <si>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</si>
  <si>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</si>
  <si>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</si>
  <si>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</si>
  <si>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</si>
  <si>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</si>
  <si>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</si>
  <si>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</si>
  <si>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</si>
  <si>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</si>
  <si>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</si>
  <si>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</si>
  <si>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</si>
  <si>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</si>
  <si>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</si>
  <si>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</si>
  <si>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</si>
  <si>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</si>
  <si>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</si>
  <si>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</si>
  <si>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</si>
  <si>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</si>
  <si>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</si>
  <si>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</si>
  <si>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</si>
  <si>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</si>
  <si>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GWL_Item_Similar_2</t>
  </si>
  <si>
    <t>NOS</t>
  </si>
  <si>
    <t>HSN1</t>
  </si>
  <si>
    <t>INS WH-1</t>
  </si>
  <si>
    <t>326</t>
  </si>
  <si>
    <t>3858.62995</t>
  </si>
  <si>
    <t>Receipt Qty &amp; Unit cost</t>
  </si>
  <si>
    <t>LOT</t>
  </si>
  <si>
    <t>RM</t>
  </si>
  <si>
    <t>RMS</t>
  </si>
  <si>
    <t>RM WH-49</t>
  </si>
  <si>
    <t>1600.16606</t>
  </si>
  <si>
    <t>198</t>
  </si>
  <si>
    <t>Total</t>
  </si>
  <si>
    <t>GWL_Item_Similar_05</t>
  </si>
  <si>
    <t>GWL_Item_Similar_05_Desc</t>
  </si>
  <si>
    <t>990</t>
  </si>
  <si>
    <t>2297.6737</t>
  </si>
  <si>
    <t>949.03044</t>
  </si>
  <si>
    <t>446</t>
  </si>
  <si>
    <t>VD Asbl. Val.</t>
  </si>
  <si>
    <t>Pur. Value</t>
  </si>
  <si>
    <t>Tax%</t>
  </si>
  <si>
    <t>Unit cost (Stk. UOM)</t>
  </si>
  <si>
    <t>GWL_Item_service_05</t>
  </si>
  <si>
    <t>0</t>
  </si>
  <si>
    <t>GWL_Item_Similar_St_08</t>
  </si>
  <si>
    <t>2</t>
  </si>
  <si>
    <t>GWL_Item_Similar_St_09</t>
  </si>
  <si>
    <t>GWL_Item_Similar_Rc_01</t>
  </si>
  <si>
    <t>194</t>
  </si>
  <si>
    <t>1311.1721</t>
  </si>
  <si>
    <t>1018.1172</t>
  </si>
  <si>
    <t>124</t>
  </si>
  <si>
    <t>GWL_Item_Similar_Rc_02</t>
  </si>
  <si>
    <t>160</t>
  </si>
  <si>
    <t>1924.5293</t>
  </si>
  <si>
    <t>1617.07941</t>
  </si>
  <si>
    <t>82</t>
  </si>
  <si>
    <t>GWL_Item_Service_Rc_06</t>
  </si>
  <si>
    <t>GWL_Item_Similar_Rc_St_01</t>
  </si>
  <si>
    <t>GWL_Item_Similar_Rc_St_02</t>
  </si>
  <si>
    <t>GWL_Item_Similar_Pl_01</t>
  </si>
  <si>
    <t>105</t>
  </si>
  <si>
    <t>5709.70164</t>
  </si>
  <si>
    <t>2745.22111</t>
  </si>
  <si>
    <t>203</t>
  </si>
  <si>
    <t>GWL_Item_Similar_Pl_02</t>
  </si>
  <si>
    <t>88</t>
  </si>
  <si>
    <t>2743.8306</t>
  </si>
  <si>
    <t>1384.93208</t>
  </si>
  <si>
    <t>138</t>
  </si>
  <si>
    <t>GWL_Item_Service_Pl_03</t>
  </si>
  <si>
    <t>GWL_similar_Pl_St_01</t>
  </si>
  <si>
    <t>GWL_similar_Pl_St_02</t>
  </si>
  <si>
    <t>GWL_Item_Dissimilar_04</t>
  </si>
  <si>
    <t>43.327</t>
  </si>
  <si>
    <t>9759.43457</t>
  </si>
  <si>
    <t>5418.96799</t>
  </si>
  <si>
    <t>74.666</t>
  </si>
  <si>
    <t>GWL_Item_Dissimilar_05</t>
  </si>
  <si>
    <t>113.328</t>
  </si>
  <si>
    <t>5142.64341</t>
  </si>
  <si>
    <t>2837.16598</t>
  </si>
  <si>
    <t>155.999</t>
  </si>
  <si>
    <t>GWL_Dissimilar_St_01</t>
  </si>
  <si>
    <t>GWL_Dissimilar_St_02</t>
  </si>
  <si>
    <t>GWL_Item_Dissimilar_Rc_01</t>
  </si>
  <si>
    <t>88.999</t>
  </si>
  <si>
    <t>9729.15848</t>
  </si>
  <si>
    <t>3877.94646</t>
  </si>
  <si>
    <t>117.326</t>
  </si>
  <si>
    <t>GWL_Item_Dissimilar_Rc_02</t>
  </si>
  <si>
    <t>93.997</t>
  </si>
  <si>
    <t>6391.89696</t>
  </si>
  <si>
    <t>2636.45512</t>
  </si>
  <si>
    <t>121.993</t>
  </si>
  <si>
    <t>GWL_Item_Dissimilar_Pl_01</t>
  </si>
  <si>
    <t>90.666</t>
  </si>
  <si>
    <t>9584.95431</t>
  </si>
  <si>
    <t>3318.55699</t>
  </si>
  <si>
    <t>131.658</t>
  </si>
  <si>
    <t>GWL_Item_Dissimilar_Pl_02</t>
  </si>
  <si>
    <t>134.67</t>
  </si>
  <si>
    <t>5477.1729</t>
  </si>
  <si>
    <t>1711.59719</t>
  </si>
  <si>
    <t>169</t>
  </si>
  <si>
    <t>GWL_Item_Dissimilar_Pl_03</t>
  </si>
  <si>
    <t>103.327</t>
  </si>
  <si>
    <t>6418.90517</t>
  </si>
  <si>
    <t>2679.32915</t>
  </si>
  <si>
    <t>155.992</t>
  </si>
  <si>
    <t>202</t>
  </si>
  <si>
    <t>1644.88812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</si>
</sst>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45">
    <xf numFmtId="0" fontId="0" fillId="0" borderId="0" xfId="0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1" xfId="0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left" vertical="top"/>
    </xf>
    <xf numFmtId="0" fontId="0" fillId="0" borderId="1" xfId="0" applyFill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/>
    </xf>
    <xf numFmtId="0" fontId="1" fillId="4" borderId="1" xfId="0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left" vertical="top"/>
    </xf>
    <xf numFmtId="0" fontId="1" fillId="7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2" fillId="0" borderId="1" xfId="0" applyNumberFormat="1" applyFont="1" applyFill="1" applyBorder="1" applyAlignment="1">
      <alignment horizontal="left" vertical="top"/>
    </xf>
    <xf numFmtId="0" fontId="2" fillId="0" borderId="2" xfId="0" applyNumberFormat="1" applyFont="1" applyFill="1" applyBorder="1" applyAlignment="1"/>
    <xf numFmtId="0" fontId="0" fillId="0" borderId="1" xfId="0" applyNumberFormat="1" applyFill="1" applyBorder="1" applyAlignment="1">
      <alignment horizontal="left" vertical="top"/>
    </xf>
    <xf numFmtId="0" fontId="0" fillId="0" borderId="1" xfId="0" applyNumberFormat="1" applyFont="1" applyFill="1" applyBorder="1" applyAlignment="1">
      <alignment horizontal="left" vertical="top"/>
    </xf>
    <xf numFmtId="0" fontId="3" fillId="0" borderId="1" xfId="0" applyFont="1" applyFill="1" applyBorder="1" applyAlignment="1">
      <alignment horizontal="left" vertical="top"/>
    </xf>
    <xf numFmtId="0" fontId="1" fillId="8" borderId="1" xfId="0" applyFont="1" applyFill="1" applyBorder="1" applyAlignment="1">
      <alignment horizontal="left" vertical="top"/>
    </xf>
    <xf numFmtId="0" fontId="1" fillId="8" borderId="1" xfId="0" applyNumberFormat="1" applyFont="1" applyFill="1" applyBorder="1" applyAlignment="1">
      <alignment horizontal="left" vertical="top"/>
    </xf>
    <xf numFmtId="2" fontId="1" fillId="8" borderId="1" xfId="0" applyNumberFormat="1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vertical="top"/>
    </xf>
    <xf numFmtId="0" fontId="2" fillId="0" borderId="1" xfId="0" applyFont="1" applyFill="1" applyBorder="1" applyAlignment="1">
      <alignment vertical="top"/>
    </xf>
    <xf numFmtId="0" fontId="0" fillId="0" borderId="1" xfId="0" applyFill="1" applyBorder="1" applyAlignment="1">
      <alignment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1" fillId="5" borderId="1" xfId="0" applyFont="1" applyFill="1" applyBorder="1" applyAlignment="1">
      <alignment horizontal="center" vertical="top"/>
    </xf>
    <xf numFmtId="0" fontId="1" fillId="6" borderId="1" xfId="0" applyFont="1" applyFill="1" applyBorder="1" applyAlignment="1">
      <alignment horizontal="center" vertical="top"/>
    </xf>
    <xf numFmtId="0" fontId="1" fillId="7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vertical="top"/>
    </xf>
    <xf numFmtId="0" fontId="2" fillId="0" borderId="1" xfId="0" applyNumberFormat="1" applyFont="1" applyFill="1" applyBorder="1" applyAlignment="1">
      <alignment vertical="top"/>
    </xf>
    <xf numFmtId="0" fontId="0" fillId="0" borderId="1" xfId="0" applyNumberFormat="1" applyFill="1" applyBorder="1" applyAlignment="1">
      <alignment vertical="top"/>
    </xf>
    <xf numFmtId="0" fontId="0" fillId="0" borderId="1" xfId="0" applyNumberFormat="1" applyFont="1" applyFill="1" applyBorder="1" applyAlignment="1">
      <alignment vertical="top"/>
    </xf>
    <xf numFmtId="0" fontId="3" fillId="0" borderId="1" xfId="0" applyFont="1" applyFill="1" applyBorder="1" applyAlignment="1">
      <alignment vertical="top"/>
    </xf>
    <xf numFmtId="0" fontId="0" fillId="0" borderId="1" xfId="0" applyNumberFormat="1" applyFill="1" applyBorder="1" applyAlignment="1">
      <alignment horizontal="center" vertical="top"/>
    </xf>
    <xf numFmtId="0" fontId="1" fillId="8" borderId="1" xfId="0" applyFont="1" applyFill="1" applyBorder="1" applyAlignment="1">
      <alignment vertical="top"/>
    </xf>
    <xf numFmtId="0" fontId="1" fillId="8" borderId="1" xfId="0" applyNumberFormat="1" applyFont="1" applyFill="1" applyBorder="1" applyAlignment="1">
      <alignment vertical="top"/>
    </xf>
    <xf numFmtId="0" fontId="1" fillId="6" borderId="1" xfId="0" applyFont="1" applyFill="1" applyBorder="1" applyAlignment="1">
      <alignment vertical="top"/>
    </xf>
    <xf numFmtId="2" fontId="1" fillId="8" borderId="1" xfId="0" applyNumberFormat="1" applyFont="1" applyFill="1" applyBorder="1" applyAlignment="1">
      <alignment vertical="top"/>
    </xf>
    <xf numFmtId="0" fontId="1" fillId="9" borderId="1" xfId="0" applyFont="1" applyFill="1" applyBorder="1" applyAlignment="1">
      <alignment horizontal="center" vertical="top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theme/theme1.xml" Type="http://schemas.openxmlformats.org/officeDocument/2006/relationships/theme"/><Relationship Id="rId29" Target="sharedStrings.xml" Type="http://schemas.openxmlformats.org/officeDocument/2006/relationships/sharedStrings"/><Relationship Id="rId3" Target="worksheets/sheet3.xml" Type="http://schemas.openxmlformats.org/officeDocument/2006/relationships/worksheet"/><Relationship Id="rId30" Target="styles.xml" Type="http://schemas.openxmlformats.org/officeDocument/2006/relationships/styles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I5" sqref="I5"/>
    </sheetView>
  </sheetViews>
  <sheetFormatPr defaultColWidth="8.7047619047619" defaultRowHeight="15" outlineLevelRow="4"/>
  <cols>
    <col min="1" max="1" customWidth="true" width="5.14285714285714"/>
    <col min="2" max="3" customWidth="true" width="20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18</v>
      </c>
      <c r="K3" s="29" t="s">
        <v>19</v>
      </c>
      <c r="L3" s="44" t="s">
        <v>20</v>
      </c>
      <c r="M3" s="44" t="s">
        <v>21</v>
      </c>
      <c r="N3" s="44" t="s">
        <v>22</v>
      </c>
      <c r="O3" s="44" t="s">
        <v>23</v>
      </c>
      <c r="P3" s="44" t="s">
        <v>24</v>
      </c>
      <c r="Q3" s="44" t="s">
        <v>25</v>
      </c>
      <c r="R3" s="29" t="s">
        <v>26</v>
      </c>
      <c r="S3" s="28" t="s">
        <v>27</v>
      </c>
      <c r="T3" s="28" t="s">
        <v>28</v>
      </c>
      <c r="U3" s="31" t="s">
        <v>29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52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75</v>
      </c>
      <c r="C4" s="26" t="s">
        <v>75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79</v>
      </c>
      <c r="AV4" t="s" s="0">
        <v>80</v>
      </c>
      <c r="AW4" s="35">
        <f>AM4</f>
        <v>4</v>
      </c>
      <c r="AX4" s="35">
        <f>AR4</f>
        <v>0</v>
      </c>
      <c r="AY4" s="35">
        <f>AU4+AW4</f>
        <v>4</v>
      </c>
      <c r="AZ4" t="s" s="0">
        <v>80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168</v>
      </c>
      <c r="BN4" t="s" s="0">
        <v>167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J9" sqref="J9"/>
    </sheetView>
  </sheetViews>
  <sheetFormatPr defaultColWidth="8.7047619047619" defaultRowHeight="15" outlineLevelRow="4"/>
  <cols>
    <col min="1" max="1" customWidth="true" width="5.14285714285714"/>
    <col min="2" max="2" customWidth="true" width="21.8571428571429"/>
    <col min="3" max="3" customWidth="true" width="27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18</v>
      </c>
      <c r="K3" s="29" t="s">
        <v>19</v>
      </c>
      <c r="L3" s="44" t="s">
        <v>20</v>
      </c>
      <c r="M3" s="44" t="s">
        <v>21</v>
      </c>
      <c r="N3" s="44" t="s">
        <v>22</v>
      </c>
      <c r="O3" s="44" t="s">
        <v>23</v>
      </c>
      <c r="P3" s="44" t="s">
        <v>24</v>
      </c>
      <c r="Q3" s="44" t="s">
        <v>25</v>
      </c>
      <c r="R3" s="29" t="s">
        <v>26</v>
      </c>
      <c r="S3" s="28" t="s">
        <v>27</v>
      </c>
      <c r="T3" s="28" t="s">
        <v>28</v>
      </c>
      <c r="U3" s="31" t="s">
        <v>29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52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89</v>
      </c>
      <c r="C4" s="26" t="s">
        <v>90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91</v>
      </c>
      <c r="AV4" t="s" s="0">
        <v>92</v>
      </c>
      <c r="AW4" s="35">
        <f>AM4</f>
        <v>4</v>
      </c>
      <c r="AX4" s="35">
        <f>AR4</f>
        <v>0</v>
      </c>
      <c r="AY4" s="35">
        <f>AU4+AW4</f>
        <v>4</v>
      </c>
      <c r="AZ4" t="s" s="0">
        <v>92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93</v>
      </c>
      <c r="BN4" t="s" s="0">
        <v>94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G14" sqref="G14"/>
    </sheetView>
  </sheetViews>
  <sheetFormatPr defaultColWidth="8.7047619047619" defaultRowHeight="15" outlineLevelRow="4"/>
  <cols>
    <col min="1" max="1" customWidth="true" width="5.14285714285714"/>
    <col min="2" max="3" customWidth="true" width="22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99</v>
      </c>
      <c r="C4" s="26" t="s">
        <v>99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100</v>
      </c>
      <c r="BN4" s="27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T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5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101</v>
      </c>
      <c r="C4" s="26" t="s">
        <v>101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5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103</v>
      </c>
      <c r="C4" s="26" t="s">
        <v>103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topLeftCell="D1" workbookViewId="0">
      <selection activeCell="G12" sqref="G12"/>
    </sheetView>
  </sheetViews>
  <sheetFormatPr defaultColWidth="8.7047619047619" defaultRowHeight="15" outlineLevelRow="4"/>
  <cols>
    <col min="1" max="1" customWidth="true" width="5.14285714285714"/>
    <col min="2" max="3" customWidth="true" width="25.2857142857143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spans="1:69">
      <c r="A4" s="26">
        <v>1</v>
      </c>
      <c r="B4" s="26" t="s">
        <v>104</v>
      </c>
      <c r="C4" s="26" t="s">
        <v>104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105</v>
      </c>
      <c r="AV4" t="s" s="0">
        <v>106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1284.68377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107</v>
      </c>
      <c r="BN4" t="s" s="0">
        <v>108</v>
      </c>
      <c r="BO4" s="35">
        <f>ROUND((((AW4*AZ4)+(BN4*BM4))/(AW4+BN4)),5)</f>
        <v>1026.44741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47619047619" defaultRowHeight="15" outlineLevelRow="4"/>
  <cols>
    <col min="1" max="1" customWidth="true" width="5.14285714285714"/>
    <col min="2" max="3" customWidth="true" width="25.2857142857143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109</v>
      </c>
      <c r="C4" s="26" t="s">
        <v>109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110</v>
      </c>
      <c r="AV4" t="s" s="0">
        <v>111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1877.58956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112</v>
      </c>
      <c r="BN4" t="s" s="0">
        <v>113</v>
      </c>
      <c r="BO4" s="35">
        <f>ROUND((((AW4*AZ4)+(BN4*BM4))/(AW4+BN4)),5)</f>
        <v>1629.19616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C1" workbookViewId="0">
      <selection activeCell="I5" sqref="I5"/>
    </sheetView>
  </sheetViews>
  <sheetFormatPr defaultColWidth="8.7047619047619" defaultRowHeight="15" outlineLevelRow="4"/>
  <cols>
    <col min="1" max="1" customWidth="true" width="5.14285714285714"/>
    <col min="2" max="3" customWidth="true" width="25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114</v>
      </c>
      <c r="C4" s="26" t="s">
        <v>114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100</v>
      </c>
      <c r="BN4" s="27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8.2857142857143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115</v>
      </c>
      <c r="C4" s="26" t="s">
        <v>115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U1" workbookViewId="0">
      <selection activeCell="AB12" sqref="AB12"/>
    </sheetView>
  </sheetViews>
  <sheetFormatPr defaultColWidth="8.7047619047619" defaultRowHeight="15" outlineLevelRow="4"/>
  <cols>
    <col min="1" max="1" customWidth="true" width="5.14285714285714"/>
    <col min="2" max="3" customWidth="true" width="28.2857142857143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116</v>
      </c>
      <c r="C4" s="26" t="s">
        <v>116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47619047619" defaultRowHeight="15" outlineLevelRow="4"/>
  <cols>
    <col min="1" max="1" customWidth="true" width="5.14285714285714"/>
    <col min="2" max="3" customWidth="true" width="24.7142857142857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117</v>
      </c>
      <c r="C4" s="26" t="s">
        <v>117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118</v>
      </c>
      <c r="AV4" t="s" s="0">
        <v>119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5500.1713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120</v>
      </c>
      <c r="BN4" t="s" s="0">
        <v>121</v>
      </c>
      <c r="BO4" s="35">
        <f>ROUND((((AW4*AZ4)+(BN4*BM4))/(AW4+BN4)),5)</f>
        <v>2798.45686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47619047619" defaultRowHeight="15" outlineLevelRow="4"/>
  <cols>
    <col min="1" max="1" customWidth="true" width="5.14285714285714"/>
    <col min="2" max="3" customWidth="true" width="24.7142857142857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122</v>
      </c>
      <c r="C4" s="26" t="s">
        <v>122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123</v>
      </c>
      <c r="AV4" t="s" s="0">
        <v>124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2624.53362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125</v>
      </c>
      <c r="BN4" t="s" s="0">
        <v>126</v>
      </c>
      <c r="BO4" s="35">
        <f>ROUND((((AW4*AZ4)+(BN4*BM4))/(AW4+BN4)),5)</f>
        <v>1419.85043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20" sqref="D20"/>
    </sheetView>
  </sheetViews>
  <sheetFormatPr defaultColWidth="8.7047619047619" defaultRowHeight="15" outlineLevelRow="4"/>
  <cols>
    <col min="1" max="1" customWidth="true" width="5.14285714285714"/>
    <col min="2" max="3" customWidth="true" width="25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127</v>
      </c>
      <c r="C4" s="26" t="s">
        <v>127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100</v>
      </c>
      <c r="BN4" s="27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2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128</v>
      </c>
      <c r="C4" s="26" t="s">
        <v>128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2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129</v>
      </c>
      <c r="C4" s="26" t="s">
        <v>129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1" workbookViewId="0">
      <selection activeCell="I5" sqref="I5"/>
    </sheetView>
  </sheetViews>
  <sheetFormatPr defaultColWidth="8.7047619047619" defaultRowHeight="15" outlineLevelRow="4"/>
  <cols>
    <col min="1" max="1" customWidth="true" width="5.14285714285714"/>
    <col min="2" max="3" customWidth="true" width="24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130</v>
      </c>
      <c r="C4" s="26" t="s">
        <v>130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131</v>
      </c>
      <c r="AV4" t="s" s="0">
        <v>132</v>
      </c>
      <c r="AW4" s="35">
        <f>AM4</f>
        <v>1.33333333333333</v>
      </c>
      <c r="AX4" s="35">
        <f>AR4</f>
        <v>0</v>
      </c>
      <c r="AY4" s="35">
        <f>AU4+AW4</f>
        <v>32.6603333333333</v>
      </c>
      <c r="AZ4" t="s" s="0">
        <v>132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133</v>
      </c>
      <c r="BN4" t="s" s="0">
        <v>134</v>
      </c>
      <c r="BO4" s="35">
        <f>ROUND((((AW4*AZ4)+(BN4*BM4))/(AW4+BN4)),5)</f>
        <v>2862.99219</v>
      </c>
      <c r="BP4" s="36">
        <f>BN4+AW4</f>
        <v>35.9993333333333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4" sqref="D14"/>
    </sheetView>
  </sheetViews>
  <sheetFormatPr defaultColWidth="8.7047619047619" defaultRowHeight="15" outlineLevelRow="4"/>
  <cols>
    <col min="1" max="1" customWidth="true" width="5.14285714285714"/>
    <col min="2" max="3" customWidth="true" width="24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135</v>
      </c>
      <c r="C4" s="26" t="s">
        <v>135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136</v>
      </c>
      <c r="AV4" t="s" s="0">
        <v>137</v>
      </c>
      <c r="AW4" s="35">
        <f>AM4</f>
        <v>1.33333333333333</v>
      </c>
      <c r="AX4" s="35">
        <f>AR4</f>
        <v>0</v>
      </c>
      <c r="AY4" s="35">
        <f>AU4+AW4</f>
        <v>83.3283333333333</v>
      </c>
      <c r="AZ4" t="s" s="0">
        <v>137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138</v>
      </c>
      <c r="BN4" t="s" s="0">
        <v>139</v>
      </c>
      <c r="BO4" s="35">
        <f>ROUND((((AW4*AZ4)+(BN4*BM4))/(AW4+BN4)),5)</f>
        <v>917.40987</v>
      </c>
      <c r="BP4" s="36">
        <f>BN4+AW4</f>
        <v>71.9993333333333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U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2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140</v>
      </c>
      <c r="C4" s="26" t="s">
        <v>140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P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2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141</v>
      </c>
      <c r="C4" s="26" t="s">
        <v>141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47619047619" defaultRowHeight="15" outlineLevelRow="4"/>
  <cols>
    <col min="1" max="1" customWidth="true" width="5.14285714285714"/>
    <col min="2" max="3" customWidth="true" width="28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142</v>
      </c>
      <c r="C4" s="26" t="s">
        <v>142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143</v>
      </c>
      <c r="AV4" t="s" s="0">
        <v>144</v>
      </c>
      <c r="AW4" s="35">
        <f>AM4</f>
        <v>1.33333333333333</v>
      </c>
      <c r="AX4" s="35">
        <f>AR4</f>
        <v>0</v>
      </c>
      <c r="AY4" s="35">
        <f>AU4+AW4</f>
        <v>81.3323333333333</v>
      </c>
      <c r="AZ4" s="35">
        <f>ROUND(((AU4*AV4)+(AW4*AX4))/(AU4+AW4),5)</f>
        <v>9585.55308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145</v>
      </c>
      <c r="BN4" t="s" s="0">
        <v>146</v>
      </c>
      <c r="BO4" s="35">
        <f>ROUND((((AW4*AZ4)+(BN4*BM4))/(AW4+BN4)),5)</f>
        <v>3942.08083</v>
      </c>
      <c r="BP4" s="36">
        <f>BN4+AW4</f>
        <v>74.6593333333333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H15" sqref="H15"/>
    </sheetView>
  </sheetViews>
  <sheetFormatPr defaultColWidth="8.7047619047619" defaultRowHeight="15" outlineLevelRow="4"/>
  <cols>
    <col min="1" max="1" customWidth="true" width="5.14285714285714"/>
    <col min="2" max="3" customWidth="true" width="28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147</v>
      </c>
      <c r="C4" s="26" t="s">
        <v>147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148</v>
      </c>
      <c r="AV4" t="s" s="0">
        <v>149</v>
      </c>
      <c r="AW4" s="35">
        <f>AM4</f>
        <v>1.33333333333333</v>
      </c>
      <c r="AX4" s="35">
        <f>AR4</f>
        <v>0</v>
      </c>
      <c r="AY4" s="35">
        <f>AU4+AW4</f>
        <v>81.3303333333333</v>
      </c>
      <c r="AZ4" s="35">
        <f>ROUND(((AU4*AV4)+(AW4*AX4))/(AU4+AW4),5)</f>
        <v>6302.49699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150</v>
      </c>
      <c r="BN4" t="s" s="0">
        <v>151</v>
      </c>
      <c r="BO4" s="35">
        <f>ROUND((((AW4*AZ4)+(BN4*BM4))/(AW4+BN4)),5)</f>
        <v>2676.09025</v>
      </c>
      <c r="BP4" s="36">
        <f>BN4+AW4</f>
        <v>71.3263333333333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8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142</v>
      </c>
      <c r="C4" s="26" t="s">
        <v>142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143</v>
      </c>
      <c r="AV4" t="s" s="0">
        <v>144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145</v>
      </c>
      <c r="BN4" t="s" s="0">
        <v>146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O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8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147</v>
      </c>
      <c r="C4" s="26" t="s">
        <v>147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148</v>
      </c>
      <c r="AV4" t="s" s="0">
        <v>149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150</v>
      </c>
      <c r="BN4" t="s" s="0">
        <v>151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K11" sqref="K11"/>
    </sheetView>
  </sheetViews>
  <sheetFormatPr defaultColWidth="8.7047619047619" defaultRowHeight="15" outlineLevelRow="4"/>
  <cols>
    <col min="1" max="1" customWidth="true" width="5.14285714285714"/>
    <col min="2" max="3" customWidth="true" width="27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152</v>
      </c>
      <c r="C4" s="26" t="s">
        <v>152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153</v>
      </c>
      <c r="AV4" t="s" s="0">
        <v>154</v>
      </c>
      <c r="AW4" s="35">
        <f>AM4</f>
        <v>1.33333333333333</v>
      </c>
      <c r="AX4" s="35">
        <f>AR4</f>
        <v>0</v>
      </c>
      <c r="AY4" s="35">
        <f>AU4+AW4</f>
        <v>82.9993333333333</v>
      </c>
      <c r="AZ4" s="35">
        <f>ROUND(((AU4*AV4)+(AW4*AX4))/(AU4+AW4),5)</f>
        <v>9446.04092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155</v>
      </c>
      <c r="BN4" t="s" s="0">
        <v>156</v>
      </c>
      <c r="BO4" s="35">
        <f>ROUND((((AW4*AZ4)+(BN4*BM4))/(AW4+BN4)),5)</f>
        <v>3379.9894</v>
      </c>
      <c r="BP4" s="36">
        <f>BN4+AW4</f>
        <v>87.9913333333333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1" workbookViewId="0">
      <selection activeCell="D15" sqref="D15"/>
    </sheetView>
  </sheetViews>
  <sheetFormatPr defaultColWidth="8.7047619047619" defaultRowHeight="15" outlineLevelRow="4"/>
  <cols>
    <col min="1" max="1" customWidth="true" width="5.14285714285714"/>
    <col min="2" max="3" customWidth="true" width="27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157</v>
      </c>
      <c r="C4" s="26" t="s">
        <v>157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158</v>
      </c>
      <c r="AV4" t="s" s="0">
        <v>159</v>
      </c>
      <c r="AW4" s="35">
        <f>AM4</f>
        <v>1.33333333333333</v>
      </c>
      <c r="AX4" s="35">
        <f>AR4</f>
        <v>0</v>
      </c>
      <c r="AY4" s="35">
        <f>AU4+AW4</f>
        <v>123.003333333333</v>
      </c>
      <c r="AZ4" s="35">
        <f>ROUND(((AU4*AV4)+(AW4*AX4))/(AU4+AW4),5)</f>
        <v>5423.47644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160</v>
      </c>
      <c r="BN4" t="s" s="0">
        <v>161</v>
      </c>
      <c r="BO4" s="35">
        <f>ROUND((((AW4*AZ4)+(BN4*BM4))/(AW4+BN4)),5)</f>
        <v>1740.653</v>
      </c>
      <c r="BP4" s="36">
        <f>BN4+AW4</f>
        <v>121.333333333333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T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7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7">
        <v>2</v>
      </c>
      <c r="D2" s="7" t="s">
        <v>2</v>
      </c>
      <c r="E2" s="7"/>
      <c r="F2" s="7"/>
      <c r="G2" s="7"/>
      <c r="H2" s="7"/>
      <c r="I2" s="6" t="s">
        <v>3</v>
      </c>
      <c r="J2" s="6" t="s">
        <v>4</v>
      </c>
      <c r="K2" s="6"/>
      <c r="L2" s="6" t="s">
        <v>5</v>
      </c>
      <c r="M2" s="6">
        <v>1</v>
      </c>
      <c r="N2" s="6"/>
      <c r="O2" s="6" t="s">
        <v>6</v>
      </c>
      <c r="P2" s="6">
        <v>2</v>
      </c>
      <c r="Q2" s="6" t="s">
        <v>7</v>
      </c>
      <c r="R2" s="7"/>
      <c r="S2" s="7"/>
      <c r="T2" s="7"/>
      <c r="U2" s="7"/>
      <c r="V2" s="7">
        <v>1</v>
      </c>
      <c r="W2" s="7" t="s">
        <v>8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8"/>
      <c r="BQ2" s="8"/>
    </row>
    <row r="3" ht="15.7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19</v>
      </c>
      <c r="K3" s="10" t="s">
        <v>18</v>
      </c>
      <c r="L3" s="11" t="s">
        <v>20</v>
      </c>
      <c r="M3" s="11" t="s">
        <v>21</v>
      </c>
      <c r="N3" s="11" t="s">
        <v>24</v>
      </c>
      <c r="O3" s="11" t="s">
        <v>25</v>
      </c>
      <c r="P3" s="11" t="s">
        <v>95</v>
      </c>
      <c r="Q3" s="11" t="s">
        <v>23</v>
      </c>
      <c r="R3" s="10" t="s">
        <v>26</v>
      </c>
      <c r="S3" s="9" t="s">
        <v>96</v>
      </c>
      <c r="T3" s="9" t="s">
        <v>28</v>
      </c>
      <c r="U3" s="12" t="s">
        <v>97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3" t="s">
        <v>37</v>
      </c>
      <c r="AD3" s="13" t="s">
        <v>38</v>
      </c>
      <c r="AE3" s="13" t="s">
        <v>39</v>
      </c>
      <c r="AF3" s="13" t="s">
        <v>40</v>
      </c>
      <c r="AG3" s="13" t="s">
        <v>41</v>
      </c>
      <c r="AH3" s="13" t="s">
        <v>42</v>
      </c>
      <c r="AI3" s="13" t="s">
        <v>43</v>
      </c>
      <c r="AJ3" s="13" t="s">
        <v>44</v>
      </c>
      <c r="AK3" s="13" t="s">
        <v>45</v>
      </c>
      <c r="AL3" s="13" t="s">
        <v>46</v>
      </c>
      <c r="AM3" s="13" t="s">
        <v>47</v>
      </c>
      <c r="AN3" s="13" t="s">
        <v>48</v>
      </c>
      <c r="AO3" s="13" t="s">
        <v>49</v>
      </c>
      <c r="AP3" s="13" t="s">
        <v>50</v>
      </c>
      <c r="AQ3" s="13" t="s">
        <v>51</v>
      </c>
      <c r="AR3" s="14" t="s">
        <v>98</v>
      </c>
      <c r="AS3" s="9" t="s">
        <v>53</v>
      </c>
      <c r="AT3" s="9" t="s">
        <v>51</v>
      </c>
      <c r="AU3" s="15" t="s">
        <v>54</v>
      </c>
      <c r="AV3" s="15" t="s">
        <v>55</v>
      </c>
      <c r="AW3" s="15" t="s">
        <v>56</v>
      </c>
      <c r="AX3" s="15" t="s">
        <v>57</v>
      </c>
      <c r="AY3" s="15" t="s">
        <v>58</v>
      </c>
      <c r="AZ3" s="15" t="s">
        <v>59</v>
      </c>
      <c r="BA3" s="15" t="s">
        <v>60</v>
      </c>
      <c r="BB3" s="15" t="s">
        <v>61</v>
      </c>
      <c r="BC3" s="15" t="s">
        <v>62</v>
      </c>
      <c r="BD3" s="15" t="s">
        <v>63</v>
      </c>
      <c r="BE3" s="15" t="s">
        <v>64</v>
      </c>
      <c r="BF3" s="15" t="s">
        <v>65</v>
      </c>
      <c r="BG3" s="15" t="s">
        <v>66</v>
      </c>
      <c r="BH3" s="15" t="s">
        <v>67</v>
      </c>
      <c r="BI3" s="15" t="s">
        <v>68</v>
      </c>
      <c r="BJ3" s="15" t="s">
        <v>69</v>
      </c>
      <c r="BK3" s="15" t="s">
        <v>70</v>
      </c>
      <c r="BL3" s="15" t="s">
        <v>71</v>
      </c>
      <c r="BM3" s="15" t="s">
        <v>72</v>
      </c>
      <c r="BN3" s="15" t="s">
        <v>73</v>
      </c>
      <c r="BO3" s="15" t="s">
        <v>59</v>
      </c>
      <c r="BP3" s="15" t="s">
        <v>74</v>
      </c>
      <c r="BQ3" s="15" t="s">
        <v>28</v>
      </c>
    </row>
    <row r="4" ht="15.75" spans="1:69">
      <c r="A4" s="6">
        <v>1</v>
      </c>
      <c r="B4" s="6" t="s">
        <v>152</v>
      </c>
      <c r="C4" s="6" t="s">
        <v>152</v>
      </c>
      <c r="D4" s="6" t="s">
        <v>76</v>
      </c>
      <c r="E4" s="6" t="s">
        <v>76</v>
      </c>
      <c r="F4" s="16">
        <v>4</v>
      </c>
      <c r="G4" s="16">
        <v>100</v>
      </c>
      <c r="H4" s="16">
        <f>F4*G4</f>
        <v>400</v>
      </c>
      <c r="I4" s="8" t="s">
        <v>102</v>
      </c>
      <c r="J4" s="16">
        <v>2</v>
      </c>
      <c r="K4" s="16">
        <v>2</v>
      </c>
      <c r="L4" s="16">
        <f>H4</f>
        <v>400</v>
      </c>
      <c r="M4" s="16">
        <f>ROUND(L4*I4%,2)</f>
        <v>8</v>
      </c>
      <c r="N4" s="16">
        <f>H4-M4</f>
        <v>392</v>
      </c>
      <c r="O4" s="16">
        <f>ROUND(N4*J4%,2)</f>
        <v>7.84</v>
      </c>
      <c r="P4" s="16">
        <f>ROUND(N4-O4,2)</f>
        <v>384.16</v>
      </c>
      <c r="Q4" s="16">
        <f>ROUND(P4*K4%,2)</f>
        <v>7.68</v>
      </c>
      <c r="R4" s="16">
        <f>M4+O4+Q4</f>
        <v>23.52</v>
      </c>
      <c r="S4" s="16">
        <f>(H4-R4)</f>
        <v>376.48</v>
      </c>
      <c r="T4" s="16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16">
        <f>IF($V2=1,S4+AB4,S4)</f>
        <v>444.25</v>
      </c>
      <c r="AD4" s="16">
        <v>120</v>
      </c>
      <c r="AE4" s="16">
        <f>IF($P$2=1,(S4/$S$4)*$E$35,AD4/$AD$4*$E$35)</f>
        <v>0</v>
      </c>
      <c r="AF4" s="16"/>
      <c r="AG4" s="16">
        <f>IF($P$2=1,(S4/$S$4)*$E$37,AD4/$AD$4*$E$37)</f>
        <v>0</v>
      </c>
      <c r="AH4" s="16">
        <f>IF($P$2=1,(S4/$S$4)*$E$37,AD4/$AD$4*$E$37)</f>
        <v>0</v>
      </c>
      <c r="AI4" s="16">
        <f>S4*$M$21</f>
        <v>0</v>
      </c>
      <c r="AJ4" s="16">
        <f>IF($C$2=3,0,AG4+AH4)</f>
        <v>0</v>
      </c>
      <c r="AK4" s="16">
        <f>IF($C$2=3,AE4+AG4+AH4,0)</f>
        <v>0</v>
      </c>
      <c r="AL4" s="16">
        <v>1</v>
      </c>
      <c r="AM4" s="16">
        <f>F4/AL4</f>
        <v>4</v>
      </c>
      <c r="AN4" s="16">
        <f>AI4/AM4</f>
        <v>0</v>
      </c>
      <c r="AO4" s="16">
        <f>AJ4/AM4</f>
        <v>0</v>
      </c>
      <c r="AP4" s="16">
        <f>AK4/AM4</f>
        <v>0</v>
      </c>
      <c r="AQ4" s="16" t="s">
        <v>76</v>
      </c>
      <c r="AR4" s="16">
        <f>AN4+AO4+AP4</f>
        <v>0</v>
      </c>
      <c r="AS4" s="16" t="s">
        <v>78</v>
      </c>
      <c r="AT4" s="16" t="s">
        <v>76</v>
      </c>
      <c r="AU4" t="s" s="0">
        <v>153</v>
      </c>
      <c r="AV4" t="s" s="0">
        <v>154</v>
      </c>
      <c r="AW4" s="16">
        <f>AM4</f>
        <v>4</v>
      </c>
      <c r="AX4" s="16">
        <f>AR4</f>
        <v>0</v>
      </c>
      <c r="AY4" s="16">
        <f>AU4+AW4</f>
        <v>4</v>
      </c>
      <c r="AZ4" s="16">
        <f>ROUND(((AU4*AV4)+(AW4*AX4))/(AU4+AW4),5)</f>
        <v>0</v>
      </c>
      <c r="BA4" s="18"/>
      <c r="BB4" s="18" t="s">
        <v>81</v>
      </c>
      <c r="BC4" s="18" t="s">
        <v>82</v>
      </c>
      <c r="BD4" s="19" t="s">
        <v>83</v>
      </c>
      <c r="BE4" s="19" t="s">
        <v>84</v>
      </c>
      <c r="BF4" s="18"/>
      <c r="BG4" s="18"/>
      <c r="BH4" s="18"/>
      <c r="BI4" s="16"/>
      <c r="BJ4" s="16"/>
      <c r="BK4" s="16"/>
      <c r="BL4" s="20" t="s">
        <v>85</v>
      </c>
      <c r="BM4" t="s" s="0">
        <v>155</v>
      </c>
      <c r="BN4" t="s" s="0">
        <v>156</v>
      </c>
      <c r="BO4" s="16">
        <f>ROUND((((AW4*AZ4)+(BN4*BM4))/(AW4+BN4)),5)</f>
        <v>0</v>
      </c>
      <c r="BP4" s="18">
        <f>BN4+AW4</f>
        <v>4</v>
      </c>
      <c r="BQ4" s="18">
        <v>88363222</v>
      </c>
    </row>
    <row r="5" spans="1:69">
      <c r="A5" s="6"/>
      <c r="B5" s="8"/>
      <c r="C5" s="8"/>
      <c r="D5" s="21" t="s">
        <v>88</v>
      </c>
      <c r="E5" s="21"/>
      <c r="F5" s="21"/>
      <c r="G5" s="21"/>
      <c r="H5" s="22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22">
        <f t="shared" ref="R5:X5" si="0">SUM(R4:R4)</f>
        <v>23.52</v>
      </c>
      <c r="S5" s="22">
        <f t="shared" si="0"/>
        <v>376.48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67.77</v>
      </c>
      <c r="Y5" s="23"/>
      <c r="Z5" s="23"/>
      <c r="AA5" s="23"/>
      <c r="AB5" s="22">
        <f t="shared" ref="AB5:AE5" si="1">SUM(AB4:AB4)</f>
        <v>67.77</v>
      </c>
      <c r="AC5" s="22">
        <f t="shared" si="1"/>
        <v>444.25</v>
      </c>
      <c r="AD5" s="22">
        <f t="shared" si="1"/>
        <v>120</v>
      </c>
      <c r="AE5" s="22">
        <f t="shared" si="1"/>
        <v>0</v>
      </c>
      <c r="AF5" s="13"/>
      <c r="AG5" s="22">
        <f t="shared" ref="AG5:AK5" si="2">SUM(AG4:AG4)</f>
        <v>0</v>
      </c>
      <c r="AH5" s="22">
        <f t="shared" si="2"/>
        <v>0</v>
      </c>
      <c r="AI5" s="22">
        <f t="shared" si="2"/>
        <v>0</v>
      </c>
      <c r="AJ5" s="22">
        <f t="shared" si="2"/>
        <v>0</v>
      </c>
      <c r="AK5" s="22">
        <f t="shared" si="2"/>
        <v>0</v>
      </c>
      <c r="AL5" s="13"/>
      <c r="AM5" s="13"/>
      <c r="AN5" s="13"/>
      <c r="AO5" s="13"/>
      <c r="AP5" s="13"/>
      <c r="AQ5" s="13"/>
      <c r="AR5" s="13"/>
      <c r="AS5" s="6"/>
      <c r="AT5" s="6"/>
      <c r="AU5" s="8"/>
      <c r="AV5" s="8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8"/>
      <c r="BQ5" s="8"/>
    </row>
  </sheetData>
  <mergeCells count="1">
    <mergeCell ref="A2:B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5" sqref="D15"/>
    </sheetView>
  </sheetViews>
  <sheetFormatPr defaultColWidth="8.7047619047619" defaultRowHeight="15" outlineLevelRow="4"/>
  <cols>
    <col min="1" max="1" customWidth="true" width="5.14285714285714"/>
    <col min="2" max="3" customWidth="true" width="27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7">
        <v>2</v>
      </c>
      <c r="D2" s="7" t="s">
        <v>2</v>
      </c>
      <c r="E2" s="7"/>
      <c r="F2" s="7"/>
      <c r="G2" s="7"/>
      <c r="H2" s="7"/>
      <c r="I2" s="6" t="s">
        <v>3</v>
      </c>
      <c r="J2" s="6" t="s">
        <v>4</v>
      </c>
      <c r="K2" s="6"/>
      <c r="L2" s="6" t="s">
        <v>5</v>
      </c>
      <c r="M2" s="6">
        <v>1</v>
      </c>
      <c r="N2" s="6"/>
      <c r="O2" s="6" t="s">
        <v>6</v>
      </c>
      <c r="P2" s="6">
        <v>2</v>
      </c>
      <c r="Q2" s="6" t="s">
        <v>7</v>
      </c>
      <c r="R2" s="7"/>
      <c r="S2" s="7"/>
      <c r="T2" s="7"/>
      <c r="U2" s="7"/>
      <c r="V2" s="7">
        <v>1</v>
      </c>
      <c r="W2" s="7" t="s">
        <v>8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8"/>
      <c r="BQ2" s="8"/>
    </row>
    <row r="3" ht="15.7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19</v>
      </c>
      <c r="K3" s="10" t="s">
        <v>18</v>
      </c>
      <c r="L3" s="11" t="s">
        <v>20</v>
      </c>
      <c r="M3" s="11" t="s">
        <v>21</v>
      </c>
      <c r="N3" s="11" t="s">
        <v>24</v>
      </c>
      <c r="O3" s="11" t="s">
        <v>25</v>
      </c>
      <c r="P3" s="11" t="s">
        <v>95</v>
      </c>
      <c r="Q3" s="11" t="s">
        <v>23</v>
      </c>
      <c r="R3" s="10" t="s">
        <v>26</v>
      </c>
      <c r="S3" s="9" t="s">
        <v>96</v>
      </c>
      <c r="T3" s="9" t="s">
        <v>28</v>
      </c>
      <c r="U3" s="12" t="s">
        <v>97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3" t="s">
        <v>37</v>
      </c>
      <c r="AD3" s="13" t="s">
        <v>38</v>
      </c>
      <c r="AE3" s="13" t="s">
        <v>39</v>
      </c>
      <c r="AF3" s="13" t="s">
        <v>40</v>
      </c>
      <c r="AG3" s="13" t="s">
        <v>41</v>
      </c>
      <c r="AH3" s="13" t="s">
        <v>42</v>
      </c>
      <c r="AI3" s="13" t="s">
        <v>43</v>
      </c>
      <c r="AJ3" s="13" t="s">
        <v>44</v>
      </c>
      <c r="AK3" s="13" t="s">
        <v>45</v>
      </c>
      <c r="AL3" s="13" t="s">
        <v>46</v>
      </c>
      <c r="AM3" s="13" t="s">
        <v>47</v>
      </c>
      <c r="AN3" s="13" t="s">
        <v>48</v>
      </c>
      <c r="AO3" s="13" t="s">
        <v>49</v>
      </c>
      <c r="AP3" s="13" t="s">
        <v>50</v>
      </c>
      <c r="AQ3" s="13" t="s">
        <v>51</v>
      </c>
      <c r="AR3" s="14" t="s">
        <v>98</v>
      </c>
      <c r="AS3" s="9" t="s">
        <v>53</v>
      </c>
      <c r="AT3" s="9" t="s">
        <v>51</v>
      </c>
      <c r="AU3" s="15" t="s">
        <v>54</v>
      </c>
      <c r="AV3" s="15" t="s">
        <v>55</v>
      </c>
      <c r="AW3" s="15" t="s">
        <v>56</v>
      </c>
      <c r="AX3" s="15" t="s">
        <v>57</v>
      </c>
      <c r="AY3" s="15" t="s">
        <v>58</v>
      </c>
      <c r="AZ3" s="15" t="s">
        <v>59</v>
      </c>
      <c r="BA3" s="15" t="s">
        <v>60</v>
      </c>
      <c r="BB3" s="15" t="s">
        <v>61</v>
      </c>
      <c r="BC3" s="15" t="s">
        <v>62</v>
      </c>
      <c r="BD3" s="15" t="s">
        <v>63</v>
      </c>
      <c r="BE3" s="15" t="s">
        <v>64</v>
      </c>
      <c r="BF3" s="15" t="s">
        <v>65</v>
      </c>
      <c r="BG3" s="15" t="s">
        <v>66</v>
      </c>
      <c r="BH3" s="15" t="s">
        <v>67</v>
      </c>
      <c r="BI3" s="15" t="s">
        <v>68</v>
      </c>
      <c r="BJ3" s="15" t="s">
        <v>69</v>
      </c>
      <c r="BK3" s="15" t="s">
        <v>70</v>
      </c>
      <c r="BL3" s="15" t="s">
        <v>71</v>
      </c>
      <c r="BM3" s="15" t="s">
        <v>72</v>
      </c>
      <c r="BN3" s="15" t="s">
        <v>73</v>
      </c>
      <c r="BO3" s="15" t="s">
        <v>59</v>
      </c>
      <c r="BP3" s="15" t="s">
        <v>74</v>
      </c>
      <c r="BQ3" s="15" t="s">
        <v>28</v>
      </c>
    </row>
    <row r="4" ht="15.75" spans="1:69">
      <c r="A4" s="6">
        <v>1</v>
      </c>
      <c r="B4" s="6" t="s">
        <v>162</v>
      </c>
      <c r="C4" s="6" t="s">
        <v>162</v>
      </c>
      <c r="D4" s="6" t="s">
        <v>76</v>
      </c>
      <c r="E4" s="6" t="s">
        <v>76</v>
      </c>
      <c r="F4" s="16">
        <v>4</v>
      </c>
      <c r="G4" s="16">
        <v>100</v>
      </c>
      <c r="H4" s="16">
        <f>F4*G4</f>
        <v>400</v>
      </c>
      <c r="I4" s="8" t="s">
        <v>102</v>
      </c>
      <c r="J4" s="16">
        <v>2</v>
      </c>
      <c r="K4" s="16">
        <v>2</v>
      </c>
      <c r="L4" s="16">
        <f>H4</f>
        <v>400</v>
      </c>
      <c r="M4" s="16">
        <f>ROUND(L4*I4%,2)</f>
        <v>8</v>
      </c>
      <c r="N4" s="16">
        <f>H4-M4</f>
        <v>392</v>
      </c>
      <c r="O4" s="16">
        <f>ROUND(N4*J4%,2)</f>
        <v>7.84</v>
      </c>
      <c r="P4" s="16">
        <f>ROUND(N4-O4,2)</f>
        <v>384.16</v>
      </c>
      <c r="Q4" s="16">
        <f>ROUND(P4*K4%,2)</f>
        <v>7.68</v>
      </c>
      <c r="R4" s="16">
        <f>M4+O4+Q4</f>
        <v>23.52</v>
      </c>
      <c r="S4" s="16">
        <f>(H4-R4)</f>
        <v>376.48</v>
      </c>
      <c r="T4" s="16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16">
        <f>IF($V2=1,S4+AB4,S4)</f>
        <v>444.25</v>
      </c>
      <c r="AD4" s="16">
        <v>120</v>
      </c>
      <c r="AE4" s="16">
        <f>IF($P$2=1,(S4/$S$4)*$E$35,AD4/$AD$4*$E$35)</f>
        <v>0</v>
      </c>
      <c r="AF4" s="16"/>
      <c r="AG4" s="16">
        <f>IF($P$2=1,(S4/$S$4)*$E$37,AD4/$AD$4*$E$37)</f>
        <v>0</v>
      </c>
      <c r="AH4" s="16">
        <f>IF($P$2=1,(S4/$S$4)*$E$37,AD4/$AD$4*$E$37)</f>
        <v>0</v>
      </c>
      <c r="AI4" s="16">
        <f>S4*$M$21</f>
        <v>0</v>
      </c>
      <c r="AJ4" s="16">
        <f>IF($C$2=3,0,AG4+AH4)</f>
        <v>0</v>
      </c>
      <c r="AK4" s="16">
        <f>IF($C$2=3,AE4+AG4+AH4,0)</f>
        <v>0</v>
      </c>
      <c r="AL4" s="16">
        <v>1</v>
      </c>
      <c r="AM4" s="16">
        <f>F4/AL4</f>
        <v>4</v>
      </c>
      <c r="AN4" s="16">
        <f>AI4/AM4</f>
        <v>0</v>
      </c>
      <c r="AO4" s="16">
        <f>AJ4/AM4</f>
        <v>0</v>
      </c>
      <c r="AP4" s="16">
        <f>AK4/AM4</f>
        <v>0</v>
      </c>
      <c r="AQ4" s="16" t="s">
        <v>76</v>
      </c>
      <c r="AR4" s="16">
        <f>AN4+AO4+AP4</f>
        <v>0</v>
      </c>
      <c r="AS4" s="16" t="s">
        <v>78</v>
      </c>
      <c r="AT4" s="16" t="s">
        <v>76</v>
      </c>
      <c r="AU4" t="s" s="0">
        <v>163</v>
      </c>
      <c r="AV4" t="s" s="0">
        <v>164</v>
      </c>
      <c r="AW4" s="16">
        <f>AM4</f>
        <v>4</v>
      </c>
      <c r="AX4" s="16">
        <f>AR4</f>
        <v>0</v>
      </c>
      <c r="AY4" s="16">
        <f>AU4+AW4</f>
        <v>4</v>
      </c>
      <c r="AZ4" s="16">
        <f>ROUND(((AU4*AV4)+(AW4*AX4))/(AU4+AW4),5)</f>
        <v>4608.96016</v>
      </c>
      <c r="BA4" s="18"/>
      <c r="BB4" s="18" t="s">
        <v>81</v>
      </c>
      <c r="BC4" s="18" t="s">
        <v>82</v>
      </c>
      <c r="BD4" s="19" t="s">
        <v>83</v>
      </c>
      <c r="BE4" s="19" t="s">
        <v>84</v>
      </c>
      <c r="BF4" s="18"/>
      <c r="BG4" s="18"/>
      <c r="BH4" s="18"/>
      <c r="BI4" s="16"/>
      <c r="BJ4" s="16"/>
      <c r="BK4" s="16"/>
      <c r="BL4" s="20" t="s">
        <v>85</v>
      </c>
      <c r="BM4" t="s" s="0">
        <v>165</v>
      </c>
      <c r="BN4" t="s" s="0">
        <v>166</v>
      </c>
      <c r="BO4" s="16">
        <f>ROUND((((AW4*AZ4)+(BN4*BM4))/(AW4+BN4)),5)</f>
        <v>343.20889</v>
      </c>
      <c r="BP4" s="18">
        <f>BN4+AW4</f>
        <v>4</v>
      </c>
      <c r="BQ4" s="18">
        <v>88363222</v>
      </c>
    </row>
    <row r="5" spans="1:69">
      <c r="A5" s="6"/>
      <c r="B5" s="8"/>
      <c r="C5" s="8"/>
      <c r="D5" s="21" t="s">
        <v>88</v>
      </c>
      <c r="E5" s="21"/>
      <c r="F5" s="21"/>
      <c r="G5" s="21"/>
      <c r="H5" s="22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22">
        <f t="shared" ref="R5:X5" si="0">SUM(R4:R4)</f>
        <v>23.52</v>
      </c>
      <c r="S5" s="22">
        <f t="shared" si="0"/>
        <v>376.48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67.77</v>
      </c>
      <c r="Y5" s="23"/>
      <c r="Z5" s="23"/>
      <c r="AA5" s="23"/>
      <c r="AB5" s="22">
        <f t="shared" ref="AB5:AE5" si="1">SUM(AB4:AB4)</f>
        <v>67.77</v>
      </c>
      <c r="AC5" s="22">
        <f t="shared" si="1"/>
        <v>444.25</v>
      </c>
      <c r="AD5" s="22">
        <f t="shared" si="1"/>
        <v>120</v>
      </c>
      <c r="AE5" s="22">
        <f t="shared" si="1"/>
        <v>0</v>
      </c>
      <c r="AF5" s="13"/>
      <c r="AG5" s="22">
        <f t="shared" ref="AG5:AK5" si="2">SUM(AG4:AG4)</f>
        <v>0</v>
      </c>
      <c r="AH5" s="22">
        <f t="shared" si="2"/>
        <v>0</v>
      </c>
      <c r="AI5" s="22">
        <f t="shared" si="2"/>
        <v>0</v>
      </c>
      <c r="AJ5" s="22">
        <f t="shared" si="2"/>
        <v>0</v>
      </c>
      <c r="AK5" s="22">
        <f t="shared" si="2"/>
        <v>0</v>
      </c>
      <c r="AL5" s="13"/>
      <c r="AM5" s="13"/>
      <c r="AN5" s="13"/>
      <c r="AO5" s="13"/>
      <c r="AP5" s="13"/>
      <c r="AQ5" s="13"/>
      <c r="AR5" s="13"/>
      <c r="AS5" s="6"/>
      <c r="AT5" s="6"/>
      <c r="AU5" s="8"/>
      <c r="AV5" s="8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8"/>
      <c r="BQ5" s="8"/>
    </row>
  </sheetData>
  <mergeCells count="1">
    <mergeCell ref="A2:B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D-PoToGRNFOCUDGeneralSameUOMWI</vt:lpstr>
      <vt:lpstr>D-PoToGRNFOCUDGeneralSameUOMWOI</vt:lpstr>
      <vt:lpstr>D-PoToGRNFOCUDServiceSameUOMWOI</vt:lpstr>
      <vt:lpstr>D-PoToGRNFOCUDStkTrnSameUOMWI</vt:lpstr>
      <vt:lpstr>D-PoToGRNFOCUDStkTrnSameUOMWOI</vt:lpstr>
      <vt:lpstr>D-PoToGRNFOCRCGeneralSameUOMWI</vt:lpstr>
      <vt:lpstr>D-PoToGRNFOCRCGeneralSameUOMWOI</vt:lpstr>
      <vt:lpstr>D-PoToGRNFOCRCServiceSameUOMWOI</vt:lpstr>
      <vt:lpstr>D-PoToGRNFOCRCStkTrnSameUOMWI</vt:lpstr>
      <vt:lpstr>D-PoToGRNFOCRCStkTrnSameUOMWOI</vt:lpstr>
      <vt:lpstr>D-PoToGRNFOCPLGeneralSameUOMWI</vt:lpstr>
      <vt:lpstr>D-PoToGRNFOCPLGeneralSameUOMWOI</vt:lpstr>
      <vt:lpstr>D-PoToGRNFOCPLServiceSameUOMWOI</vt:lpstr>
      <vt:lpstr>D-PoToGRNFOCPLStkTrnSameUOMWI</vt:lpstr>
      <vt:lpstr>D-PoToGRNFOCPLStkTrnSameUOMWOI</vt:lpstr>
      <vt:lpstr>D-PoToGRNFOCUDGeneralDiffUOMWI</vt:lpstr>
      <vt:lpstr>D-PoToGRNFOCUDGeneralDiffUOMWOI</vt:lpstr>
      <vt:lpstr>D-PoToGRNFOCUDStkTrnDiffUOMWI</vt:lpstr>
      <vt:lpstr>D-PoToGRNFOCUDStkTrnDiffUOMWOI</vt:lpstr>
      <vt:lpstr>D-PoToGRNFOCRCGeneralDiffUOMWI</vt:lpstr>
      <vt:lpstr>D-PoToGRNFOCRCGeneralDiffUOMWOI</vt:lpstr>
      <vt:lpstr>D-PoToGRNFOCRCStkTrnDiffUOMWI</vt:lpstr>
      <vt:lpstr>D-PoToGRNFOCRCStkTrnDiffUOMWOI</vt:lpstr>
      <vt:lpstr>D-PoToGRNFOCPLGeneralDiffUOMWI</vt:lpstr>
      <vt:lpstr>D-PoToGRNFOCPLGeneralDiffUOMWOI</vt:lpstr>
      <vt:lpstr>D-PoToGRNFOCPLStkTrnDiffUOMWI</vt:lpstr>
      <vt:lpstr>D-PoToGRNFOCPLStkTrnDiffUOMWOI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2025-12-11T12:04:00Z</dcterms:created>
  <dc:creator>Administrator</dc:creator>
  <cp:lastModifiedBy>Administrator</cp:lastModifiedBy>
  <dcterms:modified xsi:type="dcterms:W3CDTF">2026-03-19T11:31:22Z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