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 firstSheet="25" activeTab="26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<sst xmlns="http://schemas.openxmlformats.org/spreadsheetml/2006/main" count="2585" uniqueCount="121">
  <si>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</si>
  <si>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</si>
  <si>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</si>
  <si>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</si>
  <si>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</si>
  <si>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</si>
  <si>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</si>
  <si>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</si>
  <si>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</si>
  <si>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</si>
  <si>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</si>
  <si>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</si>
  <si>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</si>
  <si>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</si>
  <si>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</si>
  <si>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</si>
  <si>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</si>
  <si>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</si>
  <si>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</si>
  <si>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</si>
  <si>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</si>
  <si>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</si>
  <si>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</si>
  <si>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</si>
  <si>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</si>
  <si>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</si>
  <si>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</si>
  <si>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</si>
  <si>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</si>
  <si>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</si>
  <si>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</si>
  <si>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</si>
  <si>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</si>
  <si>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</si>
  <si>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</si>
  <si>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</si>
  <si>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</si>
  <si>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</si>
  <si>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</si>
  <si>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</si>
  <si>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</si>
  <si>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</si>
  <si>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</si>
  <si>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</si>
  <si>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</si>
  <si>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</si>
  <si>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</si>
  <si>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</si>
  <si>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</si>
  <si>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</si>
  <si>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</si>
  <si>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</si>
  <si>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</si>
  <si>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</si>
  <si>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</si>
  <si>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</si>
  <si>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</si>
  <si>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</si>
  <si>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</si>
  <si>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</si>
  <si>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</si>
  <si>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</si>
  <si>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</si>
  <si>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</si>
  <si>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</si>
  <si>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</si>
  <si>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</si>
  <si>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</si>
  <si>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</si>
  <si>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</si>
  <si>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</si>
  <si>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</si>
  <si>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</si>
  <si>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</si>
  <si>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</si>
  <si>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</si>
  <si>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</si>
  <si>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INS WH-1</t>
  </si>
  <si>
    <t>2</t>
  </si>
  <si>
    <t>18387.625</t>
  </si>
  <si>
    <t>Receipt Qty &amp; Unit cost</t>
  </si>
  <si>
    <t>LOT</t>
  </si>
  <si>
    <t>RM</t>
  </si>
  <si>
    <t>RMS</t>
  </si>
  <si>
    <t>RM WH-49</t>
  </si>
  <si>
    <t>17578.05921</t>
  </si>
  <si>
    <t>531</t>
  </si>
  <si>
    <t>Total</t>
  </si>
  <si>
    <t>GWL_Item_Similar_05</t>
  </si>
  <si>
    <t>GWL_Item_Similar_05_Desc</t>
  </si>
  <si>
    <t>VD Asbl. Val.</t>
  </si>
  <si>
    <t>Pur. Value</t>
  </si>
  <si>
    <t>Tax%</t>
  </si>
  <si>
    <t>Unit cost (Stk. UOM)</t>
  </si>
  <si>
    <t>GWL_Item_service_05</t>
  </si>
  <si>
    <t>GWL_Item_Similar_St_08</t>
  </si>
  <si>
    <t>GWL_Item_Similar_St_09</t>
  </si>
  <si>
    <t>GWL_Item_Similar_Rc_01</t>
  </si>
  <si>
    <t>GWL_Item_Similar_Rc_02</t>
  </si>
  <si>
    <t>GWL_Item_Service_Rc_06</t>
  </si>
  <si>
    <t>GWL_Item_Similar_Rc_St_01</t>
  </si>
  <si>
    <t>GWL_Item_Similar_Rc_St_02</t>
  </si>
  <si>
    <t>GWL_Item_Similar_Pl_01</t>
  </si>
  <si>
    <t>GWL_Item_Similar_Pl_02</t>
  </si>
  <si>
    <t>GWL_Item_Service_Pl_03</t>
  </si>
  <si>
    <t>GWL_similar_Pl_St_01</t>
  </si>
  <si>
    <t>GWL_similar_Pl_St_02</t>
  </si>
  <si>
    <t>GWL_Item_Dissimilar_04</t>
  </si>
  <si>
    <t>GWL_Item_Dissimilar_05</t>
  </si>
  <si>
    <t>GWL_Dissimilar_St_01</t>
  </si>
  <si>
    <t>GWL_Dissimilar_St_02</t>
  </si>
  <si>
    <t>GWL_Item_Dissimilar_Rc_01</t>
  </si>
  <si>
    <t>GWL_Item_Dissimilar_Rc_02</t>
  </si>
  <si>
    <t>GWL_Item_Dissimilar_Pl_01</t>
  </si>
  <si>
    <t>GWL_Item_Dissimilar_Pl_02</t>
  </si>
  <si>
    <t>GWL_Item_Dissimilar_Pl_03</t>
  </si>
  <si>
    <t>646</t>
  </si>
  <si>
    <t>6864.88992</t>
  </si>
  <si>
    <t>1134</t>
  </si>
  <si>
    <t>5044.62017</t>
  </si>
  <si>
    <t>650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</si>
</sst>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1" borderId="7" applyNumberFormat="0" applyAlignment="0" applyProtection="0">
      <alignment vertical="center"/>
    </xf>
    <xf numFmtId="0" fontId="12" fillId="12" borderId="8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3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6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49" applyNumberFormat="1" applyFont="1" applyFill="1" applyBorder="1" applyAlignment="1"/>
    <xf numFmtId="0" fontId="0" fillId="0" borderId="0" xfId="49" applyFill="1" applyAlignment="1"/>
    <xf numFmtId="0" fontId="2" fillId="0" borderId="3" xfId="49" applyNumberFormat="1" applyFont="1" applyFill="1" applyBorder="1" applyAlignment="1"/>
    <xf numFmtId="0" fontId="0" fillId="0" borderId="0" xfId="49">
      <alignment vertical="center"/>
    </xf>
    <xf numFmtId="0" fontId="0" fillId="0" borderId="3" xfId="49" applyNumberFormat="1" applyFill="1" applyBorder="1" applyAlignment="1"/>
    <xf numFmtId="0" fontId="0" fillId="0" borderId="1" xfId="49" applyFill="1" applyBorder="1" applyAlignment="1">
      <alignment vertical="center"/>
    </xf>
    <xf numFmtId="0" fontId="0" fillId="0" borderId="1" xfId="49" applyNumberFormat="1" applyFont="1" applyFill="1" applyBorder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theme/theme1.xml" Type="http://schemas.openxmlformats.org/officeDocument/2006/relationships/theme"/><Relationship Id="rId29" Target="sharedStrings.xml" Type="http://schemas.openxmlformats.org/officeDocument/2006/relationships/sharedStrings"/><Relationship Id="rId3" Target="worksheets/sheet3.xml" Type="http://schemas.openxmlformats.org/officeDocument/2006/relationships/worksheet"/><Relationship Id="rId30" Target="styles.xml" Type="http://schemas.openxmlformats.org/officeDocument/2006/relationships/styles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U5" sqref="U5"/>
    </sheetView>
  </sheetViews>
  <sheetFormatPr defaultColWidth="8.7047619047619" defaultRowHeight="15" outlineLevelRow="4"/>
  <cols>
    <col min="1" max="1" customWidth="true" width="5.14285714285714"/>
    <col min="2" max="3" customWidth="true" width="20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10.7142857142857"/>
    <col min="21" max="21" customWidth="true" width="9.85714285714286"/>
    <col min="22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18</v>
      </c>
      <c r="K3" s="34" t="s">
        <v>19</v>
      </c>
      <c r="L3" s="45" t="s">
        <v>20</v>
      </c>
      <c r="M3" s="45" t="s">
        <v>21</v>
      </c>
      <c r="N3" s="45" t="s">
        <v>22</v>
      </c>
      <c r="O3" s="45" t="s">
        <v>23</v>
      </c>
      <c r="P3" s="45" t="s">
        <v>24</v>
      </c>
      <c r="Q3" s="45" t="s">
        <v>25</v>
      </c>
      <c r="R3" s="34" t="s">
        <v>26</v>
      </c>
      <c r="S3" s="33" t="s">
        <v>27</v>
      </c>
      <c r="T3" s="33" t="s">
        <v>28</v>
      </c>
      <c r="U3" s="36" t="s">
        <v>29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52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75</v>
      </c>
      <c r="C4" s="31" t="s">
        <v>75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t="s" s="0">
        <v>120</v>
      </c>
      <c r="AV4" t="s" s="0">
        <v>117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t="s" s="0">
        <v>119</v>
      </c>
      <c r="BN4" t="s" s="0">
        <v>118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U4" sqref="U4"/>
    </sheetView>
  </sheetViews>
  <sheetFormatPr defaultColWidth="8.7047619047619" defaultRowHeight="15" outlineLevelRow="4"/>
  <cols>
    <col min="1" max="1" customWidth="true" width="5.14285714285714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18</v>
      </c>
      <c r="K3" s="34" t="s">
        <v>19</v>
      </c>
      <c r="L3" s="45" t="s">
        <v>20</v>
      </c>
      <c r="M3" s="45" t="s">
        <v>21</v>
      </c>
      <c r="N3" s="45" t="s">
        <v>22</v>
      </c>
      <c r="O3" s="45" t="s">
        <v>23</v>
      </c>
      <c r="P3" s="45" t="s">
        <v>24</v>
      </c>
      <c r="Q3" s="45" t="s">
        <v>25</v>
      </c>
      <c r="R3" s="34" t="s">
        <v>26</v>
      </c>
      <c r="S3" s="33" t="s">
        <v>27</v>
      </c>
      <c r="T3" s="33" t="s">
        <v>28</v>
      </c>
      <c r="U3" s="36" t="s">
        <v>29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52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spans="1:69">
      <c r="A4" s="31">
        <v>1</v>
      </c>
      <c r="B4" s="31" t="s">
        <v>88</v>
      </c>
      <c r="C4" s="31" t="s">
        <v>89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4"/>
      <c r="Z5" s="44"/>
      <c r="AA5" s="44"/>
      <c r="AB5" s="42">
        <f t="shared" ref="AB5:AE5" si="1">SUM(AB4:AB4)</f>
        <v>83.6728</v>
      </c>
      <c r="AC5" s="42">
        <f t="shared" si="1"/>
        <v>463.9928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94</v>
      </c>
      <c r="C4" s="31" t="s">
        <v>94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4"/>
      <c r="Z5" s="44"/>
      <c r="AA5" s="44"/>
      <c r="AB5" s="42">
        <f t="shared" ref="AB5:AE5" si="1">SUM(AB4:AB4)</f>
        <v>83.6728</v>
      </c>
      <c r="AC5" s="42">
        <f t="shared" si="1"/>
        <v>463.9928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N1" workbookViewId="0">
      <selection activeCell="U14" sqref="U14"/>
    </sheetView>
  </sheetViews>
  <sheetFormatPr defaultColWidth="8.7047619047619" defaultRowHeight="15" outlineLevelRow="4"/>
  <cols>
    <col min="1" max="1" customWidth="true" width="5.14285714285714"/>
    <col min="2" max="3" customWidth="true" width="25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95</v>
      </c>
      <c r="C4" s="31" t="s">
        <v>95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3" sqref="W13"/>
    </sheetView>
  </sheetViews>
  <sheetFormatPr defaultColWidth="8.7047619047619" defaultRowHeight="15" outlineLevelRow="4"/>
  <cols>
    <col min="1" max="1" customWidth="true" width="5.14285714285714"/>
    <col min="2" max="3" customWidth="true" width="25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96</v>
      </c>
      <c r="C4" s="31" t="s">
        <v>96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7" sqref="W17"/>
    </sheetView>
  </sheetViews>
  <sheetFormatPr defaultColWidth="8.7047619047619" defaultRowHeight="15" outlineLevelRow="4"/>
  <cols>
    <col min="1" max="1" customWidth="true" width="5.14285714285714"/>
    <col min="2" max="3" customWidth="true" width="25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97</v>
      </c>
      <c r="C4" s="31" t="s">
        <v>97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U4" sqref="U4"/>
    </sheetView>
  </sheetViews>
  <sheetFormatPr defaultColWidth="8.7047619047619" defaultRowHeight="15" outlineLevelRow="4"/>
  <cols>
    <col min="1" max="1" customWidth="true" width="5.14285714285714"/>
    <col min="2" max="3" customWidth="true" width="25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spans="1:69">
      <c r="A4" s="31">
        <v>1</v>
      </c>
      <c r="B4" s="31" t="s">
        <v>98</v>
      </c>
      <c r="C4" s="31" t="s">
        <v>98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4"/>
      <c r="Z5" s="44"/>
      <c r="AA5" s="44"/>
      <c r="AB5" s="42">
        <f t="shared" ref="AB5:AE5" si="1">SUM(AB4:AB4)</f>
        <v>83.6728</v>
      </c>
      <c r="AC5" s="42">
        <f t="shared" si="1"/>
        <v>463.9928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6" sqref="W16"/>
    </sheetView>
  </sheetViews>
  <sheetFormatPr defaultColWidth="8.7047619047619" defaultRowHeight="15" outlineLevelRow="4"/>
  <cols>
    <col min="1" max="1" customWidth="true" width="5.14285714285714"/>
    <col min="2" max="3" customWidth="true" width="25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99</v>
      </c>
      <c r="C4" s="31" t="s">
        <v>99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4"/>
      <c r="Z5" s="44"/>
      <c r="AA5" s="44"/>
      <c r="AB5" s="42">
        <f t="shared" ref="AB5:AE5" si="1">SUM(AB4:AB4)</f>
        <v>83.6728</v>
      </c>
      <c r="AC5" s="42">
        <f t="shared" si="1"/>
        <v>463.9928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6" sqref="W16"/>
    </sheetView>
  </sheetViews>
  <sheetFormatPr defaultColWidth="8.7047619047619" defaultRowHeight="15" outlineLevelRow="4"/>
  <cols>
    <col min="1" max="1" customWidth="true" width="5.14285714285714"/>
    <col min="2" max="3" customWidth="true" width="28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100</v>
      </c>
      <c r="C4" s="31" t="s">
        <v>100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3" sqref="W13"/>
    </sheetView>
  </sheetViews>
  <sheetFormatPr defaultColWidth="8.7047619047619" defaultRowHeight="15" outlineLevelRow="4"/>
  <cols>
    <col min="1" max="1" customWidth="true" width="5.14285714285714"/>
    <col min="2" max="3" customWidth="true" width="28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101</v>
      </c>
      <c r="C4" s="31" t="s">
        <v>101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X18" sqref="X18"/>
    </sheetView>
  </sheetViews>
  <sheetFormatPr defaultColWidth="8.7047619047619" defaultRowHeight="15" outlineLevelRow="4"/>
  <cols>
    <col min="1" max="1" customWidth="true" width="5.14285714285714"/>
    <col min="2" max="3" customWidth="true" width="24.7142857142857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102</v>
      </c>
      <c r="C4" s="31" t="s">
        <v>102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2" sqref="W12"/>
    </sheetView>
  </sheetViews>
  <sheetFormatPr defaultColWidth="8.7047619047619" defaultRowHeight="15" outlineLevelRow="4"/>
  <cols>
    <col min="1" max="1" customWidth="true" width="5.14285714285714"/>
    <col min="2" max="3" customWidth="true" width="24.7142857142857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103</v>
      </c>
      <c r="C4" s="31" t="s">
        <v>103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4"/>
      <c r="Z5" s="44"/>
      <c r="AA5" s="44"/>
      <c r="AB5" s="42">
        <f t="shared" ref="AB5:AE5" si="1">SUM(AB4:AB4)</f>
        <v>83.6728</v>
      </c>
      <c r="AC5" s="42">
        <f t="shared" si="1"/>
        <v>463.9928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1" sqref="W11"/>
    </sheetView>
  </sheetViews>
  <sheetFormatPr defaultColWidth="8.7047619047619" defaultRowHeight="15" outlineLevelRow="4"/>
  <cols>
    <col min="1" max="1" customWidth="true" width="5.14285714285714"/>
    <col min="2" max="3" customWidth="true" width="25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104</v>
      </c>
      <c r="C4" s="31" t="s">
        <v>104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4"/>
      <c r="Z5" s="44"/>
      <c r="AA5" s="44"/>
      <c r="AB5" s="42">
        <f t="shared" ref="AB5:AE5" si="1">SUM(AB4:AB4)</f>
        <v>83.6728</v>
      </c>
      <c r="AC5" s="42">
        <f t="shared" si="1"/>
        <v>463.9928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4" sqref="W1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105</v>
      </c>
      <c r="C4" s="31" t="s">
        <v>105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5" sqref="W15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106</v>
      </c>
      <c r="C4" s="31" t="s">
        <v>106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U14" sqref="U14"/>
    </sheetView>
  </sheetViews>
  <sheetFormatPr defaultColWidth="8.7047619047619" defaultRowHeight="15" outlineLevelRow="4"/>
  <cols>
    <col min="1" max="1" customWidth="true" width="5.14285714285714"/>
    <col min="2" max="3" customWidth="true" width="24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107</v>
      </c>
      <c r="C4" s="31" t="s">
        <v>107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W15" sqref="W15"/>
    </sheetView>
  </sheetViews>
  <sheetFormatPr defaultColWidth="8.7047619047619" defaultRowHeight="15" outlineLevelRow="4"/>
  <cols>
    <col min="1" max="1" customWidth="true" width="5.14285714285714"/>
    <col min="2" max="3" customWidth="true" width="24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108</v>
      </c>
      <c r="C4" s="31" t="s">
        <v>108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W13" sqref="W13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109</v>
      </c>
      <c r="C4" s="31" t="s">
        <v>109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X19" sqref="X19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110</v>
      </c>
      <c r="C4" s="31" t="s">
        <v>110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W15" sqref="W15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111</v>
      </c>
      <c r="C4" s="31" t="s">
        <v>111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4" sqref="W14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112</v>
      </c>
      <c r="C4" s="31" t="s">
        <v>112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W13" sqref="W13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111</v>
      </c>
      <c r="C4" s="31" t="s">
        <v>111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112</v>
      </c>
      <c r="C4" s="31" t="s">
        <v>112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67.77</v>
      </c>
      <c r="Y5" s="44"/>
      <c r="Z5" s="44"/>
      <c r="AA5" s="44"/>
      <c r="AB5" s="42">
        <f t="shared" ref="AB5:AE5" si="1">SUM(AB4:AB4)</f>
        <v>82.8292</v>
      </c>
      <c r="AC5" s="42">
        <f t="shared" si="1"/>
        <v>459.3092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113</v>
      </c>
      <c r="C4" s="31" t="s">
        <v>113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X14" sqref="X14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7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75" spans="1:69">
      <c r="A4" s="31">
        <v>1</v>
      </c>
      <c r="B4" s="31" t="s">
        <v>114</v>
      </c>
      <c r="C4" s="31" t="s">
        <v>114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83.6728</v>
      </c>
      <c r="AC4" s="17">
        <f>IF($V2=1,S4+AB4,S4)</f>
        <v>463.9928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68.46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83.6728</v>
      </c>
      <c r="AC5" s="42">
        <f t="shared" si="0"/>
        <v>463.9928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W17" sqref="W17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90</v>
      </c>
      <c r="Q3" s="11" t="s">
        <v>23</v>
      </c>
      <c r="R3" s="10" t="s">
        <v>26</v>
      </c>
      <c r="S3" s="9" t="s">
        <v>91</v>
      </c>
      <c r="T3" s="9" t="s">
        <v>28</v>
      </c>
      <c r="U3" s="12" t="s">
        <v>92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93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113</v>
      </c>
      <c r="C4" s="6" t="s">
        <v>113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78</v>
      </c>
      <c r="J4" s="16">
        <v>2</v>
      </c>
      <c r="K4" s="16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6"/>
      <c r="B5" s="8"/>
      <c r="C5" s="8"/>
      <c r="D5" s="26" t="s">
        <v>87</v>
      </c>
      <c r="E5" s="26"/>
      <c r="F5" s="26"/>
      <c r="G5" s="26"/>
      <c r="H5" s="27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7">
        <f t="shared" ref="R5:X5" si="0">SUM(R4:R4)</f>
        <v>23.52</v>
      </c>
      <c r="S5" s="27">
        <f t="shared" si="0"/>
        <v>376.48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67.77</v>
      </c>
      <c r="Y5" s="28"/>
      <c r="Z5" s="28"/>
      <c r="AA5" s="28"/>
      <c r="AB5" s="27">
        <f t="shared" ref="AB5:AE5" si="1">SUM(AB4:AB4)</f>
        <v>82.8292</v>
      </c>
      <c r="AC5" s="27">
        <f t="shared" si="1"/>
        <v>459.3092</v>
      </c>
      <c r="AD5" s="27">
        <f t="shared" si="1"/>
        <v>120</v>
      </c>
      <c r="AE5" s="27">
        <f t="shared" si="1"/>
        <v>0</v>
      </c>
      <c r="AF5" s="13"/>
      <c r="AG5" s="27">
        <f t="shared" ref="AG5:AK5" si="2">SUM(AG4:AG4)</f>
        <v>0</v>
      </c>
      <c r="AH5" s="27">
        <f t="shared" si="2"/>
        <v>0</v>
      </c>
      <c r="AI5" s="27">
        <f t="shared" si="2"/>
        <v>376.48</v>
      </c>
      <c r="AJ5" s="27">
        <f t="shared" si="2"/>
        <v>0</v>
      </c>
      <c r="AK5" s="27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D13" sqref="D13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90</v>
      </c>
      <c r="Q3" s="11" t="s">
        <v>23</v>
      </c>
      <c r="R3" s="10" t="s">
        <v>26</v>
      </c>
      <c r="S3" s="9" t="s">
        <v>91</v>
      </c>
      <c r="T3" s="9" t="s">
        <v>28</v>
      </c>
      <c r="U3" s="12" t="s">
        <v>92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93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115</v>
      </c>
      <c r="C4" s="6" t="s">
        <v>115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78</v>
      </c>
      <c r="J4" s="16">
        <v>2</v>
      </c>
      <c r="K4" s="16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82.8292</v>
      </c>
      <c r="AC4" s="17">
        <f>IF($V2=1,S4+AB4,S4)</f>
        <v>459.3092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6"/>
      <c r="B5" s="8"/>
      <c r="C5" s="8"/>
      <c r="D5" s="26" t="s">
        <v>87</v>
      </c>
      <c r="E5" s="26"/>
      <c r="F5" s="26"/>
      <c r="G5" s="26"/>
      <c r="H5" s="27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7">
        <f t="shared" ref="R5:X5" si="0">SUM(R4:R4)</f>
        <v>23.52</v>
      </c>
      <c r="S5" s="27">
        <f t="shared" si="0"/>
        <v>376.48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67.77</v>
      </c>
      <c r="Y5" s="28"/>
      <c r="Z5" s="28"/>
      <c r="AA5" s="28"/>
      <c r="AB5" s="27">
        <f t="shared" ref="AB5:AE5" si="1">SUM(AB4:AB4)</f>
        <v>82.8292</v>
      </c>
      <c r="AC5" s="27">
        <f t="shared" si="1"/>
        <v>459.3092</v>
      </c>
      <c r="AD5" s="27">
        <f t="shared" si="1"/>
        <v>120</v>
      </c>
      <c r="AE5" s="27">
        <f t="shared" si="1"/>
        <v>0</v>
      </c>
      <c r="AF5" s="13"/>
      <c r="AG5" s="27">
        <f t="shared" ref="AG5:AK5" si="2">SUM(AG4:AG4)</f>
        <v>0</v>
      </c>
      <c r="AH5" s="27">
        <f t="shared" si="2"/>
        <v>0</v>
      </c>
      <c r="AI5" s="27">
        <f t="shared" si="2"/>
        <v>376.48</v>
      </c>
      <c r="AJ5" s="27">
        <f t="shared" si="2"/>
        <v>0</v>
      </c>
      <c r="AK5" s="27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2026-09-24T06:49:23Z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