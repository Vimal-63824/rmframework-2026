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920" firstSheet="40" activeTab="44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  <definedName name="_xlnm._FilterDatabase" localSheetId="44" hidden="1">ProdOrderWithSO!$V$1:$V$7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<sst xmlns="http://schemas.openxmlformats.org/spreadsheetml/2006/main" count="4351" uniqueCount="207">
  <si>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</si>
  <si>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</si>
  <si>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</si>
  <si>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</si>
  <si>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</si>
  <si>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</si>
  <si>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</si>
  <si>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</si>
  <si>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</si>
  <si>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</si>
  <si>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</si>
  <si>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</si>
  <si>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</si>
  <si>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</si>
  <si>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</si>
  <si>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</si>
  <si>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</si>
  <si>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</si>
  <si>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</si>
  <si>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</si>
  <si>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</si>
  <si>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</si>
  <si>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</si>
  <si>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</si>
  <si>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</si>
  <si>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</si>
  <si>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</si>
  <si>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</si>
  <si>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</si>
  <si>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</si>
  <si>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</si>
  <si>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</si>
  <si>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</si>
  <si>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</si>
  <si>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</si>
  <si>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</si>
  <si>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</si>
  <si>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</si>
  <si>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</si>
  <si>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</si>
  <si>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</si>
  <si>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</si>
  <si>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</si>
  <si>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</si>
  <si>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</si>
  <si>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</si>
  <si>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</si>
  <si>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</si>
  <si>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</si>
  <si>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</si>
  <si>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</si>
  <si>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</si>
  <si>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</si>
  <si>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</si>
  <si>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</si>
  <si>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</si>
  <si>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</si>
  <si>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</si>
  <si>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</si>
  <si>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</si>
  <si>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</si>
  <si>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</si>
  <si>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</si>
  <si>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</si>
  <si>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</si>
  <si>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</si>
  <si>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</si>
  <si>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</si>
  <si>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</si>
  <si>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</si>
  <si>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</si>
  <si>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</si>
  <si>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</si>
  <si>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</si>
  <si>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</si>
  <si>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</si>
  <si>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</si>
  <si>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</si>
  <si>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</si>
  <si>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</si>
  <si>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</si>
  <si>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</si>
  <si>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</si>
  <si>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</si>
  <si>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</si>
  <si>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</si>
  <si>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</si>
  <si>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</si>
  <si>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</si>
  <si>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</si>
  <si>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</si>
  <si>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</si>
  <si>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</si>
  <si>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</si>
  <si>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</si>
  <si>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</si>
  <si>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</si>
  <si>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</si>
  <si>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</si>
  <si>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</si>
  <si>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</si>
  <si>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</si>
  <si>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</si>
  <si>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</si>
  <si>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</si>
  <si>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</si>
  <si>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</si>
  <si>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</si>
  <si>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</si>
  <si>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</si>
  <si>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</si>
  <si>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</si>
  <si>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</si>
  <si>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</si>
  <si>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</si>
  <si>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</si>
  <si>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</si>
  <si>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</si>
  <si>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</si>
  <si>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</si>
  <si>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</si>
  <si>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</si>
  <si>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</si>
  <si>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</si>
  <si>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</si>
  <si>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</si>
  <si>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</si>
  <si>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</si>
  <si>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</si>
  <si>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</si>
  <si>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</si>
  <si>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</si>
  <si>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</si>
  <si>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</si>
  <si>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</si>
  <si>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</si>
  <si>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</si>
  <si>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</si>
  <si>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</si>
  <si>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</si>
  <si>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</si>
  <si>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</si>
  <si>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</si>
  <si>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</si>
  <si>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</si>
  <si>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</si>
  <si>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</si>
  <si>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</si>
  <si>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</si>
  <si>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</si>
  <si>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</si>
  <si>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</si>
  <si>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</si>
  <si>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</si>
  <si>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</si>
  <si>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</si>
  <si>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</si>
  <si>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</si>
  <si>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</si>
  <si>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</si>
  <si>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</si>
  <si>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</si>
  <si>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</si>
  <si>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</si>
  <si>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</si>
  <si>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</si>
  <si>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</si>
  <si>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</si>
  <si>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</si>
  <si>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</si>
  <si>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</si>
  <si>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</si>
  <si>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</si>
  <si>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</si>
  <si>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</si>
  <si>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</si>
  <si>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</si>
  <si>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</si>
  <si>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</si>
  <si>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</si>
  <si>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</si>
  <si>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</si>
  <si>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</si>
  <si>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</si>
  <si>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</si>
  <si>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</si>
  <si>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</si>
  <si>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</si>
  <si>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</si>
  <si>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</si>
  <si>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</si>
  <si>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</si>
  <si>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</si>
  <si>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</si>
  <si>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</si>
  <si>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</si>
  <si>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</si>
  <si>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</si>
  <si>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</si>
  <si>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</si>
  <si>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</si>
  <si>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</si>
  <si>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BOM-2627-0000070</t>
  </si>
  <si>
    <t>BOM-2627-0000125</t>
  </si>
  <si>
    <t>BOM-2627-0000126</t>
  </si>
  <si>
    <t>BOM-2627-0000127</t>
  </si>
  <si>
    <t>BOM-2627-0000128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</si>
</sst>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20" applyNumberFormat="0" applyAlignment="0" applyProtection="0">
      <alignment vertical="center"/>
    </xf>
    <xf numFmtId="0" fontId="17" fillId="10" borderId="21" applyNumberFormat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5" fillId="7" borderId="0" applyNumberFormat="0" applyBorder="0" applyAlignment="0" applyProtection="0"/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79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80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4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3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4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3" xfId="0" applyFont="1" applyFill="1" applyBorder="1" applyAlignment="1">
      <alignment horizontal="left" vertical="center"/>
    </xf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theme/theme1.xml" Type="http://schemas.openxmlformats.org/officeDocument/2006/relationships/theme"/><Relationship Id="rId53" Target="sharedStrings.xml" Type="http://schemas.openxmlformats.org/officeDocument/2006/relationships/sharedStrings"/><Relationship Id="rId54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2.5727272727273"/>
    <col min="3" max="3" customWidth="true" style="4" width="4.57272727272727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s="4" t="s">
        <v>51</v>
      </c>
      <c r="I5" s="23">
        <f>ROUND(G5*H5,2)</f>
        <v>73700</v>
      </c>
      <c r="J5" s="4" t="s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s="4" t="s">
        <v>61</v>
      </c>
      <c r="I6" s="23">
        <f>ROUND(G6*H6,2)</f>
        <v>171879</v>
      </c>
      <c r="J6" s="4" t="s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156650.52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L1" workbookViewId="0">
      <selection activeCell="Z5" sqref="Z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s="4" t="s">
        <v>68</v>
      </c>
      <c r="I5" s="23">
        <f>ROUND(G5*H5,2)</f>
        <v>120</v>
      </c>
      <c r="J5" s="4" t="s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</v>
      </c>
      <c r="S5" s="23">
        <f>N5+P5+R5</f>
        <v>9.37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s="4" t="s">
        <v>69</v>
      </c>
      <c r="I6" s="23">
        <f>ROUND(G6*H6,2)</f>
        <v>2670</v>
      </c>
      <c r="J6" s="4" t="s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2214.43</v>
      </c>
      <c r="AF6" s="23">
        <v>120</v>
      </c>
      <c r="AG6" s="23">
        <f t="shared" si="0"/>
        <v>2214.43</v>
      </c>
      <c r="AH6" s="23">
        <v>3</v>
      </c>
      <c r="AI6" s="23">
        <f>ROUND(G6/AH6,3)</f>
        <v>29.667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M1" workbookViewId="0">
      <selection activeCell="X6" sqref="X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2.5727272727273"/>
    <col min="3" max="3" customWidth="true" style="4" width="5.0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s="4" t="s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s="4" t="s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</v>
      </c>
      <c r="P6" s="23">
        <f>ROUND((O6*K6)/100,2)</f>
        <v>5200.27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F1" workbookViewId="0">
      <selection activeCell="W6" sqref="W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s="4" t="s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s="4" t="s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5.1</v>
      </c>
      <c r="O6" s="23">
        <f>I6-N6</f>
        <v>504.9</v>
      </c>
      <c r="P6" s="23">
        <f>ROUND((O6*K6)/100,2)</f>
        <v>35.34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G1" workbookViewId="0">
      <selection activeCell="W5" sqref="W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s="4" t="s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s="4" t="s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U1" workbookViewId="0">
      <selection activeCell="AM5" sqref="AM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s="4" t="s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257.4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s="4" t="s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</v>
      </c>
      <c r="AH6" s="23">
        <v>3</v>
      </c>
      <c r="AI6" s="23">
        <f>ROUND(G6/AH6,3)</f>
        <v>4.667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5" sqref="J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69</v>
      </c>
      <c r="I5" s="23">
        <f>ROUND(G5*H5,2)</f>
        <v>300</v>
      </c>
      <c r="J5" s="4" t="s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</v>
      </c>
      <c r="AF5" s="23">
        <v>120</v>
      </c>
      <c r="AG5" s="23">
        <f t="shared" ref="AG5:AG6" si="0">U5*$N$3</f>
        <v>276.6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74</v>
      </c>
      <c r="I6" s="23">
        <f>ROUND(G6*H6,2)</f>
        <v>250</v>
      </c>
      <c r="J6" s="4" t="s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17.33</v>
      </c>
      <c r="Q6" s="23">
        <f>ROUND(O6-P6,2)</f>
        <v>230.17</v>
      </c>
      <c r="R6" s="23">
        <f>ROUND((Q6*L6)/100,2)</f>
        <v>20.72</v>
      </c>
      <c r="S6" s="23">
        <f>N6+P6+R6</f>
        <v>40.55</v>
      </c>
      <c r="T6" s="23">
        <f>ROUND(S6/G6,2)</f>
        <v>4.06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R8"/>
  <sheetViews>
    <sheetView showGridLines="0" zoomScale="85" zoomScaleNormal="85" topLeftCell="G1" workbookViewId="0">
      <selection activeCell="W6" sqref="W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X1" workbookViewId="0">
      <selection activeCell="AH18" sqref="AH18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1.7090909090909"/>
    <col min="3" max="3" customWidth="true" style="4" width="4.57272727272727"/>
    <col min="4" max="4" customWidth="true" style="4" width="31.7090909090909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90</v>
      </c>
      <c r="I5" s="23">
        <f>G5*H5</f>
        <v>45330</v>
      </c>
      <c r="J5" s="4" t="s">
        <v>52</v>
      </c>
      <c r="K5" s="23">
        <v>2</v>
      </c>
      <c r="L5" s="23">
        <v>4</v>
      </c>
      <c r="M5" s="23">
        <f>I5</f>
        <v>45330</v>
      </c>
      <c r="N5" s="23">
        <f>ROUND((M5*J5)/100,2)</f>
        <v>453.3</v>
      </c>
      <c r="O5" s="23">
        <f>I5-N5</f>
        <v>44876.7</v>
      </c>
      <c r="P5" s="23">
        <f>ROUND((O5*K5)/100,2)</f>
        <v>897.53</v>
      </c>
      <c r="Q5" s="23">
        <f>ROUND(O5-P5,2)</f>
        <v>43979.17</v>
      </c>
      <c r="R5" s="23">
        <f>ROUND((Q5*L5)/100,2)</f>
        <v>1759.17</v>
      </c>
      <c r="S5" s="23">
        <f>N5+P5+R5</f>
        <v>3110</v>
      </c>
      <c r="T5" s="23">
        <f>ROUND(S5/G5,2)</f>
        <v>311</v>
      </c>
      <c r="U5" s="23">
        <f>(I5-S5)</f>
        <v>42220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7599.6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7599.6</v>
      </c>
      <c r="AE5" s="23">
        <f t="shared" ref="AE5:AE6" si="0">U5+AD5</f>
        <v>49819.6</v>
      </c>
      <c r="AF5" s="23">
        <v>120</v>
      </c>
      <c r="AG5" s="23">
        <f t="shared" ref="AG5:AG6" si="1">U5*$N$3</f>
        <v>42220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91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92</v>
      </c>
      <c r="I6" s="23">
        <f>G6*H6</f>
        <v>21220</v>
      </c>
      <c r="J6" s="4" t="s">
        <v>62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20795.6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91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14" sqref="J14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93</v>
      </c>
      <c r="I5" s="23">
        <f>G5*H5</f>
        <v>21800</v>
      </c>
      <c r="J5" s="4" t="s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23717.12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94</v>
      </c>
      <c r="I6" s="23">
        <f>G6*H6</f>
        <v>31200</v>
      </c>
      <c r="J6" s="4" t="s">
        <v>95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AM6" sqref="AM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</v>
      </c>
      <c r="AJ6" s="51" t="s">
        <v>63</v>
      </c>
      <c r="AK6" s="51" t="s">
        <v>64</v>
      </c>
      <c r="AL6" s="28">
        <f>ROUND((AJ6-AI6),3)</f>
        <v>1370.669</v>
      </c>
      <c r="AM6" s="23" t="s">
        <v>96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topLeftCell="F1" workbookViewId="0">
      <selection activeCell="X5" sqref="X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workbookViewId="0">
      <selection activeCell="I7" sqref="I7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7"/>
  <sheetViews>
    <sheetView showGridLines="0" zoomScale="85" zoomScaleNormal="85" workbookViewId="0">
      <selection activeCell="F8" sqref="F8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Y1" workbookViewId="0">
      <selection activeCell="AC22" sqref="AC22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642.8</v>
      </c>
      <c r="O6" s="23">
        <f t="shared" si="3"/>
        <v>31497.2</v>
      </c>
      <c r="P6" s="23">
        <f t="shared" si="4"/>
        <v>2204.8</v>
      </c>
      <c r="Q6" s="23">
        <f t="shared" si="5"/>
        <v>29292.4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</v>
      </c>
      <c r="AH6" s="23">
        <v>3</v>
      </c>
      <c r="AI6" s="23">
        <f>ROUND(G6/AH6,3)</f>
        <v>3.333</v>
      </c>
      <c r="AJ6" s="28" t="s">
        <v>63</v>
      </c>
      <c r="AK6" s="28" t="s">
        <v>64</v>
      </c>
      <c r="AL6" s="28">
        <f>ROUND((AJ6-AI6),3)</f>
        <v>1371.669</v>
      </c>
      <c r="AM6" s="23" t="s">
        <v>96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R8"/>
  <sheetViews>
    <sheetView showGridLines="0" zoomScale="85" zoomScaleNormal="85" topLeftCell="J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9" customWidth="true" style="4" width="11.2818181818182"/>
    <col min="30" max="30" customWidth="true" style="4" width="10.7090909090909"/>
    <col min="31" max="31" customWidth="true" style="4" width="11.7090909090909"/>
    <col min="32" max="32" customWidth="true" style="4" width="16.0"/>
    <col min="33" max="33" customWidth="true" style="4" width="12.0"/>
    <col min="34" max="34" customWidth="true" style="4" width="12.2818181818182"/>
    <col min="35" max="35" customWidth="true" style="4" width="14.7090909090909"/>
    <col min="36" max="37" customWidth="true" style="51" width="12.2818181818182"/>
    <col min="38" max="38" customWidth="true" style="3" width="10.2818181818182"/>
    <col min="39" max="39" customWidth="true" style="4" width="13.5727272727273"/>
    <col min="40" max="40" customWidth="true" style="4" width="12.7090909090909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2"/>
      <c r="AK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="52" customFormat="1" ht="28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642.8</v>
      </c>
      <c r="O6" s="23">
        <f>I6-N6</f>
        <v>31497.2</v>
      </c>
      <c r="P6" s="23">
        <f>ROUND((O6*K6)/100,2)</f>
        <v>2204.8</v>
      </c>
      <c r="Q6" s="23">
        <f>ROUND(O6-P6,2)</f>
        <v>29292.4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3"/>
  <sheetViews>
    <sheetView workbookViewId="0">
      <selection activeCell="H2" sqref="H2"/>
    </sheetView>
  </sheetViews>
  <sheetFormatPr defaultColWidth="9" defaultRowHeight="14.5" outlineLevelRow="2" outlineLevelCol="7"/>
  <cols>
    <col min="1" max="1" customWidth="true" width="6.42727272727273"/>
    <col min="2" max="2" customWidth="true" width="28.7090909090909"/>
    <col min="3" max="3" customWidth="true" width="5.0"/>
    <col min="4" max="4" customWidth="true" width="28.7090909090909"/>
    <col min="5" max="5" customWidth="true" width="10.8545454545455"/>
    <col min="6" max="6" customWidth="true" width="10.1363636363636"/>
    <col min="7" max="7" customWidth="true" width="17.8545454545455"/>
    <col min="8" max="8" customWidth="true" width="16.0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97</v>
      </c>
      <c r="F1" s="13" t="s">
        <v>98</v>
      </c>
      <c r="G1" s="13" t="s">
        <v>42</v>
      </c>
      <c r="H1" s="77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8">
        <v>20</v>
      </c>
      <c r="F2" s="78">
        <f>'Case 1'!H5</f>
        <v>1234</v>
      </c>
      <c r="G2" t="s" s="0">
        <v>99</v>
      </c>
      <c r="H2" s="78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8">
        <v>30</v>
      </c>
      <c r="F3" s="78">
        <f>'Case 1'!H6</f>
        <v>3214</v>
      </c>
      <c r="G3" s="0">
        <v>675</v>
      </c>
      <c r="H3" s="78">
        <f>G3-E3</f>
        <v>645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topLeftCell="Q1" workbookViewId="0">
      <selection activeCell="AA16" sqref="AA1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100</v>
      </c>
      <c r="W5" s="27">
        <v>0.18</v>
      </c>
      <c r="X5" s="23">
        <f>IF(OR($D$3=1,$D$3=4),ROUND((U5*W5)/2,2),0)</f>
        <v>1034.4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</v>
      </c>
      <c r="AB5" s="27">
        <v>0.06</v>
      </c>
      <c r="AC5" s="23">
        <f>IF($D$3=5,ROUND(((U5*AB5)/2),2),0)</f>
        <v>0</v>
      </c>
      <c r="AD5" s="23">
        <f>X5+Y5+Z5+AA5+AC5</f>
        <v>2068.8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 t="s">
        <v>101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H1" workbookViewId="0">
      <selection activeCell="AG11" sqref="AG11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1.7090909090909"/>
    <col min="3" max="3" customWidth="true" style="4" width="4.57272727272727"/>
    <col min="4" max="4" customWidth="true" style="4" width="31.7090909090909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54" t="s">
        <v>102</v>
      </c>
      <c r="C5" s="23">
        <v>0</v>
      </c>
      <c r="D5" s="54" t="s">
        <v>102</v>
      </c>
      <c r="E5" s="23" t="s">
        <v>50</v>
      </c>
      <c r="F5" s="23" t="s">
        <v>50</v>
      </c>
      <c r="G5" s="23">
        <v>10</v>
      </c>
      <c r="H5" s="4" t="s">
        <v>103</v>
      </c>
      <c r="I5" s="23">
        <f>G5*H5</f>
        <v>63000</v>
      </c>
      <c r="J5" s="4" t="s">
        <v>104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54" t="s">
        <v>105</v>
      </c>
      <c r="C6" s="23">
        <v>0</v>
      </c>
      <c r="D6" s="54" t="s">
        <v>105</v>
      </c>
      <c r="E6" s="23" t="s">
        <v>60</v>
      </c>
      <c r="F6" s="23" t="s">
        <v>50</v>
      </c>
      <c r="G6" s="23">
        <v>10</v>
      </c>
      <c r="H6" s="4" t="s">
        <v>106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</v>
      </c>
      <c r="AF7" s="33" t="s">
        <v>67</v>
      </c>
      <c r="AG7" s="56">
        <f>AG5</f>
        <v>56306.88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Q8"/>
  <sheetViews>
    <sheetView showGridLines="0" zoomScale="85" zoomScaleNormal="85" topLeftCell="G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4199.4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Q8"/>
  <sheetViews>
    <sheetView showGridLines="0" zoomScale="85" zoomScaleNormal="85" topLeftCell="V1" workbookViewId="0">
      <selection activeCell="X5" sqref="X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Q7"/>
  <sheetViews>
    <sheetView showGridLines="0" zoomScale="85" zoomScaleNormal="85" topLeftCell="C1" workbookViewId="0">
      <selection activeCell="S5" sqref="S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4.5727272727273"/>
    <col min="36" max="36" customWidth="true" style="4" width="11.8545454545455"/>
    <col min="37" max="37" customWidth="true" style="4" width="13.1363636363636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108</v>
      </c>
      <c r="C5" s="23">
        <v>0</v>
      </c>
      <c r="D5" s="24" t="s">
        <v>108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Q7"/>
  <sheetViews>
    <sheetView showGridLines="0" zoomScale="85" zoomScaleNormal="85" topLeftCell="U1" workbookViewId="0">
      <selection activeCell="W6" sqref="W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1.7090909090909"/>
    <col min="37" max="37" customWidth="true" style="4" width="14.2818181818182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109</v>
      </c>
      <c r="C5" s="23">
        <v>0</v>
      </c>
      <c r="D5" s="24" t="s">
        <v>109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Q8"/>
  <sheetViews>
    <sheetView showGridLines="0" zoomScale="85" zoomScaleNormal="85" topLeftCell="N1" workbookViewId="0">
      <selection activeCell="T17" sqref="T1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3.5727272727273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1.5727272727273"/>
    <col min="37" max="37" customWidth="true" style="4" width="13.7090909090909"/>
    <col min="38" max="39" style="4" width="9.13636363636364"/>
    <col min="40" max="40" customWidth="true" style="4" width="17.5727272727273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110</v>
      </c>
      <c r="C6" s="23">
        <v>0</v>
      </c>
      <c r="D6" s="24" t="s">
        <v>111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76" t="s">
        <v>112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Q8"/>
  <sheetViews>
    <sheetView showGridLines="0" zoomScale="85" zoomScaleNormal="85" topLeftCell="B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I1" workbookViewId="0">
      <selection activeCell="AE5" sqref="AE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8531.3</v>
      </c>
      <c r="T6" s="23">
        <f>ROUND(S6/G6,2)</f>
        <v>426.57</v>
      </c>
      <c r="U6" s="23">
        <f>(I6-S6)</f>
        <v>41468.7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41468.7</v>
      </c>
      <c r="AF6" s="23">
        <v>120</v>
      </c>
      <c r="AG6" s="23">
        <f t="shared" si="1"/>
        <v>41468.7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N8"/>
  <sheetViews>
    <sheetView showGridLines="0" zoomScale="85" zoomScaleNormal="85" topLeftCell="F1" workbookViewId="0">
      <selection activeCell="AQ5" sqref="AQ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0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28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ht="14.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ht="14.25" customHeight="1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1178.12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</v>
      </c>
      <c r="AG6" s="51" t="s">
        <v>63</v>
      </c>
      <c r="AH6" s="51" t="s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ht="14.25" customHeight="1" spans="1:40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ht="14.25" customHeight="1" spans="1:40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Q8"/>
  <sheetViews>
    <sheetView showGridLines="0" zoomScale="85" zoomScaleNormal="85" topLeftCell="M1" workbookViewId="0">
      <selection activeCell="AO6" sqref="AO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2.1363636363636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113</v>
      </c>
      <c r="C6" s="23">
        <v>0</v>
      </c>
      <c r="D6" s="24" t="s">
        <v>114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40184.34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opLeftCell="J1" workbookViewId="0">
      <selection activeCell="F15" sqref="F15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3" max="13" customWidth="true" width="15.1363636363636"/>
    <col min="14" max="14" customWidth="true" width="11.7090909090909"/>
    <col min="15" max="15" customWidth="true" width="13.2818181818182"/>
    <col min="16" max="16" customWidth="true" width="15.1363636363636"/>
    <col min="17" max="17" customWidth="true" width="22.5727272727273"/>
    <col min="18" max="18" customWidth="true" width="10.5727272727273"/>
    <col min="19" max="19" customWidth="true" width="11.0"/>
    <col min="20" max="20" customWidth="true" width="17.8545454545455"/>
    <col min="21" max="21" customWidth="true" width="10.7090909090909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7" max="37" customWidth="true" width="12.7090909090909"/>
  </cols>
  <sheetData>
    <row r="1" ht="17.5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3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15.25" spans="1:43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119</v>
      </c>
      <c r="I10" s="37" t="s">
        <v>120</v>
      </c>
      <c r="J10" s="37" t="s">
        <v>121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ht="15.25" spans="1:43">
      <c r="C11" s="43">
        <v>1</v>
      </c>
      <c r="D11" s="44" t="s">
        <v>122</v>
      </c>
      <c r="E11" s="44">
        <v>0</v>
      </c>
      <c r="F11" s="44" t="s">
        <v>122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ht="16" spans="1:43">
      <c r="C12" s="74">
        <v>2</v>
      </c>
      <c r="D12" s="75" t="s">
        <v>124</v>
      </c>
      <c r="E12" s="75">
        <v>0</v>
      </c>
      <c r="F12" s="75" t="s">
        <v>124</v>
      </c>
      <c r="G12" s="75" t="s">
        <v>120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125</v>
      </c>
      <c r="Q12" s="40" t="s">
        <v>126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ht="15.25" spans="1:43">
      <c r="C13" s="4"/>
      <c r="H13" s="23" t="s">
        <v>127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ht="17.5" spans="1:43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5"/>
      <c r="B16" s="5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H13" sqref="BH13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0.5727272727273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8311.63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38029.59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showGridLines="0" zoomScale="85" zoomScaleNormal="85" topLeftCell="J1" workbookViewId="0">
      <selection activeCell="V6" sqref="V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73" t="s">
        <v>2</v>
      </c>
      <c r="B3" s="73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 t="s">
        <v>100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 t="s">
        <v>101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101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ht="14.25" customHeight="1" spans="1:7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ht="14.25" customHeight="1" spans="1:7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N1" workbookViewId="0">
      <selection activeCell="B7" sqref="B7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style="4" width="9.13636363636364"/>
    <col min="67" max="67" customWidth="true" style="4" width="14.0"/>
    <col min="68" max="68" customWidth="true" style="4" width="13.8545454545455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56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46</v>
      </c>
      <c r="BT4" s="20" t="s">
        <v>48</v>
      </c>
      <c r="BU4" s="20" t="s">
        <v>156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</v>
      </c>
      <c r="BM5" s="27">
        <v>0.06</v>
      </c>
      <c r="BN5" s="23">
        <f>IF($D$3=5,ROUND(((BF5*BM5)/2),2),0)</f>
        <v>0</v>
      </c>
      <c r="BO5" s="23">
        <f>BI5+BJ5+BK5+BL5+BN5</f>
        <v>2068.8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157</v>
      </c>
    </row>
    <row r="6" ht="14.25" customHeight="1" spans="1:73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</v>
      </c>
      <c r="BS6" s="23" t="s">
        <v>58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BC1" workbookViewId="0">
      <selection activeCell="BI8" sqref="BI8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42248.64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R1" workbookViewId="0">
      <selection activeCell="V6" sqref="V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16451.76</v>
      </c>
      <c r="BB6" s="23">
        <f>ROUND(BA6/AO6,2)</f>
        <v>548.39</v>
      </c>
      <c r="BC6" s="23">
        <f>(AQ6-BA6)</f>
        <v>79968.24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BC1" workbookViewId="0">
      <selection activeCell="BI6" sqref="BI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38029.59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9748.46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9748.46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32.0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3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</v>
      </c>
      <c r="BC6" s="23">
        <f>ROUND((BB6*AW6)/100,2)</f>
        <v>13181.58</v>
      </c>
      <c r="BD6" s="23">
        <f>AY6+BA6+BC6</f>
        <v>27419.6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K1" workbookViewId="0">
      <selection activeCell="W20" sqref="W20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0.5727272727273"/>
    <col min="60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1220.1</v>
      </c>
      <c r="BD5" s="23">
        <f>ROUND(AY5+BA5+BC5,2)</f>
        <v>2488.2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</v>
      </c>
      <c r="BJ6" s="23">
        <f>IF($D$3=1,ROUND(((BF6*BH6)/2),2),0)</f>
        <v>2362.51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T1" workbookViewId="0">
      <selection activeCell="W21" sqref="W21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5" style="4" width="9.13636363636364"/>
    <col min="46" max="46" customWidth="true" style="4" width="12.0"/>
    <col min="47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0.5727272727273"/>
    <col min="60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1028.62</v>
      </c>
      <c r="BJ6" s="23">
        <f>IF($D$3=1,ROUND(((BF6*BH6)/2),2),0)</f>
        <v>1028.62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2057.24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25004.8</v>
      </c>
      <c r="BQ7" s="33" t="s">
        <v>67</v>
      </c>
      <c r="BR7" s="56">
        <f>BR5</f>
        <v>9761.4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AN1" workbookViewId="0">
      <selection activeCell="BI6" sqref="BI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5.0"/>
    <col min="60" max="70" style="4" width="9.13636363636364"/>
    <col min="71" max="71" customWidth="true" style="4" width="12.8545454545455"/>
    <col min="72" max="72" customWidth="true" style="4" width="11.0"/>
    <col min="73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4770.9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</v>
      </c>
      <c r="BJ6" s="23">
        <f>IF($D$3=1,ROUND(((BF6*BH6)/2),2),0)</f>
        <v>4341.52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workbookViewId="0">
      <selection activeCell="L13" sqref="L13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"/>
  <sheetViews>
    <sheetView showGridLines="0" zoomScale="85" zoomScaleNormal="85" topLeftCell="AC1" workbookViewId="0">
      <selection activeCell="D12" sqref="D12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185</v>
      </c>
      <c r="C5" s="72">
        <v>0</v>
      </c>
      <c r="D5" s="72" t="s">
        <v>186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5"/>
  <sheetViews>
    <sheetView showGridLines="0" tabSelected="1" zoomScale="85" zoomScaleNormal="85" workbookViewId="0">
      <selection activeCell="F14" sqref="F14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187</v>
      </c>
    </row>
    <row r="5" spans="1:44">
      <c r="A5" s="23">
        <v>1</v>
      </c>
      <c r="B5" s="72" t="s">
        <v>188</v>
      </c>
      <c r="C5" s="72">
        <v>0</v>
      </c>
      <c r="D5" s="72" t="s">
        <v>188</v>
      </c>
      <c r="E5" s="23" t="s">
        <v>50</v>
      </c>
      <c r="F5" s="23" t="s">
        <v>50</v>
      </c>
      <c r="G5" t="s" s="4">
        <v>95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t="s" s="4">
        <v>206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U1" workbookViewId="0">
      <selection activeCell="W5" sqref="W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1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161.23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17139.26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S1" workbookViewId="0">
      <selection activeCell="BE7" sqref="BE7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4.1363636363636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1363636363636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555.3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5142.4</v>
      </c>
      <c r="AY6" s="23">
        <f>ROUND(AW6-AX6,2)</f>
        <v>46281.6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43967.52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43967.52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W1" workbookViewId="0">
      <selection activeCell="BD6" sqref="BD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5727272727273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</v>
      </c>
      <c r="BM5" s="23" t="s">
        <v>91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91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132747.3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showGridLines="0" zoomScale="85" zoomScaleNormal="85" topLeftCell="AU1" workbookViewId="0">
      <selection activeCell="BD7" sqref="BD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57" t="s">
        <v>163</v>
      </c>
      <c r="K4" s="57" t="s">
        <v>164</v>
      </c>
      <c r="L4" s="57" t="s">
        <v>165</v>
      </c>
      <c r="M4" s="58" t="s">
        <v>166</v>
      </c>
      <c r="N4" s="58" t="s">
        <v>167</v>
      </c>
      <c r="O4" s="58" t="s">
        <v>168</v>
      </c>
      <c r="P4" s="58" t="s">
        <v>169</v>
      </c>
      <c r="Q4" s="59" t="s">
        <v>170</v>
      </c>
      <c r="R4" s="58" t="s">
        <v>171</v>
      </c>
      <c r="S4" s="57" t="s">
        <v>172</v>
      </c>
      <c r="T4" s="15" t="s">
        <v>173</v>
      </c>
      <c r="U4" s="60" t="s">
        <v>174</v>
      </c>
      <c r="V4" s="60" t="s">
        <v>175</v>
      </c>
      <c r="W4" s="61" t="s">
        <v>176</v>
      </c>
      <c r="X4" s="61" t="s">
        <v>177</v>
      </c>
      <c r="Y4" s="61" t="s">
        <v>178</v>
      </c>
      <c r="Z4" s="61" t="s">
        <v>179</v>
      </c>
      <c r="AA4" s="61" t="s">
        <v>180</v>
      </c>
      <c r="AB4" s="62" t="s">
        <v>181</v>
      </c>
      <c r="AC4" s="62" t="s">
        <v>38</v>
      </c>
      <c r="AD4" s="63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6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1285.6</v>
      </c>
      <c r="O6" s="67">
        <f>SO!O6</f>
        <v>62994.4</v>
      </c>
      <c r="P6" s="67">
        <f>SO!P6</f>
        <v>4409.61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6.667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1285.6</v>
      </c>
      <c r="AW6" s="23">
        <f t="shared" si="3"/>
        <v>62994.4</v>
      </c>
      <c r="AX6" s="23">
        <f t="shared" si="4"/>
        <v>4409.61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</v>
      </c>
      <c r="BM6" s="23" t="str">
        <f>AN6</f>
        <v>Sales Regular</v>
      </c>
      <c r="BN6" s="23" t="s">
        <v>157</v>
      </c>
    </row>
    <row r="7" ht="14.5" spans="1:66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189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184</v>
      </c>
      <c r="BN7" s="23" t="s">
        <v>158</v>
      </c>
    </row>
    <row r="8" ht="14.5" spans="1:66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9"/>
  <sheetViews>
    <sheetView showGridLines="0" zoomScale="85" zoomScaleNormal="85" topLeftCell="K1" workbookViewId="0">
      <selection activeCell="V6" sqref="V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5.0"/>
    <col min="60" max="67" style="4" width="9.13636363636364"/>
    <col min="68" max="68" customWidth="true" style="4" width="11.7090909090909"/>
    <col min="69" max="69" customWidth="true" style="4" width="15.0"/>
    <col min="70" max="70" style="4" width="9.13636363636364"/>
    <col min="71" max="71" customWidth="true" style="4" width="12.8545454545455"/>
    <col min="72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</v>
      </c>
      <c r="BJ5" s="23">
        <f>IF($D$3=1,ROUND(((BF5*BH5)/2),2),0)</f>
        <v>1219.14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7"/>
  <sheetViews>
    <sheetView topLeftCell="M1" workbookViewId="0">
      <selection activeCell="Y14" sqref="Y14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1" max="11" customWidth="true" width="10.4272727272727"/>
    <col min="13" max="13" customWidth="true" width="12.5727272727273"/>
    <col min="14" max="14" customWidth="true" width="11.7090909090909"/>
    <col min="15" max="15" customWidth="true" width="13.2818181818182"/>
    <col min="16" max="16" customWidth="true" width="10.5727272727273"/>
    <col min="18" max="18" customWidth="true" width="14.7090909090909"/>
    <col min="19" max="19" customWidth="true" width="11.0"/>
    <col min="20" max="20" customWidth="true" width="17.8545454545455"/>
    <col min="21" max="21" customWidth="true" width="10.7090909090909"/>
    <col min="22" max="22" customWidth="true" width="14.0"/>
    <col min="23" max="23" customWidth="true" width="10.8545454545455"/>
    <col min="24" max="24" customWidth="true" width="15.1363636363636"/>
    <col min="25" max="25" customWidth="true" width="17.0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6" max="36" customWidth="true" width="14.8545454545455"/>
    <col min="37" max="37" customWidth="true" width="15.0"/>
    <col min="40" max="40" customWidth="true" width="11.0"/>
  </cols>
  <sheetData>
    <row r="1" ht="17.5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0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 s="0">
        <v>54</v>
      </c>
      <c r="AH5" t="s" s="0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</v>
      </c>
      <c r="AG6" t="s" s="0">
        <v>63</v>
      </c>
      <c r="AH6" t="s" s="0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0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28.75" spans="1:40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190</v>
      </c>
      <c r="I10" s="37" t="s">
        <v>191</v>
      </c>
      <c r="J10" s="37" t="s">
        <v>192</v>
      </c>
      <c r="K10" s="38" t="s">
        <v>176</v>
      </c>
      <c r="L10" s="38" t="s">
        <v>177</v>
      </c>
      <c r="M10" s="38" t="s">
        <v>178</v>
      </c>
      <c r="N10" s="39" t="s">
        <v>179</v>
      </c>
      <c r="O10" s="40" t="s">
        <v>180</v>
      </c>
      <c r="P10" s="37" t="s">
        <v>193</v>
      </c>
      <c r="Q10" s="37" t="s">
        <v>194</v>
      </c>
      <c r="R10" s="39" t="s">
        <v>144</v>
      </c>
      <c r="S10" s="38" t="s">
        <v>145</v>
      </c>
      <c r="T10" s="39" t="s">
        <v>146</v>
      </c>
      <c r="U10" s="39" t="s">
        <v>147</v>
      </c>
      <c r="V10" s="41" t="s">
        <v>151</v>
      </c>
      <c r="W10" s="42" t="s">
        <v>195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122</v>
      </c>
      <c r="E11" s="44">
        <v>0</v>
      </c>
      <c r="F11" s="45" t="s">
        <v>196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157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124</v>
      </c>
      <c r="E12" s="45">
        <v>0</v>
      </c>
      <c r="F12" s="45" t="s">
        <v>197</v>
      </c>
      <c r="G12" s="45" t="s">
        <v>120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157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198</v>
      </c>
      <c r="E13" s="45">
        <v>0</v>
      </c>
      <c r="F13" s="45" t="s">
        <v>199</v>
      </c>
      <c r="G13" s="48" t="s">
        <v>120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200</v>
      </c>
      <c r="X13" s="42" t="s">
        <v>125</v>
      </c>
      <c r="Y13" s="42" t="s">
        <v>201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127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ht="17.5" spans="1:40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5"/>
      <c r="B17" s="5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Sakthi R</cp:lastModifiedBy>
  <dcterms:modified xsi:type="dcterms:W3CDTF">2026-05-14T07:08:44Z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