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7" activeTab="7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SO Domestic UD (S&amp;D)" sheetId="17" r:id="rId12"/>
    <sheet name="Case 1" sheetId="1" r:id="rId13"/>
    <sheet name="Item Stocks" sheetId="3" state="hidden" r:id="rId14"/>
    <sheet name="SO UTGST" sheetId="36" r:id="rId15"/>
    <sheet name="Free Sample" sheetId="12" r:id="rId16"/>
    <sheet name="Free Replacement" sheetId="13" r:id="rId17"/>
    <sheet name="SCRAP" sheetId="5" r:id="rId18"/>
    <sheet name="SERVICE" sheetId="6" r:id="rId19"/>
    <sheet name="PROMOTIONAL" sheetId="8" r:id="rId20"/>
    <sheet name="Local Customer" sheetId="9" r:id="rId21"/>
    <sheet name="SEZ Customer" sheetId="49" r:id="rId22"/>
    <sheet name="SEZ Customer1" sheetId="10" r:id="rId23"/>
    <sheet name="CESS" sheetId="11" r:id="rId24"/>
    <sheet name="Demo Exhibition" sheetId="14" r:id="rId25"/>
    <sheet name="CHARGES" sheetId="15" r:id="rId26"/>
    <sheet name="SO Amendment Disc UTGST" sheetId="43" r:id="rId27"/>
    <sheet name="SO Amendment Price UTGST" sheetId="42" r:id="rId28"/>
    <sheet name="SO Amendment AddItem UTGST" sheetId="44" r:id="rId29"/>
    <sheet name="SO Amendment Qty UTGST" sheetId="37" r:id="rId30"/>
    <sheet name="SO Amendment Qty" sheetId="33" r:id="rId31"/>
    <sheet name="Disc Change" sheetId="40" r:id="rId32"/>
    <sheet name="Price Change" sheetId="39" r:id="rId33"/>
    <sheet name="Qty Change" sheetId="38" r:id="rId34"/>
    <sheet name="So Amend Price Local" sheetId="46" r:id="rId35"/>
    <sheet name="So Amend Disc Local" sheetId="47" r:id="rId36"/>
    <sheet name="So Amend Qty Local" sheetId="45" r:id="rId37"/>
    <sheet name="SO" sheetId="29" r:id="rId38"/>
    <sheet name="SoAmendment PriceChange" sheetId="34" r:id="rId39"/>
    <sheet name="SO Amendment DiscountChange" sheetId="35" r:id="rId40"/>
    <sheet name="SO Amendment Different PC" sheetId="32" r:id="rId41"/>
    <sheet name="SO Amendment AdditionOfItem" sheetId="30" r:id="rId42"/>
    <sheet name="Add of Item" sheetId="41" r:id="rId43"/>
    <sheet name="So Amend AddOfItem Local" sheetId="48" r:id="rId44"/>
    <sheet name="SO Amendment With Charges" sheetId="31" r:id="rId45"/>
  </sheets>
  <definedNames>
    <definedName name="_xlnm._FilterDatabase" localSheetId="42" hidden="1">'Add of Item'!$V$1:$V$9</definedName>
    <definedName name="_xlnm._FilterDatabase" localSheetId="12" hidden="1">'Case 1'!$V$1:$V$8</definedName>
    <definedName name="_xlnm._FilterDatabase" localSheetId="23" hidden="1">CESS!$V$1:$V$8</definedName>
    <definedName name="_xlnm._FilterDatabase" localSheetId="24" hidden="1">'Demo Exhibition'!$V$1:$V$8</definedName>
    <definedName name="_xlnm._FilterDatabase" localSheetId="8" hidden="1">'Different Price Class (RC)'!$V$1:$V$8</definedName>
    <definedName name="_xlnm._FilterDatabase" localSheetId="31" hidden="1">'Disc Change'!$V$1:$V$8</definedName>
    <definedName name="_xlnm._FilterDatabase" localSheetId="16" hidden="1">'Free Replacement'!$V$1:$V$8</definedName>
    <definedName name="_xlnm._FilterDatabase" localSheetId="15" hidden="1">'Free Sample'!$V$1:$V$8</definedName>
    <definedName name="_xlnm._FilterDatabase" localSheetId="20" hidden="1">'Local Customer'!$V$1:$V$8</definedName>
    <definedName name="_xlnm._FilterDatabase" localSheetId="32" hidden="1">'Price Change'!$V$1:$V$8</definedName>
    <definedName name="_xlnm._FilterDatabase" localSheetId="19" hidden="1">PROMOTIONAL!$V$1:$V$8</definedName>
    <definedName name="_xlnm._FilterDatabase" localSheetId="33" hidden="1">'Qty Change'!$V$1:$V$8</definedName>
    <definedName name="_xlnm._FilterDatabase" localSheetId="17" hidden="1">SCRAP!$V$1:$V$7</definedName>
    <definedName name="_xlnm._FilterDatabase" localSheetId="18" hidden="1">SERVICE!$V$1:$V$7</definedName>
    <definedName name="_xlnm._FilterDatabase" localSheetId="21" hidden="1">'SEZ Customer'!$V$1:$V$8</definedName>
    <definedName name="_xlnm._FilterDatabase" localSheetId="22" hidden="1">'SEZ Customer1'!$V$1:$V$8</definedName>
    <definedName name="_xlnm._FilterDatabase" localSheetId="7" hidden="1">ShipSet!$V$1:$V$8</definedName>
    <definedName name="_xlnm._FilterDatabase" localSheetId="37" hidden="1">SO!$V$1:$V$8</definedName>
    <definedName name="_xlnm._FilterDatabase" localSheetId="43" hidden="1">'So Amend AddOfItem Local'!$V$1:$V$9</definedName>
    <definedName name="_xlnm._FilterDatabase" localSheetId="35" hidden="1">'So Amend Disc Local'!$V$1:$V$8</definedName>
    <definedName name="_xlnm._FilterDatabase" localSheetId="34" hidden="1">'So Amend Price Local'!$V$1:$V$8</definedName>
    <definedName name="_xlnm._FilterDatabase" localSheetId="36" hidden="1">'So Amend Qty Local'!$V$1:$V$8</definedName>
    <definedName name="_xlnm._FilterDatabase" localSheetId="28" hidden="1">'SO Amendment AddItem UTGST'!$V$1:$V$9</definedName>
    <definedName name="_xlnm._FilterDatabase" localSheetId="41" hidden="1">'SO Amendment AdditionOfItem'!#REF!</definedName>
    <definedName name="_xlnm._FilterDatabase" localSheetId="40" hidden="1">'SO Amendment Different PC'!#REF!</definedName>
    <definedName name="_xlnm._FilterDatabase" localSheetId="26" hidden="1">'SO Amendment Disc UTGST'!$V$1:$V$8</definedName>
    <definedName name="_xlnm._FilterDatabase" localSheetId="39" hidden="1">'SO Amendment DiscountChange'!#REF!</definedName>
    <definedName name="_xlnm._FilterDatabase" localSheetId="27" hidden="1">'SO Amendment Price UTGST'!$V$1:$V$8</definedName>
    <definedName name="_xlnm._FilterDatabase" localSheetId="30" hidden="1">'SO Amendment Qty'!#REF!</definedName>
    <definedName name="_xlnm._FilterDatabase" localSheetId="29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1" hidden="1">'SO Domestic UD (S&amp;D)'!$V$1:$V$11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4" hidden="1">'SO UTGST'!$V$1:$V$8</definedName>
    <definedName name="_xlnm._FilterDatabase" localSheetId="38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C6" i="11"/>
  <c r="AI6" i="49"/>
  <c r="AL6" s="1"/>
  <c r="AC6"/>
  <c r="AA6"/>
  <c r="Z6"/>
  <c r="Y6"/>
  <c r="X6"/>
  <c r="I6"/>
  <c r="AL5"/>
  <c r="AI5"/>
  <c r="AC5"/>
  <c r="AA5"/>
  <c r="Z5"/>
  <c r="Y5"/>
  <c r="X5"/>
  <c r="I5"/>
  <c r="M5" s="1"/>
  <c r="N5" s="1"/>
  <c r="AL9" i="17"/>
  <c r="AI9"/>
  <c r="AC9"/>
  <c r="AA9"/>
  <c r="Y9"/>
  <c r="X9"/>
  <c r="I9"/>
  <c r="AL8"/>
  <c r="AI8"/>
  <c r="AC8"/>
  <c r="AA8"/>
  <c r="Y8"/>
  <c r="X8"/>
  <c r="I8"/>
  <c r="M8" s="1"/>
  <c r="N8" s="1"/>
  <c r="AL7"/>
  <c r="AI7"/>
  <c r="AC7"/>
  <c r="AA7"/>
  <c r="Y7"/>
  <c r="X7"/>
  <c r="I7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I6" i="17"/>
  <c r="AL6" s="1"/>
  <c r="AC6"/>
  <c r="AA6"/>
  <c r="Y6"/>
  <c r="X6"/>
  <c r="AL5"/>
  <c r="AI5"/>
  <c r="AC5"/>
  <c r="AA5"/>
  <c r="Y5"/>
  <c r="X5"/>
  <c r="AV5" i="33"/>
  <c r="BD6" i="30"/>
  <c r="BD5"/>
  <c r="BC6"/>
  <c r="BC5"/>
  <c r="AU6"/>
  <c r="AV6"/>
  <c r="AW6"/>
  <c r="AX6"/>
  <c r="AY6"/>
  <c r="AZ6"/>
  <c r="BA6"/>
  <c r="BB6"/>
  <c r="AU5"/>
  <c r="AV5"/>
  <c r="AW5"/>
  <c r="AX5"/>
  <c r="AY5"/>
  <c r="AZ5"/>
  <c r="BA5"/>
  <c r="BB5"/>
  <c r="AS6"/>
  <c r="AT6"/>
  <c r="AR6"/>
  <c r="AS5"/>
  <c r="AT5"/>
  <c r="AR5"/>
  <c r="AP6"/>
  <c r="AP5"/>
  <c r="AO6"/>
  <c r="AO5"/>
  <c r="BD6" i="35"/>
  <c r="BD5"/>
  <c r="AP6"/>
  <c r="AP5"/>
  <c r="AO6"/>
  <c r="AO5"/>
  <c r="BD6" i="34"/>
  <c r="BD5"/>
  <c r="AS6"/>
  <c r="AT6"/>
  <c r="AR6"/>
  <c r="AS5"/>
  <c r="AT5"/>
  <c r="AR5"/>
  <c r="AO5"/>
  <c r="AO6"/>
  <c r="BG6" i="35"/>
  <c r="BF6"/>
  <c r="AQ6"/>
  <c r="AU6" s="1"/>
  <c r="AV6" s="1"/>
  <c r="AN6"/>
  <c r="AK6"/>
  <c r="AF6"/>
  <c r="AI6" s="1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BG6" i="34"/>
  <c r="BF6"/>
  <c r="AQ6"/>
  <c r="AN6"/>
  <c r="AK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Q5"/>
  <c r="AN5"/>
  <c r="AK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F5" s="1"/>
  <c r="D3"/>
  <c r="BD6" i="33"/>
  <c r="BD5"/>
  <c r="V5"/>
  <c r="AS6"/>
  <c r="AT6"/>
  <c r="AT5"/>
  <c r="AS5"/>
  <c r="AR6"/>
  <c r="AR5"/>
  <c r="AQ5"/>
  <c r="AP6"/>
  <c r="AP5"/>
  <c r="AU5" s="1"/>
  <c r="BG6"/>
  <c r="BF6"/>
  <c r="AQ6"/>
  <c r="AU6" s="1"/>
  <c r="AV6" s="1"/>
  <c r="AN6"/>
  <c r="AK6"/>
  <c r="AF6"/>
  <c r="AI6" s="1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D5" i="28" l="1"/>
  <c r="AE5" s="1"/>
  <c r="AE7" s="1"/>
  <c r="AD5" i="49"/>
  <c r="AD6"/>
  <c r="M6"/>
  <c r="N6" s="1"/>
  <c r="O5"/>
  <c r="O8" i="17"/>
  <c r="M9"/>
  <c r="N9" s="1"/>
  <c r="M7"/>
  <c r="N7" s="1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Q5" i="35"/>
  <c r="AU5" s="1"/>
  <c r="AV5" s="1"/>
  <c r="AW5" s="1"/>
  <c r="AW6"/>
  <c r="AU5" i="34"/>
  <c r="AV5" s="1"/>
  <c r="AU6"/>
  <c r="AV6" s="1"/>
  <c r="AW6" s="1"/>
  <c r="AI5"/>
  <c r="AW5" i="33"/>
  <c r="AW6"/>
  <c r="BG6" i="32"/>
  <c r="BF6"/>
  <c r="AQ6"/>
  <c r="AM6"/>
  <c r="AF6"/>
  <c r="AI6" s="1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P5" i="49" l="1"/>
  <c r="Q5" s="1"/>
  <c r="R5" s="1"/>
  <c r="O6"/>
  <c r="P8" i="17"/>
  <c r="Q8" s="1"/>
  <c r="R8" s="1"/>
  <c r="O9"/>
  <c r="O7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P6" i="49" l="1"/>
  <c r="S5"/>
  <c r="P9" i="17"/>
  <c r="S8"/>
  <c r="P7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T5" i="49" l="1"/>
  <c r="U5"/>
  <c r="Q6"/>
  <c r="R6" s="1"/>
  <c r="S6" s="1"/>
  <c r="Q9" i="17"/>
  <c r="R9" s="1"/>
  <c r="S9" s="1"/>
  <c r="T8"/>
  <c r="U8"/>
  <c r="Q7"/>
  <c r="R7" s="1"/>
  <c r="S7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T6" i="49" l="1"/>
  <c r="U6"/>
  <c r="S7"/>
  <c r="AG5"/>
  <c r="AG7" s="1"/>
  <c r="AP5"/>
  <c r="AE5"/>
  <c r="T9" i="17"/>
  <c r="U9"/>
  <c r="AP8"/>
  <c r="Z8"/>
  <c r="AD8" s="1"/>
  <c r="AE8" s="1"/>
  <c r="AG8"/>
  <c r="T7"/>
  <c r="U7"/>
  <c r="BI7" i="48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L7" s="1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AP6" i="49" l="1"/>
  <c r="AE6"/>
  <c r="AE7" s="1"/>
  <c r="AG6"/>
  <c r="AP9" i="17"/>
  <c r="Z9"/>
  <c r="AD9" s="1"/>
  <c r="AE9" s="1"/>
  <c r="AG9"/>
  <c r="AP7"/>
  <c r="Z7"/>
  <c r="AD7" s="1"/>
  <c r="AE7" s="1"/>
  <c r="AG7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Q6"/>
  <c r="AN6"/>
  <c r="BM6" s="1"/>
  <c r="W6"/>
  <c r="V6"/>
  <c r="L6"/>
  <c r="K6"/>
  <c r="J6"/>
  <c r="H6"/>
  <c r="G6"/>
  <c r="AF6" s="1"/>
  <c r="AI6" s="1"/>
  <c r="BG5"/>
  <c r="BF5"/>
  <c r="AQ5"/>
  <c r="AN5"/>
  <c r="BM5" s="1"/>
  <c r="Y5"/>
  <c r="W5"/>
  <c r="V5"/>
  <c r="M5"/>
  <c r="L5"/>
  <c r="K5"/>
  <c r="J5"/>
  <c r="I5"/>
  <c r="H5"/>
  <c r="G5"/>
  <c r="AF5" s="1"/>
  <c r="D3"/>
  <c r="Y6"/>
  <c r="X6"/>
  <c r="I6" i="29"/>
  <c r="I6" i="30" s="1"/>
  <c r="X5"/>
  <c r="M5" i="29"/>
  <c r="N5" s="1"/>
  <c r="N5" i="30" s="1"/>
  <c r="I5" i="29"/>
  <c r="I6" i="28"/>
  <c r="I5"/>
  <c r="M5" i="27"/>
  <c r="N5" s="1"/>
  <c r="I5"/>
  <c r="AU7" i="30" l="1"/>
  <c r="AV7" s="1"/>
  <c r="AI5"/>
  <c r="M6" i="29"/>
  <c r="M6" i="30" s="1"/>
  <c r="N6" i="29"/>
  <c r="N6" i="30" s="1"/>
  <c r="O5" i="29"/>
  <c r="O5" i="30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I6" i="17"/>
  <c r="I5"/>
  <c r="M5" s="1"/>
  <c r="N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P6" i="29"/>
  <c r="P6" i="30" s="1"/>
  <c r="P5" i="29"/>
  <c r="P5" i="30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7"/>
  <c r="M6"/>
  <c r="N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Q5" i="29"/>
  <c r="Q5" i="30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O6" i="17"/>
  <c r="P5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BA8"/>
  <c r="R6" i="29"/>
  <c r="R6" i="30" s="1"/>
  <c r="R5" i="29"/>
  <c r="R5" i="30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P6" i="17"/>
  <c r="Q6" s="1"/>
  <c r="R6" s="1"/>
  <c r="Q5"/>
  <c r="R5" s="1"/>
  <c r="S5" s="1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BL5"/>
  <c r="BH5"/>
  <c r="BI5" s="1"/>
  <c r="BJ5" s="1"/>
  <c r="S6" i="29"/>
  <c r="S6" i="30" s="1"/>
  <c r="S5" i="29"/>
  <c r="S5" i="30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T5" i="17"/>
  <c r="U5"/>
  <c r="S6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Z5" i="17" l="1"/>
  <c r="AD5" s="1"/>
  <c r="AE5" s="1"/>
  <c r="AP5"/>
  <c r="AG5"/>
  <c r="AP5" i="21"/>
  <c r="AG5"/>
  <c r="AG7" s="1"/>
  <c r="Z5"/>
  <c r="AD5" s="1"/>
  <c r="AE5" s="1"/>
  <c r="AE7" s="1"/>
  <c r="S8" i="30"/>
  <c r="BL7"/>
  <c r="BH7"/>
  <c r="BI7" s="1"/>
  <c r="BJ7" s="1"/>
  <c r="BL6"/>
  <c r="BH6"/>
  <c r="BI6" s="1"/>
  <c r="BJ6" s="1"/>
  <c r="BJ8" s="1"/>
  <c r="S7" i="29"/>
  <c r="U6"/>
  <c r="U6" i="30" s="1"/>
  <c r="AM6" s="1"/>
  <c r="T6" i="29"/>
  <c r="T6" i="30" s="1"/>
  <c r="U5" i="29"/>
  <c r="U5" i="30" s="1"/>
  <c r="AM5" s="1"/>
  <c r="T5" i="29"/>
  <c r="T5" i="30" s="1"/>
  <c r="T5" i="26"/>
  <c r="U5"/>
  <c r="T5" i="25"/>
  <c r="U5"/>
  <c r="T5" i="24"/>
  <c r="U5"/>
  <c r="T5" i="22"/>
  <c r="U5"/>
  <c r="T6" i="17"/>
  <c r="U6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G10" i="17" l="1"/>
  <c r="AG6"/>
  <c r="Z6"/>
  <c r="AD6" s="1"/>
  <c r="AE6" s="1"/>
  <c r="AE10" s="1"/>
  <c r="AP6"/>
  <c r="AE6" i="1"/>
  <c r="AE7" s="1"/>
  <c r="AD6"/>
  <c r="BL8" i="30"/>
  <c r="Z5"/>
  <c r="AD5"/>
  <c r="Z6"/>
  <c r="AD6"/>
  <c r="I13" i="15"/>
  <c r="N11"/>
  <c r="AB6" i="10"/>
  <c r="AB7" s="1"/>
  <c r="AD8" i="30" l="1"/>
  <c r="AA5"/>
  <c r="AA6"/>
  <c r="N13" i="15"/>
  <c r="O11"/>
  <c r="O13" s="1"/>
  <c r="AB6" i="30" l="1"/>
  <c r="AB5"/>
  <c r="AB8" l="1"/>
</calcChain>
</file>

<file path=xl/sharedStrings.xml><?xml version="1.0" encoding="utf-8"?>
<sst xmlns="http://schemas.openxmlformats.org/spreadsheetml/2006/main" count="3795" uniqueCount="190">
  <si>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</si>
  <si>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</si>
  <si>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</si>
  <si>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</si>
  <si>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</si>
  <si>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</si>
  <si>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</si>
  <si>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</si>
  <si>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</si>
  <si>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</si>
  <si>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</si>
  <si>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</si>
  <si>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</si>
  <si>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</si>
  <si>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</si>
  <si>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</si>
  <si>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</si>
  <si>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</si>
  <si>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</si>
  <si>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</si>
  <si>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</si>
  <si>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</si>
  <si>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</si>
  <si>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</si>
  <si>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</si>
  <si>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</si>
  <si>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</si>
  <si>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</si>
  <si>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</si>
  <si>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</si>
  <si>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</si>
  <si>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</si>
  <si>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</si>
  <si>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</si>
  <si>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</si>
  <si>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</si>
  <si>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</si>
  <si>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</si>
  <si>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</si>
  <si>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</si>
  <si>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</si>
  <si>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</si>
  <si>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</si>
  <si>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</si>
  <si>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</si>
  <si>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</si>
  <si>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</si>
  <si>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</si>
  <si>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</si>
  <si>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</si>
  <si>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</si>
  <si>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</si>
  <si>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</si>
  <si>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</si>
  <si>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</si>
  <si>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</si>
  <si>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</si>
  <si>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</si>
  <si>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</si>
  <si>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</si>
  <si>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</si>
  <si>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</si>
  <si>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</si>
  <si>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</si>
  <si>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</si>
  <si>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</si>
  <si>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</si>
  <si>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</si>
  <si>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</si>
  <si>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</si>
  <si>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</si>
  <si>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</si>
  <si>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</si>
  <si>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</si>
  <si>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</si>
  <si>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</si>
  <si>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</si>
  <si>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</si>
  <si>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</si>
  <si>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</si>
  <si>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</si>
  <si>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</si>
  <si>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</si>
  <si>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</si>
  <si>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</si>
  <si>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</si>
  <si>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</si>
  <si>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</si>
  <si>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</si>
  <si>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</si>
  <si>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</si>
  <si>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</si>
  <si>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</si>
  <si>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</si>
  <si>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</si>
  <si>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</si>
  <si>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</si>
  <si>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</si>
  <si>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</si>
  <si>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</si>
  <si>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</si>
  <si>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</si>
  <si>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</si>
  <si>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</si>
  <si>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</si>
  <si>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</si>
  <si>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</si>
  <si>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</si>
  <si>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</si>
  <si>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</si>
  <si>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</si>
  <si>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</si>
  <si>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</si>
  <si>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</si>
  <si>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</si>
  <si>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</si>
  <si>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</si>
  <si>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</si>
  <si>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</si>
  <si>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</si>
  <si>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</si>
  <si>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</si>
  <si>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</si>
  <si>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</si>
  <si>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</si>
  <si>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</si>
  <si>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</si>
  <si>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</si>
  <si>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</si>
  <si>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</si>
  <si>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</si>
  <si>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</si>
  <si>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</si>
  <si>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</si>
  <si>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</si>
  <si>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</si>
  <si>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</si>
  <si>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</si>
  <si>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</si>
  <si>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</si>
  <si>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</si>
  <si>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</si>
  <si>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</si>
  <si>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</si>
  <si>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</si>
  <si>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</si>
  <si>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</si>
  <si>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</si>
  <si>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</si>
  <si>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</si>
  <si>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</si>
  <si>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</si>
  <si>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</si>
  <si>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</si>
  <si>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</si>
  <si>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</si>
  <si>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</si>
  <si>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</si>
  <si>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</si>
  <si>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</si>
  <si>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</si>
  <si>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</si>
  <si>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</si>
  <si>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</si>
  <si>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</si>
  <si>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</si>
  <si>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</si>
  <si>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</si>
  <si>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</si>
  <si>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</si>
  <si>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</si>
  <si>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</si>
  <si>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</si>
  <si>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</si>
  <si>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</si>
  <si>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</si>
  <si>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</si>
  <si>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</si>
  <si>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</si>
  <si>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</si>
  <si>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</si>
  <si>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</si>
  <si>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</si>
  <si>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New UTGST</t>
  </si>
  <si>
    <t>New CESS %</t>
  </si>
  <si>
    <t>New CESS AMT</t>
  </si>
  <si>
    <t>3523</t>
  </si>
  <si>
    <t>1200</t>
  </si>
  <si>
    <t>230</t>
  </si>
  <si>
    <t>350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</si>
</sst>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3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theme/theme1.xml" Type="http://schemas.openxmlformats.org/officeDocument/2006/relationships/theme"/><Relationship Id="rId47" Target="styles.xml" Type="http://schemas.openxmlformats.org/officeDocument/2006/relationships/styles"/><Relationship Id="rId48" Target="sharedStrings.xml" Type="http://schemas.openxmlformats.org/officeDocument/2006/relationships/sharedStrings"/><Relationship Id="rId49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36" t="s">
        <v>35</v>
      </c>
      <c r="B3" s="136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5" t="s">
        <v>103</v>
      </c>
      <c r="C5" s="85">
        <v>0</v>
      </c>
      <c r="D5" s="85" t="s">
        <v>103</v>
      </c>
      <c r="E5" s="27" t="s">
        <v>10</v>
      </c>
      <c r="F5" s="27" t="s">
        <v>10</v>
      </c>
      <c r="G5" s="27">
        <v>44</v>
      </c>
      <c r="H5" t="s" s="1">
        <v>105</v>
      </c>
      <c r="I5" s="27">
        <f>G5*H5</f>
        <v>187660</v>
      </c>
      <c r="J5" t="s" s="1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5" t="s">
        <v>104</v>
      </c>
      <c r="C6" s="85">
        <v>0</v>
      </c>
      <c r="D6" s="85" t="s">
        <v>104</v>
      </c>
      <c r="E6" s="27" t="s">
        <v>45</v>
      </c>
      <c r="F6" s="27" t="s">
        <v>10</v>
      </c>
      <c r="G6" s="27">
        <v>53</v>
      </c>
      <c r="H6" t="s" s="1">
        <v>106</v>
      </c>
      <c r="I6" s="27">
        <f>G6*H6</f>
        <v>81779</v>
      </c>
      <c r="J6" t="s" s="1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36" t="s">
        <v>35</v>
      </c>
      <c r="B3" s="136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5" t="s">
        <v>103</v>
      </c>
      <c r="C5" s="85">
        <v>0</v>
      </c>
      <c r="D5" s="85" t="s">
        <v>103</v>
      </c>
      <c r="E5" s="27" t="s">
        <v>10</v>
      </c>
      <c r="F5" s="27" t="s">
        <v>10</v>
      </c>
      <c r="G5" s="27">
        <v>5</v>
      </c>
      <c r="H5" t="s" s="1">
        <v>107</v>
      </c>
      <c r="I5" s="27">
        <f>G5*H5</f>
        <v>160</v>
      </c>
      <c r="J5" t="s" s="1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5" t="s">
        <v>104</v>
      </c>
      <c r="C6" s="85">
        <v>0</v>
      </c>
      <c r="D6" s="85" t="s">
        <v>104</v>
      </c>
      <c r="E6" s="27" t="s">
        <v>45</v>
      </c>
      <c r="F6" s="27" t="s">
        <v>10</v>
      </c>
      <c r="G6" s="27">
        <v>89</v>
      </c>
      <c r="H6" t="s" s="1">
        <v>108</v>
      </c>
      <c r="I6" s="27">
        <f>G6*H6</f>
        <v>3738</v>
      </c>
      <c r="J6" t="s" s="1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36" t="s">
        <v>35</v>
      </c>
      <c r="B3" s="136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5" t="s">
        <v>98</v>
      </c>
      <c r="C5" s="80">
        <v>0</v>
      </c>
      <c r="D5" s="85" t="s">
        <v>98</v>
      </c>
      <c r="E5" s="27" t="s">
        <v>10</v>
      </c>
      <c r="F5" s="27" t="s">
        <v>10</v>
      </c>
      <c r="G5" s="27">
        <v>21</v>
      </c>
      <c r="H5" t="s" s="1">
        <v>100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0" t="s">
        <v>99</v>
      </c>
      <c r="C6" s="80">
        <v>0</v>
      </c>
      <c r="D6" s="85" t="s">
        <v>99</v>
      </c>
      <c r="E6" s="27" t="s">
        <v>45</v>
      </c>
      <c r="F6" s="27" t="s">
        <v>10</v>
      </c>
      <c r="G6" s="27">
        <v>35</v>
      </c>
      <c r="H6" t="s" s="1">
        <v>101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36" t="s">
        <v>35</v>
      </c>
      <c r="B3" s="136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5" t="s">
        <v>98</v>
      </c>
      <c r="C5" s="80">
        <v>0</v>
      </c>
      <c r="D5" s="85" t="s">
        <v>98</v>
      </c>
      <c r="E5" s="27" t="s">
        <v>10</v>
      </c>
      <c r="F5" s="27" t="s">
        <v>10</v>
      </c>
      <c r="G5" s="27">
        <v>11</v>
      </c>
      <c r="H5" t="s" s="1">
        <v>97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0" t="s">
        <v>99</v>
      </c>
      <c r="C6" s="80">
        <v>0</v>
      </c>
      <c r="D6" s="85" t="s">
        <v>99</v>
      </c>
      <c r="E6" s="27" t="s">
        <v>45</v>
      </c>
      <c r="F6" s="27" t="s">
        <v>10</v>
      </c>
      <c r="G6" s="27">
        <v>15</v>
      </c>
      <c r="H6" t="s" s="1">
        <v>102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AK11" sqref="AK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36" t="s">
        <v>35</v>
      </c>
      <c r="B3" s="136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t="s" s="1">
        <v>188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t="s" s="1">
        <v>189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AM8" sqref="AM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36" t="s">
        <v>35</v>
      </c>
      <c r="B3" s="136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t="s" s="1">
        <v>187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t="s" s="1">
        <v>186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36" t="s">
        <v>35</v>
      </c>
      <c r="B3" s="136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t="s" s="1">
        <v>92</v>
      </c>
      <c r="I5" s="27">
        <f>G5*H5</f>
        <v>150</v>
      </c>
      <c r="J5" t="s" s="1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t="s" s="1">
        <v>93</v>
      </c>
      <c r="I6" s="27">
        <f>G6*H6</f>
        <v>330</v>
      </c>
      <c r="J6" t="s" s="1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abSelected="1" topLeftCell="J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36" t="s">
        <v>35</v>
      </c>
      <c r="B3" s="136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0" t="s">
        <v>115</v>
      </c>
      <c r="C5" s="27">
        <v>0</v>
      </c>
      <c r="D5" s="80" t="s">
        <v>115</v>
      </c>
      <c r="E5" s="27" t="s">
        <v>10</v>
      </c>
      <c r="F5" s="27" t="s">
        <v>10</v>
      </c>
      <c r="G5" s="27">
        <v>10</v>
      </c>
      <c r="H5" s="1" t="s">
        <v>114</v>
      </c>
      <c r="I5" s="27">
        <f>G5*H5</f>
        <v>63000</v>
      </c>
      <c r="J5" s="1" t="s">
        <v>113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10135.24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10135.24</v>
      </c>
      <c r="AE5" s="27">
        <f t="shared" ref="AE5:AE6" si="0">U5+AD5</f>
        <v>66442.12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0" t="s">
        <v>116</v>
      </c>
      <c r="C6" s="27">
        <v>0</v>
      </c>
      <c r="D6" s="80" t="s">
        <v>116</v>
      </c>
      <c r="E6" s="27" t="s">
        <v>45</v>
      </c>
      <c r="F6" s="27" t="s">
        <v>10</v>
      </c>
      <c r="G6" s="27">
        <v>10</v>
      </c>
      <c r="H6" s="1" t="s">
        <v>112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13435.86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13435.86</v>
      </c>
      <c r="AE6" s="27">
        <f t="shared" si="0"/>
        <v>88079.52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154521.64000000001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L18" sqref="L1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36" t="s">
        <v>35</v>
      </c>
      <c r="B3" s="136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112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114</v>
      </c>
      <c r="I6" s="27">
        <f>G6*H6</f>
        <v>63000</v>
      </c>
      <c r="J6" s="1" t="s">
        <v>113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D12" sqref="D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36" t="s">
        <v>35</v>
      </c>
      <c r="B3" s="136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t="s" s="1">
        <v>88</v>
      </c>
      <c r="I5" s="27">
        <f>G5*H5</f>
        <v>31200</v>
      </c>
      <c r="J5" t="s" s="1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t="s" s="1">
        <v>91</v>
      </c>
      <c r="I6" s="27">
        <f>G6*H6</f>
        <v>31560</v>
      </c>
      <c r="J6" t="s" s="1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E14" sqref="E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36" t="s">
        <v>35</v>
      </c>
      <c r="B3" s="136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Q11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3"/>
      <c r="AD1" s="73"/>
      <c r="AE1" s="73"/>
      <c r="AF1" s="73"/>
      <c r="AG1" s="32"/>
      <c r="AH1" s="32"/>
    </row>
    <row r="2" spans="1:43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2"/>
      <c r="AH2" s="32"/>
    </row>
    <row r="3" spans="1:43" ht="19.899999999999999" customHeight="1" thickBot="1">
      <c r="A3" s="136" t="s">
        <v>35</v>
      </c>
      <c r="B3" s="136"/>
      <c r="C3" s="7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:I7" si="0">G5*H5</f>
        <v>12340</v>
      </c>
      <c r="J5" s="27">
        <v>1</v>
      </c>
      <c r="K5" s="27">
        <v>2</v>
      </c>
      <c r="L5" s="27">
        <v>4</v>
      </c>
      <c r="M5" s="27">
        <f t="shared" ref="M5:M7" si="1">I5</f>
        <v>12340</v>
      </c>
      <c r="N5" s="27">
        <f t="shared" ref="N5:N7" si="2">ROUND((M5*J5)/100,2)</f>
        <v>123.4</v>
      </c>
      <c r="O5" s="27">
        <f t="shared" ref="O5:O7" si="3">I5-N5</f>
        <v>12216.6</v>
      </c>
      <c r="P5" s="27">
        <f t="shared" ref="P5:P7" si="4">ROUND((O5*K5)/100,2)</f>
        <v>244.33</v>
      </c>
      <c r="Q5" s="27">
        <f t="shared" ref="Q5:Q7" si="5">ROUND(O5-P5,2)</f>
        <v>11972.27</v>
      </c>
      <c r="R5" s="27">
        <f t="shared" ref="R5:R7" si="6">ROUND((Q5*L5)/100,2)</f>
        <v>478.89</v>
      </c>
      <c r="S5" s="27">
        <f t="shared" ref="S5:S7" si="7">N5+P5+R5</f>
        <v>846.62</v>
      </c>
      <c r="T5" s="27">
        <f t="shared" ref="T5:T7" si="8">ROUND(S5/G5,2)</f>
        <v>84.66</v>
      </c>
      <c r="U5" s="27">
        <f t="shared" ref="U5:U7" si="9">(I5-S5)</f>
        <v>11493.38</v>
      </c>
      <c r="V5" s="27" t="s">
        <v>23</v>
      </c>
      <c r="W5" s="30">
        <v>0.12</v>
      </c>
      <c r="X5" s="27">
        <f t="shared" ref="X5:X7" si="10">IF(OR($D$3=1,$D$3=4),ROUND((U5*W5)/2,2),0)</f>
        <v>0</v>
      </c>
      <c r="Y5" s="27">
        <f t="shared" ref="Y5:Y7" si="11">IF($D$3=1,ROUND(((U5*W5)/2),2),0)</f>
        <v>0</v>
      </c>
      <c r="Z5" s="27">
        <f t="shared" ref="Z5:Z7" si="12">IF($D$3=2,ROUND(((U5*W5)),2),0)</f>
        <v>1379.21</v>
      </c>
      <c r="AA5" s="27">
        <f t="shared" ref="AA5:AA7" si="13">IF($D$3=4,ROUND(((U5*W5)/2),2),0)</f>
        <v>0</v>
      </c>
      <c r="AB5" s="30">
        <v>0.06</v>
      </c>
      <c r="AC5" s="27">
        <f t="shared" ref="AC5:AC7" si="14">IF($D$3=5,ROUND(((U5*AB5)/2),2),0)</f>
        <v>0</v>
      </c>
      <c r="AD5" s="27">
        <f t="shared" ref="AD5:AD7" si="15">X5+Y5+Z5+AA5+AC5</f>
        <v>1379.21</v>
      </c>
      <c r="AE5" s="27">
        <f t="shared" ref="AE5:AE6" si="16">U5+AD5</f>
        <v>12872.59</v>
      </c>
      <c r="AF5" s="27">
        <v>120</v>
      </c>
      <c r="AG5" s="27">
        <f t="shared" ref="AG5:AG6" si="17">U5*$N$3</f>
        <v>11493.38</v>
      </c>
      <c r="AH5" s="27">
        <v>1</v>
      </c>
      <c r="AI5" s="27">
        <f t="shared" ref="AI5" si="18">G5/AH5</f>
        <v>10</v>
      </c>
      <c r="AJ5" s="29" t="s">
        <v>84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:AP7" si="19"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 t="shared" si="0"/>
        <v>32140</v>
      </c>
      <c r="J6" s="27">
        <v>2</v>
      </c>
      <c r="K6" s="27">
        <v>7</v>
      </c>
      <c r="L6" s="27">
        <v>9</v>
      </c>
      <c r="M6" s="27">
        <f t="shared" si="1"/>
        <v>32140</v>
      </c>
      <c r="N6" s="27">
        <f t="shared" si="2"/>
        <v>642.79999999999995</v>
      </c>
      <c r="O6" s="27">
        <f t="shared" si="3"/>
        <v>31497.200000000001</v>
      </c>
      <c r="P6" s="27">
        <f t="shared" si="4"/>
        <v>2204.8000000000002</v>
      </c>
      <c r="Q6" s="27">
        <f t="shared" si="5"/>
        <v>29292.400000000001</v>
      </c>
      <c r="R6" s="27">
        <f t="shared" si="6"/>
        <v>2636.32</v>
      </c>
      <c r="S6" s="27">
        <f t="shared" si="7"/>
        <v>5483.92</v>
      </c>
      <c r="T6" s="27">
        <f t="shared" si="8"/>
        <v>548.39</v>
      </c>
      <c r="U6" s="27">
        <f t="shared" si="9"/>
        <v>26656.080000000002</v>
      </c>
      <c r="V6" s="27" t="s">
        <v>23</v>
      </c>
      <c r="W6" s="30">
        <v>0.05</v>
      </c>
      <c r="X6" s="27">
        <f t="shared" si="10"/>
        <v>0</v>
      </c>
      <c r="Y6" s="27">
        <f t="shared" si="11"/>
        <v>0</v>
      </c>
      <c r="Z6" s="27">
        <f t="shared" si="12"/>
        <v>1332.8</v>
      </c>
      <c r="AA6" s="27">
        <f t="shared" si="13"/>
        <v>0</v>
      </c>
      <c r="AB6" s="30">
        <v>0.06</v>
      </c>
      <c r="AC6" s="27">
        <f t="shared" si="14"/>
        <v>0</v>
      </c>
      <c r="AD6" s="27">
        <f t="shared" si="15"/>
        <v>1332.8</v>
      </c>
      <c r="AE6" s="27">
        <f t="shared" si="16"/>
        <v>27988.880000000001</v>
      </c>
      <c r="AF6" s="27">
        <v>120</v>
      </c>
      <c r="AG6" s="27">
        <f t="shared" si="17"/>
        <v>26656.080000000002</v>
      </c>
      <c r="AH6" s="27">
        <v>3</v>
      </c>
      <c r="AI6" s="27">
        <f>ROUND(G6/AH6,3)</f>
        <v>3.3330000000000002</v>
      </c>
      <c r="AJ6" s="29" t="s">
        <v>83</v>
      </c>
      <c r="AK6" s="29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 t="shared" si="19"/>
        <v>0</v>
      </c>
      <c r="AQ6" s="27" t="s">
        <v>110</v>
      </c>
    </row>
    <row r="7" spans="1:43" ht="14.25" customHeight="1">
      <c r="A7" s="27">
        <v>3</v>
      </c>
      <c r="B7" s="16" t="s">
        <v>43</v>
      </c>
      <c r="C7" s="27">
        <v>0</v>
      </c>
      <c r="D7" s="16" t="s">
        <v>43</v>
      </c>
      <c r="E7" s="27" t="s">
        <v>10</v>
      </c>
      <c r="F7" s="27" t="s">
        <v>10</v>
      </c>
      <c r="G7" s="27">
        <v>15</v>
      </c>
      <c r="H7" s="27">
        <v>1234</v>
      </c>
      <c r="I7" s="27">
        <f t="shared" si="0"/>
        <v>18510</v>
      </c>
      <c r="J7" s="27">
        <v>1</v>
      </c>
      <c r="K7" s="27">
        <v>2</v>
      </c>
      <c r="L7" s="27">
        <v>4</v>
      </c>
      <c r="M7" s="27">
        <f t="shared" si="1"/>
        <v>18510</v>
      </c>
      <c r="N7" s="27">
        <f t="shared" si="2"/>
        <v>185.1</v>
      </c>
      <c r="O7" s="27">
        <f t="shared" si="3"/>
        <v>18324.900000000001</v>
      </c>
      <c r="P7" s="27">
        <f t="shared" si="4"/>
        <v>366.5</v>
      </c>
      <c r="Q7" s="27">
        <f t="shared" si="5"/>
        <v>17958.400000000001</v>
      </c>
      <c r="R7" s="27">
        <f t="shared" si="6"/>
        <v>718.34</v>
      </c>
      <c r="S7" s="27">
        <f t="shared" si="7"/>
        <v>1269.94</v>
      </c>
      <c r="T7" s="27">
        <f t="shared" si="8"/>
        <v>84.66</v>
      </c>
      <c r="U7" s="27">
        <f t="shared" si="9"/>
        <v>17240.060000000001</v>
      </c>
      <c r="V7" s="27" t="s">
        <v>23</v>
      </c>
      <c r="W7" s="30">
        <v>0.12</v>
      </c>
      <c r="X7" s="27">
        <f t="shared" si="10"/>
        <v>0</v>
      </c>
      <c r="Y7" s="27">
        <f t="shared" si="11"/>
        <v>0</v>
      </c>
      <c r="Z7" s="27">
        <f t="shared" si="12"/>
        <v>2068.81</v>
      </c>
      <c r="AA7" s="27">
        <f t="shared" si="13"/>
        <v>0</v>
      </c>
      <c r="AB7" s="30">
        <v>0.06</v>
      </c>
      <c r="AC7" s="27">
        <f t="shared" si="14"/>
        <v>0</v>
      </c>
      <c r="AD7" s="27">
        <f t="shared" si="15"/>
        <v>2068.81</v>
      </c>
      <c r="AE7" s="27">
        <f t="shared" ref="AE7" si="20">U7+AD7</f>
        <v>19308.870000000003</v>
      </c>
      <c r="AF7" s="27">
        <v>120</v>
      </c>
      <c r="AG7" s="27">
        <f t="shared" ref="AG7" si="21">U7*$N$3</f>
        <v>17240.060000000001</v>
      </c>
      <c r="AH7" s="27">
        <v>1</v>
      </c>
      <c r="AI7" s="27">
        <f t="shared" ref="AI7" si="22">G7/AH7</f>
        <v>15</v>
      </c>
      <c r="AJ7" s="29" t="s">
        <v>84</v>
      </c>
      <c r="AK7" s="29" t="s">
        <v>55</v>
      </c>
      <c r="AL7" s="29">
        <f>ROUND(AJ7-G7,0)</f>
        <v>833</v>
      </c>
      <c r="AM7" s="27" t="s">
        <v>50</v>
      </c>
      <c r="AN7" s="27" t="s">
        <v>61</v>
      </c>
      <c r="AO7" s="27">
        <v>0</v>
      </c>
      <c r="AP7" s="27">
        <f t="shared" si="19"/>
        <v>0</v>
      </c>
      <c r="AQ7" s="27" t="s">
        <v>110</v>
      </c>
    </row>
    <row r="8" spans="1:43" ht="14.25" customHeight="1">
      <c r="A8" s="27">
        <v>4</v>
      </c>
      <c r="B8" s="16" t="s">
        <v>43</v>
      </c>
      <c r="C8" s="27">
        <v>0</v>
      </c>
      <c r="D8" s="16" t="s">
        <v>43</v>
      </c>
      <c r="E8" s="27" t="s">
        <v>10</v>
      </c>
      <c r="F8" s="27" t="s">
        <v>10</v>
      </c>
      <c r="G8" s="27">
        <v>20</v>
      </c>
      <c r="H8" s="27">
        <v>1234</v>
      </c>
      <c r="I8" s="27">
        <f t="shared" ref="I8:I9" si="23">G8*H8</f>
        <v>24680</v>
      </c>
      <c r="J8" s="27">
        <v>1</v>
      </c>
      <c r="K8" s="27">
        <v>2</v>
      </c>
      <c r="L8" s="27">
        <v>4</v>
      </c>
      <c r="M8" s="27">
        <f t="shared" ref="M8:M9" si="24">I8</f>
        <v>24680</v>
      </c>
      <c r="N8" s="27">
        <f t="shared" ref="N8:N9" si="25">ROUND((M8*J8)/100,2)</f>
        <v>246.8</v>
      </c>
      <c r="O8" s="27">
        <f t="shared" ref="O8:O9" si="26">I8-N8</f>
        <v>24433.200000000001</v>
      </c>
      <c r="P8" s="27">
        <f t="shared" ref="P8:P9" si="27">ROUND((O8*K8)/100,2)</f>
        <v>488.66</v>
      </c>
      <c r="Q8" s="27">
        <f t="shared" ref="Q8:Q9" si="28">ROUND(O8-P8,2)</f>
        <v>23944.54</v>
      </c>
      <c r="R8" s="27">
        <f t="shared" ref="R8:R9" si="29">ROUND((Q8*L8)/100,2)</f>
        <v>957.78</v>
      </c>
      <c r="S8" s="27">
        <f t="shared" ref="S8:S9" si="30">N8+P8+R8</f>
        <v>1693.24</v>
      </c>
      <c r="T8" s="27">
        <f t="shared" ref="T8:T9" si="31">ROUND(S8/G8,2)</f>
        <v>84.66</v>
      </c>
      <c r="U8" s="27">
        <f t="shared" ref="U8:U9" si="32">(I8-S8)</f>
        <v>22986.76</v>
      </c>
      <c r="V8" s="27" t="s">
        <v>23</v>
      </c>
      <c r="W8" s="30">
        <v>0.12</v>
      </c>
      <c r="X8" s="27">
        <f t="shared" ref="X8:X9" si="33">IF(OR($D$3=1,$D$3=4),ROUND((U8*W8)/2,2),0)</f>
        <v>0</v>
      </c>
      <c r="Y8" s="27">
        <f t="shared" ref="Y8:Y9" si="34">IF($D$3=1,ROUND(((U8*W8)/2),2),0)</f>
        <v>0</v>
      </c>
      <c r="Z8" s="27">
        <f t="shared" ref="Z8:Z9" si="35">IF($D$3=2,ROUND(((U8*W8)),2),0)</f>
        <v>2758.41</v>
      </c>
      <c r="AA8" s="27">
        <f t="shared" ref="AA8:AA9" si="36">IF($D$3=4,ROUND(((U8*W8)/2),2),0)</f>
        <v>0</v>
      </c>
      <c r="AB8" s="30">
        <v>0.06</v>
      </c>
      <c r="AC8" s="27">
        <f t="shared" ref="AC8:AC9" si="37">IF($D$3=5,ROUND(((U8*AB8)/2),2),0)</f>
        <v>0</v>
      </c>
      <c r="AD8" s="27">
        <f t="shared" ref="AD8:AD9" si="38">X8+Y8+Z8+AA8+AC8</f>
        <v>2758.41</v>
      </c>
      <c r="AE8" s="27">
        <f t="shared" ref="AE8:AE9" si="39">U8+AD8</f>
        <v>25745.17</v>
      </c>
      <c r="AF8" s="27">
        <v>120</v>
      </c>
      <c r="AG8" s="27">
        <f t="shared" ref="AG8:AG9" si="40">U8*$N$3</f>
        <v>22986.76</v>
      </c>
      <c r="AH8" s="27">
        <v>1</v>
      </c>
      <c r="AI8" s="27">
        <f t="shared" ref="AI8:AI9" si="41">G8/AH8</f>
        <v>20</v>
      </c>
      <c r="AJ8" s="29" t="s">
        <v>84</v>
      </c>
      <c r="AK8" s="29" t="s">
        <v>55</v>
      </c>
      <c r="AL8" s="29">
        <f t="shared" ref="AL8:AL9" si="42">ROUND(AJ8-G8,0)</f>
        <v>828</v>
      </c>
      <c r="AM8" s="27" t="s">
        <v>50</v>
      </c>
      <c r="AN8" s="27" t="s">
        <v>61</v>
      </c>
      <c r="AO8" s="27">
        <v>0</v>
      </c>
      <c r="AP8" s="27">
        <f t="shared" ref="AP8:AP9" si="43">ROUND(((AO8*U8)/100),2)</f>
        <v>0</v>
      </c>
      <c r="AQ8" s="27" t="s">
        <v>110</v>
      </c>
    </row>
    <row r="9" spans="1:43" ht="14.25" customHeight="1">
      <c r="A9" s="27">
        <v>5</v>
      </c>
      <c r="B9" s="16" t="s">
        <v>43</v>
      </c>
      <c r="C9" s="27">
        <v>0</v>
      </c>
      <c r="D9" s="16" t="s">
        <v>43</v>
      </c>
      <c r="E9" s="27" t="s">
        <v>10</v>
      </c>
      <c r="F9" s="27" t="s">
        <v>10</v>
      </c>
      <c r="G9" s="27">
        <v>25</v>
      </c>
      <c r="H9" s="27">
        <v>1234</v>
      </c>
      <c r="I9" s="27">
        <f t="shared" si="23"/>
        <v>30850</v>
      </c>
      <c r="J9" s="27">
        <v>1</v>
      </c>
      <c r="K9" s="27">
        <v>2</v>
      </c>
      <c r="L9" s="27">
        <v>4</v>
      </c>
      <c r="M9" s="27">
        <f t="shared" si="24"/>
        <v>30850</v>
      </c>
      <c r="N9" s="27">
        <f t="shared" si="25"/>
        <v>308.5</v>
      </c>
      <c r="O9" s="27">
        <f t="shared" si="26"/>
        <v>30541.5</v>
      </c>
      <c r="P9" s="27">
        <f t="shared" si="27"/>
        <v>610.83000000000004</v>
      </c>
      <c r="Q9" s="27">
        <f t="shared" si="28"/>
        <v>29930.67</v>
      </c>
      <c r="R9" s="27">
        <f t="shared" si="29"/>
        <v>1197.23</v>
      </c>
      <c r="S9" s="27">
        <f t="shared" si="30"/>
        <v>2116.56</v>
      </c>
      <c r="T9" s="27">
        <f t="shared" si="31"/>
        <v>84.66</v>
      </c>
      <c r="U9" s="27">
        <f t="shared" si="32"/>
        <v>28733.439999999999</v>
      </c>
      <c r="V9" s="27" t="s">
        <v>23</v>
      </c>
      <c r="W9" s="30">
        <v>0.12</v>
      </c>
      <c r="X9" s="27">
        <f t="shared" si="33"/>
        <v>0</v>
      </c>
      <c r="Y9" s="27">
        <f t="shared" si="34"/>
        <v>0</v>
      </c>
      <c r="Z9" s="27">
        <f t="shared" si="35"/>
        <v>3448.01</v>
      </c>
      <c r="AA9" s="27">
        <f t="shared" si="36"/>
        <v>0</v>
      </c>
      <c r="AB9" s="30">
        <v>0.06</v>
      </c>
      <c r="AC9" s="27">
        <f t="shared" si="37"/>
        <v>0</v>
      </c>
      <c r="AD9" s="27">
        <f t="shared" si="38"/>
        <v>3448.01</v>
      </c>
      <c r="AE9" s="27">
        <f t="shared" si="39"/>
        <v>32181.449999999997</v>
      </c>
      <c r="AF9" s="27">
        <v>120</v>
      </c>
      <c r="AG9" s="27">
        <f t="shared" si="40"/>
        <v>28733.439999999999</v>
      </c>
      <c r="AH9" s="27">
        <v>1</v>
      </c>
      <c r="AI9" s="27">
        <f t="shared" si="41"/>
        <v>25</v>
      </c>
      <c r="AJ9" s="29" t="s">
        <v>84</v>
      </c>
      <c r="AK9" s="29" t="s">
        <v>55</v>
      </c>
      <c r="AL9" s="29">
        <f t="shared" si="42"/>
        <v>823</v>
      </c>
      <c r="AM9" s="27" t="s">
        <v>50</v>
      </c>
      <c r="AN9" s="27" t="s">
        <v>61</v>
      </c>
      <c r="AO9" s="27">
        <v>0</v>
      </c>
      <c r="AP9" s="27">
        <f t="shared" si="43"/>
        <v>0</v>
      </c>
      <c r="AQ9" s="27" t="s">
        <v>110</v>
      </c>
    </row>
    <row r="10" spans="1:43" ht="14.25" customHeight="1">
      <c r="A10" s="11"/>
      <c r="B10" s="11"/>
      <c r="C10" s="11"/>
      <c r="D10" s="11"/>
      <c r="E10" s="11"/>
      <c r="F10" s="11"/>
      <c r="G10" s="12"/>
      <c r="H10" s="13"/>
      <c r="I10" s="13"/>
      <c r="J10" s="14"/>
      <c r="K10" s="14"/>
      <c r="L10" s="14"/>
      <c r="M10" s="13"/>
      <c r="N10" s="13"/>
      <c r="O10" s="13"/>
      <c r="P10" s="15"/>
      <c r="Q10" s="15" t="s">
        <v>41</v>
      </c>
      <c r="R10" s="15"/>
      <c r="S10" s="15"/>
      <c r="T10" s="15"/>
      <c r="U10" s="13"/>
      <c r="V10" s="13"/>
      <c r="W10" s="14"/>
      <c r="X10" s="13"/>
      <c r="Y10" s="13"/>
      <c r="Z10" s="15" t="s">
        <v>39</v>
      </c>
      <c r="AA10" s="15"/>
      <c r="AB10" s="15"/>
      <c r="AC10" s="15"/>
      <c r="AD10" s="15"/>
      <c r="AE10" s="79">
        <f>SUM(AE5:AE9)</f>
        <v>118096.96000000001</v>
      </c>
      <c r="AF10" s="15" t="s">
        <v>40</v>
      </c>
      <c r="AG10" s="79">
        <f>SUM(AG5:AG9)</f>
        <v>107109.72</v>
      </c>
      <c r="AH10" s="12"/>
      <c r="AI10" s="13"/>
      <c r="AJ10" s="13"/>
      <c r="AK10" s="13"/>
      <c r="AL10" s="36"/>
    </row>
    <row r="11" spans="1:43" ht="14.25" customHeight="1">
      <c r="A11" s="11"/>
      <c r="B11" s="11"/>
      <c r="C11" s="11"/>
      <c r="D11" s="11"/>
      <c r="E11" s="11"/>
      <c r="F11" s="11"/>
      <c r="G11" s="12"/>
      <c r="H11" s="13"/>
      <c r="I11" s="13"/>
      <c r="J11" s="14"/>
      <c r="K11" s="14"/>
      <c r="L11" s="14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4"/>
      <c r="X11" s="13"/>
      <c r="Y11" s="13"/>
      <c r="Z11" s="13"/>
      <c r="AA11" s="13"/>
      <c r="AB11" s="13"/>
      <c r="AC11" s="13"/>
      <c r="AD11" s="13"/>
      <c r="AE11" s="12"/>
      <c r="AF11" s="13"/>
      <c r="AG11" s="13"/>
      <c r="AH11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5" width="12.28515625"/>
    <col min="38" max="38" customWidth="true" style="36" width="10.28515625"/>
    <col min="39" max="39" customWidth="true" style="1" width="13.5703125"/>
    <col min="40" max="40" customWidth="true" style="1" width="12.7109375"/>
    <col min="41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36" t="s">
        <v>35</v>
      </c>
      <c r="B3" s="136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39">
        <v>20</v>
      </c>
      <c r="F2" s="39">
        <f>'Case 1'!H5</f>
        <v>1234</v>
      </c>
      <c r="G2" t="s" s="0">
        <v>53</v>
      </c>
      <c r="H2" s="39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39">
        <v>30</v>
      </c>
      <c r="F3" s="39">
        <f>'Case 1'!H6</f>
        <v>3214</v>
      </c>
      <c r="G3" s="0">
        <v>675</v>
      </c>
      <c r="H3" s="39">
        <f>G3-E3</f>
        <v>645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36" t="s">
        <v>35</v>
      </c>
      <c r="B3" s="136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182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36" t="s">
        <v>35</v>
      </c>
      <c r="B3" s="13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36" t="s">
        <v>35</v>
      </c>
      <c r="B3" s="13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zoomScale="85" zoomScaleNormal="85" workbookViewId="0">
      <selection activeCell="G5" sqref="G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36" t="s">
        <v>35</v>
      </c>
      <c r="B3" s="136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36" t="s">
        <v>35</v>
      </c>
      <c r="B3" s="136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5703125"/>
    <col min="37" max="37" customWidth="true" style="1" width="13.7109375"/>
    <col min="38" max="39" style="1" width="9.140625"/>
    <col min="40" max="40" bestFit="true" customWidth="true" style="1" width="17.570312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36" t="s">
        <v>35</v>
      </c>
      <c r="B3" s="136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zoomScale="85" zoomScaleNormal="85" workbookViewId="0">
      <selection activeCell="AG23" sqref="AG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36" t="s">
        <v>35</v>
      </c>
      <c r="B3" s="136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P5" sqref="P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3"/>
      <c r="AD1" s="133"/>
      <c r="AE1" s="133"/>
      <c r="AF1" s="133"/>
      <c r="AG1" s="32"/>
      <c r="AH1" s="32"/>
    </row>
    <row r="2" spans="1:43" ht="18">
      <c r="A2" s="133" t="s">
        <v>30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32"/>
      <c r="AH2" s="32"/>
    </row>
    <row r="3" spans="1:43" ht="19.899999999999999" customHeight="1" thickBot="1">
      <c r="A3" s="136" t="s">
        <v>35</v>
      </c>
      <c r="B3" s="136"/>
      <c r="C3" s="13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1200</v>
      </c>
      <c r="I5" s="27">
        <f>G5*H5</f>
        <v>12000</v>
      </c>
      <c r="J5" s="27">
        <v>1</v>
      </c>
      <c r="K5" s="27">
        <v>2</v>
      </c>
      <c r="L5" s="27">
        <v>4</v>
      </c>
      <c r="M5" s="27">
        <f>I5</f>
        <v>12000</v>
      </c>
      <c r="N5" s="27">
        <f>ROUND((M5*J5)/100,2)</f>
        <v>120</v>
      </c>
      <c r="O5" s="27">
        <f>I5-N5</f>
        <v>11880</v>
      </c>
      <c r="P5" s="27">
        <f>ROUND((O5*K5)/100,2)</f>
        <v>237.6</v>
      </c>
      <c r="Q5" s="27">
        <f>ROUND(O5-P5,2)</f>
        <v>11642.4</v>
      </c>
      <c r="R5" s="27">
        <f>ROUND((Q5*L5)/100,2)</f>
        <v>465.7</v>
      </c>
      <c r="S5" s="27">
        <f>N5+P5+R5</f>
        <v>823.3</v>
      </c>
      <c r="T5" s="27">
        <f>ROUND(S5/G5,2)</f>
        <v>82.33</v>
      </c>
      <c r="U5" s="27">
        <f>(I5-S5)</f>
        <v>11176.7</v>
      </c>
      <c r="V5" s="27" t="s">
        <v>23</v>
      </c>
      <c r="W5" s="30">
        <v>0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11176.7</v>
      </c>
      <c r="AF5" s="27">
        <v>120</v>
      </c>
      <c r="AG5" s="27">
        <f t="shared" ref="AG5:AG6" si="1">U5*$N$3</f>
        <v>11176.7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2500</v>
      </c>
      <c r="I6" s="27">
        <f>G6*H6</f>
        <v>50000</v>
      </c>
      <c r="J6" s="27">
        <v>2</v>
      </c>
      <c r="K6" s="27">
        <v>7</v>
      </c>
      <c r="L6" s="27">
        <v>9</v>
      </c>
      <c r="M6" s="27">
        <f>I6</f>
        <v>50000</v>
      </c>
      <c r="N6" s="27">
        <f>ROUND((M6*J6)/100,2)</f>
        <v>1000</v>
      </c>
      <c r="O6" s="27">
        <f>I6-N6</f>
        <v>49000</v>
      </c>
      <c r="P6" s="27">
        <f>ROUND((O6*K6)/100,2)</f>
        <v>3430</v>
      </c>
      <c r="Q6" s="27">
        <f>ROUND(O6-P6,2)</f>
        <v>45570</v>
      </c>
      <c r="R6" s="27">
        <f>ROUND((Q6*L6)/100,2)</f>
        <v>4101.3</v>
      </c>
      <c r="S6" s="27">
        <f>N6+P6+R6</f>
        <v>8531.2999999999993</v>
      </c>
      <c r="T6" s="27">
        <f>ROUND(S6/G6,2)</f>
        <v>426.57</v>
      </c>
      <c r="U6" s="27">
        <f>(I6-S6)</f>
        <v>41468.699999999997</v>
      </c>
      <c r="V6" s="27" t="s">
        <v>23</v>
      </c>
      <c r="W6" s="30">
        <v>0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41468.699999999997</v>
      </c>
      <c r="AF6" s="27">
        <v>120</v>
      </c>
      <c r="AG6" s="27">
        <f t="shared" si="1"/>
        <v>41468.699999999997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9354.5999999999985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52645.399999999994</v>
      </c>
      <c r="AF7" s="15" t="s">
        <v>40</v>
      </c>
      <c r="AG7" s="79">
        <f>AG5</f>
        <v>11176.7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zoomScale="85" zoomScaleNormal="85" workbookViewId="0">
      <selection activeCell="H8" sqref="H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0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36" t="s">
        <v>35</v>
      </c>
      <c r="B3" s="136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109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O1" zoomScale="85" zoomScaleNormal="85" workbookViewId="0">
      <selection activeCell="AA20" sqref="AA2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36" t="s">
        <v>35</v>
      </c>
      <c r="B3" s="136"/>
      <c r="C3" s="51"/>
      <c r="D3" s="3">
        <v>5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406.38</v>
      </c>
      <c r="AD5" s="27">
        <f>X5+Y5+Z5+AA5+AC5</f>
        <v>406.38</v>
      </c>
      <c r="AE5" s="27">
        <f t="shared" ref="AE5:AE6" si="0">U5+AD5</f>
        <v>13952.429999999998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600</v>
      </c>
      <c r="AD6" s="27">
        <f>X6+Y6+Z6+AA6+AC6</f>
        <v>600</v>
      </c>
      <c r="AE6" s="27">
        <f t="shared" si="0"/>
        <v>20600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6</v>
      </c>
      <c r="AP6" s="27">
        <f>ROUND(((AO6*U6)/100),2)</f>
        <v>1200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34552.43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36" t="s">
        <v>35</v>
      </c>
      <c r="B3" s="136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3" ht="18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36" t="s">
        <v>35</v>
      </c>
      <c r="B3" s="136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36"/>
      <c r="B16" s="136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D11" sqref="BD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36" t="s">
        <v>35</v>
      </c>
      <c r="B3" s="13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141</v>
      </c>
      <c r="AS4" s="18" t="s">
        <v>142</v>
      </c>
      <c r="AT4" s="18" t="s">
        <v>143</v>
      </c>
      <c r="AU4" s="21" t="s">
        <v>144</v>
      </c>
      <c r="AV4" s="21" t="s">
        <v>145</v>
      </c>
      <c r="AW4" s="21" t="s">
        <v>146</v>
      </c>
      <c r="AX4" s="22" t="s">
        <v>147</v>
      </c>
      <c r="AY4" s="22" t="s">
        <v>148</v>
      </c>
      <c r="AZ4" s="22" t="s">
        <v>149</v>
      </c>
      <c r="BA4" s="22" t="s">
        <v>150</v>
      </c>
      <c r="BB4" s="23" t="s">
        <v>151</v>
      </c>
      <c r="BC4" s="22" t="s">
        <v>152</v>
      </c>
      <c r="BD4" s="21" t="s">
        <v>153</v>
      </c>
      <c r="BE4" s="21" t="s">
        <v>163</v>
      </c>
      <c r="BF4" s="18" t="s">
        <v>154</v>
      </c>
      <c r="BG4" s="18" t="s">
        <v>155</v>
      </c>
      <c r="BH4" s="24" t="s">
        <v>156</v>
      </c>
      <c r="BI4" s="24" t="s">
        <v>157</v>
      </c>
      <c r="BJ4" s="24" t="s">
        <v>158</v>
      </c>
      <c r="BK4" s="24" t="s">
        <v>159</v>
      </c>
      <c r="BL4" s="24" t="s">
        <v>183</v>
      </c>
      <c r="BM4" s="24" t="s">
        <v>184</v>
      </c>
      <c r="BN4" s="24" t="s">
        <v>185</v>
      </c>
      <c r="BO4" s="24" t="s">
        <v>160</v>
      </c>
      <c r="BP4" s="25" t="s">
        <v>161</v>
      </c>
      <c r="BQ4" s="25" t="s">
        <v>29</v>
      </c>
      <c r="BR4" s="26" t="s">
        <v>162</v>
      </c>
      <c r="BS4" s="26" t="s">
        <v>165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182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110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110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L1" zoomScale="85" zoomScaleNormal="85" workbookViewId="0">
      <selection activeCell="AW10" sqref="AW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36" t="s">
        <v>35</v>
      </c>
      <c r="B3" s="13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141</v>
      </c>
      <c r="AS4" s="18" t="s">
        <v>142</v>
      </c>
      <c r="AT4" s="18" t="s">
        <v>143</v>
      </c>
      <c r="AU4" s="21" t="s">
        <v>144</v>
      </c>
      <c r="AV4" s="21" t="s">
        <v>145</v>
      </c>
      <c r="AW4" s="21" t="s">
        <v>146</v>
      </c>
      <c r="AX4" s="22" t="s">
        <v>147</v>
      </c>
      <c r="AY4" s="22" t="s">
        <v>148</v>
      </c>
      <c r="AZ4" s="22" t="s">
        <v>149</v>
      </c>
      <c r="BA4" s="22" t="s">
        <v>150</v>
      </c>
      <c r="BB4" s="23" t="s">
        <v>151</v>
      </c>
      <c r="BC4" s="22" t="s">
        <v>152</v>
      </c>
      <c r="BD4" s="21" t="s">
        <v>153</v>
      </c>
      <c r="BE4" s="21" t="s">
        <v>163</v>
      </c>
      <c r="BF4" s="18" t="s">
        <v>154</v>
      </c>
      <c r="BG4" s="18" t="s">
        <v>155</v>
      </c>
      <c r="BH4" s="24" t="s">
        <v>156</v>
      </c>
      <c r="BI4" s="24" t="s">
        <v>157</v>
      </c>
      <c r="BJ4" s="24" t="s">
        <v>158</v>
      </c>
      <c r="BK4" s="24" t="s">
        <v>159</v>
      </c>
      <c r="BL4" s="24" t="s">
        <v>183</v>
      </c>
      <c r="BM4" s="24" t="s">
        <v>184</v>
      </c>
      <c r="BN4" s="24" t="s">
        <v>185</v>
      </c>
      <c r="BO4" s="24" t="s">
        <v>160</v>
      </c>
      <c r="BP4" s="25" t="s">
        <v>161</v>
      </c>
      <c r="BQ4" s="25" t="s">
        <v>29</v>
      </c>
      <c r="BR4" s="26" t="s">
        <v>162</v>
      </c>
      <c r="BS4" s="26" t="s">
        <v>165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182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110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110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A7" sqref="A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36" t="s">
        <v>35</v>
      </c>
      <c r="B3" s="13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141</v>
      </c>
      <c r="AS4" s="18" t="s">
        <v>142</v>
      </c>
      <c r="AT4" s="18" t="s">
        <v>143</v>
      </c>
      <c r="AU4" s="21" t="s">
        <v>144</v>
      </c>
      <c r="AV4" s="21" t="s">
        <v>145</v>
      </c>
      <c r="AW4" s="21" t="s">
        <v>146</v>
      </c>
      <c r="AX4" s="22" t="s">
        <v>147</v>
      </c>
      <c r="AY4" s="22" t="s">
        <v>148</v>
      </c>
      <c r="AZ4" s="22" t="s">
        <v>149</v>
      </c>
      <c r="BA4" s="22" t="s">
        <v>150</v>
      </c>
      <c r="BB4" s="23" t="s">
        <v>151</v>
      </c>
      <c r="BC4" s="22" t="s">
        <v>152</v>
      </c>
      <c r="BD4" s="21" t="s">
        <v>153</v>
      </c>
      <c r="BE4" s="21" t="s">
        <v>163</v>
      </c>
      <c r="BF4" s="18" t="s">
        <v>154</v>
      </c>
      <c r="BG4" s="18" t="s">
        <v>155</v>
      </c>
      <c r="BH4" s="24" t="s">
        <v>156</v>
      </c>
      <c r="BI4" s="24" t="s">
        <v>157</v>
      </c>
      <c r="BJ4" s="24" t="s">
        <v>158</v>
      </c>
      <c r="BK4" s="24" t="s">
        <v>159</v>
      </c>
      <c r="BL4" s="24" t="s">
        <v>183</v>
      </c>
      <c r="BM4" s="24" t="s">
        <v>184</v>
      </c>
      <c r="BN4" s="24" t="s">
        <v>185</v>
      </c>
      <c r="BO4" s="24" t="s">
        <v>160</v>
      </c>
      <c r="BP4" s="25" t="s">
        <v>161</v>
      </c>
      <c r="BQ4" s="25" t="s">
        <v>29</v>
      </c>
      <c r="BR4" s="26" t="s">
        <v>162</v>
      </c>
      <c r="BS4" s="26" t="s">
        <v>165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182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110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110</v>
      </c>
    </row>
    <row r="7" spans="1:71" ht="14.25" customHeight="1">
      <c r="A7" s="27">
        <v>3</v>
      </c>
      <c r="B7" s="85" t="s">
        <v>115</v>
      </c>
      <c r="C7" s="80">
        <v>0</v>
      </c>
      <c r="D7" s="85" t="s">
        <v>115</v>
      </c>
      <c r="E7" s="106" t="s">
        <v>169</v>
      </c>
      <c r="F7" s="106" t="s">
        <v>169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110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110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36" t="s">
        <v>35</v>
      </c>
      <c r="B3" s="136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141</v>
      </c>
      <c r="AS4" s="18" t="s">
        <v>142</v>
      </c>
      <c r="AT4" s="18" t="s">
        <v>143</v>
      </c>
      <c r="AU4" s="21" t="s">
        <v>144</v>
      </c>
      <c r="AV4" s="21" t="s">
        <v>145</v>
      </c>
      <c r="AW4" s="21" t="s">
        <v>146</v>
      </c>
      <c r="AX4" s="22" t="s">
        <v>147</v>
      </c>
      <c r="AY4" s="22" t="s">
        <v>148</v>
      </c>
      <c r="AZ4" s="22" t="s">
        <v>149</v>
      </c>
      <c r="BA4" s="22" t="s">
        <v>150</v>
      </c>
      <c r="BB4" s="23" t="s">
        <v>151</v>
      </c>
      <c r="BC4" s="22" t="s">
        <v>152</v>
      </c>
      <c r="BD4" s="21" t="s">
        <v>153</v>
      </c>
      <c r="BE4" s="21" t="s">
        <v>163</v>
      </c>
      <c r="BF4" s="18" t="s">
        <v>154</v>
      </c>
      <c r="BG4" s="18" t="s">
        <v>155</v>
      </c>
      <c r="BH4" s="24" t="s">
        <v>156</v>
      </c>
      <c r="BI4" s="24" t="s">
        <v>157</v>
      </c>
      <c r="BJ4" s="24" t="s">
        <v>158</v>
      </c>
      <c r="BK4" s="24" t="s">
        <v>159</v>
      </c>
      <c r="BL4" s="24" t="s">
        <v>183</v>
      </c>
      <c r="BM4" s="24" t="s">
        <v>184</v>
      </c>
      <c r="BN4" s="24" t="s">
        <v>185</v>
      </c>
      <c r="BO4" s="24" t="s">
        <v>160</v>
      </c>
      <c r="BP4" s="25" t="s">
        <v>161</v>
      </c>
      <c r="BQ4" s="25" t="s">
        <v>29</v>
      </c>
      <c r="BR4" s="26" t="s">
        <v>162</v>
      </c>
      <c r="BS4" s="26" t="s">
        <v>165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182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110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110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20"/>
      <c r="AD1" s="120"/>
      <c r="AE1" s="120"/>
      <c r="AF1" s="120"/>
      <c r="AG1" s="32"/>
      <c r="AH1" s="32"/>
    </row>
    <row r="2" spans="1:66" ht="18">
      <c r="A2" s="120" t="s">
        <v>117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36" t="s">
        <v>35</v>
      </c>
      <c r="B3" s="136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118</v>
      </c>
      <c r="H4" s="18" t="s">
        <v>119</v>
      </c>
      <c r="I4" s="18" t="s">
        <v>120</v>
      </c>
      <c r="J4" s="21" t="s">
        <v>121</v>
      </c>
      <c r="K4" s="21" t="s">
        <v>122</v>
      </c>
      <c r="L4" s="21" t="s">
        <v>123</v>
      </c>
      <c r="M4" s="22" t="s">
        <v>124</v>
      </c>
      <c r="N4" s="22" t="s">
        <v>125</v>
      </c>
      <c r="O4" s="22" t="s">
        <v>126</v>
      </c>
      <c r="P4" s="22" t="s">
        <v>127</v>
      </c>
      <c r="Q4" s="23" t="s">
        <v>128</v>
      </c>
      <c r="R4" s="22" t="s">
        <v>129</v>
      </c>
      <c r="S4" s="21" t="s">
        <v>130</v>
      </c>
      <c r="T4" s="21" t="s">
        <v>139</v>
      </c>
      <c r="U4" s="18" t="s">
        <v>131</v>
      </c>
      <c r="V4" s="18" t="s">
        <v>132</v>
      </c>
      <c r="W4" s="24" t="s">
        <v>133</v>
      </c>
      <c r="X4" s="24" t="s">
        <v>134</v>
      </c>
      <c r="Y4" s="24" t="s">
        <v>135</v>
      </c>
      <c r="Z4" s="24" t="s">
        <v>136</v>
      </c>
      <c r="AA4" s="24" t="s">
        <v>137</v>
      </c>
      <c r="AB4" s="25" t="s">
        <v>138</v>
      </c>
      <c r="AC4" s="25" t="s">
        <v>29</v>
      </c>
      <c r="AD4" s="26" t="s">
        <v>140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164</v>
      </c>
      <c r="AO4" s="20" t="s">
        <v>141</v>
      </c>
      <c r="AP4" s="103" t="s">
        <v>142</v>
      </c>
      <c r="AQ4" s="103" t="s">
        <v>143</v>
      </c>
      <c r="AR4" s="96" t="s">
        <v>144</v>
      </c>
      <c r="AS4" s="96" t="s">
        <v>145</v>
      </c>
      <c r="AT4" s="96" t="s">
        <v>146</v>
      </c>
      <c r="AU4" s="98" t="s">
        <v>147</v>
      </c>
      <c r="AV4" s="98" t="s">
        <v>148</v>
      </c>
      <c r="AW4" s="98" t="s">
        <v>149</v>
      </c>
      <c r="AX4" s="98" t="s">
        <v>150</v>
      </c>
      <c r="AY4" s="98" t="s">
        <v>151</v>
      </c>
      <c r="AZ4" s="98" t="s">
        <v>152</v>
      </c>
      <c r="BA4" s="105" t="s">
        <v>153</v>
      </c>
      <c r="BB4" s="21" t="s">
        <v>163</v>
      </c>
      <c r="BC4" s="103" t="s">
        <v>154</v>
      </c>
      <c r="BD4" s="103" t="s">
        <v>155</v>
      </c>
      <c r="BE4" s="104" t="s">
        <v>156</v>
      </c>
      <c r="BF4" s="104" t="s">
        <v>157</v>
      </c>
      <c r="BG4" s="104" t="s">
        <v>158</v>
      </c>
      <c r="BH4" s="104" t="s">
        <v>159</v>
      </c>
      <c r="BI4" s="104" t="s">
        <v>160</v>
      </c>
      <c r="BJ4" s="102" t="s">
        <v>161</v>
      </c>
      <c r="BK4" s="102" t="s">
        <v>29</v>
      </c>
      <c r="BL4" s="102" t="s">
        <v>162</v>
      </c>
      <c r="BM4" s="26" t="s">
        <v>165</v>
      </c>
      <c r="BN4" s="26" t="s">
        <v>167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166</v>
      </c>
      <c r="BN5" s="27" t="s">
        <v>168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166</v>
      </c>
      <c r="BN6" s="27" t="s">
        <v>168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6" t="s">
        <v>35</v>
      </c>
      <c r="B3" s="13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180</v>
      </c>
      <c r="BM4" s="24" t="s">
        <v>181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109</v>
      </c>
      <c r="BU4" s="26" t="s">
        <v>167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182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110</v>
      </c>
      <c r="BU5" s="27" t="s">
        <v>168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110</v>
      </c>
      <c r="BU6" s="27" t="s">
        <v>168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6" t="s">
        <v>35</v>
      </c>
      <c r="B3" s="13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180</v>
      </c>
      <c r="BM4" s="24" t="s">
        <v>181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109</v>
      </c>
      <c r="BU4" s="26" t="s">
        <v>167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182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110</v>
      </c>
      <c r="BU5" s="27" t="s">
        <v>168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110</v>
      </c>
      <c r="BU6" s="27" t="s">
        <v>168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32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customWidth="true" style="1" width="13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36" t="s">
        <v>35</v>
      </c>
      <c r="B3" s="136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180</v>
      </c>
      <c r="BM4" s="24" t="s">
        <v>181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109</v>
      </c>
      <c r="BU4" s="26" t="s">
        <v>167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182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110</v>
      </c>
      <c r="BU5" s="27" t="s">
        <v>168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110</v>
      </c>
      <c r="BU6" s="27" t="s">
        <v>168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6" t="s">
        <v>35</v>
      </c>
      <c r="B3" s="13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180</v>
      </c>
      <c r="BM4" s="24" t="s">
        <v>181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109</v>
      </c>
      <c r="BU4" s="26" t="s">
        <v>167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110</v>
      </c>
      <c r="BU5" s="27" t="s">
        <v>168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110</v>
      </c>
      <c r="BU6" s="27" t="s">
        <v>168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6" t="s">
        <v>35</v>
      </c>
      <c r="B3" s="13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180</v>
      </c>
      <c r="BM4" s="24" t="s">
        <v>181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109</v>
      </c>
      <c r="BU4" s="26" t="s">
        <v>167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110</v>
      </c>
      <c r="BU5" s="27" t="s">
        <v>168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110</v>
      </c>
      <c r="BU6" s="27" t="s">
        <v>168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58" style="1" width="9.140625"/>
    <col min="59" max="59" bestFit="true" customWidth="true" style="1" width="15.0"/>
    <col min="60" max="70" style="1" width="9.140625"/>
    <col min="71" max="71" bestFit="true" customWidth="true" style="1" width="12.85546875"/>
    <col min="72" max="72" bestFit="true" customWidth="true" style="1" width="11.0"/>
    <col min="73" max="16384" style="1" width="9.140625"/>
  </cols>
  <sheetData>
    <row r="1" spans="1:7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6" t="s">
        <v>35</v>
      </c>
      <c r="B3" s="13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180</v>
      </c>
      <c r="BM4" s="24" t="s">
        <v>181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109</v>
      </c>
      <c r="BU4" s="26" t="s">
        <v>167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182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182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110</v>
      </c>
      <c r="BU5" s="27" t="s">
        <v>168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110</v>
      </c>
      <c r="BU6" s="27" t="s">
        <v>168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36" t="s">
        <v>35</v>
      </c>
      <c r="B3" s="136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182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22"/>
      <c r="AD1" s="122"/>
      <c r="AE1" s="122"/>
      <c r="AF1" s="122"/>
      <c r="AG1" s="32"/>
      <c r="AH1" s="32"/>
    </row>
    <row r="2" spans="1:66" ht="18">
      <c r="A2" s="122" t="s">
        <v>117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36" t="s">
        <v>35</v>
      </c>
      <c r="B3" s="13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118</v>
      </c>
      <c r="H4" s="18" t="s">
        <v>119</v>
      </c>
      <c r="I4" s="18" t="s">
        <v>120</v>
      </c>
      <c r="J4" s="21" t="s">
        <v>121</v>
      </c>
      <c r="K4" s="21" t="s">
        <v>122</v>
      </c>
      <c r="L4" s="21" t="s">
        <v>123</v>
      </c>
      <c r="M4" s="22" t="s">
        <v>124</v>
      </c>
      <c r="N4" s="22" t="s">
        <v>125</v>
      </c>
      <c r="O4" s="22" t="s">
        <v>126</v>
      </c>
      <c r="P4" s="22" t="s">
        <v>127</v>
      </c>
      <c r="Q4" s="23" t="s">
        <v>128</v>
      </c>
      <c r="R4" s="22" t="s">
        <v>129</v>
      </c>
      <c r="S4" s="21" t="s">
        <v>130</v>
      </c>
      <c r="T4" s="21" t="s">
        <v>139</v>
      </c>
      <c r="U4" s="18" t="s">
        <v>131</v>
      </c>
      <c r="V4" s="18" t="s">
        <v>132</v>
      </c>
      <c r="W4" s="24" t="s">
        <v>133</v>
      </c>
      <c r="X4" s="24" t="s">
        <v>134</v>
      </c>
      <c r="Y4" s="24" t="s">
        <v>135</v>
      </c>
      <c r="Z4" s="24" t="s">
        <v>136</v>
      </c>
      <c r="AA4" s="24" t="s">
        <v>137</v>
      </c>
      <c r="AB4" s="25" t="s">
        <v>138</v>
      </c>
      <c r="AC4" s="25" t="s">
        <v>29</v>
      </c>
      <c r="AD4" s="26" t="s">
        <v>140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164</v>
      </c>
      <c r="AO4" s="20" t="s">
        <v>141</v>
      </c>
      <c r="AP4" s="20" t="s">
        <v>142</v>
      </c>
      <c r="AQ4" s="103" t="s">
        <v>143</v>
      </c>
      <c r="AR4" s="96" t="s">
        <v>144</v>
      </c>
      <c r="AS4" s="96" t="s">
        <v>145</v>
      </c>
      <c r="AT4" s="96" t="s">
        <v>146</v>
      </c>
      <c r="AU4" s="98" t="s">
        <v>147</v>
      </c>
      <c r="AV4" s="98" t="s">
        <v>148</v>
      </c>
      <c r="AW4" s="98" t="s">
        <v>149</v>
      </c>
      <c r="AX4" s="98" t="s">
        <v>150</v>
      </c>
      <c r="AY4" s="98" t="s">
        <v>151</v>
      </c>
      <c r="AZ4" s="98" t="s">
        <v>152</v>
      </c>
      <c r="BA4" s="105" t="s">
        <v>153</v>
      </c>
      <c r="BB4" s="21" t="s">
        <v>163</v>
      </c>
      <c r="BC4" s="103" t="s">
        <v>154</v>
      </c>
      <c r="BD4" s="103" t="s">
        <v>155</v>
      </c>
      <c r="BE4" s="104" t="s">
        <v>156</v>
      </c>
      <c r="BF4" s="104" t="s">
        <v>157</v>
      </c>
      <c r="BG4" s="104" t="s">
        <v>158</v>
      </c>
      <c r="BH4" s="104" t="s">
        <v>159</v>
      </c>
      <c r="BI4" s="104" t="s">
        <v>160</v>
      </c>
      <c r="BJ4" s="102" t="s">
        <v>161</v>
      </c>
      <c r="BK4" s="102" t="s">
        <v>29</v>
      </c>
      <c r="BL4" s="102" t="s">
        <v>162</v>
      </c>
      <c r="BM4" s="26" t="s">
        <v>165</v>
      </c>
      <c r="BN4" s="26" t="s">
        <v>167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166</v>
      </c>
      <c r="BN5" s="27" t="s">
        <v>168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166</v>
      </c>
      <c r="BN6" s="27" t="s">
        <v>168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22"/>
      <c r="AD1" s="122"/>
      <c r="AE1" s="122"/>
      <c r="AF1" s="122"/>
      <c r="AG1" s="32"/>
      <c r="AH1" s="32"/>
    </row>
    <row r="2" spans="1:66" ht="18">
      <c r="A2" s="122" t="s">
        <v>117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36" t="s">
        <v>35</v>
      </c>
      <c r="B3" s="13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118</v>
      </c>
      <c r="H4" s="18" t="s">
        <v>119</v>
      </c>
      <c r="I4" s="18" t="s">
        <v>120</v>
      </c>
      <c r="J4" s="21" t="s">
        <v>121</v>
      </c>
      <c r="K4" s="21" t="s">
        <v>122</v>
      </c>
      <c r="L4" s="21" t="s">
        <v>123</v>
      </c>
      <c r="M4" s="22" t="s">
        <v>124</v>
      </c>
      <c r="N4" s="22" t="s">
        <v>125</v>
      </c>
      <c r="O4" s="22" t="s">
        <v>126</v>
      </c>
      <c r="P4" s="22" t="s">
        <v>127</v>
      </c>
      <c r="Q4" s="23" t="s">
        <v>128</v>
      </c>
      <c r="R4" s="22" t="s">
        <v>129</v>
      </c>
      <c r="S4" s="21" t="s">
        <v>130</v>
      </c>
      <c r="T4" s="21" t="s">
        <v>139</v>
      </c>
      <c r="U4" s="18" t="s">
        <v>131</v>
      </c>
      <c r="V4" s="18" t="s">
        <v>132</v>
      </c>
      <c r="W4" s="24" t="s">
        <v>133</v>
      </c>
      <c r="X4" s="24" t="s">
        <v>134</v>
      </c>
      <c r="Y4" s="24" t="s">
        <v>135</v>
      </c>
      <c r="Z4" s="24" t="s">
        <v>136</v>
      </c>
      <c r="AA4" s="24" t="s">
        <v>137</v>
      </c>
      <c r="AB4" s="25" t="s">
        <v>138</v>
      </c>
      <c r="AC4" s="25" t="s">
        <v>29</v>
      </c>
      <c r="AD4" s="26" t="s">
        <v>140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164</v>
      </c>
      <c r="AO4" s="20" t="s">
        <v>141</v>
      </c>
      <c r="AP4" s="103" t="s">
        <v>142</v>
      </c>
      <c r="AQ4" s="103" t="s">
        <v>143</v>
      </c>
      <c r="AR4" s="96" t="s">
        <v>144</v>
      </c>
      <c r="AS4" s="96" t="s">
        <v>145</v>
      </c>
      <c r="AT4" s="96" t="s">
        <v>146</v>
      </c>
      <c r="AU4" s="98" t="s">
        <v>147</v>
      </c>
      <c r="AV4" s="98" t="s">
        <v>148</v>
      </c>
      <c r="AW4" s="98" t="s">
        <v>149</v>
      </c>
      <c r="AX4" s="98" t="s">
        <v>150</v>
      </c>
      <c r="AY4" s="98" t="s">
        <v>151</v>
      </c>
      <c r="AZ4" s="98" t="s">
        <v>152</v>
      </c>
      <c r="BA4" s="105" t="s">
        <v>153</v>
      </c>
      <c r="BB4" s="21" t="s">
        <v>163</v>
      </c>
      <c r="BC4" s="103" t="s">
        <v>154</v>
      </c>
      <c r="BD4" s="103" t="s">
        <v>155</v>
      </c>
      <c r="BE4" s="104" t="s">
        <v>156</v>
      </c>
      <c r="BF4" s="104" t="s">
        <v>157</v>
      </c>
      <c r="BG4" s="104" t="s">
        <v>158</v>
      </c>
      <c r="BH4" s="104" t="s">
        <v>159</v>
      </c>
      <c r="BI4" s="104" t="s">
        <v>160</v>
      </c>
      <c r="BJ4" s="102" t="s">
        <v>161</v>
      </c>
      <c r="BK4" s="102" t="s">
        <v>29</v>
      </c>
      <c r="BL4" s="102" t="s">
        <v>162</v>
      </c>
      <c r="BM4" s="26" t="s">
        <v>165</v>
      </c>
      <c r="BN4" s="26" t="s">
        <v>167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166</v>
      </c>
      <c r="BN5" s="27" t="s">
        <v>168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166</v>
      </c>
      <c r="BN6" s="27" t="s">
        <v>168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17"/>
      <c r="AD1" s="117"/>
      <c r="AE1" s="117"/>
      <c r="AF1" s="117"/>
      <c r="AG1" s="32"/>
      <c r="AH1" s="32"/>
    </row>
    <row r="2" spans="1:66" ht="18">
      <c r="A2" s="117" t="s">
        <v>117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36" t="s">
        <v>35</v>
      </c>
      <c r="B3" s="136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118</v>
      </c>
      <c r="H4" s="18" t="s">
        <v>119</v>
      </c>
      <c r="I4" s="18" t="s">
        <v>120</v>
      </c>
      <c r="J4" s="21" t="s">
        <v>121</v>
      </c>
      <c r="K4" s="21" t="s">
        <v>122</v>
      </c>
      <c r="L4" s="21" t="s">
        <v>123</v>
      </c>
      <c r="M4" s="22" t="s">
        <v>124</v>
      </c>
      <c r="N4" s="22" t="s">
        <v>125</v>
      </c>
      <c r="O4" s="22" t="s">
        <v>126</v>
      </c>
      <c r="P4" s="22" t="s">
        <v>127</v>
      </c>
      <c r="Q4" s="23" t="s">
        <v>128</v>
      </c>
      <c r="R4" s="22" t="s">
        <v>129</v>
      </c>
      <c r="S4" s="21" t="s">
        <v>130</v>
      </c>
      <c r="T4" s="21" t="s">
        <v>139</v>
      </c>
      <c r="U4" s="18" t="s">
        <v>131</v>
      </c>
      <c r="V4" s="18" t="s">
        <v>132</v>
      </c>
      <c r="W4" s="24" t="s">
        <v>133</v>
      </c>
      <c r="X4" s="24" t="s">
        <v>134</v>
      </c>
      <c r="Y4" s="24" t="s">
        <v>135</v>
      </c>
      <c r="Z4" s="24" t="s">
        <v>136</v>
      </c>
      <c r="AA4" s="24" t="s">
        <v>137</v>
      </c>
      <c r="AB4" s="25" t="s">
        <v>138</v>
      </c>
      <c r="AC4" s="25" t="s">
        <v>29</v>
      </c>
      <c r="AD4" s="26" t="s">
        <v>140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164</v>
      </c>
      <c r="AO4" s="20" t="s">
        <v>141</v>
      </c>
      <c r="AP4" s="103" t="s">
        <v>142</v>
      </c>
      <c r="AQ4" s="103" t="s">
        <v>143</v>
      </c>
      <c r="AR4" s="96" t="s">
        <v>144</v>
      </c>
      <c r="AS4" s="96" t="s">
        <v>145</v>
      </c>
      <c r="AT4" s="96" t="s">
        <v>146</v>
      </c>
      <c r="AU4" s="98" t="s">
        <v>147</v>
      </c>
      <c r="AV4" s="98" t="s">
        <v>148</v>
      </c>
      <c r="AW4" s="98" t="s">
        <v>149</v>
      </c>
      <c r="AX4" s="98" t="s">
        <v>150</v>
      </c>
      <c r="AY4" s="98" t="s">
        <v>151</v>
      </c>
      <c r="AZ4" s="98" t="s">
        <v>152</v>
      </c>
      <c r="BA4" s="105" t="s">
        <v>153</v>
      </c>
      <c r="BB4" s="21" t="s">
        <v>163</v>
      </c>
      <c r="BC4" s="103" t="s">
        <v>154</v>
      </c>
      <c r="BD4" s="103" t="s">
        <v>155</v>
      </c>
      <c r="BE4" s="104" t="s">
        <v>156</v>
      </c>
      <c r="BF4" s="104" t="s">
        <v>157</v>
      </c>
      <c r="BG4" s="104" t="s">
        <v>158</v>
      </c>
      <c r="BH4" s="104" t="s">
        <v>159</v>
      </c>
      <c r="BI4" s="104" t="s">
        <v>160</v>
      </c>
      <c r="BJ4" s="102" t="s">
        <v>161</v>
      </c>
      <c r="BK4" s="102" t="s">
        <v>29</v>
      </c>
      <c r="BL4" s="102" t="s">
        <v>162</v>
      </c>
      <c r="BM4" s="26" t="s">
        <v>165</v>
      </c>
      <c r="BN4" s="26" t="s">
        <v>167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166</v>
      </c>
      <c r="BN5" s="27" t="s">
        <v>168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166</v>
      </c>
      <c r="BN6" s="27" t="s">
        <v>168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94"/>
      <c r="AD1" s="94"/>
      <c r="AE1" s="94"/>
      <c r="AF1" s="94"/>
      <c r="AG1" s="32"/>
      <c r="AH1" s="32"/>
    </row>
    <row r="2" spans="1:66" ht="18">
      <c r="A2" s="94" t="s">
        <v>117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36" t="s">
        <v>35</v>
      </c>
      <c r="B3" s="136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118</v>
      </c>
      <c r="H4" s="18" t="s">
        <v>119</v>
      </c>
      <c r="I4" s="18" t="s">
        <v>120</v>
      </c>
      <c r="J4" s="96" t="s">
        <v>121</v>
      </c>
      <c r="K4" s="96" t="s">
        <v>122</v>
      </c>
      <c r="L4" s="96" t="s">
        <v>123</v>
      </c>
      <c r="M4" s="97" t="s">
        <v>124</v>
      </c>
      <c r="N4" s="97" t="s">
        <v>125</v>
      </c>
      <c r="O4" s="97" t="s">
        <v>126</v>
      </c>
      <c r="P4" s="97" t="s">
        <v>127</v>
      </c>
      <c r="Q4" s="98" t="s">
        <v>128</v>
      </c>
      <c r="R4" s="97" t="s">
        <v>129</v>
      </c>
      <c r="S4" s="96" t="s">
        <v>130</v>
      </c>
      <c r="T4" s="21" t="s">
        <v>139</v>
      </c>
      <c r="U4" s="99" t="s">
        <v>131</v>
      </c>
      <c r="V4" s="99" t="s">
        <v>132</v>
      </c>
      <c r="W4" s="100" t="s">
        <v>133</v>
      </c>
      <c r="X4" s="100" t="s">
        <v>134</v>
      </c>
      <c r="Y4" s="100" t="s">
        <v>135</v>
      </c>
      <c r="Z4" s="100" t="s">
        <v>136</v>
      </c>
      <c r="AA4" s="100" t="s">
        <v>137</v>
      </c>
      <c r="AB4" s="101" t="s">
        <v>138</v>
      </c>
      <c r="AC4" s="101" t="s">
        <v>29</v>
      </c>
      <c r="AD4" s="102" t="s">
        <v>140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164</v>
      </c>
      <c r="AO4" s="103" t="s">
        <v>141</v>
      </c>
      <c r="AP4" s="103" t="s">
        <v>142</v>
      </c>
      <c r="AQ4" s="103" t="s">
        <v>143</v>
      </c>
      <c r="AR4" s="96" t="s">
        <v>144</v>
      </c>
      <c r="AS4" s="96" t="s">
        <v>145</v>
      </c>
      <c r="AT4" s="96" t="s">
        <v>146</v>
      </c>
      <c r="AU4" s="98" t="s">
        <v>147</v>
      </c>
      <c r="AV4" s="98" t="s">
        <v>148</v>
      </c>
      <c r="AW4" s="98" t="s">
        <v>149</v>
      </c>
      <c r="AX4" s="98" t="s">
        <v>150</v>
      </c>
      <c r="AY4" s="98" t="s">
        <v>151</v>
      </c>
      <c r="AZ4" s="98" t="s">
        <v>152</v>
      </c>
      <c r="BA4" s="105" t="s">
        <v>153</v>
      </c>
      <c r="BB4" s="21" t="s">
        <v>163</v>
      </c>
      <c r="BC4" s="103" t="s">
        <v>154</v>
      </c>
      <c r="BD4" s="103" t="s">
        <v>155</v>
      </c>
      <c r="BE4" s="104" t="s">
        <v>156</v>
      </c>
      <c r="BF4" s="104" t="s">
        <v>157</v>
      </c>
      <c r="BG4" s="104" t="s">
        <v>158</v>
      </c>
      <c r="BH4" s="104" t="s">
        <v>159</v>
      </c>
      <c r="BI4" s="104" t="s">
        <v>160</v>
      </c>
      <c r="BJ4" s="102" t="s">
        <v>161</v>
      </c>
      <c r="BK4" s="102" t="s">
        <v>29</v>
      </c>
      <c r="BL4" s="102" t="s">
        <v>162</v>
      </c>
      <c r="BM4" s="26" t="s">
        <v>165</v>
      </c>
      <c r="BN4" s="26" t="s">
        <v>167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168</v>
      </c>
    </row>
    <row r="7" spans="1:66" ht="15">
      <c r="A7" s="27">
        <v>3</v>
      </c>
      <c r="B7" s="85" t="s">
        <v>115</v>
      </c>
      <c r="C7" s="80">
        <v>0</v>
      </c>
      <c r="D7" s="85" t="s">
        <v>115</v>
      </c>
      <c r="E7" s="106" t="s">
        <v>169</v>
      </c>
      <c r="F7" s="106" t="s">
        <v>169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170</v>
      </c>
      <c r="AF7" s="31"/>
      <c r="AG7" s="31"/>
      <c r="AH7" s="31"/>
      <c r="AI7" s="31"/>
      <c r="AJ7" s="31"/>
      <c r="AK7" s="31"/>
      <c r="AL7" s="31"/>
      <c r="AM7" s="31"/>
      <c r="AN7" s="27" t="s">
        <v>110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166</v>
      </c>
      <c r="BN7" s="27" t="s">
        <v>171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AC1" zoomScale="85" zoomScaleNormal="85" workbookViewId="0">
      <selection activeCell="AS7" sqref="AS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6" t="s">
        <v>35</v>
      </c>
      <c r="B3" s="13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180</v>
      </c>
      <c r="BM4" s="24" t="s">
        <v>181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109</v>
      </c>
      <c r="BU4" s="26" t="s">
        <v>167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182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110</v>
      </c>
      <c r="BU5" s="27" t="s">
        <v>168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110</v>
      </c>
      <c r="BU6" s="27" t="s">
        <v>168</v>
      </c>
    </row>
    <row r="7" spans="1:73" ht="14.25" customHeight="1">
      <c r="A7" s="27">
        <v>3</v>
      </c>
      <c r="B7" s="85" t="s">
        <v>115</v>
      </c>
      <c r="C7" s="80">
        <v>0</v>
      </c>
      <c r="D7" s="85" t="s">
        <v>115</v>
      </c>
      <c r="E7" s="106" t="s">
        <v>169</v>
      </c>
      <c r="F7" s="106" t="s">
        <v>169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110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110</v>
      </c>
      <c r="BU7" s="27" t="s">
        <v>171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70" style="1" width="9.140625"/>
    <col min="71" max="71" bestFit="true" customWidth="true" style="1" width="12.85546875"/>
    <col min="72" max="16384" style="1" width="9.140625"/>
  </cols>
  <sheetData>
    <row r="1" spans="1:73" ht="27.75" customHeight="1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6" t="s">
        <v>35</v>
      </c>
      <c r="B3" s="13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180</v>
      </c>
      <c r="AB4" s="24" t="s">
        <v>181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109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180</v>
      </c>
      <c r="BM4" s="24" t="s">
        <v>181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109</v>
      </c>
      <c r="BU4" s="26" t="s">
        <v>167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110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110</v>
      </c>
      <c r="BU5" s="27" t="s">
        <v>168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110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110</v>
      </c>
      <c r="BU6" s="27" t="s">
        <v>168</v>
      </c>
    </row>
    <row r="7" spans="1:73" ht="14.25" customHeight="1">
      <c r="A7" s="27">
        <v>3</v>
      </c>
      <c r="B7" s="85" t="s">
        <v>115</v>
      </c>
      <c r="C7" s="80">
        <v>0</v>
      </c>
      <c r="D7" s="85" t="s">
        <v>115</v>
      </c>
      <c r="E7" s="106" t="s">
        <v>169</v>
      </c>
      <c r="F7" s="106" t="s">
        <v>169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110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110</v>
      </c>
      <c r="BU7" s="27" t="s">
        <v>171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35" t="s">
        <v>42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36" t="s">
        <v>35</v>
      </c>
      <c r="B3" s="136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109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84</v>
      </c>
      <c r="AH5" t="s" s="0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110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83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110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175</v>
      </c>
      <c r="I10" s="57" t="s">
        <v>172</v>
      </c>
      <c r="J10" s="57" t="s">
        <v>173</v>
      </c>
      <c r="K10" s="111" t="s">
        <v>133</v>
      </c>
      <c r="L10" s="111" t="s">
        <v>134</v>
      </c>
      <c r="M10" s="111" t="s">
        <v>135</v>
      </c>
      <c r="N10" s="58" t="s">
        <v>136</v>
      </c>
      <c r="O10" s="59" t="s">
        <v>137</v>
      </c>
      <c r="P10" s="57" t="s">
        <v>176</v>
      </c>
      <c r="Q10" s="57" t="s">
        <v>174</v>
      </c>
      <c r="R10" s="58" t="s">
        <v>156</v>
      </c>
      <c r="S10" s="111" t="s">
        <v>157</v>
      </c>
      <c r="T10" s="58" t="s">
        <v>158</v>
      </c>
      <c r="U10" s="58" t="s">
        <v>159</v>
      </c>
      <c r="V10" s="112" t="s">
        <v>160</v>
      </c>
      <c r="W10" s="112" t="s">
        <v>177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168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168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179</v>
      </c>
      <c r="E13" s="62">
        <v>0</v>
      </c>
      <c r="F13" s="62" t="s">
        <v>179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178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36"/>
      <c r="B17" s="136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SO Domestic UD (S&amp;D)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2025-06-26T12:23:46Z</dcterms:modified>
</cp:coreProperties>
</file>