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codeName="ThisWorkbook" defaultThemeVersion="124226"/>
  <bookViews>
    <workbookView xWindow="0" yWindow="0" windowWidth="19200" windowHeight="6915" firstSheet="7" activeTab="8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Advance" sheetId="54" r:id="rId13"/>
    <sheet name="SO AdvanceEXP" sheetId="56" r:id="rId14"/>
    <sheet name="SO Domestic UD (S&amp;D)" sheetId="17" r:id="rId15"/>
    <sheet name="Case 1" sheetId="1" r:id="rId16"/>
    <sheet name="Item Stocks" sheetId="3" state="hidden" r:id="rId17"/>
    <sheet name="SO UTGST" sheetId="36" r:id="rId18"/>
    <sheet name="ShipSet" sheetId="28" r:id="rId19"/>
    <sheet name="Free Sample" sheetId="12" r:id="rId20"/>
    <sheet name="Free Replacement" sheetId="13" r:id="rId21"/>
    <sheet name="SCRAP" sheetId="5" r:id="rId22"/>
    <sheet name="SERVICE" sheetId="6" r:id="rId23"/>
    <sheet name="PROMOTIONAL" sheetId="8" r:id="rId24"/>
    <sheet name="Local Customer" sheetId="9" r:id="rId25"/>
    <sheet name="SEZ Customer" sheetId="49" r:id="rId26"/>
    <sheet name="SEZ Customer1" sheetId="10" r:id="rId27"/>
    <sheet name="CESS" sheetId="11" r:id="rId28"/>
    <sheet name="CHARGES" sheetId="15" r:id="rId29"/>
    <sheet name="SO Amendment Disc UTGST" sheetId="43" r:id="rId30"/>
    <sheet name="SO Amendment AddItem UTGST1" sheetId="44" r:id="rId31"/>
    <sheet name="SO Amendment Price UTGST" sheetId="42" r:id="rId32"/>
    <sheet name="SO Amendment AddItem UTGST" sheetId="51" r:id="rId33"/>
    <sheet name="Add of Item" sheetId="41" r:id="rId34"/>
    <sheet name="SO Amendment Qty UTGST" sheetId="37" r:id="rId35"/>
    <sheet name="SO Amendment Qty" sheetId="33" r:id="rId36"/>
    <sheet name="Disc Change" sheetId="40" r:id="rId37"/>
    <sheet name="Price Change" sheetId="39" r:id="rId38"/>
    <sheet name="Qty Change" sheetId="38" r:id="rId39"/>
    <sheet name="So Amend Price Local" sheetId="46" r:id="rId40"/>
    <sheet name="So Amend Disc Local" sheetId="47" r:id="rId41"/>
    <sheet name="So Amend Qty Local" sheetId="45" r:id="rId42"/>
    <sheet name="SO" sheetId="29" r:id="rId43"/>
    <sheet name="SOforMRP" sheetId="53" r:id="rId44"/>
    <sheet name="ProdOrderWithSO" sheetId="57" r:id="rId45"/>
    <sheet name="SoAmendment PriceChange" sheetId="34" r:id="rId46"/>
    <sheet name="SO Amendment DiscountChange" sheetId="35" r:id="rId47"/>
    <sheet name="SO Amendment Different PC" sheetId="32" r:id="rId48"/>
    <sheet name="SO Amendment AdditionOfItem" sheetId="30" r:id="rId49"/>
    <sheet name="So Amend AddOfItem Local" sheetId="48" r:id="rId50"/>
    <sheet name="SO Amendment With Charges" sheetId="31" r:id="rId51"/>
  </sheets>
  <definedNames>
    <definedName name="_xlnm._FilterDatabase" localSheetId="33" hidden="1">'Add of Item'!$V$1:$V$9</definedName>
    <definedName name="_xlnm._FilterDatabase" localSheetId="15" hidden="1">'Case 1'!$V$1:$V$8</definedName>
    <definedName name="_xlnm._FilterDatabase" localSheetId="27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6" hidden="1">'Disc Change'!$V$1:$V$8</definedName>
    <definedName name="_xlnm._FilterDatabase" localSheetId="20" hidden="1">'Free Replacement'!$V$1:$V$8</definedName>
    <definedName name="_xlnm._FilterDatabase" localSheetId="19" hidden="1">'Free Sample'!$V$1:$V$8</definedName>
    <definedName name="_xlnm._FilterDatabase" localSheetId="24" hidden="1">'Local Customer'!$V$1:$V$8</definedName>
    <definedName name="_xlnm._FilterDatabase" localSheetId="37" hidden="1">'Price Change'!$V$1:$V$8</definedName>
    <definedName name="_xlnm._FilterDatabase" localSheetId="44" hidden="1">ProdOrderWithSO!$V$1:$V$7</definedName>
    <definedName name="_xlnm._FilterDatabase" localSheetId="23" hidden="1">PROMOTIONAL!$V$1:$V$8</definedName>
    <definedName name="_xlnm._FilterDatabase" localSheetId="38" hidden="1">'Qty Change'!$V$1:$V$8</definedName>
    <definedName name="_xlnm._FilterDatabase" localSheetId="21" hidden="1">SCRAP!$V$1:$V$7</definedName>
    <definedName name="_xlnm._FilterDatabase" localSheetId="22" hidden="1">SERVICE!$V$1:$V$7</definedName>
    <definedName name="_xlnm._FilterDatabase" localSheetId="25" hidden="1">'SEZ Customer'!$V$1:$V$8</definedName>
    <definedName name="_xlnm._FilterDatabase" localSheetId="26" hidden="1">'SEZ Customer1'!$V$1:$V$8</definedName>
    <definedName name="_xlnm._FilterDatabase" localSheetId="18" hidden="1">ShipSet!$V$1:$V$8</definedName>
    <definedName name="_xlnm._FilterDatabase" localSheetId="42" hidden="1">SO!$V$1:$V$8</definedName>
    <definedName name="_xlnm._FilterDatabase" localSheetId="12" hidden="1">'SO Advance'!$V$1:$V$7</definedName>
    <definedName name="_xlnm._FilterDatabase" localSheetId="13" hidden="1">'SO AdvanceEXP'!$V$1:$V$7</definedName>
    <definedName name="_xlnm._FilterDatabase" localSheetId="49" hidden="1">'So Amend AddOfItem Local'!$V$1:$V$9</definedName>
    <definedName name="_xlnm._FilterDatabase" localSheetId="40" hidden="1">'So Amend Disc Local'!$V$1:$V$8</definedName>
    <definedName name="_xlnm._FilterDatabase" localSheetId="39" hidden="1">'So Amend Price Local'!$V$1:$V$8</definedName>
    <definedName name="_xlnm._FilterDatabase" localSheetId="41" hidden="1">'So Amend Qty Local'!$V$1:$V$8</definedName>
    <definedName name="_xlnm._FilterDatabase" localSheetId="32" hidden="1">'SO Amendment AddItem UTGST'!$V$1:$V$9</definedName>
    <definedName name="_xlnm._FilterDatabase" localSheetId="30" hidden="1">'SO Amendment AddItem UTGST1'!$V$1:$V$9</definedName>
    <definedName name="_xlnm._FilterDatabase" localSheetId="48" hidden="1">'SO Amendment AdditionOfItem'!#REF!</definedName>
    <definedName name="_xlnm._FilterDatabase" localSheetId="47" hidden="1">'SO Amendment Different PC'!#REF!</definedName>
    <definedName name="_xlnm._FilterDatabase" localSheetId="29" hidden="1">'SO Amendment Disc UTGST'!$V$1:$V$8</definedName>
    <definedName name="_xlnm._FilterDatabase" localSheetId="46" hidden="1">'SO Amendment DiscountChange'!#REF!</definedName>
    <definedName name="_xlnm._FilterDatabase" localSheetId="31" hidden="1">'SO Amendment Price UTGST'!$V$1:$V$8</definedName>
    <definedName name="_xlnm._FilterDatabase" localSheetId="35" hidden="1">'SO Amendment Qty'!#REF!</definedName>
    <definedName name="_xlnm._FilterDatabase" localSheetId="34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4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7" hidden="1">'SO UTGST'!$V$1:$V$8</definedName>
    <definedName name="_xlnm._FilterDatabase" localSheetId="45" hidden="1">'SoAmendment PriceChange'!#REF!</definedName>
    <definedName name="_xlnm._FilterDatabase" localSheetId="43" hidden="1">SOforMRP!$V$1:$V$7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7"/>
  <c r="I5"/>
  <c r="M6"/>
  <c r="N6" s="1"/>
  <c r="M5"/>
  <c r="N5" s="1"/>
  <c r="Y14" i="31"/>
  <c r="X14"/>
  <c r="V14"/>
  <c r="P14"/>
  <c r="O14"/>
  <c r="N14"/>
  <c r="M14"/>
  <c r="L14"/>
  <c r="I14"/>
  <c r="V13"/>
  <c r="U13"/>
  <c r="T13"/>
  <c r="S13"/>
  <c r="V12"/>
  <c r="U12"/>
  <c r="T12"/>
  <c r="S12"/>
  <c r="O12"/>
  <c r="N12"/>
  <c r="M12"/>
  <c r="L12"/>
  <c r="V11"/>
  <c r="U11"/>
  <c r="T11"/>
  <c r="S11"/>
  <c r="O11"/>
  <c r="N11"/>
  <c r="M11"/>
  <c r="L11"/>
  <c r="I11"/>
  <c r="AD7"/>
  <c r="AB7"/>
  <c r="U7"/>
  <c r="I7"/>
  <c r="AM6"/>
  <c r="AI6"/>
  <c r="AF6"/>
  <c r="AD6"/>
  <c r="AB6"/>
  <c r="AA6"/>
  <c r="Z6"/>
  <c r="Y6"/>
  <c r="X6"/>
  <c r="U6"/>
  <c r="T6"/>
  <c r="S6"/>
  <c r="R6"/>
  <c r="Q6"/>
  <c r="P6"/>
  <c r="O6"/>
  <c r="N6"/>
  <c r="M6"/>
  <c r="I6"/>
  <c r="AM5"/>
  <c r="AI5"/>
  <c r="AF5"/>
  <c r="AD5"/>
  <c r="AB5"/>
  <c r="AA5"/>
  <c r="Z5"/>
  <c r="Y5"/>
  <c r="X5"/>
  <c r="U5"/>
  <c r="T5"/>
  <c r="S5"/>
  <c r="R5"/>
  <c r="Q5"/>
  <c r="P5"/>
  <c r="O5"/>
  <c r="N5"/>
  <c r="M5"/>
  <c r="I5"/>
  <c r="BR8" i="48"/>
  <c r="BP8"/>
  <c r="AG8"/>
  <c r="AE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L8" i="30"/>
  <c r="BJ8"/>
  <c r="BA8"/>
  <c r="AD8"/>
  <c r="AB8"/>
  <c r="S8"/>
  <c r="BL7"/>
  <c r="BJ7"/>
  <c r="BI7"/>
  <c r="BH7"/>
  <c r="BG7"/>
  <c r="BF7"/>
  <c r="BC7"/>
  <c r="BB7"/>
  <c r="BA7"/>
  <c r="AZ7"/>
  <c r="AY7"/>
  <c r="AX7"/>
  <c r="AW7"/>
  <c r="AV7"/>
  <c r="AU7"/>
  <c r="AQ7"/>
  <c r="BM6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P6"/>
  <c r="AO6"/>
  <c r="AN6"/>
  <c r="AM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M5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P5"/>
  <c r="AO5"/>
  <c r="AN5"/>
  <c r="AM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2"/>
  <c r="BJ7"/>
  <c r="BA7"/>
  <c r="AD7"/>
  <c r="AB7"/>
  <c r="S7"/>
  <c r="BL6"/>
  <c r="BJ6"/>
  <c r="BI6"/>
  <c r="BH6"/>
  <c r="BG6"/>
  <c r="BF6"/>
  <c r="BC6"/>
  <c r="BB6"/>
  <c r="BA6"/>
  <c r="AZ6"/>
  <c r="AY6"/>
  <c r="AX6"/>
  <c r="AW6"/>
  <c r="AV6"/>
  <c r="AU6"/>
  <c r="AQ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C5"/>
  <c r="BB5"/>
  <c r="BA5"/>
  <c r="AZ5"/>
  <c r="AY5"/>
  <c r="AX5"/>
  <c r="AW5"/>
  <c r="AV5"/>
  <c r="AU5"/>
  <c r="AQ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5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Q6"/>
  <c r="AP6"/>
  <c r="AO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Q5"/>
  <c r="AP5"/>
  <c r="AO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4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O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O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AG6" i="57"/>
  <c r="AE6"/>
  <c r="S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6" i="53"/>
  <c r="AE6"/>
  <c r="S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9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5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7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6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38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39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0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L7" i="33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P6"/>
  <c r="AN6"/>
  <c r="AM6"/>
  <c r="AK6"/>
  <c r="AI6"/>
  <c r="AF6"/>
  <c r="AD6"/>
  <c r="AB6"/>
  <c r="AA6"/>
  <c r="Z6"/>
  <c r="Y6"/>
  <c r="X6"/>
  <c r="W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P5"/>
  <c r="AN5"/>
  <c r="AM5"/>
  <c r="AK5"/>
  <c r="AI5"/>
  <c r="AF5"/>
  <c r="AD5"/>
  <c r="AB5"/>
  <c r="AA5"/>
  <c r="Z5"/>
  <c r="Y5"/>
  <c r="X5"/>
  <c r="W5"/>
  <c r="U5"/>
  <c r="T5"/>
  <c r="S5"/>
  <c r="R5"/>
  <c r="Q5"/>
  <c r="P5"/>
  <c r="O5"/>
  <c r="N5"/>
  <c r="M5"/>
  <c r="L5"/>
  <c r="K5"/>
  <c r="J5"/>
  <c r="I5"/>
  <c r="H5"/>
  <c r="G5"/>
  <c r="D3"/>
  <c r="BR7" i="37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AG8"/>
  <c r="AE8"/>
  <c r="S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51"/>
  <c r="BP8"/>
  <c r="BD8"/>
  <c r="AG8"/>
  <c r="AE8"/>
  <c r="S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2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44"/>
  <c r="BP8"/>
  <c r="BD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3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Q13" i="15"/>
  <c r="P13"/>
  <c r="O13"/>
  <c r="N13"/>
  <c r="M13"/>
  <c r="L13"/>
  <c r="I13"/>
  <c r="O12"/>
  <c r="N12"/>
  <c r="M12"/>
  <c r="L12"/>
  <c r="O11"/>
  <c r="N11"/>
  <c r="M11"/>
  <c r="L11"/>
  <c r="I11"/>
  <c r="AG7"/>
  <c r="AE7"/>
  <c r="U7"/>
  <c r="I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7" i="10"/>
  <c r="AB7"/>
  <c r="AM6"/>
  <c r="AI6"/>
  <c r="AF6"/>
  <c r="AD6"/>
  <c r="AB6"/>
  <c r="U6"/>
  <c r="T6"/>
  <c r="S6"/>
  <c r="R6"/>
  <c r="Q6"/>
  <c r="P6"/>
  <c r="O6"/>
  <c r="N6"/>
  <c r="M6"/>
  <c r="I6"/>
  <c r="AM5"/>
  <c r="AI5"/>
  <c r="AF5"/>
  <c r="AD5"/>
  <c r="AB5"/>
  <c r="U5"/>
  <c r="T5"/>
  <c r="S5"/>
  <c r="R5"/>
  <c r="Q5"/>
  <c r="P5"/>
  <c r="O5"/>
  <c r="N5"/>
  <c r="M5"/>
  <c r="I5"/>
  <c r="AG7" i="49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9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8"/>
  <c r="AE7"/>
  <c r="AP6"/>
  <c r="AL6"/>
  <c r="AI6"/>
  <c r="AG6"/>
  <c r="AE6"/>
  <c r="AC6"/>
  <c r="AA6"/>
  <c r="Z6"/>
  <c r="Y6"/>
  <c r="X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6" i="6"/>
  <c r="AB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6" i="5"/>
  <c r="AB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3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2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8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36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H3" i="3"/>
  <c r="F3"/>
  <c r="D3"/>
  <c r="C3"/>
  <c r="B3"/>
  <c r="A3"/>
  <c r="H2"/>
  <c r="F2"/>
  <c r="D2"/>
  <c r="C2"/>
  <c r="B2"/>
  <c r="A2"/>
  <c r="AG7" i="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7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6" i="56"/>
  <c r="AE6"/>
  <c r="S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6" i="54"/>
  <c r="AE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6" i="50"/>
  <c r="AE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8"/>
  <c r="AE7"/>
  <c r="S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19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L6" i="27"/>
  <c r="AI6"/>
  <c r="AC6"/>
  <c r="AA6"/>
  <c r="Y6"/>
  <c r="X6"/>
  <c r="AL5"/>
  <c r="AI5"/>
  <c r="AC5"/>
  <c r="AA5"/>
  <c r="Y5"/>
  <c r="X5"/>
  <c r="AG7" i="14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0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2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4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3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6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5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O5" i="27" l="1"/>
  <c r="P5" s="1"/>
  <c r="O6"/>
  <c r="Q5" l="1"/>
  <c r="R5" s="1"/>
  <c r="S5" s="1"/>
  <c r="U5" s="1"/>
  <c r="P6"/>
  <c r="Q6" s="1"/>
  <c r="T5" l="1"/>
  <c r="R6"/>
  <c r="S6" s="1"/>
  <c r="AP5"/>
  <c r="Z5"/>
  <c r="AD5" s="1"/>
  <c r="AE5" s="1"/>
  <c r="AG5"/>
  <c r="AG7" s="1"/>
  <c r="T6" l="1"/>
  <c r="U6"/>
  <c r="AP6" l="1"/>
  <c r="Z6"/>
  <c r="AD6" s="1"/>
  <c r="AE6" s="1"/>
  <c r="AE7" s="1"/>
  <c r="AG6"/>
</calcChain>
</file>

<file path=xl/sharedStrings.xml><?xml version="1.0" encoding="utf-8"?>
<sst xmlns="http://schemas.openxmlformats.org/spreadsheetml/2006/main" count="4174" uniqueCount="201">
  <si>
    <t>Scenario  : Local Sales - Stock UOM and Sales UOM (Similar)   DOC NO :  SORD-2425-00089</t>
  </si>
  <si>
    <t>Sales Order</t>
  </si>
  <si>
    <t>GST Sales</t>
  </si>
  <si>
    <t>(1 - Local Sales,2 Interstate Sales, 3 Export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</si>
  <si>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</si>
  <si>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</si>
  <si>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</si>
  <si>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</si>
  <si>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</si>
  <si>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</si>
  <si>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</si>
  <si>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</si>
  <si>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</si>
  <si>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</si>
  <si>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</si>
  <si>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</si>
  <si>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</si>
  <si>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</si>
  <si>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</si>
  <si>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</si>
  <si>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</si>
  <si>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</si>
  <si>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</si>
  <si>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</si>
  <si>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</si>
  <si>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</si>
  <si>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</si>
  <si>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</si>
  <si>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</si>
  <si>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</si>
  <si>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</si>
  <si>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</si>
  <si>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</si>
  <si>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UTGST</t>
  </si>
  <si>
    <t>CESS %</t>
  </si>
  <si>
    <t>CESS AMT</t>
  </si>
  <si>
    <t>Tax amt</t>
  </si>
  <si>
    <t>Net Amt</t>
  </si>
  <si>
    <t>Weight/Vol</t>
  </si>
  <si>
    <t>Sales Amt (BC)</t>
  </si>
  <si>
    <t>Conv. Factor</t>
  </si>
  <si>
    <t>Eqv.  Stock Qty</t>
  </si>
  <si>
    <t>Before Stock Qty</t>
  </si>
  <si>
    <t>Before Stock Cost</t>
  </si>
  <si>
    <t>After Stock Qty</t>
  </si>
  <si>
    <t>Warehouse</t>
  </si>
  <si>
    <t>Promotional Type</t>
  </si>
  <si>
    <t>CESS PCT</t>
  </si>
  <si>
    <t>PriceClass</t>
  </si>
  <si>
    <t>HK-LOT-FIFO-LOT-10001(FG)</t>
  </si>
  <si>
    <t>NOS</t>
  </si>
  <si>
    <t>1675</t>
  </si>
  <si>
    <t>1</t>
  </si>
  <si>
    <t>HSN1</t>
  </si>
  <si>
    <t>848</t>
  </si>
  <si>
    <t>235.36857</t>
  </si>
  <si>
    <t>F100</t>
  </si>
  <si>
    <t>Sales Regular</t>
  </si>
  <si>
    <t>DOMESTIC</t>
  </si>
  <si>
    <t>HK-FG-PRICELIST-DISSIMILAR UOM-10001</t>
  </si>
  <si>
    <t>KGS</t>
  </si>
  <si>
    <t>3243</t>
  </si>
  <si>
    <t>2</t>
  </si>
  <si>
    <t>1375.002</t>
  </si>
  <si>
    <t>123</t>
  </si>
  <si>
    <t>DISC AMOUNT</t>
  </si>
  <si>
    <t xml:space="preserve">NET AMOUNT </t>
  </si>
  <si>
    <t>SALES AMOUNT</t>
  </si>
  <si>
    <t>24</t>
  </si>
  <si>
    <t>30</t>
  </si>
  <si>
    <t>HK-FIFO-SER-BATCH-10001(FG)</t>
  </si>
  <si>
    <t>1255</t>
  </si>
  <si>
    <t>HK-FG-CATALOG-DISSIMILAR-10001</t>
  </si>
  <si>
    <t>2144</t>
  </si>
  <si>
    <t>25</t>
  </si>
  <si>
    <t>34</t>
  </si>
  <si>
    <t>HK-SER-MAC-10001(FG)</t>
  </si>
  <si>
    <t>12</t>
  </si>
  <si>
    <t>HK-FG-STD-PRICE-DISSIMILAR ITEM-10001</t>
  </si>
  <si>
    <t>23</t>
  </si>
  <si>
    <t>2145</t>
  </si>
  <si>
    <t>3421</t>
  </si>
  <si>
    <t>HK-LOT-MAC-10001(FG)</t>
  </si>
  <si>
    <t>HK-FG-RC-DISSIMILAR ITEM-10001</t>
  </si>
  <si>
    <t>(1 - Local Sales,2 Interstate Sales, 3 Export Sales, 4 UTGST)</t>
  </si>
  <si>
    <t>Location</t>
  </si>
  <si>
    <t>HK-FIFO-LOT-BATCH-10001(FG)</t>
  </si>
  <si>
    <t>LOC45</t>
  </si>
  <si>
    <t>HK-FG-DISSIMILAR-10001</t>
  </si>
  <si>
    <t>L100</t>
  </si>
  <si>
    <t>SPARE</t>
  </si>
  <si>
    <t>2180</t>
  </si>
  <si>
    <t>3120</t>
  </si>
  <si>
    <t>4</t>
  </si>
  <si>
    <t>FG WH</t>
  </si>
  <si>
    <t>Order Qty</t>
  </si>
  <si>
    <t>Unit Cost</t>
  </si>
  <si>
    <t>2954.00</t>
  </si>
  <si>
    <t>(740410)-18%</t>
  </si>
  <si>
    <t>(2022)5%</t>
  </si>
  <si>
    <t>HK-TVS-FG-10001</t>
  </si>
  <si>
    <t>6300</t>
  </si>
  <si>
    <t>5</t>
  </si>
  <si>
    <t>HK-TVS-FG-10002</t>
  </si>
  <si>
    <t>9000</t>
  </si>
  <si>
    <t>(1 - Local Sales,2 Interstate Sales, 3 Import Sales)</t>
  </si>
  <si>
    <t>HK-TVS-SCRAP-10001</t>
  </si>
  <si>
    <t>TVS-SER-10001</t>
  </si>
  <si>
    <t>PRO-10001</t>
  </si>
  <si>
    <t>PROMOTIONAL-10001</t>
  </si>
  <si>
    <t>Promotional</t>
  </si>
  <si>
    <t>HK-USRDFN-10001</t>
  </si>
  <si>
    <t>HK-USERDEFINED-10001</t>
  </si>
  <si>
    <t>Charges</t>
  </si>
  <si>
    <t>Sno</t>
  </si>
  <si>
    <t>Desc</t>
  </si>
  <si>
    <t>Basiss</t>
  </si>
  <si>
    <t>Pct</t>
  </si>
  <si>
    <t>Value</t>
  </si>
  <si>
    <t>SAC</t>
  </si>
  <si>
    <t>HK-CH-00002</t>
  </si>
  <si>
    <t>%</t>
  </si>
  <si>
    <t>HK-CH-00003</t>
  </si>
  <si>
    <t>Total Charges</t>
  </si>
  <si>
    <t>Overall With Charges</t>
  </si>
  <si>
    <t>Total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</si>
  <si>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</si>
  <si>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</si>
  <si>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</si>
  <si>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</si>
  <si>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</si>
  <si>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</si>
  <si>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</si>
  <si>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</si>
  <si>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</si>
  <si>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</si>
  <si>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</si>
  <si>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</si>
  <si>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</si>
  <si>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Disc.Amt.Per.Qty</t>
  </si>
  <si>
    <t>New Sales Val.</t>
  </si>
  <si>
    <t>New HSN</t>
  </si>
  <si>
    <t>New Tax Rate</t>
  </si>
  <si>
    <t>New CGST</t>
  </si>
  <si>
    <t>New SGST</t>
  </si>
  <si>
    <t>New IGST</t>
  </si>
  <si>
    <t>New UTGST</t>
  </si>
  <si>
    <t>New CESS %</t>
  </si>
  <si>
    <t>New CESS AMT</t>
  </si>
  <si>
    <t>New Tax amt</t>
  </si>
  <si>
    <t>New Net Amt</t>
  </si>
  <si>
    <t>New Sales Amt (BC)</t>
  </si>
  <si>
    <t>New PriceClass</t>
  </si>
  <si>
    <t>MTON</t>
  </si>
  <si>
    <t>SoAmdType</t>
  </si>
  <si>
    <t>Modify</t>
  </si>
  <si>
    <t>Addition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</si>
  <si>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</si>
  <si>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</si>
  <si>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</si>
  <si>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</si>
  <si>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</si>
  <si>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</si>
  <si>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</si>
  <si>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</si>
  <si>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</si>
  <si>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</si>
  <si>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</si>
  <si>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</si>
  <si>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</si>
  <si>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</si>
  <si>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Disc.Amt.Per.Qty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</si>
  <si>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</si>
  <si>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</si>
  <si>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</si>
  <si>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</si>
  <si>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</si>
  <si>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</si>
  <si>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</si>
  <si>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</si>
  <si>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Sales Amt (BC)</t>
  </si>
  <si>
    <t>Old PriceClass</t>
  </si>
  <si>
    <t>Spare</t>
  </si>
  <si>
    <t>GWL-FG-10001</t>
  </si>
  <si>
    <t>GWL Finished Good -10001</t>
  </si>
  <si>
    <t>BOMNo</t>
  </si>
  <si>
    <t>GWL-FIFO-LOT-BATCH-10001(FG)</t>
  </si>
  <si>
    <t>.0001</t>
  </si>
  <si>
    <t>Old Pct</t>
  </si>
  <si>
    <t>Old Value</t>
  </si>
  <si>
    <t>Old SAC</t>
  </si>
  <si>
    <t>New Value</t>
  </si>
  <si>
    <t>New SAC</t>
  </si>
  <si>
    <t>AmdType</t>
  </si>
  <si>
    <t>FRIEGHT CHARGES</t>
  </si>
  <si>
    <t>PACKING CHARGES</t>
  </si>
  <si>
    <t>HK-CH-00011</t>
  </si>
  <si>
    <t>TVS-CH-00011</t>
  </si>
  <si>
    <t>AOI</t>
  </si>
  <si>
    <t>Overall Amount</t>
  </si>
  <si>
    <t>BOM-2627-0000128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</si>
</sst>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name val="Calibri"/>
      <charset val="134"/>
    </font>
    <font>
      <sz val="11"/>
      <color rgb="FF9C6500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name val="Cambria"/>
      <charset val="134"/>
      <scheme val="major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</fills>
  <borders count="17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/>
      <top/>
      <bottom style="medium">
        <color rgb="FF0070C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5" fillId="7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 applyBorder="1" applyAlignment="1">
      <alignment horizontal="left" vertical="top"/>
    </xf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2" fontId="3" fillId="0" borderId="0" xfId="0" applyNumberFormat="1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0" borderId="2" xfId="0" applyNumberFormat="1" applyFont="1" applyBorder="1" applyAlignment="1">
      <alignment horizontal="left"/>
    </xf>
    <xf numFmtId="1" fontId="2" fillId="0" borderId="2" xfId="0" applyNumberFormat="1" applyFont="1" applyBorder="1"/>
    <xf numFmtId="0" fontId="2" fillId="0" borderId="2" xfId="0" applyNumberFormat="1" applyFont="1" applyBorder="1"/>
    <xf numFmtId="10" fontId="2" fillId="0" borderId="2" xfId="0" applyNumberFormat="1" applyFont="1" applyBorder="1"/>
    <xf numFmtId="2" fontId="2" fillId="0" borderId="2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5" fillId="7" borderId="0" xfId="2" applyNumberFormat="1" applyBorder="1"/>
    <xf numFmtId="0" fontId="3" fillId="0" borderId="2" xfId="0" applyFont="1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3" fillId="5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0" borderId="7" xfId="0" applyFont="1" applyBorder="1"/>
    <xf numFmtId="0" fontId="0" fillId="0" borderId="2" xfId="0" applyNumberFormat="1" applyBorder="1"/>
    <xf numFmtId="0" fontId="0" fillId="0" borderId="2" xfId="0" applyBorder="1"/>
    <xf numFmtId="0" fontId="2" fillId="0" borderId="2" xfId="1" applyNumberFormat="1" applyFont="1" applyBorder="1"/>
    <xf numFmtId="0" fontId="2" fillId="0" borderId="8" xfId="0" applyFont="1" applyBorder="1"/>
    <xf numFmtId="0" fontId="0" fillId="0" borderId="2" xfId="0" applyFill="1" applyBorder="1"/>
    <xf numFmtId="0" fontId="2" fillId="0" borderId="9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5" fillId="7" borderId="0" xfId="2" applyNumberFormat="1" applyBorder="1"/>
    <xf numFmtId="0" fontId="3" fillId="3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2" fillId="0" borderId="11" xfId="0" applyFont="1" applyBorder="1"/>
    <xf numFmtId="10" fontId="2" fillId="0" borderId="11" xfId="0" applyNumberFormat="1" applyFont="1" applyBorder="1"/>
    <xf numFmtId="2" fontId="2" fillId="0" borderId="11" xfId="0" applyNumberFormat="1" applyFont="1" applyBorder="1"/>
    <xf numFmtId="0" fontId="0" fillId="0" borderId="2" xfId="0" applyNumberFormat="1" applyBorder="1" applyAlignment="1">
      <alignment vertical="center"/>
    </xf>
    <xf numFmtId="0" fontId="3" fillId="6" borderId="1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2" fillId="0" borderId="14" xfId="0" applyFont="1" applyBorder="1"/>
    <xf numFmtId="0" fontId="0" fillId="0" borderId="15" xfId="0" applyBorder="1"/>
    <xf numFmtId="0" fontId="2" fillId="0" borderId="2" xfId="0" applyFont="1" applyBorder="1" applyAlignment="1">
      <alignment wrapText="1"/>
    </xf>
    <xf numFmtId="0" fontId="3" fillId="2" borderId="16" xfId="0" applyFont="1" applyFill="1" applyBorder="1" applyAlignment="1">
      <alignment horizontal="left" vertical="center"/>
    </xf>
    <xf numFmtId="1" fontId="0" fillId="0" borderId="0" xfId="0" applyNumberFormat="1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13" xfId="0" applyFont="1" applyFill="1" applyBorder="1" applyAlignment="1">
      <alignment horizontal="left" vertical="center"/>
    </xf>
  </cellXfs>
  <cellStyles count="3">
    <cellStyle name="Neutral" xfId="2" builtinId="28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theme/theme1.xml" Type="http://schemas.openxmlformats.org/officeDocument/2006/relationships/theme"/><Relationship Id="rId53" Target="styles.xml" Type="http://schemas.openxmlformats.org/officeDocument/2006/relationships/styles"/><Relationship Id="rId54" Target="sharedStrings.xml" Type="http://schemas.openxmlformats.org/officeDocument/2006/relationships/sharedStrings"/><Relationship Id="rId55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X6" sqref="X6"/>
    </sheetView>
  </sheetViews>
  <sheetFormatPr defaultColWidth="9.140625" defaultRowHeight="14.25"/>
  <cols>
    <col min="1" max="1" customWidth="true" style="4" width="5.7109375"/>
    <col min="2" max="2" customWidth="true" style="4" width="32.5703125"/>
    <col min="3" max="3" customWidth="true" style="4" width="4.5703125"/>
    <col min="4" max="4" customWidth="true" style="4" width="3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4" t="s">
        <v>52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4" t="s">
        <v>62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44</v>
      </c>
      <c r="H5" t="s" s="4">
        <v>51</v>
      </c>
      <c r="I5" s="23">
        <f>ROUND(G5*H5,2)</f>
        <v>73700</v>
      </c>
      <c r="J5" t="s" s="4">
        <v>52</v>
      </c>
      <c r="K5" s="23">
        <v>2</v>
      </c>
      <c r="L5" s="23">
        <v>4</v>
      </c>
      <c r="M5" s="23">
        <f>I5</f>
        <v>73700</v>
      </c>
      <c r="N5" s="23">
        <f>ROUND((M5*J5)/100,2)</f>
        <v>737</v>
      </c>
      <c r="O5" s="23">
        <f>I5-N5</f>
        <v>72963</v>
      </c>
      <c r="P5" s="23">
        <f>ROUND((O5*K5)/100,2)</f>
        <v>1459.26</v>
      </c>
      <c r="Q5" s="23">
        <f>ROUND(O5-P5,2)</f>
        <v>71503.740000000005</v>
      </c>
      <c r="R5" s="23">
        <f>ROUND((Q5*L5)/100,2)</f>
        <v>2860.15</v>
      </c>
      <c r="S5" s="23">
        <f>N5+P5+R5</f>
        <v>5056.41</v>
      </c>
      <c r="T5" s="23">
        <f>ROUND(S5/G5,2)</f>
        <v>114.92</v>
      </c>
      <c r="U5" s="23">
        <f>(I5-S5)</f>
        <v>68643.59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12355.85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12355.85</v>
      </c>
      <c r="AE5" s="23">
        <f t="shared" ref="AE5:AE6" si="0">U5+AD5</f>
        <v>80999.44</v>
      </c>
      <c r="AF5" s="23">
        <v>120</v>
      </c>
      <c r="AG5" s="23">
        <f t="shared" ref="AG5:AG6" si="1">U5*$N$3</f>
        <v>68643.59</v>
      </c>
      <c r="AH5" s="23">
        <v>1</v>
      </c>
      <c r="AI5" s="23">
        <f t="shared" ref="AI5" si="2">G5/AH5</f>
        <v>44</v>
      </c>
      <c r="AJ5" s="51" t="s">
        <v>54</v>
      </c>
      <c r="AK5" s="51" t="s">
        <v>55</v>
      </c>
      <c r="AL5" s="28">
        <f>ROUND(AJ5-G5,0)</f>
        <v>804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53</v>
      </c>
      <c r="H6" t="s" s="4">
        <v>61</v>
      </c>
      <c r="I6" s="23">
        <f>ROUND(G6*H6,2)</f>
        <v>171879</v>
      </c>
      <c r="J6" t="s" s="4">
        <v>62</v>
      </c>
      <c r="K6" s="23">
        <v>7</v>
      </c>
      <c r="L6" s="23">
        <v>9</v>
      </c>
      <c r="M6" s="23">
        <f>I6</f>
        <v>171879</v>
      </c>
      <c r="N6" s="23">
        <f>ROUND((M6*J6)/100,2)</f>
        <v>3437.58</v>
      </c>
      <c r="O6" s="23">
        <f>I6-N6</f>
        <v>168441.42</v>
      </c>
      <c r="P6" s="23">
        <f>ROUND((O6*K6)/100,2)</f>
        <v>11790.9</v>
      </c>
      <c r="Q6" s="23">
        <f>ROUND(O6-P6,2)</f>
        <v>156650.51999999999</v>
      </c>
      <c r="R6" s="23">
        <f>ROUND((Q6*L6)/100,2)</f>
        <v>14098.55</v>
      </c>
      <c r="S6" s="23">
        <f>N6+P6+R6</f>
        <v>29327.03</v>
      </c>
      <c r="T6" s="23">
        <f>ROUND(S6/G6,2)</f>
        <v>553.34</v>
      </c>
      <c r="U6" s="23">
        <f>(I6-S6)</f>
        <v>142551.97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25659.35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25659.35</v>
      </c>
      <c r="AE6" s="23">
        <f t="shared" si="0"/>
        <v>168211.32</v>
      </c>
      <c r="AF6" s="23">
        <v>120</v>
      </c>
      <c r="AG6" s="23">
        <f t="shared" si="1"/>
        <v>142551.97</v>
      </c>
      <c r="AH6" s="23">
        <v>3</v>
      </c>
      <c r="AI6" s="23">
        <f>ROUND(G6/AH6,3)</f>
        <v>17.667000000000002</v>
      </c>
      <c r="AJ6" s="51" t="s">
        <v>63</v>
      </c>
      <c r="AK6" s="51" t="s">
        <v>64</v>
      </c>
      <c r="AL6" s="28">
        <f>ROUND((AJ6-AI6),3)</f>
        <v>1357.335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249210.76</v>
      </c>
      <c r="AF7" s="33" t="s">
        <v>67</v>
      </c>
      <c r="AG7" s="56">
        <f>AG5</f>
        <v>68643.59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Z5" sqref="Z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4" t="s">
        <v>52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4" t="s">
        <v>62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5</v>
      </c>
      <c r="H5" t="s" s="4">
        <v>68</v>
      </c>
      <c r="I5" s="23">
        <f>ROUND(G5*H5,2)</f>
        <v>120</v>
      </c>
      <c r="J5" t="s" s="4">
        <v>52</v>
      </c>
      <c r="K5" s="23">
        <v>3</v>
      </c>
      <c r="L5" s="23">
        <v>4</v>
      </c>
      <c r="M5" s="23">
        <f>I5</f>
        <v>120</v>
      </c>
      <c r="N5" s="23">
        <f>ROUND((M5*J5)/100,2)</f>
        <v>1.2</v>
      </c>
      <c r="O5" s="23">
        <f>I5-N5</f>
        <v>118.8</v>
      </c>
      <c r="P5" s="23">
        <f>ROUND((O5*K5)/100,2)</f>
        <v>3.56</v>
      </c>
      <c r="Q5" s="23">
        <f>ROUND(O5-P5,2)</f>
        <v>115.24</v>
      </c>
      <c r="R5" s="23">
        <f>ROUND((Q5*L5)/100,2)</f>
        <v>4.6100000000000003</v>
      </c>
      <c r="S5" s="23">
        <f>N5+P5+R5</f>
        <v>9.3699999999999992</v>
      </c>
      <c r="T5" s="23">
        <f>ROUND(S5/G5,2)</f>
        <v>1.87</v>
      </c>
      <c r="U5" s="23">
        <f>(I5-S5)</f>
        <v>110.63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19.91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110.63</v>
      </c>
      <c r="AF5" s="23">
        <v>120</v>
      </c>
      <c r="AG5" s="23">
        <f t="shared" ref="AG5:AG6" si="0">U5*$N$3</f>
        <v>110.63</v>
      </c>
      <c r="AH5" s="23">
        <v>1</v>
      </c>
      <c r="AI5" s="23">
        <f t="shared" ref="AI5" si="1">G5/AH5</f>
        <v>5</v>
      </c>
      <c r="AJ5" s="51" t="s">
        <v>54</v>
      </c>
      <c r="AK5" s="51" t="s">
        <v>55</v>
      </c>
      <c r="AL5" s="28">
        <f>ROUND(AJ5-G5,0)</f>
        <v>843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89</v>
      </c>
      <c r="H6" t="s" s="4">
        <v>69</v>
      </c>
      <c r="I6" s="23">
        <f>ROUND(G6*H6,2)</f>
        <v>2670</v>
      </c>
      <c r="J6" t="s" s="4">
        <v>62</v>
      </c>
      <c r="K6" s="23">
        <v>7</v>
      </c>
      <c r="L6" s="23">
        <v>9</v>
      </c>
      <c r="M6" s="23">
        <f>I6</f>
        <v>2670</v>
      </c>
      <c r="N6" s="23">
        <f>ROUND((M6*J6)/100,2)</f>
        <v>53.4</v>
      </c>
      <c r="O6" s="23">
        <f>I6-N6</f>
        <v>2616.6</v>
      </c>
      <c r="P6" s="23">
        <f>ROUND((O6*K6)/100,2)</f>
        <v>183.16</v>
      </c>
      <c r="Q6" s="23">
        <f>ROUND(O6-P6,2)</f>
        <v>2433.44</v>
      </c>
      <c r="R6" s="23">
        <f>ROUND((Q6*L6)/100,2)</f>
        <v>219.01</v>
      </c>
      <c r="S6" s="23">
        <f>N6+P6+R6</f>
        <v>455.57</v>
      </c>
      <c r="T6" s="23">
        <f>ROUND(S6/G6,2)</f>
        <v>5.12</v>
      </c>
      <c r="U6" s="23">
        <f>(I6-S6)</f>
        <v>2214.4299999999998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398.6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2214.4299999999998</v>
      </c>
      <c r="AF6" s="23">
        <v>120</v>
      </c>
      <c r="AG6" s="23">
        <f t="shared" si="0"/>
        <v>2214.4299999999998</v>
      </c>
      <c r="AH6" s="23">
        <v>3</v>
      </c>
      <c r="AI6" s="23">
        <f>ROUND(G6/AH6,3)</f>
        <v>29.667000000000002</v>
      </c>
      <c r="AJ6" s="51" t="s">
        <v>63</v>
      </c>
      <c r="AK6" s="51" t="s">
        <v>64</v>
      </c>
      <c r="AL6" s="28">
        <f>ROUND((AJ6-AI6),3)</f>
        <v>1345.335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2325.06</v>
      </c>
      <c r="AF7" s="33" t="s">
        <v>67</v>
      </c>
      <c r="AG7" s="56">
        <f>AG5</f>
        <v>110.63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M1" zoomScale="85" zoomScaleNormal="85" workbookViewId="0">
      <selection activeCell="X6" sqref="X6"/>
    </sheetView>
  </sheetViews>
  <sheetFormatPr defaultColWidth="9.140625" defaultRowHeight="14.25"/>
  <cols>
    <col min="1" max="1" customWidth="true" style="4" width="5.7109375"/>
    <col min="2" max="2" customWidth="true" style="4" width="32.5703125"/>
    <col min="3" max="3" customWidth="true" style="4" width="5.0"/>
    <col min="4" max="4" customWidth="true" style="4" width="3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21</v>
      </c>
      <c r="H5" t="s" s="4">
        <v>71</v>
      </c>
      <c r="I5" s="23">
        <f>G5*H5</f>
        <v>26355</v>
      </c>
      <c r="J5" s="23">
        <v>1</v>
      </c>
      <c r="K5" s="23">
        <v>2</v>
      </c>
      <c r="L5" s="23">
        <v>4</v>
      </c>
      <c r="M5" s="23">
        <f>I5</f>
        <v>26355</v>
      </c>
      <c r="N5" s="23">
        <f>ROUND((M5*J5)/100,2)</f>
        <v>263.55</v>
      </c>
      <c r="O5" s="23">
        <f>I5-N5</f>
        <v>26091.45</v>
      </c>
      <c r="P5" s="23">
        <f>ROUND((O5*K5)/100,2)</f>
        <v>521.83000000000004</v>
      </c>
      <c r="Q5" s="23">
        <f>ROUND(O5-P5,2)</f>
        <v>25569.62</v>
      </c>
      <c r="R5" s="23">
        <f>ROUND((Q5*L5)/100,2)</f>
        <v>1022.78</v>
      </c>
      <c r="S5" s="23">
        <f>N5+P5+R5</f>
        <v>1808.16</v>
      </c>
      <c r="T5" s="23">
        <f>ROUND(S5/G5,2)</f>
        <v>86.1</v>
      </c>
      <c r="U5" s="23">
        <f>(I5-S5)</f>
        <v>24546.84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4418.43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4418.43</v>
      </c>
      <c r="AE5" s="23">
        <f t="shared" ref="AE5:AE6" si="0">U5+AD5</f>
        <v>28965.27</v>
      </c>
      <c r="AF5" s="23">
        <v>120</v>
      </c>
      <c r="AG5" s="23">
        <f t="shared" ref="AG5:AG6" si="1">U5*$N$3</f>
        <v>24546.84</v>
      </c>
      <c r="AH5" s="23">
        <v>1</v>
      </c>
      <c r="AI5" s="23">
        <f t="shared" ref="AI5" si="2">G5/AH5</f>
        <v>21</v>
      </c>
      <c r="AJ5" s="51" t="s">
        <v>54</v>
      </c>
      <c r="AK5" s="51" t="s">
        <v>55</v>
      </c>
      <c r="AL5" s="28">
        <f>ROUND(AJ5-G5,0)</f>
        <v>827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35</v>
      </c>
      <c r="H6" t="s" s="4">
        <v>73</v>
      </c>
      <c r="I6" s="23">
        <f>G6*H6</f>
        <v>75040</v>
      </c>
      <c r="J6" s="23">
        <v>1</v>
      </c>
      <c r="K6" s="23">
        <v>7</v>
      </c>
      <c r="L6" s="23">
        <v>9</v>
      </c>
      <c r="M6" s="23">
        <f>I6</f>
        <v>75040</v>
      </c>
      <c r="N6" s="23">
        <f>ROUND((M6*J6)/100,2)</f>
        <v>750.4</v>
      </c>
      <c r="O6" s="23">
        <f>I6-N6</f>
        <v>74289.600000000006</v>
      </c>
      <c r="P6" s="23">
        <f>ROUND((O6*K6)/100,2)</f>
        <v>5200.2700000000004</v>
      </c>
      <c r="Q6" s="23">
        <f>ROUND(O6-P6,2)</f>
        <v>69089.33</v>
      </c>
      <c r="R6" s="23">
        <f>ROUND((Q6*L6)/100,2)</f>
        <v>6218.04</v>
      </c>
      <c r="S6" s="23">
        <f>N6+P6+R6</f>
        <v>12168.71</v>
      </c>
      <c r="T6" s="23">
        <f>ROUND(S6/G6,2)</f>
        <v>347.68</v>
      </c>
      <c r="U6" s="23">
        <f>(I6-S6)</f>
        <v>62871.29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11316.83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11316.83</v>
      </c>
      <c r="AE6" s="23">
        <f t="shared" si="0"/>
        <v>74188.12</v>
      </c>
      <c r="AF6" s="23">
        <v>120</v>
      </c>
      <c r="AG6" s="23">
        <f t="shared" si="1"/>
        <v>62871.29</v>
      </c>
      <c r="AH6" s="23">
        <v>3</v>
      </c>
      <c r="AI6" s="23">
        <f>ROUND(G6/AH6,3)</f>
        <v>11.667</v>
      </c>
      <c r="AJ6" s="51" t="s">
        <v>63</v>
      </c>
      <c r="AK6" s="51" t="s">
        <v>64</v>
      </c>
      <c r="AL6" s="28">
        <f>ROUND((AJ6-AI6),3)</f>
        <v>1363.335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103153.39</v>
      </c>
      <c r="AF7" s="33" t="s">
        <v>67</v>
      </c>
      <c r="AG7" s="56">
        <f>AG5</f>
        <v>24546.84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F1" zoomScale="85" zoomScaleNormal="85" workbookViewId="0">
      <selection activeCell="W6" sqref="W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11</v>
      </c>
      <c r="H5" t="s" s="4">
        <v>74</v>
      </c>
      <c r="I5" s="23">
        <f>ROUND(G5*H5,2)</f>
        <v>275</v>
      </c>
      <c r="J5" s="4">
        <v>1</v>
      </c>
      <c r="K5" s="23">
        <v>3</v>
      </c>
      <c r="L5" s="23">
        <v>4</v>
      </c>
      <c r="M5" s="23">
        <f>I5</f>
        <v>275</v>
      </c>
      <c r="N5" s="23">
        <f>ROUND((M5*J5)/100,2)</f>
        <v>2.75</v>
      </c>
      <c r="O5" s="23">
        <f>I5-N5</f>
        <v>272.25</v>
      </c>
      <c r="P5" s="23">
        <f>ROUND((O5*K5)/100,2)</f>
        <v>8.17</v>
      </c>
      <c r="Q5" s="23">
        <f>ROUND(O5-P5,2)</f>
        <v>264.08</v>
      </c>
      <c r="R5" s="23">
        <f>ROUND((Q5*L5)/100,2)</f>
        <v>10.56</v>
      </c>
      <c r="S5" s="23">
        <f>N5+P5+R5</f>
        <v>21.48</v>
      </c>
      <c r="T5" s="23">
        <f>ROUND(S5/G5,2)</f>
        <v>1.95</v>
      </c>
      <c r="U5" s="23">
        <f>(I5-S5)</f>
        <v>253.52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45.63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253.52</v>
      </c>
      <c r="AF5" s="23">
        <v>120</v>
      </c>
      <c r="AG5" s="23">
        <f t="shared" ref="AG5:AG6" si="0">U5*$N$3</f>
        <v>253.52</v>
      </c>
      <c r="AH5" s="23">
        <v>1</v>
      </c>
      <c r="AI5" s="23">
        <f t="shared" ref="AI5" si="1">G5/AH5</f>
        <v>11</v>
      </c>
      <c r="AJ5" s="51" t="s">
        <v>54</v>
      </c>
      <c r="AK5" s="51" t="s">
        <v>55</v>
      </c>
      <c r="AL5" s="28">
        <f>ROUND(AJ5-G5,0)</f>
        <v>837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15</v>
      </c>
      <c r="H6" t="s" s="4">
        <v>75</v>
      </c>
      <c r="I6" s="23">
        <f>ROUND(G6*H6,2)</f>
        <v>510</v>
      </c>
      <c r="J6" s="4">
        <v>1</v>
      </c>
      <c r="K6" s="23">
        <v>7</v>
      </c>
      <c r="L6" s="23">
        <v>9</v>
      </c>
      <c r="M6" s="23">
        <f>I6</f>
        <v>510</v>
      </c>
      <c r="N6" s="23">
        <f>ROUND((M6*J6)/100,2)</f>
        <v>5.0999999999999996</v>
      </c>
      <c r="O6" s="23">
        <f>I6-N6</f>
        <v>504.9</v>
      </c>
      <c r="P6" s="23">
        <f>ROUND((O6*K6)/100,2)</f>
        <v>35.340000000000003</v>
      </c>
      <c r="Q6" s="23">
        <f>ROUND(O6-P6,2)</f>
        <v>469.56</v>
      </c>
      <c r="R6" s="23">
        <f>ROUND((Q6*L6)/100,2)</f>
        <v>42.26</v>
      </c>
      <c r="S6" s="23">
        <f>N6+P6+R6</f>
        <v>82.7</v>
      </c>
      <c r="T6" s="23">
        <f>ROUND(S6/G6,2)</f>
        <v>5.51</v>
      </c>
      <c r="U6" s="23">
        <f>(I6-S6)</f>
        <v>427.3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76.91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427.3</v>
      </c>
      <c r="AF6" s="23">
        <v>120</v>
      </c>
      <c r="AG6" s="23">
        <f t="shared" si="0"/>
        <v>427.3</v>
      </c>
      <c r="AH6" s="23">
        <v>3</v>
      </c>
      <c r="AI6" s="23">
        <f>ROUND(G6/AH6,3)</f>
        <v>5</v>
      </c>
      <c r="AJ6" s="51" t="s">
        <v>63</v>
      </c>
      <c r="AK6" s="51" t="s">
        <v>64</v>
      </c>
      <c r="AL6" s="28">
        <f>ROUND((AJ6-AI6),3)</f>
        <v>1370.002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680.82</v>
      </c>
      <c r="AF7" s="33" t="s">
        <v>67</v>
      </c>
      <c r="AG7" s="56">
        <f>AG5</f>
        <v>253.52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G1" zoomScale="85" zoomScaleNormal="85" workbookViewId="0">
      <selection activeCell="W5" sqref="W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22</v>
      </c>
      <c r="H5" t="s" s="4">
        <v>77</v>
      </c>
      <c r="I5" s="23">
        <f>G5*H5</f>
        <v>264</v>
      </c>
      <c r="J5" s="4">
        <v>1</v>
      </c>
      <c r="K5" s="23">
        <v>3</v>
      </c>
      <c r="L5" s="23">
        <v>4</v>
      </c>
      <c r="M5" s="23">
        <f>I5</f>
        <v>264</v>
      </c>
      <c r="N5" s="23">
        <f>ROUND((M5*J5)/100,2)</f>
        <v>2.64</v>
      </c>
      <c r="O5" s="23">
        <f>I5-N5</f>
        <v>261.36</v>
      </c>
      <c r="P5" s="23">
        <f>ROUND((O5*K5)/100,2)</f>
        <v>7.84</v>
      </c>
      <c r="Q5" s="23">
        <f>ROUND(O5-P5,2)</f>
        <v>253.52</v>
      </c>
      <c r="R5" s="23">
        <f>ROUND((Q5*L5)/100,2)</f>
        <v>10.14</v>
      </c>
      <c r="S5" s="23">
        <f>N5+P5+R5</f>
        <v>20.62</v>
      </c>
      <c r="T5" s="23">
        <f>ROUND(S5/G5,2)</f>
        <v>0.94</v>
      </c>
      <c r="U5" s="23">
        <f>(I5-S5)</f>
        <v>243.38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243.38</v>
      </c>
      <c r="AF5" s="23">
        <v>120</v>
      </c>
      <c r="AG5" s="23">
        <f t="shared" ref="AG5:AG6" si="0">U5*$N$3</f>
        <v>243.38</v>
      </c>
      <c r="AH5" s="23">
        <v>1</v>
      </c>
      <c r="AI5" s="23">
        <f t="shared" ref="AI5" si="1">G5/AH5</f>
        <v>22</v>
      </c>
      <c r="AJ5" s="51" t="s">
        <v>54</v>
      </c>
      <c r="AK5" s="51" t="s">
        <v>55</v>
      </c>
      <c r="AL5" s="28">
        <f>ROUND(AJ5-G5,0)</f>
        <v>826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12</v>
      </c>
      <c r="H6" t="s" s="4">
        <v>79</v>
      </c>
      <c r="I6" s="23">
        <f>G6*H6</f>
        <v>276</v>
      </c>
      <c r="J6" s="4">
        <v>1</v>
      </c>
      <c r="K6" s="23">
        <v>7</v>
      </c>
      <c r="L6" s="23">
        <v>9</v>
      </c>
      <c r="M6" s="23">
        <f>I6</f>
        <v>276</v>
      </c>
      <c r="N6" s="23">
        <f>ROUND((M6*J6)/100,2)</f>
        <v>2.76</v>
      </c>
      <c r="O6" s="23">
        <f>I6-N6</f>
        <v>273.24</v>
      </c>
      <c r="P6" s="23">
        <f>ROUND((O6*K6)/100,2)</f>
        <v>19.13</v>
      </c>
      <c r="Q6" s="23">
        <f>ROUND(O6-P6,2)</f>
        <v>254.11</v>
      </c>
      <c r="R6" s="23">
        <f>ROUND((Q6*L6)/100,2)</f>
        <v>22.87</v>
      </c>
      <c r="S6" s="23">
        <f>N6+P6+R6</f>
        <v>44.76</v>
      </c>
      <c r="T6" s="23">
        <f>ROUND(S6/G6,2)</f>
        <v>3.73</v>
      </c>
      <c r="U6" s="23">
        <f>(I6-S6)</f>
        <v>231.24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41.62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231.24</v>
      </c>
      <c r="AF6" s="23">
        <v>120</v>
      </c>
      <c r="AG6" s="23">
        <f t="shared" si="0"/>
        <v>231.24</v>
      </c>
      <c r="AH6" s="23">
        <v>3</v>
      </c>
      <c r="AI6" s="23">
        <f>ROUND(G6/AH6,3)</f>
        <v>4</v>
      </c>
      <c r="AJ6" s="51" t="s">
        <v>63</v>
      </c>
      <c r="AK6" s="51" t="s">
        <v>64</v>
      </c>
      <c r="AL6" s="28">
        <f>ROUND((AJ6-AI6),3)</f>
        <v>1371.002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474.62</v>
      </c>
      <c r="AF7" s="33" t="s">
        <v>67</v>
      </c>
      <c r="AG7" s="56">
        <f>AG5</f>
        <v>243.38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U1" zoomScale="85" zoomScaleNormal="85" workbookViewId="0">
      <selection activeCell="AM5" sqref="AM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3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12</v>
      </c>
      <c r="H5" t="s" s="4">
        <v>80</v>
      </c>
      <c r="I5" s="23">
        <f>G5*H5</f>
        <v>25740</v>
      </c>
      <c r="J5" s="23">
        <v>1</v>
      </c>
      <c r="K5" s="23">
        <v>2</v>
      </c>
      <c r="L5" s="23">
        <v>4</v>
      </c>
      <c r="M5" s="23">
        <f>I5</f>
        <v>25740</v>
      </c>
      <c r="N5" s="23">
        <f>ROUND((M5*J5)/100,2)</f>
        <v>257.39999999999998</v>
      </c>
      <c r="O5" s="23">
        <f>I5-N5</f>
        <v>25482.6</v>
      </c>
      <c r="P5" s="23">
        <f>ROUND((O5*K5)/100,2)</f>
        <v>509.65</v>
      </c>
      <c r="Q5" s="23">
        <f>ROUND(O5-P5,2)</f>
        <v>24972.95</v>
      </c>
      <c r="R5" s="23">
        <f>ROUND((Q5*L5)/100,2)</f>
        <v>998.92</v>
      </c>
      <c r="S5" s="23">
        <f>N5+P5+R5</f>
        <v>1765.97</v>
      </c>
      <c r="T5" s="23">
        <f>ROUND(S5/G5,2)</f>
        <v>147.16</v>
      </c>
      <c r="U5" s="23">
        <f>(I5-S5)</f>
        <v>23974.03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4315.33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4315.33</v>
      </c>
      <c r="AE5" s="23">
        <f t="shared" ref="AE5:AE6" si="0">U5+AD5</f>
        <v>28289.360000000001</v>
      </c>
      <c r="AF5" s="23">
        <v>120</v>
      </c>
      <c r="AG5" s="23">
        <f t="shared" ref="AG5:AG6" si="1">U5*$N$3</f>
        <v>23974.03</v>
      </c>
      <c r="AH5" s="23">
        <v>1</v>
      </c>
      <c r="AI5" s="23">
        <f t="shared" ref="AI5" si="2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14</v>
      </c>
      <c r="H6" t="s" s="4">
        <v>81</v>
      </c>
      <c r="I6" s="23">
        <f>G6*H6</f>
        <v>47894</v>
      </c>
      <c r="J6" s="23">
        <v>1</v>
      </c>
      <c r="K6" s="23">
        <v>7</v>
      </c>
      <c r="L6" s="23">
        <v>9</v>
      </c>
      <c r="M6" s="23">
        <f>I6</f>
        <v>47894</v>
      </c>
      <c r="N6" s="23">
        <f>ROUND((M6*J6)/100,2)</f>
        <v>478.94</v>
      </c>
      <c r="O6" s="23">
        <f>I6-N6</f>
        <v>47415.06</v>
      </c>
      <c r="P6" s="23">
        <f>ROUND((O6*K6)/100,2)</f>
        <v>3319.05</v>
      </c>
      <c r="Q6" s="23">
        <f>ROUND(O6-P6,2)</f>
        <v>44096.01</v>
      </c>
      <c r="R6" s="23">
        <f>ROUND((Q6*L6)/100,2)</f>
        <v>3968.64</v>
      </c>
      <c r="S6" s="23">
        <f>N6+P6+R6</f>
        <v>7766.63</v>
      </c>
      <c r="T6" s="23">
        <f>ROUND(S6/G6,2)</f>
        <v>554.76</v>
      </c>
      <c r="U6" s="23">
        <f>(I6-S6)</f>
        <v>40127.370000000003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7222.93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7222.93</v>
      </c>
      <c r="AE6" s="23">
        <f t="shared" si="0"/>
        <v>47350.3</v>
      </c>
      <c r="AF6" s="23">
        <v>120</v>
      </c>
      <c r="AG6" s="23">
        <f t="shared" si="1"/>
        <v>40127.370000000003</v>
      </c>
      <c r="AH6" s="23">
        <v>3</v>
      </c>
      <c r="AI6" s="23">
        <f>ROUND(G6/AH6,3)</f>
        <v>4.6669999999999998</v>
      </c>
      <c r="AJ6" s="51" t="s">
        <v>63</v>
      </c>
      <c r="AK6" s="51" t="s">
        <v>64</v>
      </c>
      <c r="AL6" s="28">
        <f>ROUND((AJ6-AI6),3)</f>
        <v>1370.335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75639.66</v>
      </c>
      <c r="AF7" s="33" t="s">
        <v>67</v>
      </c>
      <c r="AG7" s="56">
        <f>AG5</f>
        <v>23974.03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5" sqref="J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4" t="s">
        <v>62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4" t="s">
        <v>52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t="s" s="4">
        <v>69</v>
      </c>
      <c r="I5" s="23">
        <f>ROUND(G5*H5,2)</f>
        <v>300</v>
      </c>
      <c r="J5" t="s" s="4">
        <v>62</v>
      </c>
      <c r="K5" s="23">
        <v>2</v>
      </c>
      <c r="L5" s="23">
        <v>4</v>
      </c>
      <c r="M5" s="23">
        <f>I5</f>
        <v>300</v>
      </c>
      <c r="N5" s="23">
        <f>ROUND((M5*J5)/100,2)</f>
        <v>6</v>
      </c>
      <c r="O5" s="23">
        <f>I5-N5</f>
        <v>294</v>
      </c>
      <c r="P5" s="23">
        <f>ROUND((O5*K5)/100,2)</f>
        <v>5.88</v>
      </c>
      <c r="Q5" s="23">
        <f>ROUND(O5-P5,2)</f>
        <v>288.12</v>
      </c>
      <c r="R5" s="23">
        <f>ROUND((Q5*L5)/100,2)</f>
        <v>11.52</v>
      </c>
      <c r="S5" s="23">
        <f>N5+P5+R5</f>
        <v>23.4</v>
      </c>
      <c r="T5" s="23">
        <f>ROUND(S5/G5,2)</f>
        <v>2.34</v>
      </c>
      <c r="U5" s="23">
        <f>(I5-S5)</f>
        <v>276.60000000000002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49.79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276.60000000000002</v>
      </c>
      <c r="AF5" s="23">
        <v>120</v>
      </c>
      <c r="AG5" s="23">
        <f t="shared" ref="AG5:AG6" si="0">U5*$N$3</f>
        <v>276.60000000000002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t="s" s="4">
        <v>74</v>
      </c>
      <c r="I6" s="23">
        <f>ROUND(G6*H6,2)</f>
        <v>250</v>
      </c>
      <c r="J6" t="s" s="4">
        <v>52</v>
      </c>
      <c r="K6" s="23">
        <v>7</v>
      </c>
      <c r="L6" s="23">
        <v>9</v>
      </c>
      <c r="M6" s="23">
        <f>I6</f>
        <v>250</v>
      </c>
      <c r="N6" s="23">
        <f>ROUND((M6*J6)/100,2)</f>
        <v>2.5</v>
      </c>
      <c r="O6" s="23">
        <f>I6-N6</f>
        <v>247.5</v>
      </c>
      <c r="P6" s="23">
        <f>ROUND((O6*K6)/100,2)</f>
        <v>17.329999999999998</v>
      </c>
      <c r="Q6" s="23">
        <f>ROUND(O6-P6,2)</f>
        <v>230.17</v>
      </c>
      <c r="R6" s="23">
        <f>ROUND((Q6*L6)/100,2)</f>
        <v>20.72</v>
      </c>
      <c r="S6" s="23">
        <f>N6+P6+R6</f>
        <v>40.549999999999997</v>
      </c>
      <c r="T6" s="23">
        <f>ROUND(S6/G6,2)</f>
        <v>4.0599999999999996</v>
      </c>
      <c r="U6" s="23">
        <f>(I6-S6)</f>
        <v>209.45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37.700000000000003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209.45</v>
      </c>
      <c r="AF6" s="23">
        <v>120</v>
      </c>
      <c r="AG6" s="23">
        <f t="shared" si="0"/>
        <v>209.45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486.05</v>
      </c>
      <c r="AF7" s="33" t="s">
        <v>67</v>
      </c>
      <c r="AG7" s="56">
        <f>AG5</f>
        <v>276.60000000000002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11"/>
  <dimension ref="A1:AR8"/>
  <sheetViews>
    <sheetView showGridLines="0" topLeftCell="G1" zoomScale="85" zoomScaleNormal="85" workbookViewId="0">
      <selection activeCell="W6" sqref="W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84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S5/G5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S6/G6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abSelected="1" topLeftCell="B1" zoomScale="85" zoomScaleNormal="85" workbookViewId="0">
      <selection activeCell="J2" sqref="J2:J3"/>
    </sheetView>
  </sheetViews>
  <sheetFormatPr defaultColWidth="9.140625" defaultRowHeight="14.25"/>
  <cols>
    <col min="1" max="1" customWidth="true" style="4" width="5.7109375"/>
    <col min="2" max="2" customWidth="true" style="4" width="31.7109375"/>
    <col min="3" max="3" customWidth="true" style="4" width="4.5703125"/>
    <col min="4" max="4" customWidth="true" style="4" width="31.71093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t="s" s="4">
        <v>91</v>
      </c>
      <c r="I5" s="23">
        <f>G5*H5</f>
        <v>21800</v>
      </c>
      <c r="J5" t="s" s="4">
        <v>62</v>
      </c>
      <c r="K5" s="23">
        <v>2</v>
      </c>
      <c r="L5" s="23">
        <v>4</v>
      </c>
      <c r="M5" s="23">
        <f>I5</f>
        <v>21800</v>
      </c>
      <c r="N5" s="23">
        <f>ROUND((M5*J5)/100,2)</f>
        <v>436</v>
      </c>
      <c r="O5" s="23">
        <f>I5-N5</f>
        <v>21364</v>
      </c>
      <c r="P5" s="23">
        <f>ROUND((O5*K5)/100,2)</f>
        <v>427.28</v>
      </c>
      <c r="Q5" s="23">
        <f>ROUND(O5-P5,2)</f>
        <v>20936.72</v>
      </c>
      <c r="R5" s="23">
        <f>ROUND((Q5*L5)/100,2)</f>
        <v>837.47</v>
      </c>
      <c r="S5" s="23">
        <f>N5+P5+R5</f>
        <v>1700.75</v>
      </c>
      <c r="T5" s="23">
        <f>ROUND(S5/G5,2)</f>
        <v>170.08</v>
      </c>
      <c r="U5" s="23">
        <f>(I5-S5)</f>
        <v>20099.25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3617.87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3617.87</v>
      </c>
      <c r="AE5" s="23">
        <f t="shared" ref="AE5:AE6" si="0">U5+AD5</f>
        <v>23717.119999999999</v>
      </c>
      <c r="AF5" s="23">
        <v>120</v>
      </c>
      <c r="AG5" s="23">
        <f t="shared" ref="AG5:AG6" si="1">U5*$N$3</f>
        <v>20099.25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90</v>
      </c>
    </row>
    <row r="6" spans="1:43" ht="14.25" customHeight="1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t="s" s="4">
        <v>92</v>
      </c>
      <c r="I6" s="23">
        <f>G6*H6</f>
        <v>21220</v>
      </c>
      <c r="J6" t="s" s="4">
        <v>93</v>
      </c>
      <c r="K6" s="23">
        <v>7</v>
      </c>
      <c r="L6" s="23">
        <v>9</v>
      </c>
      <c r="M6" s="23">
        <f>I6</f>
        <v>21220</v>
      </c>
      <c r="N6" s="23">
        <f>ROUND((M6*J6)/100,2)</f>
        <v>424.4</v>
      </c>
      <c r="O6" s="23">
        <f>I6-N6</f>
        <v>20795.599999999999</v>
      </c>
      <c r="P6" s="23">
        <f>ROUND((O6*K6)/100,2)</f>
        <v>1455.69</v>
      </c>
      <c r="Q6" s="23">
        <f>ROUND(O6-P6,2)</f>
        <v>19339.91</v>
      </c>
      <c r="R6" s="23">
        <f>ROUND((Q6*L6)/100,2)</f>
        <v>1740.59</v>
      </c>
      <c r="S6" s="23">
        <f>N6+P6+R6</f>
        <v>3620.6800000000003</v>
      </c>
      <c r="T6" s="23">
        <f>ROUND(S6/G6,2)</f>
        <v>362.07</v>
      </c>
      <c r="U6" s="23">
        <f>(I6-S6)</f>
        <v>17599.32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3167.88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3167.88</v>
      </c>
      <c r="AE6" s="23">
        <f t="shared" si="0"/>
        <v>20767.2</v>
      </c>
      <c r="AF6" s="23">
        <v>120</v>
      </c>
      <c r="AG6" s="23">
        <f t="shared" si="1"/>
        <v>17599.32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90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44484.32</v>
      </c>
      <c r="AF7" s="33" t="s">
        <v>67</v>
      </c>
      <c r="AG7" s="56">
        <f>AG5</f>
        <v>20099.25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3" sqref="J3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t="s" s="4">
        <v>91</v>
      </c>
      <c r="I5" s="23">
        <f>G5*H5</f>
        <v>21800</v>
      </c>
      <c r="J5" t="s" s="4">
        <v>62</v>
      </c>
      <c r="K5" s="23">
        <v>2</v>
      </c>
      <c r="L5" s="23">
        <v>4</v>
      </c>
      <c r="M5" s="23">
        <f>I5</f>
        <v>21800</v>
      </c>
      <c r="N5" s="23">
        <f>ROUND((M5*J5)/100,2)</f>
        <v>436</v>
      </c>
      <c r="O5" s="23">
        <f>I5-N5</f>
        <v>21364</v>
      </c>
      <c r="P5" s="23">
        <f>ROUND((O5*K5)/100,2)</f>
        <v>427.28</v>
      </c>
      <c r="Q5" s="23">
        <f>ROUND(O5-P5,2)</f>
        <v>20936.72</v>
      </c>
      <c r="R5" s="23">
        <f>ROUND((Q5*L5)/100,2)</f>
        <v>837.47</v>
      </c>
      <c r="S5" s="23">
        <f>N5+P5+R5</f>
        <v>1700.75</v>
      </c>
      <c r="T5" s="23">
        <f>ROUND(S5/G5,2)</f>
        <v>170.08</v>
      </c>
      <c r="U5" s="23">
        <f>(I5-S5)</f>
        <v>20099.25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3617.87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3617.87</v>
      </c>
      <c r="AE5" s="23">
        <f>U5+AD5</f>
        <v>23717.119999999999</v>
      </c>
      <c r="AF5" s="23">
        <v>120</v>
      </c>
      <c r="AG5" s="23">
        <f>U5*$N$3</f>
        <v>20099.25</v>
      </c>
      <c r="AH5" s="23">
        <v>1</v>
      </c>
      <c r="AI5" s="23">
        <f t="shared" ref="AI5" si="0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t="s" s="4">
        <v>92</v>
      </c>
      <c r="I6" s="23">
        <f>G6*H6</f>
        <v>31200</v>
      </c>
      <c r="J6" t="s" s="4">
        <v>93</v>
      </c>
      <c r="K6" s="23">
        <v>7</v>
      </c>
      <c r="L6" s="23">
        <v>9</v>
      </c>
      <c r="M6" s="23">
        <f>I6</f>
        <v>31200</v>
      </c>
      <c r="N6" s="23">
        <f>ROUND((M6*J6)/100,2)</f>
        <v>1248</v>
      </c>
      <c r="O6" s="23">
        <f>I6-N6</f>
        <v>29952</v>
      </c>
      <c r="P6" s="23">
        <f>ROUND((O6*K6)/100,2)</f>
        <v>2096.64</v>
      </c>
      <c r="Q6" s="23">
        <f>ROUND(O6-P6,2)</f>
        <v>27855.360000000001</v>
      </c>
      <c r="R6" s="23">
        <f>ROUND((Q6*L6)/100,2)</f>
        <v>2506.98</v>
      </c>
      <c r="S6" s="23">
        <f>N6+P6+R6</f>
        <v>5851.62</v>
      </c>
      <c r="T6" s="23">
        <f>ROUND(S6/G6,2)</f>
        <v>585.16</v>
      </c>
      <c r="U6" s="23">
        <f>(I6-S6)</f>
        <v>25348.38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4562.71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4562.71</v>
      </c>
      <c r="AE6" s="23">
        <f t="shared" ref="AE6" si="1">U6+AD6</f>
        <v>29911.09</v>
      </c>
      <c r="AF6" s="23">
        <v>120</v>
      </c>
      <c r="AG6" s="23">
        <f>U6*$N$3</f>
        <v>25348.38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53628.21</v>
      </c>
      <c r="AF7" s="33" t="s">
        <v>67</v>
      </c>
      <c r="AG7" s="56">
        <f>AG5</f>
        <v>20099.25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AM6" sqref="AM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267.77999999999997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:AG6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94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13</v>
      </c>
      <c r="H6" s="23">
        <v>34</v>
      </c>
      <c r="I6" s="23">
        <f>G6*H6</f>
        <v>442</v>
      </c>
      <c r="J6" s="23">
        <v>2</v>
      </c>
      <c r="K6" s="23">
        <v>7</v>
      </c>
      <c r="L6" s="23">
        <v>9</v>
      </c>
      <c r="M6" s="23">
        <f>I6</f>
        <v>442</v>
      </c>
      <c r="N6" s="23">
        <f>ROUND((M6*J6)/100,2)</f>
        <v>8.84</v>
      </c>
      <c r="O6" s="23">
        <f>I6-N6</f>
        <v>433.16</v>
      </c>
      <c r="P6" s="23">
        <f>ROUND((O6*K6)/100,2)</f>
        <v>30.32</v>
      </c>
      <c r="Q6" s="23">
        <f>ROUND(O6-P6,2)</f>
        <v>402.84</v>
      </c>
      <c r="R6" s="23">
        <f>ROUND((Q6*L6)/100,2)</f>
        <v>36.26</v>
      </c>
      <c r="S6" s="23">
        <f>N6+P6+R6</f>
        <v>75.42</v>
      </c>
      <c r="T6" s="23">
        <f>ROUND(S6/G6,2)</f>
        <v>5.8</v>
      </c>
      <c r="U6" s="23">
        <f>(I6-S6)</f>
        <v>366.58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65.98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366.58</v>
      </c>
      <c r="AF6" s="23">
        <v>120</v>
      </c>
      <c r="AG6" s="23">
        <f t="shared" si="0"/>
        <v>366.58</v>
      </c>
      <c r="AH6" s="23">
        <v>3</v>
      </c>
      <c r="AI6" s="23">
        <f>ROUND(G6/AH6,3)</f>
        <v>4.3330000000000002</v>
      </c>
      <c r="AJ6" s="51" t="s">
        <v>63</v>
      </c>
      <c r="AK6" s="51" t="s">
        <v>64</v>
      </c>
      <c r="AL6" s="28">
        <f>ROUND((AJ6-AI6),3)</f>
        <v>1370.6690000000001</v>
      </c>
      <c r="AM6" s="23" t="s">
        <v>94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94.35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623.65</v>
      </c>
      <c r="AF7" s="33" t="s">
        <v>67</v>
      </c>
      <c r="AG7" s="56">
        <f>AG5</f>
        <v>257.07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R7"/>
  <sheetViews>
    <sheetView showGridLines="0" topLeftCell="F1" zoomScale="85" zoomScaleNormal="85" workbookViewId="0">
      <selection activeCell="X5" sqref="X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44" customWidth="true" style="4" width="9.28515625"/>
    <col min="45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 t="shared" ref="AE5" si="16">U5+AD5</f>
        <v>13562.19</v>
      </c>
      <c r="AF5" s="23">
        <v>120</v>
      </c>
      <c r="AG5" s="23">
        <f t="shared" ref="AG5" si="17">U5*$N$3</f>
        <v>11493.38</v>
      </c>
      <c r="AH5" s="23">
        <v>1</v>
      </c>
      <c r="AI5" s="23">
        <f t="shared" ref="AI5" si="18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 t="shared" ref="AP5" si="19">ROUND(((AO5*U5)/100),2)</f>
        <v>0</v>
      </c>
      <c r="AQ5" s="23" t="s">
        <v>58</v>
      </c>
      <c r="AR5" s="23" t="s">
        <v>87</v>
      </c>
    </row>
    <row r="6" spans="1:44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7"/>
  <sheetViews>
    <sheetView showGridLines="0" zoomScale="85" zoomScaleNormal="85" workbookViewId="0">
      <selection activeCell="I7" sqref="I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44" customWidth="true" style="4" width="9.28515625"/>
    <col min="45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>U5+AD5</f>
        <v>13562.19</v>
      </c>
      <c r="AF5" s="23">
        <v>120</v>
      </c>
      <c r="AG5" s="23">
        <f t="shared" ref="AG5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94</v>
      </c>
      <c r="AN5" s="23" t="s">
        <v>57</v>
      </c>
      <c r="AO5" s="23">
        <v>0</v>
      </c>
      <c r="AP5" s="23">
        <f t="shared" ref="AP5" si="18">ROUND(((AO5*U5)/100),2)</f>
        <v>0</v>
      </c>
      <c r="AQ5" s="23" t="s">
        <v>58</v>
      </c>
      <c r="AR5" s="23" t="s">
        <v>87</v>
      </c>
    </row>
    <row r="6" spans="1:44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Q7"/>
  <sheetViews>
    <sheetView showGridLines="0" zoomScale="85" zoomScaleNormal="85" workbookViewId="0">
      <selection activeCell="F8" sqref="F8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267.77999999999997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94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56">
        <f>SUM(S5:S5)</f>
        <v>18.93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257.07</v>
      </c>
      <c r="AF6" s="33" t="s">
        <v>67</v>
      </c>
      <c r="AG6" s="56">
        <f>AG5</f>
        <v>257.07</v>
      </c>
      <c r="AH6" s="30"/>
      <c r="AI6" s="31"/>
      <c r="AJ6" s="31"/>
      <c r="AK6" s="31"/>
      <c r="AL6" s="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Y1" zoomScale="85" zoomScaleNormal="85" workbookViewId="0">
      <selection activeCell="AC22" sqref="AC22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44" customWidth="true" style="4" width="9.28515625"/>
    <col min="45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:I6" si="0">G5*H5</f>
        <v>12340</v>
      </c>
      <c r="J5" s="23">
        <v>1</v>
      </c>
      <c r="K5" s="23">
        <v>2</v>
      </c>
      <c r="L5" s="23">
        <v>4</v>
      </c>
      <c r="M5" s="23">
        <f t="shared" ref="M5:M6" si="1">I5</f>
        <v>12340</v>
      </c>
      <c r="N5" s="23">
        <f t="shared" ref="N5:N6" si="2">ROUND((M5*J5)/100,2)</f>
        <v>123.4</v>
      </c>
      <c r="O5" s="23">
        <f t="shared" ref="O5:O6" si="3">I5-N5</f>
        <v>12216.6</v>
      </c>
      <c r="P5" s="23">
        <f t="shared" ref="P5:P6" si="4">ROUND((O5*K5)/100,2)</f>
        <v>244.33</v>
      </c>
      <c r="Q5" s="23">
        <f t="shared" ref="Q5:Q6" si="5">ROUND(O5-P5,2)</f>
        <v>11972.27</v>
      </c>
      <c r="R5" s="23">
        <f t="shared" ref="R5:R6" si="6">ROUND((Q5*L5)/100,2)</f>
        <v>478.89</v>
      </c>
      <c r="S5" s="23">
        <f t="shared" ref="S5:S6" si="7">N5+P5+R5</f>
        <v>846.62</v>
      </c>
      <c r="T5" s="23">
        <f t="shared" ref="T5:T6" si="8">ROUND(S5/G5,2)</f>
        <v>84.66</v>
      </c>
      <c r="U5" s="23">
        <f t="shared" ref="U5:U6" si="9">(I5-S5)</f>
        <v>11493.38</v>
      </c>
      <c r="V5" s="23" t="s">
        <v>53</v>
      </c>
      <c r="W5" s="27">
        <v>0.18</v>
      </c>
      <c r="X5" s="23">
        <f t="shared" ref="X5:X6" si="10">IF(OR($D$3=1,$D$3=4),ROUND((U5*W5)/2,2),0)</f>
        <v>0</v>
      </c>
      <c r="Y5" s="23">
        <f t="shared" ref="Y5:Y6" si="11">IF($D$3=1,ROUND(((U5*W5)/2),2),0)</f>
        <v>0</v>
      </c>
      <c r="Z5" s="23">
        <f t="shared" ref="Z5:Z6" si="12">IF($D$3=2,ROUND(((U5*W5)),2),0)</f>
        <v>2068.81</v>
      </c>
      <c r="AA5" s="23">
        <f t="shared" ref="AA5:AA6" si="13">IF($D$3=4,ROUND(((U5*W5)/2),2),0)</f>
        <v>0</v>
      </c>
      <c r="AB5" s="27">
        <v>0.06</v>
      </c>
      <c r="AC5" s="23">
        <f t="shared" ref="AC5:AC6" si="14">IF($D$3=5,ROUND(((U5*AB5)/2),2),0)</f>
        <v>0</v>
      </c>
      <c r="AD5" s="23">
        <f t="shared" ref="AD5:AD6" si="15">X5+Y5+Z5+AA5+AC5</f>
        <v>2068.81</v>
      </c>
      <c r="AE5" s="23">
        <f>U5+AD5</f>
        <v>13562.19</v>
      </c>
      <c r="AF5" s="23">
        <v>120</v>
      </c>
      <c r="AG5" s="23">
        <f t="shared" ref="AG5:AG6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94</v>
      </c>
      <c r="AN5" s="23" t="s">
        <v>57</v>
      </c>
      <c r="AO5" s="23">
        <v>0</v>
      </c>
      <c r="AP5" s="23">
        <f t="shared" ref="AP5:AP6" si="18"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 t="shared" si="0"/>
        <v>32140</v>
      </c>
      <c r="J6" s="23">
        <v>2</v>
      </c>
      <c r="K6" s="23">
        <v>7</v>
      </c>
      <c r="L6" s="23">
        <v>9</v>
      </c>
      <c r="M6" s="23">
        <f t="shared" si="1"/>
        <v>32140</v>
      </c>
      <c r="N6" s="23">
        <f t="shared" si="2"/>
        <v>642.79999999999995</v>
      </c>
      <c r="O6" s="23">
        <f t="shared" si="3"/>
        <v>31497.200000000001</v>
      </c>
      <c r="P6" s="23">
        <f t="shared" si="4"/>
        <v>2204.8000000000002</v>
      </c>
      <c r="Q6" s="23">
        <f t="shared" si="5"/>
        <v>29292.400000000001</v>
      </c>
      <c r="R6" s="23">
        <f t="shared" si="6"/>
        <v>2636.32</v>
      </c>
      <c r="S6" s="23">
        <f t="shared" si="7"/>
        <v>5483.92</v>
      </c>
      <c r="T6" s="23">
        <f t="shared" si="8"/>
        <v>548.39</v>
      </c>
      <c r="U6" s="23">
        <f t="shared" si="9"/>
        <v>26656.080000000002</v>
      </c>
      <c r="V6" s="23" t="s">
        <v>53</v>
      </c>
      <c r="W6" s="27">
        <v>0.18</v>
      </c>
      <c r="X6" s="23">
        <f t="shared" si="10"/>
        <v>0</v>
      </c>
      <c r="Y6" s="23">
        <f t="shared" si="11"/>
        <v>0</v>
      </c>
      <c r="Z6" s="23">
        <f t="shared" si="12"/>
        <v>4798.09</v>
      </c>
      <c r="AA6" s="23">
        <f t="shared" si="13"/>
        <v>0</v>
      </c>
      <c r="AB6" s="27">
        <v>0.06</v>
      </c>
      <c r="AC6" s="23">
        <f t="shared" si="14"/>
        <v>0</v>
      </c>
      <c r="AD6" s="23">
        <f t="shared" si="15"/>
        <v>4798.09</v>
      </c>
      <c r="AE6" s="23">
        <f>U6+AD6</f>
        <v>31454.17</v>
      </c>
      <c r="AF6" s="23">
        <v>120</v>
      </c>
      <c r="AG6" s="23">
        <f t="shared" si="16"/>
        <v>26656.080000000002</v>
      </c>
      <c r="AH6" s="23">
        <v>3</v>
      </c>
      <c r="AI6" s="23">
        <f>ROUND(G6/AH6,3)</f>
        <v>3.3330000000000002</v>
      </c>
      <c r="AJ6" s="28" t="s">
        <v>63</v>
      </c>
      <c r="AK6" s="28" t="s">
        <v>64</v>
      </c>
      <c r="AL6" s="28">
        <f>ROUND((AJ6-AI6),3)</f>
        <v>1371.6690000000001</v>
      </c>
      <c r="AM6" s="23" t="s">
        <v>94</v>
      </c>
      <c r="AN6" s="23" t="s">
        <v>57</v>
      </c>
      <c r="AO6" s="23">
        <v>0</v>
      </c>
      <c r="AP6" s="23">
        <f t="shared" si="18"/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SUM(AG5:AG6)</f>
        <v>38149.46</v>
      </c>
      <c r="AH7" s="30"/>
      <c r="AI7" s="31"/>
      <c r="AJ7" s="31"/>
      <c r="AK7" s="31"/>
      <c r="AL7" s="3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"/>
  <dimension ref="A1:AR8"/>
  <sheetViews>
    <sheetView showGridLines="0" topLeftCell="J1" zoomScale="85" zoomScaleNormal="85" workbookViewId="0">
      <selection activeCell="W7" sqref="W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9" customWidth="true" style="4" width="11.28515625"/>
    <col min="30" max="30" customWidth="true" style="4" width="10.7109375"/>
    <col min="31" max="31" customWidth="true" style="4" width="11.7109375"/>
    <col min="32" max="32" customWidth="true" style="4" width="16.0"/>
    <col min="33" max="33" customWidth="true" style="4" width="12.0"/>
    <col min="34" max="34" customWidth="true" style="4" width="12.28515625"/>
    <col min="35" max="35" customWidth="true" style="4" width="14.7109375"/>
    <col min="36" max="37" customWidth="true" style="51" width="12.28515625"/>
    <col min="38" max="38" customWidth="true" style="3" width="10.28515625"/>
    <col min="39" max="39" customWidth="true" style="4" width="13.5703125"/>
    <col min="40" max="40" customWidth="true" style="4" width="12.7109375"/>
    <col min="41" max="42" style="4" width="9.140625"/>
    <col min="43" max="43" customWidth="true" style="4" width="11.0"/>
    <col min="44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1"/>
      <c r="AG1" s="1"/>
      <c r="AH1" s="1"/>
      <c r="AI1" s="1"/>
      <c r="AJ1" s="2"/>
      <c r="AK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2"/>
      <c r="AK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11"/>
      <c r="AK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" si="0">U5+AD5</f>
        <v>13562.19</v>
      </c>
      <c r="AF5" s="23">
        <v>120</v>
      </c>
      <c r="AG5" s="23">
        <f t="shared" ref="AG5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>G6*H6</f>
        <v>32140</v>
      </c>
      <c r="J6" s="23">
        <v>2</v>
      </c>
      <c r="K6" s="23">
        <v>7</v>
      </c>
      <c r="L6" s="23">
        <v>9</v>
      </c>
      <c r="M6" s="23">
        <f>I6</f>
        <v>32140</v>
      </c>
      <c r="N6" s="23">
        <f>ROUND((M6*J6)/100,2)</f>
        <v>642.79999999999995</v>
      </c>
      <c r="O6" s="23">
        <f>I6-N6</f>
        <v>31497.200000000001</v>
      </c>
      <c r="P6" s="23">
        <f>ROUND((O6*K6)/100,2)</f>
        <v>2204.8000000000002</v>
      </c>
      <c r="Q6" s="23">
        <f>ROUND(O6-P6,2)</f>
        <v>29292.400000000001</v>
      </c>
      <c r="R6" s="23">
        <f>ROUND((Q6*L6)/100,2)</f>
        <v>2636.32</v>
      </c>
      <c r="S6" s="23">
        <f>N6+P6+R6</f>
        <v>5483.92</v>
      </c>
      <c r="T6" s="23">
        <f>ROUND(S6/G6,2)</f>
        <v>548.39</v>
      </c>
      <c r="U6" s="23">
        <f>(I6-S6)</f>
        <v>26656.080000000002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4798.09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4798.09</v>
      </c>
      <c r="AE6" s="23">
        <f t="shared" ref="AE6" si="3">U6+AD6</f>
        <v>31454.17</v>
      </c>
      <c r="AF6" s="23">
        <v>120</v>
      </c>
      <c r="AG6" s="23">
        <f t="shared" ref="AG6" si="4">U6*$N$3</f>
        <v>26656.080000000002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AG5</f>
        <v>11493.38</v>
      </c>
      <c r="AH7" s="30"/>
      <c r="AI7" s="31"/>
      <c r="AJ7" s="31"/>
      <c r="AK7" s="31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0"/>
      <c r="AI8" s="31"/>
      <c r="AJ8" s="31"/>
      <c r="AK8" s="31"/>
    </row>
  </sheetData>
  <mergeCells count="2">
    <mergeCell ref="A1:AE1"/>
    <mergeCell ref="A3:B3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ColWidth="9" defaultRowHeight="15"/>
  <cols>
    <col min="1" max="1" customWidth="true" width="6.42578125"/>
    <col min="2" max="2" customWidth="true" width="28.7109375"/>
    <col min="3" max="3" customWidth="true" width="5.0"/>
    <col min="4" max="4" customWidth="true" width="28.7109375"/>
    <col min="5" max="5" customWidth="true" width="10.85546875"/>
    <col min="6" max="6" customWidth="true" width="10.140625"/>
    <col min="7" max="7" customWidth="true" width="17.85546875"/>
    <col min="8" max="8" customWidth="true" width="16.0"/>
  </cols>
  <sheetData>
    <row r="1" spans="1:8">
      <c r="A1" s="12" t="s">
        <v>7</v>
      </c>
      <c r="B1" s="12" t="s">
        <v>8</v>
      </c>
      <c r="C1" s="12" t="s">
        <v>9</v>
      </c>
      <c r="D1" s="13" t="s">
        <v>10</v>
      </c>
      <c r="E1" s="13" t="s">
        <v>95</v>
      </c>
      <c r="F1" s="13" t="s">
        <v>96</v>
      </c>
      <c r="G1" s="13" t="s">
        <v>42</v>
      </c>
      <c r="H1" s="76" t="s">
        <v>44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77">
        <v>20</v>
      </c>
      <c r="F2" s="77">
        <f>'Case 1'!H5</f>
        <v>1234</v>
      </c>
      <c r="G2" t="s" s="0">
        <v>97</v>
      </c>
      <c r="H2" s="77">
        <f>G2-E2</f>
        <v>2934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77">
        <v>30</v>
      </c>
      <c r="F3" s="77">
        <f>'Case 1'!H6</f>
        <v>3214</v>
      </c>
      <c r="G3" s="0">
        <v>675</v>
      </c>
      <c r="H3" s="77">
        <f>G3-E3</f>
        <v>645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Q1" zoomScale="85" zoomScaleNormal="85" workbookViewId="0">
      <selection activeCell="AA16" sqref="AA1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98</v>
      </c>
      <c r="W5" s="27">
        <v>0.18</v>
      </c>
      <c r="X5" s="23">
        <f>IF(OR($D$3=1,$D$3=4),ROUND((U5*W5)/2,2),0)</f>
        <v>1034.4000000000001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1034.4000000000001</v>
      </c>
      <c r="AB5" s="27">
        <v>0.06</v>
      </c>
      <c r="AC5" s="23">
        <f>IF($D$3=5,ROUND(((U5*AB5)/2),2),0)</f>
        <v>0</v>
      </c>
      <c r="AD5" s="23">
        <f>X5+Y5+Z5+AA5+AC5</f>
        <v>2068.8000000000002</v>
      </c>
      <c r="AE5" s="23">
        <f t="shared" ref="AE5:AE6" si="0">U5+AD5</f>
        <v>13562.18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1285.5999999999999</v>
      </c>
      <c r="O6" s="23">
        <f>I6-N6</f>
        <v>62994.400000000001</v>
      </c>
      <c r="P6" s="23">
        <f>ROUND((O6*K6)/100,2)</f>
        <v>4409.6099999999997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53312.160000000003</v>
      </c>
      <c r="V6" s="23" t="s">
        <v>99</v>
      </c>
      <c r="W6" s="27">
        <v>0.18</v>
      </c>
      <c r="X6" s="23">
        <f>IF(OR($D$3=1,$D$3=4),ROUND((U6*W6)/2,2),0)</f>
        <v>4798.09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4798.09</v>
      </c>
      <c r="AB6" s="27">
        <v>0.06</v>
      </c>
      <c r="AC6" s="23">
        <f>IF($D$3=5,ROUND(((U6*AB6)/2),2),0)</f>
        <v>0</v>
      </c>
      <c r="AD6" s="23">
        <f>X6+Y6+Z6+AA6+AC6</f>
        <v>9596.18</v>
      </c>
      <c r="AE6" s="23">
        <f t="shared" si="0"/>
        <v>62908.34</v>
      </c>
      <c r="AF6" s="23">
        <v>120</v>
      </c>
      <c r="AG6" s="23">
        <f t="shared" si="1"/>
        <v>53312.160000000003</v>
      </c>
      <c r="AH6" s="23">
        <v>3</v>
      </c>
      <c r="AI6" s="23">
        <f>ROUND(G6/AH6,3)</f>
        <v>6.6669999999999998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H1" zoomScale="85" zoomScaleNormal="85" workbookViewId="0">
      <selection activeCell="AG11" sqref="AG11"/>
    </sheetView>
  </sheetViews>
  <sheetFormatPr defaultColWidth="9.140625" defaultRowHeight="14.25"/>
  <cols>
    <col min="1" max="1" customWidth="true" style="4" width="5.7109375"/>
    <col min="2" max="2" customWidth="true" style="4" width="31.7109375"/>
    <col min="3" max="3" customWidth="true" style="4" width="4.5703125"/>
    <col min="4" max="4" customWidth="true" style="4" width="31.71093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2" style="4" width="9.140625"/>
    <col min="43" max="43" customWidth="true" style="4" width="11.0"/>
    <col min="44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54" t="s">
        <v>100</v>
      </c>
      <c r="C5" s="23">
        <v>0</v>
      </c>
      <c r="D5" s="54" t="s">
        <v>100</v>
      </c>
      <c r="E5" s="23" t="s">
        <v>50</v>
      </c>
      <c r="F5" s="23" t="s">
        <v>50</v>
      </c>
      <c r="G5" s="23">
        <v>10</v>
      </c>
      <c r="H5" s="4" t="s">
        <v>101</v>
      </c>
      <c r="I5" s="23">
        <f>G5*H5</f>
        <v>63000</v>
      </c>
      <c r="J5" s="4" t="s">
        <v>102</v>
      </c>
      <c r="K5" s="23">
        <v>2</v>
      </c>
      <c r="L5" s="23">
        <v>4</v>
      </c>
      <c r="M5" s="23">
        <f>I5</f>
        <v>63000</v>
      </c>
      <c r="N5" s="23">
        <f>ROUND((M5*J5)/100,2)</f>
        <v>3150</v>
      </c>
      <c r="O5" s="23">
        <f>I5-N5</f>
        <v>59850</v>
      </c>
      <c r="P5" s="23">
        <f>ROUND((O5*K5)/100,2)</f>
        <v>1197</v>
      </c>
      <c r="Q5" s="23">
        <f>ROUND(O5-P5,2)</f>
        <v>58653</v>
      </c>
      <c r="R5" s="23">
        <f>ROUND((Q5*L5)/100,2)</f>
        <v>2346.12</v>
      </c>
      <c r="S5" s="23">
        <f>N5+P5+R5</f>
        <v>6693.12</v>
      </c>
      <c r="T5" s="23">
        <f>ROUND(S5/G5,2)</f>
        <v>669.31</v>
      </c>
      <c r="U5" s="23">
        <f>(I5-S5)</f>
        <v>56306.879999999997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10135.24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10135.24</v>
      </c>
      <c r="AE5" s="23">
        <f t="shared" ref="AE5:AE6" si="0">U5+AD5</f>
        <v>66442.12</v>
      </c>
      <c r="AF5" s="23">
        <v>120</v>
      </c>
      <c r="AG5" s="23">
        <f t="shared" ref="AG5:AG6" si="1">U5*$N$3</f>
        <v>56306.879999999997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54" t="s">
        <v>103</v>
      </c>
      <c r="C6" s="23">
        <v>0</v>
      </c>
      <c r="D6" s="54" t="s">
        <v>103</v>
      </c>
      <c r="E6" s="23" t="s">
        <v>60</v>
      </c>
      <c r="F6" s="23" t="s">
        <v>50</v>
      </c>
      <c r="G6" s="23">
        <v>10</v>
      </c>
      <c r="H6" s="4" t="s">
        <v>104</v>
      </c>
      <c r="I6" s="23">
        <f>G6*H6</f>
        <v>90000</v>
      </c>
      <c r="J6" s="4" t="s">
        <v>62</v>
      </c>
      <c r="K6" s="23">
        <v>7</v>
      </c>
      <c r="L6" s="23">
        <v>9</v>
      </c>
      <c r="M6" s="23">
        <f>I6</f>
        <v>90000</v>
      </c>
      <c r="N6" s="23">
        <f>ROUND((M6*J6)/100,2)</f>
        <v>1800</v>
      </c>
      <c r="O6" s="23">
        <f>I6-N6</f>
        <v>88200</v>
      </c>
      <c r="P6" s="23">
        <f>ROUND((O6*K6)/100,2)</f>
        <v>6174</v>
      </c>
      <c r="Q6" s="23">
        <f>ROUND(O6-P6,2)</f>
        <v>82026</v>
      </c>
      <c r="R6" s="23">
        <f>ROUND((Q6*L6)/100,2)</f>
        <v>7382.34</v>
      </c>
      <c r="S6" s="23">
        <f>N6+P6+R6</f>
        <v>15356.34</v>
      </c>
      <c r="T6" s="23">
        <f>ROUND(S6/G6,2)</f>
        <v>1535.63</v>
      </c>
      <c r="U6" s="23">
        <f>(I6-S6)</f>
        <v>74643.66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13435.86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13435.86</v>
      </c>
      <c r="AE6" s="23">
        <f t="shared" si="0"/>
        <v>88079.52</v>
      </c>
      <c r="AF6" s="23">
        <v>120</v>
      </c>
      <c r="AG6" s="23">
        <f t="shared" si="1"/>
        <v>74643.66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154521.64000000001</v>
      </c>
      <c r="AF7" s="33" t="s">
        <v>67</v>
      </c>
      <c r="AG7" s="56">
        <f>AG5</f>
        <v>56306.879999999997</v>
      </c>
      <c r="AH7" s="30"/>
      <c r="AI7" s="31"/>
      <c r="AJ7" s="31"/>
      <c r="AK7" s="31"/>
      <c r="AL7" s="3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G1" zoomScale="85" zoomScaleNormal="85" workbookViewId="0">
      <selection activeCell="W7" sqref="W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2333</v>
      </c>
      <c r="I5" s="23">
        <f>G5*H5</f>
        <v>23330</v>
      </c>
      <c r="J5" s="23">
        <v>0</v>
      </c>
      <c r="K5" s="23">
        <v>0</v>
      </c>
      <c r="L5" s="23">
        <v>0</v>
      </c>
      <c r="M5" s="23">
        <f>I5</f>
        <v>23330</v>
      </c>
      <c r="N5" s="23">
        <f>ROUND((M5*J5)/100,2)</f>
        <v>0</v>
      </c>
      <c r="O5" s="23">
        <f>I5-N5</f>
        <v>23330</v>
      </c>
      <c r="P5" s="23">
        <f>ROUND((O5*K5)/100,2)</f>
        <v>0</v>
      </c>
      <c r="Q5" s="23">
        <f>ROUND(O5-P5,2)</f>
        <v>23330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23330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4199.3999999999996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4199.3999999999996</v>
      </c>
      <c r="AE5" s="23">
        <f t="shared" ref="AE5:AE6" si="0">U5+AD5</f>
        <v>27529.4</v>
      </c>
      <c r="AF5" s="23">
        <v>120</v>
      </c>
      <c r="AG5" s="23">
        <f t="shared" ref="AG5:AG6" si="1">U5*$N$3</f>
        <v>23330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4319</v>
      </c>
      <c r="I6" s="23">
        <f>G6*H6</f>
        <v>43190</v>
      </c>
      <c r="J6" s="23">
        <v>0</v>
      </c>
      <c r="K6" s="23">
        <v>0</v>
      </c>
      <c r="L6" s="23">
        <v>0</v>
      </c>
      <c r="M6" s="23">
        <f>I6</f>
        <v>43190</v>
      </c>
      <c r="N6" s="23">
        <f>ROUND((M6*J6)/100,2)</f>
        <v>0</v>
      </c>
      <c r="O6" s="23">
        <f>I6-N6</f>
        <v>43190</v>
      </c>
      <c r="P6" s="23">
        <f>ROUND((O6*K6)/100,2)</f>
        <v>0</v>
      </c>
      <c r="Q6" s="23">
        <f>ROUND(O6-P6,2)</f>
        <v>43190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43190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7774.2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7774.2</v>
      </c>
      <c r="AE6" s="23">
        <f t="shared" si="0"/>
        <v>50964.2</v>
      </c>
      <c r="AF6" s="23">
        <v>120</v>
      </c>
      <c r="AG6" s="23">
        <f t="shared" si="1"/>
        <v>43190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78493.600000000006</v>
      </c>
      <c r="AF7" s="33" t="s">
        <v>67</v>
      </c>
      <c r="AG7" s="56">
        <f>AG5</f>
        <v>23330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V1" zoomScale="85" zoomScaleNormal="85" workbookViewId="0">
      <selection activeCell="X5" sqref="X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C1" zoomScale="85" zoomScaleNormal="85" workbookViewId="0">
      <selection activeCell="S5" sqref="S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4.5703125"/>
    <col min="36" max="36" customWidth="true" style="4" width="11.85546875"/>
    <col min="37" max="37" customWidth="true" style="4" width="13.14062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106</v>
      </c>
      <c r="C5" s="23">
        <v>0</v>
      </c>
      <c r="D5" s="24" t="s">
        <v>106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2</v>
      </c>
      <c r="L5" s="23">
        <v>9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297</v>
      </c>
      <c r="Q5" s="23">
        <f>ROUND(O5-P5,2)</f>
        <v>14553</v>
      </c>
      <c r="R5" s="23">
        <f>ROUND((Q5*L5)/100,2)</f>
        <v>1309.77</v>
      </c>
      <c r="S5" s="23">
        <f>N5+P5+R5</f>
        <v>1756.77</v>
      </c>
      <c r="T5" s="23">
        <f>ROUND(S5/G5,2)</f>
        <v>175.68</v>
      </c>
      <c r="U5" s="23">
        <f>(I5-S5)</f>
        <v>13243.23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2383.7800000000002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2383.7800000000002</v>
      </c>
      <c r="AE5" s="23">
        <f t="shared" ref="AE5" si="0">U5+AD5</f>
        <v>15627.01</v>
      </c>
      <c r="AF5" s="23">
        <v>120</v>
      </c>
      <c r="AG5" s="23">
        <f t="shared" ref="AG5" si="1">U5*$N$3</f>
        <v>13243.23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2383.7800000000002</v>
      </c>
      <c r="AE6" s="30"/>
      <c r="AF6" s="31"/>
      <c r="AG6" s="31"/>
      <c r="AH6" s="31"/>
      <c r="AL6" s="23"/>
      <c r="AM6" s="23"/>
      <c r="AN6" s="2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U1" zoomScale="85" zoomScaleNormal="85" workbookViewId="0">
      <selection activeCell="W6" sqref="W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1.7109375"/>
    <col min="37" max="37" customWidth="true" style="4" width="14.2851562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107</v>
      </c>
      <c r="C5" s="23">
        <v>0</v>
      </c>
      <c r="D5" s="24" t="s">
        <v>107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7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998.13</v>
      </c>
      <c r="S5" s="23">
        <f>N5+P5+R5</f>
        <v>1739.13</v>
      </c>
      <c r="T5" s="23">
        <f>ROUND(S5/G5,2)</f>
        <v>173.91</v>
      </c>
      <c r="U5" s="23">
        <f>(I5-S5)</f>
        <v>13260.87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2386.96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2386.96</v>
      </c>
      <c r="AE5" s="23">
        <f t="shared" ref="AE5" si="0">U5+AD5</f>
        <v>15647.83</v>
      </c>
      <c r="AF5" s="23">
        <v>120</v>
      </c>
      <c r="AG5" s="23">
        <f t="shared" ref="AG5" si="1">U5*$N$3</f>
        <v>13260.87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2386.96</v>
      </c>
      <c r="AE6" s="30"/>
      <c r="AF6" s="31"/>
      <c r="AG6" s="31"/>
      <c r="AH6" s="31"/>
      <c r="AL6" s="23"/>
      <c r="AM6" s="23"/>
      <c r="AN6" s="2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N1" zoomScale="85" zoomScaleNormal="85" workbookViewId="0">
      <selection activeCell="T17" sqref="T1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3.57031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1.5703125"/>
    <col min="37" max="37" customWidth="true" style="4" width="13.7109375"/>
    <col min="38" max="39" style="4" width="9.140625"/>
    <col min="40" max="40" customWidth="true" style="4" width="17.5703125"/>
    <col min="41" max="42" style="4" width="9.140625"/>
    <col min="43" max="43" customWidth="true" style="4" width="11.0"/>
    <col min="44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5</v>
      </c>
      <c r="L5" s="23">
        <v>7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742.5</v>
      </c>
      <c r="Q5" s="23">
        <f>ROUND(O5-P5,2)</f>
        <v>14107.5</v>
      </c>
      <c r="R5" s="23">
        <f>ROUND((Q5*L5)/100,2)</f>
        <v>987.53</v>
      </c>
      <c r="S5" s="23">
        <f>N5+P5+R5</f>
        <v>1880.03</v>
      </c>
      <c r="T5" s="23">
        <f>ROUND(S5/G5,2)</f>
        <v>188</v>
      </c>
      <c r="U5" s="23">
        <f>(I5-S5)</f>
        <v>13119.97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2361.59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2361.59</v>
      </c>
      <c r="AE5" s="23">
        <f t="shared" ref="AE5:AE6" si="0">U5+AD5</f>
        <v>15481.56</v>
      </c>
      <c r="AF5" s="23">
        <v>120</v>
      </c>
      <c r="AG5" s="23">
        <f t="shared" ref="AG5:AG6" si="1">U5*$N$3</f>
        <v>13119.97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108</v>
      </c>
      <c r="C6" s="23">
        <v>0</v>
      </c>
      <c r="D6" s="24" t="s">
        <v>109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v>0</v>
      </c>
      <c r="V6" s="23" t="s">
        <v>53</v>
      </c>
      <c r="W6" s="27">
        <v>0.18</v>
      </c>
      <c r="X6" s="23">
        <f>IF(OR($D$3=1,$D$3=4),ROUND((I6*W6)/2,2),0)</f>
        <v>0</v>
      </c>
      <c r="Y6" s="23">
        <f>IF($D$3=1,ROUND(((I6*W6)/2),2),0)</f>
        <v>0</v>
      </c>
      <c r="Z6" s="23">
        <f>IF($D$3=2,ROUND(((I6*W6)),2),0)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 t="shared" si="0"/>
        <v>0</v>
      </c>
      <c r="AF6" s="23">
        <v>120</v>
      </c>
      <c r="AG6" s="23">
        <f t="shared" si="1"/>
        <v>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75" t="s">
        <v>110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AE5</f>
        <v>15481.56</v>
      </c>
      <c r="AF7" s="33" t="s">
        <v>67</v>
      </c>
      <c r="AG7" s="56">
        <f>AG5</f>
        <v>13119.97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B1" zoomScale="85" zoomScaleNormal="85" workbookViewId="0">
      <selection activeCell="W7" sqref="W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 t="s">
        <v>53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AE5" sqref="AE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3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1200</v>
      </c>
      <c r="I5" s="23">
        <f>G5*H5</f>
        <v>12000</v>
      </c>
      <c r="J5" s="23">
        <v>1</v>
      </c>
      <c r="K5" s="23">
        <v>2</v>
      </c>
      <c r="L5" s="23">
        <v>4</v>
      </c>
      <c r="M5" s="23">
        <f>I5</f>
        <v>12000</v>
      </c>
      <c r="N5" s="23">
        <f>ROUND((M5*J5)/100,2)</f>
        <v>120</v>
      </c>
      <c r="O5" s="23">
        <f>I5-N5</f>
        <v>11880</v>
      </c>
      <c r="P5" s="23">
        <f>ROUND((O5*K5)/100,2)</f>
        <v>237.6</v>
      </c>
      <c r="Q5" s="23">
        <f>ROUND(O5-P5,2)</f>
        <v>11642.4</v>
      </c>
      <c r="R5" s="23">
        <f>ROUND((Q5*L5)/100,2)</f>
        <v>465.7</v>
      </c>
      <c r="S5" s="23">
        <f>N5+P5+R5</f>
        <v>823.3</v>
      </c>
      <c r="T5" s="23">
        <f>ROUND(S5/G5,2)</f>
        <v>82.33</v>
      </c>
      <c r="U5" s="23">
        <f>(I5-S5)</f>
        <v>11176.7</v>
      </c>
      <c r="V5" s="23" t="s">
        <v>53</v>
      </c>
      <c r="W5" s="27">
        <v>0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0</v>
      </c>
      <c r="AE5" s="23">
        <f t="shared" ref="AE5:AE6" si="0">U5+AD5</f>
        <v>11176.7</v>
      </c>
      <c r="AF5" s="23">
        <v>120</v>
      </c>
      <c r="AG5" s="23">
        <f t="shared" ref="AG5:AG6" si="1">U5*$N$3</f>
        <v>11176.7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2500</v>
      </c>
      <c r="I6" s="23">
        <f>G6*H6</f>
        <v>50000</v>
      </c>
      <c r="J6" s="23">
        <v>2</v>
      </c>
      <c r="K6" s="23">
        <v>7</v>
      </c>
      <c r="L6" s="23">
        <v>9</v>
      </c>
      <c r="M6" s="23">
        <f>I6</f>
        <v>50000</v>
      </c>
      <c r="N6" s="23">
        <f>ROUND((M6*J6)/100,2)</f>
        <v>1000</v>
      </c>
      <c r="O6" s="23">
        <f>I6-N6</f>
        <v>49000</v>
      </c>
      <c r="P6" s="23">
        <f>ROUND((O6*K6)/100,2)</f>
        <v>3430</v>
      </c>
      <c r="Q6" s="23">
        <f>ROUND(O6-P6,2)</f>
        <v>45570</v>
      </c>
      <c r="R6" s="23">
        <f>ROUND((Q6*L6)/100,2)</f>
        <v>4101.3</v>
      </c>
      <c r="S6" s="23">
        <f>N6+P6+R6</f>
        <v>8531.2999999999993</v>
      </c>
      <c r="T6" s="23">
        <f>ROUND(S6/G6,2)</f>
        <v>426.57</v>
      </c>
      <c r="U6" s="23">
        <f>(I6-S6)</f>
        <v>41468.699999999997</v>
      </c>
      <c r="V6" s="23" t="s">
        <v>53</v>
      </c>
      <c r="W6" s="27">
        <v>0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0</v>
      </c>
      <c r="AE6" s="23">
        <f t="shared" si="0"/>
        <v>41468.699999999997</v>
      </c>
      <c r="AF6" s="23">
        <v>120</v>
      </c>
      <c r="AG6" s="23">
        <f t="shared" si="1"/>
        <v>41468.699999999997</v>
      </c>
      <c r="AH6" s="23">
        <v>3</v>
      </c>
      <c r="AI6" s="23">
        <f>ROUND(G6/AH6,3)</f>
        <v>6.6669999999999998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9354.6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52645.4</v>
      </c>
      <c r="AF7" s="33" t="s">
        <v>67</v>
      </c>
      <c r="AG7" s="56">
        <f>AG5</f>
        <v>11176.7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F1" zoomScale="85" zoomScaleNormal="85" workbookViewId="0">
      <selection activeCell="AQ5" sqref="AQ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0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0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0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0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spans="1:40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3</v>
      </c>
      <c r="L5" s="23">
        <v>5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445.5</v>
      </c>
      <c r="Q5" s="23">
        <f>ROUND(O5-P5,2)</f>
        <v>14404.5</v>
      </c>
      <c r="R5" s="23">
        <f>ROUND((Q5*L5)/100,2)</f>
        <v>720.23</v>
      </c>
      <c r="S5" s="23">
        <f>ROUND(N5+P5+R5,2)</f>
        <v>1315.73</v>
      </c>
      <c r="T5" s="23">
        <f>ROUND(S5/G5,2)</f>
        <v>131.57</v>
      </c>
      <c r="U5" s="23">
        <f>(I5-S5)</f>
        <v>13684.27</v>
      </c>
      <c r="V5" s="23" t="s">
        <v>53</v>
      </c>
      <c r="W5" s="27">
        <v>0.12</v>
      </c>
      <c r="X5" s="23">
        <v>0</v>
      </c>
      <c r="Y5" s="23">
        <v>0</v>
      </c>
      <c r="Z5" s="23">
        <v>0</v>
      </c>
      <c r="AA5" s="23">
        <v>0</v>
      </c>
      <c r="AB5" s="23">
        <f>U5+AA5</f>
        <v>13684.27</v>
      </c>
      <c r="AC5" s="23">
        <v>120</v>
      </c>
      <c r="AD5" s="23">
        <f t="shared" ref="AD5:AD6" si="0">U5*$N$3</f>
        <v>13684.27</v>
      </c>
      <c r="AE5" s="23">
        <v>1</v>
      </c>
      <c r="AF5" s="23">
        <f t="shared" ref="AF5" si="1"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spans="1:40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2</v>
      </c>
      <c r="K6" s="23">
        <v>1</v>
      </c>
      <c r="L6" s="23">
        <v>3</v>
      </c>
      <c r="M6" s="23">
        <f>I6</f>
        <v>20000</v>
      </c>
      <c r="N6" s="23">
        <f>ROUND((M6*J6)/100,2)</f>
        <v>400</v>
      </c>
      <c r="O6" s="23">
        <f>I6-N6</f>
        <v>19600</v>
      </c>
      <c r="P6" s="23">
        <f>ROUND((O6*K6)/100,2)</f>
        <v>196</v>
      </c>
      <c r="Q6" s="23">
        <f>ROUND(O6-P6,2)</f>
        <v>19404</v>
      </c>
      <c r="R6" s="23">
        <f>ROUND((Q6*L6)/100,2)</f>
        <v>582.12</v>
      </c>
      <c r="S6" s="23">
        <f>ROUND(N6+P6+R6,2)</f>
        <v>1178.1199999999999</v>
      </c>
      <c r="T6" s="23">
        <f>ROUND(S6/G6,2)</f>
        <v>117.81</v>
      </c>
      <c r="U6" s="23">
        <f>(I6-S6)</f>
        <v>18821.88</v>
      </c>
      <c r="V6" s="23" t="s">
        <v>53</v>
      </c>
      <c r="W6" s="27">
        <v>0.05</v>
      </c>
      <c r="X6" s="23">
        <v>0</v>
      </c>
      <c r="Y6" s="23">
        <v>0</v>
      </c>
      <c r="Z6" s="23">
        <v>0</v>
      </c>
      <c r="AA6" s="23">
        <v>0</v>
      </c>
      <c r="AB6" s="23">
        <f t="shared" ref="AB6" si="2">U6+AA6</f>
        <v>18821.88</v>
      </c>
      <c r="AC6" s="23">
        <v>120</v>
      </c>
      <c r="AD6" s="23">
        <f t="shared" si="0"/>
        <v>18821.88</v>
      </c>
      <c r="AE6" s="23">
        <v>3</v>
      </c>
      <c r="AF6" s="23">
        <f>ROUND(G6/AE6,3)</f>
        <v>3.3330000000000002</v>
      </c>
      <c r="AG6" s="51" t="s">
        <v>63</v>
      </c>
      <c r="AH6" s="51" t="s">
        <v>64</v>
      </c>
      <c r="AI6" s="28">
        <f>ROUND((AG6-AF6),3)</f>
        <v>1371.6690000000001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spans="1:40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32506.15</v>
      </c>
      <c r="AC7" s="33" t="s">
        <v>67</v>
      </c>
      <c r="AD7" s="33">
        <f>AD5</f>
        <v>13684.27</v>
      </c>
      <c r="AE7" s="30"/>
      <c r="AF7" s="31"/>
      <c r="AG7" s="31"/>
      <c r="AH7" s="31"/>
    </row>
    <row r="8" spans="1:40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M1" zoomScale="85" zoomScaleNormal="85" workbookViewId="0">
      <selection activeCell="AO6" sqref="AO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2.14062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2438.29</v>
      </c>
      <c r="AA5" s="23">
        <f>IF($D$3=4,ROUND(((U5*W5)/2),2),0)</f>
        <v>0</v>
      </c>
      <c r="AB5" s="27">
        <v>0</v>
      </c>
      <c r="AC5" s="23">
        <f>U5*AB5</f>
        <v>0</v>
      </c>
      <c r="AD5" s="23">
        <f>X5+Y5+Z5+AA5+AC5</f>
        <v>2438.29</v>
      </c>
      <c r="AE5" s="23">
        <f>U5+AD5</f>
        <v>15984.34</v>
      </c>
      <c r="AF5" s="23">
        <v>120</v>
      </c>
      <c r="AG5" s="23">
        <f t="shared" ref="AG5:AG6" si="0">U5*$N$3</f>
        <v>13546.05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111</v>
      </c>
      <c r="C6" s="23">
        <v>0</v>
      </c>
      <c r="D6" s="24" t="s">
        <v>112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ROUND(N6+P6+R6,2)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0.03</v>
      </c>
      <c r="AC6" s="23">
        <f>U6*AB6</f>
        <v>600</v>
      </c>
      <c r="AD6" s="23">
        <f>X6+Y6+Z6+AA6+AC6</f>
        <v>4200</v>
      </c>
      <c r="AE6" s="23">
        <f t="shared" ref="AE6" si="2">U6+AD6</f>
        <v>24200</v>
      </c>
      <c r="AF6" s="23">
        <v>120</v>
      </c>
      <c r="AG6" s="23">
        <f t="shared" si="0"/>
        <v>20000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3</v>
      </c>
      <c r="AP6" s="23">
        <f>ROUND(((AO6*U6)/100),2)</f>
        <v>600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40184.339999999997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Q26"/>
  <sheetViews>
    <sheetView topLeftCell="J1" workbookViewId="0">
      <selection activeCell="F15" sqref="F15"/>
    </sheetView>
  </sheetViews>
  <sheetFormatPr defaultColWidth="9" defaultRowHeight="15"/>
  <cols>
    <col min="2" max="2" customWidth="true" width="28.7109375"/>
    <col min="4" max="4" customWidth="true" width="28.7109375"/>
    <col min="5" max="5" customWidth="true" width="10.42578125"/>
    <col min="6" max="6" customWidth="true" width="17.85546875"/>
    <col min="8" max="8" customWidth="true" width="11.0"/>
    <col min="9" max="9" customWidth="true" width="11.85546875"/>
    <col min="13" max="13" customWidth="true" width="15.140625"/>
    <col min="14" max="14" customWidth="true" width="11.7109375"/>
    <col min="15" max="15" customWidth="true" width="13.28515625"/>
    <col min="16" max="16" customWidth="true" width="15.140625"/>
    <col min="17" max="17" customWidth="true" width="22.5703125"/>
    <col min="18" max="18" customWidth="true" width="10.5703125"/>
    <col min="19" max="19" customWidth="true" width="11.0"/>
    <col min="20" max="20" customWidth="true" width="17.85546875"/>
    <col min="21" max="21" customWidth="true" width="10.7109375"/>
    <col min="28" max="28" customWidth="true" width="10.7109375"/>
    <col min="29" max="29" customWidth="true" width="14.85546875"/>
    <col min="30" max="30" customWidth="true" width="10.7109375"/>
    <col min="31" max="31" customWidth="true" width="13.5703125"/>
    <col min="32" max="32" customWidth="true" width="15.5703125"/>
    <col min="35" max="35" customWidth="true" width="10.0"/>
    <col min="37" max="37" customWidth="true" width="12.7109375"/>
  </cols>
  <sheetData>
    <row r="1" spans="1:43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spans="1:43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spans="1:43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1745.13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1745.13</v>
      </c>
      <c r="AE5" s="23">
        <f t="shared" ref="AE5:AE6" si="0">U5+AD5</f>
        <v>11440.3</v>
      </c>
      <c r="AF5" s="23">
        <v>120</v>
      </c>
      <c r="AG5" s="23">
        <f t="shared" ref="AG5:AG6" si="1">U5*$N$3</f>
        <v>9695.17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284.04000000000002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4084.54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4084.54</v>
      </c>
      <c r="AE6" s="23">
        <f t="shared" si="0"/>
        <v>26776.43</v>
      </c>
      <c r="AF6" s="23">
        <v>120</v>
      </c>
      <c r="AG6" s="23">
        <f t="shared" si="1"/>
        <v>22691.89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38216.730000000003</v>
      </c>
      <c r="AF7" s="33" t="s">
        <v>67</v>
      </c>
      <c r="AG7" s="56">
        <f>AG5</f>
        <v>9695.17</v>
      </c>
      <c r="AH7" s="30"/>
      <c r="AI7" s="31"/>
      <c r="AJ7" s="31"/>
      <c r="AK7" s="31"/>
      <c r="AL7" s="3"/>
      <c r="AM7" s="4"/>
      <c r="AN7" s="4"/>
      <c r="AO7" s="4"/>
      <c r="AP7" s="4"/>
      <c r="AQ7" s="4"/>
    </row>
    <row r="8" spans="1:4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43">
      <c r="C9" s="34" t="s">
        <v>113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43">
      <c r="C10" s="35" t="s">
        <v>114</v>
      </c>
      <c r="D10" s="36" t="s">
        <v>8</v>
      </c>
      <c r="E10" s="36" t="s">
        <v>9</v>
      </c>
      <c r="F10" s="36" t="s">
        <v>115</v>
      </c>
      <c r="G10" s="36" t="s">
        <v>116</v>
      </c>
      <c r="H10" s="37" t="s">
        <v>117</v>
      </c>
      <c r="I10" s="37" t="s">
        <v>118</v>
      </c>
      <c r="J10" s="37" t="s">
        <v>119</v>
      </c>
      <c r="K10" s="39" t="s">
        <v>29</v>
      </c>
      <c r="L10" s="39" t="s">
        <v>30</v>
      </c>
      <c r="M10" s="39" t="s">
        <v>31</v>
      </c>
      <c r="N10" s="39" t="s">
        <v>32</v>
      </c>
      <c r="O10" s="40" t="s">
        <v>36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43">
      <c r="C11" s="43">
        <v>1</v>
      </c>
      <c r="D11" s="44" t="s">
        <v>120</v>
      </c>
      <c r="E11" s="44">
        <v>0</v>
      </c>
      <c r="F11" s="44" t="s">
        <v>120</v>
      </c>
      <c r="G11" s="45" t="s">
        <v>121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43">
      <c r="C12" s="73">
        <v>2</v>
      </c>
      <c r="D12" s="74" t="s">
        <v>122</v>
      </c>
      <c r="E12" s="74">
        <v>0</v>
      </c>
      <c r="F12" s="74" t="s">
        <v>122</v>
      </c>
      <c r="G12" s="74" t="s">
        <v>118</v>
      </c>
      <c r="H12" s="67"/>
      <c r="I12" s="67">
        <v>15000</v>
      </c>
      <c r="J12" s="67">
        <v>112341</v>
      </c>
      <c r="K12" s="68">
        <v>0.18</v>
      </c>
      <c r="L12" s="23">
        <f t="shared" ref="L12" si="3">IF($D$3=1,ROUND(((I12*K12)/2),2),0)</f>
        <v>0</v>
      </c>
      <c r="M12" s="23">
        <f t="shared" ref="M12" si="4">IF($D$3=1,ROUND(((I12*K12)/2),2),0)</f>
        <v>0</v>
      </c>
      <c r="N12" s="23">
        <f t="shared" ref="N12" si="5">IF($D$3=2,ROUND(((I12*K12)),2),0)</f>
        <v>2700</v>
      </c>
      <c r="O12" s="23">
        <f t="shared" ref="O12" si="6">L12+M12+N12</f>
        <v>2700</v>
      </c>
      <c r="P12" s="40" t="s">
        <v>123</v>
      </c>
      <c r="Q12" s="40" t="s">
        <v>124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43">
      <c r="C13" s="4"/>
      <c r="H13" s="23" t="s">
        <v>125</v>
      </c>
      <c r="I13" s="23">
        <f>SUM(I11:I12)</f>
        <v>21477.41</v>
      </c>
      <c r="J13" s="23"/>
      <c r="K13" s="23"/>
      <c r="L13" s="28">
        <f>SUM(L11:L12)</f>
        <v>0</v>
      </c>
      <c r="M13" s="28">
        <f>SUM(M11:M12)</f>
        <v>0</v>
      </c>
      <c r="N13" s="28">
        <f>SUM(N11:N12)</f>
        <v>3865.93</v>
      </c>
      <c r="O13" s="28">
        <f>SUM(O11:O12)</f>
        <v>3865.93</v>
      </c>
      <c r="P13" s="28">
        <f>I13+O13</f>
        <v>25343.34</v>
      </c>
      <c r="Q13" s="28">
        <f>P13+AE7</f>
        <v>63560.07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43">
      <c r="A14" s="4"/>
      <c r="Q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43" ht="18">
      <c r="A15" s="1"/>
      <c r="B15" s="1"/>
      <c r="C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3">
      <c r="A16" s="79"/>
      <c r="B16" s="79"/>
      <c r="C16" s="5"/>
      <c r="Q16" s="10"/>
      <c r="R16" s="10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</row>
    <row r="17" spans="1:33">
      <c r="A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F19" s="51"/>
      <c r="G19" s="4"/>
      <c r="H19" s="4"/>
      <c r="I19" s="4"/>
      <c r="J19" s="4"/>
      <c r="K19" s="4"/>
      <c r="L19" s="4"/>
      <c r="M19" s="4"/>
      <c r="N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4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H13" sqref="BH13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10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11</v>
      </c>
      <c r="AV5" s="23">
        <v>12</v>
      </c>
      <c r="AW5" s="23">
        <v>14</v>
      </c>
      <c r="AX5" s="23">
        <f>AT5</f>
        <v>12340</v>
      </c>
      <c r="AY5" s="23">
        <f>ROUND((AX5*AU5)/100,2)</f>
        <v>1357.4</v>
      </c>
      <c r="AZ5" s="23">
        <f>AT5-AY5</f>
        <v>10982.6</v>
      </c>
      <c r="BA5" s="23">
        <f>ROUND((AZ5*AV5)/100,2)</f>
        <v>1317.91</v>
      </c>
      <c r="BB5" s="23">
        <f>ROUND(AZ5-BA5,2)</f>
        <v>9664.69</v>
      </c>
      <c r="BC5" s="23">
        <f>ROUND((BB5*AW5)/100,2)</f>
        <v>1353.06</v>
      </c>
      <c r="BD5" s="23">
        <f>AY5+BA5+BC5</f>
        <v>4028.37</v>
      </c>
      <c r="BE5" s="23">
        <f>ROUND(BD5/AR5,2)</f>
        <v>402.84</v>
      </c>
      <c r="BF5" s="23">
        <f>(AT5-BD5)</f>
        <v>8311.6299999999992</v>
      </c>
      <c r="BG5" s="23">
        <v>88363222</v>
      </c>
      <c r="BH5" s="27">
        <v>0.18</v>
      </c>
      <c r="BI5" s="23">
        <f>IF(OR($D$3=1,$D$3=4),ROUND((BF5*BH5)/2,2),0)</f>
        <v>748.05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748.05</v>
      </c>
      <c r="BM5" s="27">
        <v>0.06</v>
      </c>
      <c r="BN5" s="23">
        <f>IF($D$3=5,ROUND(((BF5*BM5)/2),2),0)</f>
        <v>0</v>
      </c>
      <c r="BO5" s="23">
        <f>BI5+BJ5+BK5+BL5+BN5</f>
        <v>1496.1</v>
      </c>
      <c r="BP5" s="23">
        <f t="shared" ref="BP5:BP6" si="0">BF5+BO5</f>
        <v>9807.73</v>
      </c>
      <c r="BQ5" s="23">
        <v>120</v>
      </c>
      <c r="BR5" s="23">
        <f t="shared" ref="BR5:BR6" si="1">BF5*$N$3</f>
        <v>8311.6299999999992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56566.400000000001</v>
      </c>
      <c r="BA6" s="23">
        <f>ROUND((AZ6*AV6)/100,2)</f>
        <v>9616.2900000000009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38029.589999999997</v>
      </c>
      <c r="BG6" s="23">
        <v>88363222</v>
      </c>
      <c r="BH6" s="27">
        <v>0.18</v>
      </c>
      <c r="BI6" s="23">
        <f>IF(OR($D$3=1,$D$3=4),ROUND((BF6*BH6)/2,2),0)</f>
        <v>3422.66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3422.66</v>
      </c>
      <c r="BM6" s="27">
        <v>0.06</v>
      </c>
      <c r="BN6" s="23">
        <f>IF($D$3=5,ROUND(((BF6*BM6)/2),2),0)</f>
        <v>0</v>
      </c>
      <c r="BO6" s="23">
        <f>BI6+BJ6+BK6+BL6+BN6</f>
        <v>6845.32</v>
      </c>
      <c r="BP6" s="23">
        <f t="shared" si="0"/>
        <v>44874.91</v>
      </c>
      <c r="BQ6" s="23">
        <v>120</v>
      </c>
      <c r="BR6" s="23">
        <f t="shared" si="1"/>
        <v>38029.589999999997</v>
      </c>
      <c r="BS6" s="23" t="s">
        <v>58</v>
      </c>
    </row>
    <row r="7" spans="1:71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30278.78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54682.64</v>
      </c>
      <c r="BQ7" s="33" t="s">
        <v>67</v>
      </c>
      <c r="BR7" s="56">
        <f>BR5</f>
        <v>8311.6299999999992</v>
      </c>
    </row>
    <row r="8" spans="1:71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S17"/>
  <sheetViews>
    <sheetView showGridLines="0" topLeftCell="J1" zoomScale="85" zoomScaleNormal="85" workbookViewId="0">
      <selection activeCell="V6" sqref="V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80" t="s">
        <v>2</v>
      </c>
      <c r="B3" s="80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36649.800000000003</v>
      </c>
      <c r="BA5" s="23">
        <f>ROUND((AZ5*AV5)/100,2)</f>
        <v>733</v>
      </c>
      <c r="BB5" s="23">
        <f>ROUND(AZ5-BA5,2)</f>
        <v>35916.800000000003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34480.129999999997</v>
      </c>
      <c r="BG5" s="23" t="s">
        <v>98</v>
      </c>
      <c r="BH5" s="27">
        <v>0.12</v>
      </c>
      <c r="BI5" s="23">
        <f>IF(OR($D$3=1,$D$3=4),ROUND((BF5*BH5)/2,2),0)</f>
        <v>2068.81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2068.81</v>
      </c>
      <c r="BM5" s="27">
        <v>0.06</v>
      </c>
      <c r="BN5" s="23">
        <f>IF($D$3=5,ROUND(((BF5*BM5)/2),2),0)</f>
        <v>0</v>
      </c>
      <c r="BO5" s="23">
        <f>BI5+BJ5+BK5+BL5+BN5</f>
        <v>4137.62</v>
      </c>
      <c r="BP5" s="23">
        <f t="shared" ref="BP5:BP6" si="0">BF5+BO5</f>
        <v>38617.75</v>
      </c>
      <c r="BQ5" s="23">
        <v>120</v>
      </c>
      <c r="BR5" s="23">
        <f t="shared" ref="BR5:BR6" si="1">BF5*$N$3</f>
        <v>34480.129999999997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2571.1999999999998</v>
      </c>
      <c r="AZ6" s="23">
        <f>AT6-AY6</f>
        <v>125988.8</v>
      </c>
      <c r="BA6" s="23">
        <f>ROUND((AZ6*AV6)/100,2)</f>
        <v>8819.2199999999993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106624.32000000001</v>
      </c>
      <c r="BG6" s="23" t="s">
        <v>99</v>
      </c>
      <c r="BH6" s="27">
        <v>0.05</v>
      </c>
      <c r="BI6" s="23">
        <f>IF(OR($D$3=1,$D$3=4),ROUND((BF6*BH6)/2,2),0)</f>
        <v>2665.61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2665.61</v>
      </c>
      <c r="BM6" s="27">
        <v>0.06</v>
      </c>
      <c r="BN6" s="23">
        <f>IF($D$3=5,ROUND(((BF6*BM6)/2),2),0)</f>
        <v>0</v>
      </c>
      <c r="BO6" s="23">
        <f>BI6+BJ6+BK6+BL6+BN6</f>
        <v>5331.22</v>
      </c>
      <c r="BP6" s="23">
        <f t="shared" si="0"/>
        <v>111955.54</v>
      </c>
      <c r="BQ6" s="23">
        <v>120</v>
      </c>
      <c r="BR6" s="23">
        <f t="shared" si="1"/>
        <v>106624.32000000001</v>
      </c>
      <c r="BS6" s="23" t="s">
        <v>58</v>
      </c>
    </row>
    <row r="7" spans="1:71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50</v>
      </c>
      <c r="AS7" s="23">
        <v>6754</v>
      </c>
      <c r="AT7" s="23">
        <f>AR7*AS7</f>
        <v>337700</v>
      </c>
      <c r="AU7" s="23">
        <v>4</v>
      </c>
      <c r="AV7" s="23">
        <v>6</v>
      </c>
      <c r="AW7" s="23">
        <v>8</v>
      </c>
      <c r="AX7" s="23">
        <f>AT7</f>
        <v>337700</v>
      </c>
      <c r="AY7" s="23">
        <f>ROUND((AX7*AU7)/100,2)</f>
        <v>13508</v>
      </c>
      <c r="AZ7" s="23">
        <f>AT7-AY7</f>
        <v>324192</v>
      </c>
      <c r="BA7" s="23">
        <f>ROUND((AZ7*AV7)/100,2)</f>
        <v>19451.52</v>
      </c>
      <c r="BB7" s="23">
        <f>ROUND(AZ7-BA7,2)</f>
        <v>304740.47999999998</v>
      </c>
      <c r="BC7" s="23">
        <f>ROUND((BB7*AW7)/100,2)</f>
        <v>24379.24</v>
      </c>
      <c r="BD7" s="23">
        <f>AY7+BA7+BC7</f>
        <v>57338.76</v>
      </c>
      <c r="BE7" s="23">
        <f>ROUND(BD7/AR7,2)</f>
        <v>1146.78</v>
      </c>
      <c r="BF7" s="23">
        <f>(AT7-BD7)</f>
        <v>280361.24</v>
      </c>
      <c r="BG7" s="23" t="s">
        <v>99</v>
      </c>
      <c r="BH7" s="27">
        <v>0.05</v>
      </c>
      <c r="BI7" s="23">
        <f>IF(OR($D$3=1,$D$3=4),ROUND((BF7*BH7)/2,2),0)</f>
        <v>7009.03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7009.03</v>
      </c>
      <c r="BM7" s="27">
        <v>0.06</v>
      </c>
      <c r="BN7" s="23">
        <f>IF($D$3=5,ROUND(((BF7*BM7)/2),2),0)</f>
        <v>0</v>
      </c>
      <c r="BO7" s="23">
        <f>BI7+BJ7+BK7+BL7+BN7</f>
        <v>14018.06</v>
      </c>
      <c r="BP7" s="23">
        <f t="shared" ref="BP7" si="2">BF7+BO7</f>
        <v>294379.3</v>
      </c>
      <c r="BQ7" s="23">
        <v>120</v>
      </c>
      <c r="BR7" s="23">
        <f t="shared" ref="BR7" si="3">BF7*$N$3</f>
        <v>280361.24</v>
      </c>
      <c r="BS7" s="23" t="s">
        <v>58</v>
      </c>
    </row>
    <row r="8" spans="1:71" ht="14.25" customHeight="1"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81814.31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444952.59</v>
      </c>
      <c r="BQ8" s="33" t="s">
        <v>67</v>
      </c>
      <c r="BR8" s="56">
        <f>SUM(BR5:BR7)</f>
        <v>421465.69</v>
      </c>
    </row>
    <row r="9" spans="1:71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2678</v>
      </c>
      <c r="AT5" s="23">
        <f>AR5*AS5</f>
        <v>26780</v>
      </c>
      <c r="AU5" s="23">
        <v>1</v>
      </c>
      <c r="AV5" s="23">
        <v>2</v>
      </c>
      <c r="AW5" s="23">
        <v>4</v>
      </c>
      <c r="AX5" s="23">
        <f>AT5</f>
        <v>26780</v>
      </c>
      <c r="AY5" s="23">
        <f>ROUND((AX5*AU5)/100,2)</f>
        <v>267.8</v>
      </c>
      <c r="AZ5" s="23">
        <f>AT5-AY5</f>
        <v>26512.2</v>
      </c>
      <c r="BA5" s="23">
        <f>ROUND((AZ5*AV5)/100,2)</f>
        <v>530.24</v>
      </c>
      <c r="BB5" s="23">
        <f>ROUND(AZ5-BA5,2)</f>
        <v>25981.96</v>
      </c>
      <c r="BC5" s="23">
        <f>ROUND((BB5*AW5)/100,2)</f>
        <v>1039.28</v>
      </c>
      <c r="BD5" s="23">
        <f>AY5+BA5+BC5</f>
        <v>1837.32</v>
      </c>
      <c r="BE5" s="23">
        <f>ROUND(BD5/AR5,2)</f>
        <v>183.73</v>
      </c>
      <c r="BF5" s="23">
        <f>(AT5-BD5)</f>
        <v>24942.68</v>
      </c>
      <c r="BG5" s="23">
        <v>88363222</v>
      </c>
      <c r="BH5" s="27">
        <v>0.18</v>
      </c>
      <c r="BI5" s="23">
        <f>IF(OR($D$3=1,$D$3=4),ROUND((BF5*BH5)/2,2),0)</f>
        <v>2244.84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2244.84</v>
      </c>
      <c r="BM5" s="27">
        <v>0.06</v>
      </c>
      <c r="BN5" s="23">
        <f>IF($D$3=5,ROUND(((BF5*BM5)/2),2),0)</f>
        <v>0</v>
      </c>
      <c r="BO5" s="23">
        <f>BI5+BJ5+BK5+BL5+BN5</f>
        <v>4489.68</v>
      </c>
      <c r="BP5" s="23">
        <f t="shared" ref="BP5:BP6" si="0">BF5+BO5</f>
        <v>29432.36</v>
      </c>
      <c r="BQ5" s="23">
        <v>120</v>
      </c>
      <c r="BR5" s="23">
        <f t="shared" ref="BR5:BR6" si="1">BF5*$N$3</f>
        <v>24942.68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4256</v>
      </c>
      <c r="AT6" s="23">
        <f>AR6*AS6</f>
        <v>85120</v>
      </c>
      <c r="AU6" s="23">
        <v>2</v>
      </c>
      <c r="AV6" s="23">
        <v>7</v>
      </c>
      <c r="AW6" s="23">
        <v>9</v>
      </c>
      <c r="AX6" s="23">
        <f>AT6</f>
        <v>85120</v>
      </c>
      <c r="AY6" s="23">
        <f>ROUND((AX6*AU6)/100,2)</f>
        <v>1702.4</v>
      </c>
      <c r="AZ6" s="23">
        <f>AT6-AY6</f>
        <v>83417.600000000006</v>
      </c>
      <c r="BA6" s="23">
        <f>ROUND((AZ6*AV6)/100,2)</f>
        <v>5839.23</v>
      </c>
      <c r="BB6" s="23">
        <f>ROUND(AZ6-BA6,2)</f>
        <v>77578.37</v>
      </c>
      <c r="BC6" s="23">
        <f>ROUND((BB6*AW6)/100,2)</f>
        <v>6982.05</v>
      </c>
      <c r="BD6" s="23">
        <f>AY6+BA6+BC6</f>
        <v>14523.68</v>
      </c>
      <c r="BE6" s="23">
        <f>ROUND(BD6/AR6,2)</f>
        <v>726.18</v>
      </c>
      <c r="BF6" s="23">
        <f>(AT6-BD6)</f>
        <v>70596.320000000007</v>
      </c>
      <c r="BG6" s="23">
        <v>88363222</v>
      </c>
      <c r="BH6" s="27">
        <v>0.18</v>
      </c>
      <c r="BI6" s="23">
        <f>IF(OR($D$3=1,$D$3=4),ROUND((BF6*BH6)/2,2),0)</f>
        <v>6353.67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6353.67</v>
      </c>
      <c r="BM6" s="27">
        <v>0.06</v>
      </c>
      <c r="BN6" s="23">
        <f>IF($D$3=5,ROUND(((BF6*BM6)/2),2),0)</f>
        <v>0</v>
      </c>
      <c r="BO6" s="23">
        <f>BI6+BJ6+BK6+BL6+BN6</f>
        <v>12707.34</v>
      </c>
      <c r="BP6" s="23">
        <f t="shared" si="0"/>
        <v>83303.66</v>
      </c>
      <c r="BQ6" s="23">
        <v>120</v>
      </c>
      <c r="BR6" s="23">
        <f t="shared" si="1"/>
        <v>70596.320000000007</v>
      </c>
      <c r="BS6" s="23" t="s">
        <v>58</v>
      </c>
    </row>
    <row r="7" spans="1:71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16361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112736.02</v>
      </c>
      <c r="BQ7" s="33" t="s">
        <v>67</v>
      </c>
      <c r="BR7" s="56">
        <f>BR5</f>
        <v>24942.68</v>
      </c>
    </row>
    <row r="8" spans="1:71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N1" zoomScale="85" zoomScaleNormal="85" workbookViewId="0">
      <selection activeCell="B7" sqref="B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style="4" width="9.140625"/>
    <col min="67" max="67" customWidth="true" style="4" width="14.0"/>
    <col min="68" max="68" customWidth="true" style="4" width="13.8554687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46</v>
      </c>
      <c r="BT4" s="20" t="s">
        <v>48</v>
      </c>
      <c r="BU4" s="20" t="s">
        <v>154</v>
      </c>
    </row>
    <row r="5" spans="1:73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1034.4000000000001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1034.4000000000001</v>
      </c>
      <c r="BM5" s="27">
        <v>0.06</v>
      </c>
      <c r="BN5" s="23">
        <f>IF($D$3=5,ROUND(((BF5*BM5)/2),2),0)</f>
        <v>0</v>
      </c>
      <c r="BO5" s="23">
        <f>BI5+BJ5+BK5+BL5+BN5</f>
        <v>2068.8000000000002</v>
      </c>
      <c r="BP5" s="23">
        <f t="shared" ref="BP5:BP6" si="0">BF5+BO5</f>
        <v>13562.18</v>
      </c>
      <c r="BQ5" s="23">
        <v>120</v>
      </c>
      <c r="BR5" s="23">
        <f>BF5*$N$3</f>
        <v>11493.38</v>
      </c>
      <c r="BS5" s="23" t="s">
        <v>58</v>
      </c>
      <c r="BT5" s="23" t="s">
        <v>58</v>
      </c>
      <c r="BU5" s="23" t="s">
        <v>155</v>
      </c>
    </row>
    <row r="6" spans="1:73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1285.5999999999999</v>
      </c>
      <c r="AZ6" s="23">
        <f>AT6-AY6</f>
        <v>62994.400000000001</v>
      </c>
      <c r="BA6" s="23">
        <f>ROUND((AZ6*AV6)/100,2)</f>
        <v>4409.6099999999997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53312.160000000003</v>
      </c>
      <c r="BG6" s="23">
        <v>88363222</v>
      </c>
      <c r="BH6" s="27">
        <v>0.18</v>
      </c>
      <c r="BI6" s="23">
        <f>IF(OR($D$3=1,$D$3=4),ROUND((BF6*BH6)/2,2),0)</f>
        <v>4798.09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4798.09</v>
      </c>
      <c r="BM6" s="27">
        <v>0.06</v>
      </c>
      <c r="BN6" s="23">
        <f>IF($D$3=5,ROUND(((BF6*BM6)/2),2),0)</f>
        <v>0</v>
      </c>
      <c r="BO6" s="23">
        <f>BI6+BJ6+BK6+BL6+BN6</f>
        <v>9596.18</v>
      </c>
      <c r="BP6" s="23">
        <f t="shared" si="0"/>
        <v>62908.34</v>
      </c>
      <c r="BQ6" s="23">
        <v>120</v>
      </c>
      <c r="BR6" s="23">
        <f t="shared" ref="BR6" si="1">BF6*$N$3</f>
        <v>53312.160000000003</v>
      </c>
      <c r="BS6" s="23" t="s">
        <v>58</v>
      </c>
      <c r="BT6" s="23" t="s">
        <v>58</v>
      </c>
      <c r="BU6" s="23" t="s">
        <v>155</v>
      </c>
    </row>
    <row r="7" spans="1:73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21124.32</v>
      </c>
      <c r="BM7" s="27">
        <v>0.06</v>
      </c>
      <c r="BN7" s="23">
        <f>IF($D$3=5,ROUND(((BF7*BM7)/2),2),0)</f>
        <v>0</v>
      </c>
      <c r="BO7" s="23">
        <f>BI7+BJ7+BK7+BL7+BN7</f>
        <v>42248.639999999999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156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76470.52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353433.85</v>
      </c>
      <c r="BQ8" s="33" t="s">
        <v>67</v>
      </c>
      <c r="BR8" s="56">
        <f>SUM(BR5:BR7)</f>
        <v>299520.23</v>
      </c>
    </row>
    <row r="9" spans="1:73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BC1" zoomScale="85" zoomScaleNormal="85" workbookViewId="0">
      <selection activeCell="BI8" sqref="BI8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2068.81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2068.81</v>
      </c>
      <c r="BP5" s="23">
        <f t="shared" ref="BP5:BP6" si="0">BF5+BO5</f>
        <v>13562.19</v>
      </c>
      <c r="BQ5" s="23">
        <v>120</v>
      </c>
      <c r="BR5" s="23">
        <f t="shared" ref="BR5:BR6" si="1">BF5*$N$3</f>
        <v>11493.38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1285.5999999999999</v>
      </c>
      <c r="AZ6" s="23">
        <f>AT6-AY6</f>
        <v>62994.400000000001</v>
      </c>
      <c r="BA6" s="23">
        <f>ROUND((AZ6*AV6)/100,2)</f>
        <v>4409.6099999999997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53312.160000000003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9596.19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9596.19</v>
      </c>
      <c r="BP6" s="23">
        <f t="shared" si="0"/>
        <v>62908.35</v>
      </c>
      <c r="BQ6" s="23">
        <v>120</v>
      </c>
      <c r="BR6" s="23">
        <f t="shared" si="1"/>
        <v>53312.160000000003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0</v>
      </c>
      <c r="BJ7" s="23">
        <f>IF($D$3=1,ROUND(((BF7*BH7)/2),2),0)</f>
        <v>0</v>
      </c>
      <c r="BK7" s="23">
        <f>IF($D$3=2,ROUND(((BF7*BH7)),2),0)</f>
        <v>42248.639999999999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42248.639999999999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156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76470.539999999994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353433.87</v>
      </c>
      <c r="BQ8" s="33" t="s">
        <v>67</v>
      </c>
      <c r="BR8" s="56">
        <f>SUM(BR5:BR7)</f>
        <v>299520.23</v>
      </c>
    </row>
    <row r="9" spans="1:73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36649.800000000003</v>
      </c>
      <c r="BA5" s="23">
        <f>ROUND((AZ5*AV5)/100,2)</f>
        <v>733</v>
      </c>
      <c r="BB5" s="23">
        <f>ROUND(AZ5-BA5,2)</f>
        <v>35916.800000000003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34480.129999999997</v>
      </c>
      <c r="BG5" s="23">
        <v>88363222</v>
      </c>
      <c r="BH5" s="27">
        <v>0.18</v>
      </c>
      <c r="BI5" s="23">
        <f>IF(OR($D$3=1,$D$3=4),ROUND((BF5*BH5)/2,2),0)</f>
        <v>3103.21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3103.21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40686.550000000003</v>
      </c>
      <c r="BQ5" s="23">
        <v>120</v>
      </c>
      <c r="BR5" s="23">
        <f t="shared" ref="BR5:BR6" si="1">BF5*$N$3</f>
        <v>34480.129999999997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2571.1999999999998</v>
      </c>
      <c r="AZ6" s="23">
        <f>AT6-AY6</f>
        <v>125988.8</v>
      </c>
      <c r="BA6" s="23">
        <f>ROUND((AZ6*AV6)/100,2)</f>
        <v>8819.2199999999993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106624.32000000001</v>
      </c>
      <c r="BG6" s="23">
        <v>88363222</v>
      </c>
      <c r="BH6" s="27">
        <v>0.18</v>
      </c>
      <c r="BI6" s="23">
        <f>IF(OR($D$3=1,$D$3=4),ROUND((BF6*BH6)/2,2),0)</f>
        <v>9596.19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9596.19</v>
      </c>
      <c r="BM6" s="27">
        <v>0.06</v>
      </c>
      <c r="BN6" s="23">
        <f>IF($D$3=5,ROUND(((BF6*BM6)/2),2),0)</f>
        <v>0</v>
      </c>
      <c r="BO6" s="23">
        <f>BI6+BJ6+BK6+BL6+BN6</f>
        <v>19192.38</v>
      </c>
      <c r="BP6" s="23">
        <f t="shared" si="0"/>
        <v>125816.7</v>
      </c>
      <c r="BQ6" s="23">
        <v>120</v>
      </c>
      <c r="BR6" s="23">
        <f t="shared" si="1"/>
        <v>106624.32000000001</v>
      </c>
      <c r="BS6" s="23" t="s">
        <v>58</v>
      </c>
    </row>
    <row r="7" spans="1:71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24475.55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166503.25</v>
      </c>
      <c r="BQ7" s="33" t="s">
        <v>67</v>
      </c>
      <c r="BR7" s="56">
        <f>BR5</f>
        <v>34480.129999999997</v>
      </c>
    </row>
    <row r="8" spans="1:71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R1" zoomScale="85" zoomScaleNormal="85" workbookViewId="0">
      <selection activeCell="V6" sqref="V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f>SO!H5</f>
        <v>1234</v>
      </c>
      <c r="AQ5" s="23">
        <f>AO5*AP5</f>
        <v>24680</v>
      </c>
      <c r="AR5" s="23">
        <f>SO!J5</f>
        <v>1</v>
      </c>
      <c r="AS5" s="23">
        <f>SO!K5</f>
        <v>2</v>
      </c>
      <c r="AT5" s="23">
        <f>SO!L5</f>
        <v>4</v>
      </c>
      <c r="AU5" s="23">
        <f>AQ5</f>
        <v>24680</v>
      </c>
      <c r="AV5" s="23">
        <f>ROUND((AU5*AR5)/100,2)</f>
        <v>246.8</v>
      </c>
      <c r="AW5" s="23">
        <f>AQ5-AV5</f>
        <v>24433.200000000001</v>
      </c>
      <c r="AX5" s="23">
        <f>ROUND((AW5*AS5)/100,2)</f>
        <v>488.66</v>
      </c>
      <c r="AY5" s="23">
        <f>ROUND(AW5-AX5,2)</f>
        <v>23944.54</v>
      </c>
      <c r="AZ5" s="23">
        <f>ROUND((AY5*AT5)/100,2)</f>
        <v>957.78</v>
      </c>
      <c r="BA5" s="23">
        <f>AV5+AX5+AZ5</f>
        <v>1693.24</v>
      </c>
      <c r="BB5" s="23">
        <f>ROUND(BA5/AO5,2)</f>
        <v>84.66</v>
      </c>
      <c r="BC5" s="23">
        <f>(AQ5-BA5)</f>
        <v>22986.76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4137.62</v>
      </c>
      <c r="BI5" s="23">
        <f>BF5+BG5+BH5</f>
        <v>4137.62</v>
      </c>
      <c r="BJ5" s="23">
        <f>BC5+BI5</f>
        <v>27124.38</v>
      </c>
      <c r="BK5" s="23">
        <v>120</v>
      </c>
      <c r="BL5" s="23">
        <f>BC5*SO!$N$3</f>
        <v>22986.76</v>
      </c>
      <c r="BM5" s="23" t="s">
        <v>182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23">
        <f>SO!H6</f>
        <v>3214</v>
      </c>
      <c r="AQ6" s="23">
        <f>AO6*AP6</f>
        <v>96420</v>
      </c>
      <c r="AR6" s="23">
        <f>SO!J6</f>
        <v>2</v>
      </c>
      <c r="AS6" s="23">
        <f>SO!K6</f>
        <v>7</v>
      </c>
      <c r="AT6" s="23">
        <f>SO!L6</f>
        <v>9</v>
      </c>
      <c r="AU6" s="23">
        <f>AQ6</f>
        <v>96420</v>
      </c>
      <c r="AV6" s="23">
        <f>ROUND((AU6*AR6)/100,2)</f>
        <v>1928.4</v>
      </c>
      <c r="AW6" s="23">
        <f>AQ6-AV6</f>
        <v>94491.6</v>
      </c>
      <c r="AX6" s="23">
        <f>ROUND((AW6*AS6)/100,2)</f>
        <v>6614.41</v>
      </c>
      <c r="AY6" s="23">
        <f>ROUND(AW6-AX6,2)</f>
        <v>87877.19</v>
      </c>
      <c r="AZ6" s="23">
        <f>ROUND((AY6*AT6)/100,2)</f>
        <v>7908.95</v>
      </c>
      <c r="BA6" s="23">
        <f>AV6+AX6+AZ6</f>
        <v>16451.759999999998</v>
      </c>
      <c r="BB6" s="23">
        <f>ROUND(BA6/AO6,2)</f>
        <v>548.39</v>
      </c>
      <c r="BC6" s="23">
        <f>(AQ6-BA6)</f>
        <v>79968.240000000005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14394.28</v>
      </c>
      <c r="BI6" s="23">
        <f>BF6+BG6+BH6</f>
        <v>14394.28</v>
      </c>
      <c r="BJ6" s="23">
        <f>BC6+BI6</f>
        <v>94362.52</v>
      </c>
      <c r="BK6" s="23">
        <v>120</v>
      </c>
      <c r="BL6" s="23">
        <f>BC6*SO!$N$3</f>
        <v>79968.240000000005</v>
      </c>
      <c r="BM6" s="23" t="s">
        <v>182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18145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121486.9</v>
      </c>
      <c r="BK7" s="33" t="s">
        <v>67</v>
      </c>
      <c r="BL7" s="56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C1" zoomScale="85" zoomScaleNormal="85" workbookViewId="0">
      <selection activeCell="BI6" sqref="BI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10</v>
      </c>
      <c r="AV5" s="23">
        <v>12</v>
      </c>
      <c r="AW5" s="23">
        <v>14</v>
      </c>
      <c r="AX5" s="23">
        <f>AT5</f>
        <v>12340</v>
      </c>
      <c r="AY5" s="23">
        <f>ROUND((AX5*AU5)/100,2)</f>
        <v>1234</v>
      </c>
      <c r="AZ5" s="23">
        <f>AT5-AY5</f>
        <v>11106</v>
      </c>
      <c r="BA5" s="23">
        <f>ROUND((AZ5*AV5)/100,2)</f>
        <v>1332.72</v>
      </c>
      <c r="BB5" s="23">
        <f>ROUND(AZ5-BA5,2)</f>
        <v>9773.2800000000007</v>
      </c>
      <c r="BC5" s="23">
        <f>ROUND((BB5*AW5)/100,2)</f>
        <v>1368.26</v>
      </c>
      <c r="BD5" s="23">
        <f>AY5+BA5+BC5</f>
        <v>3934.98</v>
      </c>
      <c r="BE5" s="23">
        <f>ROUND(BD5/AR5,2)</f>
        <v>393.5</v>
      </c>
      <c r="BF5" s="23">
        <f>(AT5-BD5)</f>
        <v>8405.02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1512.9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1512.9</v>
      </c>
      <c r="BP5" s="23">
        <f t="shared" ref="BP5:BP6" si="0">BF5+BO5</f>
        <v>9917.92</v>
      </c>
      <c r="BQ5" s="23">
        <v>120</v>
      </c>
      <c r="BR5" s="23">
        <f t="shared" ref="BR5:BR6" si="1">BF5*$N$3</f>
        <v>8405.02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56566.400000000001</v>
      </c>
      <c r="BA6" s="23">
        <f>ROUND((AZ6*AV6)/100,2)</f>
        <v>9616.2900000000009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38029.589999999997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6845.33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6845.33</v>
      </c>
      <c r="BP6" s="23">
        <f t="shared" si="0"/>
        <v>44874.92</v>
      </c>
      <c r="BQ6" s="23">
        <v>120</v>
      </c>
      <c r="BR6" s="23">
        <f t="shared" si="1"/>
        <v>38029.589999999997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30185.39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54792.84</v>
      </c>
      <c r="BQ7" s="33" t="s">
        <v>67</v>
      </c>
      <c r="BR7" s="56">
        <f>BR5</f>
        <v>8405.02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2150</v>
      </c>
      <c r="AT5" s="23">
        <f>AR5*AS5</f>
        <v>21500</v>
      </c>
      <c r="AU5" s="23">
        <v>1</v>
      </c>
      <c r="AV5" s="23">
        <v>2</v>
      </c>
      <c r="AW5" s="23">
        <v>4</v>
      </c>
      <c r="AX5" s="23">
        <f>AT5</f>
        <v>21500</v>
      </c>
      <c r="AY5" s="23">
        <f>ROUND((AX5*AU5)/100,2)</f>
        <v>215</v>
      </c>
      <c r="AZ5" s="23">
        <f>AT5-AY5</f>
        <v>21285</v>
      </c>
      <c r="BA5" s="23">
        <f>ROUND((AZ5*AV5)/100,2)</f>
        <v>425.7</v>
      </c>
      <c r="BB5" s="23">
        <f>ROUND(AZ5-BA5,2)</f>
        <v>20859.3</v>
      </c>
      <c r="BC5" s="23">
        <f>ROUND((BB5*AW5)/100,2)</f>
        <v>834.37</v>
      </c>
      <c r="BD5" s="23">
        <f>AY5+BA5+BC5</f>
        <v>1475.07</v>
      </c>
      <c r="BE5" s="23">
        <f>ROUND(BD5/AR5,2)</f>
        <v>147.51</v>
      </c>
      <c r="BF5" s="23">
        <f>(AT5-BD5)</f>
        <v>20024.93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3604.49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3604.49</v>
      </c>
      <c r="BP5" s="23">
        <f t="shared" ref="BP5:BP6" si="0">BF5+BO5</f>
        <v>23629.42</v>
      </c>
      <c r="BQ5" s="23">
        <v>120</v>
      </c>
      <c r="BR5" s="23">
        <f t="shared" ref="BR5:BR6" si="1">BF5*$N$3</f>
        <v>20024.93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3265</v>
      </c>
      <c r="AT6" s="23">
        <f>AR6*AS6</f>
        <v>65300</v>
      </c>
      <c r="AU6" s="23">
        <v>2</v>
      </c>
      <c r="AV6" s="23">
        <v>7</v>
      </c>
      <c r="AW6" s="23">
        <v>9</v>
      </c>
      <c r="AX6" s="23">
        <f>AT6</f>
        <v>65300</v>
      </c>
      <c r="AY6" s="23">
        <f>ROUND((AX6*AU6)/100,2)</f>
        <v>1306</v>
      </c>
      <c r="AZ6" s="23">
        <f>AT6-AY6</f>
        <v>63994</v>
      </c>
      <c r="BA6" s="23">
        <f>ROUND((AZ6*AV6)/100,2)</f>
        <v>4479.58</v>
      </c>
      <c r="BB6" s="23">
        <f>ROUND(AZ6-BA6,2)</f>
        <v>59514.42</v>
      </c>
      <c r="BC6" s="23">
        <f>ROUND((BB6*AW6)/100,2)</f>
        <v>5356.3</v>
      </c>
      <c r="BD6" s="23">
        <f>AY6+BA6+BC6</f>
        <v>11141.88</v>
      </c>
      <c r="BE6" s="23">
        <f>ROUND(BD6/AR6,2)</f>
        <v>557.09</v>
      </c>
      <c r="BF6" s="23">
        <f>(AT6-BD6)</f>
        <v>54158.12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9748.4599999999991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9748.4599999999991</v>
      </c>
      <c r="BP6" s="23">
        <f t="shared" si="0"/>
        <v>63906.58</v>
      </c>
      <c r="BQ6" s="23">
        <v>120</v>
      </c>
      <c r="BR6" s="23">
        <f t="shared" si="1"/>
        <v>54158.12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12616.95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87536</v>
      </c>
      <c r="BQ7" s="33" t="s">
        <v>67</v>
      </c>
      <c r="BR7" s="56">
        <f>BR5</f>
        <v>20024.93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32.0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3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36649.800000000003</v>
      </c>
      <c r="BA5" s="23">
        <f>ROUND((AZ5*AV5)/100,2)</f>
        <v>733</v>
      </c>
      <c r="BB5" s="23">
        <f>ROUND(AZ5-BA5,2)</f>
        <v>35916.800000000003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34480.129999999997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6206.42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40686.550000000003</v>
      </c>
      <c r="BQ5" s="23">
        <v>120</v>
      </c>
      <c r="BR5" s="23">
        <f t="shared" ref="BR5:BR6" si="1">BF5*$N$3</f>
        <v>34480.129999999997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50</v>
      </c>
      <c r="AS6" s="23">
        <v>3214</v>
      </c>
      <c r="AT6" s="23">
        <f>AR6*AS6</f>
        <v>160700</v>
      </c>
      <c r="AU6" s="23">
        <v>2</v>
      </c>
      <c r="AV6" s="23">
        <v>7</v>
      </c>
      <c r="AW6" s="23">
        <v>9</v>
      </c>
      <c r="AX6" s="23">
        <f>AT6</f>
        <v>160700</v>
      </c>
      <c r="AY6" s="23">
        <f>ROUND((AX6*AU6)/100,2)</f>
        <v>3214</v>
      </c>
      <c r="AZ6" s="23">
        <f>AT6-AY6</f>
        <v>157486</v>
      </c>
      <c r="BA6" s="23">
        <f>ROUND((AZ6*AV6)/100,2)</f>
        <v>11024.02</v>
      </c>
      <c r="BB6" s="23">
        <f>ROUND(AZ6-BA6,2)</f>
        <v>146461.98000000001</v>
      </c>
      <c r="BC6" s="23">
        <f>ROUND((BB6*AW6)/100,2)</f>
        <v>13181.58</v>
      </c>
      <c r="BD6" s="23">
        <f>AY6+BA6+BC6</f>
        <v>27419.599999999999</v>
      </c>
      <c r="BE6" s="23">
        <f>ROUND(BD6/AR6,2)</f>
        <v>548.39</v>
      </c>
      <c r="BF6" s="23">
        <f>(AT6-BD6)</f>
        <v>133280.4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23990.47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23990.47</v>
      </c>
      <c r="BP6" s="23">
        <f t="shared" si="0"/>
        <v>157270.87</v>
      </c>
      <c r="BQ6" s="23">
        <v>120</v>
      </c>
      <c r="BR6" s="23">
        <f t="shared" si="1"/>
        <v>133280.4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29959.47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197957.42</v>
      </c>
      <c r="BQ7" s="33" t="s">
        <v>67</v>
      </c>
      <c r="BR7" s="56">
        <f>BR5</f>
        <v>34480.129999999997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K1" zoomScale="85" zoomScaleNormal="85" workbookViewId="0">
      <selection activeCell="W20" sqref="W20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5.0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0.5703125"/>
    <col min="60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2567</v>
      </c>
      <c r="AT5" s="23">
        <f>AR5*AS5</f>
        <v>25670</v>
      </c>
      <c r="AU5" s="23">
        <v>2</v>
      </c>
      <c r="AV5" s="23">
        <v>3</v>
      </c>
      <c r="AW5" s="23">
        <v>5</v>
      </c>
      <c r="AX5" s="23">
        <f>AT5</f>
        <v>25670</v>
      </c>
      <c r="AY5" s="23">
        <f>ROUND((AX5*AU5)/100,2)</f>
        <v>513.4</v>
      </c>
      <c r="AZ5" s="23">
        <f>AT5-AY5</f>
        <v>25156.6</v>
      </c>
      <c r="BA5" s="23">
        <f>ROUND((AZ5*AV5)/100,2)</f>
        <v>754.7</v>
      </c>
      <c r="BB5" s="23">
        <f>ROUND(AZ5-BA5,2)</f>
        <v>24401.9</v>
      </c>
      <c r="BC5" s="23">
        <f>ROUND((BB5*AW5)/100,2)</f>
        <v>1220.0999999999999</v>
      </c>
      <c r="BD5" s="23">
        <f>ROUND(AY5+BA5+BC5,2)</f>
        <v>2488.1999999999998</v>
      </c>
      <c r="BE5" s="23">
        <f>ROUND(BD5/AR5,2)</f>
        <v>248.82</v>
      </c>
      <c r="BF5" s="23">
        <f>(AT5-BD5)</f>
        <v>23181.8</v>
      </c>
      <c r="BG5" s="23">
        <v>88363222</v>
      </c>
      <c r="BH5" s="27">
        <v>0.18</v>
      </c>
      <c r="BI5" s="23">
        <f>IF(OR($D$3=1,$D$3=4),ROUND((BF5*BH5)/2,2),0)</f>
        <v>2086.36</v>
      </c>
      <c r="BJ5" s="23">
        <f>IF($D$3=1,ROUND(((BF5*BH5)/2),2),0)</f>
        <v>2086.36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4172.72</v>
      </c>
      <c r="BP5" s="23">
        <f t="shared" ref="BP5:BP6" si="3">BF5+BO5</f>
        <v>27354.52</v>
      </c>
      <c r="BQ5" s="23">
        <v>120</v>
      </c>
      <c r="BR5" s="23">
        <f t="shared" ref="BR5:BR6" si="4">BF5*$N$3</f>
        <v>23181.8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3265</v>
      </c>
      <c r="AT6" s="23">
        <f>AR6*AS6</f>
        <v>32650</v>
      </c>
      <c r="AU6" s="23">
        <v>5</v>
      </c>
      <c r="AV6" s="23">
        <v>7</v>
      </c>
      <c r="AW6" s="23">
        <v>9</v>
      </c>
      <c r="AX6" s="23">
        <f>AT6</f>
        <v>32650</v>
      </c>
      <c r="AY6" s="23">
        <f>ROUND((AX6*AU6)/100,2)</f>
        <v>1632.5</v>
      </c>
      <c r="AZ6" s="23">
        <f>AT6-AY6</f>
        <v>31017.5</v>
      </c>
      <c r="BA6" s="23">
        <f>ROUND((AZ6*AV6)/100,2)</f>
        <v>2171.23</v>
      </c>
      <c r="BB6" s="23">
        <f>ROUND(AZ6-BA6,2)</f>
        <v>28846.27</v>
      </c>
      <c r="BC6" s="23">
        <f>ROUND((BB6*AW6)/100,2)</f>
        <v>2596.16</v>
      </c>
      <c r="BD6" s="23">
        <f>ROUND(AY6+BA6+BC6,2)</f>
        <v>6399.89</v>
      </c>
      <c r="BE6" s="23">
        <f>ROUND(BD6/AR6,2)</f>
        <v>639.99</v>
      </c>
      <c r="BF6" s="23">
        <f>(AT6-BD6)</f>
        <v>26250.11</v>
      </c>
      <c r="BG6" s="23">
        <v>88363222</v>
      </c>
      <c r="BH6" s="27">
        <v>0.18</v>
      </c>
      <c r="BI6" s="23">
        <f>IF(OR($D$3=1,$D$3=4),ROUND((BF6*BH6)/2,2),0)</f>
        <v>2362.5100000000002</v>
      </c>
      <c r="BJ6" s="23">
        <f>IF($D$3=1,ROUND(((BF6*BH6)/2),2),0)</f>
        <v>2362.5100000000002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4725.0200000000004</v>
      </c>
      <c r="BP6" s="23">
        <f t="shared" si="3"/>
        <v>30975.13</v>
      </c>
      <c r="BQ6" s="23">
        <v>120</v>
      </c>
      <c r="BR6" s="23">
        <f t="shared" si="4"/>
        <v>26250.11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58329.65</v>
      </c>
      <c r="BQ7" s="33" t="s">
        <v>67</v>
      </c>
      <c r="BR7" s="56">
        <f>BR5</f>
        <v>23181.8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T1" zoomScale="85" zoomScaleNormal="85" workbookViewId="0">
      <selection activeCell="W21" sqref="W21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5" style="4" width="9.140625"/>
    <col min="46" max="46" customWidth="true" style="4" width="12.0"/>
    <col min="47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0.5703125"/>
    <col min="60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12</v>
      </c>
      <c r="AV5" s="23">
        <v>13</v>
      </c>
      <c r="AW5" s="23">
        <v>15</v>
      </c>
      <c r="AX5" s="23">
        <f>AT5</f>
        <v>15000</v>
      </c>
      <c r="AY5" s="23">
        <f>ROUND((AX5*AU5)/100,2)</f>
        <v>1800</v>
      </c>
      <c r="AZ5" s="23">
        <f>AT5-AY5</f>
        <v>13200</v>
      </c>
      <c r="BA5" s="23">
        <f>ROUND((AZ5*AV5)/100,2)</f>
        <v>1716</v>
      </c>
      <c r="BB5" s="23">
        <f>ROUND(AZ5-BA5,2)</f>
        <v>11484</v>
      </c>
      <c r="BC5" s="23">
        <f>ROUND((BB5*AW5)/100,2)</f>
        <v>1722.6</v>
      </c>
      <c r="BD5" s="23">
        <f>ROUND(AY5+BA5+BC5,2)</f>
        <v>5238.6000000000004</v>
      </c>
      <c r="BE5" s="23">
        <f>ROUND(BD5/AR5,2)</f>
        <v>523.86</v>
      </c>
      <c r="BF5" s="23">
        <f>(AT5-BD5)</f>
        <v>9761.4</v>
      </c>
      <c r="BG5" s="23">
        <v>88363222</v>
      </c>
      <c r="BH5" s="27">
        <v>0.18</v>
      </c>
      <c r="BI5" s="23">
        <f>IF(OR($D$3=1,$D$3=4),ROUND((BF5*BH5)/2,2),0)</f>
        <v>878.53</v>
      </c>
      <c r="BJ5" s="23">
        <f>IF($D$3=1,ROUND(((BF5*BH5)/2),2),0)</f>
        <v>878.53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1757.06</v>
      </c>
      <c r="BP5" s="23">
        <f t="shared" ref="BP5:BP6" si="3">BF5+BO5</f>
        <v>11518.46</v>
      </c>
      <c r="BQ5" s="23">
        <v>120</v>
      </c>
      <c r="BR5" s="23">
        <f t="shared" ref="BR5:BR6" si="4">BF5*$N$3</f>
        <v>9761.4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15</v>
      </c>
      <c r="AV6" s="23">
        <v>17</v>
      </c>
      <c r="AW6" s="23">
        <v>19</v>
      </c>
      <c r="AX6" s="23">
        <f>AT6</f>
        <v>20000</v>
      </c>
      <c r="AY6" s="23">
        <f>ROUND((AX6*AU6)/100,2)</f>
        <v>3000</v>
      </c>
      <c r="AZ6" s="23">
        <f>AT6-AY6</f>
        <v>17000</v>
      </c>
      <c r="BA6" s="23">
        <f>ROUND((AZ6*AV6)/100,2)</f>
        <v>2890</v>
      </c>
      <c r="BB6" s="23">
        <f>ROUND(AZ6-BA6,2)</f>
        <v>14110</v>
      </c>
      <c r="BC6" s="23">
        <f>ROUND((BB6*AW6)/100,2)</f>
        <v>2680.9</v>
      </c>
      <c r="BD6" s="23">
        <f>ROUND(AY6+BA6+BC6,2)</f>
        <v>8570.9</v>
      </c>
      <c r="BE6" s="23">
        <f>ROUND(BD6/AR6,2)</f>
        <v>857.09</v>
      </c>
      <c r="BF6" s="23">
        <f>(AT6-BD6)</f>
        <v>11429.1</v>
      </c>
      <c r="BG6" s="23">
        <v>88363222</v>
      </c>
      <c r="BH6" s="27">
        <v>0.18</v>
      </c>
      <c r="BI6" s="23">
        <f>IF(OR($D$3=1,$D$3=4),ROUND((BF6*BH6)/2,2),0)</f>
        <v>1028.6199999999999</v>
      </c>
      <c r="BJ6" s="23">
        <f>IF($D$3=1,ROUND(((BF6*BH6)/2),2),0)</f>
        <v>1028.6199999999999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2057.2399999999998</v>
      </c>
      <c r="BP6" s="23">
        <f t="shared" si="3"/>
        <v>13486.34</v>
      </c>
      <c r="BQ6" s="23">
        <v>120</v>
      </c>
      <c r="BR6" s="23">
        <f t="shared" si="4"/>
        <v>11429.1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25004.799999999999</v>
      </c>
      <c r="BQ7" s="33" t="s">
        <v>67</v>
      </c>
      <c r="BR7" s="56">
        <f>BR5</f>
        <v>9761.4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N1" zoomScale="85" zoomScaleNormal="85" workbookViewId="0">
      <selection activeCell="BI6" sqref="BI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5.0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5.0"/>
    <col min="60" max="70" style="4" width="9.140625"/>
    <col min="71" max="71" customWidth="true" style="4" width="12.85546875"/>
    <col min="72" max="72" customWidth="true" style="4" width="11.0"/>
    <col min="73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20</v>
      </c>
      <c r="AS5" s="23">
        <v>1500</v>
      </c>
      <c r="AT5" s="23">
        <f>AR5*AS5</f>
        <v>30000</v>
      </c>
      <c r="AU5" s="23">
        <v>2</v>
      </c>
      <c r="AV5" s="23">
        <v>3</v>
      </c>
      <c r="AW5" s="23">
        <v>5</v>
      </c>
      <c r="AX5" s="23">
        <f>AT5</f>
        <v>30000</v>
      </c>
      <c r="AY5" s="23">
        <f>ROUND((AX5*AU5)/100,2)</f>
        <v>600</v>
      </c>
      <c r="AZ5" s="23">
        <f>AT5-AY5</f>
        <v>29400</v>
      </c>
      <c r="BA5" s="23">
        <f>ROUND((AZ5*AV5)/100,2)</f>
        <v>882</v>
      </c>
      <c r="BB5" s="23">
        <f>ROUND(AZ5-BA5,2)</f>
        <v>28518</v>
      </c>
      <c r="BC5" s="23">
        <f>ROUND((BB5*AW5)/100,2)</f>
        <v>1425.9</v>
      </c>
      <c r="BD5" s="23">
        <f>ROUND(AY5+BA5+BC5,2)</f>
        <v>2907.9</v>
      </c>
      <c r="BE5" s="23">
        <f>ROUND(BD5/AR5,2)</f>
        <v>145.4</v>
      </c>
      <c r="BF5" s="23">
        <f>(AT5-BD5)</f>
        <v>27092.1</v>
      </c>
      <c r="BG5" s="23">
        <v>88363222</v>
      </c>
      <c r="BH5" s="27">
        <v>0.18</v>
      </c>
      <c r="BI5" s="23">
        <f>IF(OR($D$3=1,$D$3=4),ROUND((BF5*BH5)/2,2),0)</f>
        <v>2438.29</v>
      </c>
      <c r="BJ5" s="23">
        <f>IF($D$3=1,ROUND(((BF5*BH5)/2),2),0)</f>
        <v>2438.29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4876.58</v>
      </c>
      <c r="BP5" s="23">
        <f t="shared" ref="BP5:BP6" si="3">BF5+BO5</f>
        <v>31968.68</v>
      </c>
      <c r="BQ5" s="23">
        <v>120</v>
      </c>
      <c r="BR5" s="23">
        <f t="shared" ref="BR5:BR6" si="4">BF5*$N$3</f>
        <v>27092.1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30</v>
      </c>
      <c r="AS6" s="23">
        <v>2000</v>
      </c>
      <c r="AT6" s="23">
        <f>AR6*AS6</f>
        <v>60000</v>
      </c>
      <c r="AU6" s="23">
        <v>5</v>
      </c>
      <c r="AV6" s="23">
        <v>7</v>
      </c>
      <c r="AW6" s="23">
        <v>9</v>
      </c>
      <c r="AX6" s="23">
        <f>AT6</f>
        <v>60000</v>
      </c>
      <c r="AY6" s="23">
        <f>ROUND((AX6*AU6)/100,2)</f>
        <v>3000</v>
      </c>
      <c r="AZ6" s="23">
        <f>AT6-AY6</f>
        <v>57000</v>
      </c>
      <c r="BA6" s="23">
        <f>ROUND((AZ6*AV6)/100,2)</f>
        <v>3990</v>
      </c>
      <c r="BB6" s="23">
        <f>ROUND(AZ6-BA6,2)</f>
        <v>53010</v>
      </c>
      <c r="BC6" s="23">
        <f>ROUND((BB6*AW6)/100,2)</f>
        <v>4770.8999999999996</v>
      </c>
      <c r="BD6" s="23">
        <f>ROUND(AY6+BA6+BC6,2)</f>
        <v>11760.9</v>
      </c>
      <c r="BE6" s="23">
        <f>ROUND(BD6/AR6,2)</f>
        <v>392.03</v>
      </c>
      <c r="BF6" s="23">
        <f>(AT6-BD6)</f>
        <v>48239.1</v>
      </c>
      <c r="BG6" s="23">
        <v>88363222</v>
      </c>
      <c r="BH6" s="27">
        <v>0.18</v>
      </c>
      <c r="BI6" s="23">
        <f>IF(OR($D$3=1,$D$3=4),ROUND((BF6*BH6)/2,2),0)</f>
        <v>4341.5200000000004</v>
      </c>
      <c r="BJ6" s="23">
        <f>IF($D$3=1,ROUND(((BF6*BH6)/2),2),0)</f>
        <v>4341.5200000000004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8683.0400000000009</v>
      </c>
      <c r="BP6" s="23">
        <f t="shared" si="3"/>
        <v>56922.14</v>
      </c>
      <c r="BQ6" s="23">
        <v>120</v>
      </c>
      <c r="BR6" s="23">
        <f t="shared" si="4"/>
        <v>48239.1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88890.82</v>
      </c>
      <c r="BQ7" s="33" t="s">
        <v>67</v>
      </c>
      <c r="BR7" s="56">
        <f>BR5</f>
        <v>27092.1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Q16"/>
  <sheetViews>
    <sheetView showGridLines="0" zoomScale="85" zoomScaleNormal="85" workbookViewId="0">
      <selection activeCell="L13" sqref="L13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:AE6" si="0">U5+AD5</f>
        <v>13562.19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1285.5999999999999</v>
      </c>
      <c r="O6" s="23">
        <f>I6-N6</f>
        <v>62994.400000000001</v>
      </c>
      <c r="P6" s="23">
        <f>ROUND((O6*K6)/100,2)</f>
        <v>4409.6099999999997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53312.160000000003</v>
      </c>
      <c r="V6" s="23">
        <v>88363222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9596.19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9596.19</v>
      </c>
      <c r="AE6" s="23">
        <f t="shared" si="0"/>
        <v>62908.35</v>
      </c>
      <c r="AF6" s="23">
        <v>120</v>
      </c>
      <c r="AG6" s="23">
        <f t="shared" si="1"/>
        <v>53312.160000000003</v>
      </c>
      <c r="AH6" s="23">
        <v>3</v>
      </c>
      <c r="AI6" s="23">
        <f>ROUND(G6/AH6,3)</f>
        <v>6.6669999999999998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Q15"/>
  <sheetViews>
    <sheetView showGridLines="0" topLeftCell="AC1" zoomScale="85" zoomScaleNormal="85" workbookViewId="0">
      <selection activeCell="D12" sqref="D12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72" t="s">
        <v>183</v>
      </c>
      <c r="C5" s="72">
        <v>0</v>
      </c>
      <c r="D5" s="72" t="s">
        <v>184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3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R15"/>
  <sheetViews>
    <sheetView showGridLines="0" zoomScale="85" zoomScaleNormal="85" workbookViewId="0">
      <selection activeCell="F24" sqref="F24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71" t="s">
        <v>48</v>
      </c>
      <c r="AR4" s="71" t="s">
        <v>185</v>
      </c>
    </row>
    <row r="5" spans="1:44">
      <c r="A5" s="23">
        <v>1</v>
      </c>
      <c r="B5" s="72" t="s">
        <v>186</v>
      </c>
      <c r="C5" s="72">
        <v>0</v>
      </c>
      <c r="D5" s="72" t="s">
        <v>186</v>
      </c>
      <c r="E5" s="23" t="s">
        <v>50</v>
      </c>
      <c r="F5" s="23" t="s">
        <v>50</v>
      </c>
      <c r="G5" s="4" t="s">
        <v>93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47" t="s">
        <v>58</v>
      </c>
      <c r="AR5" s="4" t="s">
        <v>200</v>
      </c>
    </row>
    <row r="6" spans="1:44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4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U1" zoomScale="85" zoomScaleNormal="85" workbookViewId="0">
      <selection activeCell="W5" sqref="W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1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v>2350</v>
      </c>
      <c r="AQ5" s="23">
        <f>AO5*AP5</f>
        <v>23500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>AQ5</f>
        <v>23500</v>
      </c>
      <c r="AV5" s="23">
        <f>ROUND((AU5*AR5)/100,2)</f>
        <v>235</v>
      </c>
      <c r="AW5" s="23">
        <f>AQ5-AV5</f>
        <v>23265</v>
      </c>
      <c r="AX5" s="23">
        <f>ROUND((AW5*AS5)/100,2)</f>
        <v>465.3</v>
      </c>
      <c r="AY5" s="23">
        <f>ROUND(AW5-AX5,2)</f>
        <v>22799.7</v>
      </c>
      <c r="AZ5" s="23">
        <f>ROUND((AY5*AT5)/100,2)</f>
        <v>911.99</v>
      </c>
      <c r="BA5" s="23">
        <f>AV5+AX5+AZ5</f>
        <v>1612.29</v>
      </c>
      <c r="BB5" s="23">
        <f>ROUND(BA5/AO5,2)</f>
        <v>161.22999999999999</v>
      </c>
      <c r="BC5" s="23">
        <f>(AQ5-BA5)</f>
        <v>21887.71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3939.79</v>
      </c>
      <c r="BI5" s="23">
        <f>BF5+BG5+BH5</f>
        <v>3939.79</v>
      </c>
      <c r="BJ5" s="23">
        <f>BC5+BI5</f>
        <v>25827.5</v>
      </c>
      <c r="BK5" s="23">
        <v>120</v>
      </c>
      <c r="BL5" s="23">
        <f>BC5*SO!$N$3</f>
        <v>21887.71</v>
      </c>
      <c r="BM5" s="23" t="s">
        <v>182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v>4550</v>
      </c>
      <c r="AQ6" s="23">
        <f>AO6*AP6</f>
        <v>91000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>AQ6</f>
        <v>91000</v>
      </c>
      <c r="AV6" s="23">
        <f>ROUND((AU6*AR6)/100,2)</f>
        <v>1820</v>
      </c>
      <c r="AW6" s="23">
        <f>AQ6-AV6</f>
        <v>89180</v>
      </c>
      <c r="AX6" s="23">
        <f>ROUND((AW6*AS6)/100,2)</f>
        <v>6242.6</v>
      </c>
      <c r="AY6" s="23">
        <f>ROUND(AW6-AX6,2)</f>
        <v>82937.399999999994</v>
      </c>
      <c r="AZ6" s="23">
        <f>ROUND((AY6*AT6)/100,2)</f>
        <v>7464.37</v>
      </c>
      <c r="BA6" s="23">
        <f>AV6+AX6+AZ6</f>
        <v>15526.97</v>
      </c>
      <c r="BB6" s="23">
        <f>ROUND(BA6/AO6,2)</f>
        <v>776.35</v>
      </c>
      <c r="BC6" s="23">
        <f>(AQ6-BA6)</f>
        <v>75473.03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13585.15</v>
      </c>
      <c r="BI6" s="23">
        <f>BF6+BG6+BH6</f>
        <v>13585.15</v>
      </c>
      <c r="BJ6" s="23">
        <f>BC6+BI6</f>
        <v>89058.18</v>
      </c>
      <c r="BK6" s="23">
        <v>120</v>
      </c>
      <c r="BL6" s="23">
        <f>BC6*SO!$N$3</f>
        <v>75473.03</v>
      </c>
      <c r="BM6" s="23" t="s">
        <v>182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17139.259999999998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114885.68</v>
      </c>
      <c r="BK7" s="33" t="s">
        <v>67</v>
      </c>
      <c r="BL7" s="56">
        <f>SUM(BL5:BL6)</f>
        <v>97360.74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S1" zoomScale="85" zoomScaleNormal="85" workbookViewId="0">
      <selection activeCell="BE7" sqref="BE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4.140625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1406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v>10</v>
      </c>
      <c r="AS5" s="23">
        <v>5</v>
      </c>
      <c r="AT5" s="23">
        <v>2</v>
      </c>
      <c r="AU5" s="23">
        <f>AQ5</f>
        <v>12340</v>
      </c>
      <c r="AV5" s="23">
        <f>ROUND((AU5*AR5)/100,2)</f>
        <v>1234</v>
      </c>
      <c r="AW5" s="23">
        <f>AQ5-AV5</f>
        <v>11106</v>
      </c>
      <c r="AX5" s="23">
        <f>ROUND((AW5*AS5)/100,2)</f>
        <v>555.29999999999995</v>
      </c>
      <c r="AY5" s="23">
        <f>ROUND(AW5-AX5,2)</f>
        <v>10550.7</v>
      </c>
      <c r="AZ5" s="23">
        <f>ROUND((AY5*AT5)/100,2)</f>
        <v>211.01</v>
      </c>
      <c r="BA5" s="23">
        <f>AV5+AX5+AZ5</f>
        <v>2000.31</v>
      </c>
      <c r="BB5" s="23">
        <f>ROUND(BA5/AO5,2)</f>
        <v>200.03</v>
      </c>
      <c r="BC5" s="23">
        <f>(AQ5-BA5)</f>
        <v>10339.69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1861.14</v>
      </c>
      <c r="BI5" s="23">
        <f>BF5+BG5+BH5</f>
        <v>1861.14</v>
      </c>
      <c r="BJ5" s="23">
        <f>BC5+BI5</f>
        <v>12200.83</v>
      </c>
      <c r="BK5" s="23">
        <v>120</v>
      </c>
      <c r="BL5" s="23">
        <f>BC5*SO!$N$3</f>
        <v>10339.69</v>
      </c>
      <c r="BM5" s="23" t="s">
        <v>182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v>20</v>
      </c>
      <c r="AS6" s="23">
        <v>10</v>
      </c>
      <c r="AT6" s="23">
        <v>5</v>
      </c>
      <c r="AU6" s="23">
        <f>AQ6</f>
        <v>64280</v>
      </c>
      <c r="AV6" s="23">
        <f>ROUND((AU6*AR6)/100,2)</f>
        <v>12856</v>
      </c>
      <c r="AW6" s="23">
        <f>AQ6-AV6</f>
        <v>51424</v>
      </c>
      <c r="AX6" s="23">
        <f>ROUND((AW6*AS6)/100,2)</f>
        <v>5142.3999999999996</v>
      </c>
      <c r="AY6" s="23">
        <f>ROUND(AW6-AX6,2)</f>
        <v>46281.599999999999</v>
      </c>
      <c r="AZ6" s="23">
        <f>ROUND((AY6*AT6)/100,2)</f>
        <v>2314.08</v>
      </c>
      <c r="BA6" s="23">
        <f>AV6+AX6+AZ6</f>
        <v>20312.48</v>
      </c>
      <c r="BB6" s="23">
        <f>ROUND(BA6/AO6,2)</f>
        <v>1015.62</v>
      </c>
      <c r="BC6" s="23">
        <f>(AQ6-BA6)</f>
        <v>43967.519999999997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7914.15</v>
      </c>
      <c r="BI6" s="23">
        <f>BF6+BG6+BH6</f>
        <v>7914.15</v>
      </c>
      <c r="BJ6" s="23">
        <f>BC6+BI6</f>
        <v>51881.67</v>
      </c>
      <c r="BK6" s="23">
        <v>120</v>
      </c>
      <c r="BL6" s="23">
        <f>BC6*SO!$N$3</f>
        <v>43967.519999999997</v>
      </c>
      <c r="BM6" s="23" t="s">
        <v>182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22312.79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64082.5</v>
      </c>
      <c r="BK7" s="33" t="s">
        <v>67</v>
      </c>
      <c r="BL7" s="56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W1" zoomScale="85" zoomScaleNormal="85" workbookViewId="0">
      <selection activeCell="BD6" sqref="BD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57031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v>2350</v>
      </c>
      <c r="AQ5" s="23">
        <f>AO5*AP5</f>
        <v>47000</v>
      </c>
      <c r="AR5" s="23">
        <v>10</v>
      </c>
      <c r="AS5" s="23">
        <v>5</v>
      </c>
      <c r="AT5" s="23">
        <v>2</v>
      </c>
      <c r="AU5" s="23">
        <f>AQ5</f>
        <v>47000</v>
      </c>
      <c r="AV5" s="23">
        <f>ROUND((AU5*AR5)/100,2)</f>
        <v>4700</v>
      </c>
      <c r="AW5" s="23">
        <f>AQ5-AV5</f>
        <v>42300</v>
      </c>
      <c r="AX5" s="23">
        <f>ROUND((AW5*AS5)/100,2)</f>
        <v>2115</v>
      </c>
      <c r="AY5" s="23">
        <f>ROUND(AW5-AX5,2)</f>
        <v>40185</v>
      </c>
      <c r="AZ5" s="23">
        <f>ROUND((AY5*AT5)/100,2)</f>
        <v>803.7</v>
      </c>
      <c r="BA5" s="23">
        <f>AV5+AX5+AZ5</f>
        <v>7618.7</v>
      </c>
      <c r="BB5" s="23">
        <f>ROUND(BA5/AO5,2)</f>
        <v>380.94</v>
      </c>
      <c r="BC5" s="23">
        <f>(AQ5-BA5)</f>
        <v>39381.300000000003</v>
      </c>
      <c r="BD5" s="23"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7088.63</v>
      </c>
      <c r="BI5" s="23">
        <f>BF5+BG5+BH5</f>
        <v>7088.63</v>
      </c>
      <c r="BJ5" s="23">
        <f>BC5+BI5</f>
        <v>46469.93</v>
      </c>
      <c r="BK5" s="23">
        <v>120</v>
      </c>
      <c r="BL5" s="23">
        <f>BC5*SO!$N$3</f>
        <v>39381.300000000003</v>
      </c>
      <c r="BM5" s="23" t="s">
        <v>90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67">
        <v>4550</v>
      </c>
      <c r="AQ6" s="23">
        <f>AO6*AP6</f>
        <v>136500</v>
      </c>
      <c r="AR6" s="23">
        <v>20</v>
      </c>
      <c r="AS6" s="23">
        <v>10</v>
      </c>
      <c r="AT6" s="23">
        <v>5</v>
      </c>
      <c r="AU6" s="23">
        <f>AQ6</f>
        <v>136500</v>
      </c>
      <c r="AV6" s="23">
        <f>ROUND((AU6*AR6)/100,2)</f>
        <v>27300</v>
      </c>
      <c r="AW6" s="23">
        <f>AQ6-AV6</f>
        <v>109200</v>
      </c>
      <c r="AX6" s="23">
        <f>ROUND((AW6*AS6)/100,2)</f>
        <v>10920</v>
      </c>
      <c r="AY6" s="23">
        <f>ROUND(AW6-AX6,2)</f>
        <v>98280</v>
      </c>
      <c r="AZ6" s="23">
        <f>ROUND((AY6*AT6)/100,2)</f>
        <v>4914</v>
      </c>
      <c r="BA6" s="23">
        <f>AV6+AX6+AZ6</f>
        <v>43134</v>
      </c>
      <c r="BB6" s="23">
        <f>ROUND(BA6/AO6,2)</f>
        <v>1437.8</v>
      </c>
      <c r="BC6" s="23">
        <f>(AQ6-BA6)</f>
        <v>93366</v>
      </c>
      <c r="BD6" s="23"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16805.88</v>
      </c>
      <c r="BI6" s="23">
        <f>BF6+BG6+BH6</f>
        <v>16805.88</v>
      </c>
      <c r="BJ6" s="23">
        <f>BC6+BI6</f>
        <v>110171.88</v>
      </c>
      <c r="BK6" s="23">
        <v>120</v>
      </c>
      <c r="BL6" s="23">
        <f>BC6*SO!$N$3</f>
        <v>93366</v>
      </c>
      <c r="BM6" s="23" t="s">
        <v>90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50752.7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156641.81</v>
      </c>
      <c r="BK7" s="33" t="s">
        <v>67</v>
      </c>
      <c r="BL7" s="56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U1" zoomScale="85" zoomScaleNormal="85" workbookViewId="0">
      <selection activeCell="BD7" sqref="BD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57" t="s">
        <v>161</v>
      </c>
      <c r="K4" s="57" t="s">
        <v>162</v>
      </c>
      <c r="L4" s="57" t="s">
        <v>163</v>
      </c>
      <c r="M4" s="58" t="s">
        <v>164</v>
      </c>
      <c r="N4" s="58" t="s">
        <v>165</v>
      </c>
      <c r="O4" s="58" t="s">
        <v>166</v>
      </c>
      <c r="P4" s="58" t="s">
        <v>167</v>
      </c>
      <c r="Q4" s="59" t="s">
        <v>168</v>
      </c>
      <c r="R4" s="58" t="s">
        <v>169</v>
      </c>
      <c r="S4" s="57" t="s">
        <v>170</v>
      </c>
      <c r="T4" s="15" t="s">
        <v>171</v>
      </c>
      <c r="U4" s="60" t="s">
        <v>172</v>
      </c>
      <c r="V4" s="60" t="s">
        <v>173</v>
      </c>
      <c r="W4" s="61" t="s">
        <v>174</v>
      </c>
      <c r="X4" s="61" t="s">
        <v>175</v>
      </c>
      <c r="Y4" s="61" t="s">
        <v>176</v>
      </c>
      <c r="Z4" s="61" t="s">
        <v>177</v>
      </c>
      <c r="AA4" s="61" t="s">
        <v>178</v>
      </c>
      <c r="AB4" s="62" t="s">
        <v>179</v>
      </c>
      <c r="AC4" s="62" t="s">
        <v>38</v>
      </c>
      <c r="AD4" s="63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6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 t="shared" ref="AU5:AU6" si="1">M5</f>
        <v>12340</v>
      </c>
      <c r="AV5" s="23">
        <f t="shared" ref="AV5:AV6" si="2">N5</f>
        <v>123.4</v>
      </c>
      <c r="AW5" s="23">
        <f t="shared" ref="AW5:AW6" si="3">O5</f>
        <v>12216.6</v>
      </c>
      <c r="AX5" s="23">
        <f t="shared" ref="AX5:AX6" si="4">P5</f>
        <v>244.33</v>
      </c>
      <c r="AY5" s="23">
        <f t="shared" ref="AY5:AY6" si="5">Q5</f>
        <v>11972.27</v>
      </c>
      <c r="AZ5" s="23">
        <f t="shared" ref="AZ5:AZ6" si="6">R5</f>
        <v>478.89</v>
      </c>
      <c r="BA5" s="23">
        <f t="shared" ref="BA5:BA6" si="7">S5</f>
        <v>846.62</v>
      </c>
      <c r="BB5" s="23">
        <f t="shared" ref="BB5:BD6" si="8">T5</f>
        <v>84.66</v>
      </c>
      <c r="BC5" s="23">
        <f t="shared" si="8"/>
        <v>11493.38</v>
      </c>
      <c r="BD5" s="23">
        <f t="shared" si="8"/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2068.81</v>
      </c>
      <c r="BI5" s="23">
        <f>BF5+BG5+BH5</f>
        <v>2068.81</v>
      </c>
      <c r="BJ5" s="23">
        <f>BC5+BI5</f>
        <v>13562.19</v>
      </c>
      <c r="BK5" s="23">
        <v>120</v>
      </c>
      <c r="BL5" s="23">
        <f>BC5*SO!$N$3</f>
        <v>11493.38</v>
      </c>
      <c r="BM5" s="23" t="str">
        <f>AN5</f>
        <v>Sales Regular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88363222</v>
      </c>
      <c r="W6" s="68">
        <f>SO!W6</f>
        <v>0.18</v>
      </c>
      <c r="X6" s="67">
        <f>SO!X6</f>
        <v>0</v>
      </c>
      <c r="Y6" s="67">
        <f>SO!Y6</f>
        <v>0</v>
      </c>
      <c r="Z6" s="67">
        <f>SO!Z6</f>
        <v>9596.19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9596.19</v>
      </c>
      <c r="AE6" s="67">
        <v>3</v>
      </c>
      <c r="AF6" s="67">
        <f>ROUND(G6/AE6,3)</f>
        <v>6.6669999999999998</v>
      </c>
      <c r="AG6" s="51" t="s">
        <v>63</v>
      </c>
      <c r="AH6" s="51" t="s">
        <v>64</v>
      </c>
      <c r="AI6" s="69">
        <f>ROUND((AG6-AF6),3)</f>
        <v>1368.335</v>
      </c>
      <c r="AJ6" s="67" t="s">
        <v>56</v>
      </c>
      <c r="AK6" s="67" t="s">
        <v>57</v>
      </c>
      <c r="AL6" s="67">
        <v>0</v>
      </c>
      <c r="AM6" s="67">
        <f>ROUND(((AL6*U6)/100),2)</f>
        <v>0</v>
      </c>
      <c r="AN6" s="67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 t="shared" si="1"/>
        <v>64280</v>
      </c>
      <c r="AV6" s="23">
        <f t="shared" si="2"/>
        <v>1285.5999999999999</v>
      </c>
      <c r="AW6" s="23">
        <f t="shared" si="3"/>
        <v>62994.400000000001</v>
      </c>
      <c r="AX6" s="23">
        <f t="shared" si="4"/>
        <v>4409.6099999999997</v>
      </c>
      <c r="AY6" s="23">
        <f t="shared" si="5"/>
        <v>58584.79</v>
      </c>
      <c r="AZ6" s="23">
        <f t="shared" si="6"/>
        <v>5272.63</v>
      </c>
      <c r="BA6" s="23">
        <f t="shared" si="7"/>
        <v>10967.84</v>
      </c>
      <c r="BB6" s="23">
        <f t="shared" si="8"/>
        <v>548.39</v>
      </c>
      <c r="BC6" s="23">
        <f t="shared" si="8"/>
        <v>53312.160000000003</v>
      </c>
      <c r="BD6" s="23">
        <f t="shared" si="8"/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9596.19</v>
      </c>
      <c r="BI6" s="23">
        <f>BF6+BG6+BH6</f>
        <v>9596.19</v>
      </c>
      <c r="BJ6" s="23">
        <f>BC6+BI6</f>
        <v>62908.35</v>
      </c>
      <c r="BK6" s="23">
        <v>120</v>
      </c>
      <c r="BL6" s="23">
        <f>BC6*SO!$N$3</f>
        <v>53312.160000000003</v>
      </c>
      <c r="BM6" s="23" t="str">
        <f>AN6</f>
        <v>Sales Regular</v>
      </c>
      <c r="BN6" s="23" t="s">
        <v>155</v>
      </c>
    </row>
    <row r="7" spans="1:66" ht="15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70" t="s">
        <v>187</v>
      </c>
      <c r="AF7" s="26"/>
      <c r="AG7" s="26"/>
      <c r="AH7" s="26"/>
      <c r="AI7" s="26"/>
      <c r="AJ7" s="26"/>
      <c r="AK7" s="26"/>
      <c r="AL7" s="26"/>
      <c r="AM7" s="26"/>
      <c r="AN7" s="23" t="s">
        <v>58</v>
      </c>
      <c r="AO7" s="23">
        <v>15</v>
      </c>
      <c r="AP7" s="23">
        <v>5780</v>
      </c>
      <c r="AQ7" s="23">
        <f>AO7*AP7</f>
        <v>86700</v>
      </c>
      <c r="AR7" s="23">
        <v>20</v>
      </c>
      <c r="AS7" s="23">
        <v>10</v>
      </c>
      <c r="AT7" s="23">
        <v>5</v>
      </c>
      <c r="AU7" s="23">
        <f>AQ7</f>
        <v>86700</v>
      </c>
      <c r="AV7" s="23">
        <f>ROUND((AU7*AR7)/100,2)</f>
        <v>17340</v>
      </c>
      <c r="AW7" s="23">
        <f>AQ7-AV7</f>
        <v>69360</v>
      </c>
      <c r="AX7" s="23">
        <f>ROUND((AW7*AS7)/100,2)</f>
        <v>6936</v>
      </c>
      <c r="AY7" s="23">
        <f>ROUND(AW7-AX7,2)</f>
        <v>62424</v>
      </c>
      <c r="AZ7" s="23">
        <f>ROUND((AY7*AT7)/100,2)</f>
        <v>3121.2</v>
      </c>
      <c r="BA7" s="23">
        <f>AV7+AX7+AZ7</f>
        <v>27397.200000000001</v>
      </c>
      <c r="BB7" s="23">
        <f>ROUND(BA7/AO7,2)</f>
        <v>1826.48</v>
      </c>
      <c r="BC7" s="23">
        <f>(AQ7-BA7)</f>
        <v>59302.8</v>
      </c>
      <c r="BD7" s="23">
        <v>88363222</v>
      </c>
      <c r="BE7" s="27">
        <v>0.18</v>
      </c>
      <c r="BF7" s="23">
        <f>IF(SO!$D$3=1,ROUND(((BC7*BE7)/2),2),0)</f>
        <v>0</v>
      </c>
      <c r="BG7" s="23">
        <f>IF(SO!$D$3=1,ROUND(((BC7*BE7)/2),2),0)</f>
        <v>0</v>
      </c>
      <c r="BH7" s="23">
        <f>IF(SO!$D$3=2,ROUND(((BC7*BE7)),2),0)</f>
        <v>10674.5</v>
      </c>
      <c r="BI7" s="23">
        <f>BF7+BG7+BH7</f>
        <v>10674.5</v>
      </c>
      <c r="BJ7" s="23">
        <f>BC7+BI7</f>
        <v>69977.3</v>
      </c>
      <c r="BK7" s="23">
        <v>120</v>
      </c>
      <c r="BL7" s="23">
        <f>BC7*SO!$N$3</f>
        <v>59302.8</v>
      </c>
      <c r="BM7" s="23" t="s">
        <v>182</v>
      </c>
      <c r="BN7" s="23" t="s">
        <v>156</v>
      </c>
    </row>
    <row r="8" spans="1:66" ht="15">
      <c r="P8" s="33"/>
      <c r="Q8" s="33" t="s">
        <v>65</v>
      </c>
      <c r="R8" s="33"/>
      <c r="S8" s="33">
        <f>SUM(S5:S7)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56">
        <f>SUM(AB5:AB7)</f>
        <v>0.12</v>
      </c>
      <c r="AC8" s="33" t="s">
        <v>67</v>
      </c>
      <c r="AD8" s="56">
        <f>SUM(AD5:AD7)</f>
        <v>11665</v>
      </c>
      <c r="AE8" s="30"/>
      <c r="AF8" s="31"/>
      <c r="AG8" s="31"/>
      <c r="AH8" s="31"/>
      <c r="AO8" s="29"/>
      <c r="AP8" s="30"/>
      <c r="AQ8" s="31"/>
      <c r="AR8" s="31"/>
      <c r="AS8" s="32"/>
      <c r="AT8" s="32"/>
      <c r="AU8" s="32"/>
      <c r="AV8" s="31"/>
      <c r="AW8" s="31"/>
      <c r="AX8" s="33"/>
      <c r="AY8" s="33" t="s">
        <v>65</v>
      </c>
      <c r="AZ8" s="33"/>
      <c r="BA8" s="56">
        <f>SUM(BA5:BA6)</f>
        <v>11814.46</v>
      </c>
      <c r="BB8" s="33"/>
      <c r="BD8" s="31"/>
      <c r="BE8" s="31"/>
      <c r="BF8" s="32"/>
      <c r="BG8" s="31"/>
      <c r="BH8" s="33" t="s">
        <v>66</v>
      </c>
      <c r="BI8" s="33"/>
      <c r="BJ8" s="56">
        <f>SUM(BJ5:BJ7)</f>
        <v>146447.84</v>
      </c>
      <c r="BK8" s="33" t="s">
        <v>67</v>
      </c>
      <c r="BL8" s="56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U9"/>
  <sheetViews>
    <sheetView showGridLines="0" topLeftCell="K1" zoomScale="85" zoomScaleNormal="85" workbookViewId="0">
      <selection activeCell="V6" sqref="V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5.0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5.0"/>
    <col min="60" max="67" style="4" width="9.140625"/>
    <col min="68" max="68" customWidth="true" style="4" width="11.7109375"/>
    <col min="69" max="69" customWidth="true" style="4" width="15.0"/>
    <col min="70" max="70" style="4" width="9.140625"/>
    <col min="71" max="71" customWidth="true" style="4" width="12.85546875"/>
    <col min="72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2</v>
      </c>
      <c r="AV5" s="23">
        <v>3</v>
      </c>
      <c r="AW5" s="23">
        <v>5</v>
      </c>
      <c r="AX5" s="23">
        <f>AT5</f>
        <v>15000</v>
      </c>
      <c r="AY5" s="23">
        <f>ROUND((AX5*AU5)/100,2)</f>
        <v>300</v>
      </c>
      <c r="AZ5" s="23">
        <f>AT5-AY5</f>
        <v>14700</v>
      </c>
      <c r="BA5" s="23">
        <f>ROUND((AZ5*AV5)/100,2)</f>
        <v>441</v>
      </c>
      <c r="BB5" s="23">
        <f>ROUND(AZ5-BA5,2)</f>
        <v>14259</v>
      </c>
      <c r="BC5" s="23">
        <f>ROUND((BB5*AW5)/100,2)</f>
        <v>712.95</v>
      </c>
      <c r="BD5" s="23">
        <f>ROUND(AY5+BA5+BC5,2)</f>
        <v>1453.95</v>
      </c>
      <c r="BE5" s="23">
        <f>ROUND(BD5/AR5,2)</f>
        <v>145.4</v>
      </c>
      <c r="BF5" s="23">
        <f>(AT5-BD5)</f>
        <v>13546.05</v>
      </c>
      <c r="BG5" s="23">
        <v>88363222</v>
      </c>
      <c r="BH5" s="27">
        <v>0.18</v>
      </c>
      <c r="BI5" s="23">
        <f>IF(OR($D$3=1,$D$3=4),ROUND((BF5*BH5)/2,2),0)</f>
        <v>1219.1400000000001</v>
      </c>
      <c r="BJ5" s="23">
        <f>IF($D$3=1,ROUND(((BF5*BH5)/2),2),0)</f>
        <v>1219.1400000000001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2438.2800000000002</v>
      </c>
      <c r="BP5" s="23">
        <f t="shared" ref="BP5:BP7" si="3">BF5+BO5</f>
        <v>15984.33</v>
      </c>
      <c r="BQ5" s="23">
        <v>120</v>
      </c>
      <c r="BR5" s="23">
        <f t="shared" ref="BR5:BR7" si="4">BF5*$N$3</f>
        <v>13546.05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5</v>
      </c>
      <c r="AV6" s="23">
        <v>7</v>
      </c>
      <c r="AW6" s="23">
        <v>9</v>
      </c>
      <c r="AX6" s="23">
        <f>AT6</f>
        <v>20000</v>
      </c>
      <c r="AY6" s="23">
        <f>ROUND((AX6*AU6)/100,2)</f>
        <v>1000</v>
      </c>
      <c r="AZ6" s="23">
        <f>AT6-AY6</f>
        <v>19000</v>
      </c>
      <c r="BA6" s="23">
        <f>ROUND((AZ6*AV6)/100,2)</f>
        <v>1330</v>
      </c>
      <c r="BB6" s="23">
        <f>ROUND(AZ6-BA6,2)</f>
        <v>17670</v>
      </c>
      <c r="BC6" s="23">
        <f>ROUND((BB6*AW6)/100,2)</f>
        <v>1590.3</v>
      </c>
      <c r="BD6" s="23">
        <f>ROUND(AY6+BA6+BC6,2)</f>
        <v>3920.3</v>
      </c>
      <c r="BE6" s="23">
        <f>ROUND(BD6/AR6,2)</f>
        <v>392.03</v>
      </c>
      <c r="BF6" s="23">
        <f>(AT6-BD6)</f>
        <v>16079.7</v>
      </c>
      <c r="BG6" s="23">
        <v>88363222</v>
      </c>
      <c r="BH6" s="27">
        <v>0.18</v>
      </c>
      <c r="BI6" s="23">
        <f>IF(OR($D$3=1,$D$3=4),ROUND((BF6*BH6)/2,2),0)</f>
        <v>1447.17</v>
      </c>
      <c r="BJ6" s="23">
        <f>IF($D$3=1,ROUND(((BF6*BH6)/2),2),0)</f>
        <v>1447.17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2894.34</v>
      </c>
      <c r="BP6" s="23">
        <f t="shared" si="3"/>
        <v>18974.04</v>
      </c>
      <c r="BQ6" s="23">
        <v>120</v>
      </c>
      <c r="BR6" s="23">
        <f t="shared" si="4"/>
        <v>16079.7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3"/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21124.32</v>
      </c>
      <c r="BK7" s="23">
        <f>IF($D$3=2,ROUND(((BF7*BH7)),2),0)</f>
        <v>0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42248.639999999999</v>
      </c>
      <c r="BP7" s="23">
        <f t="shared" si="3"/>
        <v>276963.33</v>
      </c>
      <c r="BQ7" s="23">
        <v>120</v>
      </c>
      <c r="BR7" s="23">
        <f t="shared" si="4"/>
        <v>234714.69</v>
      </c>
      <c r="BS7" s="23" t="s">
        <v>57</v>
      </c>
      <c r="BT7" s="23" t="s">
        <v>58</v>
      </c>
      <c r="BU7" s="23" t="s">
        <v>156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/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34958.370000000003</v>
      </c>
      <c r="AF8" s="33" t="s">
        <v>67</v>
      </c>
      <c r="AG8" s="56">
        <f>AG5</f>
        <v>13546.05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/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311921.7</v>
      </c>
      <c r="BQ8" s="33" t="s">
        <v>67</v>
      </c>
      <c r="BR8" s="56">
        <f>BR5</f>
        <v>13546.05</v>
      </c>
    </row>
    <row r="9" spans="1:73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N27"/>
  <sheetViews>
    <sheetView topLeftCell="M1" workbookViewId="0">
      <selection activeCell="Y14" sqref="Y14"/>
    </sheetView>
  </sheetViews>
  <sheetFormatPr defaultColWidth="9" defaultRowHeight="15"/>
  <cols>
    <col min="2" max="2" customWidth="true" width="28.7109375"/>
    <col min="4" max="4" customWidth="true" width="28.7109375"/>
    <col min="5" max="5" customWidth="true" width="10.42578125"/>
    <col min="6" max="6" customWidth="true" width="17.85546875"/>
    <col min="8" max="8" customWidth="true" width="11.0"/>
    <col min="9" max="9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customWidth="true" width="10.5703125"/>
    <col min="18" max="18" customWidth="true" width="14.7109375"/>
    <col min="19" max="19" customWidth="true" width="11.0"/>
    <col min="20" max="20" customWidth="true" width="17.85546875"/>
    <col min="21" max="21" customWidth="true" width="10.7109375"/>
    <col min="22" max="22" customWidth="true" width="14.0"/>
    <col min="23" max="23" customWidth="true" width="10.85546875"/>
    <col min="24" max="24" customWidth="true" width="15.140625"/>
    <col min="25" max="25" customWidth="true" width="17.0"/>
    <col min="28" max="28" customWidth="true" width="10.7109375"/>
    <col min="29" max="29" customWidth="true" width="14.85546875"/>
    <col min="30" max="30" customWidth="true" width="10.7109375"/>
    <col min="31" max="31" customWidth="true" width="13.5703125"/>
    <col min="32" max="32" customWidth="true" width="15.5703125"/>
    <col min="35" max="35" customWidth="true" width="10.0"/>
    <col min="36" max="36" customWidth="true" width="14.85546875"/>
    <col min="37" max="37" customWidth="true" width="15.0"/>
    <col min="40" max="40" customWidth="true" width="11.0"/>
  </cols>
  <sheetData>
    <row r="1" spans="1:40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spans="1:40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spans="1:40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spans="1:40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spans="1:40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6">
        <f>IF($D$3=1,ROUND(((U5*W5)/2),2),0)</f>
        <v>0</v>
      </c>
      <c r="Y5" s="26">
        <f>IF($D$3=1,ROUND(((U5*W5)/2),2),0)</f>
        <v>0</v>
      </c>
      <c r="Z5" s="26">
        <f>IF($D$3=2,ROUND(((U5*W5)),2),0)</f>
        <v>1745.13</v>
      </c>
      <c r="AA5" s="26">
        <f>ROUND((X5+Y5+Z5+AM5),2)</f>
        <v>1745.13</v>
      </c>
      <c r="AB5" s="26">
        <f t="shared" ref="AB5:AB6" si="0">U5+AA5</f>
        <v>11440.3</v>
      </c>
      <c r="AC5" s="26">
        <v>120</v>
      </c>
      <c r="AD5" s="26">
        <f t="shared" ref="AD5:AD6" si="1">U5*$N$3</f>
        <v>9695.17</v>
      </c>
      <c r="AE5" s="26">
        <v>1</v>
      </c>
      <c r="AF5" s="26">
        <f>G5/AE5</f>
        <v>10</v>
      </c>
      <c r="AG5" t="s" s="0">
        <v>54</v>
      </c>
      <c r="AH5" t="s" s="0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spans="1:40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284.04000000000002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6">
        <f>IF($D$3=1,ROUND(((U6*W6)/2),2),0)</f>
        <v>0</v>
      </c>
      <c r="Y6" s="26">
        <f>IF($D$3=1,ROUND(((U6*W6)/2),2),0)</f>
        <v>0</v>
      </c>
      <c r="Z6" s="26">
        <f>IF($D$3=2,ROUND(((U6*W6)),2),0)</f>
        <v>4084.54</v>
      </c>
      <c r="AA6" s="26">
        <f>X6+Y6+Z6</f>
        <v>4084.54</v>
      </c>
      <c r="AB6" s="26">
        <f t="shared" si="0"/>
        <v>26776.43</v>
      </c>
      <c r="AC6" s="26">
        <v>120</v>
      </c>
      <c r="AD6" s="26">
        <f t="shared" si="1"/>
        <v>22691.89</v>
      </c>
      <c r="AE6" s="26">
        <v>3</v>
      </c>
      <c r="AF6" s="26">
        <f>ROUND(G6/AE6,3)</f>
        <v>3.3330000000000002</v>
      </c>
      <c r="AG6" t="s" s="0">
        <v>63</v>
      </c>
      <c r="AH6" t="s" s="0">
        <v>64</v>
      </c>
      <c r="AI6" s="28">
        <f>ROUND((AG6-AF6),3)</f>
        <v>1371.6690000000001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spans="1:40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>
        <f>SUM(AB5:AB6)</f>
        <v>38216.730000000003</v>
      </c>
      <c r="AC7" s="33" t="s">
        <v>67</v>
      </c>
      <c r="AD7" s="33">
        <f>AD5</f>
        <v>9695.17</v>
      </c>
      <c r="AE7" s="30"/>
      <c r="AF7" s="31"/>
      <c r="AG7" s="31"/>
      <c r="AH7" s="31"/>
      <c r="AI7" s="3"/>
      <c r="AJ7" s="4"/>
      <c r="AK7" s="4"/>
      <c r="AL7" s="4"/>
      <c r="AM7" s="4"/>
    </row>
    <row r="8" spans="1:40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40">
      <c r="C9" s="34" t="s">
        <v>113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40" ht="28.5">
      <c r="C10" s="35" t="s">
        <v>114</v>
      </c>
      <c r="D10" s="36" t="s">
        <v>8</v>
      </c>
      <c r="E10" s="36" t="s">
        <v>9</v>
      </c>
      <c r="F10" s="36" t="s">
        <v>115</v>
      </c>
      <c r="G10" s="36" t="s">
        <v>116</v>
      </c>
      <c r="H10" s="37" t="s">
        <v>188</v>
      </c>
      <c r="I10" s="37" t="s">
        <v>189</v>
      </c>
      <c r="J10" s="37" t="s">
        <v>190</v>
      </c>
      <c r="K10" s="38" t="s">
        <v>174</v>
      </c>
      <c r="L10" s="38" t="s">
        <v>175</v>
      </c>
      <c r="M10" s="38" t="s">
        <v>176</v>
      </c>
      <c r="N10" s="39" t="s">
        <v>177</v>
      </c>
      <c r="O10" s="40" t="s">
        <v>178</v>
      </c>
      <c r="P10" s="37" t="s">
        <v>191</v>
      </c>
      <c r="Q10" s="37" t="s">
        <v>192</v>
      </c>
      <c r="R10" s="39" t="s">
        <v>142</v>
      </c>
      <c r="S10" s="38" t="s">
        <v>143</v>
      </c>
      <c r="T10" s="39" t="s">
        <v>144</v>
      </c>
      <c r="U10" s="39" t="s">
        <v>145</v>
      </c>
      <c r="V10" s="41" t="s">
        <v>149</v>
      </c>
      <c r="W10" s="42" t="s">
        <v>193</v>
      </c>
      <c r="X10" s="4"/>
      <c r="Y10" s="4"/>
      <c r="Z10" s="4"/>
      <c r="AA10" s="4"/>
      <c r="AB10" s="4"/>
      <c r="AC10" s="4"/>
      <c r="AD10" s="4"/>
      <c r="AE10" s="4"/>
      <c r="AF10" s="4"/>
    </row>
    <row r="11" spans="1:40">
      <c r="C11" s="43">
        <v>1</v>
      </c>
      <c r="D11" s="44" t="s">
        <v>120</v>
      </c>
      <c r="E11" s="44">
        <v>0</v>
      </c>
      <c r="F11" s="45" t="s">
        <v>194</v>
      </c>
      <c r="G11" s="45" t="s">
        <v>121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23">
        <v>5000</v>
      </c>
      <c r="Q11" s="23">
        <v>4901</v>
      </c>
      <c r="R11" s="27">
        <v>0.18</v>
      </c>
      <c r="S11" s="23">
        <f>IF($D$3=1,ROUND(((P11*R11)/2),2),0)</f>
        <v>0</v>
      </c>
      <c r="T11" s="23">
        <f>IF($D$3=1,ROUND(((P11*R11)/2),2),0)</f>
        <v>0</v>
      </c>
      <c r="U11" s="23">
        <f>IF($D$3=2,ROUND(((P11*R11)),2),0)</f>
        <v>900</v>
      </c>
      <c r="V11" s="47">
        <f>S11+T11+U11</f>
        <v>900</v>
      </c>
      <c r="W11" s="23" t="s">
        <v>155</v>
      </c>
      <c r="Y11" s="4"/>
      <c r="Z11" s="4"/>
      <c r="AA11" s="4"/>
      <c r="AB11" s="4"/>
      <c r="AC11" s="4"/>
      <c r="AD11" s="4"/>
      <c r="AE11" s="4"/>
      <c r="AF11" s="4"/>
      <c r="AG11" s="4"/>
    </row>
    <row r="12" spans="1:40">
      <c r="C12" s="23">
        <v>2</v>
      </c>
      <c r="D12" s="45" t="s">
        <v>122</v>
      </c>
      <c r="E12" s="45">
        <v>0</v>
      </c>
      <c r="F12" s="45" t="s">
        <v>195</v>
      </c>
      <c r="G12" s="45" t="s">
        <v>118</v>
      </c>
      <c r="H12" s="23"/>
      <c r="I12" s="23">
        <v>15000</v>
      </c>
      <c r="J12" s="23">
        <v>112341</v>
      </c>
      <c r="K12" s="27">
        <v>0.18</v>
      </c>
      <c r="L12" s="23">
        <f t="shared" ref="L12" si="2">IF($D$3=1,ROUND(((I12*K12)/2),2),0)</f>
        <v>0</v>
      </c>
      <c r="M12" s="23">
        <f t="shared" ref="M12" si="3">IF($D$3=1,ROUND(((I12*K12)/2),2),0)</f>
        <v>0</v>
      </c>
      <c r="N12" s="23">
        <f t="shared" ref="N12" si="4">IF($D$3=2,ROUND(((I12*K12)),2),0)</f>
        <v>2700</v>
      </c>
      <c r="O12" s="23">
        <f t="shared" ref="O12" si="5">L12+M12+N12</f>
        <v>2700</v>
      </c>
      <c r="P12" s="23">
        <v>10000</v>
      </c>
      <c r="Q12" s="23">
        <v>112341</v>
      </c>
      <c r="R12" s="27">
        <v>0.18</v>
      </c>
      <c r="S12" s="23">
        <f>IF($D$3=1,ROUND(((P12*R12)/2),2),0)</f>
        <v>0</v>
      </c>
      <c r="T12" s="23">
        <f>IF($D$3=1,ROUND(((P12*R12)/2),2),0)</f>
        <v>0</v>
      </c>
      <c r="U12" s="23">
        <f>IF($D$3=2,ROUND(((P12*R12)),2),0)</f>
        <v>1800</v>
      </c>
      <c r="V12" s="23">
        <f>S12+T12+U12</f>
        <v>1800</v>
      </c>
      <c r="W12" s="23" t="s">
        <v>155</v>
      </c>
      <c r="Y12" s="4"/>
      <c r="Z12" s="4"/>
      <c r="AA12" s="4"/>
      <c r="AB12" s="4"/>
      <c r="AC12" s="4"/>
      <c r="AD12" s="4"/>
      <c r="AE12" s="4"/>
      <c r="AF12" s="4"/>
      <c r="AG12" s="4"/>
    </row>
    <row r="13" spans="1:40">
      <c r="C13" s="23">
        <v>3</v>
      </c>
      <c r="D13" s="45" t="s">
        <v>196</v>
      </c>
      <c r="E13" s="45">
        <v>0</v>
      </c>
      <c r="F13" s="45" t="s">
        <v>197</v>
      </c>
      <c r="G13" s="48" t="s">
        <v>118</v>
      </c>
      <c r="H13" s="23">
        <v>0</v>
      </c>
      <c r="I13" s="23">
        <v>0</v>
      </c>
      <c r="J13" s="23">
        <v>0</v>
      </c>
      <c r="K13" s="27">
        <v>0</v>
      </c>
      <c r="L13" s="23">
        <v>0</v>
      </c>
      <c r="M13" s="23">
        <v>0</v>
      </c>
      <c r="N13" s="23">
        <v>0</v>
      </c>
      <c r="O13" s="23">
        <v>0</v>
      </c>
      <c r="P13" s="23">
        <v>1256</v>
      </c>
      <c r="Q13" s="23">
        <v>112341</v>
      </c>
      <c r="R13" s="27">
        <v>0.18</v>
      </c>
      <c r="S13" s="23">
        <f>IF($D$3=1,ROUND(((P13*R13)/2),2),0)</f>
        <v>0</v>
      </c>
      <c r="T13" s="23">
        <f>IF($D$3=1,ROUND(((P13*R13)/2),2),0)</f>
        <v>0</v>
      </c>
      <c r="U13" s="23">
        <f>IF($D$3=2,ROUND(((P13*R13)),2),0)</f>
        <v>226.08</v>
      </c>
      <c r="V13" s="23">
        <f>S13+T13+U13</f>
        <v>226.08</v>
      </c>
      <c r="W13" s="47" t="s">
        <v>198</v>
      </c>
      <c r="X13" s="42" t="s">
        <v>123</v>
      </c>
      <c r="Y13" s="42" t="s">
        <v>199</v>
      </c>
      <c r="Z13" s="4"/>
      <c r="AA13" s="4"/>
      <c r="AB13" s="4"/>
      <c r="AC13" s="4"/>
      <c r="AD13" s="4"/>
      <c r="AE13" s="4"/>
      <c r="AF13" s="4"/>
      <c r="AG13" s="4"/>
    </row>
    <row r="14" spans="1:40">
      <c r="C14" s="4"/>
      <c r="H14" s="49" t="s">
        <v>125</v>
      </c>
      <c r="I14" s="49">
        <f>SUM(I11:I12)</f>
        <v>21477.41</v>
      </c>
      <c r="J14" s="49"/>
      <c r="K14" s="49"/>
      <c r="L14" s="50">
        <f>SUM(L11:L12)</f>
        <v>0</v>
      </c>
      <c r="M14" s="50">
        <f>SUM(M11:M12)</f>
        <v>0</v>
      </c>
      <c r="N14" s="50">
        <f>SUM(N11:N12)</f>
        <v>3865.93</v>
      </c>
      <c r="O14" s="50">
        <f>SUM(O11:O12)</f>
        <v>3865.93</v>
      </c>
      <c r="P14" s="4">
        <f>SUM(P11:P13)</f>
        <v>16256</v>
      </c>
      <c r="Q14" s="4"/>
      <c r="V14" s="4">
        <f>SUM(V11:V13)</f>
        <v>2926.08</v>
      </c>
      <c r="W14" s="4"/>
      <c r="X14" s="23">
        <f>P14+V14</f>
        <v>19182.080000000002</v>
      </c>
      <c r="Y14" s="28">
        <f>AB7+X14</f>
        <v>57398.81</v>
      </c>
      <c r="Z14" s="4"/>
      <c r="AA14" s="4"/>
      <c r="AB14" s="4"/>
      <c r="AC14" s="4"/>
      <c r="AD14" s="4"/>
      <c r="AE14" s="4"/>
      <c r="AF14" s="4"/>
      <c r="AG14" s="4"/>
    </row>
    <row r="15" spans="1:40">
      <c r="A15" s="4"/>
      <c r="Q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40" ht="18">
      <c r="A16" s="1"/>
      <c r="B16" s="1"/>
      <c r="C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79"/>
      <c r="B17" s="79"/>
      <c r="C17" s="5"/>
      <c r="Q17" s="10"/>
      <c r="R17" s="10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51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Advance</vt:lpstr>
      <vt:lpstr>SO AdvanceEXP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SOforMRP</vt:lpstr>
      <vt:lpstr>ProdOrderWithSO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2024-02-02T08:07:00Z</dcterms:created>
  <dc:creator>Priyadharshini</dc:creator>
  <cp:lastModifiedBy>Harikrishna</cp:lastModifiedBy>
  <dcterms:modified xsi:type="dcterms:W3CDTF">2026-09-19T10:06:52Z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8E1B226018524950938B7D497606FC86_12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