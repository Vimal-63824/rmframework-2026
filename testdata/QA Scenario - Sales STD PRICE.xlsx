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/>
  </bookViews>
  <sheets>
    <sheet name="Case 1" sheetId="1" r:id="rId1"/>
    <sheet name="Item Stocks" sheetId="3" state="hidden" r:id="rId2"/>
    <sheet name="Free Sample" sheetId="12" r:id="rId3"/>
    <sheet name="Free Replacement" sheetId="13" r:id="rId4"/>
    <sheet name="SCRAP" sheetId="5" r:id="rId5"/>
    <sheet name="SERVICE" sheetId="6" r:id="rId6"/>
    <sheet name="PROMOTIONAL" sheetId="8" r:id="rId7"/>
    <sheet name="Local Customer" sheetId="9" r:id="rId8"/>
    <sheet name="SEZ Customer" sheetId="10" r:id="rId9"/>
    <sheet name="CESS" sheetId="11" r:id="rId10"/>
    <sheet name="Demo Exhibition" sheetId="14" r:id="rId11"/>
    <sheet name="CHARGES" sheetId="15" r:id="rId12"/>
    <sheet name="ShipSet" sheetId="16" r:id="rId13"/>
  </sheets>
  <definedNames>
    <definedName name="_xlnm._FilterDatabase" localSheetId="0" hidden="1">'Case 1'!$V$1:$V$8</definedName>
    <definedName name="_xlnm._FilterDatabase" localSheetId="9" hidden="1">CESS!$V$1:$V$8</definedName>
    <definedName name="_xlnm._FilterDatabase" localSheetId="10" hidden="1">'Demo Exhibition'!$V$1:$V$8</definedName>
    <definedName name="_xlnm._FilterDatabase" localSheetId="3" hidden="1">'Free Replacement'!$V$1:$V$8</definedName>
    <definedName name="_xlnm._FilterDatabase" localSheetId="2" hidden="1">'Free Sample'!$V$1:$V$8</definedName>
    <definedName name="_xlnm._FilterDatabase" localSheetId="7" hidden="1">'Local Customer'!$V$1:$V$8</definedName>
    <definedName name="_xlnm._FilterDatabase" localSheetId="6" hidden="1">PROMOTIONAL!$V$1:$V$8</definedName>
    <definedName name="_xlnm._FilterDatabase" localSheetId="4" hidden="1">SCRAP!$V$1:$V$7</definedName>
    <definedName name="_xlnm._FilterDatabase" localSheetId="5" hidden="1">SERVICE!$V$1:$V$7</definedName>
    <definedName name="_xlnm._FilterDatabase" localSheetId="8" hidden="1">'SEZ Customer'!$V$1:$V$8</definedName>
    <definedName name="_xlnm._FilterDatabase" localSheetId="12" hidden="1">ShipSet!$V$1:$V$7</definedName>
  </definedNames>
  <calcPr calcId="124519"/>
</workbook>
</file>

<file path=xl/calcChain.xml><?xml version="1.0" encoding="utf-8"?>
<calcChain xmlns="http://schemas.openxmlformats.org/spreadsheetml/2006/main">
  <c r="X6" i="15"/>
  <c r="T6"/>
  <c r="M6"/>
  <c r="M5"/>
  <c r="N5" s="1"/>
  <c r="AM6" i="16"/>
  <c r="AI5"/>
  <c r="AF5"/>
  <c r="Y5"/>
  <c r="X5"/>
  <c r="I5"/>
  <c r="AF6" i="15"/>
  <c r="AI6" s="1"/>
  <c r="Y6"/>
  <c r="I6"/>
  <c r="AI5"/>
  <c r="AF5"/>
  <c r="Y5"/>
  <c r="X5"/>
  <c r="I5"/>
  <c r="N5" i="14"/>
  <c r="N12" i="15"/>
  <c r="M12"/>
  <c r="L12"/>
  <c r="M11"/>
  <c r="L11"/>
  <c r="X5" i="14"/>
  <c r="AM6" i="6"/>
  <c r="AM6" i="5"/>
  <c r="AF6" i="14"/>
  <c r="AI6" s="1"/>
  <c r="Y6"/>
  <c r="X6"/>
  <c r="I6"/>
  <c r="AI5"/>
  <c r="AF5"/>
  <c r="Y5"/>
  <c r="I5"/>
  <c r="AF6" i="13"/>
  <c r="AI6" s="1"/>
  <c r="Y6"/>
  <c r="X6"/>
  <c r="I6"/>
  <c r="AI5"/>
  <c r="AF5"/>
  <c r="Y5"/>
  <c r="X5"/>
  <c r="I5"/>
  <c r="AF6" i="12"/>
  <c r="AI6" s="1"/>
  <c r="Y6"/>
  <c r="X6"/>
  <c r="I6"/>
  <c r="AI5"/>
  <c r="AF5"/>
  <c r="Y5"/>
  <c r="X5"/>
  <c r="M5"/>
  <c r="N5" s="1"/>
  <c r="I5"/>
  <c r="AI5" i="10"/>
  <c r="AF6" i="11"/>
  <c r="AI6" s="1"/>
  <c r="I6"/>
  <c r="AI5"/>
  <c r="AF5"/>
  <c r="I5"/>
  <c r="AF6" i="10"/>
  <c r="AI6" s="1"/>
  <c r="I6"/>
  <c r="AF5"/>
  <c r="M5"/>
  <c r="N5" s="1"/>
  <c r="I5"/>
  <c r="AI5" i="1"/>
  <c r="AI6" i="9"/>
  <c r="AF6"/>
  <c r="I6"/>
  <c r="AI5"/>
  <c r="AF5"/>
  <c r="M5"/>
  <c r="N5" s="1"/>
  <c r="I5"/>
  <c r="AF6" i="8"/>
  <c r="AI6" s="1"/>
  <c r="Y6"/>
  <c r="X6"/>
  <c r="I6"/>
  <c r="AI5"/>
  <c r="AF5"/>
  <c r="Y5"/>
  <c r="X5"/>
  <c r="N5"/>
  <c r="M5"/>
  <c r="I5"/>
  <c r="AI5" i="6"/>
  <c r="AF5"/>
  <c r="Y5"/>
  <c r="X5"/>
  <c r="N5"/>
  <c r="M5"/>
  <c r="I5"/>
  <c r="AI5" i="5"/>
  <c r="AF5"/>
  <c r="Y5"/>
  <c r="X5"/>
  <c r="N5"/>
  <c r="O5" s="1"/>
  <c r="P5" s="1"/>
  <c r="M5"/>
  <c r="I5"/>
  <c r="N5" i="1"/>
  <c r="AF6"/>
  <c r="AI6" s="1"/>
  <c r="H3" i="3"/>
  <c r="H2"/>
  <c r="F3"/>
  <c r="F2"/>
  <c r="B3"/>
  <c r="C3"/>
  <c r="D3"/>
  <c r="A3"/>
  <c r="B2"/>
  <c r="C2"/>
  <c r="D2"/>
  <c r="A2"/>
  <c r="Y6" i="1"/>
  <c r="X6"/>
  <c r="N6"/>
  <c r="M6"/>
  <c r="I6"/>
  <c r="AF5"/>
  <c r="Y5"/>
  <c r="X5"/>
  <c r="M5"/>
  <c r="I5"/>
  <c r="O5" i="6" l="1"/>
  <c r="O5" i="10"/>
  <c r="M5" i="16"/>
  <c r="N5" s="1"/>
  <c r="I7" i="15"/>
  <c r="N6"/>
  <c r="O6" s="1"/>
  <c r="O5"/>
  <c r="L13"/>
  <c r="M13"/>
  <c r="O12"/>
  <c r="M5" i="14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P5" i="10"/>
  <c r="M6"/>
  <c r="N6" s="1"/>
  <c r="O6" s="1"/>
  <c r="O5" i="9"/>
  <c r="M6"/>
  <c r="N6" s="1"/>
  <c r="O5" i="8"/>
  <c r="P5" s="1"/>
  <c r="Q5" s="1"/>
  <c r="R5" s="1"/>
  <c r="M6"/>
  <c r="N6" s="1"/>
  <c r="P5" i="6"/>
  <c r="Q5" i="5"/>
  <c r="R5" s="1"/>
  <c r="S5" s="1"/>
  <c r="O6" i="1"/>
  <c r="O5"/>
  <c r="O5" i="16" l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T5" i="5"/>
  <c r="U5"/>
  <c r="AM5" s="1"/>
  <c r="P6" i="1"/>
  <c r="P5"/>
  <c r="P5" i="16" l="1"/>
  <c r="Q6" i="15"/>
  <c r="R6" s="1"/>
  <c r="S6" s="1"/>
  <c r="Q5"/>
  <c r="R5" s="1"/>
  <c r="S5" s="1"/>
  <c r="P6" i="14"/>
  <c r="P5" i="13"/>
  <c r="P6"/>
  <c r="P6" i="12"/>
  <c r="Q5"/>
  <c r="R5" s="1"/>
  <c r="S5" s="1"/>
  <c r="T5" i="11"/>
  <c r="U5"/>
  <c r="S6"/>
  <c r="T5" i="10"/>
  <c r="U5"/>
  <c r="S6"/>
  <c r="Q6" i="9"/>
  <c r="R6" s="1"/>
  <c r="S6" s="1"/>
  <c r="Q5"/>
  <c r="R5" s="1"/>
  <c r="S5" s="1"/>
  <c r="T5" i="8"/>
  <c r="U5"/>
  <c r="P6"/>
  <c r="T5" i="6"/>
  <c r="U5"/>
  <c r="AM5" s="1"/>
  <c r="Z5" i="5"/>
  <c r="AA5" s="1"/>
  <c r="AB5" s="1"/>
  <c r="AD5"/>
  <c r="AD6" s="1"/>
  <c r="Q6" i="1"/>
  <c r="R6" s="1"/>
  <c r="S6" s="1"/>
  <c r="Q5"/>
  <c r="R5" s="1"/>
  <c r="S5" s="1"/>
  <c r="Z5" i="8" l="1"/>
  <c r="AM5"/>
  <c r="AM5" i="10"/>
  <c r="AB5"/>
  <c r="Q5" i="16"/>
  <c r="R5" s="1"/>
  <c r="S5" s="1"/>
  <c r="U6" i="15"/>
  <c r="T5"/>
  <c r="U5"/>
  <c r="AM5" i="11"/>
  <c r="Z5"/>
  <c r="S5" i="14"/>
  <c r="Q5"/>
  <c r="R5" s="1"/>
  <c r="Q6"/>
  <c r="R6" s="1"/>
  <c r="S6" s="1"/>
  <c r="S5" i="13"/>
  <c r="Q5"/>
  <c r="R5" s="1"/>
  <c r="Q6"/>
  <c r="R6" s="1"/>
  <c r="S6" s="1"/>
  <c r="U5" i="12"/>
  <c r="AM5" s="1"/>
  <c r="T5"/>
  <c r="Q6"/>
  <c r="R6" s="1"/>
  <c r="S6" s="1"/>
  <c r="AD5" i="11"/>
  <c r="AD7" s="1"/>
  <c r="Y5"/>
  <c r="X5"/>
  <c r="T6"/>
  <c r="U6"/>
  <c r="AD5" i="10"/>
  <c r="AD7" s="1"/>
  <c r="T6"/>
  <c r="U6"/>
  <c r="AM6" s="1"/>
  <c r="T6" i="9"/>
  <c r="U6"/>
  <c r="AM6" s="1"/>
  <c r="T5"/>
  <c r="U5"/>
  <c r="AM5" s="1"/>
  <c r="AD5" i="8"/>
  <c r="AD7" s="1"/>
  <c r="AA5"/>
  <c r="AB5" s="1"/>
  <c r="Q6"/>
  <c r="R6" s="1"/>
  <c r="S6" s="1"/>
  <c r="AD5" i="6"/>
  <c r="AD6" s="1"/>
  <c r="Z5"/>
  <c r="AA5" s="1"/>
  <c r="AB5" s="1"/>
  <c r="AB6" s="1"/>
  <c r="T6" i="1"/>
  <c r="U6"/>
  <c r="AM6" s="1"/>
  <c r="T5"/>
  <c r="U5"/>
  <c r="AM5" s="1"/>
  <c r="AA5" i="11" l="1"/>
  <c r="AB5" s="1"/>
  <c r="T5" i="16"/>
  <c r="U5"/>
  <c r="AD6" i="15"/>
  <c r="U7"/>
  <c r="I11" s="1"/>
  <c r="Z6"/>
  <c r="AA6" s="1"/>
  <c r="AB6" s="1"/>
  <c r="AM6"/>
  <c r="Z5"/>
  <c r="AM5"/>
  <c r="AD5"/>
  <c r="AD7" s="1"/>
  <c r="Z6" i="11"/>
  <c r="AM6"/>
  <c r="T6" i="14"/>
  <c r="U6"/>
  <c r="AM6" s="1"/>
  <c r="T5"/>
  <c r="U5"/>
  <c r="AM5" s="1"/>
  <c r="T6" i="13"/>
  <c r="U6"/>
  <c r="AM6" s="1"/>
  <c r="T5"/>
  <c r="U5"/>
  <c r="AM5" s="1"/>
  <c r="T6" i="12"/>
  <c r="U6"/>
  <c r="AM6" s="1"/>
  <c r="AD5"/>
  <c r="AD7" s="1"/>
  <c r="Z5"/>
  <c r="AA5" s="1"/>
  <c r="AB5" s="1"/>
  <c r="X6" i="11"/>
  <c r="AD6"/>
  <c r="Y6"/>
  <c r="AD6" i="10"/>
  <c r="X6" i="9"/>
  <c r="Y6"/>
  <c r="X5"/>
  <c r="Y5"/>
  <c r="Z6"/>
  <c r="AD6"/>
  <c r="AD5"/>
  <c r="AD7" s="1"/>
  <c r="Z5"/>
  <c r="T6" i="8"/>
  <c r="U6"/>
  <c r="AB6" i="5"/>
  <c r="Z6" i="1"/>
  <c r="AA6" s="1"/>
  <c r="AB6" s="1"/>
  <c r="AD6"/>
  <c r="AD5"/>
  <c r="AD7" s="1"/>
  <c r="Z5"/>
  <c r="AA5" s="1"/>
  <c r="AB5" s="1"/>
  <c r="AM6" i="8" l="1"/>
  <c r="Z6"/>
  <c r="AA6" s="1"/>
  <c r="AB6" s="1"/>
  <c r="AB7" s="1"/>
  <c r="AA5" i="15"/>
  <c r="AB5" s="1"/>
  <c r="AB7" s="1"/>
  <c r="AD5" i="16"/>
  <c r="AD6" s="1"/>
  <c r="Z5"/>
  <c r="AA5" s="1"/>
  <c r="AB5" s="1"/>
  <c r="AB6" s="1"/>
  <c r="AM5"/>
  <c r="I13" i="15"/>
  <c r="N11"/>
  <c r="AA6" i="11"/>
  <c r="AB6" s="1"/>
  <c r="AB7" s="1"/>
  <c r="AD5" i="14"/>
  <c r="AD7" s="1"/>
  <c r="Z5"/>
  <c r="AA5" s="1"/>
  <c r="AB5" s="1"/>
  <c r="Z6"/>
  <c r="AA6" s="1"/>
  <c r="AB6" s="1"/>
  <c r="AD6"/>
  <c r="AD5" i="13"/>
  <c r="AD7" s="1"/>
  <c r="Z5"/>
  <c r="AA5" s="1"/>
  <c r="AB5" s="1"/>
  <c r="AD6"/>
  <c r="Z6"/>
  <c r="AA6" s="1"/>
  <c r="AB6" s="1"/>
  <c r="Z6" i="12"/>
  <c r="AA6" s="1"/>
  <c r="AB6" s="1"/>
  <c r="AB7" s="1"/>
  <c r="AD6"/>
  <c r="AB6" i="10"/>
  <c r="AB7" s="1"/>
  <c r="AA6" i="9"/>
  <c r="AB6" s="1"/>
  <c r="AA5"/>
  <c r="AB5" s="1"/>
  <c r="AD6" i="8"/>
  <c r="AB7" i="1"/>
  <c r="N13" i="15" l="1"/>
  <c r="O11"/>
  <c r="O13" s="1"/>
  <c r="AB7" i="14"/>
  <c r="AB7" i="13"/>
  <c r="AB7" i="9"/>
</calcChain>
</file>

<file path=xl/sharedStrings.xml><?xml version="1.0" encoding="utf-8"?>
<sst xmlns="http://schemas.openxmlformats.org/spreadsheetml/2006/main" count="812" uniqueCount="93">
  <si>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</si>
  <si>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</si>
  <si>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</si>
  <si>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</si>
  <si>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</si>
  <si>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</si>
  <si>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</si>
  <si>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</si>
  <si>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</si>
  <si>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</si>
  <si>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</si>
  <si>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</si>
  <si>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</si>
  <si>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</si>
  <si>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</si>
  <si>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</si>
  <si>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</si>
  <si>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</si>
  <si>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</si>
  <si>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</si>
  <si>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</si>
  <si>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</si>
  <si>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</si>
  <si>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</si>
  <si>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</si>
  <si>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</si>
  <si>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</si>
  <si>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</si>
  <si>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</si>
  <si>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</si>
  <si>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</si>
  <si>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</si>
  <si>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</si>
  <si>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</si>
  <si>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</si>
  <si>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</si>
  <si>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</si>
  <si>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</si>
  <si>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</si>
  <si>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</si>
  <si>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</si>
  <si>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</si>
  <si>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</si>
  <si>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</si>
  <si>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</si>
  <si>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</si>
  <si>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</si>
  <si>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</si>
  <si>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</si>
  <si>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</si>
  <si>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</si>
  <si>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</si>
  <si>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</si>
  <si>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</si>
  <si>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</si>
  <si>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</si>
  <si>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</si>
  <si>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2013</t>
  </si>
  <si>
    <t>HK-TVS-SCRAP-10001</t>
  </si>
  <si>
    <t>R100</t>
  </si>
  <si>
    <t>TVS-SER-10001</t>
  </si>
  <si>
    <t>Promotional Type</t>
  </si>
  <si>
    <t>Promotional</t>
  </si>
  <si>
    <t>Sales Regular</t>
  </si>
  <si>
    <t>PRO-10001</t>
  </si>
  <si>
    <t>PROMOTIONAL-10001</t>
  </si>
  <si>
    <t>0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</si>
  <si>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</si>
  <si>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</si>
  <si>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</si>
  <si>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</si>
  <si>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</si>
  <si>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</si>
  <si>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UTGST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</si>
  <si>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</si>
  <si>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</si>
  <si>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</si>
  <si>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</si>
  <si>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</si>
  <si>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</si>
  <si>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</si>
  <si>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</si>
  <si>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</si>
  <si>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</si>
  <si>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</si>
  <si>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</si>
  <si>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</si>
  <si>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912</t>
  </si>
  <si>
    <t>1375.002</t>
  </si>
  <si>
    <t>100001019</t>
  </si>
  <si>
    <t>123.09853</t>
  </si>
  <si>
    <t>HK-FG-SRKF-10001</t>
  </si>
  <si>
    <t>HK-FINISHEDGOODS-SRKF-10001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</si>
</sst>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8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2" fontId="1" fillId="6" borderId="1" xfId="0" applyNumberFormat="1" applyFont="1" applyFill="1" applyBorder="1"/>
    <xf numFmtId="164" fontId="1" fillId="0" borderId="1" xfId="0" applyNumberFormat="1" applyFont="1" applyBorder="1"/>
    <xf numFmtId="0" fontId="1" fillId="0" borderId="1" xfId="0" applyNumberFormat="1" applyFont="1" applyBorder="1"/>
    <xf numFmtId="165" fontId="5" fillId="7" borderId="0" xfId="1" applyNumberForma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6" borderId="1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theme/theme1.xml" Type="http://schemas.openxmlformats.org/officeDocument/2006/relationships/theme"/><Relationship Id="rId15" Target="styles.xml" Type="http://schemas.openxmlformats.org/officeDocument/2006/relationships/styles"/><Relationship Id="rId16" Target="sharedStrings.xml" Type="http://schemas.openxmlformats.org/officeDocument/2006/relationships/sharedStrings"/><Relationship Id="rId17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AM8"/>
  <sheetViews>
    <sheetView showGridLines="0" tabSelected="1" zoomScale="85" zoomScaleNormal="85" workbookViewId="0">
      <selection activeCell="B8" sqref="B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"/>
      <c r="AD1" s="7"/>
      <c r="AE1" s="7"/>
      <c r="AF1" s="7"/>
      <c r="AG1" s="35"/>
      <c r="AH1" s="35"/>
    </row>
    <row r="2" spans="1:39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35"/>
      <c r="AH2" s="35"/>
    </row>
    <row r="3" spans="1:39" ht="19.899999999999999" customHeight="1" thickBot="1">
      <c r="A3" s="79" t="s">
        <v>35</v>
      </c>
      <c r="B3" s="79"/>
      <c r="C3" s="10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33">
        <f>I5</f>
        <v>15000</v>
      </c>
      <c r="N5" s="33">
        <f>ROUND((M5*J5)/100,2)</f>
        <v>0</v>
      </c>
      <c r="O5" s="33">
        <f>I5-N5</f>
        <v>15000</v>
      </c>
      <c r="P5" s="33">
        <f>ROUND((O5*K5)/100,2)</f>
        <v>0</v>
      </c>
      <c r="Q5" s="33">
        <f>ROUND(O5-P5,2)</f>
        <v>15000</v>
      </c>
      <c r="R5" s="33">
        <f>ROUND((Q5*L5)/100,2)</f>
        <v>0</v>
      </c>
      <c r="S5" s="33">
        <f>N5+P5+R5</f>
        <v>0</v>
      </c>
      <c r="T5" s="33">
        <f>S5/G5</f>
        <v>0</v>
      </c>
      <c r="U5" s="33">
        <f>(I5-S5)</f>
        <v>15000</v>
      </c>
      <c r="V5" s="33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1800</v>
      </c>
      <c r="AA5" s="33">
        <f>X5+Y5+Z5</f>
        <v>1800</v>
      </c>
      <c r="AB5" s="33">
        <f t="shared" ref="AB5" si="0">U5+AA5</f>
        <v>16800</v>
      </c>
      <c r="AC5" s="33">
        <v>120</v>
      </c>
      <c r="AD5" s="33">
        <f t="shared" ref="AD5" si="1">U5*$N$3</f>
        <v>15000</v>
      </c>
      <c r="AE5" s="33">
        <v>1</v>
      </c>
      <c r="AF5" s="33">
        <f t="shared" ref="AF5" si="2">G5/AE5</f>
        <v>10</v>
      </c>
      <c r="AG5" t="s" s="38">
        <v>87</v>
      </c>
      <c r="AH5" t="s" s="38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N6+P6+R6</f>
        <v>0</v>
      </c>
      <c r="T6" s="33">
        <f>S6/G6</f>
        <v>0</v>
      </c>
      <c r="U6" s="33">
        <f>(I6-S6)</f>
        <v>20000</v>
      </c>
      <c r="V6" s="33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ref="AB6" si="3">U6+AA6</f>
        <v>21000</v>
      </c>
      <c r="AC6" s="33">
        <v>120</v>
      </c>
      <c r="AD6" s="33">
        <f t="shared" ref="AD6" si="4">U6*$N$3</f>
        <v>20000</v>
      </c>
      <c r="AE6" s="33">
        <v>3</v>
      </c>
      <c r="AF6" s="33">
        <f>ROUND(G6/AE6,3)</f>
        <v>3.3330000000000002</v>
      </c>
      <c r="AG6" t="s" s="38">
        <v>88</v>
      </c>
      <c r="AH6" t="s" s="38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41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42">
        <v>20</v>
      </c>
      <c r="F2" s="42">
        <f>'Case 1'!H5</f>
        <v>1500</v>
      </c>
      <c r="G2" t="s" s="0">
        <v>53</v>
      </c>
      <c r="H2" s="42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42">
        <v>30</v>
      </c>
      <c r="F3" s="42">
        <f>'Case 1'!H6</f>
        <v>2000</v>
      </c>
      <c r="G3" s="0">
        <v>675</v>
      </c>
      <c r="H3" s="42">
        <f>G3-E3</f>
        <v>645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AM8"/>
  <sheetViews>
    <sheetView showGridLines="0" topLeftCell="S1" zoomScale="85" zoomScaleNormal="85" workbookViewId="0">
      <selection activeCell="AF10" sqref="AF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39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39" ht="19.899999999999999" customHeight="1" thickBot="1">
      <c r="A3" s="79" t="s">
        <v>35</v>
      </c>
      <c r="B3" s="79"/>
      <c r="C3" s="56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33">
        <f>I5</f>
        <v>15000</v>
      </c>
      <c r="N5" s="33">
        <f>ROUND((M5*J5)/100,2)</f>
        <v>0</v>
      </c>
      <c r="O5" s="33">
        <f>I5-N5</f>
        <v>15000</v>
      </c>
      <c r="P5" s="33">
        <f>ROUND((O5*K5)/100,2)</f>
        <v>0</v>
      </c>
      <c r="Q5" s="33">
        <f>ROUND(O5-P5,2)</f>
        <v>15000</v>
      </c>
      <c r="R5" s="33">
        <f>ROUND((Q5*L5)/100,2)</f>
        <v>0</v>
      </c>
      <c r="S5" s="33">
        <f>N5+P5+R5</f>
        <v>0</v>
      </c>
      <c r="T5" s="33">
        <f>S5/G5</f>
        <v>0</v>
      </c>
      <c r="U5" s="33">
        <f>(I5-S5)</f>
        <v>15000</v>
      </c>
      <c r="V5" s="33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1800</v>
      </c>
      <c r="AA5" s="33">
        <f>X5+Y5+Z5</f>
        <v>1800</v>
      </c>
      <c r="AB5" s="33">
        <f t="shared" ref="AB5:AB6" si="0">U5+AA5</f>
        <v>16800</v>
      </c>
      <c r="AC5" s="33">
        <v>120</v>
      </c>
      <c r="AD5" s="33">
        <f t="shared" ref="AD5:AD6" si="1">U5*$N$3</f>
        <v>15000</v>
      </c>
      <c r="AE5" s="33">
        <v>1</v>
      </c>
      <c r="AF5" s="33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N6+P6+R6</f>
        <v>0</v>
      </c>
      <c r="T6" s="33">
        <f>S6/G6</f>
        <v>0</v>
      </c>
      <c r="U6" s="33">
        <f>(I6-S6)</f>
        <v>20000</v>
      </c>
      <c r="V6" s="33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s="38" t="s">
        <v>88</v>
      </c>
      <c r="AH6" s="38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0"/>
  <dimension ref="A1:AM8"/>
  <sheetViews>
    <sheetView showGridLines="0" topLeftCell="U1" zoomScale="85" zoomScaleNormal="85" workbookViewId="0">
      <selection activeCell="AK19" sqref="AK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39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39" ht="19.899999999999999" customHeight="1" thickBot="1">
      <c r="A3" s="79" t="s">
        <v>35</v>
      </c>
      <c r="B3" s="79"/>
      <c r="C3" s="56"/>
      <c r="D3" s="3">
        <v>2</v>
      </c>
      <c r="E3" s="8" t="s">
        <v>67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33">
        <f>I5</f>
        <v>15000</v>
      </c>
      <c r="N5" s="33">
        <f>ROUND((M5*J5)/100,2)</f>
        <v>0</v>
      </c>
      <c r="O5" s="33">
        <f>I5-N5</f>
        <v>15000</v>
      </c>
      <c r="P5" s="33">
        <f>ROUND((O5*K5)/100,2)</f>
        <v>0</v>
      </c>
      <c r="Q5" s="33">
        <f>ROUND(O5-P5,2)</f>
        <v>15000</v>
      </c>
      <c r="R5" s="33">
        <f>ROUND((Q5*L5)/100,2)</f>
        <v>0</v>
      </c>
      <c r="S5" s="33">
        <f>N5+P5+R5</f>
        <v>0</v>
      </c>
      <c r="T5" s="33">
        <f>S5/G5</f>
        <v>0</v>
      </c>
      <c r="U5" s="33">
        <f>(I5-S5)</f>
        <v>15000</v>
      </c>
      <c r="V5" s="33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1800</v>
      </c>
      <c r="AA5" s="33">
        <f>X5+Y5+Z5</f>
        <v>1800</v>
      </c>
      <c r="AB5" s="33">
        <f t="shared" ref="AB5:AB6" si="0">U5+AA5</f>
        <v>16800</v>
      </c>
      <c r="AC5" s="33">
        <v>120</v>
      </c>
      <c r="AD5" s="33">
        <f t="shared" ref="AD5:AD6" si="1">U5*$N$3</f>
        <v>15000</v>
      </c>
      <c r="AE5" s="33">
        <v>1</v>
      </c>
      <c r="AF5" s="33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N6+P6+R6</f>
        <v>0</v>
      </c>
      <c r="T6" s="33">
        <f>S6/G6</f>
        <v>0</v>
      </c>
      <c r="U6" s="33">
        <f>(I6-S6)</f>
        <v>20000</v>
      </c>
      <c r="V6" s="33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s="38" t="s">
        <v>88</v>
      </c>
      <c r="AH6" s="38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4"/>
  <dimension ref="A1:AM7"/>
  <sheetViews>
    <sheetView showGridLines="0" topLeftCell="Q1" zoomScale="85" zoomScaleNormal="85" workbookViewId="0">
      <selection activeCell="AD13" sqref="AD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85546875"/>
    <col min="37" max="37" customWidth="true" style="1" width="13.140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3"/>
      <c r="AD1" s="43"/>
      <c r="AE1" s="43"/>
      <c r="AF1" s="43"/>
      <c r="AG1" s="35"/>
      <c r="AH1" s="35"/>
    </row>
    <row r="2" spans="1:39" ht="18">
      <c r="A2" s="43" t="s">
        <v>30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35"/>
      <c r="AH2" s="35"/>
    </row>
    <row r="3" spans="1:39" ht="19.899999999999999" customHeight="1" thickBot="1">
      <c r="A3" s="79" t="s">
        <v>35</v>
      </c>
      <c r="B3" s="79"/>
      <c r="C3" s="4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58</v>
      </c>
      <c r="C5" s="27">
        <v>0</v>
      </c>
      <c r="D5" s="16" t="s">
        <v>58</v>
      </c>
      <c r="E5" s="27" t="s">
        <v>45</v>
      </c>
      <c r="F5" s="27" t="s">
        <v>45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2025</v>
      </c>
      <c r="Q5" s="33">
        <f>ROUND(O5-P5,2)</f>
        <v>11475</v>
      </c>
      <c r="R5" s="33">
        <f>ROUND((Q5*L5)/100,2)</f>
        <v>2295</v>
      </c>
      <c r="S5" s="33">
        <f>N5+P5+R5</f>
        <v>5820</v>
      </c>
      <c r="T5" s="33">
        <f>S5/G5</f>
        <v>582</v>
      </c>
      <c r="U5" s="33">
        <f>(I5-S5)</f>
        <v>9180</v>
      </c>
      <c r="V5" s="33" t="s">
        <v>23</v>
      </c>
      <c r="W5" s="30">
        <v>0.05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459</v>
      </c>
      <c r="AA5" s="33">
        <f>X5+Y5+Z5</f>
        <v>459</v>
      </c>
      <c r="AB5" s="33">
        <f t="shared" ref="AB5" si="0">U5+AA5</f>
        <v>9639</v>
      </c>
      <c r="AC5" s="33">
        <v>120</v>
      </c>
      <c r="AD5" s="33">
        <f t="shared" ref="AD5" si="1">U5*$N$3</f>
        <v>9180</v>
      </c>
      <c r="AE5" s="33">
        <v>1</v>
      </c>
      <c r="AF5" s="33">
        <f t="shared" ref="AF5" si="2">G5/AE5</f>
        <v>10</v>
      </c>
      <c r="AG5" s="38" t="s">
        <v>89</v>
      </c>
      <c r="AH5" s="38" t="s">
        <v>90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5"/>
  <dimension ref="A1:AM7"/>
  <sheetViews>
    <sheetView showGridLines="0" topLeftCell="Q1" zoomScale="85" zoomScaleNormal="85" workbookViewId="0">
      <selection activeCell="AC5" sqref="AC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7109375"/>
    <col min="37" max="37" customWidth="true" style="1" width="14.28515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5"/>
      <c r="AD1" s="45"/>
      <c r="AE1" s="45"/>
      <c r="AF1" s="45"/>
      <c r="AG1" s="35"/>
      <c r="AH1" s="35"/>
    </row>
    <row r="2" spans="1:39" ht="18">
      <c r="A2" s="45" t="s">
        <v>30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35"/>
      <c r="AH2" s="35"/>
    </row>
    <row r="3" spans="1:39" ht="19.899999999999999" customHeight="1" thickBot="1">
      <c r="A3" s="79" t="s">
        <v>35</v>
      </c>
      <c r="B3" s="79"/>
      <c r="C3" s="46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60</v>
      </c>
      <c r="C5" s="27">
        <v>0</v>
      </c>
      <c r="D5" s="16" t="s">
        <v>60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2025</v>
      </c>
      <c r="Q5" s="33">
        <f>ROUND(O5-P5,2)</f>
        <v>11475</v>
      </c>
      <c r="R5" s="33">
        <f>ROUND((Q5*L5)/100,2)</f>
        <v>2295</v>
      </c>
      <c r="S5" s="33">
        <f>N5+P5+R5</f>
        <v>5820</v>
      </c>
      <c r="T5" s="33">
        <f>S5/G5</f>
        <v>582</v>
      </c>
      <c r="U5" s="33">
        <f>(I5-S5)</f>
        <v>9180</v>
      </c>
      <c r="V5" s="33" t="s">
        <v>23</v>
      </c>
      <c r="W5" s="30">
        <v>0.05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459</v>
      </c>
      <c r="AA5" s="33">
        <f>X5+Y5+Z5</f>
        <v>459</v>
      </c>
      <c r="AB5" s="33">
        <f t="shared" ref="AB5" si="0">U5+AA5</f>
        <v>9639</v>
      </c>
      <c r="AC5" s="33">
        <v>120</v>
      </c>
      <c r="AD5" s="33">
        <f t="shared" ref="AD5" si="1">U5*$N$3</f>
        <v>9180</v>
      </c>
      <c r="AE5" s="33">
        <v>1</v>
      </c>
      <c r="AF5" s="33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6"/>
  <dimension ref="A1:AM8"/>
  <sheetViews>
    <sheetView showGridLines="0" topLeftCell="S1" zoomScale="85" zoomScaleNormal="85" workbookViewId="0">
      <selection activeCell="AF11" sqref="AF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5703125"/>
    <col min="37" max="37" customWidth="true" style="1" width="13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7"/>
      <c r="AD1" s="47"/>
      <c r="AE1" s="47"/>
      <c r="AF1" s="47"/>
      <c r="AG1" s="35"/>
      <c r="AH1" s="35"/>
    </row>
    <row r="2" spans="1:39" ht="18">
      <c r="A2" s="47" t="s">
        <v>30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35"/>
      <c r="AH2" s="35"/>
    </row>
    <row r="3" spans="1:39" ht="19.899999999999999" customHeight="1" thickBot="1">
      <c r="A3" s="79" t="s">
        <v>35</v>
      </c>
      <c r="B3" s="79"/>
      <c r="C3" s="48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12</v>
      </c>
      <c r="L5" s="33">
        <v>20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1620</v>
      </c>
      <c r="Q5" s="33">
        <f>ROUND(O5-P5,2)</f>
        <v>11880</v>
      </c>
      <c r="R5" s="33">
        <f>ROUND((Q5*L5)/100,2)</f>
        <v>2376</v>
      </c>
      <c r="S5" s="33">
        <f>N5+P5+R5</f>
        <v>5496</v>
      </c>
      <c r="T5" s="33">
        <f>S5/G5</f>
        <v>549.6</v>
      </c>
      <c r="U5" s="33">
        <f>(I5-S5)</f>
        <v>9504</v>
      </c>
      <c r="V5" s="33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ROUND(IF($D$3=2,((U5*W5)),0),2)</f>
        <v>1140.48</v>
      </c>
      <c r="AA5" s="33">
        <f>X5+Y5+Z5</f>
        <v>1140.48</v>
      </c>
      <c r="AB5" s="33">
        <f t="shared" ref="AB5:AB6" si="0">U5+AA5</f>
        <v>10644.48</v>
      </c>
      <c r="AC5" s="33">
        <v>120</v>
      </c>
      <c r="AD5" s="33">
        <f t="shared" ref="AD5:AD6" si="1">U5*$N$3</f>
        <v>9504</v>
      </c>
      <c r="AE5" s="33">
        <v>1</v>
      </c>
      <c r="AF5" s="33">
        <f t="shared" ref="AF5" si="2">G5/AE5</f>
        <v>10</v>
      </c>
      <c r="AG5" s="38" t="s">
        <v>87</v>
      </c>
      <c r="AH5" s="38" t="s">
        <v>55</v>
      </c>
      <c r="AI5" s="29">
        <f>ROUND(AG5-G5,0)</f>
        <v>2003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64</v>
      </c>
      <c r="C6" s="27">
        <v>0</v>
      </c>
      <c r="D6" s="16" t="s">
        <v>65</v>
      </c>
      <c r="E6" s="27" t="s">
        <v>10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N6+P6+R6</f>
        <v>0</v>
      </c>
      <c r="T6" s="33">
        <f>S6/G6</f>
        <v>0</v>
      </c>
      <c r="U6" s="33">
        <f>(I6-S6)</f>
        <v>20000</v>
      </c>
      <c r="V6" s="33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ROUND(IF($D$3=2,((U6*W6)),0),2)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s="38" t="s">
        <v>66</v>
      </c>
      <c r="AH6" s="38" t="s">
        <v>66</v>
      </c>
      <c r="AI6" s="29">
        <f>ROUND((AG6-AF6),3)</f>
        <v>-3.3330000000000002</v>
      </c>
      <c r="AJ6" s="27" t="s">
        <v>59</v>
      </c>
      <c r="AK6" s="27" t="s">
        <v>62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31644.48</v>
      </c>
      <c r="AC7" s="15" t="s">
        <v>40</v>
      </c>
      <c r="AD7" s="15">
        <f>AD5</f>
        <v>9504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7"/>
  <dimension ref="A1:AM8"/>
  <sheetViews>
    <sheetView showGridLines="0" topLeftCell="T1" zoomScale="85" zoomScaleNormal="85" workbookViewId="0">
      <selection activeCell="AE14" sqref="AE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49"/>
      <c r="AD1" s="49"/>
      <c r="AE1" s="49"/>
      <c r="AF1" s="49"/>
      <c r="AG1" s="35"/>
      <c r="AH1" s="35"/>
    </row>
    <row r="2" spans="1:39" ht="18">
      <c r="A2" s="49" t="s">
        <v>30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35"/>
      <c r="AH2" s="35"/>
    </row>
    <row r="3" spans="1:39" ht="19.899999999999999" customHeight="1" thickBot="1">
      <c r="A3" s="79" t="s">
        <v>35</v>
      </c>
      <c r="B3" s="79"/>
      <c r="C3" s="50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1350</v>
      </c>
      <c r="Q5" s="33">
        <f>ROUND(O5-P5,2)</f>
        <v>12150</v>
      </c>
      <c r="R5" s="33">
        <f>ROUND((Q5*L5)/100,2)</f>
        <v>1215</v>
      </c>
      <c r="S5" s="33">
        <f>ROUND(N5+P5+R5,2)</f>
        <v>4065</v>
      </c>
      <c r="T5" s="33">
        <f>S5/G5</f>
        <v>406.5</v>
      </c>
      <c r="U5" s="33">
        <f>(I5-S5)</f>
        <v>10935</v>
      </c>
      <c r="V5" s="33" t="s">
        <v>23</v>
      </c>
      <c r="W5" s="30">
        <v>0.12</v>
      </c>
      <c r="X5" s="33">
        <f>IF($D$3=1,ROUND(((U5*W5)/2),2),0)</f>
        <v>656.1</v>
      </c>
      <c r="Y5" s="33">
        <f>IF($D$3=1,ROUND(((U5*W5)/2),2),0)</f>
        <v>656.1</v>
      </c>
      <c r="Z5" s="33">
        <f>IF($D$3=2,ROUND(((U5*W5)),2),0)</f>
        <v>0</v>
      </c>
      <c r="AA5" s="33">
        <f>X5+Y5+Z5</f>
        <v>1312.2</v>
      </c>
      <c r="AB5" s="33">
        <f t="shared" ref="AB5:AB6" si="0">U5+AA5</f>
        <v>12247.2</v>
      </c>
      <c r="AC5" s="33">
        <v>120</v>
      </c>
      <c r="AD5" s="33">
        <f t="shared" ref="AD5:AD6" si="1">U5*$N$3</f>
        <v>10935</v>
      </c>
      <c r="AE5" s="33">
        <v>1</v>
      </c>
      <c r="AF5" s="33">
        <f t="shared" ref="AF5" si="2">G5/AE5</f>
        <v>10</v>
      </c>
      <c r="AG5" s="38" t="s">
        <v>87</v>
      </c>
      <c r="AH5" s="38" t="s">
        <v>55</v>
      </c>
      <c r="AI5" s="29">
        <f>ROUND(AG5-G5,0)</f>
        <v>2003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10</v>
      </c>
      <c r="K6" s="33">
        <v>10</v>
      </c>
      <c r="L6" s="33">
        <v>10</v>
      </c>
      <c r="M6" s="33">
        <f>I6</f>
        <v>20000</v>
      </c>
      <c r="N6" s="33">
        <f>ROUND((M6*J6)/100,2)</f>
        <v>2000</v>
      </c>
      <c r="O6" s="33">
        <f>I6-N6</f>
        <v>18000</v>
      </c>
      <c r="P6" s="33">
        <f>ROUND((O6*K6)/100,2)</f>
        <v>1800</v>
      </c>
      <c r="Q6" s="33">
        <f>ROUND(O6-P6,2)</f>
        <v>16200</v>
      </c>
      <c r="R6" s="33">
        <f>ROUND((Q6*L6)/100,2)</f>
        <v>1620</v>
      </c>
      <c r="S6" s="33">
        <f>ROUND(N6+P6+R6,2)</f>
        <v>5420</v>
      </c>
      <c r="T6" s="33">
        <f>S6/G6</f>
        <v>542</v>
      </c>
      <c r="U6" s="33">
        <f>(I6-S6)</f>
        <v>14580</v>
      </c>
      <c r="V6" s="33" t="s">
        <v>23</v>
      </c>
      <c r="W6" s="30">
        <v>0.05</v>
      </c>
      <c r="X6" s="33">
        <f>IF($D$3=1,ROUND(((U6*W6)/2),2),0)</f>
        <v>364.5</v>
      </c>
      <c r="Y6" s="33">
        <f>IF($D$3=1,ROUND(((U6*W6)/2),2),0)</f>
        <v>364.5</v>
      </c>
      <c r="Z6" s="33">
        <f>IF($D$3=2,ROUND(((U6*W6)),2),0)</f>
        <v>0</v>
      </c>
      <c r="AA6" s="33">
        <f>X6+Y6+Z6</f>
        <v>729</v>
      </c>
      <c r="AB6" s="33">
        <f t="shared" si="0"/>
        <v>15309</v>
      </c>
      <c r="AC6" s="33">
        <v>120</v>
      </c>
      <c r="AD6" s="33">
        <f t="shared" si="1"/>
        <v>14580</v>
      </c>
      <c r="AE6" s="33">
        <v>3</v>
      </c>
      <c r="AF6" s="33">
        <f>ROUND(G6/AE6,3)</f>
        <v>3.3330000000000002</v>
      </c>
      <c r="AG6" s="38" t="s">
        <v>88</v>
      </c>
      <c r="AH6" s="38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27556.2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8"/>
  <dimension ref="A1:AM8"/>
  <sheetViews>
    <sheetView showGridLines="0" topLeftCell="Q1" zoomScale="85" zoomScaleNormal="85" workbookViewId="0">
      <selection activeCell="V23" sqref="V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1"/>
      <c r="AD1" s="51"/>
      <c r="AE1" s="51"/>
      <c r="AF1" s="51"/>
      <c r="AG1" s="35"/>
      <c r="AH1" s="35"/>
    </row>
    <row r="2" spans="1:39" ht="18">
      <c r="A2" s="51" t="s">
        <v>30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35"/>
      <c r="AH2" s="35"/>
    </row>
    <row r="3" spans="1:39" ht="19.899999999999999" customHeight="1" thickBot="1">
      <c r="A3" s="79" t="s">
        <v>35</v>
      </c>
      <c r="B3" s="79"/>
      <c r="C3" s="5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1350</v>
      </c>
      <c r="Q5" s="33">
        <f>ROUND(O5-P5,2)</f>
        <v>12150</v>
      </c>
      <c r="R5" s="33">
        <f>ROUND((Q5*L5)/100,2)</f>
        <v>1215</v>
      </c>
      <c r="S5" s="33">
        <f>ROUND(N5+P5+R5,2)</f>
        <v>4065</v>
      </c>
      <c r="T5" s="33">
        <f>S5/G5</f>
        <v>406.5</v>
      </c>
      <c r="U5" s="33">
        <f>(I5-S5)</f>
        <v>10935</v>
      </c>
      <c r="V5" s="33" t="s">
        <v>23</v>
      </c>
      <c r="W5" s="30">
        <v>0.12</v>
      </c>
      <c r="X5" s="33">
        <v>0</v>
      </c>
      <c r="Y5" s="33">
        <v>0</v>
      </c>
      <c r="Z5" s="33">
        <v>0</v>
      </c>
      <c r="AA5" s="33">
        <v>0</v>
      </c>
      <c r="AB5" s="33">
        <f>U5+AA5</f>
        <v>10935</v>
      </c>
      <c r="AC5" s="33">
        <v>120</v>
      </c>
      <c r="AD5" s="33">
        <f t="shared" ref="AD5:AD6" si="0">U5*$N$3</f>
        <v>10935</v>
      </c>
      <c r="AE5" s="33">
        <v>1</v>
      </c>
      <c r="AF5" s="33">
        <f t="shared" ref="AF5" si="1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10</v>
      </c>
      <c r="K6" s="33">
        <v>10</v>
      </c>
      <c r="L6" s="33">
        <v>10</v>
      </c>
      <c r="M6" s="33">
        <f>I6</f>
        <v>20000</v>
      </c>
      <c r="N6" s="33">
        <f>ROUND((M6*J6)/100,2)</f>
        <v>2000</v>
      </c>
      <c r="O6" s="33">
        <f>I6-N6</f>
        <v>18000</v>
      </c>
      <c r="P6" s="33">
        <f>ROUND((O6*K6)/100,2)</f>
        <v>1800</v>
      </c>
      <c r="Q6" s="33">
        <f>ROUND(O6-P6,2)</f>
        <v>16200</v>
      </c>
      <c r="R6" s="33">
        <f>ROUND((Q6*L6)/100,2)</f>
        <v>1620</v>
      </c>
      <c r="S6" s="33">
        <f>ROUND(N6+P6+R6,2)</f>
        <v>5420</v>
      </c>
      <c r="T6" s="33">
        <f>S6/G6</f>
        <v>542</v>
      </c>
      <c r="U6" s="33">
        <f>(I6-S6)</f>
        <v>14580</v>
      </c>
      <c r="V6" s="33" t="s">
        <v>23</v>
      </c>
      <c r="W6" s="30">
        <v>0.05</v>
      </c>
      <c r="X6" s="33">
        <v>0</v>
      </c>
      <c r="Y6" s="33">
        <v>0</v>
      </c>
      <c r="Z6" s="33">
        <v>0</v>
      </c>
      <c r="AA6" s="33">
        <v>0</v>
      </c>
      <c r="AB6" s="33">
        <f t="shared" ref="AB6" si="2">U6+AA6</f>
        <v>14580</v>
      </c>
      <c r="AC6" s="33">
        <v>120</v>
      </c>
      <c r="AD6" s="33">
        <f t="shared" si="0"/>
        <v>14580</v>
      </c>
      <c r="AE6" s="33">
        <v>3</v>
      </c>
      <c r="AF6" s="33">
        <f>ROUND(G6/AE6,3)</f>
        <v>3.3330000000000002</v>
      </c>
      <c r="AG6" s="38" t="s">
        <v>88</v>
      </c>
      <c r="AH6" s="38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25515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9"/>
  <dimension ref="A1:AM12"/>
  <sheetViews>
    <sheetView showGridLines="0" topLeftCell="P1" zoomScale="85" zoomScaleNormal="85" workbookViewId="0">
      <selection activeCell="AC18" sqref="AC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3"/>
      <c r="AD1" s="53"/>
      <c r="AE1" s="53"/>
      <c r="AF1" s="53"/>
      <c r="AG1" s="35"/>
      <c r="AH1" s="35"/>
    </row>
    <row r="2" spans="1:39" ht="18">
      <c r="A2" s="53" t="s">
        <v>30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35"/>
      <c r="AH2" s="35"/>
    </row>
    <row r="3" spans="1:39" ht="19.899999999999999" customHeight="1" thickBot="1">
      <c r="A3" s="79" t="s">
        <v>35</v>
      </c>
      <c r="B3" s="79"/>
      <c r="C3" s="5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1350</v>
      </c>
      <c r="Q5" s="33">
        <f>ROUND(O5-P5,2)</f>
        <v>12150</v>
      </c>
      <c r="R5" s="33">
        <f>ROUND((Q5*L5)/100,2)</f>
        <v>1215</v>
      </c>
      <c r="S5" s="33">
        <f>ROUND(N5+P5+R5,2)</f>
        <v>4065</v>
      </c>
      <c r="T5" s="33">
        <f>S5/G5</f>
        <v>406.5</v>
      </c>
      <c r="U5" s="33">
        <f>(I5-S5)</f>
        <v>10935</v>
      </c>
      <c r="V5" s="33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1312.2</v>
      </c>
      <c r="AA5" s="33">
        <f>ROUND((X5+Y5+Z5+AM5),2)</f>
        <v>1312.2</v>
      </c>
      <c r="AB5" s="33">
        <f t="shared" ref="AB5:AB6" si="0">U5+AA5</f>
        <v>12247.2</v>
      </c>
      <c r="AC5" s="33">
        <v>120</v>
      </c>
      <c r="AD5" s="33">
        <f t="shared" ref="AD5:AD6" si="1">U5*$N$3</f>
        <v>10935</v>
      </c>
      <c r="AE5" s="33">
        <v>1</v>
      </c>
      <c r="AF5" s="33">
        <f>G5/AE5</f>
        <v>10</v>
      </c>
      <c r="AG5" s="38" t="s">
        <v>87</v>
      </c>
      <c r="AH5" s="38" t="s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27">
        <v>2</v>
      </c>
      <c r="B6" s="16" t="s">
        <v>70</v>
      </c>
      <c r="C6" s="27">
        <v>0</v>
      </c>
      <c r="D6" s="16" t="s">
        <v>71</v>
      </c>
      <c r="E6" s="27" t="s">
        <v>10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ROUND(N6+P6+R6,2)</f>
        <v>0</v>
      </c>
      <c r="T6" s="33">
        <f>S6/G6</f>
        <v>0</v>
      </c>
      <c r="U6" s="33">
        <f>(I6-S6)</f>
        <v>20000</v>
      </c>
      <c r="V6" s="33" t="s">
        <v>23</v>
      </c>
      <c r="W6" s="30">
        <v>0.12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2400</v>
      </c>
      <c r="AA6" s="33">
        <f>ROUND((X6+Y6+Z6+AM6),2)</f>
        <v>3600</v>
      </c>
      <c r="AB6" s="33">
        <f t="shared" si="0"/>
        <v>23600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s="38" t="s">
        <v>66</v>
      </c>
      <c r="AH6" s="38" t="s">
        <v>66</v>
      </c>
      <c r="AI6" s="29">
        <f>ROUND((AG6-AF6),3)</f>
        <v>-3.3330000000000002</v>
      </c>
      <c r="AJ6" s="27" t="s">
        <v>50</v>
      </c>
      <c r="AK6" s="27" t="s">
        <v>63</v>
      </c>
      <c r="AL6" s="27">
        <v>6</v>
      </c>
      <c r="AM6" s="27">
        <f>ROUND(((AL6*U6)/100),2)</f>
        <v>1200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35847.199999999997</v>
      </c>
      <c r="AC7" s="15" t="s">
        <v>40</v>
      </c>
      <c r="AD7" s="15">
        <f>AD5</f>
        <v>10935</v>
      </c>
      <c r="AE7" s="12"/>
      <c r="AF7" s="13"/>
      <c r="AG7" s="13"/>
      <c r="AH7" s="13"/>
    </row>
    <row r="8" spans="1:39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2" spans="1:39">
      <c r="J12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AN8"/>
  <sheetViews>
    <sheetView showGridLines="0" zoomScale="85" zoomScaleNormal="85" workbookViewId="0">
      <selection activeCell="G5" sqref="G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0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55"/>
      <c r="AD1" s="55"/>
      <c r="AE1" s="55"/>
      <c r="AF1" s="55"/>
      <c r="AG1" s="35"/>
      <c r="AH1" s="35"/>
    </row>
    <row r="2" spans="1:40" ht="18">
      <c r="A2" s="55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35"/>
      <c r="AH2" s="35"/>
    </row>
    <row r="3" spans="1:40" ht="19.899999999999999" customHeight="1" thickBot="1">
      <c r="A3" s="79" t="s">
        <v>35</v>
      </c>
      <c r="B3" s="79"/>
      <c r="C3" s="56"/>
      <c r="D3" s="3">
        <v>2</v>
      </c>
      <c r="E3" s="8" t="s">
        <v>72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  <c r="AN4" s="26" t="s">
        <v>73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0</v>
      </c>
      <c r="K5" s="33">
        <v>0</v>
      </c>
      <c r="L5" s="33">
        <v>0</v>
      </c>
      <c r="M5" s="33">
        <f>I5</f>
        <v>15000</v>
      </c>
      <c r="N5" s="33">
        <f>ROUND((M5*J5)/100,2)</f>
        <v>0</v>
      </c>
      <c r="O5" s="33">
        <f>I5-N5</f>
        <v>15000</v>
      </c>
      <c r="P5" s="33">
        <f>ROUND((O5*K5)/100,2)</f>
        <v>0</v>
      </c>
      <c r="Q5" s="33">
        <f>ROUND(O5-P5,2)</f>
        <v>15000</v>
      </c>
      <c r="R5" s="33">
        <f>ROUND((Q5*L5)/100,2)</f>
        <v>0</v>
      </c>
      <c r="S5" s="33">
        <f>N5+P5+R5</f>
        <v>0</v>
      </c>
      <c r="T5" s="33">
        <f>S5/G5</f>
        <v>0</v>
      </c>
      <c r="U5" s="33">
        <f>(I5-S5)</f>
        <v>15000</v>
      </c>
      <c r="V5" s="29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1800</v>
      </c>
      <c r="AA5" s="33">
        <f>X5+Y5+Z5</f>
        <v>1800</v>
      </c>
      <c r="AB5" s="33">
        <f t="shared" ref="AB5:AB6" si="0">U5+AA5</f>
        <v>16800</v>
      </c>
      <c r="AC5" s="33">
        <v>120</v>
      </c>
      <c r="AD5" s="33">
        <f t="shared" ref="AD5:AD6" si="1">U5*$N$3</f>
        <v>15000</v>
      </c>
      <c r="AE5" s="33">
        <v>1</v>
      </c>
      <c r="AF5" s="33">
        <f t="shared" ref="AF5" si="2">G5/AE5</f>
        <v>10</v>
      </c>
      <c r="AG5" s="38" t="s">
        <v>87</v>
      </c>
      <c r="AH5" s="38" t="s">
        <v>55</v>
      </c>
      <c r="AI5" s="29">
        <f>ROUND(AG5-G5,0)</f>
        <v>1678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  <c r="AN5" s="29"/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33">
        <f>N6+P6+R6</f>
        <v>0</v>
      </c>
      <c r="T6" s="33">
        <f>S6/G6</f>
        <v>0</v>
      </c>
      <c r="U6" s="33">
        <f>(I6-S6)</f>
        <v>20000</v>
      </c>
      <c r="V6" s="29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s="38" t="s">
        <v>88</v>
      </c>
      <c r="AH6" s="38" t="s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  <c r="AN6" s="27"/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34">
        <f>SUM(AB5:AB6)</f>
        <v>37800</v>
      </c>
      <c r="AC7" s="15" t="s">
        <v>40</v>
      </c>
      <c r="AD7" s="15">
        <f>AD5</f>
        <v>15000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26"/>
  <sheetViews>
    <sheetView topLeftCell="C1" workbookViewId="0">
      <selection activeCell="E8" sqref="E8"/>
    </sheetView>
  </sheetViews>
  <sheetFormatPr defaultRowHeight="15"/>
  <cols>
    <col min="2" max="2" bestFit="true" customWidth="true" width="28.7109375"/>
    <col min="4" max="4" bestFit="true" customWidth="true" width="28.7109375"/>
    <col min="5" max="5" bestFit="true" customWidth="true" width="50.28515625"/>
    <col min="6" max="6" bestFit="true" customWidth="true" width="17.85546875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39" ht="18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3"/>
      <c r="AD1" s="73"/>
      <c r="AE1" s="73"/>
      <c r="AF1" s="73"/>
      <c r="AG1" s="35"/>
      <c r="AH1" s="35"/>
      <c r="AI1" s="39"/>
      <c r="AJ1" s="1"/>
      <c r="AK1" s="1"/>
      <c r="AL1" s="1"/>
      <c r="AM1" s="1"/>
    </row>
    <row r="2" spans="1:39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5"/>
      <c r="AH2" s="35"/>
      <c r="AI2" s="39"/>
      <c r="AJ2" s="1"/>
      <c r="AK2" s="1"/>
      <c r="AL2" s="1"/>
      <c r="AM2" s="1"/>
    </row>
    <row r="3" spans="1:39" ht="15.75" thickBot="1">
      <c r="A3" s="79" t="s">
        <v>35</v>
      </c>
      <c r="B3" s="79"/>
      <c r="C3" s="74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  <c r="AI3" s="39"/>
      <c r="AJ3" s="1"/>
      <c r="AK3" s="1"/>
      <c r="AL3" s="1"/>
      <c r="AM3" s="1"/>
    </row>
    <row r="4" spans="1:39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10</v>
      </c>
      <c r="L5" s="33">
        <v>10</v>
      </c>
      <c r="M5" s="33">
        <f>I5</f>
        <v>15000</v>
      </c>
      <c r="N5" s="33">
        <f>ROUND((M5*J5)/100,2)</f>
        <v>1500</v>
      </c>
      <c r="O5" s="33">
        <f>I5-N5</f>
        <v>13500</v>
      </c>
      <c r="P5" s="33">
        <f>ROUND((O5*K5)/100,2)</f>
        <v>1350</v>
      </c>
      <c r="Q5" s="33">
        <f>ROUND(O5-P5,2)</f>
        <v>12150</v>
      </c>
      <c r="R5" s="33">
        <f>ROUND((Q5*L5)/100,2)</f>
        <v>1215</v>
      </c>
      <c r="S5" s="77">
        <f>ROUND(N5+P5+R5,2)</f>
        <v>4065</v>
      </c>
      <c r="T5" s="77">
        <f>S5/G5</f>
        <v>406.5</v>
      </c>
      <c r="U5" s="33">
        <f>(I5-S5)</f>
        <v>10935</v>
      </c>
      <c r="V5" s="29" t="s">
        <v>23</v>
      </c>
      <c r="W5" s="30">
        <v>0.12</v>
      </c>
      <c r="X5" s="33">
        <f>IF($D$3=1,ROUND(((U5*W5)/2),2),0)</f>
        <v>0</v>
      </c>
      <c r="Y5" s="33">
        <f>IF($D$3=1,ROUND(((U5*W5)/2),2),0)</f>
        <v>0</v>
      </c>
      <c r="Z5" s="33">
        <f>IF($D$3=2,ROUND(((U5*W5)),2),0)</f>
        <v>1312.2</v>
      </c>
      <c r="AA5" s="33">
        <f>ROUND((X5+Y5+Z5+AM5),2)</f>
        <v>1312.2</v>
      </c>
      <c r="AB5" s="33">
        <f t="shared" ref="AB5:AB6" si="0">U5+AA5</f>
        <v>12247.2</v>
      </c>
      <c r="AC5" s="33">
        <v>120</v>
      </c>
      <c r="AD5" s="33">
        <f t="shared" ref="AD5:AD6" si="1">U5*$N$3</f>
        <v>10935</v>
      </c>
      <c r="AE5" s="33">
        <v>1</v>
      </c>
      <c r="AF5" s="33">
        <f>G5/AE5</f>
        <v>10</v>
      </c>
      <c r="AG5" t="s" s="0">
        <v>87</v>
      </c>
      <c r="AH5" t="s" s="0">
        <v>55</v>
      </c>
      <c r="AI5" s="29">
        <f>ROUND(AG5-G5,0)</f>
        <v>912</v>
      </c>
      <c r="AJ5" s="27" t="s">
        <v>50</v>
      </c>
      <c r="AK5" s="27" t="s">
        <v>63</v>
      </c>
      <c r="AL5" s="27">
        <v>0</v>
      </c>
      <c r="AM5" s="27">
        <f>ROUND(((AL5*U5)/100),2)</f>
        <v>0</v>
      </c>
    </row>
    <row r="6" spans="1:39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29">
        <v>2000</v>
      </c>
      <c r="I6" s="29">
        <f>G6*H6</f>
        <v>20000</v>
      </c>
      <c r="J6" s="33">
        <v>0</v>
      </c>
      <c r="K6" s="33">
        <v>0</v>
      </c>
      <c r="L6" s="33">
        <v>0</v>
      </c>
      <c r="M6" s="33">
        <f>I6</f>
        <v>20000</v>
      </c>
      <c r="N6" s="33">
        <f>ROUND((M6*J6)/100,2)</f>
        <v>0</v>
      </c>
      <c r="O6" s="33">
        <f>I6-N6</f>
        <v>20000</v>
      </c>
      <c r="P6" s="33">
        <f>ROUND((O6*K6)/100,2)</f>
        <v>0</v>
      </c>
      <c r="Q6" s="33">
        <f>ROUND(O6-P6,2)</f>
        <v>20000</v>
      </c>
      <c r="R6" s="33">
        <f>ROUND((Q6*L6)/100,2)</f>
        <v>0</v>
      </c>
      <c r="S6" s="77">
        <f>N6+P6+R6</f>
        <v>0</v>
      </c>
      <c r="T6" s="77">
        <f>S6/G6</f>
        <v>0</v>
      </c>
      <c r="U6" s="33">
        <f>(I6-S6)</f>
        <v>20000</v>
      </c>
      <c r="V6" s="29" t="s">
        <v>23</v>
      </c>
      <c r="W6" s="30">
        <v>0.05</v>
      </c>
      <c r="X6" s="33">
        <f>IF($D$3=1,ROUND(((U6*W6)/2),2),0)</f>
        <v>0</v>
      </c>
      <c r="Y6" s="33">
        <f>IF($D$3=1,ROUND(((U6*W6)/2),2),0)</f>
        <v>0</v>
      </c>
      <c r="Z6" s="33">
        <f>IF($D$3=2,ROUND(((U6*W6)),2),0)</f>
        <v>1000</v>
      </c>
      <c r="AA6" s="33">
        <f>X6+Y6+Z6</f>
        <v>1000</v>
      </c>
      <c r="AB6" s="33">
        <f t="shared" si="0"/>
        <v>21000</v>
      </c>
      <c r="AC6" s="33">
        <v>120</v>
      </c>
      <c r="AD6" s="33">
        <f t="shared" si="1"/>
        <v>20000</v>
      </c>
      <c r="AE6" s="33">
        <v>3</v>
      </c>
      <c r="AF6" s="33">
        <f>ROUND(G6/AE6,3)</f>
        <v>3.3330000000000002</v>
      </c>
      <c r="AG6" t="s" s="0">
        <v>88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63</v>
      </c>
      <c r="AL6" s="27">
        <v>0</v>
      </c>
      <c r="AM6" s="27">
        <f>ROUND(((AL6*U6)/100),2)</f>
        <v>0</v>
      </c>
    </row>
    <row r="7" spans="1:39">
      <c r="A7" s="11"/>
      <c r="B7" s="11"/>
      <c r="C7" s="11"/>
      <c r="D7" s="11"/>
      <c r="E7" s="11"/>
      <c r="F7" s="11"/>
      <c r="G7" s="12"/>
      <c r="H7" s="13"/>
      <c r="I7" s="13">
        <f>SUM(I5:I6)</f>
        <v>35000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30935</v>
      </c>
      <c r="V7" s="13"/>
      <c r="W7" s="14"/>
      <c r="X7" s="13"/>
      <c r="Y7" s="13"/>
      <c r="Z7" s="15" t="s">
        <v>39</v>
      </c>
      <c r="AA7" s="15"/>
      <c r="AB7" s="15">
        <f>SUM(AB5:AB6)</f>
        <v>33247.199999999997</v>
      </c>
      <c r="AC7" s="15" t="s">
        <v>40</v>
      </c>
      <c r="AD7" s="15">
        <f>AD5</f>
        <v>10935</v>
      </c>
      <c r="AE7" s="12"/>
      <c r="AF7" s="13"/>
      <c r="AG7" s="13"/>
      <c r="AH7" s="13"/>
      <c r="AI7" s="39"/>
      <c r="AJ7" s="1"/>
      <c r="AK7" s="1"/>
      <c r="AL7" s="1"/>
      <c r="AM7" s="1"/>
    </row>
    <row r="8" spans="1:3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9" ht="15.75" thickBot="1">
      <c r="C9" s="27" t="s">
        <v>75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9" ht="15.75" thickTop="1">
      <c r="C10" s="72" t="s">
        <v>76</v>
      </c>
      <c r="D10" s="59" t="s">
        <v>0</v>
      </c>
      <c r="E10" s="59" t="s">
        <v>38</v>
      </c>
      <c r="F10" s="59" t="s">
        <v>77</v>
      </c>
      <c r="G10" s="59" t="s">
        <v>78</v>
      </c>
      <c r="H10" s="60" t="s">
        <v>79</v>
      </c>
      <c r="I10" s="60" t="s">
        <v>80</v>
      </c>
      <c r="J10" s="60" t="s">
        <v>81</v>
      </c>
      <c r="K10" s="61" t="s">
        <v>18</v>
      </c>
      <c r="L10" s="61" t="s">
        <v>19</v>
      </c>
      <c r="M10" s="61" t="s">
        <v>20</v>
      </c>
      <c r="N10" s="61" t="s">
        <v>21</v>
      </c>
      <c r="O10" s="62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9">
      <c r="C11" s="63">
        <v>1</v>
      </c>
      <c r="D11" s="64" t="s">
        <v>82</v>
      </c>
      <c r="E11" s="64">
        <v>0</v>
      </c>
      <c r="F11" s="65" t="s">
        <v>83</v>
      </c>
      <c r="G11" s="65" t="s">
        <v>84</v>
      </c>
      <c r="H11" s="69">
        <v>20</v>
      </c>
      <c r="I11" s="27">
        <f>ROUND(((U7*H11)/100),2)</f>
        <v>6187</v>
      </c>
      <c r="J11" s="27">
        <v>4901</v>
      </c>
      <c r="K11" s="30">
        <v>0.12</v>
      </c>
      <c r="L11" s="33">
        <f>IF($D$3=1,ROUND(((I11*K11)/2),2),0)</f>
        <v>0</v>
      </c>
      <c r="M11" s="33">
        <f>IF($D$3=1,ROUND(((I11*K11)/2),2),0)</f>
        <v>0</v>
      </c>
      <c r="N11" s="33">
        <f>IF($D$3=2,ROUND(((I11*K11)),2),0)</f>
        <v>742.44</v>
      </c>
      <c r="O11" s="33">
        <f>L11+M11+N11</f>
        <v>742.44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9" ht="15.75" thickBot="1">
      <c r="C12" s="66">
        <v>2</v>
      </c>
      <c r="D12" s="67" t="s">
        <v>85</v>
      </c>
      <c r="E12" s="67">
        <v>0</v>
      </c>
      <c r="F12" s="67" t="s">
        <v>86</v>
      </c>
      <c r="G12" s="67" t="s">
        <v>80</v>
      </c>
      <c r="H12" s="70"/>
      <c r="I12" s="70">
        <v>15000</v>
      </c>
      <c r="J12" s="70">
        <v>112341</v>
      </c>
      <c r="K12" s="71">
        <v>0.12</v>
      </c>
      <c r="L12" s="33">
        <f t="shared" ref="L12" si="2">IF($D$3=1,ROUND(((I12*K12)/2),2),0)</f>
        <v>0</v>
      </c>
      <c r="M12" s="33">
        <f t="shared" ref="M12" si="3">IF($D$3=1,ROUND(((I12*K12)/2),2),0)</f>
        <v>0</v>
      </c>
      <c r="N12" s="33">
        <f t="shared" ref="N12" si="4">IF($D$3=2,ROUND(((I12*K12)),2),0)</f>
        <v>1800</v>
      </c>
      <c r="O12" s="33">
        <f t="shared" ref="O12" si="5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9" ht="15.75" thickTop="1">
      <c r="C13" s="1"/>
      <c r="H13" s="27" t="s">
        <v>74</v>
      </c>
      <c r="I13" s="27">
        <f>SUM(I11:I12)</f>
        <v>21187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2542.44</v>
      </c>
      <c r="O13" s="29">
        <f>SUM(O11:O12)</f>
        <v>2542.44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9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9" ht="18">
      <c r="A15" s="57"/>
      <c r="B15" s="57"/>
      <c r="C15" s="57"/>
      <c r="Q15" s="57"/>
      <c r="R15" s="57"/>
      <c r="S15" s="57"/>
      <c r="T15" s="68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</row>
    <row r="16" spans="1:39">
      <c r="A16" s="79"/>
      <c r="B16" s="79"/>
      <c r="C16" s="58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8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7"/>
  <sheetViews>
    <sheetView showGridLines="0" zoomScale="85" zoomScaleNormal="85" workbookViewId="0">
      <selection activeCell="C5" sqref="C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customWidth="true" style="1" width="30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8" width="12.28515625"/>
    <col min="35" max="35" customWidth="true" style="39" width="10.28515625"/>
    <col min="36" max="36" customWidth="true" style="1" width="11.7109375"/>
    <col min="37" max="37" customWidth="true" style="1" width="14.28515625"/>
    <col min="38" max="16384" style="1" width="9.140625"/>
  </cols>
  <sheetData>
    <row r="1" spans="1:39" ht="27.75" customHeight="1">
      <c r="A1" s="78" t="s">
        <v>42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5"/>
      <c r="AD1" s="75"/>
      <c r="AE1" s="75"/>
      <c r="AF1" s="75"/>
      <c r="AG1" s="35"/>
      <c r="AH1" s="35"/>
    </row>
    <row r="2" spans="1:39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5"/>
      <c r="AH2" s="35"/>
    </row>
    <row r="3" spans="1:39" ht="19.899999999999999" customHeight="1" thickBot="1">
      <c r="A3" s="79" t="s">
        <v>35</v>
      </c>
      <c r="B3" s="79"/>
      <c r="C3" s="76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6"/>
      <c r="AH3" s="36"/>
    </row>
    <row r="4" spans="1:39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7" t="s">
        <v>47</v>
      </c>
      <c r="AH4" s="37" t="s">
        <v>54</v>
      </c>
      <c r="AI4" s="40" t="s">
        <v>48</v>
      </c>
      <c r="AJ4" s="26" t="s">
        <v>49</v>
      </c>
      <c r="AK4" s="26" t="s">
        <v>61</v>
      </c>
      <c r="AL4" s="26" t="s">
        <v>68</v>
      </c>
      <c r="AM4" s="26" t="s">
        <v>69</v>
      </c>
    </row>
    <row r="5" spans="1:39" ht="15">
      <c r="A5" s="27">
        <v>1</v>
      </c>
      <c r="B5" s="16" t="s">
        <v>91</v>
      </c>
      <c r="C5" s="27">
        <v>0</v>
      </c>
      <c r="D5" s="16" t="s">
        <v>92</v>
      </c>
      <c r="E5" s="27" t="s">
        <v>10</v>
      </c>
      <c r="F5" s="27" t="s">
        <v>10</v>
      </c>
      <c r="G5" s="28">
        <v>10</v>
      </c>
      <c r="H5" s="29">
        <v>1500</v>
      </c>
      <c r="I5" s="29">
        <f>G5*H5</f>
        <v>15000</v>
      </c>
      <c r="J5" s="33">
        <v>10</v>
      </c>
      <c r="K5" s="33">
        <v>15</v>
      </c>
      <c r="L5" s="33">
        <v>20</v>
      </c>
      <c r="M5" s="29">
        <f>I5</f>
        <v>15000</v>
      </c>
      <c r="N5" s="29">
        <f>ROUND((M5*J5)/100,2)</f>
        <v>1500</v>
      </c>
      <c r="O5" s="29">
        <f>I5-N5</f>
        <v>13500</v>
      </c>
      <c r="P5" s="29">
        <f>ROUND((O5*K5)/100,2)</f>
        <v>2025</v>
      </c>
      <c r="Q5" s="29">
        <f>ROUND(O5-P5,2)</f>
        <v>11475</v>
      </c>
      <c r="R5" s="29">
        <f>ROUND((Q5*L5)/100,2)</f>
        <v>2295</v>
      </c>
      <c r="S5" s="31">
        <f>N5+P5+R5</f>
        <v>5820</v>
      </c>
      <c r="T5" s="31">
        <f>S5/G5</f>
        <v>582</v>
      </c>
      <c r="U5" s="29">
        <f>(I5-S5)</f>
        <v>9180</v>
      </c>
      <c r="V5" s="29" t="s">
        <v>23</v>
      </c>
      <c r="W5" s="30">
        <v>0.05</v>
      </c>
      <c r="X5" s="29">
        <f>IF($D$3=1,ROUND(((U5*W5)/2),2),0)</f>
        <v>0</v>
      </c>
      <c r="Y5" s="29">
        <f>IF($D$3=1,ROUND(((U5*W5)/2),2),0)</f>
        <v>0</v>
      </c>
      <c r="Z5" s="29">
        <f>IF($D$3=2,ROUND(((U5*W5)),2),0)</f>
        <v>459</v>
      </c>
      <c r="AA5" s="29">
        <f>X5+Y5+Z5</f>
        <v>459</v>
      </c>
      <c r="AB5" s="29">
        <f t="shared" ref="AB5" si="0">U5+AA5</f>
        <v>9639</v>
      </c>
      <c r="AC5" s="29">
        <v>120</v>
      </c>
      <c r="AD5" s="29">
        <f t="shared" ref="AD5" si="1">U5*$N$3</f>
        <v>9180</v>
      </c>
      <c r="AE5" s="32">
        <v>1</v>
      </c>
      <c r="AF5" s="29">
        <f t="shared" ref="AF5" si="2">G5/AE5</f>
        <v>10</v>
      </c>
      <c r="AG5" s="29" t="s">
        <v>57</v>
      </c>
      <c r="AH5" s="29" t="s">
        <v>55</v>
      </c>
      <c r="AI5" s="29">
        <f>ROUND(AG5-G5,0)</f>
        <v>2003</v>
      </c>
      <c r="AJ5" s="27" t="s">
        <v>59</v>
      </c>
      <c r="AK5" s="27" t="s">
        <v>63</v>
      </c>
      <c r="AL5" s="27">
        <v>0</v>
      </c>
      <c r="AM5" s="27">
        <f>ROUND(((AL5*U5)/100),2)</f>
        <v>0</v>
      </c>
    </row>
    <row r="6" spans="1:39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34">
        <f>SUM(AB5:AB5)</f>
        <v>9639</v>
      </c>
      <c r="AC6" s="15" t="s">
        <v>40</v>
      </c>
      <c r="AD6" s="15">
        <f>AD5</f>
        <v>9180</v>
      </c>
      <c r="AE6" s="12"/>
      <c r="AF6" s="13"/>
      <c r="AG6" s="13"/>
      <c r="AH6" s="13"/>
      <c r="AL6" s="27">
        <v>0</v>
      </c>
      <c r="AM6" s="27">
        <f>ROUND(((AL6*U6)/100),2)</f>
        <v>0</v>
      </c>
    </row>
    <row r="7" spans="1:39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Case 1</vt:lpstr>
      <vt:lpstr>Item Stocks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ShipSet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2025-04-02T04:28:21Z</dcterms:modified>
</cp:coreProperties>
</file>