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43" activeTab="45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Domestic UD (S&amp;D)" sheetId="17" r:id="rId13"/>
    <sheet name="Case 1" sheetId="1" r:id="rId14"/>
    <sheet name="Item Stocks" sheetId="3" state="hidden" r:id="rId15"/>
    <sheet name="SO UTGST" sheetId="36" r:id="rId16"/>
    <sheet name="ShipSet" sheetId="28" r:id="rId17"/>
    <sheet name="Free Sample" sheetId="12" r:id="rId18"/>
    <sheet name="Free Replacement" sheetId="13" r:id="rId19"/>
    <sheet name="SCRAP" sheetId="5" r:id="rId20"/>
    <sheet name="SERVICE" sheetId="6" r:id="rId21"/>
    <sheet name="PROMOTIONAL" sheetId="8" r:id="rId22"/>
    <sheet name="Local Customer" sheetId="9" r:id="rId23"/>
    <sheet name="SEZ Customer" sheetId="49" r:id="rId24"/>
    <sheet name="SEZ Customer1" sheetId="10" r:id="rId25"/>
    <sheet name="CESS" sheetId="11" r:id="rId26"/>
    <sheet name="CHARGES" sheetId="15" r:id="rId27"/>
    <sheet name="SO Amendment Disc UTGST" sheetId="43" r:id="rId28"/>
    <sheet name="SO Amendment AddItem UTGST1" sheetId="44" r:id="rId29"/>
    <sheet name="SO Amendment Price UTGST" sheetId="42" r:id="rId30"/>
    <sheet name="SO Amendment AddItem UTGST" sheetId="51" r:id="rId31"/>
    <sheet name="Add of Item" sheetId="41" r:id="rId32"/>
    <sheet name="SO Amendment Qty UTGST" sheetId="37" r:id="rId33"/>
    <sheet name="SO Amendment Qty" sheetId="33" r:id="rId34"/>
    <sheet name="Disc Change" sheetId="40" r:id="rId35"/>
    <sheet name="Price Change" sheetId="39" r:id="rId36"/>
    <sheet name="Qty Change" sheetId="38" r:id="rId37"/>
    <sheet name="So Amend Price Local" sheetId="46" r:id="rId38"/>
    <sheet name="So Amend Disc Local" sheetId="47" r:id="rId39"/>
    <sheet name="So Amend Qty Local" sheetId="45" r:id="rId40"/>
    <sheet name="SO" sheetId="29" r:id="rId41"/>
    <sheet name="SoAmendment PriceChange" sheetId="34" r:id="rId42"/>
    <sheet name="SO Amendment DiscountChange" sheetId="35" r:id="rId43"/>
    <sheet name="SO Amendment Different PC" sheetId="32" r:id="rId44"/>
    <sheet name="SO Amendment AdditionOfItem" sheetId="30" r:id="rId45"/>
    <sheet name="So Amend AddOfItem Local" sheetId="48" r:id="rId46"/>
    <sheet name="SO Amendment With Charges" sheetId="31" r:id="rId47"/>
  </sheets>
  <definedNames>
    <definedName name="_xlnm._FilterDatabase" localSheetId="31" hidden="1">'Add of Item'!$V$1:$V$9</definedName>
    <definedName name="_xlnm._FilterDatabase" localSheetId="13" hidden="1">'Case 1'!$V$1:$V$8</definedName>
    <definedName name="_xlnm._FilterDatabase" localSheetId="25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4" hidden="1">'Disc Change'!$V$1:$V$8</definedName>
    <definedName name="_xlnm._FilterDatabase" localSheetId="18" hidden="1">'Free Replacement'!$V$1:$V$8</definedName>
    <definedName name="_xlnm._FilterDatabase" localSheetId="17" hidden="1">'Free Sample'!$V$1:$V$8</definedName>
    <definedName name="_xlnm._FilterDatabase" localSheetId="22" hidden="1">'Local Customer'!$V$1:$V$8</definedName>
    <definedName name="_xlnm._FilterDatabase" localSheetId="35" hidden="1">'Price Change'!$V$1:$V$8</definedName>
    <definedName name="_xlnm._FilterDatabase" localSheetId="21" hidden="1">PROMOTIONAL!$V$1:$V$8</definedName>
    <definedName name="_xlnm._FilterDatabase" localSheetId="36" hidden="1">'Qty Change'!$V$1:$V$8</definedName>
    <definedName name="_xlnm._FilterDatabase" localSheetId="19" hidden="1">SCRAP!$V$1:$V$7</definedName>
    <definedName name="_xlnm._FilterDatabase" localSheetId="20" hidden="1">SERVICE!$V$1:$V$7</definedName>
    <definedName name="_xlnm._FilterDatabase" localSheetId="23" hidden="1">'SEZ Customer'!$V$1:$V$8</definedName>
    <definedName name="_xlnm._FilterDatabase" localSheetId="24" hidden="1">'SEZ Customer1'!$V$1:$V$8</definedName>
    <definedName name="_xlnm._FilterDatabase" localSheetId="16" hidden="1">ShipSet!$V$1:$V$8</definedName>
    <definedName name="_xlnm._FilterDatabase" localSheetId="40" hidden="1">SO!$V$1:$V$8</definedName>
    <definedName name="_xlnm._FilterDatabase" localSheetId="45" hidden="1">'So Amend AddOfItem Local'!$V$1:$V$9</definedName>
    <definedName name="_xlnm._FilterDatabase" localSheetId="38" hidden="1">'So Amend Disc Local'!$V$1:$V$8</definedName>
    <definedName name="_xlnm._FilterDatabase" localSheetId="37" hidden="1">'So Amend Price Local'!$V$1:$V$8</definedName>
    <definedName name="_xlnm._FilterDatabase" localSheetId="39" hidden="1">'So Amend Qty Local'!$V$1:$V$8</definedName>
    <definedName name="_xlnm._FilterDatabase" localSheetId="30" hidden="1">'SO Amendment AddItem UTGST'!$V$1:$V$9</definedName>
    <definedName name="_xlnm._FilterDatabase" localSheetId="28" hidden="1">'SO Amendment AddItem UTGST1'!$V$1:$V$9</definedName>
    <definedName name="_xlnm._FilterDatabase" localSheetId="44" hidden="1">'SO Amendment AdditionOfItem'!#REF!</definedName>
    <definedName name="_xlnm._FilterDatabase" localSheetId="43" hidden="1">'SO Amendment Different PC'!#REF!</definedName>
    <definedName name="_xlnm._FilterDatabase" localSheetId="27" hidden="1">'SO Amendment Disc UTGST'!$V$1:$V$8</definedName>
    <definedName name="_xlnm._FilterDatabase" localSheetId="42" hidden="1">'SO Amendment DiscountChange'!#REF!</definedName>
    <definedName name="_xlnm._FilterDatabase" localSheetId="29" hidden="1">'SO Amendment Price UTGST'!$V$1:$V$8</definedName>
    <definedName name="_xlnm._FilterDatabase" localSheetId="33" hidden="1">'SO Amendment Qty'!#REF!</definedName>
    <definedName name="_xlnm._FilterDatabase" localSheetId="32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2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5" hidden="1">'SO UTGST'!$V$1:$V$8</definedName>
    <definedName name="_xlnm._FilterDatabase" localSheetId="41" hidden="1">'SoAmendment PriceChange'!#REF!</definedName>
  </definedNames>
  <calcPr calcId="124519"/>
</workbook>
</file>

<file path=xl/calcChain.xml><?xml version="1.0" encoding="utf-8"?>
<calcChain xmlns="http://schemas.openxmlformats.org/spreadsheetml/2006/main">
  <c r="BP8" i="51"/>
  <c r="G6" i="32"/>
  <c r="BP8" i="48"/>
  <c r="V6" i="39"/>
  <c r="AC6" i="26"/>
  <c r="AA6"/>
  <c r="Z6"/>
  <c r="Y6"/>
  <c r="X6"/>
  <c r="T6"/>
  <c r="S6"/>
  <c r="R6"/>
  <c r="Q6"/>
  <c r="P6"/>
  <c r="O6"/>
  <c r="N6"/>
  <c r="M6"/>
  <c r="I6"/>
  <c r="Z6" i="22"/>
  <c r="U6"/>
  <c r="T6"/>
  <c r="S6"/>
  <c r="R6"/>
  <c r="Q6"/>
  <c r="P6"/>
  <c r="O6"/>
  <c r="N6"/>
  <c r="M6"/>
  <c r="O5"/>
  <c r="N5"/>
  <c r="M5"/>
  <c r="I6"/>
  <c r="I5"/>
  <c r="Z6" i="20"/>
  <c r="U6"/>
  <c r="T6"/>
  <c r="S6"/>
  <c r="R6"/>
  <c r="P6"/>
  <c r="O6"/>
  <c r="N6"/>
  <c r="M6"/>
  <c r="I6"/>
  <c r="Z5"/>
  <c r="Y5"/>
  <c r="X5"/>
  <c r="T5"/>
  <c r="S5"/>
  <c r="R5"/>
  <c r="Q5"/>
  <c r="P5"/>
  <c r="O5"/>
  <c r="N5"/>
  <c r="M5"/>
  <c r="I5"/>
  <c r="Z6" i="21"/>
  <c r="Y6"/>
  <c r="X6"/>
  <c r="U6"/>
  <c r="T6"/>
  <c r="S6"/>
  <c r="R6"/>
  <c r="Q6"/>
  <c r="P6"/>
  <c r="O6"/>
  <c r="N6"/>
  <c r="M6"/>
  <c r="I6"/>
  <c r="I6" i="24"/>
  <c r="I5"/>
  <c r="I6" i="25"/>
  <c r="I5"/>
  <c r="I5" i="26"/>
  <c r="M5" s="1"/>
  <c r="AE6" i="22"/>
  <c r="AE5"/>
  <c r="AE5" i="18"/>
  <c r="AE6"/>
  <c r="BN6" i="51"/>
  <c r="BK6"/>
  <c r="BJ6"/>
  <c r="AT6"/>
  <c r="AQ6"/>
  <c r="AP6"/>
  <c r="AO6"/>
  <c r="AN6"/>
  <c r="AM6"/>
  <c r="AL6"/>
  <c r="AK6"/>
  <c r="AJ6"/>
  <c r="AI6"/>
  <c r="AH6"/>
  <c r="AG6"/>
  <c r="AF6"/>
  <c r="AE6"/>
  <c r="AE8" s="1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S8" s="1"/>
  <c r="R5"/>
  <c r="Q5"/>
  <c r="P5"/>
  <c r="O5"/>
  <c r="N5"/>
  <c r="M5"/>
  <c r="L5"/>
  <c r="K5"/>
  <c r="J5"/>
  <c r="I5"/>
  <c r="H5"/>
  <c r="G5"/>
  <c r="F5"/>
  <c r="E5"/>
  <c r="D5"/>
  <c r="C5"/>
  <c r="B5"/>
  <c r="A5"/>
  <c r="A5" i="44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X5"/>
  <c r="Y5"/>
  <c r="Z5"/>
  <c r="AA5"/>
  <c r="AC5"/>
  <c r="AD5"/>
  <c r="AE5"/>
  <c r="AF5"/>
  <c r="AG5"/>
  <c r="AH5"/>
  <c r="AI5"/>
  <c r="AJ5"/>
  <c r="AK5"/>
  <c r="AL5"/>
  <c r="AM5"/>
  <c r="AN5"/>
  <c r="AO5"/>
  <c r="AP5"/>
  <c r="AQ5"/>
  <c r="AT5"/>
  <c r="AX5" s="1"/>
  <c r="AY5" s="1"/>
  <c r="BJ5"/>
  <c r="BK5"/>
  <c r="BN5"/>
  <c r="A6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X6"/>
  <c r="Y6"/>
  <c r="Z6"/>
  <c r="AA6"/>
  <c r="AC6"/>
  <c r="AD6"/>
  <c r="AE6"/>
  <c r="AF6"/>
  <c r="AG6"/>
  <c r="AH6"/>
  <c r="AI6"/>
  <c r="AJ6"/>
  <c r="AK6"/>
  <c r="AL6"/>
  <c r="AM6"/>
  <c r="AN6"/>
  <c r="AO6"/>
  <c r="AP6"/>
  <c r="AQ6"/>
  <c r="AT6"/>
  <c r="AX6"/>
  <c r="AY6" s="1"/>
  <c r="BJ6"/>
  <c r="BK6"/>
  <c r="BN6"/>
  <c r="AT7"/>
  <c r="AX7"/>
  <c r="AY7" s="1"/>
  <c r="BJ7"/>
  <c r="BK7"/>
  <c r="BN7"/>
  <c r="BN7" i="51"/>
  <c r="BL7"/>
  <c r="BJ7"/>
  <c r="BI7"/>
  <c r="AT7"/>
  <c r="AG8"/>
  <c r="AL5" i="50"/>
  <c r="AI5"/>
  <c r="AC5"/>
  <c r="AA5"/>
  <c r="Y5"/>
  <c r="X5"/>
  <c r="I5"/>
  <c r="AC6" i="11"/>
  <c r="AC5"/>
  <c r="AI6" i="49"/>
  <c r="AL6" s="1"/>
  <c r="AC6"/>
  <c r="AA6"/>
  <c r="Z6"/>
  <c r="Y6"/>
  <c r="X6"/>
  <c r="I6"/>
  <c r="AL5"/>
  <c r="AI5"/>
  <c r="AC5"/>
  <c r="AA5"/>
  <c r="Z5"/>
  <c r="Y5"/>
  <c r="X5"/>
  <c r="I5"/>
  <c r="M5" s="1"/>
  <c r="N5" s="1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A6"/>
  <c r="Z6"/>
  <c r="Y6"/>
  <c r="X6"/>
  <c r="AP5"/>
  <c r="AL5"/>
  <c r="AI5"/>
  <c r="AG5"/>
  <c r="AG7" s="1"/>
  <c r="AA5"/>
  <c r="Z5"/>
  <c r="Y5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L6" i="25"/>
  <c r="AI6"/>
  <c r="AC6"/>
  <c r="AA6"/>
  <c r="Y6"/>
  <c r="X6"/>
  <c r="AL5"/>
  <c r="AI5"/>
  <c r="AC5"/>
  <c r="AA5"/>
  <c r="Y5"/>
  <c r="X5"/>
  <c r="AL6" i="26"/>
  <c r="AI6"/>
  <c r="AL5"/>
  <c r="AI5"/>
  <c r="AC5"/>
  <c r="AA5"/>
  <c r="Y5"/>
  <c r="X5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L6" i="24"/>
  <c r="AI6"/>
  <c r="AC6"/>
  <c r="AA6"/>
  <c r="Y6"/>
  <c r="X6"/>
  <c r="AL5"/>
  <c r="AI5"/>
  <c r="AC5"/>
  <c r="AA5"/>
  <c r="Y5"/>
  <c r="X5"/>
  <c r="AP6" i="22"/>
  <c r="AL6"/>
  <c r="AI6"/>
  <c r="AG6"/>
  <c r="AC6"/>
  <c r="AA6"/>
  <c r="Y6"/>
  <c r="X6"/>
  <c r="AP5"/>
  <c r="AL5"/>
  <c r="AI5"/>
  <c r="AG5"/>
  <c r="AG7" s="1"/>
  <c r="AC5"/>
  <c r="AA5"/>
  <c r="Z5"/>
  <c r="Y5"/>
  <c r="X5"/>
  <c r="AL6" i="21"/>
  <c r="AI6"/>
  <c r="AC6"/>
  <c r="AA6"/>
  <c r="AL5"/>
  <c r="AI5"/>
  <c r="AC5"/>
  <c r="AA5"/>
  <c r="Y5"/>
  <c r="X5"/>
  <c r="AL6" i="20"/>
  <c r="AI6"/>
  <c r="AC6"/>
  <c r="AA6"/>
  <c r="Y6"/>
  <c r="X6"/>
  <c r="AL5"/>
  <c r="AI5"/>
  <c r="AC5"/>
  <c r="AA5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I6" i="17"/>
  <c r="AL6" s="1"/>
  <c r="AC6"/>
  <c r="AA6"/>
  <c r="Y6"/>
  <c r="X6"/>
  <c r="AL5"/>
  <c r="AI5"/>
  <c r="AC5"/>
  <c r="AA5"/>
  <c r="Y5"/>
  <c r="X5"/>
  <c r="AV5" i="33"/>
  <c r="BD5" i="30"/>
  <c r="BC6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BD5" i="35"/>
  <c r="AP6"/>
  <c r="AP5"/>
  <c r="AO6"/>
  <c r="AO5"/>
  <c r="BD5" i="34"/>
  <c r="AS6"/>
  <c r="AT6"/>
  <c r="AR6"/>
  <c r="AS5"/>
  <c r="AT5"/>
  <c r="AR5"/>
  <c r="AO5"/>
  <c r="AO6"/>
  <c r="BG6" i="35"/>
  <c r="BF6"/>
  <c r="AQ6"/>
  <c r="AU6" s="1"/>
  <c r="AV6" s="1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5" i="33"/>
  <c r="V5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Z5" i="51" l="1"/>
  <c r="BA5" s="1"/>
  <c r="BB5" s="1"/>
  <c r="BC5" s="1"/>
  <c r="O5" i="24"/>
  <c r="M5"/>
  <c r="N5" s="1"/>
  <c r="AE7" i="22"/>
  <c r="AD5" i="11"/>
  <c r="AE5" s="1"/>
  <c r="AX6" i="51"/>
  <c r="AY6" s="1"/>
  <c r="AZ7" i="44"/>
  <c r="AZ6"/>
  <c r="AZ5"/>
  <c r="AZ7" i="51"/>
  <c r="AX7"/>
  <c r="AY7" s="1"/>
  <c r="M5" i="50"/>
  <c r="N5" s="1"/>
  <c r="O5" s="1"/>
  <c r="AD6" i="11"/>
  <c r="AE6" s="1"/>
  <c r="AD5" i="28"/>
  <c r="AE5" s="1"/>
  <c r="AE7" s="1"/>
  <c r="AD5" i="49"/>
  <c r="AD6"/>
  <c r="M6"/>
  <c r="N6" s="1"/>
  <c r="O5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D6" i="23"/>
  <c r="AE6" s="1"/>
  <c r="AD5"/>
  <c r="AE5" s="1"/>
  <c r="AD5" i="5"/>
  <c r="AE5" s="1"/>
  <c r="AQ5" i="35"/>
  <c r="AU5" s="1"/>
  <c r="AV5" s="1"/>
  <c r="AW5" s="1"/>
  <c r="AW6"/>
  <c r="AU5" i="34"/>
  <c r="AV5" s="1"/>
  <c r="AU6"/>
  <c r="AV6" s="1"/>
  <c r="AW6" s="1"/>
  <c r="AI5"/>
  <c r="AW5" i="33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P5" i="24" l="1"/>
  <c r="Q5" s="1"/>
  <c r="R5" s="1"/>
  <c r="S5" s="1"/>
  <c r="AE7" i="18"/>
  <c r="AZ6" i="51"/>
  <c r="BD5"/>
  <c r="BB7" i="44"/>
  <c r="BC7" s="1"/>
  <c r="BA7"/>
  <c r="BB5"/>
  <c r="BC5" s="1"/>
  <c r="BA5"/>
  <c r="BB6"/>
  <c r="BC6" s="1"/>
  <c r="BA6"/>
  <c r="BA7" i="51"/>
  <c r="BB7" s="1"/>
  <c r="BC7" s="1"/>
  <c r="BD7" s="1"/>
  <c r="P5" i="50"/>
  <c r="Q5" s="1"/>
  <c r="R5" s="1"/>
  <c r="AE7" i="11"/>
  <c r="P5" i="49"/>
  <c r="Q5" s="1"/>
  <c r="R5" s="1"/>
  <c r="O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T5" i="24" l="1"/>
  <c r="U5"/>
  <c r="BA6" i="51"/>
  <c r="BF5"/>
  <c r="BR5" s="1"/>
  <c r="BE5"/>
  <c r="BD6" i="44"/>
  <c r="BD7"/>
  <c r="BD5"/>
  <c r="BE7" i="51"/>
  <c r="BF7"/>
  <c r="S5" i="50"/>
  <c r="P6" i="49"/>
  <c r="S5"/>
  <c r="BB7" i="48"/>
  <c r="BC7" s="1"/>
  <c r="BD7" s="1"/>
  <c r="T5"/>
  <c r="U5"/>
  <c r="BA6"/>
  <c r="BB6" s="1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Z5" i="24" l="1"/>
  <c r="AE5"/>
  <c r="BL5" i="51"/>
  <c r="BI5"/>
  <c r="BO5" s="1"/>
  <c r="BP5" s="1"/>
  <c r="BB6"/>
  <c r="BC6" s="1"/>
  <c r="BD6" s="1"/>
  <c r="BF6" i="44"/>
  <c r="BE6"/>
  <c r="BF7"/>
  <c r="BE7"/>
  <c r="BE5"/>
  <c r="BF5"/>
  <c r="BK7" i="51"/>
  <c r="BO7" s="1"/>
  <c r="BP7" s="1"/>
  <c r="BR7"/>
  <c r="T5" i="50"/>
  <c r="U5"/>
  <c r="T5" i="49"/>
  <c r="U5"/>
  <c r="Q6"/>
  <c r="R6" s="1"/>
  <c r="S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E6" i="51" l="1"/>
  <c r="BF6"/>
  <c r="BI6" i="44"/>
  <c r="BO6" s="1"/>
  <c r="BP6" s="1"/>
  <c r="BL6"/>
  <c r="BR6"/>
  <c r="BI5"/>
  <c r="BO5" s="1"/>
  <c r="BP5" s="1"/>
  <c r="BL5"/>
  <c r="BR5"/>
  <c r="BL7"/>
  <c r="BR7"/>
  <c r="BI7"/>
  <c r="BD8"/>
  <c r="BD8" i="51"/>
  <c r="AP5" i="50"/>
  <c r="Z5"/>
  <c r="AD5" s="1"/>
  <c r="AE5" s="1"/>
  <c r="AG5"/>
  <c r="T6" i="49"/>
  <c r="U6"/>
  <c r="S7"/>
  <c r="AG5"/>
  <c r="AG7" s="1"/>
  <c r="AP5"/>
  <c r="AE5"/>
  <c r="BI7" i="48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I6" i="51" l="1"/>
  <c r="BR6"/>
  <c r="BR8" s="1"/>
  <c r="BL6"/>
  <c r="BO7" i="44"/>
  <c r="BP7" s="1"/>
  <c r="BR8"/>
  <c r="AE6" i="50"/>
  <c r="AG6"/>
  <c r="AP6" i="49"/>
  <c r="AE6"/>
  <c r="AE7" s="1"/>
  <c r="AG6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O6" i="51" l="1"/>
  <c r="BP6" s="1"/>
  <c r="BP8" i="44"/>
  <c r="BO6" i="46"/>
  <c r="BP6" s="1"/>
  <c r="BP7" s="1"/>
  <c r="BP7" i="47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Q6"/>
  <c r="AN6"/>
  <c r="BM6" s="1"/>
  <c r="W6"/>
  <c r="V6"/>
  <c r="BD6" s="1"/>
  <c r="L6"/>
  <c r="K6"/>
  <c r="J6"/>
  <c r="H6"/>
  <c r="G6"/>
  <c r="AF6" s="1"/>
  <c r="AI6" s="1"/>
  <c r="BG5"/>
  <c r="BF5"/>
  <c r="AQ5"/>
  <c r="AN5"/>
  <c r="BM5" s="1"/>
  <c r="Y5"/>
  <c r="W5"/>
  <c r="V5"/>
  <c r="M5"/>
  <c r="L5"/>
  <c r="K5"/>
  <c r="J5"/>
  <c r="I5"/>
  <c r="H5"/>
  <c r="G5"/>
  <c r="AF5" s="1"/>
  <c r="D3"/>
  <c r="Y6"/>
  <c r="X6"/>
  <c r="I6" i="29"/>
  <c r="I6" i="30" s="1"/>
  <c r="X5"/>
  <c r="M5" i="29"/>
  <c r="N5" s="1"/>
  <c r="N5" i="30" s="1"/>
  <c r="I5" i="29"/>
  <c r="I6" i="28"/>
  <c r="I5"/>
  <c r="M5" i="27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M6" i="25"/>
  <c r="N6" s="1"/>
  <c r="M6" i="24"/>
  <c r="N6" s="1"/>
  <c r="I6" i="23"/>
  <c r="M6" s="1"/>
  <c r="N6" s="1"/>
  <c r="I5"/>
  <c r="I5" i="21"/>
  <c r="S7" i="18"/>
  <c r="I6"/>
  <c r="I5"/>
  <c r="M5" s="1"/>
  <c r="N5" s="1"/>
  <c r="AL6" i="1"/>
  <c r="I6" i="17"/>
  <c r="I5"/>
  <c r="M5" s="1"/>
  <c r="N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N5" i="26" l="1"/>
  <c r="AW7" i="30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5" i="27"/>
  <c r="Q5"/>
  <c r="R5" s="1"/>
  <c r="O6" i="25"/>
  <c r="M5"/>
  <c r="N5" s="1"/>
  <c r="O6" i="24"/>
  <c r="O6" i="23"/>
  <c r="M5"/>
  <c r="N5" s="1"/>
  <c r="O5" s="1"/>
  <c r="M5" i="21"/>
  <c r="N5" s="1"/>
  <c r="O5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O5" i="26" l="1"/>
  <c r="AX7" i="30"/>
  <c r="AY7" s="1"/>
  <c r="AZ7" s="1"/>
  <c r="Q6" i="29"/>
  <c r="Q6" i="30" s="1"/>
  <c r="Q5" i="29"/>
  <c r="Q5" i="30" s="1"/>
  <c r="T6" i="28"/>
  <c r="U6"/>
  <c r="T5"/>
  <c r="U5"/>
  <c r="S5" i="27"/>
  <c r="P6" i="25"/>
  <c r="O5"/>
  <c r="P6" i="24"/>
  <c r="Q6" s="1"/>
  <c r="R6" s="1"/>
  <c r="P5" i="23"/>
  <c r="Q5" s="1"/>
  <c r="R5" s="1"/>
  <c r="P6"/>
  <c r="Q6" s="1"/>
  <c r="R6" s="1"/>
  <c r="P5" i="21"/>
  <c r="Q5" s="1"/>
  <c r="R5" s="1"/>
  <c r="Q6" i="20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P5" i="26" l="1"/>
  <c r="Q5" s="1"/>
  <c r="R5" s="1"/>
  <c r="BA7" i="30"/>
  <c r="BA8"/>
  <c r="R6" i="29"/>
  <c r="R6" i="30" s="1"/>
  <c r="R5" i="29"/>
  <c r="R5" i="30" s="1"/>
  <c r="U6" i="27"/>
  <c r="T5"/>
  <c r="U5"/>
  <c r="P5" i="25"/>
  <c r="Q6"/>
  <c r="R6" s="1"/>
  <c r="S6" s="1"/>
  <c r="S6" i="24"/>
  <c r="S5" i="23"/>
  <c r="S6"/>
  <c r="P5" i="22"/>
  <c r="Q5" s="1"/>
  <c r="R5" s="1"/>
  <c r="S5" i="21"/>
  <c r="T5" i="18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U6" i="26" l="1"/>
  <c r="S5"/>
  <c r="BB7" i="30"/>
  <c r="BC7"/>
  <c r="BL5"/>
  <c r="BH5"/>
  <c r="BI5" s="1"/>
  <c r="BJ5" s="1"/>
  <c r="S6" i="29"/>
  <c r="S6" i="30" s="1"/>
  <c r="S5" i="29"/>
  <c r="S5" i="30" s="1"/>
  <c r="U6" i="25"/>
  <c r="T6"/>
  <c r="Q5"/>
  <c r="R5" s="1"/>
  <c r="S5" s="1"/>
  <c r="T6" i="24"/>
  <c r="U6"/>
  <c r="T5" i="23"/>
  <c r="U5"/>
  <c r="T6"/>
  <c r="U6"/>
  <c r="S5" i="22"/>
  <c r="T5" i="21"/>
  <c r="U5"/>
  <c r="U5" i="20"/>
  <c r="T5" i="17"/>
  <c r="U5"/>
  <c r="S6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Z6" i="24" l="1"/>
  <c r="AE6"/>
  <c r="AP6"/>
  <c r="AG6"/>
  <c r="AG6" i="20"/>
  <c r="AE6"/>
  <c r="AP6"/>
  <c r="AG5"/>
  <c r="AG7" s="1"/>
  <c r="AE5"/>
  <c r="AP5"/>
  <c r="AP6" i="25"/>
  <c r="AG6"/>
  <c r="Z6"/>
  <c r="AD6" s="1"/>
  <c r="AE6" s="1"/>
  <c r="AE6" i="26"/>
  <c r="AP6"/>
  <c r="AG6"/>
  <c r="T5"/>
  <c r="U5"/>
  <c r="AP6" i="21"/>
  <c r="AD6"/>
  <c r="AE6" s="1"/>
  <c r="AG6"/>
  <c r="Z5" i="17"/>
  <c r="AD5" s="1"/>
  <c r="AE5" s="1"/>
  <c r="AP5"/>
  <c r="AG5"/>
  <c r="AP5" i="21"/>
  <c r="AG5"/>
  <c r="AG7" s="1"/>
  <c r="Z5"/>
  <c r="AD5" s="1"/>
  <c r="AE5" s="1"/>
  <c r="S8" i="30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T5" i="25"/>
  <c r="U5"/>
  <c r="T5" i="22"/>
  <c r="U5"/>
  <c r="T6" i="17"/>
  <c r="U6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E7" i="24" l="1"/>
  <c r="AG5"/>
  <c r="AG7" s="1"/>
  <c r="AP5"/>
  <c r="AE7" i="20"/>
  <c r="AG5" i="25"/>
  <c r="AG7" s="1"/>
  <c r="Z5"/>
  <c r="AD5" s="1"/>
  <c r="AE5" s="1"/>
  <c r="AE7" s="1"/>
  <c r="AP5"/>
  <c r="Z5" i="26"/>
  <c r="AE5"/>
  <c r="AE7" s="1"/>
  <c r="AP5"/>
  <c r="AG5"/>
  <c r="AG7" s="1"/>
  <c r="AE7" i="21"/>
  <c r="AG6" i="17"/>
  <c r="AG7" s="1"/>
  <c r="Z6"/>
  <c r="AD6" s="1"/>
  <c r="AE6" s="1"/>
  <c r="AE7" s="1"/>
  <c r="AP6"/>
  <c r="AE6" i="1"/>
  <c r="AE7" s="1"/>
  <c r="AD6"/>
  <c r="BL8" i="30"/>
  <c r="Z5"/>
  <c r="AD5"/>
  <c r="Z6"/>
  <c r="AD6"/>
  <c r="I13" i="15"/>
  <c r="N11"/>
  <c r="AB6" i="10"/>
  <c r="AB7" s="1"/>
  <c r="AD8" i="30" l="1"/>
  <c r="AA5"/>
  <c r="AA6"/>
  <c r="N13" i="15"/>
  <c r="O11"/>
  <c r="O13" s="1"/>
  <c r="AB6" i="30" l="1"/>
  <c r="AB5"/>
  <c r="AB8" l="1"/>
</calcChain>
</file>

<file path=xl/sharedStrings.xml><?xml version="1.0" encoding="utf-8"?>
<sst xmlns="http://schemas.openxmlformats.org/spreadsheetml/2006/main" count="3919" uniqueCount="192">
  <si>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</si>
  <si>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</si>
  <si>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</si>
  <si>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</si>
  <si>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</si>
  <si>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</si>
  <si>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</si>
  <si>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</si>
  <si>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</si>
  <si>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</si>
  <si>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</si>
  <si>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</si>
  <si>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</si>
  <si>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</si>
  <si>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</si>
  <si>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</si>
  <si>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</si>
  <si>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</si>
  <si>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</si>
  <si>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</si>
  <si>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</si>
  <si>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</si>
  <si>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</si>
  <si>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</si>
  <si>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</si>
  <si>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</si>
  <si>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</si>
  <si>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</si>
  <si>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</si>
  <si>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</si>
  <si>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</si>
  <si>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</si>
  <si>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</si>
  <si>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</si>
  <si>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</si>
  <si>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</si>
  <si>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</si>
  <si>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</si>
  <si>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</si>
  <si>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</si>
  <si>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</si>
  <si>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</si>
  <si>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</si>
  <si>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</si>
  <si>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</si>
  <si>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</si>
  <si>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</si>
  <si>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</si>
  <si>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</si>
  <si>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</si>
  <si>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</si>
  <si>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</si>
  <si>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</si>
  <si>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</si>
  <si>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</si>
  <si>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</si>
  <si>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</si>
  <si>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</si>
  <si>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</si>
  <si>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</si>
  <si>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</si>
  <si>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</si>
  <si>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</si>
  <si>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</si>
  <si>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</si>
  <si>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</si>
  <si>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</si>
  <si>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</si>
  <si>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</si>
  <si>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</si>
  <si>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</si>
  <si>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</si>
  <si>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</si>
  <si>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</si>
  <si>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</si>
  <si>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</si>
  <si>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</si>
  <si>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</si>
  <si>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</si>
  <si>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</si>
  <si>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</si>
  <si>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</si>
  <si>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</si>
  <si>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</si>
  <si>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</si>
  <si>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</si>
  <si>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</si>
  <si>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</si>
  <si>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4</t>
  </si>
  <si>
    <t>2</t>
  </si>
  <si>
    <t>17</t>
  </si>
  <si>
    <t>12</t>
  </si>
  <si>
    <t>HK-SER-MAC-10001(FG)</t>
  </si>
  <si>
    <t>HK-FG-STD-PRICE-DISSIMILAR ITEM-10001</t>
  </si>
  <si>
    <t>HK-FIFO-SER-BATCH-10001(FG)</t>
  </si>
  <si>
    <t>HK-FG-CATALOG-DISSIMILAR-10001</t>
  </si>
  <si>
    <t>4265</t>
  </si>
  <si>
    <t>1543</t>
  </si>
  <si>
    <t>HK-LOT-FIFO-LOT-10001(FG)</t>
  </si>
  <si>
    <t>HK-FG-PRICELIST-DISSIMILAR UOM-10001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</si>
  <si>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</si>
  <si>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</si>
  <si>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</si>
  <si>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</si>
  <si>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</si>
  <si>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</si>
  <si>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</si>
  <si>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</si>
  <si>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</si>
  <si>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</si>
  <si>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</si>
  <si>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</si>
  <si>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</si>
  <si>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</si>
  <si>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</si>
  <si>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</si>
  <si>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</si>
  <si>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</si>
  <si>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</si>
  <si>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</si>
  <si>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</si>
  <si>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</si>
  <si>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</si>
  <si>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</si>
  <si>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</si>
  <si>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</si>
  <si>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</si>
  <si>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</si>
  <si>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</si>
  <si>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</si>
  <si>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</si>
  <si>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</si>
  <si>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</si>
  <si>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</si>
  <si>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</si>
  <si>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</si>
  <si>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</si>
  <si>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</si>
  <si>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</si>
  <si>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</si>
  <si>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</si>
  <si>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</si>
  <si>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</si>
  <si>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</si>
  <si>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</si>
  <si>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</si>
  <si>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</si>
  <si>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</si>
  <si>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</si>
  <si>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</si>
  <si>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</si>
  <si>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</si>
  <si>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</si>
  <si>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</si>
  <si>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</si>
  <si>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</si>
  <si>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</si>
  <si>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</si>
  <si>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</si>
  <si>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</si>
  <si>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</si>
  <si>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</si>
  <si>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</si>
  <si>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</si>
  <si>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</si>
  <si>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</si>
  <si>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</si>
  <si>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</si>
  <si>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</si>
  <si>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</si>
  <si>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</si>
  <si>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</si>
  <si>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</si>
  <si>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</si>
  <si>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New UTGST</t>
  </si>
  <si>
    <t>New CESS %</t>
  </si>
  <si>
    <t>New CESS AMT</t>
  </si>
  <si>
    <t>230</t>
  </si>
  <si>
    <t>350</t>
  </si>
  <si>
    <t>Location</t>
  </si>
  <si>
    <t>L100</t>
  </si>
  <si>
    <t>LOC45</t>
  </si>
  <si>
    <t>3120</t>
  </si>
  <si>
    <t>2180</t>
  </si>
  <si>
    <t>4123</t>
  </si>
  <si>
    <t>1200</t>
  </si>
  <si>
    <t>3523</t>
  </si>
  <si>
    <t>32</t>
  </si>
  <si>
    <t>42</t>
  </si>
  <si>
    <t>47</t>
  </si>
  <si>
    <t>27</t>
  </si>
  <si>
    <t>(2022)5%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</si>
</sst>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0070C0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Z21" sqref="Z21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0" t="s">
        <v>35</v>
      </c>
      <c r="B3" s="140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98</v>
      </c>
      <c r="C5" s="85">
        <v>0</v>
      </c>
      <c r="D5" s="85" t="s">
        <v>98</v>
      </c>
      <c r="E5" s="27" t="s">
        <v>10</v>
      </c>
      <c r="F5" s="27" t="s">
        <v>10</v>
      </c>
      <c r="G5" s="27">
        <v>44</v>
      </c>
      <c r="H5" s="1">
        <v>3321</v>
      </c>
      <c r="I5" s="27">
        <f>ROUND(G5*H5,2)</f>
        <v>146124</v>
      </c>
      <c r="J5" s="1" t="s">
        <v>87</v>
      </c>
      <c r="K5" s="27">
        <v>2</v>
      </c>
      <c r="L5" s="27">
        <v>4</v>
      </c>
      <c r="M5" s="27">
        <f>I5</f>
        <v>146124</v>
      </c>
      <c r="N5" s="27">
        <f>ROUND((M5*J5)/100,2)</f>
        <v>14612.4</v>
      </c>
      <c r="O5" s="27">
        <f>I5-N5</f>
        <v>131511.6</v>
      </c>
      <c r="P5" s="27">
        <f>ROUND((O5*K5)/100,2)</f>
        <v>2630.23</v>
      </c>
      <c r="Q5" s="27">
        <f>ROUND(O5-P5,2)</f>
        <v>128881.37</v>
      </c>
      <c r="R5" s="27">
        <f>ROUND((Q5*L5)/100,2)</f>
        <v>5155.25</v>
      </c>
      <c r="S5" s="27">
        <f>N5+P5+R5</f>
        <v>22397.88</v>
      </c>
      <c r="T5" s="27">
        <f>ROUND(S5/G5,2)</f>
        <v>509.04</v>
      </c>
      <c r="U5" s="27">
        <f>(I5-S5)</f>
        <v>123726.12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14847.13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14847.13</v>
      </c>
      <c r="AE5" s="27">
        <f t="shared" ref="AE5:AE6" si="0">U5+AD5</f>
        <v>138573.25</v>
      </c>
      <c r="AF5" s="27">
        <v>120</v>
      </c>
      <c r="AG5" s="27">
        <f t="shared" ref="AG5:AG6" si="1">U5*$N$3</f>
        <v>123726.12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99</v>
      </c>
      <c r="C6" s="85">
        <v>0</v>
      </c>
      <c r="D6" s="85" t="s">
        <v>99</v>
      </c>
      <c r="E6" s="27" t="s">
        <v>45</v>
      </c>
      <c r="F6" s="27" t="s">
        <v>10</v>
      </c>
      <c r="G6" s="27">
        <v>53</v>
      </c>
      <c r="H6" s="1">
        <v>5472</v>
      </c>
      <c r="I6" s="27">
        <f>ROUND(G6*H6,2)</f>
        <v>290016</v>
      </c>
      <c r="J6" s="1" t="s">
        <v>87</v>
      </c>
      <c r="K6" s="27">
        <v>7</v>
      </c>
      <c r="L6" s="27">
        <v>9</v>
      </c>
      <c r="M6" s="27">
        <f>I6</f>
        <v>290016</v>
      </c>
      <c r="N6" s="27">
        <f>ROUND((M6*J6)/100,2)</f>
        <v>29001.599999999999</v>
      </c>
      <c r="O6" s="27">
        <f>I6-N6</f>
        <v>261014.39999999999</v>
      </c>
      <c r="P6" s="27">
        <f>ROUND((O6*K6)/100,2)</f>
        <v>18271.009999999998</v>
      </c>
      <c r="Q6" s="27">
        <f>ROUND(O6-P6,2)</f>
        <v>242743.39</v>
      </c>
      <c r="R6" s="27">
        <f>ROUND((Q6*L6)/100,2)</f>
        <v>21846.91</v>
      </c>
      <c r="S6" s="27">
        <f>N6+P6+R6</f>
        <v>69119.520000000004</v>
      </c>
      <c r="T6" s="27">
        <f>ROUND(S6/G6,2)</f>
        <v>1304.1400000000001</v>
      </c>
      <c r="U6" s="27">
        <f>(I6-S6)</f>
        <v>220896.47999999998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26507.58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26507.58</v>
      </c>
      <c r="AE6" s="27">
        <f t="shared" si="0"/>
        <v>247404.06</v>
      </c>
      <c r="AF6" s="27">
        <v>120</v>
      </c>
      <c r="AG6" s="27">
        <f t="shared" si="1"/>
        <v>220896.47999999998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385977.31</v>
      </c>
      <c r="AF7" s="15" t="s">
        <v>40</v>
      </c>
      <c r="AG7" s="79">
        <f>AG5</f>
        <v>123726.12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AD6" sqref="AD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0" t="s">
        <v>35</v>
      </c>
      <c r="B3" s="140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98</v>
      </c>
      <c r="C5" s="85">
        <v>0</v>
      </c>
      <c r="D5" s="85" t="s">
        <v>98</v>
      </c>
      <c r="E5" s="27" t="s">
        <v>10</v>
      </c>
      <c r="F5" s="27" t="s">
        <v>10</v>
      </c>
      <c r="G5" s="27">
        <v>5</v>
      </c>
      <c r="H5" s="1" t="s">
        <v>189</v>
      </c>
      <c r="I5" s="27">
        <f>ROUND(G5*H5,2)</f>
        <v>235</v>
      </c>
      <c r="J5" s="1" t="s">
        <v>87</v>
      </c>
      <c r="K5" s="27">
        <v>3</v>
      </c>
      <c r="L5" s="27">
        <v>4</v>
      </c>
      <c r="M5" s="27">
        <f>I5</f>
        <v>235</v>
      </c>
      <c r="N5" s="27">
        <f>ROUND((M5*J5)/100,2)</f>
        <v>23.5</v>
      </c>
      <c r="O5" s="27">
        <f>I5-N5</f>
        <v>211.5</v>
      </c>
      <c r="P5" s="27">
        <f>ROUND((O5*K5)/100,2)</f>
        <v>6.35</v>
      </c>
      <c r="Q5" s="27">
        <f>ROUND(O5-P5,2)</f>
        <v>205.15</v>
      </c>
      <c r="R5" s="27">
        <f>ROUND((Q5*L5)/100,2)</f>
        <v>8.2100000000000009</v>
      </c>
      <c r="S5" s="27">
        <f>N5+P5+R5</f>
        <v>38.06</v>
      </c>
      <c r="T5" s="27">
        <f>ROUND(S5/G5,2)</f>
        <v>7.61</v>
      </c>
      <c r="U5" s="27">
        <f>(I5-S5)</f>
        <v>196.94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23.63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196.94</v>
      </c>
      <c r="AF5" s="27">
        <v>120</v>
      </c>
      <c r="AG5" s="27">
        <f t="shared" ref="AG5:AG6" si="0">U5*$N$3</f>
        <v>196.94</v>
      </c>
      <c r="AH5" s="27">
        <v>1</v>
      </c>
      <c r="AI5" s="27">
        <f t="shared" ref="AI5" si="1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99</v>
      </c>
      <c r="C6" s="85">
        <v>0</v>
      </c>
      <c r="D6" s="85" t="s">
        <v>99</v>
      </c>
      <c r="E6" s="27" t="s">
        <v>45</v>
      </c>
      <c r="F6" s="27" t="s">
        <v>10</v>
      </c>
      <c r="G6" s="27">
        <v>89</v>
      </c>
      <c r="H6" s="1" t="s">
        <v>190</v>
      </c>
      <c r="I6" s="27">
        <f>ROUND(G6*H6,2)</f>
        <v>2403</v>
      </c>
      <c r="J6" s="1" t="s">
        <v>87</v>
      </c>
      <c r="K6" s="27">
        <v>7</v>
      </c>
      <c r="L6" s="27">
        <v>9</v>
      </c>
      <c r="M6" s="27">
        <f>I6</f>
        <v>2403</v>
      </c>
      <c r="N6" s="27">
        <f>ROUND((M6*J6)/100,2)</f>
        <v>240.3</v>
      </c>
      <c r="O6" s="27">
        <f>I6-N6</f>
        <v>2162.6999999999998</v>
      </c>
      <c r="P6" s="27">
        <f>ROUND((O6*K6)/100,2)</f>
        <v>151.38999999999999</v>
      </c>
      <c r="Q6" s="27">
        <f>ROUND(O6-P6,2)</f>
        <v>2011.31</v>
      </c>
      <c r="R6" s="27">
        <f>ROUND((Q6*L6)/100,2)</f>
        <v>181.02</v>
      </c>
      <c r="S6" s="27">
        <f>N6+P6+R6</f>
        <v>572.71</v>
      </c>
      <c r="T6" s="27">
        <f>ROUND(S6/G6,2)</f>
        <v>6.43</v>
      </c>
      <c r="U6" s="27">
        <f>(I6-S6)</f>
        <v>1830.29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219.63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1830.29</v>
      </c>
      <c r="AF6" s="27">
        <v>120</v>
      </c>
      <c r="AG6" s="27">
        <f t="shared" si="0"/>
        <v>1830.29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2027.23</v>
      </c>
      <c r="AF7" s="15" t="s">
        <v>40</v>
      </c>
      <c r="AG7" s="79">
        <f>AG5</f>
        <v>196.94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E1" zoomScale="85" zoomScaleNormal="85" workbookViewId="0">
      <selection activeCell="W5" sqref="W5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0" t="s">
        <v>35</v>
      </c>
      <c r="B3" s="140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94</v>
      </c>
      <c r="C5" s="80">
        <v>0</v>
      </c>
      <c r="D5" s="85" t="s">
        <v>94</v>
      </c>
      <c r="E5" s="27" t="s">
        <v>10</v>
      </c>
      <c r="F5" s="27" t="s">
        <v>10</v>
      </c>
      <c r="G5" s="27">
        <v>21</v>
      </c>
      <c r="H5" s="1" t="s">
        <v>96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95</v>
      </c>
      <c r="C6" s="80">
        <v>0</v>
      </c>
      <c r="D6" s="85" t="s">
        <v>95</v>
      </c>
      <c r="E6" s="27" t="s">
        <v>45</v>
      </c>
      <c r="F6" s="27" t="s">
        <v>10</v>
      </c>
      <c r="G6" s="27">
        <v>35</v>
      </c>
      <c r="H6" s="1" t="s">
        <v>97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H6" sqref="H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0" t="s">
        <v>35</v>
      </c>
      <c r="B3" s="140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94</v>
      </c>
      <c r="C5" s="80">
        <v>0</v>
      </c>
      <c r="D5" s="85" t="s">
        <v>94</v>
      </c>
      <c r="E5" s="27" t="s">
        <v>10</v>
      </c>
      <c r="F5" s="27" t="s">
        <v>10</v>
      </c>
      <c r="G5" s="27">
        <v>11</v>
      </c>
      <c r="H5" s="1" t="s">
        <v>187</v>
      </c>
      <c r="I5" s="27">
        <f>ROUND(G5*H5,2)</f>
        <v>352</v>
      </c>
      <c r="J5" s="1">
        <v>1</v>
      </c>
      <c r="K5" s="27">
        <v>3</v>
      </c>
      <c r="L5" s="27">
        <v>4</v>
      </c>
      <c r="M5" s="27">
        <f>I5</f>
        <v>352</v>
      </c>
      <c r="N5" s="27">
        <f>ROUND((M5*J5)/100,2)</f>
        <v>3.52</v>
      </c>
      <c r="O5" s="27">
        <f>I5-N5</f>
        <v>348.48</v>
      </c>
      <c r="P5" s="27">
        <f>ROUND((O5*K5)/100,2)</f>
        <v>10.45</v>
      </c>
      <c r="Q5" s="27">
        <f>ROUND(O5-P5,2)</f>
        <v>338.03</v>
      </c>
      <c r="R5" s="27">
        <f>ROUND((Q5*L5)/100,2)</f>
        <v>13.52</v>
      </c>
      <c r="S5" s="27">
        <f>N5+P5+R5</f>
        <v>27.49</v>
      </c>
      <c r="T5" s="27">
        <f>ROUND(S5/G5,2)</f>
        <v>2.5</v>
      </c>
      <c r="U5" s="27">
        <f>(I5-S5)</f>
        <v>324.51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16.23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324.51</v>
      </c>
      <c r="AF5" s="27">
        <v>120</v>
      </c>
      <c r="AG5" s="27">
        <f t="shared" ref="AG5:AG6" si="0">U5*$N$3</f>
        <v>324.51</v>
      </c>
      <c r="AH5" s="27">
        <v>1</v>
      </c>
      <c r="AI5" s="27">
        <f t="shared" ref="AI5" si="1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95</v>
      </c>
      <c r="C6" s="80">
        <v>0</v>
      </c>
      <c r="D6" s="85" t="s">
        <v>95</v>
      </c>
      <c r="E6" s="27" t="s">
        <v>45</v>
      </c>
      <c r="F6" s="27" t="s">
        <v>10</v>
      </c>
      <c r="G6" s="27">
        <v>15</v>
      </c>
      <c r="H6" s="1" t="s">
        <v>188</v>
      </c>
      <c r="I6" s="27">
        <f>ROUND(G6*H6,2)</f>
        <v>630</v>
      </c>
      <c r="J6" s="1">
        <v>1</v>
      </c>
      <c r="K6" s="27">
        <v>7</v>
      </c>
      <c r="L6" s="27">
        <v>9</v>
      </c>
      <c r="M6" s="27">
        <f>I6</f>
        <v>630</v>
      </c>
      <c r="N6" s="27">
        <f>ROUND((M6*J6)/100,2)</f>
        <v>6.3</v>
      </c>
      <c r="O6" s="27">
        <f>I6-N6</f>
        <v>623.70000000000005</v>
      </c>
      <c r="P6" s="27">
        <f>ROUND((O6*K6)/100,2)</f>
        <v>43.66</v>
      </c>
      <c r="Q6" s="27">
        <f>ROUND(O6-P6,2)</f>
        <v>580.04</v>
      </c>
      <c r="R6" s="27">
        <f>ROUND((Q6*L6)/100,2)</f>
        <v>52.2</v>
      </c>
      <c r="S6" s="27">
        <f>N6+P6+R6</f>
        <v>102.16</v>
      </c>
      <c r="T6" s="27">
        <f>ROUND(S6/G6,2)</f>
        <v>6.81</v>
      </c>
      <c r="U6" s="27">
        <f>(I6-S6)</f>
        <v>527.84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63.34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527.84</v>
      </c>
      <c r="AF6" s="27">
        <v>120</v>
      </c>
      <c r="AG6" s="27">
        <f t="shared" si="0"/>
        <v>527.84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852.35</v>
      </c>
      <c r="AF7" s="15" t="s">
        <v>40</v>
      </c>
      <c r="AG7" s="79">
        <f>AG5</f>
        <v>324.51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Q5" sqref="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0" t="s">
        <v>35</v>
      </c>
      <c r="B3" s="140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92</v>
      </c>
      <c r="C5" s="85">
        <v>0</v>
      </c>
      <c r="D5" s="85" t="s">
        <v>92</v>
      </c>
      <c r="E5" s="27" t="s">
        <v>10</v>
      </c>
      <c r="F5" s="27" t="s">
        <v>10</v>
      </c>
      <c r="G5" s="27">
        <v>22</v>
      </c>
      <c r="H5" s="1" t="s">
        <v>177</v>
      </c>
      <c r="I5" s="27">
        <f>G5*H5</f>
        <v>5060</v>
      </c>
      <c r="J5" s="1">
        <v>1</v>
      </c>
      <c r="K5" s="27">
        <v>3</v>
      </c>
      <c r="L5" s="27">
        <v>4</v>
      </c>
      <c r="M5" s="27">
        <f>I5</f>
        <v>5060</v>
      </c>
      <c r="N5" s="27">
        <f>ROUND((M5*J5)/100,2)</f>
        <v>50.6</v>
      </c>
      <c r="O5" s="27">
        <f>I5-N5</f>
        <v>5009.3999999999996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87.62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730.14</v>
      </c>
      <c r="AF5" s="27">
        <v>120</v>
      </c>
      <c r="AG5" s="27">
        <f t="shared" ref="AG5:AG6" si="0">U5*$N$3</f>
        <v>730.14</v>
      </c>
      <c r="AH5" s="27">
        <v>1</v>
      </c>
      <c r="AI5" s="27">
        <f t="shared" ref="AI5" si="1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93</v>
      </c>
      <c r="C6" s="80">
        <v>0</v>
      </c>
      <c r="D6" s="85" t="s">
        <v>93</v>
      </c>
      <c r="E6" s="27" t="s">
        <v>45</v>
      </c>
      <c r="F6" s="27" t="s">
        <v>10</v>
      </c>
      <c r="G6" s="27">
        <v>12</v>
      </c>
      <c r="H6" s="1" t="s">
        <v>178</v>
      </c>
      <c r="I6" s="27">
        <f>G6*H6</f>
        <v>4200</v>
      </c>
      <c r="J6" s="1">
        <v>1</v>
      </c>
      <c r="K6" s="27">
        <v>7</v>
      </c>
      <c r="L6" s="27">
        <v>9</v>
      </c>
      <c r="M6" s="27">
        <f>I6</f>
        <v>4200</v>
      </c>
      <c r="N6" s="27">
        <f>ROUND((M6*J6)/100,2)</f>
        <v>42</v>
      </c>
      <c r="O6" s="27">
        <f>I6-N6</f>
        <v>4158</v>
      </c>
      <c r="P6" s="27">
        <f>ROUND((O6*K6)/100,2)</f>
        <v>291.06</v>
      </c>
      <c r="Q6" s="27">
        <f>ROUND(O6-P6,2)</f>
        <v>3866.94</v>
      </c>
      <c r="R6" s="27">
        <f>ROUND((Q6*L6)/100,2)</f>
        <v>348.02</v>
      </c>
      <c r="S6" s="27">
        <f>N6+P6+R6</f>
        <v>681.07999999999993</v>
      </c>
      <c r="T6" s="27">
        <f>ROUND(S6/G6,2)</f>
        <v>56.76</v>
      </c>
      <c r="U6" s="27">
        <f>(I6-S6)</f>
        <v>3518.92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422.27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170.92000000000002</v>
      </c>
      <c r="AF6" s="27">
        <v>120</v>
      </c>
      <c r="AG6" s="27">
        <f t="shared" si="0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U5" sqref="U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0" t="s">
        <v>35</v>
      </c>
      <c r="B3" s="140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92</v>
      </c>
      <c r="C5" s="85">
        <v>0</v>
      </c>
      <c r="D5" s="85" t="s">
        <v>92</v>
      </c>
      <c r="E5" s="27" t="s">
        <v>10</v>
      </c>
      <c r="F5" s="27" t="s">
        <v>10</v>
      </c>
      <c r="G5" s="27">
        <v>12</v>
      </c>
      <c r="H5" s="1" t="s">
        <v>185</v>
      </c>
      <c r="I5" s="27">
        <f>G5*H5</f>
        <v>14400</v>
      </c>
      <c r="J5" s="27">
        <v>1</v>
      </c>
      <c r="K5" s="27">
        <v>2</v>
      </c>
      <c r="L5" s="27">
        <v>4</v>
      </c>
      <c r="M5" s="27">
        <f>I5</f>
        <v>14400</v>
      </c>
      <c r="N5" s="27">
        <f>ROUND((M5*J5)/100,2)</f>
        <v>144</v>
      </c>
      <c r="O5" s="27">
        <f>I5-N5</f>
        <v>14256</v>
      </c>
      <c r="P5" s="27">
        <f>ROUND((O5*K5)/100,2)</f>
        <v>285.12</v>
      </c>
      <c r="Q5" s="27">
        <f>ROUND(O5-P5,2)</f>
        <v>13970.88</v>
      </c>
      <c r="R5" s="27">
        <f>ROUND((Q5*L5)/100,2)</f>
        <v>558.84</v>
      </c>
      <c r="S5" s="27">
        <f>N5+P5+R5</f>
        <v>987.96</v>
      </c>
      <c r="T5" s="27">
        <f>ROUND(S5/G5,2)</f>
        <v>82.33</v>
      </c>
      <c r="U5" s="27">
        <f>(I5-S5)</f>
        <v>13412.04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1609.44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1609.44</v>
      </c>
      <c r="AE5" s="27">
        <f t="shared" ref="AE5:AE6" si="0">U5+AD5</f>
        <v>15021.480000000001</v>
      </c>
      <c r="AF5" s="27">
        <v>120</v>
      </c>
      <c r="AG5" s="27">
        <f t="shared" ref="AG5:AG6" si="1">U5*$N$3</f>
        <v>13412.04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93</v>
      </c>
      <c r="C6" s="80">
        <v>0</v>
      </c>
      <c r="D6" s="85" t="s">
        <v>93</v>
      </c>
      <c r="E6" s="27" t="s">
        <v>45</v>
      </c>
      <c r="F6" s="27" t="s">
        <v>10</v>
      </c>
      <c r="G6" s="27">
        <v>14</v>
      </c>
      <c r="H6" s="1" t="s">
        <v>186</v>
      </c>
      <c r="I6" s="27">
        <f>G6*H6</f>
        <v>49322</v>
      </c>
      <c r="J6" s="27">
        <v>1</v>
      </c>
      <c r="K6" s="27">
        <v>7</v>
      </c>
      <c r="L6" s="27">
        <v>9</v>
      </c>
      <c r="M6" s="27">
        <f>I6</f>
        <v>49322</v>
      </c>
      <c r="N6" s="27">
        <f>ROUND((M6*J6)/100,2)</f>
        <v>493.22</v>
      </c>
      <c r="O6" s="27">
        <f>I6-N6</f>
        <v>48828.78</v>
      </c>
      <c r="P6" s="27">
        <f>ROUND((O6*K6)/100,2)</f>
        <v>3418.01</v>
      </c>
      <c r="Q6" s="27">
        <f>ROUND(O6-P6,2)</f>
        <v>45410.77</v>
      </c>
      <c r="R6" s="27">
        <f>ROUND((Q6*L6)/100,2)</f>
        <v>4086.97</v>
      </c>
      <c r="S6" s="27">
        <f>N6+P6+R6</f>
        <v>7998.2000000000007</v>
      </c>
      <c r="T6" s="27">
        <f>ROUND(S6/G6,2)</f>
        <v>571.29999999999995</v>
      </c>
      <c r="U6" s="27">
        <f>(I6-S6)</f>
        <v>41323.800000000003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4958.8599999999997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4958.8599999999997</v>
      </c>
      <c r="AE6" s="27">
        <f t="shared" si="0"/>
        <v>46282.66</v>
      </c>
      <c r="AF6" s="27">
        <v>120</v>
      </c>
      <c r="AG6" s="27">
        <f t="shared" si="1"/>
        <v>41323.800000000003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61304.140000000007</v>
      </c>
      <c r="AF7" s="15" t="s">
        <v>40</v>
      </c>
      <c r="AG7" s="79">
        <f>AG5</f>
        <v>13412.04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C1" zoomScale="85" zoomScaleNormal="85" workbookViewId="0">
      <selection activeCell="AA6" sqref="AA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40" t="s">
        <v>35</v>
      </c>
      <c r="B3" s="140"/>
      <c r="C3" s="8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91</v>
      </c>
      <c r="I5" s="27">
        <f>ROUND(G5*H5,2)</f>
        <v>120</v>
      </c>
      <c r="J5" s="1">
        <v>1</v>
      </c>
      <c r="K5" s="27">
        <v>2</v>
      </c>
      <c r="L5" s="27">
        <v>4</v>
      </c>
      <c r="M5" s="27">
        <f>I5</f>
        <v>120</v>
      </c>
      <c r="N5" s="27">
        <f>ROUND((M5*J5)/100,2)</f>
        <v>1.2</v>
      </c>
      <c r="O5" s="27">
        <f>I5-N5</f>
        <v>118.8</v>
      </c>
      <c r="P5" s="27">
        <f>ROUND((O5*K5)/100,2)</f>
        <v>2.38</v>
      </c>
      <c r="Q5" s="27">
        <f>ROUND(O5-P5,2)</f>
        <v>116.42</v>
      </c>
      <c r="R5" s="27">
        <f>ROUND((Q5*L5)/100,2)</f>
        <v>4.66</v>
      </c>
      <c r="S5" s="27">
        <f>N5+P5+R5</f>
        <v>8.24</v>
      </c>
      <c r="T5" s="27">
        <f>ROUND(S5/G5,2)</f>
        <v>0.82</v>
      </c>
      <c r="U5" s="27">
        <f>(I5-S5)</f>
        <v>111.76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13.41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111.76</v>
      </c>
      <c r="AF5" s="27">
        <v>120</v>
      </c>
      <c r="AG5" s="27">
        <f t="shared" ref="AG5:AG6" si="0">U5*$N$3</f>
        <v>111.76</v>
      </c>
      <c r="AH5" s="27">
        <v>1</v>
      </c>
      <c r="AI5" s="27">
        <f t="shared" ref="AI5" si="1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90</v>
      </c>
      <c r="I6" s="27">
        <f>ROUND(G6*H6,2)</f>
        <v>170</v>
      </c>
      <c r="J6" s="1" t="s">
        <v>91</v>
      </c>
      <c r="K6" s="27">
        <v>7</v>
      </c>
      <c r="L6" s="27">
        <v>9</v>
      </c>
      <c r="M6" s="27">
        <f>I6</f>
        <v>170</v>
      </c>
      <c r="N6" s="27">
        <f>ROUND((M6*J6)/100,2)</f>
        <v>20.399999999999999</v>
      </c>
      <c r="O6" s="27">
        <f>I6-N6</f>
        <v>149.6</v>
      </c>
      <c r="P6" s="27">
        <f>ROUND((O6*K6)/100,2)</f>
        <v>10.47</v>
      </c>
      <c r="Q6" s="27">
        <f>ROUND(O6-P6,2)</f>
        <v>139.13</v>
      </c>
      <c r="R6" s="27">
        <f>ROUND((Q6*L6)/100,2)</f>
        <v>12.52</v>
      </c>
      <c r="S6" s="27">
        <f>N6+P6+R6</f>
        <v>43.39</v>
      </c>
      <c r="T6" s="27">
        <f>ROUND(S6/G6,2)</f>
        <v>4.34</v>
      </c>
      <c r="U6" s="27">
        <f>(I6-S6)</f>
        <v>126.61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15.19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126.61</v>
      </c>
      <c r="AF6" s="27">
        <v>120</v>
      </c>
      <c r="AG6" s="27">
        <f t="shared" si="0"/>
        <v>126.61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238.37</v>
      </c>
      <c r="AF7" s="15" t="s">
        <v>40</v>
      </c>
      <c r="AG7" s="79">
        <f>AG5</f>
        <v>111.76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Z1" zoomScale="85" zoomScaleNormal="85" workbookViewId="0">
      <selection activeCell="AE12" sqref="AE12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4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4" ht="19.899999999999999" customHeight="1" thickBot="1">
      <c r="A3" s="140" t="s">
        <v>35</v>
      </c>
      <c r="B3" s="140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L18" sqref="L18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40" t="s">
        <v>35</v>
      </c>
      <c r="B3" s="140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184</v>
      </c>
      <c r="I5" s="27">
        <f>G5*H5</f>
        <v>31200</v>
      </c>
      <c r="J5" s="1" t="s">
        <v>104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105</v>
      </c>
      <c r="I6" s="27">
        <f>G6*H6</f>
        <v>63000</v>
      </c>
      <c r="J6" s="1" t="s">
        <v>104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N5" sqref="N5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40" t="s">
        <v>35</v>
      </c>
      <c r="B3" s="140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182</v>
      </c>
      <c r="I5" s="27">
        <f>G5*H5</f>
        <v>31200</v>
      </c>
      <c r="J5" s="1" t="s">
        <v>88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183</v>
      </c>
      <c r="I6" s="27">
        <f>G6*H6</f>
        <v>31560</v>
      </c>
      <c r="J6" s="1" t="s">
        <v>89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AE6" sqref="AE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40" t="s">
        <v>35</v>
      </c>
      <c r="B3" s="140"/>
      <c r="C3" s="7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30.85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257.07</v>
      </c>
      <c r="AF5" s="27">
        <v>120</v>
      </c>
      <c r="AG5" s="27">
        <f t="shared" ref="AG5:AG6" si="0">U5*$N$3</f>
        <v>257.07</v>
      </c>
      <c r="AH5" s="27">
        <v>1</v>
      </c>
      <c r="AI5" s="27">
        <f t="shared" ref="AI5" si="1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18.329999999999998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366.58000000000004</v>
      </c>
      <c r="AF6" s="27">
        <v>120</v>
      </c>
      <c r="AG6" s="27">
        <f t="shared" si="0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zoomScale="85" zoomScaleNormal="85" workbookViewId="0">
      <selection activeCell="K17" sqref="K1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44" width="9.28515625" style="1" bestFit="1" customWidth="1"/>
    <col min="45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5"/>
      <c r="AD1" s="135"/>
      <c r="AE1" s="135"/>
      <c r="AF1" s="135"/>
      <c r="AG1" s="32"/>
      <c r="AH1" s="32"/>
    </row>
    <row r="2" spans="1:44" ht="18">
      <c r="A2" s="135" t="s">
        <v>30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32"/>
      <c r="AH2" s="32"/>
    </row>
    <row r="3" spans="1:44" ht="19.899999999999999" customHeight="1" thickBot="1">
      <c r="A3" s="140" t="s">
        <v>35</v>
      </c>
      <c r="B3" s="140"/>
      <c r="C3" s="13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" si="0">G5*H5</f>
        <v>12340</v>
      </c>
      <c r="J5" s="27">
        <v>1</v>
      </c>
      <c r="K5" s="27">
        <v>2</v>
      </c>
      <c r="L5" s="27">
        <v>4</v>
      </c>
      <c r="M5" s="27">
        <f t="shared" ref="M5" si="1">I5</f>
        <v>12340</v>
      </c>
      <c r="N5" s="27">
        <f t="shared" ref="N5" si="2">ROUND((M5*J5)/100,2)</f>
        <v>123.4</v>
      </c>
      <c r="O5" s="27">
        <f t="shared" ref="O5" si="3">I5-N5</f>
        <v>12216.6</v>
      </c>
      <c r="P5" s="27">
        <f t="shared" ref="P5" si="4">ROUND((O5*K5)/100,2)</f>
        <v>244.33</v>
      </c>
      <c r="Q5" s="27">
        <f t="shared" ref="Q5" si="5">ROUND(O5-P5,2)</f>
        <v>11972.27</v>
      </c>
      <c r="R5" s="27">
        <f t="shared" ref="R5" si="6">ROUND((Q5*L5)/100,2)</f>
        <v>478.89</v>
      </c>
      <c r="S5" s="27">
        <f t="shared" ref="S5" si="7">N5+P5+R5</f>
        <v>846.62</v>
      </c>
      <c r="T5" s="27">
        <f t="shared" ref="T5" si="8">ROUND(S5/G5,2)</f>
        <v>84.66</v>
      </c>
      <c r="U5" s="27">
        <f t="shared" ref="U5" si="9">(I5-S5)</f>
        <v>11493.38</v>
      </c>
      <c r="V5" s="27" t="s">
        <v>23</v>
      </c>
      <c r="W5" s="30">
        <v>0.12</v>
      </c>
      <c r="X5" s="27">
        <f t="shared" ref="X5" si="10">IF(OR($D$3=1,$D$3=4),ROUND((U5*W5)/2,2),0)</f>
        <v>0</v>
      </c>
      <c r="Y5" s="27">
        <f t="shared" ref="Y5" si="11">IF($D$3=1,ROUND(((U5*W5)/2),2),0)</f>
        <v>0</v>
      </c>
      <c r="Z5" s="27">
        <f t="shared" ref="Z5" si="12">IF($D$3=2,ROUND(((U5*W5)),2),0)</f>
        <v>1379.21</v>
      </c>
      <c r="AA5" s="27">
        <f t="shared" ref="AA5" si="13">IF($D$3=4,ROUND(((U5*W5)/2),2),0)</f>
        <v>0</v>
      </c>
      <c r="AB5" s="30">
        <v>0.06</v>
      </c>
      <c r="AC5" s="27">
        <f t="shared" ref="AC5" si="14">IF($D$3=5,ROUND(((U5*AB5)/2),2),0)</f>
        <v>0</v>
      </c>
      <c r="AD5" s="27">
        <f t="shared" ref="AD5" si="15">X5+Y5+Z5+AA5+AC5</f>
        <v>1379.21</v>
      </c>
      <c r="AE5" s="27">
        <f t="shared" ref="AE5" si="16">U5+AD5</f>
        <v>12872.59</v>
      </c>
      <c r="AF5" s="27">
        <v>120</v>
      </c>
      <c r="AG5" s="27">
        <f t="shared" ref="AG5" si="17">U5*$N$3</f>
        <v>11493.38</v>
      </c>
      <c r="AH5" s="27">
        <v>1</v>
      </c>
      <c r="AI5" s="27">
        <f t="shared" ref="AI5" si="18">G5/AH5</f>
        <v>10</v>
      </c>
      <c r="AJ5" s="29" t="s">
        <v>84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" si="19">ROUND(((AO5*U5)/100),2)</f>
        <v>0</v>
      </c>
      <c r="AQ5" s="27" t="s">
        <v>101</v>
      </c>
      <c r="AR5" s="27" t="s">
        <v>181</v>
      </c>
    </row>
    <row r="6" spans="1:44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15"/>
      <c r="AC6" s="15"/>
      <c r="AD6" s="15"/>
      <c r="AE6" s="79">
        <f>SUM(AE5:AE5)</f>
        <v>12872.59</v>
      </c>
      <c r="AF6" s="15" t="s">
        <v>40</v>
      </c>
      <c r="AG6" s="79">
        <f>SUM(AG5:AG5)</f>
        <v>11493.38</v>
      </c>
      <c r="AH6" s="12"/>
      <c r="AI6" s="13"/>
      <c r="AJ6" s="13"/>
      <c r="AK6" s="13"/>
      <c r="AL6" s="36"/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Z1" zoomScale="85" zoomScaleNormal="85" workbookViewId="0">
      <selection activeCell="AR4" sqref="AR4: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44" width="9.28515625" style="1" bestFit="1" customWidth="1"/>
    <col min="45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3"/>
      <c r="AD1" s="73"/>
      <c r="AE1" s="73"/>
      <c r="AF1" s="73"/>
      <c r="AG1" s="32"/>
      <c r="AH1" s="32"/>
    </row>
    <row r="2" spans="1:44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2"/>
      <c r="AH2" s="32"/>
    </row>
    <row r="3" spans="1:44" ht="19.899999999999999" customHeight="1" thickBot="1">
      <c r="A3" s="140" t="s">
        <v>35</v>
      </c>
      <c r="B3" s="140"/>
      <c r="C3" s="7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:I6" si="0">G5*H5</f>
        <v>12340</v>
      </c>
      <c r="J5" s="27">
        <v>1</v>
      </c>
      <c r="K5" s="27">
        <v>2</v>
      </c>
      <c r="L5" s="27">
        <v>4</v>
      </c>
      <c r="M5" s="27">
        <f t="shared" ref="M5:M6" si="1">I5</f>
        <v>12340</v>
      </c>
      <c r="N5" s="27">
        <f t="shared" ref="N5:N6" si="2">ROUND((M5*J5)/100,2)</f>
        <v>123.4</v>
      </c>
      <c r="O5" s="27">
        <f t="shared" ref="O5:O6" si="3">I5-N5</f>
        <v>12216.6</v>
      </c>
      <c r="P5" s="27">
        <f t="shared" ref="P5:P6" si="4">ROUND((O5*K5)/100,2)</f>
        <v>244.33</v>
      </c>
      <c r="Q5" s="27">
        <f t="shared" ref="Q5:Q6" si="5">ROUND(O5-P5,2)</f>
        <v>11972.27</v>
      </c>
      <c r="R5" s="27">
        <f t="shared" ref="R5:R6" si="6">ROUND((Q5*L5)/100,2)</f>
        <v>478.89</v>
      </c>
      <c r="S5" s="27">
        <f t="shared" ref="S5:S6" si="7">N5+P5+R5</f>
        <v>846.62</v>
      </c>
      <c r="T5" s="27">
        <f t="shared" ref="T5:T6" si="8">ROUND(S5/G5,2)</f>
        <v>84.66</v>
      </c>
      <c r="U5" s="27">
        <f t="shared" ref="U5:U6" si="9">(I5-S5)</f>
        <v>11493.38</v>
      </c>
      <c r="V5" s="27" t="s">
        <v>23</v>
      </c>
      <c r="W5" s="30">
        <v>0.12</v>
      </c>
      <c r="X5" s="27">
        <f t="shared" ref="X5:X6" si="10">IF(OR($D$3=1,$D$3=4),ROUND((U5*W5)/2,2),0)</f>
        <v>0</v>
      </c>
      <c r="Y5" s="27">
        <f t="shared" ref="Y5:Y6" si="11">IF($D$3=1,ROUND(((U5*W5)/2),2),0)</f>
        <v>0</v>
      </c>
      <c r="Z5" s="27">
        <f t="shared" ref="Z5:Z6" si="12">IF($D$3=2,ROUND(((U5*W5)),2),0)</f>
        <v>1379.21</v>
      </c>
      <c r="AA5" s="27">
        <f t="shared" ref="AA5:AA6" si="13">IF($D$3=4,ROUND(((U5*W5)/2),2),0)</f>
        <v>0</v>
      </c>
      <c r="AB5" s="30">
        <v>0.06</v>
      </c>
      <c r="AC5" s="27">
        <f t="shared" ref="AC5:AC6" si="14">IF($D$3=5,ROUND(((U5*AB5)/2),2),0)</f>
        <v>0</v>
      </c>
      <c r="AD5" s="27">
        <f t="shared" ref="AD5:AD6" si="15">X5+Y5+Z5+AA5+AC5</f>
        <v>1379.21</v>
      </c>
      <c r="AE5" s="27">
        <f t="shared" ref="AE5:AE6" si="16">U5+AD5</f>
        <v>12872.59</v>
      </c>
      <c r="AF5" s="27">
        <v>120</v>
      </c>
      <c r="AG5" s="27">
        <f t="shared" ref="AG5:AG6" si="17">U5*$N$3</f>
        <v>11493.38</v>
      </c>
      <c r="AH5" s="27">
        <v>1</v>
      </c>
      <c r="AI5" s="27">
        <f t="shared" ref="AI5" si="18">G5/AH5</f>
        <v>10</v>
      </c>
      <c r="AJ5" s="29" t="s">
        <v>84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:AP6" si="19"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 t="shared" si="0"/>
        <v>32140</v>
      </c>
      <c r="J6" s="27">
        <v>2</v>
      </c>
      <c r="K6" s="27">
        <v>7</v>
      </c>
      <c r="L6" s="27">
        <v>9</v>
      </c>
      <c r="M6" s="27">
        <f t="shared" si="1"/>
        <v>32140</v>
      </c>
      <c r="N6" s="27">
        <f t="shared" si="2"/>
        <v>642.79999999999995</v>
      </c>
      <c r="O6" s="27">
        <f t="shared" si="3"/>
        <v>31497.200000000001</v>
      </c>
      <c r="P6" s="27">
        <f t="shared" si="4"/>
        <v>2204.8000000000002</v>
      </c>
      <c r="Q6" s="27">
        <f t="shared" si="5"/>
        <v>29292.400000000001</v>
      </c>
      <c r="R6" s="27">
        <f t="shared" si="6"/>
        <v>2636.32</v>
      </c>
      <c r="S6" s="27">
        <f t="shared" si="7"/>
        <v>5483.92</v>
      </c>
      <c r="T6" s="27">
        <f t="shared" si="8"/>
        <v>548.39</v>
      </c>
      <c r="U6" s="27">
        <f t="shared" si="9"/>
        <v>26656.080000000002</v>
      </c>
      <c r="V6" s="27" t="s">
        <v>23</v>
      </c>
      <c r="W6" s="30">
        <v>0.05</v>
      </c>
      <c r="X6" s="27">
        <f t="shared" si="10"/>
        <v>0</v>
      </c>
      <c r="Y6" s="27">
        <f t="shared" si="11"/>
        <v>0</v>
      </c>
      <c r="Z6" s="27">
        <f t="shared" si="12"/>
        <v>1332.8</v>
      </c>
      <c r="AA6" s="27">
        <f t="shared" si="13"/>
        <v>0</v>
      </c>
      <c r="AB6" s="30">
        <v>0.06</v>
      </c>
      <c r="AC6" s="27">
        <f t="shared" si="14"/>
        <v>0</v>
      </c>
      <c r="AD6" s="27">
        <f t="shared" si="15"/>
        <v>1332.8</v>
      </c>
      <c r="AE6" s="27">
        <f t="shared" si="16"/>
        <v>27988.880000000001</v>
      </c>
      <c r="AF6" s="27">
        <v>120</v>
      </c>
      <c r="AG6" s="27">
        <f t="shared" si="17"/>
        <v>26656.080000000002</v>
      </c>
      <c r="AH6" s="27">
        <v>3</v>
      </c>
      <c r="AI6" s="27">
        <f>ROUND(G6/AH6,3)</f>
        <v>3.3330000000000002</v>
      </c>
      <c r="AJ6" s="29" t="s">
        <v>83</v>
      </c>
      <c r="AK6" s="29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 t="shared" si="19"/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SUM(AG5:AG6)</f>
        <v>38149.46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AD1" zoomScale="85" zoomScaleNormal="85" workbookViewId="0">
      <selection activeCell="AR4" sqref="AR4: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9" width="11.28515625" style="1" customWidth="1"/>
    <col min="30" max="30" width="10.7109375" style="1" bestFit="1" customWidth="1"/>
    <col min="31" max="31" width="11.7109375" style="1" customWidth="1"/>
    <col min="32" max="32" width="16" style="1" bestFit="1" customWidth="1"/>
    <col min="33" max="33" width="12" style="1" bestFit="1" customWidth="1"/>
    <col min="34" max="34" width="12.28515625" style="1" customWidth="1"/>
    <col min="35" max="35" width="14.7109375" style="1" bestFit="1" customWidth="1"/>
    <col min="36" max="37" width="12.28515625" style="35" customWidth="1"/>
    <col min="38" max="38" width="10.28515625" style="36" customWidth="1"/>
    <col min="39" max="39" width="13.5703125" style="1" customWidth="1"/>
    <col min="40" max="40" width="12.7109375" style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7"/>
      <c r="AG1" s="7"/>
      <c r="AH1" s="7"/>
      <c r="AI1" s="7"/>
      <c r="AJ1" s="32"/>
      <c r="AK1" s="32"/>
    </row>
    <row r="2" spans="1:44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4" ht="19.899999999999999" customHeight="1" thickBot="1">
      <c r="A3" s="140" t="s">
        <v>35</v>
      </c>
      <c r="B3" s="140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width="6.42578125" bestFit="1" customWidth="1"/>
    <col min="2" max="2" width="28.7109375" bestFit="1" customWidth="1"/>
    <col min="3" max="3" width="5" bestFit="1" customWidth="1"/>
    <col min="4" max="4" width="28.7109375" bestFit="1" customWidth="1"/>
    <col min="5" max="5" width="10.85546875" bestFit="1" customWidth="1"/>
    <col min="6" max="6" width="10.140625" bestFit="1" customWidth="1"/>
    <col min="7" max="7" width="17.85546875" bestFit="1" customWidth="1"/>
    <col min="8" max="8" width="16" bestFit="1" customWidth="1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39">
        <v>20</v>
      </c>
      <c r="F2" s="39">
        <f>'Case 1'!H5</f>
        <v>1234</v>
      </c>
      <c r="G2" t="s">
        <v>53</v>
      </c>
      <c r="H2" s="39">
        <f>G2-E2</f>
        <v>4547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39">
        <v>30</v>
      </c>
      <c r="F3" s="39">
        <f>'Case 1'!H6</f>
        <v>3214</v>
      </c>
      <c r="G3">
        <v>675</v>
      </c>
      <c r="H3" s="39">
        <f>G3-E3</f>
        <v>645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R6" sqref="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40" t="s">
        <v>35</v>
      </c>
      <c r="B3" s="140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173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 t="s">
        <v>191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AA1" zoomScale="85" zoomScaleNormal="85" workbookViewId="0">
      <selection activeCell="AG11" sqref="AG11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2"/>
      <c r="AD1" s="92"/>
      <c r="AE1" s="92"/>
      <c r="AF1" s="92"/>
      <c r="AG1" s="32"/>
      <c r="AH1" s="32"/>
    </row>
    <row r="2" spans="1:44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4" ht="19.899999999999999" customHeight="1" thickBot="1">
      <c r="A3" s="140" t="s">
        <v>35</v>
      </c>
      <c r="B3" s="140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80" t="s">
        <v>106</v>
      </c>
      <c r="C5" s="27">
        <v>0</v>
      </c>
      <c r="D5" s="80" t="s">
        <v>106</v>
      </c>
      <c r="E5" s="27" t="s">
        <v>10</v>
      </c>
      <c r="F5" s="27" t="s">
        <v>10</v>
      </c>
      <c r="G5" s="27">
        <v>10</v>
      </c>
      <c r="H5" s="1" t="s">
        <v>105</v>
      </c>
      <c r="I5" s="27">
        <f>G5*H5</f>
        <v>63000</v>
      </c>
      <c r="J5" s="1" t="s">
        <v>104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10135.24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10135.24</v>
      </c>
      <c r="AE5" s="27">
        <f t="shared" ref="AE5:AE6" si="0">U5+AD5</f>
        <v>66442.12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80" t="s">
        <v>107</v>
      </c>
      <c r="C6" s="27">
        <v>0</v>
      </c>
      <c r="D6" s="80" t="s">
        <v>107</v>
      </c>
      <c r="E6" s="27" t="s">
        <v>45</v>
      </c>
      <c r="F6" s="27" t="s">
        <v>10</v>
      </c>
      <c r="G6" s="27">
        <v>10</v>
      </c>
      <c r="H6" s="1" t="s">
        <v>103</v>
      </c>
      <c r="I6" s="27">
        <f>G6*H6</f>
        <v>90000</v>
      </c>
      <c r="J6" s="1" t="s">
        <v>89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13435.86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13435.86</v>
      </c>
      <c r="AE6" s="27">
        <f t="shared" si="0"/>
        <v>88079.52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154521.64000000001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Z1" zoomScale="85" zoomScaleNormal="85" workbookViewId="0">
      <selection activeCell="AG24" sqref="AG2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0" t="s">
        <v>35</v>
      </c>
      <c r="B3" s="140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0" t="s">
        <v>35</v>
      </c>
      <c r="B3" s="140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Y1" zoomScale="85" zoomScaleNormal="85" workbookViewId="0">
      <selection activeCell="M5" sqref="M5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4.5703125" style="36" bestFit="1" customWidth="1"/>
    <col min="36" max="36" width="11.85546875" style="1" customWidth="1"/>
    <col min="37" max="37" width="13.14062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40" t="s">
        <v>35</v>
      </c>
      <c r="B3" s="140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7109375" style="1" customWidth="1"/>
    <col min="37" max="37" width="14.2851562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40" t="s">
        <v>35</v>
      </c>
      <c r="B3" s="140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3.5703125" style="1" bestFit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5703125" style="1" customWidth="1"/>
    <col min="37" max="37" width="13.7109375" style="1" customWidth="1"/>
    <col min="38" max="39" width="9.140625" style="1"/>
    <col min="40" max="40" width="17.570312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40" t="s">
        <v>35</v>
      </c>
      <c r="B3" s="140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zoomScale="85" zoomScaleNormal="85" workbookViewId="0">
      <selection activeCell="AG23" sqref="AG2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40" t="s">
        <v>35</v>
      </c>
      <c r="B3" s="140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A4" sqref="A4:AQ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3"/>
      <c r="AD1" s="133"/>
      <c r="AE1" s="133"/>
      <c r="AF1" s="133"/>
      <c r="AG1" s="32"/>
      <c r="AH1" s="32"/>
    </row>
    <row r="2" spans="1:43" ht="18">
      <c r="A2" s="133" t="s">
        <v>30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32"/>
      <c r="AH2" s="32"/>
    </row>
    <row r="3" spans="1:43" ht="19.899999999999999" customHeight="1" thickBot="1">
      <c r="A3" s="140" t="s">
        <v>35</v>
      </c>
      <c r="B3" s="140"/>
      <c r="C3" s="13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1200</v>
      </c>
      <c r="I5" s="27">
        <f>G5*H5</f>
        <v>12000</v>
      </c>
      <c r="J5" s="27">
        <v>1</v>
      </c>
      <c r="K5" s="27">
        <v>2</v>
      </c>
      <c r="L5" s="27">
        <v>4</v>
      </c>
      <c r="M5" s="27">
        <f>I5</f>
        <v>12000</v>
      </c>
      <c r="N5" s="27">
        <f>ROUND((M5*J5)/100,2)</f>
        <v>120</v>
      </c>
      <c r="O5" s="27">
        <f>I5-N5</f>
        <v>11880</v>
      </c>
      <c r="P5" s="27">
        <f>ROUND((O5*K5)/100,2)</f>
        <v>237.6</v>
      </c>
      <c r="Q5" s="27">
        <f>ROUND(O5-P5,2)</f>
        <v>11642.4</v>
      </c>
      <c r="R5" s="27">
        <f>ROUND((Q5*L5)/100,2)</f>
        <v>465.7</v>
      </c>
      <c r="S5" s="27">
        <f>N5+P5+R5</f>
        <v>823.3</v>
      </c>
      <c r="T5" s="27">
        <f>ROUND(S5/G5,2)</f>
        <v>82.33</v>
      </c>
      <c r="U5" s="27">
        <f>(I5-S5)</f>
        <v>11176.7</v>
      </c>
      <c r="V5" s="27" t="s">
        <v>23</v>
      </c>
      <c r="W5" s="30">
        <v>0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11176.7</v>
      </c>
      <c r="AF5" s="27">
        <v>120</v>
      </c>
      <c r="AG5" s="27">
        <f t="shared" ref="AG5:AG6" si="1">U5*$N$3</f>
        <v>11176.7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2500</v>
      </c>
      <c r="I6" s="27">
        <f>G6*H6</f>
        <v>50000</v>
      </c>
      <c r="J6" s="27">
        <v>2</v>
      </c>
      <c r="K6" s="27">
        <v>7</v>
      </c>
      <c r="L6" s="27">
        <v>9</v>
      </c>
      <c r="M6" s="27">
        <f>I6</f>
        <v>50000</v>
      </c>
      <c r="N6" s="27">
        <f>ROUND((M6*J6)/100,2)</f>
        <v>1000</v>
      </c>
      <c r="O6" s="27">
        <f>I6-N6</f>
        <v>49000</v>
      </c>
      <c r="P6" s="27">
        <f>ROUND((O6*K6)/100,2)</f>
        <v>3430</v>
      </c>
      <c r="Q6" s="27">
        <f>ROUND(O6-P6,2)</f>
        <v>45570</v>
      </c>
      <c r="R6" s="27">
        <f>ROUND((Q6*L6)/100,2)</f>
        <v>4101.3</v>
      </c>
      <c r="S6" s="27">
        <f>N6+P6+R6</f>
        <v>8531.2999999999993</v>
      </c>
      <c r="T6" s="27">
        <f>ROUND(S6/G6,2)</f>
        <v>426.57</v>
      </c>
      <c r="U6" s="27">
        <f>(I6-S6)</f>
        <v>41468.699999999997</v>
      </c>
      <c r="V6" s="27" t="s">
        <v>23</v>
      </c>
      <c r="W6" s="30">
        <v>0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41468.699999999997</v>
      </c>
      <c r="AF6" s="27">
        <v>120</v>
      </c>
      <c r="AG6" s="27">
        <f t="shared" si="1"/>
        <v>41468.699999999997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9354.5999999999985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52645.399999999994</v>
      </c>
      <c r="AF7" s="15" t="s">
        <v>40</v>
      </c>
      <c r="AG7" s="79">
        <f>AG5</f>
        <v>11176.7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Y1" zoomScale="85" zoomScaleNormal="85" workbookViewId="0">
      <selection activeCell="AQ5" sqref="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0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40" t="s">
        <v>35</v>
      </c>
      <c r="B3" s="140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101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101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O1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2.140625" style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40" t="s">
        <v>35</v>
      </c>
      <c r="B3" s="140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</v>
      </c>
      <c r="AC5" s="27">
        <f>U5*AB5</f>
        <v>0</v>
      </c>
      <c r="AD5" s="27">
        <f>X5+Y5+Z5+AA5+AC5</f>
        <v>1625.53</v>
      </c>
      <c r="AE5" s="27">
        <f>U5+AD5</f>
        <v>15171.58</v>
      </c>
      <c r="AF5" s="27">
        <v>120</v>
      </c>
      <c r="AG5" s="27">
        <f t="shared" ref="AG5:AG6" si="0">U5*$N$3</f>
        <v>13546.05</v>
      </c>
      <c r="AH5" s="27">
        <v>1</v>
      </c>
      <c r="AI5" s="27">
        <f t="shared" ref="AI5" si="1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2400</v>
      </c>
      <c r="AA6" s="27">
        <f>IF($D$3=4,ROUND(((U6*W6)/2),2),0)</f>
        <v>0</v>
      </c>
      <c r="AB6" s="30">
        <v>0.06</v>
      </c>
      <c r="AC6" s="27">
        <f>U6*AB6</f>
        <v>1200</v>
      </c>
      <c r="AD6" s="27">
        <f>X6+Y6+Z6+AA6+AC6</f>
        <v>3600</v>
      </c>
      <c r="AE6" s="27">
        <f t="shared" ref="AE6" si="2">U6+AD6</f>
        <v>23600</v>
      </c>
      <c r="AF6" s="27">
        <v>120</v>
      </c>
      <c r="AG6" s="27">
        <f t="shared" si="0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6</v>
      </c>
      <c r="AP6" s="27">
        <f>ROUND(((AO6*U6)/100),2)</f>
        <v>1200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38771.58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Q26"/>
  <sheetViews>
    <sheetView workbookViewId="0">
      <selection activeCell="T10" sqref="T10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3" max="13" width="15.140625" customWidth="1"/>
    <col min="14" max="14" width="11.7109375" customWidth="1"/>
    <col min="15" max="15" width="13.28515625" customWidth="1"/>
    <col min="16" max="16" width="10.5703125" bestFit="1" customWidth="1"/>
    <col min="18" max="18" width="10.5703125" bestFit="1" customWidth="1"/>
    <col min="19" max="19" width="11" customWidth="1"/>
    <col min="20" max="20" width="17.85546875" bestFit="1" customWidth="1"/>
    <col min="21" max="21" width="10.7109375" bestFit="1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7" max="37" width="12.7109375" bestFit="1" customWidth="1"/>
  </cols>
  <sheetData>
    <row r="1" spans="1:43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40" t="s">
        <v>35</v>
      </c>
      <c r="B3" s="140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40"/>
      <c r="B16" s="140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E16" sqref="BE1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0" t="s">
        <v>35</v>
      </c>
      <c r="B3" s="140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173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 t="s">
        <v>191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101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11" sqref="B11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1" t="s">
        <v>35</v>
      </c>
      <c r="B3" s="141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 t="s">
        <v>191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101</v>
      </c>
    </row>
    <row r="7" spans="1:71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 t="s">
        <v>191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101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D19" sqref="BD19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0" t="s">
        <v>35</v>
      </c>
      <c r="B3" s="140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173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 t="s">
        <v>191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101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9.140625" style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7"/>
      <c r="AD1" s="137"/>
      <c r="AE1" s="137"/>
      <c r="AF1" s="137"/>
      <c r="AG1" s="32"/>
      <c r="AH1" s="32"/>
    </row>
    <row r="2" spans="1:73" ht="18">
      <c r="A2" s="137" t="s">
        <v>30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32"/>
      <c r="AH2" s="32"/>
    </row>
    <row r="3" spans="1:73" ht="19.899999999999999" customHeight="1" thickBot="1">
      <c r="A3" s="140" t="s">
        <v>35</v>
      </c>
      <c r="B3" s="140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59</v>
      </c>
      <c r="BT4" s="26" t="s">
        <v>100</v>
      </c>
      <c r="BU4" s="26" t="s">
        <v>158</v>
      </c>
    </row>
    <row r="5" spans="1:73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173</v>
      </c>
      <c r="BH5" s="30">
        <v>0.12</v>
      </c>
      <c r="BI5" s="27">
        <f>IF(OR($D$3=1,$D$3=4),ROUND((BF5*BH5)/2,2),0)</f>
        <v>689.6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689.6</v>
      </c>
      <c r="BM5" s="30">
        <v>0.06</v>
      </c>
      <c r="BN5" s="27">
        <f>IF($D$3=5,ROUND(((BF5*BM5)/2),2),0)</f>
        <v>0</v>
      </c>
      <c r="BO5" s="27">
        <f>BI5+BJ5+BK5+BL5+BN5</f>
        <v>1379.2</v>
      </c>
      <c r="BP5" s="27">
        <f t="shared" ref="BP5:BP6" si="0">BF5+BO5</f>
        <v>12872.58</v>
      </c>
      <c r="BQ5" s="27">
        <v>120</v>
      </c>
      <c r="BR5" s="27">
        <f>BF5*$N$3</f>
        <v>11493.38</v>
      </c>
      <c r="BS5" s="27" t="s">
        <v>101</v>
      </c>
      <c r="BT5" s="27" t="s">
        <v>101</v>
      </c>
      <c r="BU5" s="27" t="s">
        <v>159</v>
      </c>
    </row>
    <row r="6" spans="1:73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 t="s">
        <v>191</v>
      </c>
      <c r="BH6" s="30">
        <v>0.05</v>
      </c>
      <c r="BI6" s="27">
        <f>IF(OR($D$3=1,$D$3=4),ROUND((BF6*BH6)/2,2),0)</f>
        <v>1332.8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1332.8</v>
      </c>
      <c r="BM6" s="30">
        <v>0.06</v>
      </c>
      <c r="BN6" s="27">
        <f>IF($D$3=5,ROUND(((BF6*BM6)/2),2),0)</f>
        <v>0</v>
      </c>
      <c r="BO6" s="27">
        <f>BI6+BJ6+BK6+BL6+BN6</f>
        <v>2665.6</v>
      </c>
      <c r="BP6" s="27">
        <f t="shared" si="0"/>
        <v>55977.760000000002</v>
      </c>
      <c r="BQ6" s="27">
        <v>120</v>
      </c>
      <c r="BR6" s="27">
        <f t="shared" ref="BR6" si="1">BF6*$N$3</f>
        <v>53312.160000000003</v>
      </c>
      <c r="BS6" s="27" t="s">
        <v>101</v>
      </c>
      <c r="BT6" s="27" t="s">
        <v>101</v>
      </c>
      <c r="BU6" s="27" t="s">
        <v>159</v>
      </c>
    </row>
    <row r="7" spans="1:73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88363222</v>
      </c>
      <c r="BH7" s="30">
        <v>0.18</v>
      </c>
      <c r="BI7" s="27">
        <f>IF(OR($D$3=1,$D$3=4),ROUND((BF7*BH7)/2,2),0)</f>
        <v>21124.32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21124.32</v>
      </c>
      <c r="BM7" s="30">
        <v>0.06</v>
      </c>
      <c r="BN7" s="27">
        <f>IF($D$3=5,ROUND(((BF7*BM7)/2),2),0)</f>
        <v>0</v>
      </c>
      <c r="BO7" s="27">
        <f>BI7+BJ7+BK7+BL7+BN7</f>
        <v>42248.639999999999</v>
      </c>
      <c r="BP7" s="27">
        <f t="shared" ref="BP7" si="2">BF7+BO7</f>
        <v>276963.33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101</v>
      </c>
      <c r="BU7" s="27" t="s">
        <v>162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68850.34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345813.67000000004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U17"/>
  <sheetViews>
    <sheetView showGridLines="0" zoomScale="85" zoomScaleNormal="85" workbookViewId="0">
      <selection activeCell="BG9" sqref="BG9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 t="s">
        <v>191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101</v>
      </c>
      <c r="BU7" s="27" t="s">
        <v>162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40" t="s">
        <v>35</v>
      </c>
      <c r="B3" s="140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 t="s">
        <v>191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101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Y1" zoomScale="85" zoomScaleNormal="85" workbookViewId="0">
      <selection activeCell="BF6" sqref="BF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0"/>
      <c r="AD1" s="120"/>
      <c r="AE1" s="120"/>
      <c r="AF1" s="120"/>
      <c r="AG1" s="32"/>
      <c r="AH1" s="32"/>
    </row>
    <row r="2" spans="1:66" ht="18">
      <c r="A2" s="120" t="s">
        <v>108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40" t="s">
        <v>35</v>
      </c>
      <c r="B3" s="140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157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 t="str">
        <f>V6</f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157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R1" zoomScale="85" zoomScaleNormal="85" workbookViewId="0">
      <selection activeCell="BH6" sqref="BH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B1" zoomScale="85" zoomScaleNormal="85" workbookViewId="0">
      <selection activeCell="BG10" sqref="BG1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T1" zoomScale="85" zoomScaleNormal="85" workbookViewId="0">
      <selection activeCell="BG8" sqref="BG8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32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3" style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40" t="s">
        <v>35</v>
      </c>
      <c r="B3" s="140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R1" zoomScale="85" zoomScaleNormal="85" workbookViewId="0">
      <selection activeCell="BG11" sqref="BG11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173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191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10</v>
      </c>
      <c r="AS6" s="27">
        <v>3265</v>
      </c>
      <c r="AT6" s="27">
        <f>AR6*AS6</f>
        <v>32650</v>
      </c>
      <c r="AU6" s="27">
        <v>5</v>
      </c>
      <c r="AV6" s="27">
        <v>7</v>
      </c>
      <c r="AW6" s="27">
        <v>9</v>
      </c>
      <c r="AX6" s="27">
        <f>AT6</f>
        <v>32650</v>
      </c>
      <c r="AY6" s="27">
        <f>ROUND((AX6*AU6)/100,2)</f>
        <v>1632.5</v>
      </c>
      <c r="AZ6" s="27">
        <f>AT6-AY6</f>
        <v>31017.5</v>
      </c>
      <c r="BA6" s="27">
        <f>ROUND((AZ6*AV6)/100,2)</f>
        <v>2171.23</v>
      </c>
      <c r="BB6" s="27">
        <f>ROUND(AZ6-BA6,2)</f>
        <v>28846.27</v>
      </c>
      <c r="BC6" s="27">
        <f>ROUND((BB6*AW6)/100,2)</f>
        <v>2596.16</v>
      </c>
      <c r="BD6" s="27">
        <f>ROUND(AY6+BA6+BC6,2)</f>
        <v>6399.89</v>
      </c>
      <c r="BE6" s="27">
        <f>ROUND(BD6/AR6,2)</f>
        <v>639.99</v>
      </c>
      <c r="BF6" s="27">
        <f>(AT6-BD6)</f>
        <v>26250.11</v>
      </c>
      <c r="BG6" s="27" t="s">
        <v>191</v>
      </c>
      <c r="BH6" s="30">
        <v>0.05</v>
      </c>
      <c r="BI6" s="27">
        <f>IF(OR($D$3=1,$D$3=4),ROUND((BF6*BH6)/2,2),0)</f>
        <v>656.25</v>
      </c>
      <c r="BJ6" s="27">
        <f>IF($D$3=1,ROUND(((BF6*BH6)/2),2),0)</f>
        <v>656.25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1312.5</v>
      </c>
      <c r="BP6" s="27">
        <f t="shared" si="3"/>
        <v>27562.61</v>
      </c>
      <c r="BQ6" s="27">
        <v>120</v>
      </c>
      <c r="BR6" s="27">
        <f t="shared" si="4"/>
        <v>26250.11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53526.229999999996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V1" zoomScale="85" zoomScaleNormal="85" workbookViewId="0">
      <selection activeCell="BK18" sqref="BK18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5" width="9.140625" style="1"/>
    <col min="46" max="46" width="12" style="1" bestFit="1" customWidth="1"/>
    <col min="47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173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191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10</v>
      </c>
      <c r="AS6" s="27">
        <v>2000</v>
      </c>
      <c r="AT6" s="27">
        <f>AR6*AS6</f>
        <v>20000</v>
      </c>
      <c r="AU6" s="27">
        <v>15</v>
      </c>
      <c r="AV6" s="27">
        <v>17</v>
      </c>
      <c r="AW6" s="27">
        <v>19</v>
      </c>
      <c r="AX6" s="27">
        <f>AT6</f>
        <v>20000</v>
      </c>
      <c r="AY6" s="27">
        <f>ROUND((AX6*AU6)/100,2)</f>
        <v>3000</v>
      </c>
      <c r="AZ6" s="27">
        <f>AT6-AY6</f>
        <v>17000</v>
      </c>
      <c r="BA6" s="27">
        <f>ROUND((AZ6*AV6)/100,2)</f>
        <v>2890</v>
      </c>
      <c r="BB6" s="27">
        <f>ROUND(AZ6-BA6,2)</f>
        <v>14110</v>
      </c>
      <c r="BC6" s="27">
        <f>ROUND((BB6*AW6)/100,2)</f>
        <v>2680.9</v>
      </c>
      <c r="BD6" s="27">
        <f>ROUND(AY6+BA6+BC6,2)</f>
        <v>8570.9</v>
      </c>
      <c r="BE6" s="27">
        <f>ROUND(BD6/AR6,2)</f>
        <v>857.09</v>
      </c>
      <c r="BF6" s="27">
        <f>(AT6-BD6)</f>
        <v>11429.1</v>
      </c>
      <c r="BG6" s="27" t="s">
        <v>191</v>
      </c>
      <c r="BH6" s="30">
        <v>0.05</v>
      </c>
      <c r="BI6" s="27">
        <f>IF(OR($D$3=1,$D$3=4),ROUND((BF6*BH6)/2,2),0)</f>
        <v>285.73</v>
      </c>
      <c r="BJ6" s="27">
        <f>IF($D$3=1,ROUND(((BF6*BH6)/2),2),0)</f>
        <v>285.73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571.46</v>
      </c>
      <c r="BP6" s="27">
        <f t="shared" si="3"/>
        <v>12000.560000000001</v>
      </c>
      <c r="BQ6" s="27">
        <v>120</v>
      </c>
      <c r="BR6" s="27">
        <f t="shared" si="4"/>
        <v>11429.1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22933.32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F1" zoomScale="85" zoomScaleNormal="85" workbookViewId="0">
      <selection activeCell="V5" sqref="V5:V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5" style="1" bestFit="1" customWidth="1"/>
    <col min="60" max="70" width="9.140625" style="1"/>
    <col min="71" max="71" width="12.85546875" style="1" bestFit="1" customWidth="1"/>
    <col min="72" max="72" width="11" style="1" bestFit="1" customWidth="1"/>
    <col min="73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173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191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191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G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40" t="s">
        <v>35</v>
      </c>
      <c r="B3" s="140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173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 t="s">
        <v>191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Y1" zoomScale="85" zoomScaleNormal="85" workbookViewId="0">
      <selection activeCell="BD6" sqref="BD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2"/>
      <c r="AD1" s="122"/>
      <c r="AE1" s="122"/>
      <c r="AF1" s="122"/>
      <c r="AG1" s="32"/>
      <c r="AH1" s="32"/>
    </row>
    <row r="2" spans="1:66" ht="18">
      <c r="A2" s="122" t="s">
        <v>108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0" t="s">
        <v>35</v>
      </c>
      <c r="B3" s="140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20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157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 t="str">
        <f>V6</f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157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P1" zoomScale="85" zoomScaleNormal="85" workbookViewId="0">
      <selection activeCell="BN6" sqref="BN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4.140625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.140625" style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2"/>
      <c r="AD1" s="122"/>
      <c r="AE1" s="122"/>
      <c r="AF1" s="122"/>
      <c r="AG1" s="32"/>
      <c r="AH1" s="32"/>
    </row>
    <row r="2" spans="1:66" ht="18">
      <c r="A2" s="122" t="s">
        <v>108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0" t="s">
        <v>35</v>
      </c>
      <c r="B3" s="140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157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 t="str">
        <f>V6</f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157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G6" sqref="G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17"/>
      <c r="AD1" s="117"/>
      <c r="AE1" s="117"/>
      <c r="AF1" s="117"/>
      <c r="AG1" s="32"/>
      <c r="AH1" s="32"/>
    </row>
    <row r="2" spans="1:66" ht="18">
      <c r="A2" s="117" t="s">
        <v>108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40" t="s">
        <v>35</v>
      </c>
      <c r="B3" s="140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102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102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N8"/>
  <sheetViews>
    <sheetView showGridLines="0" zoomScale="85" zoomScaleNormal="85" workbookViewId="0">
      <selection activeCell="BE7" sqref="BE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4"/>
      <c r="AD1" s="94"/>
      <c r="AE1" s="94"/>
      <c r="AF1" s="94"/>
      <c r="AG1" s="32"/>
      <c r="AH1" s="32"/>
    </row>
    <row r="2" spans="1:66" ht="18">
      <c r="A2" s="94" t="s">
        <v>108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40" t="s">
        <v>35</v>
      </c>
      <c r="B3" s="140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96" t="s">
        <v>112</v>
      </c>
      <c r="K4" s="96" t="s">
        <v>113</v>
      </c>
      <c r="L4" s="96" t="s">
        <v>114</v>
      </c>
      <c r="M4" s="97" t="s">
        <v>115</v>
      </c>
      <c r="N4" s="97" t="s">
        <v>116</v>
      </c>
      <c r="O4" s="97" t="s">
        <v>117</v>
      </c>
      <c r="P4" s="97" t="s">
        <v>118</v>
      </c>
      <c r="Q4" s="98" t="s">
        <v>119</v>
      </c>
      <c r="R4" s="97" t="s">
        <v>120</v>
      </c>
      <c r="S4" s="96" t="s">
        <v>121</v>
      </c>
      <c r="T4" s="21" t="s">
        <v>130</v>
      </c>
      <c r="U4" s="99" t="s">
        <v>122</v>
      </c>
      <c r="V4" s="99" t="s">
        <v>123</v>
      </c>
      <c r="W4" s="100" t="s">
        <v>124</v>
      </c>
      <c r="X4" s="100" t="s">
        <v>125</v>
      </c>
      <c r="Y4" s="100" t="s">
        <v>126</v>
      </c>
      <c r="Z4" s="100" t="s">
        <v>127</v>
      </c>
      <c r="AA4" s="100" t="s">
        <v>128</v>
      </c>
      <c r="AB4" s="101" t="s">
        <v>129</v>
      </c>
      <c r="AC4" s="101" t="s">
        <v>29</v>
      </c>
      <c r="AD4" s="102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103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 t="str">
        <f>SO!V6</f>
        <v>(2022)5%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 t="str">
        <f t="shared" si="8"/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159</v>
      </c>
    </row>
    <row r="7" spans="1:66" ht="15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161</v>
      </c>
      <c r="AF7" s="31"/>
      <c r="AG7" s="31"/>
      <c r="AH7" s="31"/>
      <c r="AI7" s="31"/>
      <c r="AJ7" s="31"/>
      <c r="AK7" s="31"/>
      <c r="AL7" s="31"/>
      <c r="AM7" s="31"/>
      <c r="AN7" s="27" t="s">
        <v>101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157</v>
      </c>
      <c r="BN7" s="27" t="s">
        <v>162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9"/>
  <sheetViews>
    <sheetView showGridLines="0" tabSelected="1" topLeftCell="AZ1" zoomScale="85" zoomScaleNormal="85" workbookViewId="0">
      <selection activeCell="BF24" sqref="BF2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5" style="1" bestFit="1" customWidth="1"/>
    <col min="60" max="67" width="9.140625" style="1"/>
    <col min="68" max="68" width="11.710937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10</v>
      </c>
      <c r="AS5" s="27">
        <v>1500</v>
      </c>
      <c r="AT5" s="27">
        <f>AR5*AS5</f>
        <v>15000</v>
      </c>
      <c r="AU5" s="27">
        <v>2</v>
      </c>
      <c r="AV5" s="27">
        <v>3</v>
      </c>
      <c r="AW5" s="27">
        <v>5</v>
      </c>
      <c r="AX5" s="27">
        <f>AT5</f>
        <v>15000</v>
      </c>
      <c r="AY5" s="27">
        <f>ROUND((AX5*AU5)/100,2)</f>
        <v>300</v>
      </c>
      <c r="AZ5" s="27">
        <f>AT5-AY5</f>
        <v>14700</v>
      </c>
      <c r="BA5" s="27">
        <f>ROUND((AZ5*AV5)/100,2)</f>
        <v>441</v>
      </c>
      <c r="BB5" s="27">
        <f>ROUND(AZ5-BA5,2)</f>
        <v>14259</v>
      </c>
      <c r="BC5" s="27">
        <f>ROUND((BB5*AW5)/100,2)</f>
        <v>712.95</v>
      </c>
      <c r="BD5" s="27">
        <f>ROUND(AY5+BA5+BC5,2)</f>
        <v>1453.95</v>
      </c>
      <c r="BE5" s="27">
        <f>ROUND(BD5/AR5,2)</f>
        <v>145.4</v>
      </c>
      <c r="BF5" s="27">
        <f>(AT5-BD5)</f>
        <v>13546.05</v>
      </c>
      <c r="BG5" s="27" t="s">
        <v>173</v>
      </c>
      <c r="BH5" s="30">
        <v>0.12</v>
      </c>
      <c r="BI5" s="27">
        <f>IF(OR($D$3=1,$D$3=4),ROUND((BF5*BH5)/2,2),0)</f>
        <v>812.76</v>
      </c>
      <c r="BJ5" s="27">
        <f>IF($D$3=1,ROUND(((BF5*BH5)/2),2),0)</f>
        <v>812.76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1625.52</v>
      </c>
      <c r="BP5" s="27">
        <f t="shared" ref="BP5:BP7" si="3">BF5+BO5</f>
        <v>15171.57</v>
      </c>
      <c r="BQ5" s="27">
        <v>120</v>
      </c>
      <c r="BR5" s="27">
        <f t="shared" ref="BR5:BR7" si="4">BF5*$N$3</f>
        <v>13546.05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191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10</v>
      </c>
      <c r="AS6" s="27">
        <v>2000</v>
      </c>
      <c r="AT6" s="27">
        <f>AR6*AS6</f>
        <v>20000</v>
      </c>
      <c r="AU6" s="27">
        <v>5</v>
      </c>
      <c r="AV6" s="27">
        <v>7</v>
      </c>
      <c r="AW6" s="27">
        <v>9</v>
      </c>
      <c r="AX6" s="27">
        <f>AT6</f>
        <v>20000</v>
      </c>
      <c r="AY6" s="27">
        <f>ROUND((AX6*AU6)/100,2)</f>
        <v>1000</v>
      </c>
      <c r="AZ6" s="27">
        <f>AT6-AY6</f>
        <v>19000</v>
      </c>
      <c r="BA6" s="27">
        <f>ROUND((AZ6*AV6)/100,2)</f>
        <v>1330</v>
      </c>
      <c r="BB6" s="27">
        <f>ROUND(AZ6-BA6,2)</f>
        <v>17670</v>
      </c>
      <c r="BC6" s="27">
        <f>ROUND((BB6*AW6)/100,2)</f>
        <v>1590.3</v>
      </c>
      <c r="BD6" s="27">
        <f>ROUND(AY6+BA6+BC6,2)</f>
        <v>3920.3</v>
      </c>
      <c r="BE6" s="27">
        <f>ROUND(BD6/AR6,2)</f>
        <v>392.03</v>
      </c>
      <c r="BF6" s="27">
        <f>(AT6-BD6)</f>
        <v>16079.7</v>
      </c>
      <c r="BG6" s="27" t="s">
        <v>191</v>
      </c>
      <c r="BH6" s="30">
        <v>0.05</v>
      </c>
      <c r="BI6" s="27">
        <f>IF(OR($D$3=1,$D$3=4),ROUND((BF6*BH6)/2,2),0)</f>
        <v>401.99</v>
      </c>
      <c r="BJ6" s="27">
        <f>IF($D$3=1,ROUND(((BF6*BH6)/2),2),0)</f>
        <v>401.99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803.98</v>
      </c>
      <c r="BP6" s="27">
        <f t="shared" si="3"/>
        <v>16883.68</v>
      </c>
      <c r="BQ6" s="27">
        <v>120</v>
      </c>
      <c r="BR6" s="27">
        <f t="shared" si="4"/>
        <v>16079.7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27"/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88363222</v>
      </c>
      <c r="BH7" s="30">
        <v>0.18</v>
      </c>
      <c r="BI7" s="27">
        <f>IF(OR($D$3=1,$D$3=4),ROUND((BF7*BH7)/2,2),0)</f>
        <v>21124.32</v>
      </c>
      <c r="BJ7" s="27">
        <f>IF($D$3=1,ROUND(((BF7*BH7)/2),2),0)</f>
        <v>21124.32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42248.639999999999</v>
      </c>
      <c r="BP7" s="27">
        <f t="shared" si="3"/>
        <v>276963.33</v>
      </c>
      <c r="BQ7" s="27">
        <v>120</v>
      </c>
      <c r="BR7" s="27">
        <f t="shared" si="4"/>
        <v>234714.69</v>
      </c>
      <c r="BS7" s="27" t="s">
        <v>61</v>
      </c>
      <c r="BT7" s="27" t="s">
        <v>101</v>
      </c>
      <c r="BU7" s="27" t="s">
        <v>162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309018.58</v>
      </c>
      <c r="BQ8" s="15" t="s">
        <v>40</v>
      </c>
      <c r="BR8" s="79">
        <f>BR5</f>
        <v>13546.05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N27"/>
  <sheetViews>
    <sheetView topLeftCell="J1" workbookViewId="0">
      <selection activeCell="K6" sqref="K6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1" max="11" width="10.42578125" customWidth="1"/>
    <col min="13" max="13" width="12.5703125" customWidth="1"/>
    <col min="14" max="14" width="11.7109375" customWidth="1"/>
    <col min="15" max="15" width="13.28515625" customWidth="1"/>
    <col min="16" max="16" width="10.5703125" bestFit="1" customWidth="1"/>
    <col min="18" max="18" width="14.7109375" bestFit="1" customWidth="1"/>
    <col min="19" max="19" width="11" customWidth="1"/>
    <col min="20" max="20" width="17.85546875" bestFit="1" customWidth="1"/>
    <col min="21" max="21" width="10.7109375" bestFit="1" customWidth="1"/>
    <col min="22" max="22" width="14" bestFit="1" customWidth="1"/>
    <col min="23" max="23" width="11.140625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6" max="36" width="14.85546875" customWidth="1"/>
    <col min="37" max="37" width="15" customWidth="1"/>
    <col min="40" max="40" width="11" bestFit="1" customWidth="1"/>
  </cols>
  <sheetData>
    <row r="1" spans="1:40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40" t="s">
        <v>35</v>
      </c>
      <c r="B3" s="140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>
        <v>84</v>
      </c>
      <c r="AH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101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>
        <v>83</v>
      </c>
      <c r="AH6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101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166</v>
      </c>
      <c r="I10" s="57" t="s">
        <v>163</v>
      </c>
      <c r="J10" s="57" t="s">
        <v>164</v>
      </c>
      <c r="K10" s="111" t="s">
        <v>124</v>
      </c>
      <c r="L10" s="111" t="s">
        <v>125</v>
      </c>
      <c r="M10" s="111" t="s">
        <v>126</v>
      </c>
      <c r="N10" s="58" t="s">
        <v>127</v>
      </c>
      <c r="O10" s="59" t="s">
        <v>128</v>
      </c>
      <c r="P10" s="57" t="s">
        <v>167</v>
      </c>
      <c r="Q10" s="57" t="s">
        <v>165</v>
      </c>
      <c r="R10" s="58" t="s">
        <v>147</v>
      </c>
      <c r="S10" s="111" t="s">
        <v>148</v>
      </c>
      <c r="T10" s="58" t="s">
        <v>149</v>
      </c>
      <c r="U10" s="58" t="s">
        <v>150</v>
      </c>
      <c r="V10" s="112" t="s">
        <v>151</v>
      </c>
      <c r="W10" s="112" t="s">
        <v>168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159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159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170</v>
      </c>
      <c r="E13" s="62">
        <v>0</v>
      </c>
      <c r="F13" s="62" t="s">
        <v>170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169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40"/>
      <c r="B17" s="140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Harikrishna</cp:lastModifiedBy>
  <dcterms:created xsi:type="dcterms:W3CDTF">2024-02-02T08:07:09Z</dcterms:created>
  <dcterms:modified xsi:type="dcterms:W3CDTF">2025-10-27T08:58:40Z</dcterms:modified>
</cp:coreProperties>
</file>