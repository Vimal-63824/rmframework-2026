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26" activeTab="29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SO Domestic UD (S&amp;D)" sheetId="17" r:id="rId12"/>
    <sheet name="Case 1" sheetId="1" r:id="rId13"/>
    <sheet name="Item Stocks" sheetId="3" state="hidden" r:id="rId14"/>
    <sheet name="Free Sample" sheetId="12" r:id="rId15"/>
    <sheet name="Free Replacement" sheetId="13" r:id="rId16"/>
    <sheet name="SCRAP" sheetId="5" r:id="rId17"/>
    <sheet name="SERVICE" sheetId="6" r:id="rId18"/>
    <sheet name="PROMOTIONAL" sheetId="8" r:id="rId19"/>
    <sheet name="Local Customer" sheetId="9" r:id="rId20"/>
    <sheet name="SEZ Customer" sheetId="10" r:id="rId21"/>
    <sheet name="CESS" sheetId="11" r:id="rId22"/>
    <sheet name="Demo Exhibition" sheetId="14" r:id="rId23"/>
    <sheet name="CHARGES" sheetId="15" r:id="rId24"/>
    <sheet name="SO Amendment Qty" sheetId="33" r:id="rId25"/>
    <sheet name="SoAmendment PriceChange" sheetId="34" r:id="rId26"/>
    <sheet name="SO Amendment DiscountChange" sheetId="35" r:id="rId27"/>
    <sheet name="SO Amendment Different PC" sheetId="32" r:id="rId28"/>
    <sheet name="SO Amendment AdditionOfItem" sheetId="30" r:id="rId29"/>
    <sheet name="SO" sheetId="29" r:id="rId30"/>
    <sheet name="SO Amendment With Charges" sheetId="31" r:id="rId31"/>
  </sheets>
  <definedNames>
    <definedName name="_xlnm._FilterDatabase" localSheetId="12" hidden="1">'Case 1'!$V$1:$V$8</definedName>
    <definedName name="_xlnm._FilterDatabase" localSheetId="21" hidden="1">CESS!$V$1:$V$8</definedName>
    <definedName name="_xlnm._FilterDatabase" localSheetId="22" hidden="1">'Demo Exhibition'!$V$1:$V$8</definedName>
    <definedName name="_xlnm._FilterDatabase" localSheetId="8" hidden="1">'Different Price Class (RC)'!$V$1:$V$8</definedName>
    <definedName name="_xlnm._FilterDatabase" localSheetId="15" hidden="1">'Free Replacement'!$V$1:$V$8</definedName>
    <definedName name="_xlnm._FilterDatabase" localSheetId="14" hidden="1">'Free Sample'!$V$1:$V$8</definedName>
    <definedName name="_xlnm._FilterDatabase" localSheetId="19" hidden="1">'Local Customer'!$V$1:$V$8</definedName>
    <definedName name="_xlnm._FilterDatabase" localSheetId="18" hidden="1">PROMOTIONAL!$V$1:$V$8</definedName>
    <definedName name="_xlnm._FilterDatabase" localSheetId="16" hidden="1">SCRAP!$V$1:$V$7</definedName>
    <definedName name="_xlnm._FilterDatabase" localSheetId="17" hidden="1">SERVICE!$V$1:$V$7</definedName>
    <definedName name="_xlnm._FilterDatabase" localSheetId="20" hidden="1">'SEZ Customer'!$V$1:$V$8</definedName>
    <definedName name="_xlnm._FilterDatabase" localSheetId="7" hidden="1">ShipSet!$V$1:$V$8</definedName>
    <definedName name="_xlnm._FilterDatabase" localSheetId="29" hidden="1">SO!$V$1:$V$8</definedName>
    <definedName name="_xlnm._FilterDatabase" localSheetId="28" hidden="1">'SO Amendment AdditionOfItem'!#REF!</definedName>
    <definedName name="_xlnm._FilterDatabase" localSheetId="27" hidden="1">'SO Amendment Different PC'!#REF!</definedName>
    <definedName name="_xlnm._FilterDatabase" localSheetId="26" hidden="1">'SO Amendment DiscountChange'!#REF!</definedName>
    <definedName name="_xlnm._FilterDatabase" localSheetId="24" hidden="1">'SO Amendment Qty'!#REF!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1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5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V5" i="33"/>
  <c r="AB7" i="8"/>
  <c r="AB6" i="5"/>
  <c r="BM6" i="30"/>
  <c r="BM5"/>
  <c r="BD6"/>
  <c r="BD5"/>
  <c r="BC6"/>
  <c r="BC5"/>
  <c r="AU6"/>
  <c r="AV6"/>
  <c r="AW6"/>
  <c r="AX6"/>
  <c r="AY6"/>
  <c r="AZ6"/>
  <c r="BA6"/>
  <c r="BB6"/>
  <c r="AU5"/>
  <c r="AV5"/>
  <c r="AW5"/>
  <c r="AX5"/>
  <c r="AY5"/>
  <c r="AZ5"/>
  <c r="BA5"/>
  <c r="BB5"/>
  <c r="AS6"/>
  <c r="AT6"/>
  <c r="AR6"/>
  <c r="AS5"/>
  <c r="AT5"/>
  <c r="AR5"/>
  <c r="AP6"/>
  <c r="AP5"/>
  <c r="AO6"/>
  <c r="AO5"/>
  <c r="BD6" i="35"/>
  <c r="BD5"/>
  <c r="AP6"/>
  <c r="AP5"/>
  <c r="AO6"/>
  <c r="AO5"/>
  <c r="BD6" i="34"/>
  <c r="BD5"/>
  <c r="AS6"/>
  <c r="AT6"/>
  <c r="AR6"/>
  <c r="AS5"/>
  <c r="AT5"/>
  <c r="AR5"/>
  <c r="AO5"/>
  <c r="AO6"/>
  <c r="BG6" i="35"/>
  <c r="BF6"/>
  <c r="AQ6"/>
  <c r="AU6" s="1"/>
  <c r="AV6" s="1"/>
  <c r="AN6"/>
  <c r="AK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D5"/>
  <c r="AD7" s="1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BG6" i="34"/>
  <c r="BF6"/>
  <c r="AQ6"/>
  <c r="AN6"/>
  <c r="AK6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Q5"/>
  <c r="AN5"/>
  <c r="AK5"/>
  <c r="AD5"/>
  <c r="AD7" s="1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F5" s="1"/>
  <c r="D3"/>
  <c r="BD6" i="33"/>
  <c r="BD5"/>
  <c r="V5"/>
  <c r="AS6"/>
  <c r="AT6"/>
  <c r="AT5"/>
  <c r="AS5"/>
  <c r="AR6"/>
  <c r="AR5"/>
  <c r="AQ5"/>
  <c r="AP6"/>
  <c r="AP5"/>
  <c r="AU5" s="1"/>
  <c r="BG6"/>
  <c r="BF6"/>
  <c r="AQ6"/>
  <c r="AU6" s="1"/>
  <c r="AV6" s="1"/>
  <c r="AN6"/>
  <c r="AK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D5"/>
  <c r="AD7" s="1"/>
  <c r="AB5"/>
  <c r="AB7" s="1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Q5" i="35" l="1"/>
  <c r="AU5" s="1"/>
  <c r="AV5" s="1"/>
  <c r="AW5" s="1"/>
  <c r="AW6"/>
  <c r="AU5" i="34"/>
  <c r="AV5" s="1"/>
  <c r="AU6"/>
  <c r="AV6" s="1"/>
  <c r="AW6" s="1"/>
  <c r="AI5"/>
  <c r="AW5" i="33"/>
  <c r="AW6"/>
  <c r="BG6" i="32"/>
  <c r="BF6"/>
  <c r="AQ6"/>
  <c r="AM6"/>
  <c r="AF6"/>
  <c r="AI6" s="1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AX6" i="35" l="1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BA6" i="35" l="1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BB6" i="35" l="1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L5" i="35" l="1"/>
  <c r="BL7" s="1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J7" i="35" l="1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L6" i="32" l="1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Q6"/>
  <c r="AN6"/>
  <c r="W6"/>
  <c r="V6"/>
  <c r="L6"/>
  <c r="K6"/>
  <c r="J6"/>
  <c r="H6"/>
  <c r="G6"/>
  <c r="AF6" s="1"/>
  <c r="AI6" s="1"/>
  <c r="BG5"/>
  <c r="BF5"/>
  <c r="AQ5"/>
  <c r="AN5"/>
  <c r="Y5"/>
  <c r="W5"/>
  <c r="V5"/>
  <c r="M5"/>
  <c r="L5"/>
  <c r="K5"/>
  <c r="J5"/>
  <c r="I5"/>
  <c r="H5"/>
  <c r="G5"/>
  <c r="AF5" s="1"/>
  <c r="D3"/>
  <c r="AF6" i="29"/>
  <c r="AI6" s="1"/>
  <c r="Y6"/>
  <c r="Y6" i="30" s="1"/>
  <c r="X6" i="29"/>
  <c r="X6" i="30" s="1"/>
  <c r="I6" i="29"/>
  <c r="I6" i="30" s="1"/>
  <c r="AI5" i="29"/>
  <c r="AF5"/>
  <c r="Y5"/>
  <c r="X5"/>
  <c r="X5" i="30" s="1"/>
  <c r="M5" i="29"/>
  <c r="N5" s="1"/>
  <c r="N5" i="30" s="1"/>
  <c r="I5" i="29"/>
  <c r="AF6" i="28"/>
  <c r="AI6" s="1"/>
  <c r="Y6"/>
  <c r="X6"/>
  <c r="I6"/>
  <c r="AI5"/>
  <c r="AF5"/>
  <c r="Y5"/>
  <c r="X5"/>
  <c r="I5"/>
  <c r="AF6" i="27"/>
  <c r="AI6" s="1"/>
  <c r="Y6"/>
  <c r="X6"/>
  <c r="I6"/>
  <c r="AI5"/>
  <c r="AF5"/>
  <c r="Y5"/>
  <c r="X5"/>
  <c r="M5"/>
  <c r="N5" s="1"/>
  <c r="I5"/>
  <c r="AU7" i="30" l="1"/>
  <c r="AV7" s="1"/>
  <c r="AI5"/>
  <c r="M6" i="29"/>
  <c r="M6" i="30" s="1"/>
  <c r="N6" i="29"/>
  <c r="N6" i="30" s="1"/>
  <c r="O5" i="29"/>
  <c r="O5" i="30" s="1"/>
  <c r="O5" i="28"/>
  <c r="M5"/>
  <c r="N5" s="1"/>
  <c r="M6"/>
  <c r="N6" s="1"/>
  <c r="O6" s="1"/>
  <c r="O5" i="27"/>
  <c r="M6"/>
  <c r="N6" s="1"/>
  <c r="O6" s="1"/>
  <c r="AM6" i="11"/>
  <c r="AI6" i="26"/>
  <c r="AF6"/>
  <c r="Z6"/>
  <c r="Y6"/>
  <c r="X6"/>
  <c r="AA6" s="1"/>
  <c r="I6"/>
  <c r="M6" s="1"/>
  <c r="N6" s="1"/>
  <c r="AI5"/>
  <c r="AF5"/>
  <c r="Z5"/>
  <c r="Y5"/>
  <c r="X5"/>
  <c r="I5"/>
  <c r="AI6" i="25"/>
  <c r="AF6"/>
  <c r="Y6"/>
  <c r="X6"/>
  <c r="M6"/>
  <c r="N6" s="1"/>
  <c r="I6"/>
  <c r="AI5"/>
  <c r="AF5"/>
  <c r="Y5"/>
  <c r="X5"/>
  <c r="I5"/>
  <c r="AI6" i="24"/>
  <c r="AF6"/>
  <c r="Z6"/>
  <c r="Y6"/>
  <c r="X6"/>
  <c r="AA6" s="1"/>
  <c r="I6"/>
  <c r="M6" s="1"/>
  <c r="N6" s="1"/>
  <c r="AI5"/>
  <c r="AF5"/>
  <c r="Z5"/>
  <c r="Y5"/>
  <c r="X5"/>
  <c r="I5"/>
  <c r="AF6" i="23"/>
  <c r="AI6" s="1"/>
  <c r="Y6"/>
  <c r="X6"/>
  <c r="I6"/>
  <c r="M6" s="1"/>
  <c r="N6" s="1"/>
  <c r="AI5"/>
  <c r="AF5"/>
  <c r="Y5"/>
  <c r="X5"/>
  <c r="I5"/>
  <c r="AF6" i="22"/>
  <c r="AI6" s="1"/>
  <c r="Z6"/>
  <c r="Y6"/>
  <c r="X6"/>
  <c r="I6"/>
  <c r="M6" s="1"/>
  <c r="N6" s="1"/>
  <c r="AI5"/>
  <c r="AF5"/>
  <c r="Z5"/>
  <c r="Y5"/>
  <c r="X5"/>
  <c r="I5"/>
  <c r="AI6" i="21"/>
  <c r="AF6"/>
  <c r="Y6"/>
  <c r="X6"/>
  <c r="M6"/>
  <c r="N6" s="1"/>
  <c r="I6"/>
  <c r="AI5"/>
  <c r="AF5"/>
  <c r="Y5"/>
  <c r="X5"/>
  <c r="I5"/>
  <c r="AF6" i="20"/>
  <c r="AI6" s="1"/>
  <c r="Y6"/>
  <c r="X6"/>
  <c r="I6"/>
  <c r="AI5"/>
  <c r="AF5"/>
  <c r="Y5"/>
  <c r="X5"/>
  <c r="I5"/>
  <c r="M5" s="1"/>
  <c r="N5" s="1"/>
  <c r="AF6" i="19"/>
  <c r="AI6" s="1"/>
  <c r="Y6"/>
  <c r="X6"/>
  <c r="I6"/>
  <c r="AI5"/>
  <c r="AF5"/>
  <c r="Y5"/>
  <c r="X5"/>
  <c r="I5"/>
  <c r="M5" s="1"/>
  <c r="N5" s="1"/>
  <c r="AD7" i="18"/>
  <c r="AB7"/>
  <c r="S7"/>
  <c r="AF6"/>
  <c r="AI6" s="1"/>
  <c r="Y6"/>
  <c r="X6"/>
  <c r="I6"/>
  <c r="AI5"/>
  <c r="AF5"/>
  <c r="Y5"/>
  <c r="X5"/>
  <c r="I5"/>
  <c r="M5" s="1"/>
  <c r="N5" s="1"/>
  <c r="AL6" i="1"/>
  <c r="AF6" i="17"/>
  <c r="AI6" s="1"/>
  <c r="Y6"/>
  <c r="X6"/>
  <c r="I6"/>
  <c r="AI5"/>
  <c r="AF5"/>
  <c r="Y5"/>
  <c r="X5"/>
  <c r="M5"/>
  <c r="N5" s="1"/>
  <c r="I5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AF6" i="15"/>
  <c r="AI6" s="1"/>
  <c r="Y6"/>
  <c r="X6"/>
  <c r="I6"/>
  <c r="AI5"/>
  <c r="AF5"/>
  <c r="Y5"/>
  <c r="X5"/>
  <c r="I5"/>
  <c r="M5" s="1"/>
  <c r="N5" s="1"/>
  <c r="N12"/>
  <c r="M12"/>
  <c r="L12"/>
  <c r="M11"/>
  <c r="L11"/>
  <c r="X5" i="14"/>
  <c r="AM6" i="6"/>
  <c r="AM6" i="5"/>
  <c r="AF6" i="14"/>
  <c r="AI6" s="1"/>
  <c r="Y6"/>
  <c r="X6"/>
  <c r="I6"/>
  <c r="AI5"/>
  <c r="AF5"/>
  <c r="Y5"/>
  <c r="I5"/>
  <c r="AF6" i="13"/>
  <c r="AI6" s="1"/>
  <c r="Y6"/>
  <c r="X6"/>
  <c r="I6"/>
  <c r="AI5"/>
  <c r="AF5"/>
  <c r="Y5"/>
  <c r="X5"/>
  <c r="I5"/>
  <c r="AF6" i="12"/>
  <c r="AI6" s="1"/>
  <c r="Y6"/>
  <c r="X6"/>
  <c r="I6"/>
  <c r="AI5"/>
  <c r="AF5"/>
  <c r="Y5"/>
  <c r="X5"/>
  <c r="I5"/>
  <c r="M5" s="1"/>
  <c r="N5" s="1"/>
  <c r="AI5" i="10"/>
  <c r="AF6" i="11"/>
  <c r="AI6" s="1"/>
  <c r="I6"/>
  <c r="AI5"/>
  <c r="AF5"/>
  <c r="I5"/>
  <c r="AF6" i="10"/>
  <c r="AI6" s="1"/>
  <c r="I6"/>
  <c r="AF5"/>
  <c r="I5"/>
  <c r="M5" s="1"/>
  <c r="N5" s="1"/>
  <c r="AL5" i="1"/>
  <c r="AI6" i="9"/>
  <c r="AF6"/>
  <c r="I6"/>
  <c r="AI5"/>
  <c r="AF5"/>
  <c r="I5"/>
  <c r="M5" s="1"/>
  <c r="N5" s="1"/>
  <c r="AF6" i="8"/>
  <c r="AI6" s="1"/>
  <c r="Y6"/>
  <c r="X6"/>
  <c r="I6"/>
  <c r="AI5"/>
  <c r="AF5"/>
  <c r="Y5"/>
  <c r="X5"/>
  <c r="I5"/>
  <c r="M5" s="1"/>
  <c r="N5" s="1"/>
  <c r="AI5" i="6"/>
  <c r="AF5"/>
  <c r="Y5"/>
  <c r="X5"/>
  <c r="I5"/>
  <c r="M5" s="1"/>
  <c r="N5" s="1"/>
  <c r="AI5" i="5"/>
  <c r="AF5"/>
  <c r="Y5"/>
  <c r="X5"/>
  <c r="N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P6" i="29"/>
  <c r="P6" i="30" s="1"/>
  <c r="P5" i="29"/>
  <c r="P5" i="30" s="1"/>
  <c r="Q6" i="28"/>
  <c r="R6" s="1"/>
  <c r="S6" s="1"/>
  <c r="P6"/>
  <c r="P5"/>
  <c r="Q5" s="1"/>
  <c r="R5" s="1"/>
  <c r="S5" s="1"/>
  <c r="P6" i="27"/>
  <c r="Q6" s="1"/>
  <c r="R6" s="1"/>
  <c r="P5"/>
  <c r="Q5"/>
  <c r="R5" s="1"/>
  <c r="AA5" i="26"/>
  <c r="O6"/>
  <c r="M5"/>
  <c r="N5" s="1"/>
  <c r="O6" i="25"/>
  <c r="M5"/>
  <c r="N5" s="1"/>
  <c r="AA5" i="24"/>
  <c r="O6"/>
  <c r="M5"/>
  <c r="N5" s="1"/>
  <c r="O6" i="23"/>
  <c r="M5"/>
  <c r="N5" s="1"/>
  <c r="O5" s="1"/>
  <c r="AA5" i="22"/>
  <c r="AA6"/>
  <c r="O6"/>
  <c r="M5"/>
  <c r="N5" s="1"/>
  <c r="O6" i="21"/>
  <c r="M5"/>
  <c r="N5" s="1"/>
  <c r="O5" s="1"/>
  <c r="O5" i="20"/>
  <c r="M6"/>
  <c r="N6" s="1"/>
  <c r="O6" s="1"/>
  <c r="O5" i="19"/>
  <c r="M6"/>
  <c r="N6" s="1"/>
  <c r="O6" s="1"/>
  <c r="O5" i="18"/>
  <c r="P5" s="1"/>
  <c r="M6"/>
  <c r="N6" s="1"/>
  <c r="O6" s="1"/>
  <c r="O5" i="17"/>
  <c r="M6"/>
  <c r="N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Q5" i="29"/>
  <c r="Q5" i="30" s="1"/>
  <c r="T6" i="28"/>
  <c r="U6"/>
  <c r="T5"/>
  <c r="U5"/>
  <c r="S6" i="27"/>
  <c r="S5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P6" i="19"/>
  <c r="Q6" s="1"/>
  <c r="R6" s="1"/>
  <c r="P5"/>
  <c r="Q5" i="18"/>
  <c r="R5" s="1"/>
  <c r="S5" s="1"/>
  <c r="U5" s="1"/>
  <c r="P6"/>
  <c r="Q6" s="1"/>
  <c r="R6" s="1"/>
  <c r="S6" s="1"/>
  <c r="O6" i="17"/>
  <c r="P5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AM5" s="1"/>
  <c r="P6" i="1"/>
  <c r="P5"/>
  <c r="BA7" i="30" l="1"/>
  <c r="BA8"/>
  <c r="R6" i="29"/>
  <c r="R6" i="30" s="1"/>
  <c r="R5" i="29"/>
  <c r="R5" i="30" s="1"/>
  <c r="AM6" i="28"/>
  <c r="AD6"/>
  <c r="Z6"/>
  <c r="AA6" s="1"/>
  <c r="AB6" s="1"/>
  <c r="Z5"/>
  <c r="AA5" s="1"/>
  <c r="AB5" s="1"/>
  <c r="AM5"/>
  <c r="AD5"/>
  <c r="AD7" s="1"/>
  <c r="T6" i="27"/>
  <c r="U6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Q5" i="19"/>
  <c r="R5" s="1"/>
  <c r="S5" s="1"/>
  <c r="S6"/>
  <c r="T5" i="18"/>
  <c r="Z5"/>
  <c r="AA5" s="1"/>
  <c r="AB5" s="1"/>
  <c r="AD5"/>
  <c r="AM5"/>
  <c r="T6"/>
  <c r="U6"/>
  <c r="P6" i="17"/>
  <c r="Q6" s="1"/>
  <c r="R6" s="1"/>
  <c r="Q5"/>
  <c r="R5" s="1"/>
  <c r="S5" s="1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M5" s="1"/>
  <c r="Z5" i="5"/>
  <c r="AA5" s="1"/>
  <c r="AB5" s="1"/>
  <c r="AD5"/>
  <c r="AD6" s="1"/>
  <c r="Q6" i="1"/>
  <c r="R6" s="1"/>
  <c r="S6" s="1"/>
  <c r="Q5"/>
  <c r="R5" s="1"/>
  <c r="S5" s="1"/>
  <c r="BB7" i="30" l="1"/>
  <c r="BC7"/>
  <c r="BL5"/>
  <c r="BH5"/>
  <c r="BI5" s="1"/>
  <c r="BJ5" s="1"/>
  <c r="S6" i="29"/>
  <c r="S6" i="30" s="1"/>
  <c r="S5" i="29"/>
  <c r="S5" i="30" s="1"/>
  <c r="AB7" i="28"/>
  <c r="Z5" i="27"/>
  <c r="AA5" s="1"/>
  <c r="AB5" s="1"/>
  <c r="AB7" s="1"/>
  <c r="AM5"/>
  <c r="AD5"/>
  <c r="AD7" s="1"/>
  <c r="AM6"/>
  <c r="AD6"/>
  <c r="Z6"/>
  <c r="AA6" s="1"/>
  <c r="AB6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T5" i="19"/>
  <c r="U5"/>
  <c r="T6"/>
  <c r="U6"/>
  <c r="AM6" i="18"/>
  <c r="AD6"/>
  <c r="Z6"/>
  <c r="AA6" s="1"/>
  <c r="AB6" s="1"/>
  <c r="T5" i="17"/>
  <c r="U5"/>
  <c r="S6"/>
  <c r="AB5" i="10"/>
  <c r="AM5"/>
  <c r="Z5" i="8"/>
  <c r="AM5"/>
  <c r="U6" i="15"/>
  <c r="U5"/>
  <c r="AM5" i="11"/>
  <c r="Z5"/>
  <c r="S5" i="14"/>
  <c r="Q5"/>
  <c r="R5" s="1"/>
  <c r="Q6"/>
  <c r="R6" s="1"/>
  <c r="S6" s="1"/>
  <c r="Q5" i="13"/>
  <c r="R5" s="1"/>
  <c r="S5" s="1"/>
  <c r="Q6"/>
  <c r="R6" s="1"/>
  <c r="S6" s="1"/>
  <c r="U5" i="12"/>
  <c r="AM5" s="1"/>
  <c r="Q6"/>
  <c r="R6" s="1"/>
  <c r="S6" s="1"/>
  <c r="AD5" i="11"/>
  <c r="AD7" s="1"/>
  <c r="Y5"/>
  <c r="X5"/>
  <c r="U6"/>
  <c r="AD5" i="10"/>
  <c r="AD7" s="1"/>
  <c r="U6"/>
  <c r="AM6" s="1"/>
  <c r="U6" i="9"/>
  <c r="AM6" s="1"/>
  <c r="U5"/>
  <c r="AM5" s="1"/>
  <c r="AD5" i="8"/>
  <c r="AD7" s="1"/>
  <c r="AA5"/>
  <c r="AB5" s="1"/>
  <c r="Q6"/>
  <c r="R6" s="1"/>
  <c r="S6" s="1"/>
  <c r="AD5" i="6"/>
  <c r="AD6" s="1"/>
  <c r="Z5"/>
  <c r="AA5" s="1"/>
  <c r="AB5" s="1"/>
  <c r="AB6" s="1"/>
  <c r="U6" i="1"/>
  <c r="AP6" s="1"/>
  <c r="U5"/>
  <c r="AP5" s="1"/>
  <c r="S8" i="30" l="1"/>
  <c r="BL7"/>
  <c r="BH7"/>
  <c r="BI7" s="1"/>
  <c r="BJ7" s="1"/>
  <c r="BL6"/>
  <c r="BH6"/>
  <c r="BI6" s="1"/>
  <c r="BJ6" s="1"/>
  <c r="BJ8" s="1"/>
  <c r="S7" i="29"/>
  <c r="U6"/>
  <c r="U6" i="30" s="1"/>
  <c r="AM6" s="1"/>
  <c r="T6" i="29"/>
  <c r="T6" i="30" s="1"/>
  <c r="U5" i="29"/>
  <c r="U5" i="30" s="1"/>
  <c r="AM5" s="1"/>
  <c r="T5" i="29"/>
  <c r="T5" i="30" s="1"/>
  <c r="AM6" i="26"/>
  <c r="AB6"/>
  <c r="AD6"/>
  <c r="T5"/>
  <c r="U5"/>
  <c r="T5" i="25"/>
  <c r="U5"/>
  <c r="AM6"/>
  <c r="AD6"/>
  <c r="Z6"/>
  <c r="AA6" s="1"/>
  <c r="AB6" s="1"/>
  <c r="AM6" i="24"/>
  <c r="AB6"/>
  <c r="AD6"/>
  <c r="T5"/>
  <c r="U5"/>
  <c r="AM6" i="23"/>
  <c r="AD6"/>
  <c r="Z6"/>
  <c r="AA6" s="1"/>
  <c r="AB6" s="1"/>
  <c r="AM5"/>
  <c r="AD5"/>
  <c r="AD7" s="1"/>
  <c r="Z5"/>
  <c r="AA5" s="1"/>
  <c r="AB5" s="1"/>
  <c r="AM6" i="22"/>
  <c r="AB6"/>
  <c r="AD6"/>
  <c r="T5"/>
  <c r="U5"/>
  <c r="AM6" i="21"/>
  <c r="AD6"/>
  <c r="Z6"/>
  <c r="AA6" s="1"/>
  <c r="AB6" s="1"/>
  <c r="AM5"/>
  <c r="AD5"/>
  <c r="AD7" s="1"/>
  <c r="Z5"/>
  <c r="AA5" s="1"/>
  <c r="AB5" s="1"/>
  <c r="AM6" i="20"/>
  <c r="AD6"/>
  <c r="Z6"/>
  <c r="AA6" s="1"/>
  <c r="AB6" s="1"/>
  <c r="Z5"/>
  <c r="AA5" s="1"/>
  <c r="AB5" s="1"/>
  <c r="AM5"/>
  <c r="AD5"/>
  <c r="AD7" s="1"/>
  <c r="AM6" i="19"/>
  <c r="AD6"/>
  <c r="Z6"/>
  <c r="AA6" s="1"/>
  <c r="AB6" s="1"/>
  <c r="Z5"/>
  <c r="AA5" s="1"/>
  <c r="AB5" s="1"/>
  <c r="AM5"/>
  <c r="AD5"/>
  <c r="AD7" s="1"/>
  <c r="T6" i="17"/>
  <c r="U6"/>
  <c r="Z5"/>
  <c r="AA5" s="1"/>
  <c r="AB5" s="1"/>
  <c r="AM5"/>
  <c r="AD5"/>
  <c r="AD7" s="1"/>
  <c r="AA5" i="11"/>
  <c r="AB5" s="1"/>
  <c r="AD6" i="15"/>
  <c r="U7"/>
  <c r="Z6"/>
  <c r="AA6" s="1"/>
  <c r="AB6" s="1"/>
  <c r="AM6"/>
  <c r="Z5"/>
  <c r="AM5"/>
  <c r="AD5"/>
  <c r="AD7" s="1"/>
  <c r="Z6" i="11"/>
  <c r="T6" i="14"/>
  <c r="U6"/>
  <c r="AM6" s="1"/>
  <c r="T5"/>
  <c r="U5"/>
  <c r="AM5" s="1"/>
  <c r="U6" i="13"/>
  <c r="AM6" s="1"/>
  <c r="U5"/>
  <c r="AM5" s="1"/>
  <c r="U6" i="12"/>
  <c r="AM6" s="1"/>
  <c r="AD5"/>
  <c r="AD7" s="1"/>
  <c r="Z5"/>
  <c r="AA5" s="1"/>
  <c r="AB5" s="1"/>
  <c r="X6" i="11"/>
  <c r="AD6"/>
  <c r="Y6"/>
  <c r="AD6" i="10"/>
  <c r="X6" i="9"/>
  <c r="Y6"/>
  <c r="X5"/>
  <c r="Y5"/>
  <c r="Z6"/>
  <c r="AD6"/>
  <c r="AD5"/>
  <c r="AD7" s="1"/>
  <c r="Z5"/>
  <c r="U6" i="8"/>
  <c r="Z6" i="1"/>
  <c r="AG6"/>
  <c r="AG5"/>
  <c r="AG7" s="1"/>
  <c r="AE5"/>
  <c r="AE6" l="1"/>
  <c r="AD6"/>
  <c r="BL8" i="30"/>
  <c r="AM5" i="29"/>
  <c r="Z5"/>
  <c r="Z5" i="30" s="1"/>
  <c r="AD5" i="29"/>
  <c r="AD5" i="30" s="1"/>
  <c r="AM6" i="29"/>
  <c r="Z6"/>
  <c r="Z6" i="30" s="1"/>
  <c r="AD6" i="29"/>
  <c r="AD6" i="30" s="1"/>
  <c r="AM5" i="26"/>
  <c r="AB5"/>
  <c r="AB7" s="1"/>
  <c r="AD5"/>
  <c r="AD7" s="1"/>
  <c r="AM5" i="25"/>
  <c r="AD5"/>
  <c r="AD7" s="1"/>
  <c r="Z5"/>
  <c r="AA5" s="1"/>
  <c r="AB5" s="1"/>
  <c r="AB7" s="1"/>
  <c r="AM5" i="24"/>
  <c r="AB5"/>
  <c r="AB7" s="1"/>
  <c r="AD5"/>
  <c r="AD7" s="1"/>
  <c r="AB7" i="23"/>
  <c r="AM5" i="22"/>
  <c r="AB5"/>
  <c r="AB7" s="1"/>
  <c r="AD5"/>
  <c r="AD7" s="1"/>
  <c r="AB7" i="21"/>
  <c r="AB7" i="20"/>
  <c r="AB7" i="19"/>
  <c r="AM6" i="17"/>
  <c r="AD6"/>
  <c r="Z6"/>
  <c r="AA6" s="1"/>
  <c r="AB6" s="1"/>
  <c r="AB7" s="1"/>
  <c r="AM6" i="8"/>
  <c r="Z6"/>
  <c r="AA6" s="1"/>
  <c r="AB6" s="1"/>
  <c r="AA5" i="15"/>
  <c r="AB5" s="1"/>
  <c r="AB7" s="1"/>
  <c r="I13"/>
  <c r="N11"/>
  <c r="AA6" i="11"/>
  <c r="AB6" s="1"/>
  <c r="AB7" s="1"/>
  <c r="AD5" i="14"/>
  <c r="AD7" s="1"/>
  <c r="Z5"/>
  <c r="AA5" s="1"/>
  <c r="AB5" s="1"/>
  <c r="Z6"/>
  <c r="AA6" s="1"/>
  <c r="AB6" s="1"/>
  <c r="AD6"/>
  <c r="AD5" i="13"/>
  <c r="AD7" s="1"/>
  <c r="Z5"/>
  <c r="AA5" s="1"/>
  <c r="AB5" s="1"/>
  <c r="AD6"/>
  <c r="Z6"/>
  <c r="AA6" s="1"/>
  <c r="AB6" s="1"/>
  <c r="Z6" i="12"/>
  <c r="AA6" s="1"/>
  <c r="AB6" s="1"/>
  <c r="AB7" s="1"/>
  <c r="AD6"/>
  <c r="AB6" i="10"/>
  <c r="AB7" s="1"/>
  <c r="AA6" i="9"/>
  <c r="AB6" s="1"/>
  <c r="AA5"/>
  <c r="AB5" s="1"/>
  <c r="AD6" i="8"/>
  <c r="AE7" i="1"/>
  <c r="AD8" i="30" l="1"/>
  <c r="AD7" i="29"/>
  <c r="AA5"/>
  <c r="AA5" i="30" s="1"/>
  <c r="AA6" i="29"/>
  <c r="AA6" i="30" s="1"/>
  <c r="N13" i="15"/>
  <c r="O11"/>
  <c r="O13" s="1"/>
  <c r="AB7" i="14"/>
  <c r="AB7" i="13"/>
  <c r="AB7" i="9"/>
  <c r="AB6" i="29" l="1"/>
  <c r="AB6" i="30" s="1"/>
  <c r="AB5" i="29"/>
  <c r="AB5" i="30" s="1"/>
  <c r="AB8" l="1"/>
  <c r="AB7" i="29"/>
</calcChain>
</file>

<file path=xl/sharedStrings.xml><?xml version="1.0" encoding="utf-8"?>
<sst xmlns="http://schemas.openxmlformats.org/spreadsheetml/2006/main" count="2327" uniqueCount="193">
  <si>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</si>
  <si>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</si>
  <si>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</si>
  <si>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</si>
  <si>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</si>
  <si>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</si>
  <si>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</si>
  <si>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</si>
  <si>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</si>
  <si>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</si>
  <si>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</si>
  <si>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</si>
  <si>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</si>
  <si>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</si>
  <si>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</si>
  <si>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</si>
  <si>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</si>
  <si>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</si>
  <si>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</si>
  <si>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</si>
  <si>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</si>
  <si>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</si>
  <si>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</si>
  <si>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</si>
  <si>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</si>
  <si>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</si>
  <si>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</si>
  <si>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</si>
  <si>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</si>
  <si>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</si>
  <si>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</si>
  <si>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</si>
  <si>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</si>
  <si>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</si>
  <si>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</si>
  <si>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</si>
  <si>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</si>
  <si>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</si>
  <si>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</si>
  <si>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</si>
  <si>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</si>
  <si>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</si>
  <si>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</si>
  <si>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</si>
  <si>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</si>
  <si>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</si>
  <si>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</si>
  <si>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</si>
  <si>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</si>
  <si>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</si>
  <si>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</si>
  <si>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</si>
  <si>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</si>
  <si>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</si>
  <si>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</si>
  <si>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</si>
  <si>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</si>
  <si>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2013</t>
  </si>
  <si>
    <t>HK-TVS-SCRAP-10001</t>
  </si>
  <si>
    <t>R100</t>
  </si>
  <si>
    <t>TVS-SER-10001</t>
  </si>
  <si>
    <t>Promotional Type</t>
  </si>
  <si>
    <t>Promotional</t>
  </si>
  <si>
    <t>Sales Regular</t>
  </si>
  <si>
    <t>PRO-10001</t>
  </si>
  <si>
    <t>PROMOTIONAL-10001</t>
  </si>
  <si>
    <t>0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</si>
  <si>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</si>
  <si>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</si>
  <si>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</si>
  <si>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</si>
  <si>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</si>
  <si>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</si>
  <si>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</si>
  <si>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</si>
  <si>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</si>
  <si>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</si>
  <si>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</si>
  <si>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</si>
  <si>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</si>
  <si>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</si>
  <si>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</si>
  <si>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</si>
  <si>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</si>
  <si>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</si>
  <si>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</si>
  <si>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</si>
  <si>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100001019</t>
  </si>
  <si>
    <t>123.09853</t>
  </si>
  <si>
    <t>848</t>
  </si>
  <si>
    <t>HK-LOT-MAC-10001(FG)</t>
  </si>
  <si>
    <t>HK-FG-RC-DISSIMILAR ITEM-10001</t>
  </si>
  <si>
    <t>10</t>
  </si>
  <si>
    <t>3285</t>
  </si>
  <si>
    <t>3120</t>
  </si>
  <si>
    <t>4</t>
  </si>
  <si>
    <t>2</t>
  </si>
  <si>
    <t>3156</t>
  </si>
  <si>
    <t>36</t>
  </si>
  <si>
    <t>17</t>
  </si>
  <si>
    <t>12</t>
  </si>
  <si>
    <t>797</t>
  </si>
  <si>
    <t>HK-SER-MAC-10001(FG)</t>
  </si>
  <si>
    <t>HK-FG-STD-PRICE-DISSIMILAR ITEM-10001</t>
  </si>
  <si>
    <t>4142</t>
  </si>
  <si>
    <t>1542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</si>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</sst>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2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88"/>
      <c r="AD1" s="88"/>
      <c r="AE1" s="88"/>
      <c r="AF1" s="88"/>
      <c r="AG1" s="32"/>
      <c r="AH1" s="32"/>
    </row>
    <row r="2" spans="1:40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0" ht="19.899999999999999" customHeight="1" thickBot="1">
      <c r="A3" s="125" t="s">
        <v>35</v>
      </c>
      <c r="B3" s="125"/>
      <c r="C3" s="89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5" t="s">
        <v>113</v>
      </c>
      <c r="C5" s="85">
        <v>0</v>
      </c>
      <c r="D5" s="85" t="s">
        <v>113</v>
      </c>
      <c r="E5" s="27" t="s">
        <v>10</v>
      </c>
      <c r="F5" s="27" t="s">
        <v>10</v>
      </c>
      <c r="G5" s="27">
        <v>44</v>
      </c>
      <c r="H5" s="1" t="s">
        <v>115</v>
      </c>
      <c r="I5" s="27">
        <f>G5*H5</f>
        <v>187660</v>
      </c>
      <c r="J5" s="1" t="s">
        <v>92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X5+Y5+Z5</f>
        <v>20974.2</v>
      </c>
      <c r="AB5" s="27">
        <f t="shared" ref="AB5:AB6" si="0">U5+AA5</f>
        <v>195759.22</v>
      </c>
      <c r="AC5" s="27">
        <v>120</v>
      </c>
      <c r="AD5" s="27">
        <f t="shared" ref="AD5:AD6" si="1">U5*$N$3</f>
        <v>174785.02</v>
      </c>
      <c r="AE5" s="27">
        <v>1</v>
      </c>
      <c r="AF5" s="27">
        <f t="shared" ref="AF5" si="2">G5/AE5</f>
        <v>44</v>
      </c>
      <c r="AG5" s="35" t="s">
        <v>92</v>
      </c>
      <c r="AH5" s="35" t="s">
        <v>93</v>
      </c>
      <c r="AI5" s="29">
        <f>ROUND(AG5-G5,0)</f>
        <v>-34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5" t="s">
        <v>114</v>
      </c>
      <c r="C6" s="85">
        <v>0</v>
      </c>
      <c r="D6" s="85" t="s">
        <v>114</v>
      </c>
      <c r="E6" s="27" t="s">
        <v>45</v>
      </c>
      <c r="F6" s="27" t="s">
        <v>10</v>
      </c>
      <c r="G6" s="27">
        <v>53</v>
      </c>
      <c r="H6" s="1" t="s">
        <v>116</v>
      </c>
      <c r="I6" s="27">
        <f>G6*H6</f>
        <v>81779</v>
      </c>
      <c r="J6" s="1" t="s">
        <v>92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X6+Y6+Z6</f>
        <v>8222.1</v>
      </c>
      <c r="AB6" s="27">
        <f t="shared" si="0"/>
        <v>76739.58</v>
      </c>
      <c r="AC6" s="27">
        <v>120</v>
      </c>
      <c r="AD6" s="27">
        <f t="shared" si="1"/>
        <v>68517.48</v>
      </c>
      <c r="AE6" s="27">
        <v>3</v>
      </c>
      <c r="AF6" s="27">
        <f>ROUND(G6/AE6,3)</f>
        <v>17.667000000000002</v>
      </c>
      <c r="AG6" s="35" t="s">
        <v>86</v>
      </c>
      <c r="AH6" s="35" t="s">
        <v>56</v>
      </c>
      <c r="AI6" s="29">
        <f>ROUND((AG6-AF6),3)</f>
        <v>1357.335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272498.8</v>
      </c>
      <c r="AC7" s="15" t="s">
        <v>40</v>
      </c>
      <c r="AD7" s="15">
        <f>AD5</f>
        <v>174785.02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88"/>
      <c r="AD1" s="88"/>
      <c r="AE1" s="88"/>
      <c r="AF1" s="88"/>
      <c r="AG1" s="32"/>
      <c r="AH1" s="32"/>
    </row>
    <row r="2" spans="1:40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0" ht="19.899999999999999" customHeight="1" thickBot="1">
      <c r="A3" s="125" t="s">
        <v>35</v>
      </c>
      <c r="B3" s="125"/>
      <c r="C3" s="89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5" t="s">
        <v>113</v>
      </c>
      <c r="C5" s="85">
        <v>0</v>
      </c>
      <c r="D5" s="85" t="s">
        <v>113</v>
      </c>
      <c r="E5" s="27" t="s">
        <v>10</v>
      </c>
      <c r="F5" s="27" t="s">
        <v>10</v>
      </c>
      <c r="G5" s="27">
        <v>5</v>
      </c>
      <c r="H5" s="1" t="s">
        <v>117</v>
      </c>
      <c r="I5" s="27">
        <f>G5*H5</f>
        <v>160</v>
      </c>
      <c r="J5" s="1" t="s">
        <v>92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147.5</v>
      </c>
      <c r="AC5" s="27">
        <v>120</v>
      </c>
      <c r="AD5" s="27">
        <f t="shared" ref="AD5:AD6" si="1">U5*$N$3</f>
        <v>147.5</v>
      </c>
      <c r="AE5" s="27">
        <v>1</v>
      </c>
      <c r="AF5" s="27">
        <f t="shared" ref="AF5" si="2">G5/AE5</f>
        <v>5</v>
      </c>
      <c r="AG5" s="35" t="s">
        <v>92</v>
      </c>
      <c r="AH5" s="35" t="s">
        <v>93</v>
      </c>
      <c r="AI5" s="29">
        <f>ROUND(AG5-G5,0)</f>
        <v>5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5" t="s">
        <v>114</v>
      </c>
      <c r="C6" s="85">
        <v>0</v>
      </c>
      <c r="D6" s="85" t="s">
        <v>114</v>
      </c>
      <c r="E6" s="27" t="s">
        <v>45</v>
      </c>
      <c r="F6" s="27" t="s">
        <v>10</v>
      </c>
      <c r="G6" s="27">
        <v>89</v>
      </c>
      <c r="H6" s="1" t="s">
        <v>118</v>
      </c>
      <c r="I6" s="27">
        <f>G6*H6</f>
        <v>3738</v>
      </c>
      <c r="J6" s="1" t="s">
        <v>92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3131.84</v>
      </c>
      <c r="AC6" s="27">
        <v>120</v>
      </c>
      <c r="AD6" s="27">
        <f t="shared" si="1"/>
        <v>3131.84</v>
      </c>
      <c r="AE6" s="27">
        <v>3</v>
      </c>
      <c r="AF6" s="27">
        <f>ROUND(G6/AE6,3)</f>
        <v>29.667000000000002</v>
      </c>
      <c r="AG6" s="35" t="s">
        <v>86</v>
      </c>
      <c r="AH6" s="35" t="s">
        <v>56</v>
      </c>
      <c r="AI6" s="29">
        <f>ROUND((AG6-AF6),3)</f>
        <v>1345.335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3279.34</v>
      </c>
      <c r="AC7" s="15" t="s">
        <v>40</v>
      </c>
      <c r="AD7" s="15">
        <f>AD5</f>
        <v>147.5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86"/>
      <c r="AD1" s="86"/>
      <c r="AE1" s="86"/>
      <c r="AF1" s="86"/>
      <c r="AG1" s="32"/>
      <c r="AH1" s="32"/>
    </row>
    <row r="2" spans="1:40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0" ht="19.899999999999999" customHeight="1" thickBot="1">
      <c r="A3" s="125" t="s">
        <v>35</v>
      </c>
      <c r="B3" s="125"/>
      <c r="C3" s="87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5" t="s">
        <v>108</v>
      </c>
      <c r="C5" s="80">
        <v>0</v>
      </c>
      <c r="D5" s="85" t="s">
        <v>108</v>
      </c>
      <c r="E5" s="27" t="s">
        <v>10</v>
      </c>
      <c r="F5" s="27" t="s">
        <v>10</v>
      </c>
      <c r="G5" s="27">
        <v>21</v>
      </c>
      <c r="H5" s="1" t="s">
        <v>110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X5+Y5+Z5</f>
        <v>4050.72</v>
      </c>
      <c r="AB5" s="27">
        <f t="shared" ref="AB5:AB6" si="0">U5+AA5</f>
        <v>85065.06</v>
      </c>
      <c r="AC5" s="27">
        <v>120</v>
      </c>
      <c r="AD5" s="27">
        <f t="shared" ref="AD5:AD6" si="1">U5*$N$3</f>
        <v>81014.34</v>
      </c>
      <c r="AE5" s="27">
        <v>1</v>
      </c>
      <c r="AF5" s="27">
        <f t="shared" ref="AF5" si="2">G5/AE5</f>
        <v>21</v>
      </c>
      <c r="AG5" s="35" t="s">
        <v>92</v>
      </c>
      <c r="AH5" s="35" t="s">
        <v>93</v>
      </c>
      <c r="AI5" s="29">
        <f>ROUND(AG5-G5,0)</f>
        <v>-11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0" t="s">
        <v>109</v>
      </c>
      <c r="C6" s="80">
        <v>0</v>
      </c>
      <c r="D6" s="85" t="s">
        <v>109</v>
      </c>
      <c r="E6" s="27" t="s">
        <v>45</v>
      </c>
      <c r="F6" s="27" t="s">
        <v>10</v>
      </c>
      <c r="G6" s="27">
        <v>35</v>
      </c>
      <c r="H6" s="1" t="s">
        <v>111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X6+Y6+Z6</f>
        <v>5426.17</v>
      </c>
      <c r="AB6" s="27">
        <f t="shared" si="0"/>
        <v>50644.229999999996</v>
      </c>
      <c r="AC6" s="27">
        <v>120</v>
      </c>
      <c r="AD6" s="27">
        <f t="shared" si="1"/>
        <v>45218.06</v>
      </c>
      <c r="AE6" s="27">
        <v>3</v>
      </c>
      <c r="AF6" s="27">
        <f>ROUND(G6/AE6,3)</f>
        <v>11.667</v>
      </c>
      <c r="AG6" s="35" t="s">
        <v>86</v>
      </c>
      <c r="AH6" s="35" t="s">
        <v>56</v>
      </c>
      <c r="AI6" s="29">
        <f>ROUND((AG6-AF6),3)</f>
        <v>1363.335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135709.28999999998</v>
      </c>
      <c r="AC7" s="15" t="s">
        <v>40</v>
      </c>
      <c r="AD7" s="15">
        <f>AD5</f>
        <v>81014.34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G10" sqref="G10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86"/>
      <c r="AD1" s="86"/>
      <c r="AE1" s="86"/>
      <c r="AF1" s="86"/>
      <c r="AG1" s="32"/>
      <c r="AH1" s="32"/>
    </row>
    <row r="2" spans="1:40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0" ht="19.899999999999999" customHeight="1" thickBot="1">
      <c r="A3" s="125" t="s">
        <v>35</v>
      </c>
      <c r="B3" s="125"/>
      <c r="C3" s="87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5" t="s">
        <v>108</v>
      </c>
      <c r="C5" s="80">
        <v>0</v>
      </c>
      <c r="D5" s="85" t="s">
        <v>108</v>
      </c>
      <c r="E5" s="27" t="s">
        <v>10</v>
      </c>
      <c r="F5" s="27" t="s">
        <v>10</v>
      </c>
      <c r="G5" s="27">
        <v>11</v>
      </c>
      <c r="H5" s="1" t="s">
        <v>107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0.05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253.52</v>
      </c>
      <c r="AC5" s="27">
        <v>120</v>
      </c>
      <c r="AD5" s="27">
        <f t="shared" ref="AD5:AD6" si="1">U5*$N$3</f>
        <v>253.52</v>
      </c>
      <c r="AE5" s="27">
        <v>1</v>
      </c>
      <c r="AF5" s="27">
        <f t="shared" ref="AF5" si="2">G5/AE5</f>
        <v>11</v>
      </c>
      <c r="AG5" s="35" t="s">
        <v>92</v>
      </c>
      <c r="AH5" s="35" t="s">
        <v>93</v>
      </c>
      <c r="AI5" s="29">
        <f>ROUND(AG5-G5,0)</f>
        <v>-1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0" t="s">
        <v>109</v>
      </c>
      <c r="C6" s="80">
        <v>0</v>
      </c>
      <c r="D6" s="85" t="s">
        <v>109</v>
      </c>
      <c r="E6" s="27" t="s">
        <v>45</v>
      </c>
      <c r="F6" s="27" t="s">
        <v>10</v>
      </c>
      <c r="G6" s="27">
        <v>15</v>
      </c>
      <c r="H6" s="1" t="s">
        <v>112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402.17</v>
      </c>
      <c r="AC6" s="27">
        <v>120</v>
      </c>
      <c r="AD6" s="27">
        <f t="shared" si="1"/>
        <v>402.17</v>
      </c>
      <c r="AE6" s="27">
        <v>3</v>
      </c>
      <c r="AF6" s="27">
        <f>ROUND(G6/AE6,3)</f>
        <v>5</v>
      </c>
      <c r="AG6" s="35" t="s">
        <v>86</v>
      </c>
      <c r="AH6" s="35" t="s">
        <v>56</v>
      </c>
      <c r="AI6" s="29">
        <f>ROUND((AG6-AF6),3)</f>
        <v>1370.002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655.69</v>
      </c>
      <c r="AC7" s="15" t="s">
        <v>40</v>
      </c>
      <c r="AD7" s="15">
        <f>AD5</f>
        <v>253.52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83"/>
      <c r="AD1" s="83"/>
      <c r="AE1" s="83"/>
      <c r="AF1" s="83"/>
      <c r="AG1" s="32"/>
      <c r="AH1" s="32"/>
    </row>
    <row r="2" spans="1:40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0" ht="19.899999999999999" customHeight="1" thickBot="1">
      <c r="A3" s="125" t="s">
        <v>35</v>
      </c>
      <c r="B3" s="125"/>
      <c r="C3" s="84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5" t="s">
        <v>102</v>
      </c>
      <c r="C5" s="85">
        <v>0</v>
      </c>
      <c r="D5" s="85" t="s">
        <v>102</v>
      </c>
      <c r="E5" s="27" t="s">
        <v>10</v>
      </c>
      <c r="F5" s="27" t="s">
        <v>10</v>
      </c>
      <c r="G5" s="27">
        <v>22</v>
      </c>
      <c r="H5" s="1" t="s">
        <v>106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730.14</v>
      </c>
      <c r="AC5" s="27">
        <v>120</v>
      </c>
      <c r="AD5" s="27">
        <f t="shared" ref="AD5:AD6" si="1">U5*$N$3</f>
        <v>730.14</v>
      </c>
      <c r="AE5" s="27">
        <v>1</v>
      </c>
      <c r="AF5" s="27">
        <f t="shared" ref="AF5" si="2">G5/AE5</f>
        <v>22</v>
      </c>
      <c r="AG5" s="35" t="s">
        <v>92</v>
      </c>
      <c r="AH5" s="35" t="s">
        <v>93</v>
      </c>
      <c r="AI5" s="29">
        <f>ROUND(AG5-G5,0)</f>
        <v>-12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5" t="s">
        <v>103</v>
      </c>
      <c r="C6" s="80">
        <v>0</v>
      </c>
      <c r="D6" s="85" t="s">
        <v>103</v>
      </c>
      <c r="E6" s="27" t="s">
        <v>45</v>
      </c>
      <c r="F6" s="27" t="s">
        <v>10</v>
      </c>
      <c r="G6" s="27">
        <v>12</v>
      </c>
      <c r="H6" s="1" t="s">
        <v>107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170.92000000000002</v>
      </c>
      <c r="AC6" s="27">
        <v>120</v>
      </c>
      <c r="AD6" s="27">
        <f t="shared" si="1"/>
        <v>170.92000000000002</v>
      </c>
      <c r="AE6" s="27">
        <v>3</v>
      </c>
      <c r="AF6" s="27">
        <f>ROUND(G6/AE6,3)</f>
        <v>4</v>
      </c>
      <c r="AG6" s="35" t="s">
        <v>86</v>
      </c>
      <c r="AH6" s="35" t="s">
        <v>56</v>
      </c>
      <c r="AI6" s="29">
        <f>ROUND((AG6-AF6),3)</f>
        <v>1371.002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901.06</v>
      </c>
      <c r="AC7" s="15" t="s">
        <v>40</v>
      </c>
      <c r="AD7" s="15">
        <f>AD5</f>
        <v>730.14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B6" sqref="B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83"/>
      <c r="AD1" s="83"/>
      <c r="AE1" s="83"/>
      <c r="AF1" s="83"/>
      <c r="AG1" s="32"/>
      <c r="AH1" s="32"/>
    </row>
    <row r="2" spans="1:40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0" ht="19.899999999999999" customHeight="1" thickBot="1">
      <c r="A3" s="125" t="s">
        <v>35</v>
      </c>
      <c r="B3" s="125"/>
      <c r="C3" s="84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5" t="s">
        <v>102</v>
      </c>
      <c r="C5" s="85">
        <v>0</v>
      </c>
      <c r="D5" s="85" t="s">
        <v>102</v>
      </c>
      <c r="E5" s="27" t="s">
        <v>10</v>
      </c>
      <c r="F5" s="27" t="s">
        <v>10</v>
      </c>
      <c r="G5" s="27">
        <v>12</v>
      </c>
      <c r="H5" s="1" t="s">
        <v>104</v>
      </c>
      <c r="I5" s="27">
        <f>G5*H5</f>
        <v>37440</v>
      </c>
      <c r="J5" s="27">
        <v>12</v>
      </c>
      <c r="K5" s="27">
        <v>2</v>
      </c>
      <c r="L5" s="27">
        <v>4</v>
      </c>
      <c r="M5" s="27">
        <f>I5</f>
        <v>37440</v>
      </c>
      <c r="N5" s="27">
        <f>ROUND((M5*J5)/100,2)</f>
        <v>4492.8</v>
      </c>
      <c r="O5" s="27">
        <f>I5-N5</f>
        <v>32947.199999999997</v>
      </c>
      <c r="P5" s="27">
        <f>ROUND((O5*K5)/100,2)</f>
        <v>658.94</v>
      </c>
      <c r="Q5" s="27">
        <f>ROUND(O5-P5,2)</f>
        <v>32288.26</v>
      </c>
      <c r="R5" s="27">
        <f>ROUND((Q5*L5)/100,2)</f>
        <v>1291.53</v>
      </c>
      <c r="S5" s="27">
        <f>N5+P5+R5</f>
        <v>6443.2699999999995</v>
      </c>
      <c r="T5" s="27">
        <f>ROUND(S5/G5,2)</f>
        <v>536.94000000000005</v>
      </c>
      <c r="U5" s="27">
        <f>(I5-S5)</f>
        <v>30996.73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3719.61</v>
      </c>
      <c r="AA5" s="27">
        <f>X5+Y5+Z5</f>
        <v>3719.61</v>
      </c>
      <c r="AB5" s="27">
        <f t="shared" ref="AB5:AB6" si="0">U5+AA5</f>
        <v>34716.339999999997</v>
      </c>
      <c r="AC5" s="27">
        <v>120</v>
      </c>
      <c r="AD5" s="27">
        <f t="shared" ref="AD5:AD6" si="1">U5*$N$3</f>
        <v>30996.73</v>
      </c>
      <c r="AE5" s="27">
        <v>1</v>
      </c>
      <c r="AF5" s="27">
        <f t="shared" ref="AF5" si="2">G5/AE5</f>
        <v>12</v>
      </c>
      <c r="AG5" s="35" t="s">
        <v>92</v>
      </c>
      <c r="AH5" s="35" t="s">
        <v>93</v>
      </c>
      <c r="AI5" s="29">
        <f>ROUND(AG5-G5,0)</f>
        <v>-2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5" t="s">
        <v>103</v>
      </c>
      <c r="C6" s="80">
        <v>0</v>
      </c>
      <c r="D6" s="85" t="s">
        <v>103</v>
      </c>
      <c r="E6" s="27" t="s">
        <v>45</v>
      </c>
      <c r="F6" s="27" t="s">
        <v>10</v>
      </c>
      <c r="G6" s="27">
        <v>14</v>
      </c>
      <c r="H6" s="1" t="s">
        <v>105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X6+Y6+Z6</f>
        <v>1850.95</v>
      </c>
      <c r="AB6" s="27">
        <f t="shared" si="0"/>
        <v>38869.939999999995</v>
      </c>
      <c r="AC6" s="27">
        <v>120</v>
      </c>
      <c r="AD6" s="27">
        <f t="shared" si="1"/>
        <v>37018.99</v>
      </c>
      <c r="AE6" s="27">
        <v>3</v>
      </c>
      <c r="AF6" s="27">
        <f>ROUND(G6/AE6,3)</f>
        <v>4.6669999999999998</v>
      </c>
      <c r="AG6" s="35" t="s">
        <v>86</v>
      </c>
      <c r="AH6" s="35" t="s">
        <v>56</v>
      </c>
      <c r="AI6" s="29">
        <f>ROUND((AG6-AF6),3)</f>
        <v>1370.335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73586.28</v>
      </c>
      <c r="AC7" s="15" t="s">
        <v>40</v>
      </c>
      <c r="AD7" s="15">
        <f>AD5</f>
        <v>30996.73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B5" sqref="B5:B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81"/>
      <c r="AD1" s="81"/>
      <c r="AE1" s="81"/>
      <c r="AF1" s="81"/>
      <c r="AG1" s="32"/>
      <c r="AH1" s="32"/>
    </row>
    <row r="2" spans="1:40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0" ht="19.899999999999999" customHeight="1" thickBot="1">
      <c r="A3" s="125" t="s">
        <v>35</v>
      </c>
      <c r="B3" s="125"/>
      <c r="C3" s="82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0" t="s">
        <v>90</v>
      </c>
      <c r="C5" s="27">
        <v>0</v>
      </c>
      <c r="D5" s="80" t="s">
        <v>90</v>
      </c>
      <c r="E5" s="27" t="s">
        <v>10</v>
      </c>
      <c r="F5" s="27" t="s">
        <v>10</v>
      </c>
      <c r="G5" s="27">
        <v>10</v>
      </c>
      <c r="H5" s="1" t="s">
        <v>98</v>
      </c>
      <c r="I5" s="27">
        <f>G5*H5</f>
        <v>150</v>
      </c>
      <c r="J5" s="1" t="s">
        <v>92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135.47999999999999</v>
      </c>
      <c r="AC5" s="27">
        <v>120</v>
      </c>
      <c r="AD5" s="27">
        <f t="shared" ref="AD5:AD6" si="1">U5*$N$3</f>
        <v>135.47999999999999</v>
      </c>
      <c r="AE5" s="27">
        <v>1</v>
      </c>
      <c r="AF5" s="27">
        <f t="shared" ref="AF5" si="2">G5/AE5</f>
        <v>10</v>
      </c>
      <c r="AG5" s="35" t="s">
        <v>92</v>
      </c>
      <c r="AH5" s="35" t="s">
        <v>93</v>
      </c>
      <c r="AI5" s="29">
        <f>ROUND(AG5-G5,0)</f>
        <v>0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0" t="s">
        <v>91</v>
      </c>
      <c r="C6" s="27">
        <v>0</v>
      </c>
      <c r="D6" s="80" t="s">
        <v>91</v>
      </c>
      <c r="E6" s="27" t="s">
        <v>45</v>
      </c>
      <c r="F6" s="27" t="s">
        <v>10</v>
      </c>
      <c r="G6" s="27">
        <v>10</v>
      </c>
      <c r="H6" s="1" t="s">
        <v>99</v>
      </c>
      <c r="I6" s="27">
        <f>G6*H6</f>
        <v>330</v>
      </c>
      <c r="J6" s="1" t="s">
        <v>100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273.69</v>
      </c>
      <c r="AC6" s="27">
        <v>120</v>
      </c>
      <c r="AD6" s="27">
        <f t="shared" si="1"/>
        <v>273.69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409.16999999999996</v>
      </c>
      <c r="AC7" s="15" t="s">
        <v>40</v>
      </c>
      <c r="AD7" s="15">
        <f>AD5</f>
        <v>135.47999999999999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V1" zoomScale="85" zoomScaleNormal="85" workbookViewId="0">
      <selection activeCell="T5" sqref="T5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92"/>
      <c r="AD1" s="92"/>
      <c r="AE1" s="92"/>
      <c r="AF1" s="92"/>
      <c r="AG1" s="32"/>
      <c r="AH1" s="32"/>
    </row>
    <row r="2" spans="1:40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0" ht="19.899999999999999" customHeight="1" thickBot="1">
      <c r="A3" s="125" t="s">
        <v>35</v>
      </c>
      <c r="B3" s="125"/>
      <c r="C3" s="93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0" t="s">
        <v>125</v>
      </c>
      <c r="C5" s="27">
        <v>0</v>
      </c>
      <c r="D5" s="80" t="s">
        <v>125</v>
      </c>
      <c r="E5" s="27" t="s">
        <v>10</v>
      </c>
      <c r="F5" s="27" t="s">
        <v>10</v>
      </c>
      <c r="G5" s="27">
        <v>10</v>
      </c>
      <c r="H5" s="1" t="s">
        <v>124</v>
      </c>
      <c r="I5" s="27">
        <f>G5*H5</f>
        <v>63000</v>
      </c>
      <c r="J5" s="1" t="s">
        <v>123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0.18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10135.24</v>
      </c>
      <c r="AA5" s="27">
        <f>X5+Y5+Z5</f>
        <v>10135.24</v>
      </c>
      <c r="AB5" s="27">
        <f t="shared" ref="AB5:AB6" si="0">U5+AA5</f>
        <v>66442.12</v>
      </c>
      <c r="AC5" s="27">
        <v>120</v>
      </c>
      <c r="AD5" s="27">
        <f t="shared" ref="AD5:AD6" si="1">U5*$N$3</f>
        <v>56306.879999999997</v>
      </c>
      <c r="AE5" s="27">
        <v>1</v>
      </c>
      <c r="AF5" s="27">
        <f t="shared" ref="AF5" si="2">G5/AE5</f>
        <v>10</v>
      </c>
      <c r="AG5" s="35" t="s">
        <v>92</v>
      </c>
      <c r="AH5" s="35" t="s">
        <v>93</v>
      </c>
      <c r="AI5" s="29">
        <f>ROUND(AG5-G5,0)</f>
        <v>0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0" t="s">
        <v>126</v>
      </c>
      <c r="C6" s="27">
        <v>0</v>
      </c>
      <c r="D6" s="80" t="s">
        <v>126</v>
      </c>
      <c r="E6" s="27" t="s">
        <v>45</v>
      </c>
      <c r="F6" s="27" t="s">
        <v>10</v>
      </c>
      <c r="G6" s="27">
        <v>10</v>
      </c>
      <c r="H6" s="1" t="s">
        <v>122</v>
      </c>
      <c r="I6" s="27">
        <f>G6*H6</f>
        <v>90000</v>
      </c>
      <c r="J6" s="1" t="s">
        <v>96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0.18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13435.86</v>
      </c>
      <c r="AA6" s="27">
        <f>X6+Y6+Z6</f>
        <v>13435.86</v>
      </c>
      <c r="AB6" s="27">
        <f t="shared" si="0"/>
        <v>88079.52</v>
      </c>
      <c r="AC6" s="27">
        <v>120</v>
      </c>
      <c r="AD6" s="27">
        <f t="shared" si="1"/>
        <v>74643.66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154521.64000000001</v>
      </c>
      <c r="AC7" s="15" t="s">
        <v>40</v>
      </c>
      <c r="AD7" s="15">
        <f>AD5</f>
        <v>56306.879999999997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B6" sqref="B6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90"/>
      <c r="AD1" s="90"/>
      <c r="AE1" s="90"/>
      <c r="AF1" s="90"/>
      <c r="AG1" s="32"/>
      <c r="AH1" s="32"/>
    </row>
    <row r="2" spans="1:40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0" ht="19.899999999999999" customHeight="1" thickBot="1">
      <c r="A3" s="125" t="s">
        <v>35</v>
      </c>
      <c r="B3" s="125"/>
      <c r="C3" s="91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0" t="s">
        <v>90</v>
      </c>
      <c r="C5" s="27">
        <v>0</v>
      </c>
      <c r="D5" s="80" t="s">
        <v>90</v>
      </c>
      <c r="E5" s="27" t="s">
        <v>10</v>
      </c>
      <c r="F5" s="27" t="s">
        <v>10</v>
      </c>
      <c r="G5" s="27">
        <v>10</v>
      </c>
      <c r="H5" s="1" t="s">
        <v>122</v>
      </c>
      <c r="I5" s="27">
        <f>G5*H5</f>
        <v>31200</v>
      </c>
      <c r="J5" s="1" t="s">
        <v>96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X5+Y5+Z5</f>
        <v>3381.46</v>
      </c>
      <c r="AB5" s="27">
        <f t="shared" ref="AB5:AB6" si="0">U5+AA5</f>
        <v>31560.3</v>
      </c>
      <c r="AC5" s="27">
        <v>120</v>
      </c>
      <c r="AD5" s="27">
        <f t="shared" ref="AD5:AD6" si="1">U5*$N$3</f>
        <v>28178.84</v>
      </c>
      <c r="AE5" s="27">
        <v>1</v>
      </c>
      <c r="AF5" s="27">
        <f t="shared" ref="AF5" si="2">G5/AE5</f>
        <v>10</v>
      </c>
      <c r="AG5" s="35" t="s">
        <v>92</v>
      </c>
      <c r="AH5" s="35" t="s">
        <v>93</v>
      </c>
      <c r="AI5" s="29">
        <f>ROUND(AG5-G5,0)</f>
        <v>0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121</v>
      </c>
    </row>
    <row r="6" spans="1:40" ht="14.25" customHeight="1">
      <c r="A6" s="27">
        <v>2</v>
      </c>
      <c r="B6" s="80" t="s">
        <v>91</v>
      </c>
      <c r="C6" s="27">
        <v>0</v>
      </c>
      <c r="D6" s="80" t="s">
        <v>91</v>
      </c>
      <c r="E6" s="27" t="s">
        <v>45</v>
      </c>
      <c r="F6" s="27" t="s">
        <v>10</v>
      </c>
      <c r="G6" s="27">
        <v>10</v>
      </c>
      <c r="H6" s="1" t="s">
        <v>124</v>
      </c>
      <c r="I6" s="27">
        <f>G6*H6</f>
        <v>31560</v>
      </c>
      <c r="J6" s="1" t="s">
        <v>123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3141</v>
      </c>
      <c r="AA6" s="27">
        <f>X6+Y6+Z6</f>
        <v>3141</v>
      </c>
      <c r="AB6" s="27">
        <f t="shared" si="0"/>
        <v>29316.04</v>
      </c>
      <c r="AC6" s="27">
        <v>120</v>
      </c>
      <c r="AD6" s="27">
        <f t="shared" si="1"/>
        <v>26175.040000000001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60876.34</v>
      </c>
      <c r="AC7" s="15" t="s">
        <v>40</v>
      </c>
      <c r="AD7" s="15">
        <f>AD5</f>
        <v>28178.84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B5" sqref="B5:D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77"/>
      <c r="AD1" s="77"/>
      <c r="AE1" s="77"/>
      <c r="AF1" s="77"/>
      <c r="AG1" s="32"/>
      <c r="AH1" s="32"/>
    </row>
    <row r="2" spans="1:40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0" ht="19.899999999999999" customHeight="1" thickBot="1">
      <c r="A3" s="125" t="s">
        <v>35</v>
      </c>
      <c r="B3" s="125"/>
      <c r="C3" s="78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0" t="s">
        <v>90</v>
      </c>
      <c r="C5" s="27">
        <v>0</v>
      </c>
      <c r="D5" s="80" t="s">
        <v>90</v>
      </c>
      <c r="E5" s="27" t="s">
        <v>10</v>
      </c>
      <c r="F5" s="27" t="s">
        <v>10</v>
      </c>
      <c r="G5" s="27">
        <v>10</v>
      </c>
      <c r="H5" s="1" t="s">
        <v>94</v>
      </c>
      <c r="I5" s="27">
        <f>G5*H5</f>
        <v>0</v>
      </c>
      <c r="J5" s="1" t="s">
        <v>95</v>
      </c>
      <c r="K5" s="27">
        <v>2</v>
      </c>
      <c r="L5" s="27">
        <v>4</v>
      </c>
      <c r="M5" s="27">
        <f>I5</f>
        <v>0</v>
      </c>
      <c r="N5" s="27">
        <f>ROUND((M5*J5)/100,2)</f>
        <v>0</v>
      </c>
      <c r="O5" s="27">
        <f>I5-N5</f>
        <v>0</v>
      </c>
      <c r="P5" s="27">
        <f>ROUND((O5*K5)/100,2)</f>
        <v>0</v>
      </c>
      <c r="Q5" s="27">
        <f>ROUND(O5-P5,2)</f>
        <v>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0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0</v>
      </c>
      <c r="AC5" s="27">
        <v>120</v>
      </c>
      <c r="AD5" s="27">
        <f t="shared" ref="AD5:AD6" si="1">U5*$N$3</f>
        <v>0</v>
      </c>
      <c r="AE5" s="27">
        <v>1</v>
      </c>
      <c r="AF5" s="27">
        <f t="shared" ref="AF5" si="2">G5/AE5</f>
        <v>10</v>
      </c>
      <c r="AG5" s="35" t="s">
        <v>92</v>
      </c>
      <c r="AH5" s="35" t="s">
        <v>93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0" t="s">
        <v>91</v>
      </c>
      <c r="C6" s="27">
        <v>0</v>
      </c>
      <c r="D6" s="80" t="s">
        <v>91</v>
      </c>
      <c r="E6" s="27" t="s">
        <v>45</v>
      </c>
      <c r="F6" s="27" t="s">
        <v>10</v>
      </c>
      <c r="G6" s="27">
        <v>10</v>
      </c>
      <c r="H6" s="1" t="s">
        <v>97</v>
      </c>
      <c r="I6" s="27">
        <f>G6*H6</f>
        <v>0</v>
      </c>
      <c r="J6" s="1" t="s">
        <v>96</v>
      </c>
      <c r="K6" s="27">
        <v>7</v>
      </c>
      <c r="L6" s="27">
        <v>9</v>
      </c>
      <c r="M6" s="27">
        <f>I6</f>
        <v>0</v>
      </c>
      <c r="N6" s="27">
        <f>ROUND((M6*J6)/100,2)</f>
        <v>0</v>
      </c>
      <c r="O6" s="27">
        <f>I6-N6</f>
        <v>0</v>
      </c>
      <c r="P6" s="27">
        <f>ROUND((O6*K6)/100,2)</f>
        <v>0</v>
      </c>
      <c r="Q6" s="27">
        <f>ROUND(O6-P6,2)</f>
        <v>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0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0</v>
      </c>
      <c r="AC6" s="27">
        <v>120</v>
      </c>
      <c r="AD6" s="27">
        <f t="shared" si="1"/>
        <v>0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</v>
      </c>
      <c r="AC7" s="15" t="s">
        <v>40</v>
      </c>
      <c r="AD7" s="15">
        <f>AD5</f>
        <v>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75"/>
      <c r="AD1" s="75"/>
      <c r="AE1" s="75"/>
      <c r="AF1" s="75"/>
      <c r="AG1" s="32"/>
      <c r="AH1" s="32"/>
    </row>
    <row r="2" spans="1:40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0" ht="19.899999999999999" customHeight="1" thickBot="1">
      <c r="A3" s="125" t="s">
        <v>35</v>
      </c>
      <c r="B3" s="125"/>
      <c r="C3" s="76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257.07</v>
      </c>
      <c r="AC5" s="27">
        <v>120</v>
      </c>
      <c r="AD5" s="27">
        <f t="shared" ref="AD5:AD6" si="1">U5*$N$3</f>
        <v>257.07</v>
      </c>
      <c r="AE5" s="27">
        <v>1</v>
      </c>
      <c r="AF5" s="27">
        <f t="shared" ref="AF5" si="2">G5/AE5</f>
        <v>12</v>
      </c>
      <c r="AG5" s="35" t="s">
        <v>101</v>
      </c>
      <c r="AH5" s="35" t="s">
        <v>55</v>
      </c>
      <c r="AI5" s="29">
        <f>ROUND(AG5-G5,0)</f>
        <v>836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366.58000000000004</v>
      </c>
      <c r="AC6" s="27">
        <v>120</v>
      </c>
      <c r="AD6" s="27">
        <f t="shared" si="1"/>
        <v>366.58000000000004</v>
      </c>
      <c r="AE6" s="27">
        <v>3</v>
      </c>
      <c r="AF6" s="27">
        <f>ROUND(G6/AE6,3)</f>
        <v>4.3330000000000002</v>
      </c>
      <c r="AG6" s="35" t="s">
        <v>86</v>
      </c>
      <c r="AH6" s="35" t="s">
        <v>56</v>
      </c>
      <c r="AI6" s="29">
        <f>ROUND((AG6-AF6),3)</f>
        <v>1370.6690000000001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623.65000000000009</v>
      </c>
      <c r="AC7" s="15" t="s">
        <v>40</v>
      </c>
      <c r="AD7" s="15">
        <f>SUM(AD5:AD6)</f>
        <v>623.65000000000009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V1" zoomScale="85" zoomScaleNormal="85" workbookViewId="0">
      <selection activeCell="AF5" sqref="AF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73"/>
      <c r="AD1" s="73"/>
      <c r="AE1" s="73"/>
      <c r="AF1" s="73"/>
      <c r="AG1" s="32"/>
      <c r="AH1" s="32"/>
    </row>
    <row r="2" spans="1:40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2"/>
      <c r="AH2" s="32"/>
    </row>
    <row r="3" spans="1:40" ht="19.899999999999999" customHeight="1" thickBot="1">
      <c r="A3" s="125" t="s">
        <v>35</v>
      </c>
      <c r="B3" s="125"/>
      <c r="C3" s="74"/>
      <c r="D3" s="1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X5+Y5+Z5</f>
        <v>1379.21</v>
      </c>
      <c r="AB5" s="27">
        <f t="shared" ref="AB5:AB6" si="0">U5+AA5</f>
        <v>12872.59</v>
      </c>
      <c r="AC5" s="27">
        <v>120</v>
      </c>
      <c r="AD5" s="27">
        <f t="shared" ref="AD5:AD6" si="1">U5*$N$3</f>
        <v>11493.38</v>
      </c>
      <c r="AE5" s="27">
        <v>1</v>
      </c>
      <c r="AF5" s="27">
        <f t="shared" ref="AF5" si="2">G5/AE5</f>
        <v>10</v>
      </c>
      <c r="AG5" s="35" t="s">
        <v>101</v>
      </c>
      <c r="AH5" s="35" t="s">
        <v>55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X6+Y6+Z6</f>
        <v>1332.8</v>
      </c>
      <c r="AB6" s="27">
        <f t="shared" si="0"/>
        <v>27988.880000000001</v>
      </c>
      <c r="AC6" s="27">
        <v>120</v>
      </c>
      <c r="AD6" s="27">
        <f t="shared" si="1"/>
        <v>26656.080000000002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40861.47</v>
      </c>
      <c r="AC7" s="15" t="s">
        <v>40</v>
      </c>
      <c r="AD7" s="15">
        <f>AD5</f>
        <v>11493.38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zoomScale="85" zoomScaleNormal="85" workbookViewId="0">
      <selection activeCell="D3" sqref="D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9" width="11.28515625" style="1" customWidth="1"/>
    <col min="30" max="30" width="10.7109375" style="1" bestFit="1" customWidth="1"/>
    <col min="31" max="31" width="11.7109375" style="1" customWidth="1"/>
    <col min="32" max="32" width="16" style="1" bestFit="1" customWidth="1"/>
    <col min="33" max="33" width="12" style="1" bestFit="1" customWidth="1"/>
    <col min="34" max="34" width="12.28515625" style="1" customWidth="1"/>
    <col min="35" max="35" width="14.7109375" style="1" bestFit="1" customWidth="1"/>
    <col min="36" max="37" width="12.28515625" style="35" customWidth="1"/>
    <col min="38" max="38" width="10.28515625" style="36" customWidth="1"/>
    <col min="39" max="39" width="13.5703125" style="1" customWidth="1"/>
    <col min="40" max="40" width="12.7109375" style="1" customWidth="1"/>
    <col min="41" max="16384" width="9.140625" style="1"/>
  </cols>
  <sheetData>
    <row r="1" spans="1:43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25" t="s">
        <v>35</v>
      </c>
      <c r="B3" s="125"/>
      <c r="C3" s="10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190</v>
      </c>
      <c r="AB4" s="24" t="s">
        <v>191</v>
      </c>
      <c r="AC4" s="24" t="s">
        <v>69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61</v>
      </c>
      <c r="AO4" s="26" t="s">
        <v>68</v>
      </c>
      <c r="AP4" s="26" t="s">
        <v>69</v>
      </c>
      <c r="AQ4" s="26" t="s">
        <v>119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89</v>
      </c>
      <c r="AK5" s="35" t="s">
        <v>55</v>
      </c>
      <c r="AL5" s="29">
        <f>ROUND(AJ5-G5,0)</f>
        <v>902</v>
      </c>
      <c r="AM5" s="27" t="s">
        <v>50</v>
      </c>
      <c r="AN5" s="27" t="s">
        <v>63</v>
      </c>
      <c r="AO5" s="27">
        <v>0</v>
      </c>
      <c r="AP5" s="27">
        <f>ROUND(((AO5*U5)/100),2)</f>
        <v>0</v>
      </c>
      <c r="AQ5" s="27" t="s">
        <v>120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86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63</v>
      </c>
      <c r="AO6" s="27">
        <v>0</v>
      </c>
      <c r="AP6" s="27">
        <f>ROUND(((AO6*U6)/100),2)</f>
        <v>0</v>
      </c>
      <c r="AQ6" s="27" t="s">
        <v>120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width="6.42578125" bestFit="1" customWidth="1"/>
    <col min="2" max="2" width="28.7109375" bestFit="1" customWidth="1"/>
    <col min="3" max="3" width="5" bestFit="1" customWidth="1"/>
    <col min="4" max="4" width="28.7109375" bestFit="1" customWidth="1"/>
    <col min="5" max="5" width="10.85546875" bestFit="1" customWidth="1"/>
    <col min="6" max="6" width="10.140625" bestFit="1" customWidth="1"/>
    <col min="7" max="7" width="17.85546875" bestFit="1" customWidth="1"/>
    <col min="8" max="8" width="16" bestFit="1" customWidth="1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39">
        <v>20</v>
      </c>
      <c r="F2" s="39">
        <f>'Case 1'!H5</f>
        <v>1234</v>
      </c>
      <c r="G2" t="s">
        <v>53</v>
      </c>
      <c r="H2" s="39">
        <f>G2-E2</f>
        <v>4547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39">
        <v>30</v>
      </c>
      <c r="F3" s="39">
        <f>'Case 1'!H6</f>
        <v>3214</v>
      </c>
      <c r="G3">
        <v>675</v>
      </c>
      <c r="H3" s="39">
        <f>G3-E3</f>
        <v>645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3"/>
  <dimension ref="A1:AN8"/>
  <sheetViews>
    <sheetView showGridLines="0" topLeftCell="S1" zoomScale="85" zoomScaleNormal="85" workbookViewId="0">
      <selection activeCell="AB7" sqref="AB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52"/>
      <c r="AD1" s="52"/>
      <c r="AE1" s="52"/>
      <c r="AF1" s="52"/>
      <c r="AG1" s="32"/>
      <c r="AH1" s="32"/>
    </row>
    <row r="2" spans="1:40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0" ht="19.899999999999999" customHeight="1" thickBot="1">
      <c r="A3" s="125" t="s">
        <v>35</v>
      </c>
      <c r="B3" s="125"/>
      <c r="C3" s="53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X5+Y5+Z5</f>
        <v>2799.6</v>
      </c>
      <c r="AB5" s="27">
        <f t="shared" ref="AB5:AB6" si="0">U5+AA5</f>
        <v>26129.599999999999</v>
      </c>
      <c r="AC5" s="27">
        <v>120</v>
      </c>
      <c r="AD5" s="27">
        <f t="shared" ref="AD5:AD6" si="1">U5*$N$3</f>
        <v>23330</v>
      </c>
      <c r="AE5" s="27">
        <v>1</v>
      </c>
      <c r="AF5" s="27">
        <f t="shared" ref="AF5" si="2">G5/AE5</f>
        <v>10</v>
      </c>
      <c r="AG5" s="35" t="s">
        <v>89</v>
      </c>
      <c r="AH5" s="35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X6+Y6+Z6</f>
        <v>2159.5</v>
      </c>
      <c r="AB6" s="27">
        <f t="shared" si="0"/>
        <v>45349.5</v>
      </c>
      <c r="AC6" s="27">
        <v>120</v>
      </c>
      <c r="AD6" s="27">
        <f t="shared" si="1"/>
        <v>43190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71479.100000000006</v>
      </c>
      <c r="AC7" s="15" t="s">
        <v>40</v>
      </c>
      <c r="AD7" s="15">
        <f>AD5</f>
        <v>23330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0"/>
  <dimension ref="A1:AN8"/>
  <sheetViews>
    <sheetView showGridLines="0" topLeftCell="M1" zoomScale="85" zoomScaleNormal="85" workbookViewId="0">
      <selection activeCell="AA11" sqref="AA11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52"/>
      <c r="AD1" s="52"/>
      <c r="AE1" s="52"/>
      <c r="AF1" s="52"/>
      <c r="AG1" s="32"/>
      <c r="AH1" s="32"/>
    </row>
    <row r="2" spans="1:40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0" ht="19.899999999999999" customHeight="1" thickBot="1">
      <c r="A3" s="125" t="s">
        <v>35</v>
      </c>
      <c r="B3" s="125"/>
      <c r="C3" s="53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1800</v>
      </c>
      <c r="AA5" s="27">
        <f>X5+Y5+Z5</f>
        <v>1800</v>
      </c>
      <c r="AB5" s="27">
        <f t="shared" ref="AB5:AB6" si="0">U5+AA5</f>
        <v>16800</v>
      </c>
      <c r="AC5" s="27">
        <v>120</v>
      </c>
      <c r="AD5" s="27">
        <f t="shared" ref="AD5:AD6" si="1">U5*$N$3</f>
        <v>15000</v>
      </c>
      <c r="AE5" s="27">
        <v>1</v>
      </c>
      <c r="AF5" s="27">
        <f t="shared" ref="AF5" si="2">G5/AE5</f>
        <v>10</v>
      </c>
      <c r="AG5" s="35" t="s">
        <v>89</v>
      </c>
      <c r="AH5" s="35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1000</v>
      </c>
      <c r="AA6" s="27">
        <f>X6+Y6+Z6</f>
        <v>1000</v>
      </c>
      <c r="AB6" s="27">
        <f t="shared" si="0"/>
        <v>21000</v>
      </c>
      <c r="AC6" s="27">
        <v>120</v>
      </c>
      <c r="AD6" s="27">
        <f t="shared" si="1"/>
        <v>20000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4"/>
  <dimension ref="A1:AN7"/>
  <sheetViews>
    <sheetView showGridLines="0" topLeftCell="S1" zoomScale="85" zoomScaleNormal="85" workbookViewId="0">
      <selection activeCell="AB6" sqref="AB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4.5703125" style="36" bestFit="1" customWidth="1"/>
    <col min="36" max="36" width="11.85546875" style="1" customWidth="1"/>
    <col min="37" max="37" width="13.14062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40"/>
      <c r="AD1" s="40"/>
      <c r="AE1" s="40"/>
      <c r="AF1" s="40"/>
      <c r="AG1" s="32"/>
      <c r="AH1" s="32"/>
    </row>
    <row r="2" spans="1:40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0" ht="19.899999999999999" customHeight="1" thickBot="1">
      <c r="A3" s="125" t="s">
        <v>35</v>
      </c>
      <c r="B3" s="125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28.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58</v>
      </c>
      <c r="C5" s="27">
        <v>0</v>
      </c>
      <c r="D5" s="16" t="s">
        <v>58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X5+Y5+Z5</f>
        <v>662.16</v>
      </c>
      <c r="AB5" s="27">
        <f t="shared" ref="AB5" si="0">U5+AA5</f>
        <v>13905.39</v>
      </c>
      <c r="AC5" s="27">
        <v>120</v>
      </c>
      <c r="AD5" s="27">
        <f t="shared" ref="AD5" si="1">U5*$N$3</f>
        <v>13243.23</v>
      </c>
      <c r="AE5" s="27">
        <v>1</v>
      </c>
      <c r="AF5" s="27">
        <f t="shared" ref="AF5" si="2">G5/AE5</f>
        <v>10</v>
      </c>
      <c r="AG5" s="35" t="s">
        <v>87</v>
      </c>
      <c r="AH5" s="35" t="s">
        <v>88</v>
      </c>
      <c r="AI5" s="29">
        <f>ROUND(AG5-G5,0)</f>
        <v>100001009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13905.39</v>
      </c>
      <c r="AC6" s="15" t="s">
        <v>40</v>
      </c>
      <c r="AD6" s="15">
        <f>AD5</f>
        <v>13243.23</v>
      </c>
      <c r="AE6" s="12"/>
      <c r="AF6" s="13"/>
      <c r="AG6" s="13"/>
      <c r="AH6" s="13"/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5"/>
  <dimension ref="A1:AN7"/>
  <sheetViews>
    <sheetView showGridLines="0" zoomScale="85" zoomScaleNormal="85" workbookViewId="0">
      <selection activeCell="AB6" sqref="AB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7109375" style="1" customWidth="1"/>
    <col min="37" max="37" width="14.28515625" style="1" customWidth="1"/>
    <col min="38" max="39" width="9.140625" style="1"/>
    <col min="40" max="40" width="11" style="1" bestFit="1" customWidth="1"/>
    <col min="41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42"/>
      <c r="AD1" s="42"/>
      <c r="AE1" s="42"/>
      <c r="AF1" s="42"/>
      <c r="AG1" s="32"/>
      <c r="AH1" s="32"/>
    </row>
    <row r="2" spans="1:40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0" ht="19.899999999999999" customHeight="1" thickBot="1">
      <c r="A3" s="125" t="s">
        <v>35</v>
      </c>
      <c r="B3" s="125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60</v>
      </c>
      <c r="C5" s="27">
        <v>0</v>
      </c>
      <c r="D5" s="16" t="s">
        <v>60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X5+Y5+Z5</f>
        <v>663.04</v>
      </c>
      <c r="AB5" s="27">
        <f t="shared" ref="AB5" si="0">U5+AA5</f>
        <v>13923.91</v>
      </c>
      <c r="AC5" s="27">
        <v>120</v>
      </c>
      <c r="AD5" s="27">
        <f t="shared" ref="AD5" si="1">U5*$N$3</f>
        <v>13260.869999999999</v>
      </c>
      <c r="AE5" s="27">
        <v>1</v>
      </c>
      <c r="AF5" s="27">
        <f t="shared" ref="AF5" si="2">G5/AE5</f>
        <v>10</v>
      </c>
      <c r="AG5" s="29" t="s">
        <v>57</v>
      </c>
      <c r="AH5" s="29" t="s">
        <v>55</v>
      </c>
      <c r="AI5" s="29">
        <f>ROUND(AG5-G5,0)</f>
        <v>2003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13923.91</v>
      </c>
      <c r="AC6" s="15" t="s">
        <v>40</v>
      </c>
      <c r="AD6" s="15">
        <f>AD5</f>
        <v>13260.869999999999</v>
      </c>
      <c r="AE6" s="12"/>
      <c r="AF6" s="13"/>
      <c r="AG6" s="13"/>
      <c r="AH6" s="13"/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6"/>
  <dimension ref="A1:AN8"/>
  <sheetViews>
    <sheetView showGridLines="0" topLeftCell="V1" zoomScale="85" zoomScaleNormal="85" workbookViewId="0">
      <selection activeCell="AB7" sqref="AB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3.5703125" style="1" bestFit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5703125" style="1" customWidth="1"/>
    <col min="37" max="37" width="13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44"/>
      <c r="AD1" s="44"/>
      <c r="AE1" s="44"/>
      <c r="AF1" s="44"/>
      <c r="AG1" s="32"/>
      <c r="AH1" s="32"/>
    </row>
    <row r="2" spans="1:40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0" ht="19.899999999999999" customHeight="1" thickBot="1">
      <c r="A3" s="125" t="s">
        <v>35</v>
      </c>
      <c r="B3" s="125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ROUND(IF($D$3=2,((U5*W5)),0),2)</f>
        <v>1574.4</v>
      </c>
      <c r="AA5" s="27">
        <f>X5+Y5+Z5</f>
        <v>1574.4</v>
      </c>
      <c r="AB5" s="27">
        <f t="shared" ref="AB5:AB6" si="0">U5+AA5</f>
        <v>14694.369999999999</v>
      </c>
      <c r="AC5" s="27">
        <v>120</v>
      </c>
      <c r="AD5" s="27">
        <f t="shared" ref="AD5:AD6" si="1">U5*$N$3</f>
        <v>13119.97</v>
      </c>
      <c r="AE5" s="27">
        <v>1</v>
      </c>
      <c r="AF5" s="27">
        <f t="shared" ref="AF5" si="2">G5/AE5</f>
        <v>10</v>
      </c>
      <c r="AG5" s="35" t="s">
        <v>89</v>
      </c>
      <c r="AH5" s="35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64</v>
      </c>
      <c r="C6" s="27">
        <v>0</v>
      </c>
      <c r="D6" s="16" t="s">
        <v>65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ROUND(IF($D$3=2,((U6*W6)),0),2)</f>
        <v>1000</v>
      </c>
      <c r="AA6" s="27">
        <f>X6+Y6+Z6</f>
        <v>1000</v>
      </c>
      <c r="AB6" s="27">
        <f t="shared" si="0"/>
        <v>21000</v>
      </c>
      <c r="AC6" s="27">
        <v>120</v>
      </c>
      <c r="AD6" s="27">
        <f t="shared" si="1"/>
        <v>20000</v>
      </c>
      <c r="AE6" s="27">
        <v>3</v>
      </c>
      <c r="AF6" s="27">
        <f>ROUND(G6/AE6,3)</f>
        <v>3.3330000000000002</v>
      </c>
      <c r="AG6" s="35" t="s">
        <v>66</v>
      </c>
      <c r="AH6" s="35" t="s">
        <v>66</v>
      </c>
      <c r="AI6" s="29">
        <f>ROUND((AG6-AF6),3)</f>
        <v>-3.3330000000000002</v>
      </c>
      <c r="AJ6" s="27" t="s">
        <v>59</v>
      </c>
      <c r="AK6" s="27" t="s">
        <v>62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SUM(AB5)</f>
        <v>14694.369999999999</v>
      </c>
      <c r="AC7" s="15" t="s">
        <v>40</v>
      </c>
      <c r="AD7" s="15">
        <f>AD5</f>
        <v>13119.97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7"/>
  <dimension ref="A1:AN8"/>
  <sheetViews>
    <sheetView showGridLines="0" topLeftCell="H1" zoomScale="85" zoomScaleNormal="85" workbookViewId="0">
      <selection activeCell="AB7" sqref="AB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46"/>
      <c r="AD1" s="46"/>
      <c r="AE1" s="46"/>
      <c r="AF1" s="46"/>
      <c r="AG1" s="32"/>
      <c r="AH1" s="32"/>
    </row>
    <row r="2" spans="1:40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0" ht="19.899999999999999" customHeight="1" thickBot="1">
      <c r="A3" s="125" t="s">
        <v>35</v>
      </c>
      <c r="B3" s="125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IF($D$3=1,ROUND(((U5*W5)/2),2),0)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X5+Y5+Z5</f>
        <v>1625.52</v>
      </c>
      <c r="AB5" s="27">
        <f t="shared" ref="AB5:AB6" si="0">U5+AA5</f>
        <v>15171.57</v>
      </c>
      <c r="AC5" s="27">
        <v>120</v>
      </c>
      <c r="AD5" s="27">
        <f t="shared" ref="AD5:AD6" si="1">U5*$N$3</f>
        <v>13546.05</v>
      </c>
      <c r="AE5" s="27">
        <v>1</v>
      </c>
      <c r="AF5" s="27">
        <f t="shared" ref="AF5" si="2">G5/AE5</f>
        <v>10</v>
      </c>
      <c r="AG5" s="35" t="s">
        <v>89</v>
      </c>
      <c r="AH5" s="35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IF($D$3=1,ROUND(((U6*W6)/2),2),0)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X6+Y6+Z6</f>
        <v>803.98</v>
      </c>
      <c r="AB6" s="27">
        <f t="shared" si="0"/>
        <v>16883.68</v>
      </c>
      <c r="AC6" s="27">
        <v>120</v>
      </c>
      <c r="AD6" s="27">
        <f t="shared" si="1"/>
        <v>16079.7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32055.25</v>
      </c>
      <c r="AC7" s="15" t="s">
        <v>40</v>
      </c>
      <c r="AD7" s="79">
        <f>AD5</f>
        <v>13546.05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L1" zoomScale="85" zoomScaleNormal="85" workbookViewId="0">
      <selection activeCell="AB7" sqref="AB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25" t="s">
        <v>35</v>
      </c>
      <c r="B3" s="125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89</v>
      </c>
      <c r="AH5" s="35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9"/>
  <dimension ref="A1:AN8"/>
  <sheetViews>
    <sheetView showGridLines="0" topLeftCell="V1" zoomScale="85" zoomScaleNormal="85" workbookViewId="0">
      <selection activeCell="AB7" sqref="AB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2.140625" style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50"/>
      <c r="AD1" s="50"/>
      <c r="AE1" s="50"/>
      <c r="AF1" s="50"/>
      <c r="AG1" s="32"/>
      <c r="AH1" s="32"/>
    </row>
    <row r="2" spans="1:40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0" ht="19.899999999999999" customHeight="1" thickBot="1">
      <c r="A3" s="125" t="s">
        <v>35</v>
      </c>
      <c r="B3" s="125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ROUND((X5+Y5+Z5+AM5),2)</f>
        <v>1625.53</v>
      </c>
      <c r="AB5" s="27">
        <f t="shared" ref="AB5:AB6" si="0">U5+AA5</f>
        <v>15171.58</v>
      </c>
      <c r="AC5" s="27">
        <v>120</v>
      </c>
      <c r="AD5" s="27">
        <f t="shared" ref="AD5:AD6" si="1">U5*$N$3</f>
        <v>13546.05</v>
      </c>
      <c r="AE5" s="27">
        <v>1</v>
      </c>
      <c r="AF5" s="27">
        <f>G5/AE5</f>
        <v>10</v>
      </c>
      <c r="AG5" s="35" t="s">
        <v>89</v>
      </c>
      <c r="AH5" s="35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70</v>
      </c>
      <c r="C6" s="27">
        <v>0</v>
      </c>
      <c r="D6" s="16" t="s">
        <v>71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2400</v>
      </c>
      <c r="AA6" s="27">
        <f>ROUND((X6+Y6+Z6+AM6),2)</f>
        <v>3600</v>
      </c>
      <c r="AB6" s="27">
        <f t="shared" si="0"/>
        <v>23600</v>
      </c>
      <c r="AC6" s="27">
        <v>120</v>
      </c>
      <c r="AD6" s="27">
        <f t="shared" si="1"/>
        <v>20000</v>
      </c>
      <c r="AE6" s="27">
        <v>3</v>
      </c>
      <c r="AF6" s="27">
        <f>ROUND(G6/AE6,3)</f>
        <v>3.3330000000000002</v>
      </c>
      <c r="AG6" s="35" t="s">
        <v>66</v>
      </c>
      <c r="AH6" s="35" t="s">
        <v>66</v>
      </c>
      <c r="AI6" s="29">
        <f>ROUND((AG6-AF6),3)</f>
        <v>-3.3330000000000002</v>
      </c>
      <c r="AJ6" s="27" t="s">
        <v>50</v>
      </c>
      <c r="AK6" s="27" t="s">
        <v>63</v>
      </c>
      <c r="AL6" s="27">
        <v>6</v>
      </c>
      <c r="AM6" s="27">
        <f>ROUND(((AL6*U6)/100),2)</f>
        <v>1200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38771.58</v>
      </c>
      <c r="AC7" s="15" t="s">
        <v>40</v>
      </c>
      <c r="AD7" s="15">
        <f>AD5</f>
        <v>13546.05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11"/>
  <dimension ref="A1:AN8"/>
  <sheetViews>
    <sheetView showGridLines="0" topLeftCell="N1" zoomScale="85" zoomScaleNormal="85" workbookViewId="0">
      <selection activeCell="AB16" sqref="AB1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52"/>
      <c r="AD1" s="52"/>
      <c r="AE1" s="52"/>
      <c r="AF1" s="52"/>
      <c r="AG1" s="32"/>
      <c r="AH1" s="32"/>
    </row>
    <row r="2" spans="1:40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0" ht="19.899999999999999" customHeight="1" thickBot="1">
      <c r="A3" s="125" t="s">
        <v>35</v>
      </c>
      <c r="B3" s="125"/>
      <c r="C3" s="53"/>
      <c r="D3" s="3">
        <v>2</v>
      </c>
      <c r="E3" s="8" t="s">
        <v>72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1800</v>
      </c>
      <c r="AA5" s="27">
        <f>X5+Y5+Z5</f>
        <v>1800</v>
      </c>
      <c r="AB5" s="27">
        <f t="shared" ref="AB5:AB6" si="0">U5+AA5</f>
        <v>16800</v>
      </c>
      <c r="AC5" s="27">
        <v>120</v>
      </c>
      <c r="AD5" s="27">
        <f t="shared" ref="AD5:AD6" si="1">U5*$N$3</f>
        <v>15000</v>
      </c>
      <c r="AE5" s="27">
        <v>1</v>
      </c>
      <c r="AF5" s="27">
        <f t="shared" ref="AF5" si="2">G5/AE5</f>
        <v>10</v>
      </c>
      <c r="AG5" s="35" t="s">
        <v>89</v>
      </c>
      <c r="AH5" s="35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1000</v>
      </c>
      <c r="AA6" s="27">
        <f>X6+Y6+Z6</f>
        <v>1000</v>
      </c>
      <c r="AB6" s="27">
        <f t="shared" si="0"/>
        <v>21000</v>
      </c>
      <c r="AC6" s="27">
        <v>120</v>
      </c>
      <c r="AD6" s="27">
        <f t="shared" si="1"/>
        <v>20000</v>
      </c>
      <c r="AE6" s="27">
        <v>3</v>
      </c>
      <c r="AF6" s="27">
        <f>ROUND(G6/AE6,3)</f>
        <v>3.3330000000000002</v>
      </c>
      <c r="AG6" s="35" t="s">
        <v>86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N26"/>
  <sheetViews>
    <sheetView topLeftCell="M1" workbookViewId="0">
      <selection activeCell="AB7" sqref="AB7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3" max="13" width="15.140625" customWidth="1"/>
    <col min="14" max="14" width="11.7109375" customWidth="1"/>
    <col min="15" max="15" width="13.28515625" customWidth="1"/>
    <col min="16" max="16" width="10.5703125" bestFit="1" customWidth="1"/>
    <col min="18" max="18" width="10.5703125" bestFit="1" customWidth="1"/>
    <col min="19" max="19" width="11" customWidth="1"/>
    <col min="20" max="20" width="17.85546875" bestFit="1" customWidth="1"/>
    <col min="21" max="21" width="10.7109375" bestFit="1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7" max="37" width="12.7109375" bestFit="1" customWidth="1"/>
  </cols>
  <sheetData>
    <row r="1" spans="1:40" ht="18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0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0" ht="15.75" thickBot="1">
      <c r="A3" s="125" t="s">
        <v>35</v>
      </c>
      <c r="B3" s="125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>
        <v>89</v>
      </c>
      <c r="AH5" t="s">
        <v>55</v>
      </c>
      <c r="AI5" s="29">
        <f>ROUND(AG5-G5,0)</f>
        <v>912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>
        <v>86</v>
      </c>
      <c r="AH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79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74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15.75" thickTop="1">
      <c r="C10" s="69" t="s">
        <v>75</v>
      </c>
      <c r="D10" s="56" t="s">
        <v>0</v>
      </c>
      <c r="E10" s="56" t="s">
        <v>38</v>
      </c>
      <c r="F10" s="56" t="s">
        <v>76</v>
      </c>
      <c r="G10" s="56" t="s">
        <v>77</v>
      </c>
      <c r="H10" s="57" t="s">
        <v>78</v>
      </c>
      <c r="I10" s="57" t="s">
        <v>79</v>
      </c>
      <c r="J10" s="57" t="s">
        <v>80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81</v>
      </c>
      <c r="E11" s="61">
        <v>0</v>
      </c>
      <c r="F11" s="62" t="s">
        <v>82</v>
      </c>
      <c r="G11" s="62" t="s">
        <v>83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 ht="15.75" thickBot="1">
      <c r="C12" s="63">
        <v>2</v>
      </c>
      <c r="D12" s="64" t="s">
        <v>84</v>
      </c>
      <c r="E12" s="64">
        <v>0</v>
      </c>
      <c r="F12" s="64" t="s">
        <v>85</v>
      </c>
      <c r="G12" s="64" t="s">
        <v>79</v>
      </c>
      <c r="H12" s="67"/>
      <c r="I12" s="67">
        <v>15000</v>
      </c>
      <c r="J12" s="67">
        <v>112341</v>
      </c>
      <c r="K12" s="68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 ht="15.75" thickTop="1">
      <c r="C13" s="1"/>
      <c r="H13" s="27" t="s">
        <v>73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0">
      <c r="A16" s="125"/>
      <c r="B16" s="125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I1" zoomScale="85" zoomScaleNormal="85" workbookViewId="0">
      <selection activeCell="AM23" sqref="AM2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0"/>
      <c r="AD1" s="120"/>
      <c r="AE1" s="120"/>
      <c r="AF1" s="120"/>
      <c r="AG1" s="32"/>
      <c r="AH1" s="32"/>
    </row>
    <row r="2" spans="1:66" ht="18">
      <c r="A2" s="120" t="s">
        <v>127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25" t="s">
        <v>35</v>
      </c>
      <c r="B3" s="125"/>
      <c r="C3" s="121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21" t="s">
        <v>131</v>
      </c>
      <c r="K4" s="21" t="s">
        <v>132</v>
      </c>
      <c r="L4" s="21" t="s">
        <v>133</v>
      </c>
      <c r="M4" s="22" t="s">
        <v>134</v>
      </c>
      <c r="N4" s="22" t="s">
        <v>135</v>
      </c>
      <c r="O4" s="22" t="s">
        <v>136</v>
      </c>
      <c r="P4" s="22" t="s">
        <v>137</v>
      </c>
      <c r="Q4" s="23" t="s">
        <v>138</v>
      </c>
      <c r="R4" s="22" t="s">
        <v>139</v>
      </c>
      <c r="S4" s="21" t="s">
        <v>140</v>
      </c>
      <c r="T4" s="21" t="s">
        <v>149</v>
      </c>
      <c r="U4" s="18" t="s">
        <v>141</v>
      </c>
      <c r="V4" s="18" t="s">
        <v>142</v>
      </c>
      <c r="W4" s="24" t="s">
        <v>143</v>
      </c>
      <c r="X4" s="24" t="s">
        <v>144</v>
      </c>
      <c r="Y4" s="24" t="s">
        <v>145</v>
      </c>
      <c r="Z4" s="24" t="s">
        <v>146</v>
      </c>
      <c r="AA4" s="24" t="s">
        <v>147</v>
      </c>
      <c r="AB4" s="25" t="s">
        <v>148</v>
      </c>
      <c r="AC4" s="25" t="s">
        <v>29</v>
      </c>
      <c r="AD4" s="26" t="s">
        <v>150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20" t="s">
        <v>151</v>
      </c>
      <c r="AP4" s="103" t="s">
        <v>152</v>
      </c>
      <c r="AQ4" s="103" t="s">
        <v>153</v>
      </c>
      <c r="AR4" s="96" t="s">
        <v>154</v>
      </c>
      <c r="AS4" s="96" t="s">
        <v>155</v>
      </c>
      <c r="AT4" s="96" t="s">
        <v>156</v>
      </c>
      <c r="AU4" s="98" t="s">
        <v>157</v>
      </c>
      <c r="AV4" s="98" t="s">
        <v>158</v>
      </c>
      <c r="AW4" s="98" t="s">
        <v>159</v>
      </c>
      <c r="AX4" s="98" t="s">
        <v>160</v>
      </c>
      <c r="AY4" s="98" t="s">
        <v>161</v>
      </c>
      <c r="AZ4" s="98" t="s">
        <v>162</v>
      </c>
      <c r="BA4" s="105" t="s">
        <v>163</v>
      </c>
      <c r="BB4" s="21" t="s">
        <v>173</v>
      </c>
      <c r="BC4" s="103" t="s">
        <v>164</v>
      </c>
      <c r="BD4" s="103" t="s">
        <v>165</v>
      </c>
      <c r="BE4" s="104" t="s">
        <v>166</v>
      </c>
      <c r="BF4" s="104" t="s">
        <v>167</v>
      </c>
      <c r="BG4" s="104" t="s">
        <v>168</v>
      </c>
      <c r="BH4" s="104" t="s">
        <v>169</v>
      </c>
      <c r="BI4" s="104" t="s">
        <v>170</v>
      </c>
      <c r="BJ4" s="102" t="s">
        <v>171</v>
      </c>
      <c r="BK4" s="102" t="s">
        <v>29</v>
      </c>
      <c r="BL4" s="102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29" t="s">
        <v>89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Sales Regular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176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2665.61</v>
      </c>
      <c r="AB6" s="27">
        <f>SO!AB6</f>
        <v>55977.770000000004</v>
      </c>
      <c r="AC6" s="27">
        <v>120</v>
      </c>
      <c r="AD6" s="27">
        <f>SO!AD6</f>
        <v>53312.160000000003</v>
      </c>
      <c r="AE6" s="27">
        <v>3</v>
      </c>
      <c r="AF6" s="27">
        <f>ROUND(G6/AE6,3)</f>
        <v>6.6669999999999998</v>
      </c>
      <c r="AG6" s="29" t="s">
        <v>86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Sales Regular</v>
      </c>
      <c r="AL6" s="27">
        <v>0</v>
      </c>
      <c r="AM6" s="27">
        <f>ROUND(((AL6*U6)/100),2)</f>
        <v>0</v>
      </c>
      <c r="AN6" s="27" t="str">
        <f>SO!AN6</f>
        <v>DOMESTIC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176</v>
      </c>
      <c r="BN6" s="27" t="s">
        <v>178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68850.36</v>
      </c>
      <c r="AC7" s="15" t="s">
        <v>40</v>
      </c>
      <c r="AD7" s="79">
        <f>SUM(AD5:AD6)</f>
        <v>64805.54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2"/>
      <c r="AD1" s="122"/>
      <c r="AE1" s="122"/>
      <c r="AF1" s="122"/>
      <c r="AG1" s="32"/>
      <c r="AH1" s="32"/>
    </row>
    <row r="2" spans="1:66" ht="18">
      <c r="A2" s="122" t="s">
        <v>127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25" t="s">
        <v>35</v>
      </c>
      <c r="B3" s="125"/>
      <c r="C3" s="123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21" t="s">
        <v>131</v>
      </c>
      <c r="K4" s="21" t="s">
        <v>132</v>
      </c>
      <c r="L4" s="21" t="s">
        <v>133</v>
      </c>
      <c r="M4" s="22" t="s">
        <v>134</v>
      </c>
      <c r="N4" s="22" t="s">
        <v>135</v>
      </c>
      <c r="O4" s="22" t="s">
        <v>136</v>
      </c>
      <c r="P4" s="22" t="s">
        <v>137</v>
      </c>
      <c r="Q4" s="23" t="s">
        <v>138</v>
      </c>
      <c r="R4" s="22" t="s">
        <v>139</v>
      </c>
      <c r="S4" s="21" t="s">
        <v>140</v>
      </c>
      <c r="T4" s="21" t="s">
        <v>149</v>
      </c>
      <c r="U4" s="18" t="s">
        <v>141</v>
      </c>
      <c r="V4" s="18" t="s">
        <v>142</v>
      </c>
      <c r="W4" s="24" t="s">
        <v>143</v>
      </c>
      <c r="X4" s="24" t="s">
        <v>144</v>
      </c>
      <c r="Y4" s="24" t="s">
        <v>145</v>
      </c>
      <c r="Z4" s="24" t="s">
        <v>146</v>
      </c>
      <c r="AA4" s="24" t="s">
        <v>147</v>
      </c>
      <c r="AB4" s="25" t="s">
        <v>148</v>
      </c>
      <c r="AC4" s="25" t="s">
        <v>29</v>
      </c>
      <c r="AD4" s="26" t="s">
        <v>150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20" t="s">
        <v>151</v>
      </c>
      <c r="AP4" s="20" t="s">
        <v>152</v>
      </c>
      <c r="AQ4" s="103" t="s">
        <v>153</v>
      </c>
      <c r="AR4" s="96" t="s">
        <v>154</v>
      </c>
      <c r="AS4" s="96" t="s">
        <v>155</v>
      </c>
      <c r="AT4" s="96" t="s">
        <v>156</v>
      </c>
      <c r="AU4" s="98" t="s">
        <v>157</v>
      </c>
      <c r="AV4" s="98" t="s">
        <v>158</v>
      </c>
      <c r="AW4" s="98" t="s">
        <v>159</v>
      </c>
      <c r="AX4" s="98" t="s">
        <v>160</v>
      </c>
      <c r="AY4" s="98" t="s">
        <v>161</v>
      </c>
      <c r="AZ4" s="98" t="s">
        <v>162</v>
      </c>
      <c r="BA4" s="105" t="s">
        <v>163</v>
      </c>
      <c r="BB4" s="21" t="s">
        <v>173</v>
      </c>
      <c r="BC4" s="103" t="s">
        <v>164</v>
      </c>
      <c r="BD4" s="103" t="s">
        <v>165</v>
      </c>
      <c r="BE4" s="104" t="s">
        <v>166</v>
      </c>
      <c r="BF4" s="104" t="s">
        <v>167</v>
      </c>
      <c r="BG4" s="104" t="s">
        <v>168</v>
      </c>
      <c r="BH4" s="104" t="s">
        <v>169</v>
      </c>
      <c r="BI4" s="104" t="s">
        <v>170</v>
      </c>
      <c r="BJ4" s="102" t="s">
        <v>171</v>
      </c>
      <c r="BK4" s="102" t="s">
        <v>29</v>
      </c>
      <c r="BL4" s="102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29" t="s">
        <v>89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Sales Regular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176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2665.61</v>
      </c>
      <c r="AB6" s="27">
        <f>SO!AB6</f>
        <v>55977.770000000004</v>
      </c>
      <c r="AC6" s="27">
        <v>120</v>
      </c>
      <c r="AD6" s="27">
        <f>SO!AD6</f>
        <v>53312.160000000003</v>
      </c>
      <c r="AE6" s="27">
        <v>3</v>
      </c>
      <c r="AF6" s="27">
        <f>ROUND(G6/AE6,3)</f>
        <v>6.6669999999999998</v>
      </c>
      <c r="AG6" s="29" t="s">
        <v>86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Sales Regular</v>
      </c>
      <c r="AL6" s="27">
        <v>0</v>
      </c>
      <c r="AM6" s="27">
        <f>ROUND(((AL6*U6)/100),2)</f>
        <v>0</v>
      </c>
      <c r="AN6" s="27" t="str">
        <f>SO!AN6</f>
        <v>DOMESTIC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176</v>
      </c>
      <c r="BN6" s="27" t="s">
        <v>178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68850.36</v>
      </c>
      <c r="AC7" s="15" t="s">
        <v>40</v>
      </c>
      <c r="AD7" s="79">
        <f>SUM(AD5:AD6)</f>
        <v>64805.54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4.140625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.140625" style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2"/>
      <c r="AD1" s="122"/>
      <c r="AE1" s="122"/>
      <c r="AF1" s="122"/>
      <c r="AG1" s="32"/>
      <c r="AH1" s="32"/>
    </row>
    <row r="2" spans="1:66" ht="18">
      <c r="A2" s="122" t="s">
        <v>127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25" t="s">
        <v>35</v>
      </c>
      <c r="B3" s="125"/>
      <c r="C3" s="123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21" t="s">
        <v>131</v>
      </c>
      <c r="K4" s="21" t="s">
        <v>132</v>
      </c>
      <c r="L4" s="21" t="s">
        <v>133</v>
      </c>
      <c r="M4" s="22" t="s">
        <v>134</v>
      </c>
      <c r="N4" s="22" t="s">
        <v>135</v>
      </c>
      <c r="O4" s="22" t="s">
        <v>136</v>
      </c>
      <c r="P4" s="22" t="s">
        <v>137</v>
      </c>
      <c r="Q4" s="23" t="s">
        <v>138</v>
      </c>
      <c r="R4" s="22" t="s">
        <v>139</v>
      </c>
      <c r="S4" s="21" t="s">
        <v>140</v>
      </c>
      <c r="T4" s="21" t="s">
        <v>149</v>
      </c>
      <c r="U4" s="18" t="s">
        <v>141</v>
      </c>
      <c r="V4" s="18" t="s">
        <v>142</v>
      </c>
      <c r="W4" s="24" t="s">
        <v>143</v>
      </c>
      <c r="X4" s="24" t="s">
        <v>144</v>
      </c>
      <c r="Y4" s="24" t="s">
        <v>145</v>
      </c>
      <c r="Z4" s="24" t="s">
        <v>146</v>
      </c>
      <c r="AA4" s="24" t="s">
        <v>147</v>
      </c>
      <c r="AB4" s="25" t="s">
        <v>148</v>
      </c>
      <c r="AC4" s="25" t="s">
        <v>29</v>
      </c>
      <c r="AD4" s="26" t="s">
        <v>150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20" t="s">
        <v>151</v>
      </c>
      <c r="AP4" s="103" t="s">
        <v>152</v>
      </c>
      <c r="AQ4" s="103" t="s">
        <v>153</v>
      </c>
      <c r="AR4" s="96" t="s">
        <v>154</v>
      </c>
      <c r="AS4" s="96" t="s">
        <v>155</v>
      </c>
      <c r="AT4" s="96" t="s">
        <v>156</v>
      </c>
      <c r="AU4" s="98" t="s">
        <v>157</v>
      </c>
      <c r="AV4" s="98" t="s">
        <v>158</v>
      </c>
      <c r="AW4" s="98" t="s">
        <v>159</v>
      </c>
      <c r="AX4" s="98" t="s">
        <v>160</v>
      </c>
      <c r="AY4" s="98" t="s">
        <v>161</v>
      </c>
      <c r="AZ4" s="98" t="s">
        <v>162</v>
      </c>
      <c r="BA4" s="105" t="s">
        <v>163</v>
      </c>
      <c r="BB4" s="21" t="s">
        <v>173</v>
      </c>
      <c r="BC4" s="103" t="s">
        <v>164</v>
      </c>
      <c r="BD4" s="103" t="s">
        <v>165</v>
      </c>
      <c r="BE4" s="104" t="s">
        <v>166</v>
      </c>
      <c r="BF4" s="104" t="s">
        <v>167</v>
      </c>
      <c r="BG4" s="104" t="s">
        <v>168</v>
      </c>
      <c r="BH4" s="104" t="s">
        <v>169</v>
      </c>
      <c r="BI4" s="104" t="s">
        <v>170</v>
      </c>
      <c r="BJ4" s="102" t="s">
        <v>171</v>
      </c>
      <c r="BK4" s="102" t="s">
        <v>29</v>
      </c>
      <c r="BL4" s="102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29" t="s">
        <v>89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Sales Regular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176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2665.61</v>
      </c>
      <c r="AB6" s="27">
        <f>SO!AB6</f>
        <v>55977.770000000004</v>
      </c>
      <c r="AC6" s="27">
        <v>120</v>
      </c>
      <c r="AD6" s="27">
        <f>SO!AD6</f>
        <v>53312.160000000003</v>
      </c>
      <c r="AE6" s="27">
        <v>3</v>
      </c>
      <c r="AF6" s="27">
        <f>ROUND(G6/AE6,3)</f>
        <v>6.6669999999999998</v>
      </c>
      <c r="AG6" s="29" t="s">
        <v>86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Sales Regular</v>
      </c>
      <c r="AL6" s="27">
        <v>0</v>
      </c>
      <c r="AM6" s="27">
        <f>ROUND(((AL6*U6)/100),2)</f>
        <v>0</v>
      </c>
      <c r="AN6" s="27" t="str">
        <f>SO!AN6</f>
        <v>DOMESTIC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176</v>
      </c>
      <c r="BN6" s="27" t="s">
        <v>178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68850.36</v>
      </c>
      <c r="AC7" s="15" t="s">
        <v>40</v>
      </c>
      <c r="AD7" s="79">
        <f>SUM(AD5:AD6)</f>
        <v>64805.54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17"/>
      <c r="AD1" s="117"/>
      <c r="AE1" s="117"/>
      <c r="AF1" s="117"/>
      <c r="AG1" s="32"/>
      <c r="AH1" s="32"/>
    </row>
    <row r="2" spans="1:66" ht="18">
      <c r="A2" s="117" t="s">
        <v>127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25" t="s">
        <v>35</v>
      </c>
      <c r="B3" s="125"/>
      <c r="C3" s="118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21" t="s">
        <v>131</v>
      </c>
      <c r="K4" s="21" t="s">
        <v>132</v>
      </c>
      <c r="L4" s="21" t="s">
        <v>133</v>
      </c>
      <c r="M4" s="22" t="s">
        <v>134</v>
      </c>
      <c r="N4" s="22" t="s">
        <v>135</v>
      </c>
      <c r="O4" s="22" t="s">
        <v>136</v>
      </c>
      <c r="P4" s="22" t="s">
        <v>137</v>
      </c>
      <c r="Q4" s="23" t="s">
        <v>138</v>
      </c>
      <c r="R4" s="22" t="s">
        <v>139</v>
      </c>
      <c r="S4" s="21" t="s">
        <v>140</v>
      </c>
      <c r="T4" s="21" t="s">
        <v>149</v>
      </c>
      <c r="U4" s="18" t="s">
        <v>141</v>
      </c>
      <c r="V4" s="18" t="s">
        <v>142</v>
      </c>
      <c r="W4" s="24" t="s">
        <v>143</v>
      </c>
      <c r="X4" s="24" t="s">
        <v>144</v>
      </c>
      <c r="Y4" s="24" t="s">
        <v>145</v>
      </c>
      <c r="Z4" s="24" t="s">
        <v>146</v>
      </c>
      <c r="AA4" s="24" t="s">
        <v>147</v>
      </c>
      <c r="AB4" s="25" t="s">
        <v>148</v>
      </c>
      <c r="AC4" s="25" t="s">
        <v>29</v>
      </c>
      <c r="AD4" s="26" t="s">
        <v>150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20" t="s">
        <v>151</v>
      </c>
      <c r="AP4" s="103" t="s">
        <v>152</v>
      </c>
      <c r="AQ4" s="103" t="s">
        <v>153</v>
      </c>
      <c r="AR4" s="96" t="s">
        <v>154</v>
      </c>
      <c r="AS4" s="96" t="s">
        <v>155</v>
      </c>
      <c r="AT4" s="96" t="s">
        <v>156</v>
      </c>
      <c r="AU4" s="98" t="s">
        <v>157</v>
      </c>
      <c r="AV4" s="98" t="s">
        <v>158</v>
      </c>
      <c r="AW4" s="98" t="s">
        <v>159</v>
      </c>
      <c r="AX4" s="98" t="s">
        <v>160</v>
      </c>
      <c r="AY4" s="98" t="s">
        <v>161</v>
      </c>
      <c r="AZ4" s="98" t="s">
        <v>162</v>
      </c>
      <c r="BA4" s="105" t="s">
        <v>163</v>
      </c>
      <c r="BB4" s="21" t="s">
        <v>173</v>
      </c>
      <c r="BC4" s="103" t="s">
        <v>164</v>
      </c>
      <c r="BD4" s="103" t="s">
        <v>165</v>
      </c>
      <c r="BE4" s="104" t="s">
        <v>166</v>
      </c>
      <c r="BF4" s="104" t="s">
        <v>167</v>
      </c>
      <c r="BG4" s="104" t="s">
        <v>168</v>
      </c>
      <c r="BH4" s="104" t="s">
        <v>169</v>
      </c>
      <c r="BI4" s="104" t="s">
        <v>170</v>
      </c>
      <c r="BJ4" s="102" t="s">
        <v>171</v>
      </c>
      <c r="BK4" s="102" t="s">
        <v>29</v>
      </c>
      <c r="BL4" s="102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29" t="s">
        <v>89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Sales Regular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176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2665.61</v>
      </c>
      <c r="AB6" s="27">
        <f>SO!AB6</f>
        <v>55977.770000000004</v>
      </c>
      <c r="AC6" s="27">
        <v>120</v>
      </c>
      <c r="AD6" s="27">
        <f>SO!AD6</f>
        <v>53312.160000000003</v>
      </c>
      <c r="AE6" s="27">
        <v>3</v>
      </c>
      <c r="AF6" s="27">
        <f>ROUND(G6/AE6,3)</f>
        <v>6.6669999999999998</v>
      </c>
      <c r="AG6" s="29" t="s">
        <v>86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Sales Regular</v>
      </c>
      <c r="AL6" s="27">
        <v>0</v>
      </c>
      <c r="AM6" s="27">
        <f>ROUND(((AL6*U6)/100),2)</f>
        <v>0</v>
      </c>
      <c r="AN6" s="27" t="str">
        <f>SO!AN6</f>
        <v>DOMESTIC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176</v>
      </c>
      <c r="BN6" s="27" t="s">
        <v>178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68850.36</v>
      </c>
      <c r="AC7" s="15" t="s">
        <v>40</v>
      </c>
      <c r="AD7" s="79">
        <f>SUM(AD5:AD6)</f>
        <v>64805.54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X1" zoomScale="85" zoomScaleNormal="85" workbookViewId="0">
      <selection activeCell="BE7" sqref="BE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94"/>
      <c r="AD1" s="94"/>
      <c r="AE1" s="94"/>
      <c r="AF1" s="94"/>
      <c r="AG1" s="32"/>
      <c r="AH1" s="32"/>
    </row>
    <row r="2" spans="1:66" ht="18">
      <c r="A2" s="94" t="s">
        <v>127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25" t="s">
        <v>35</v>
      </c>
      <c r="B3" s="125"/>
      <c r="C3" s="95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96" t="s">
        <v>131</v>
      </c>
      <c r="K4" s="96" t="s">
        <v>132</v>
      </c>
      <c r="L4" s="96" t="s">
        <v>133</v>
      </c>
      <c r="M4" s="97" t="s">
        <v>134</v>
      </c>
      <c r="N4" s="97" t="s">
        <v>135</v>
      </c>
      <c r="O4" s="97" t="s">
        <v>136</v>
      </c>
      <c r="P4" s="97" t="s">
        <v>137</v>
      </c>
      <c r="Q4" s="98" t="s">
        <v>138</v>
      </c>
      <c r="R4" s="97" t="s">
        <v>139</v>
      </c>
      <c r="S4" s="96" t="s">
        <v>140</v>
      </c>
      <c r="T4" s="21" t="s">
        <v>149</v>
      </c>
      <c r="U4" s="99" t="s">
        <v>141</v>
      </c>
      <c r="V4" s="99" t="s">
        <v>142</v>
      </c>
      <c r="W4" s="100" t="s">
        <v>143</v>
      </c>
      <c r="X4" s="100" t="s">
        <v>144</v>
      </c>
      <c r="Y4" s="100" t="s">
        <v>145</v>
      </c>
      <c r="Z4" s="100" t="s">
        <v>146</v>
      </c>
      <c r="AA4" s="100" t="s">
        <v>147</v>
      </c>
      <c r="AB4" s="101" t="s">
        <v>148</v>
      </c>
      <c r="AC4" s="101" t="s">
        <v>29</v>
      </c>
      <c r="AD4" s="102" t="s">
        <v>150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103" t="s">
        <v>151</v>
      </c>
      <c r="AP4" s="103" t="s">
        <v>152</v>
      </c>
      <c r="AQ4" s="103" t="s">
        <v>153</v>
      </c>
      <c r="AR4" s="96" t="s">
        <v>154</v>
      </c>
      <c r="AS4" s="96" t="s">
        <v>155</v>
      </c>
      <c r="AT4" s="96" t="s">
        <v>156</v>
      </c>
      <c r="AU4" s="98" t="s">
        <v>157</v>
      </c>
      <c r="AV4" s="98" t="s">
        <v>158</v>
      </c>
      <c r="AW4" s="98" t="s">
        <v>159</v>
      </c>
      <c r="AX4" s="98" t="s">
        <v>160</v>
      </c>
      <c r="AY4" s="98" t="s">
        <v>161</v>
      </c>
      <c r="AZ4" s="98" t="s">
        <v>162</v>
      </c>
      <c r="BA4" s="105" t="s">
        <v>163</v>
      </c>
      <c r="BB4" s="21" t="s">
        <v>173</v>
      </c>
      <c r="BC4" s="103" t="s">
        <v>164</v>
      </c>
      <c r="BD4" s="103" t="s">
        <v>165</v>
      </c>
      <c r="BE4" s="104" t="s">
        <v>166</v>
      </c>
      <c r="BF4" s="104" t="s">
        <v>167</v>
      </c>
      <c r="BG4" s="104" t="s">
        <v>168</v>
      </c>
      <c r="BH4" s="104" t="s">
        <v>169</v>
      </c>
      <c r="BI4" s="104" t="s">
        <v>170</v>
      </c>
      <c r="BJ4" s="102" t="s">
        <v>171</v>
      </c>
      <c r="BK4" s="102" t="s">
        <v>29</v>
      </c>
      <c r="BL4" s="102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35" t="s">
        <v>89</v>
      </c>
      <c r="AH5" s="35" t="s">
        <v>55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DOMESTIC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2665.61</v>
      </c>
      <c r="AB6" s="67">
        <f>SO!AB6</f>
        <v>55977.770000000004</v>
      </c>
      <c r="AC6" s="67">
        <v>120</v>
      </c>
      <c r="AD6" s="67">
        <f>SO!AD6</f>
        <v>53312.160000000003</v>
      </c>
      <c r="AE6" s="67">
        <v>3</v>
      </c>
      <c r="AF6" s="67">
        <f>ROUND(G6/AE6,3)</f>
        <v>6.6669999999999998</v>
      </c>
      <c r="AG6" s="35" t="s">
        <v>86</v>
      </c>
      <c r="AH6" s="35" t="s">
        <v>56</v>
      </c>
      <c r="AI6" s="107">
        <f>ROUND((AG6-AF6),3)</f>
        <v>1368.335</v>
      </c>
      <c r="AJ6" s="67" t="s">
        <v>50</v>
      </c>
      <c r="AK6" s="67" t="s">
        <v>63</v>
      </c>
      <c r="AL6" s="67">
        <v>0</v>
      </c>
      <c r="AM6" s="67">
        <f>ROUND(((AL6*U6)/100),2)</f>
        <v>0</v>
      </c>
      <c r="AN6" s="67" t="str">
        <f>SO!AN6</f>
        <v>DOMESTIC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DOMESTIC</v>
      </c>
      <c r="BN6" s="27" t="s">
        <v>178</v>
      </c>
    </row>
    <row r="7" spans="1:66" ht="15">
      <c r="A7" s="27">
        <v>3</v>
      </c>
      <c r="B7" s="85" t="s">
        <v>125</v>
      </c>
      <c r="C7" s="80">
        <v>0</v>
      </c>
      <c r="D7" s="85" t="s">
        <v>125</v>
      </c>
      <c r="E7" s="106" t="s">
        <v>179</v>
      </c>
      <c r="F7" s="106" t="s">
        <v>179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180</v>
      </c>
      <c r="AF7" s="31"/>
      <c r="AG7" s="31"/>
      <c r="AH7" s="31"/>
      <c r="AI7" s="31"/>
      <c r="AJ7" s="31"/>
      <c r="AK7" s="31"/>
      <c r="AL7" s="31"/>
      <c r="AM7" s="31"/>
      <c r="AN7" s="27" t="s">
        <v>120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176</v>
      </c>
      <c r="BN7" s="27" t="s">
        <v>181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68850.36</v>
      </c>
      <c r="AC8" s="15" t="s">
        <v>40</v>
      </c>
      <c r="AD8" s="79">
        <f>SUM(AD5:AD7)</f>
        <v>64805.54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N16"/>
  <sheetViews>
    <sheetView showGridLines="0" tabSelected="1" zoomScale="85" zoomScaleNormal="85" workbookViewId="0">
      <selection activeCell="Y20" sqref="Y20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0" ht="27.75" customHeight="1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94"/>
      <c r="AD1" s="94"/>
      <c r="AE1" s="94"/>
      <c r="AF1" s="94"/>
      <c r="AG1" s="32"/>
      <c r="AH1" s="32"/>
    </row>
    <row r="2" spans="1:40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0" ht="19.899999999999999" customHeight="1" thickBot="1">
      <c r="A3" s="125" t="s">
        <v>35</v>
      </c>
      <c r="B3" s="125"/>
      <c r="C3" s="95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192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X5+Y5+Z5</f>
        <v>1379.21</v>
      </c>
      <c r="AB5" s="27">
        <f>U5+AA5</f>
        <v>12872.59</v>
      </c>
      <c r="AC5" s="27">
        <v>120</v>
      </c>
      <c r="AD5" s="27">
        <f>U5*$N$3</f>
        <v>11493.38</v>
      </c>
      <c r="AE5" s="27">
        <v>1</v>
      </c>
      <c r="AF5" s="27">
        <f>G5/AE5</f>
        <v>10</v>
      </c>
      <c r="AG5" s="35" t="s">
        <v>89</v>
      </c>
      <c r="AH5" s="35" t="s">
        <v>55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X6+Y6+Z6</f>
        <v>2665.61</v>
      </c>
      <c r="AB6" s="27">
        <f>U6+AA6</f>
        <v>55977.770000000004</v>
      </c>
      <c r="AC6" s="27">
        <v>120</v>
      </c>
      <c r="AD6" s="27">
        <f>U6*$N$3</f>
        <v>53312.160000000003</v>
      </c>
      <c r="AE6" s="27">
        <v>3</v>
      </c>
      <c r="AF6" s="27">
        <f>ROUND(G6/AE6,3)</f>
        <v>6.6669999999999998</v>
      </c>
      <c r="AG6" s="35" t="s">
        <v>86</v>
      </c>
      <c r="AH6" s="35" t="s">
        <v>56</v>
      </c>
      <c r="AI6" s="29">
        <f>ROUND((AG6-AF6),3)</f>
        <v>1368.335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68850.36</v>
      </c>
      <c r="AC7" s="15" t="s">
        <v>40</v>
      </c>
      <c r="AD7" s="79">
        <f>SUM(AD5:AD6)</f>
        <v>64805.54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0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1" max="11" width="10.42578125" customWidth="1"/>
    <col min="13" max="13" width="12.5703125" customWidth="1"/>
    <col min="14" max="14" width="11.7109375" customWidth="1"/>
    <col min="15" max="15" width="13.28515625" customWidth="1"/>
    <col min="16" max="16" width="10.5703125" bestFit="1" customWidth="1"/>
    <col min="18" max="18" width="14.7109375" bestFit="1" customWidth="1"/>
    <col min="19" max="19" width="11" customWidth="1"/>
    <col min="20" max="20" width="17.85546875" bestFit="1" customWidth="1"/>
    <col min="21" max="21" width="10.7109375" bestFit="1" customWidth="1"/>
    <col min="22" max="22" width="14" bestFit="1" customWidth="1"/>
    <col min="23" max="23" width="11.140625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6" max="36" width="14.85546875" customWidth="1"/>
    <col min="37" max="37" width="15" customWidth="1"/>
    <col min="40" max="40" width="11" bestFit="1" customWidth="1"/>
  </cols>
  <sheetData>
    <row r="1" spans="1:40" ht="18">
      <c r="A1" s="124" t="s">
        <v>42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25" t="s">
        <v>35</v>
      </c>
      <c r="B3" s="125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>
        <v>89</v>
      </c>
      <c r="AH5" t="s">
        <v>55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>
        <v>86</v>
      </c>
      <c r="AH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74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75</v>
      </c>
      <c r="D10" s="56" t="s">
        <v>0</v>
      </c>
      <c r="E10" s="56" t="s">
        <v>38</v>
      </c>
      <c r="F10" s="56" t="s">
        <v>76</v>
      </c>
      <c r="G10" s="56" t="s">
        <v>77</v>
      </c>
      <c r="H10" s="57" t="s">
        <v>185</v>
      </c>
      <c r="I10" s="57" t="s">
        <v>182</v>
      </c>
      <c r="J10" s="57" t="s">
        <v>183</v>
      </c>
      <c r="K10" s="111" t="s">
        <v>143</v>
      </c>
      <c r="L10" s="111" t="s">
        <v>144</v>
      </c>
      <c r="M10" s="111" t="s">
        <v>145</v>
      </c>
      <c r="N10" s="58" t="s">
        <v>146</v>
      </c>
      <c r="O10" s="59" t="s">
        <v>147</v>
      </c>
      <c r="P10" s="57" t="s">
        <v>186</v>
      </c>
      <c r="Q10" s="57" t="s">
        <v>184</v>
      </c>
      <c r="R10" s="58" t="s">
        <v>166</v>
      </c>
      <c r="S10" s="111" t="s">
        <v>167</v>
      </c>
      <c r="T10" s="58" t="s">
        <v>168</v>
      </c>
      <c r="U10" s="58" t="s">
        <v>169</v>
      </c>
      <c r="V10" s="112" t="s">
        <v>170</v>
      </c>
      <c r="W10" s="112" t="s">
        <v>187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81</v>
      </c>
      <c r="E11" s="61">
        <v>0</v>
      </c>
      <c r="F11" s="62" t="s">
        <v>82</v>
      </c>
      <c r="G11" s="62" t="s">
        <v>83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178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84</v>
      </c>
      <c r="E12" s="62">
        <v>0</v>
      </c>
      <c r="F12" s="62" t="s">
        <v>85</v>
      </c>
      <c r="G12" s="62" t="s">
        <v>79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178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189</v>
      </c>
      <c r="E13" s="62">
        <v>0</v>
      </c>
      <c r="F13" s="62" t="s">
        <v>189</v>
      </c>
      <c r="G13" s="116" t="s">
        <v>79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188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73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25"/>
      <c r="B17" s="125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SO Domestic UD (S&amp;D)</vt:lpstr>
      <vt:lpstr>Case 1</vt:lpstr>
      <vt:lpstr>Item Stocks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Qty</vt:lpstr>
      <vt:lpstr>SoAmendment PriceChange</vt:lpstr>
      <vt:lpstr>SO Amendment DiscountChange</vt:lpstr>
      <vt:lpstr>SO Amendment Different PC</vt:lpstr>
      <vt:lpstr>SO Amendment AdditionOfItem</vt:lpstr>
      <vt:lpstr>SO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Harikrishna</cp:lastModifiedBy>
  <dcterms:created xsi:type="dcterms:W3CDTF">2024-02-02T08:07:09Z</dcterms:created>
  <dcterms:modified xsi:type="dcterms:W3CDTF">2025-04-30T09:22:07Z</dcterms:modified>
</cp:coreProperties>
</file>