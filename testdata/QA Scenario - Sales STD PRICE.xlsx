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0" yWindow="2520" windowWidth="16215" windowHeight="5535" firstSheet="40" activeTab="42"/>
  </bookViews>
  <sheets>
    <sheet name="SO Domestic PL (S&amp;D)" sheetId="25" r:id="rId1"/>
    <sheet name="SO Export PL (S&amp;D)" sheetId="26" r:id="rId2"/>
    <sheet name="SO Domestic CP (S&amp;D)" sheetId="23" r:id="rId3"/>
    <sheet name="SO Export CP (S&amp;D)" sheetId="24" r:id="rId4"/>
    <sheet name="SO Export SP (S&amp;D)" sheetId="22" r:id="rId5"/>
    <sheet name="SO Domestic SP (S&amp;D)" sheetId="21" r:id="rId6"/>
    <sheet name="SO Export RC (S&amp;D)" sheetId="20" r:id="rId7"/>
    <sheet name="ShipSet" sheetId="28" r:id="rId8"/>
    <sheet name="Different Price Class (RC)" sheetId="27" r:id="rId9"/>
    <sheet name="SO Domestic RC (S&amp;D)" sheetId="19" r:id="rId10"/>
    <sheet name="SO Export UD (S&amp;D)" sheetId="18" r:id="rId11"/>
    <sheet name="SO Domestic UD (S&amp;D)" sheetId="17" r:id="rId12"/>
    <sheet name="Case 1" sheetId="1" r:id="rId13"/>
    <sheet name="Item Stocks" sheetId="3" state="hidden" r:id="rId14"/>
    <sheet name="SO UTGST" sheetId="36" r:id="rId15"/>
    <sheet name="Free Sample" sheetId="12" r:id="rId16"/>
    <sheet name="Free Replacement" sheetId="13" r:id="rId17"/>
    <sheet name="SCRAP" sheetId="5" r:id="rId18"/>
    <sheet name="SERVICE" sheetId="6" r:id="rId19"/>
    <sheet name="PROMOTIONAL" sheetId="8" r:id="rId20"/>
    <sheet name="Local Customer" sheetId="9" r:id="rId21"/>
    <sheet name="SEZ Customer" sheetId="10" r:id="rId22"/>
    <sheet name="CESS" sheetId="11" r:id="rId23"/>
    <sheet name="Demo Exhibition" sheetId="14" r:id="rId24"/>
    <sheet name="CHARGES" sheetId="15" r:id="rId25"/>
    <sheet name="SO Amendment Disc UTGST" sheetId="43" r:id="rId26"/>
    <sheet name="SO Amendment Price UTGST" sheetId="42" r:id="rId27"/>
    <sheet name="SO Amendment AddItem UTGST" sheetId="44" r:id="rId28"/>
    <sheet name="SO Amendment Qty UTGST" sheetId="37" r:id="rId29"/>
    <sheet name="SO Amendment Qty" sheetId="33" r:id="rId30"/>
    <sheet name="Disc Change" sheetId="40" r:id="rId31"/>
    <sheet name="Price Change" sheetId="39" r:id="rId32"/>
    <sheet name="Qty Change" sheetId="38" r:id="rId33"/>
    <sheet name="So Amend Price Local" sheetId="46" r:id="rId34"/>
    <sheet name="So Amend Disc Local" sheetId="47" r:id="rId35"/>
    <sheet name="So Amend Qty Local" sheetId="45" r:id="rId36"/>
    <sheet name="SO" sheetId="29" r:id="rId37"/>
    <sheet name="SoAmendment PriceChange" sheetId="34" r:id="rId38"/>
    <sheet name="SO Amendment DiscountChange" sheetId="35" r:id="rId39"/>
    <sheet name="SO Amendment Different PC" sheetId="32" r:id="rId40"/>
    <sheet name="SO Amendment AdditionOfItem" sheetId="30" r:id="rId41"/>
    <sheet name="Add of Item" sheetId="41" r:id="rId42"/>
    <sheet name="So Amend AddOfItem Local" sheetId="48" r:id="rId43"/>
    <sheet name="SO Amendment With Charges" sheetId="31" r:id="rId44"/>
  </sheets>
  <definedNames>
    <definedName name="_xlnm._FilterDatabase" localSheetId="41" hidden="1">'Add of Item'!$V$1:$V$9</definedName>
    <definedName name="_xlnm._FilterDatabase" localSheetId="12" hidden="1">'Case 1'!$V$1:$V$8</definedName>
    <definedName name="_xlnm._FilterDatabase" localSheetId="22" hidden="1">CESS!$V$1:$V$8</definedName>
    <definedName name="_xlnm._FilterDatabase" localSheetId="23" hidden="1">'Demo Exhibition'!$V$1:$V$8</definedName>
    <definedName name="_xlnm._FilterDatabase" localSheetId="8" hidden="1">'Different Price Class (RC)'!$V$1:$V$8</definedName>
    <definedName name="_xlnm._FilterDatabase" localSheetId="30" hidden="1">'Disc Change'!$V$1:$V$8</definedName>
    <definedName name="_xlnm._FilterDatabase" localSheetId="16" hidden="1">'Free Replacement'!$V$1:$V$8</definedName>
    <definedName name="_xlnm._FilterDatabase" localSheetId="15" hidden="1">'Free Sample'!$V$1:$V$8</definedName>
    <definedName name="_xlnm._FilterDatabase" localSheetId="20" hidden="1">'Local Customer'!$V$1:$V$8</definedName>
    <definedName name="_xlnm._FilterDatabase" localSheetId="31" hidden="1">'Price Change'!$V$1:$V$8</definedName>
    <definedName name="_xlnm._FilterDatabase" localSheetId="19" hidden="1">PROMOTIONAL!$V$1:$V$8</definedName>
    <definedName name="_xlnm._FilterDatabase" localSheetId="32" hidden="1">'Qty Change'!$V$1:$V$8</definedName>
    <definedName name="_xlnm._FilterDatabase" localSheetId="17" hidden="1">SCRAP!$V$1:$V$7</definedName>
    <definedName name="_xlnm._FilterDatabase" localSheetId="18" hidden="1">SERVICE!$V$1:$V$7</definedName>
    <definedName name="_xlnm._FilterDatabase" localSheetId="21" hidden="1">'SEZ Customer'!$V$1:$V$8</definedName>
    <definedName name="_xlnm._FilterDatabase" localSheetId="7" hidden="1">ShipSet!$V$1:$V$8</definedName>
    <definedName name="_xlnm._FilterDatabase" localSheetId="36" hidden="1">SO!$V$1:$V$8</definedName>
    <definedName name="_xlnm._FilterDatabase" localSheetId="42" hidden="1">'So Amend AddOfItem Local'!$V$1:$V$9</definedName>
    <definedName name="_xlnm._FilterDatabase" localSheetId="34" hidden="1">'So Amend Disc Local'!$V$1:$V$8</definedName>
    <definedName name="_xlnm._FilterDatabase" localSheetId="33" hidden="1">'So Amend Price Local'!$V$1:$V$8</definedName>
    <definedName name="_xlnm._FilterDatabase" localSheetId="35" hidden="1">'So Amend Qty Local'!$V$1:$V$8</definedName>
    <definedName name="_xlnm._FilterDatabase" localSheetId="27" hidden="1">'SO Amendment AddItem UTGST'!$V$1:$V$9</definedName>
    <definedName name="_xlnm._FilterDatabase" localSheetId="40" hidden="1">'SO Amendment AdditionOfItem'!#REF!</definedName>
    <definedName name="_xlnm._FilterDatabase" localSheetId="39" hidden="1">'SO Amendment Different PC'!#REF!</definedName>
    <definedName name="_xlnm._FilterDatabase" localSheetId="25" hidden="1">'SO Amendment Disc UTGST'!$V$1:$V$8</definedName>
    <definedName name="_xlnm._FilterDatabase" localSheetId="38" hidden="1">'SO Amendment DiscountChange'!#REF!</definedName>
    <definedName name="_xlnm._FilterDatabase" localSheetId="26" hidden="1">'SO Amendment Price UTGST'!$V$1:$V$8</definedName>
    <definedName name="_xlnm._FilterDatabase" localSheetId="29" hidden="1">'SO Amendment Qty'!#REF!</definedName>
    <definedName name="_xlnm._FilterDatabase" localSheetId="28" hidden="1">'SO Amendment Qty UTGST'!$V$1:$V$8</definedName>
    <definedName name="_xlnm._FilterDatabase" localSheetId="2" hidden="1">'SO Domestic CP (S&amp;D)'!$V$1:$V$8</definedName>
    <definedName name="_xlnm._FilterDatabase" localSheetId="0" hidden="1">'SO Domestic PL (S&amp;D)'!$V$1:$V$8</definedName>
    <definedName name="_xlnm._FilterDatabase" localSheetId="9" hidden="1">'SO Domestic RC (S&amp;D)'!$V$1:$V$8</definedName>
    <definedName name="_xlnm._FilterDatabase" localSheetId="5" hidden="1">'SO Domestic SP (S&amp;D)'!$V$1:$V$8</definedName>
    <definedName name="_xlnm._FilterDatabase" localSheetId="11" hidden="1">'SO Domestic UD (S&amp;D)'!$V$1:$V$8</definedName>
    <definedName name="_xlnm._FilterDatabase" localSheetId="3" hidden="1">'SO Export CP (S&amp;D)'!$V$1:$V$8</definedName>
    <definedName name="_xlnm._FilterDatabase" localSheetId="1" hidden="1">'SO Export PL (S&amp;D)'!$V$1:$V$8</definedName>
    <definedName name="_xlnm._FilterDatabase" localSheetId="6" hidden="1">'SO Export RC (S&amp;D)'!$V$1:$V$8</definedName>
    <definedName name="_xlnm._FilterDatabase" localSheetId="4" hidden="1">'SO Export SP (S&amp;D)'!$V$1:$V$8</definedName>
    <definedName name="_xlnm._FilterDatabase" localSheetId="10" hidden="1">'SO Export UD (S&amp;D)'!$V$1:$V$8</definedName>
    <definedName name="_xlnm._FilterDatabase" localSheetId="14" hidden="1">'SO UTGST'!$V$1:$V$8</definedName>
    <definedName name="_xlnm._FilterDatabase" localSheetId="37" hidden="1">'SoAmendment PriceChange'!#REF!</definedName>
  </definedNames>
  <calcPr calcId="124519"/>
</workbook>
</file>

<file path=xl/calcChain.xml><?xml version="1.0" encoding="utf-8"?>
<calcChain xmlns="http://schemas.openxmlformats.org/spreadsheetml/2006/main">
  <c r="BF7" i="48"/>
  <c r="BN7"/>
  <c r="BL7"/>
  <c r="BK7"/>
  <c r="AT7"/>
  <c r="BN6"/>
  <c r="BL6"/>
  <c r="BK6"/>
  <c r="AT6"/>
  <c r="AL6"/>
  <c r="AI6"/>
  <c r="AC6"/>
  <c r="AA6"/>
  <c r="Z6"/>
  <c r="M6"/>
  <c r="N6" s="1"/>
  <c r="I6"/>
  <c r="BN5"/>
  <c r="BL5"/>
  <c r="BK5"/>
  <c r="AX5"/>
  <c r="AY5" s="1"/>
  <c r="AT5"/>
  <c r="AL5"/>
  <c r="AI5"/>
  <c r="AC5"/>
  <c r="AA5"/>
  <c r="Z5"/>
  <c r="I5"/>
  <c r="BN6" i="47"/>
  <c r="BL6"/>
  <c r="BK6"/>
  <c r="AT6"/>
  <c r="AL6"/>
  <c r="AI6"/>
  <c r="AC6"/>
  <c r="AA6"/>
  <c r="Z6"/>
  <c r="M6"/>
  <c r="N6" s="1"/>
  <c r="I6"/>
  <c r="BN5"/>
  <c r="BL5"/>
  <c r="BK5"/>
  <c r="AT5"/>
  <c r="AX5" s="1"/>
  <c r="AY5" s="1"/>
  <c r="AL5"/>
  <c r="AI5"/>
  <c r="AC5"/>
  <c r="AA5"/>
  <c r="Z5"/>
  <c r="I5"/>
  <c r="BN6" i="46"/>
  <c r="BL6"/>
  <c r="BK6"/>
  <c r="AT6"/>
  <c r="AL6"/>
  <c r="AI6"/>
  <c r="AC6"/>
  <c r="AA6"/>
  <c r="Z6"/>
  <c r="M6"/>
  <c r="N6" s="1"/>
  <c r="I6"/>
  <c r="BN5"/>
  <c r="BL5"/>
  <c r="BK5"/>
  <c r="AT5"/>
  <c r="AX5" s="1"/>
  <c r="AY5" s="1"/>
  <c r="AL5"/>
  <c r="AI5"/>
  <c r="AC5"/>
  <c r="AA5"/>
  <c r="Z5"/>
  <c r="I5"/>
  <c r="BN6" i="45"/>
  <c r="BL6"/>
  <c r="BK6"/>
  <c r="AT6"/>
  <c r="AX6" s="1"/>
  <c r="AY6" s="1"/>
  <c r="BN5"/>
  <c r="BL5"/>
  <c r="BK5"/>
  <c r="AT5"/>
  <c r="AI6"/>
  <c r="AL6" s="1"/>
  <c r="AC6"/>
  <c r="AA6"/>
  <c r="Z6"/>
  <c r="I6"/>
  <c r="M6" s="1"/>
  <c r="N6" s="1"/>
  <c r="AL5"/>
  <c r="AI5"/>
  <c r="AC5"/>
  <c r="AA5"/>
  <c r="Z5"/>
  <c r="I5"/>
  <c r="BR8" i="44"/>
  <c r="BP8"/>
  <c r="BD8"/>
  <c r="BN7"/>
  <c r="BK7"/>
  <c r="BJ7"/>
  <c r="AT7"/>
  <c r="BN6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X5"/>
  <c r="AY5" s="1"/>
  <c r="AT5"/>
  <c r="AQ5"/>
  <c r="AP5"/>
  <c r="AO5"/>
  <c r="AN5"/>
  <c r="AM5"/>
  <c r="AL5"/>
  <c r="AK5"/>
  <c r="AJ5"/>
  <c r="AI5"/>
  <c r="AH5"/>
  <c r="AG5"/>
  <c r="AF5"/>
  <c r="AE5"/>
  <c r="AD5"/>
  <c r="AC5"/>
  <c r="AA5"/>
  <c r="Z5"/>
  <c r="Y5"/>
  <c r="X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BN6" i="43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N6" i="42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X5"/>
  <c r="AY5" s="1"/>
  <c r="AT5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R8" i="41"/>
  <c r="BP8"/>
  <c r="BD8"/>
  <c r="BN7"/>
  <c r="BL7"/>
  <c r="BJ7"/>
  <c r="BI7"/>
  <c r="AX7"/>
  <c r="AY7" s="1"/>
  <c r="AT7"/>
  <c r="BN6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X5"/>
  <c r="AY5" s="1"/>
  <c r="AT5"/>
  <c r="AQ5"/>
  <c r="AP5"/>
  <c r="AO5"/>
  <c r="AN5"/>
  <c r="AM5"/>
  <c r="AL5"/>
  <c r="AK5"/>
  <c r="AJ5"/>
  <c r="AI5"/>
  <c r="AH5"/>
  <c r="AG5"/>
  <c r="AG8" s="1"/>
  <c r="AF5"/>
  <c r="AE5"/>
  <c r="AD5"/>
  <c r="AC5"/>
  <c r="AA5"/>
  <c r="Z5"/>
  <c r="Y5"/>
  <c r="X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BN6" i="40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N6" i="39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K5" i="38"/>
  <c r="BF5"/>
  <c r="Z5"/>
  <c r="BE5"/>
  <c r="BN6"/>
  <c r="BL6"/>
  <c r="BJ6"/>
  <c r="BI6"/>
  <c r="AT6"/>
  <c r="BN5"/>
  <c r="BL5"/>
  <c r="BJ5"/>
  <c r="BI5"/>
  <c r="AX5"/>
  <c r="AY5" s="1"/>
  <c r="AT5"/>
  <c r="AD6"/>
  <c r="AE6"/>
  <c r="AF6"/>
  <c r="AG6"/>
  <c r="AH6"/>
  <c r="AI6"/>
  <c r="AJ6"/>
  <c r="AK6"/>
  <c r="AL6"/>
  <c r="AM6"/>
  <c r="AN6"/>
  <c r="AO6"/>
  <c r="AP6"/>
  <c r="AQ6"/>
  <c r="AD5"/>
  <c r="AE5"/>
  <c r="AF5"/>
  <c r="AG5"/>
  <c r="AH5"/>
  <c r="AI5"/>
  <c r="AJ5"/>
  <c r="AK5"/>
  <c r="AL5"/>
  <c r="AM5"/>
  <c r="AN5"/>
  <c r="AO5"/>
  <c r="AP5"/>
  <c r="AQ5"/>
  <c r="AC6"/>
  <c r="AC5"/>
  <c r="Y6"/>
  <c r="Z6"/>
  <c r="AA6"/>
  <c r="Y5"/>
  <c r="AA5"/>
  <c r="X6"/>
  <c r="X5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A6"/>
  <c r="A5"/>
  <c r="BN6" i="37"/>
  <c r="BK6"/>
  <c r="BJ6"/>
  <c r="AT6"/>
  <c r="BN5"/>
  <c r="BK5"/>
  <c r="BJ5"/>
  <c r="AT5"/>
  <c r="AX5" s="1"/>
  <c r="AY5" s="1"/>
  <c r="AD6"/>
  <c r="AE6"/>
  <c r="AF6"/>
  <c r="AG6"/>
  <c r="AH6"/>
  <c r="AI6"/>
  <c r="AJ6"/>
  <c r="AK6"/>
  <c r="AL6"/>
  <c r="AM6"/>
  <c r="AN6"/>
  <c r="AO6"/>
  <c r="AP6"/>
  <c r="AQ6"/>
  <c r="AD5"/>
  <c r="AE5"/>
  <c r="AF5"/>
  <c r="AG5"/>
  <c r="AH5"/>
  <c r="AI5"/>
  <c r="AJ5"/>
  <c r="AK5"/>
  <c r="AL5"/>
  <c r="AM5"/>
  <c r="AN5"/>
  <c r="AO5"/>
  <c r="AP5"/>
  <c r="AQ5"/>
  <c r="AC6"/>
  <c r="AC5"/>
  <c r="Y6"/>
  <c r="Z6"/>
  <c r="AA6"/>
  <c r="Y5"/>
  <c r="Z5"/>
  <c r="AA5"/>
  <c r="X6"/>
  <c r="X5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A6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A5"/>
  <c r="AI6" i="36"/>
  <c r="AL6" s="1"/>
  <c r="AC6"/>
  <c r="AA6"/>
  <c r="Y6"/>
  <c r="X6"/>
  <c r="I6"/>
  <c r="AL5"/>
  <c r="AI5"/>
  <c r="AC5"/>
  <c r="AA5"/>
  <c r="Y5"/>
  <c r="X5"/>
  <c r="M5"/>
  <c r="N5" s="1"/>
  <c r="I5"/>
  <c r="Z6" i="27"/>
  <c r="T6"/>
  <c r="S6"/>
  <c r="R6"/>
  <c r="Q6"/>
  <c r="P6"/>
  <c r="O6"/>
  <c r="N6"/>
  <c r="M6"/>
  <c r="I6"/>
  <c r="AE7" i="8"/>
  <c r="AP6" i="29"/>
  <c r="AL6"/>
  <c r="AI6"/>
  <c r="AG6"/>
  <c r="AC6"/>
  <c r="AA6"/>
  <c r="Z6"/>
  <c r="Y6"/>
  <c r="AD6" s="1"/>
  <c r="X6"/>
  <c r="AP5"/>
  <c r="AL5"/>
  <c r="AI5"/>
  <c r="AG5"/>
  <c r="AG7" s="1"/>
  <c r="AC5"/>
  <c r="AA5"/>
  <c r="Z5"/>
  <c r="Y5"/>
  <c r="X5"/>
  <c r="AD5" s="1"/>
  <c r="AA6" i="19"/>
  <c r="AD6" s="1"/>
  <c r="AE6" s="1"/>
  <c r="AE7" s="1"/>
  <c r="Z6"/>
  <c r="Y6"/>
  <c r="X6"/>
  <c r="U6"/>
  <c r="T6"/>
  <c r="S6"/>
  <c r="R6"/>
  <c r="Q6"/>
  <c r="P6"/>
  <c r="O6"/>
  <c r="N6"/>
  <c r="M6"/>
  <c r="I6"/>
  <c r="AG6"/>
  <c r="AG5"/>
  <c r="AE5"/>
  <c r="AD5"/>
  <c r="AA5"/>
  <c r="Z5"/>
  <c r="Y5"/>
  <c r="X5"/>
  <c r="U5"/>
  <c r="T5"/>
  <c r="S5"/>
  <c r="R5"/>
  <c r="Q5"/>
  <c r="P5"/>
  <c r="O5"/>
  <c r="N5"/>
  <c r="M5"/>
  <c r="I5"/>
  <c r="AP5" i="6"/>
  <c r="AL5"/>
  <c r="AI5"/>
  <c r="AG5"/>
  <c r="AD5"/>
  <c r="AE5" s="1"/>
  <c r="AC5"/>
  <c r="AA5"/>
  <c r="Z5"/>
  <c r="Y5"/>
  <c r="X5"/>
  <c r="AP5" i="5"/>
  <c r="AL5"/>
  <c r="AI5"/>
  <c r="AG5"/>
  <c r="AC5"/>
  <c r="AA5"/>
  <c r="Z5"/>
  <c r="Y5"/>
  <c r="X5"/>
  <c r="AB6"/>
  <c r="AP6" i="15"/>
  <c r="AI6"/>
  <c r="AL6" s="1"/>
  <c r="AG6"/>
  <c r="AC6"/>
  <c r="AA6"/>
  <c r="Z6"/>
  <c r="Y6"/>
  <c r="X6"/>
  <c r="AD6" s="1"/>
  <c r="AE6" s="1"/>
  <c r="AP5"/>
  <c r="AL5"/>
  <c r="AI5"/>
  <c r="AG5"/>
  <c r="AG7" s="1"/>
  <c r="AC5"/>
  <c r="AA5"/>
  <c r="Z5"/>
  <c r="Y5"/>
  <c r="AD5" s="1"/>
  <c r="AE5" s="1"/>
  <c r="AE7" s="1"/>
  <c r="X5"/>
  <c r="AP6" i="14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11"/>
  <c r="AI6"/>
  <c r="AL6" s="1"/>
  <c r="AG6"/>
  <c r="AC6"/>
  <c r="AA6"/>
  <c r="Z6"/>
  <c r="Y6"/>
  <c r="X6"/>
  <c r="AD6" s="1"/>
  <c r="AE6" s="1"/>
  <c r="AP5"/>
  <c r="AL5"/>
  <c r="AI5"/>
  <c r="AG5"/>
  <c r="AG7" s="1"/>
  <c r="AC5"/>
  <c r="AA5"/>
  <c r="Z5"/>
  <c r="Y5"/>
  <c r="AD5" s="1"/>
  <c r="AE5" s="1"/>
  <c r="AE7" s="1"/>
  <c r="X5"/>
  <c r="AP6" i="9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P6" i="13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12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5"/>
  <c r="AL6"/>
  <c r="AI6"/>
  <c r="AG6"/>
  <c r="AC6"/>
  <c r="AA6"/>
  <c r="Z6"/>
  <c r="Y6"/>
  <c r="X6"/>
  <c r="AP5"/>
  <c r="AL5"/>
  <c r="AI5"/>
  <c r="AG5"/>
  <c r="AG7" s="1"/>
  <c r="AC5"/>
  <c r="AA5"/>
  <c r="Z5"/>
  <c r="Y5"/>
  <c r="X5"/>
  <c r="AD5" s="1"/>
  <c r="AE5" s="1"/>
  <c r="AP6" i="26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3"/>
  <c r="AL6"/>
  <c r="AI6"/>
  <c r="AG6"/>
  <c r="AC6"/>
  <c r="AA6"/>
  <c r="Z6"/>
  <c r="Y6"/>
  <c r="X6"/>
  <c r="AP5"/>
  <c r="AL5"/>
  <c r="AI5"/>
  <c r="AG5"/>
  <c r="AG7" s="1"/>
  <c r="AC5"/>
  <c r="AA5"/>
  <c r="Z5"/>
  <c r="Y5"/>
  <c r="X5"/>
  <c r="AP6" i="24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2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1"/>
  <c r="AL6"/>
  <c r="AI6"/>
  <c r="AG6"/>
  <c r="AC6"/>
  <c r="AA6"/>
  <c r="Z6"/>
  <c r="Y6"/>
  <c r="AD6" s="1"/>
  <c r="AE6" s="1"/>
  <c r="X6"/>
  <c r="AL5"/>
  <c r="AI5"/>
  <c r="AC5"/>
  <c r="AA5"/>
  <c r="Y5"/>
  <c r="X5"/>
  <c r="AP6" i="20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7"/>
  <c r="AL6"/>
  <c r="AI6"/>
  <c r="AG6"/>
  <c r="AC6"/>
  <c r="AA6"/>
  <c r="Y6"/>
  <c r="X6"/>
  <c r="AP5"/>
  <c r="AL5"/>
  <c r="AI5"/>
  <c r="AG5"/>
  <c r="AG7" s="1"/>
  <c r="AC5"/>
  <c r="AA5"/>
  <c r="Z5"/>
  <c r="Y5"/>
  <c r="AD5" s="1"/>
  <c r="AE5" s="1"/>
  <c r="X5"/>
  <c r="AP6" i="19"/>
  <c r="AL6"/>
  <c r="AI6"/>
  <c r="AC6"/>
  <c r="AP5"/>
  <c r="AL5"/>
  <c r="AI5"/>
  <c r="AG7"/>
  <c r="AC5"/>
  <c r="AP6" i="1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17"/>
  <c r="AI6"/>
  <c r="AL6" s="1"/>
  <c r="AG6"/>
  <c r="AC6"/>
  <c r="AA6"/>
  <c r="Z6"/>
  <c r="Y6"/>
  <c r="X6"/>
  <c r="AP5"/>
  <c r="AL5"/>
  <c r="AI5"/>
  <c r="AG5"/>
  <c r="AG7" s="1"/>
  <c r="AC5"/>
  <c r="AA5"/>
  <c r="Z5"/>
  <c r="Y5"/>
  <c r="X5"/>
  <c r="AV5" i="33"/>
  <c r="BD6" i="30"/>
  <c r="BD5"/>
  <c r="BC6"/>
  <c r="BC5"/>
  <c r="AU6"/>
  <c r="AV6"/>
  <c r="AW6"/>
  <c r="AX6"/>
  <c r="AY6"/>
  <c r="AZ6"/>
  <c r="BA6"/>
  <c r="BB6"/>
  <c r="AU5"/>
  <c r="AV5"/>
  <c r="AW5"/>
  <c r="AX5"/>
  <c r="AY5"/>
  <c r="AZ5"/>
  <c r="BA5"/>
  <c r="BB5"/>
  <c r="AS6"/>
  <c r="AT6"/>
  <c r="AR6"/>
  <c r="AS5"/>
  <c r="AT5"/>
  <c r="AR5"/>
  <c r="AP6"/>
  <c r="AP5"/>
  <c r="AO6"/>
  <c r="AO5"/>
  <c r="BD6" i="35"/>
  <c r="BD5"/>
  <c r="AP6"/>
  <c r="AP5"/>
  <c r="AO6"/>
  <c r="AO5"/>
  <c r="BD6" i="34"/>
  <c r="BD5"/>
  <c r="AS6"/>
  <c r="AT6"/>
  <c r="AR6"/>
  <c r="AS5"/>
  <c r="AT5"/>
  <c r="AR5"/>
  <c r="AO5"/>
  <c r="AO6"/>
  <c r="BG6" i="35"/>
  <c r="BF6"/>
  <c r="AQ6"/>
  <c r="AU6" s="1"/>
  <c r="AV6" s="1"/>
  <c r="AN6"/>
  <c r="AK6"/>
  <c r="AF6"/>
  <c r="AI6" s="1"/>
  <c r="AB6"/>
  <c r="AA6"/>
  <c r="Z6"/>
  <c r="Y6"/>
  <c r="X6"/>
  <c r="W6"/>
  <c r="V6"/>
  <c r="U6"/>
  <c r="AM6" s="1"/>
  <c r="T6"/>
  <c r="S6"/>
  <c r="R6"/>
  <c r="Q6"/>
  <c r="P6"/>
  <c r="O6"/>
  <c r="N6"/>
  <c r="M6"/>
  <c r="L6"/>
  <c r="K6"/>
  <c r="J6"/>
  <c r="I6"/>
  <c r="H6"/>
  <c r="G6"/>
  <c r="BG5"/>
  <c r="BF5"/>
  <c r="AN5"/>
  <c r="AK5"/>
  <c r="AF5"/>
  <c r="AB5"/>
  <c r="AB7" s="1"/>
  <c r="AA5"/>
  <c r="Z5"/>
  <c r="Y5"/>
  <c r="X5"/>
  <c r="W5"/>
  <c r="V5"/>
  <c r="U5"/>
  <c r="AM5" s="1"/>
  <c r="T5"/>
  <c r="S5"/>
  <c r="S7" s="1"/>
  <c r="R5"/>
  <c r="Q5"/>
  <c r="P5"/>
  <c r="O5"/>
  <c r="N5"/>
  <c r="M5"/>
  <c r="L5"/>
  <c r="K5"/>
  <c r="J5"/>
  <c r="I5"/>
  <c r="H5"/>
  <c r="G5"/>
  <c r="AI5" s="1"/>
  <c r="D3"/>
  <c r="BG6" i="34"/>
  <c r="BF6"/>
  <c r="AQ6"/>
  <c r="AN6"/>
  <c r="AK6"/>
  <c r="AB6"/>
  <c r="AA6"/>
  <c r="Z6"/>
  <c r="Y6"/>
  <c r="X6"/>
  <c r="W6"/>
  <c r="V6"/>
  <c r="U6"/>
  <c r="AM6" s="1"/>
  <c r="T6"/>
  <c r="S6"/>
  <c r="R6"/>
  <c r="Q6"/>
  <c r="P6"/>
  <c r="O6"/>
  <c r="N6"/>
  <c r="M6"/>
  <c r="L6"/>
  <c r="K6"/>
  <c r="J6"/>
  <c r="I6"/>
  <c r="H6"/>
  <c r="G6"/>
  <c r="AF6" s="1"/>
  <c r="AI6" s="1"/>
  <c r="BG5"/>
  <c r="BF5"/>
  <c r="AQ5"/>
  <c r="AN5"/>
  <c r="AK5"/>
  <c r="AB5"/>
  <c r="AB7" s="1"/>
  <c r="AA5"/>
  <c r="Z5"/>
  <c r="Y5"/>
  <c r="X5"/>
  <c r="W5"/>
  <c r="V5"/>
  <c r="U5"/>
  <c r="AM5" s="1"/>
  <c r="T5"/>
  <c r="S5"/>
  <c r="S7" s="1"/>
  <c r="R5"/>
  <c r="Q5"/>
  <c r="P5"/>
  <c r="O5"/>
  <c r="N5"/>
  <c r="M5"/>
  <c r="L5"/>
  <c r="K5"/>
  <c r="J5"/>
  <c r="I5"/>
  <c r="H5"/>
  <c r="G5"/>
  <c r="AF5" s="1"/>
  <c r="D3"/>
  <c r="BD6" i="33"/>
  <c r="BD5"/>
  <c r="V5"/>
  <c r="AS6"/>
  <c r="AT6"/>
  <c r="AT5"/>
  <c r="AS5"/>
  <c r="AR6"/>
  <c r="AR5"/>
  <c r="AQ5"/>
  <c r="AP6"/>
  <c r="AP5"/>
  <c r="AU5" s="1"/>
  <c r="BG6"/>
  <c r="BF6"/>
  <c r="AQ6"/>
  <c r="AU6" s="1"/>
  <c r="AV6" s="1"/>
  <c r="AN6"/>
  <c r="AK6"/>
  <c r="AF6"/>
  <c r="AI6" s="1"/>
  <c r="AB6"/>
  <c r="AA6"/>
  <c r="Z6"/>
  <c r="Y6"/>
  <c r="X6"/>
  <c r="W6"/>
  <c r="V6"/>
  <c r="U6"/>
  <c r="AM6" s="1"/>
  <c r="T6"/>
  <c r="S6"/>
  <c r="R6"/>
  <c r="Q6"/>
  <c r="P6"/>
  <c r="O6"/>
  <c r="N6"/>
  <c r="M6"/>
  <c r="L6"/>
  <c r="K6"/>
  <c r="J6"/>
  <c r="I6"/>
  <c r="H6"/>
  <c r="G6"/>
  <c r="BG5"/>
  <c r="BF5"/>
  <c r="AN5"/>
  <c r="AK5"/>
  <c r="AF5"/>
  <c r="AB5"/>
  <c r="AB7" s="1"/>
  <c r="AA5"/>
  <c r="Z5"/>
  <c r="Y5"/>
  <c r="X5"/>
  <c r="W5"/>
  <c r="U5"/>
  <c r="AM5" s="1"/>
  <c r="T5"/>
  <c r="S5"/>
  <c r="S7" s="1"/>
  <c r="R5"/>
  <c r="Q5"/>
  <c r="P5"/>
  <c r="O5"/>
  <c r="N5"/>
  <c r="M5"/>
  <c r="L5"/>
  <c r="K5"/>
  <c r="J5"/>
  <c r="I5"/>
  <c r="H5"/>
  <c r="G5"/>
  <c r="AI5" s="1"/>
  <c r="D3"/>
  <c r="AN6" i="32"/>
  <c r="AN5"/>
  <c r="AK6"/>
  <c r="AK5"/>
  <c r="AC6" i="1"/>
  <c r="AC5"/>
  <c r="AA5"/>
  <c r="Z5"/>
  <c r="AA6"/>
  <c r="X6"/>
  <c r="X5"/>
  <c r="AX7" i="48" l="1"/>
  <c r="AY7" s="1"/>
  <c r="AZ7" s="1"/>
  <c r="O6"/>
  <c r="AZ5"/>
  <c r="O5"/>
  <c r="M5"/>
  <c r="N5" s="1"/>
  <c r="AX6"/>
  <c r="AY6" s="1"/>
  <c r="O6" i="47"/>
  <c r="AZ5"/>
  <c r="M5"/>
  <c r="N5" s="1"/>
  <c r="AX6"/>
  <c r="AY6" s="1"/>
  <c r="O6" i="46"/>
  <c r="AZ5"/>
  <c r="O5"/>
  <c r="M5"/>
  <c r="N5" s="1"/>
  <c r="AX6"/>
  <c r="AY6" s="1"/>
  <c r="AZ6" i="45"/>
  <c r="AX5"/>
  <c r="AY5" s="1"/>
  <c r="AZ5" s="1"/>
  <c r="O6"/>
  <c r="M5"/>
  <c r="N5" s="1"/>
  <c r="O5" s="1"/>
  <c r="AX7" i="44"/>
  <c r="AY7" s="1"/>
  <c r="AZ7" s="1"/>
  <c r="AZ5"/>
  <c r="AZ6"/>
  <c r="AX6"/>
  <c r="AY6" s="1"/>
  <c r="AZ5" i="43"/>
  <c r="AX6"/>
  <c r="AY6" s="1"/>
  <c r="AZ6" s="1"/>
  <c r="AZ5" i="42"/>
  <c r="AX6"/>
  <c r="AY6" s="1"/>
  <c r="AZ6" s="1"/>
  <c r="AZ7" i="41"/>
  <c r="BA7" s="1"/>
  <c r="AE8"/>
  <c r="S8"/>
  <c r="AZ5"/>
  <c r="AZ6"/>
  <c r="AX6"/>
  <c r="AY6" s="1"/>
  <c r="AZ5" i="40"/>
  <c r="AX6"/>
  <c r="AY6" s="1"/>
  <c r="AZ6" s="1"/>
  <c r="AZ5" i="39"/>
  <c r="AX6"/>
  <c r="AY6" s="1"/>
  <c r="AZ5" i="38"/>
  <c r="AX6"/>
  <c r="AY6" s="1"/>
  <c r="AZ6" s="1"/>
  <c r="AZ5" i="37"/>
  <c r="AX6"/>
  <c r="AY6" s="1"/>
  <c r="AZ6" s="1"/>
  <c r="O5" i="36"/>
  <c r="M6"/>
  <c r="N6" s="1"/>
  <c r="AD6" i="27"/>
  <c r="AE6" s="1"/>
  <c r="AE7" s="1"/>
  <c r="AD6" i="34"/>
  <c r="AE6" i="29"/>
  <c r="AD6" i="35"/>
  <c r="AD6" i="33"/>
  <c r="AD5" i="34"/>
  <c r="AD7" s="1"/>
  <c r="AD5" i="35"/>
  <c r="AD7" s="1"/>
  <c r="AE5" i="29"/>
  <c r="AD5" i="33"/>
  <c r="AD7" s="1"/>
  <c r="AE7" i="25"/>
  <c r="AD6"/>
  <c r="AE6" s="1"/>
  <c r="AD6" i="23"/>
  <c r="AE6" s="1"/>
  <c r="AD5"/>
  <c r="AE5" s="1"/>
  <c r="AD5" i="5"/>
  <c r="AE5" s="1"/>
  <c r="AD5" i="17"/>
  <c r="AE5" s="1"/>
  <c r="AE7" s="1"/>
  <c r="AD6"/>
  <c r="AE6" s="1"/>
  <c r="AQ5" i="35"/>
  <c r="AU5" s="1"/>
  <c r="AV5" s="1"/>
  <c r="AW5" s="1"/>
  <c r="AW6"/>
  <c r="AU5" i="34"/>
  <c r="AV5" s="1"/>
  <c r="AU6"/>
  <c r="AV6" s="1"/>
  <c r="AW6" s="1"/>
  <c r="AI5"/>
  <c r="AW5" i="33"/>
  <c r="AW6"/>
  <c r="BG6" i="32"/>
  <c r="BF6"/>
  <c r="AQ6"/>
  <c r="AM6"/>
  <c r="AF6"/>
  <c r="AI6" s="1"/>
  <c r="AD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BG5"/>
  <c r="BF5"/>
  <c r="AU5"/>
  <c r="AV5" s="1"/>
  <c r="AQ5"/>
  <c r="AD5"/>
  <c r="AD7" s="1"/>
  <c r="AB5"/>
  <c r="AA5"/>
  <c r="Z5"/>
  <c r="Y5"/>
  <c r="X5"/>
  <c r="W5"/>
  <c r="V5"/>
  <c r="U5"/>
  <c r="AM5" s="1"/>
  <c r="T5"/>
  <c r="S5"/>
  <c r="S7" s="1"/>
  <c r="R5"/>
  <c r="Q5"/>
  <c r="P5"/>
  <c r="O5"/>
  <c r="N5"/>
  <c r="M5"/>
  <c r="L5"/>
  <c r="K5"/>
  <c r="J5"/>
  <c r="I5"/>
  <c r="H5"/>
  <c r="G5"/>
  <c r="AI5" s="1"/>
  <c r="D3"/>
  <c r="I11" i="15"/>
  <c r="U13" i="31"/>
  <c r="T13"/>
  <c r="S13"/>
  <c r="V13" s="1"/>
  <c r="U12"/>
  <c r="T12"/>
  <c r="S12"/>
  <c r="U11"/>
  <c r="T11"/>
  <c r="S11"/>
  <c r="L14"/>
  <c r="O12"/>
  <c r="N12"/>
  <c r="M12"/>
  <c r="L12"/>
  <c r="M11"/>
  <c r="M14" s="1"/>
  <c r="L11"/>
  <c r="I7"/>
  <c r="AI6"/>
  <c r="AF6"/>
  <c r="Y6"/>
  <c r="X6"/>
  <c r="M6"/>
  <c r="N6" s="1"/>
  <c r="I6"/>
  <c r="AI5"/>
  <c r="AF5"/>
  <c r="Y5"/>
  <c r="X5"/>
  <c r="I5"/>
  <c r="BA7" i="48" l="1"/>
  <c r="BA5"/>
  <c r="BB5" s="1"/>
  <c r="BC5" s="1"/>
  <c r="AZ6"/>
  <c r="P5"/>
  <c r="Q5"/>
  <c r="R5" s="1"/>
  <c r="S5" s="1"/>
  <c r="P6"/>
  <c r="Q6"/>
  <c r="R6" s="1"/>
  <c r="AZ6" i="47"/>
  <c r="BA5"/>
  <c r="P6"/>
  <c r="O5"/>
  <c r="BA5" i="46"/>
  <c r="BB5" s="1"/>
  <c r="BC5" s="1"/>
  <c r="AZ6"/>
  <c r="P5"/>
  <c r="Q5"/>
  <c r="R5" s="1"/>
  <c r="S5" s="1"/>
  <c r="P6"/>
  <c r="Q6"/>
  <c r="R6" s="1"/>
  <c r="BA6" i="45"/>
  <c r="BA5"/>
  <c r="BB5" s="1"/>
  <c r="BC5" s="1"/>
  <c r="BD5" s="1"/>
  <c r="P5"/>
  <c r="Q5" s="1"/>
  <c r="R5" s="1"/>
  <c r="S5" s="1"/>
  <c r="P6"/>
  <c r="Q6" s="1"/>
  <c r="R6" s="1"/>
  <c r="BA7" i="44"/>
  <c r="BB7" s="1"/>
  <c r="BC7" s="1"/>
  <c r="BD7" s="1"/>
  <c r="BA6"/>
  <c r="BA5"/>
  <c r="BA6" i="43"/>
  <c r="BA5"/>
  <c r="BA6" i="42"/>
  <c r="BB6" s="1"/>
  <c r="BC6" s="1"/>
  <c r="BD6" s="1"/>
  <c r="BA5"/>
  <c r="BB7" i="41"/>
  <c r="BC7" s="1"/>
  <c r="BD7" s="1"/>
  <c r="BE7" s="1"/>
  <c r="BA5"/>
  <c r="BB5" s="1"/>
  <c r="BC5" s="1"/>
  <c r="BA6"/>
  <c r="BB6" s="1"/>
  <c r="BC6" s="1"/>
  <c r="BD6" s="1"/>
  <c r="BA5" i="40"/>
  <c r="BA6"/>
  <c r="BB6" s="1"/>
  <c r="BC6" s="1"/>
  <c r="BD6" s="1"/>
  <c r="BA5" i="39"/>
  <c r="AZ6"/>
  <c r="BA6" i="38"/>
  <c r="BB6" s="1"/>
  <c r="BC6" s="1"/>
  <c r="BA5"/>
  <c r="BA6" i="37"/>
  <c r="BA5"/>
  <c r="P5" i="36"/>
  <c r="O6"/>
  <c r="AB7" i="32"/>
  <c r="AE7" i="29"/>
  <c r="AE7" i="23"/>
  <c r="AX6" i="35"/>
  <c r="AY6" s="1"/>
  <c r="AZ6" s="1"/>
  <c r="AX5"/>
  <c r="AY5" s="1"/>
  <c r="AZ5" s="1"/>
  <c r="AX6" i="34"/>
  <c r="AY6" s="1"/>
  <c r="AZ6" s="1"/>
  <c r="AW5"/>
  <c r="AX5" i="33"/>
  <c r="AX6"/>
  <c r="AW5" i="32"/>
  <c r="AF5"/>
  <c r="AU6"/>
  <c r="AV6" s="1"/>
  <c r="V12" i="31"/>
  <c r="V11"/>
  <c r="O6"/>
  <c r="M5"/>
  <c r="N5" s="1"/>
  <c r="BB7" i="48" l="1"/>
  <c r="BC7" s="1"/>
  <c r="BD7" s="1"/>
  <c r="T5"/>
  <c r="U5"/>
  <c r="BA6"/>
  <c r="BB6"/>
  <c r="BC6" s="1"/>
  <c r="BD5"/>
  <c r="S6"/>
  <c r="P5" i="47"/>
  <c r="Q5"/>
  <c r="R5" s="1"/>
  <c r="BA6"/>
  <c r="BB6" s="1"/>
  <c r="BC6" s="1"/>
  <c r="Q6"/>
  <c r="R6" s="1"/>
  <c r="S6" s="1"/>
  <c r="BB5"/>
  <c r="BC5" s="1"/>
  <c r="BD5" s="1"/>
  <c r="T5" i="46"/>
  <c r="U5"/>
  <c r="BA6"/>
  <c r="BB6" s="1"/>
  <c r="BC6" s="1"/>
  <c r="BD5"/>
  <c r="S6"/>
  <c r="BE5" i="45"/>
  <c r="BF5"/>
  <c r="BB6"/>
  <c r="BC6" s="1"/>
  <c r="BD6" s="1"/>
  <c r="T5"/>
  <c r="U5"/>
  <c r="S6"/>
  <c r="BE7" i="44"/>
  <c r="BF7"/>
  <c r="BD5"/>
  <c r="BB5"/>
  <c r="BC5" s="1"/>
  <c r="BB6"/>
  <c r="BC6" s="1"/>
  <c r="BD6" s="1"/>
  <c r="BB5" i="43"/>
  <c r="BC5" s="1"/>
  <c r="BD5" s="1"/>
  <c r="BB6"/>
  <c r="BC6" s="1"/>
  <c r="BD6" s="1"/>
  <c r="BE6" i="42"/>
  <c r="BF6"/>
  <c r="BB5"/>
  <c r="BC5" s="1"/>
  <c r="BD5" s="1"/>
  <c r="BF7" i="41"/>
  <c r="BR7" s="1"/>
  <c r="BE6"/>
  <c r="BF6"/>
  <c r="BD5"/>
  <c r="BE6" i="40"/>
  <c r="BF6"/>
  <c r="BB5"/>
  <c r="BC5" s="1"/>
  <c r="BD5" s="1"/>
  <c r="BA6" i="39"/>
  <c r="BB5"/>
  <c r="BC5" s="1"/>
  <c r="BD5" s="1"/>
  <c r="BD6" i="38"/>
  <c r="BB5"/>
  <c r="BC5" s="1"/>
  <c r="BD5" s="1"/>
  <c r="BB5" i="37"/>
  <c r="BC5" s="1"/>
  <c r="BD5" s="1"/>
  <c r="BB6"/>
  <c r="BC6" s="1"/>
  <c r="BD6" s="1"/>
  <c r="P6" i="36"/>
  <c r="S5"/>
  <c r="Q5"/>
  <c r="R5" s="1"/>
  <c r="BA6" i="35"/>
  <c r="BA5"/>
  <c r="AX5" i="34"/>
  <c r="BA6"/>
  <c r="AY6" i="33"/>
  <c r="AZ6" s="1"/>
  <c r="BA6" s="1"/>
  <c r="AY5"/>
  <c r="AZ5" s="1"/>
  <c r="BA5" s="1"/>
  <c r="AW6" i="32"/>
  <c r="AX5"/>
  <c r="AY5" s="1"/>
  <c r="AZ5" s="1"/>
  <c r="P6" i="31"/>
  <c r="Q6"/>
  <c r="R6" s="1"/>
  <c r="O5"/>
  <c r="BE7" i="48" l="1"/>
  <c r="BF5"/>
  <c r="BE5"/>
  <c r="T6"/>
  <c r="U6"/>
  <c r="X5"/>
  <c r="Y5"/>
  <c r="AP5"/>
  <c r="AG5"/>
  <c r="AG8" s="1"/>
  <c r="BD6"/>
  <c r="T6" i="47"/>
  <c r="U6"/>
  <c r="S5"/>
  <c r="BF5"/>
  <c r="BE5"/>
  <c r="BD6"/>
  <c r="BF5" i="46"/>
  <c r="BE5"/>
  <c r="T6"/>
  <c r="U6"/>
  <c r="X5"/>
  <c r="Y5"/>
  <c r="AP5"/>
  <c r="AG5"/>
  <c r="AG7" s="1"/>
  <c r="BD6"/>
  <c r="BE6" i="45"/>
  <c r="BF6"/>
  <c r="BR5"/>
  <c r="BR7" s="1"/>
  <c r="BI5"/>
  <c r="BO5" s="1"/>
  <c r="BP5" s="1"/>
  <c r="BJ5"/>
  <c r="T6"/>
  <c r="U6"/>
  <c r="AP5"/>
  <c r="AG5"/>
  <c r="AG7" s="1"/>
  <c r="X5"/>
  <c r="AD5" s="1"/>
  <c r="AE5" s="1"/>
  <c r="Y5"/>
  <c r="BI7" i="44"/>
  <c r="BR7"/>
  <c r="BL7"/>
  <c r="BE6"/>
  <c r="BF6"/>
  <c r="BE5"/>
  <c r="BF5"/>
  <c r="BE6" i="43"/>
  <c r="BF6"/>
  <c r="BD7"/>
  <c r="BE5"/>
  <c r="BF5"/>
  <c r="BD7" i="42"/>
  <c r="BE5"/>
  <c r="BF5"/>
  <c r="BR6"/>
  <c r="BL6"/>
  <c r="BI6"/>
  <c r="BK7" i="41"/>
  <c r="BO7" s="1"/>
  <c r="BP7" s="1"/>
  <c r="BK6"/>
  <c r="BO6" s="1"/>
  <c r="BP6" s="1"/>
  <c r="BR6"/>
  <c r="BE5"/>
  <c r="BF5"/>
  <c r="BD7" i="40"/>
  <c r="BE5"/>
  <c r="BF5"/>
  <c r="BK6"/>
  <c r="BO6" s="1"/>
  <c r="BP6" s="1"/>
  <c r="BR6"/>
  <c r="BE5" i="39"/>
  <c r="BF5"/>
  <c r="BB6"/>
  <c r="BC6" s="1"/>
  <c r="BD6" s="1"/>
  <c r="BD7" i="38"/>
  <c r="BE6"/>
  <c r="BF6"/>
  <c r="BE6" i="37"/>
  <c r="BF6"/>
  <c r="BD7"/>
  <c r="BE5"/>
  <c r="BF5"/>
  <c r="S7"/>
  <c r="U5" i="36"/>
  <c r="T5"/>
  <c r="S6"/>
  <c r="Q6"/>
  <c r="R6" s="1"/>
  <c r="BB6" i="35"/>
  <c r="BC6"/>
  <c r="BA7"/>
  <c r="BB5"/>
  <c r="BC5"/>
  <c r="BB6" i="34"/>
  <c r="BC6"/>
  <c r="AY5"/>
  <c r="AZ5" s="1"/>
  <c r="BA5" s="1"/>
  <c r="BA7" i="33"/>
  <c r="BB5"/>
  <c r="BC5"/>
  <c r="BB6"/>
  <c r="BC6"/>
  <c r="AX6" i="32"/>
  <c r="AY6" s="1"/>
  <c r="AZ6" s="1"/>
  <c r="BA5"/>
  <c r="P5" i="31"/>
  <c r="Q5" s="1"/>
  <c r="R5" s="1"/>
  <c r="S6"/>
  <c r="BI7" i="48" l="1"/>
  <c r="BO7" s="1"/>
  <c r="BP7" s="1"/>
  <c r="BJ7"/>
  <c r="BR7"/>
  <c r="BE6"/>
  <c r="BF6"/>
  <c r="Y6"/>
  <c r="AP6"/>
  <c r="AG6"/>
  <c r="X6"/>
  <c r="AD6" s="1"/>
  <c r="AE6" s="1"/>
  <c r="BR5"/>
  <c r="BR8" s="1"/>
  <c r="BI5"/>
  <c r="BJ5"/>
  <c r="AD5"/>
  <c r="AE5" s="1"/>
  <c r="BR5" i="47"/>
  <c r="BR7" s="1"/>
  <c r="BI5"/>
  <c r="BJ5"/>
  <c r="BE6"/>
  <c r="BF6"/>
  <c r="Y6"/>
  <c r="AP6"/>
  <c r="AE6"/>
  <c r="AG6"/>
  <c r="X6"/>
  <c r="AD6" s="1"/>
  <c r="T5"/>
  <c r="U5"/>
  <c r="Y6" i="46"/>
  <c r="AP6"/>
  <c r="AG6"/>
  <c r="X6"/>
  <c r="AD6" s="1"/>
  <c r="AE6" s="1"/>
  <c r="BR5"/>
  <c r="BR7" s="1"/>
  <c r="BI5"/>
  <c r="BJ5"/>
  <c r="AD5"/>
  <c r="AE5" s="1"/>
  <c r="BE6"/>
  <c r="BF6"/>
  <c r="BJ6" i="45"/>
  <c r="BR6"/>
  <c r="BI6"/>
  <c r="Y6"/>
  <c r="AP6"/>
  <c r="AG6"/>
  <c r="X6"/>
  <c r="BO7" i="44"/>
  <c r="BP7" s="1"/>
  <c r="BR5"/>
  <c r="BL5"/>
  <c r="BI5"/>
  <c r="BO5" s="1"/>
  <c r="BP5" s="1"/>
  <c r="BR6"/>
  <c r="BL6"/>
  <c r="BI6"/>
  <c r="BO6" s="1"/>
  <c r="BP6" s="1"/>
  <c r="BR5" i="43"/>
  <c r="BR7" s="1"/>
  <c r="BL5"/>
  <c r="BI5"/>
  <c r="BR6"/>
  <c r="BL6"/>
  <c r="BI6"/>
  <c r="BR5" i="42"/>
  <c r="BR7" s="1"/>
  <c r="BL5"/>
  <c r="BI5"/>
  <c r="BO6"/>
  <c r="BP6" s="1"/>
  <c r="BK5" i="41"/>
  <c r="BO5" s="1"/>
  <c r="BP5" s="1"/>
  <c r="BR5"/>
  <c r="BK5" i="40"/>
  <c r="BO5" s="1"/>
  <c r="BP5" s="1"/>
  <c r="BP7" s="1"/>
  <c r="BR5"/>
  <c r="BR7" s="1"/>
  <c r="BE6" i="39"/>
  <c r="BF6"/>
  <c r="BD7"/>
  <c r="BK5"/>
  <c r="BO5" s="1"/>
  <c r="BP5" s="1"/>
  <c r="BR5"/>
  <c r="BR7" s="1"/>
  <c r="BK6" i="38"/>
  <c r="BO6" s="1"/>
  <c r="BP6" s="1"/>
  <c r="BR6"/>
  <c r="BR5"/>
  <c r="BR7" s="1"/>
  <c r="BO5"/>
  <c r="BP5" s="1"/>
  <c r="S7"/>
  <c r="BR5" i="37"/>
  <c r="BR7" s="1"/>
  <c r="BL5"/>
  <c r="BI5"/>
  <c r="BR6"/>
  <c r="BL6"/>
  <c r="BI6"/>
  <c r="AG7"/>
  <c r="AG5" i="36"/>
  <c r="AG7" s="1"/>
  <c r="AP5"/>
  <c r="Z5"/>
  <c r="AD5" s="1"/>
  <c r="AE5" s="1"/>
  <c r="T6"/>
  <c r="U6"/>
  <c r="S7"/>
  <c r="BL5" i="35"/>
  <c r="BL7" s="1"/>
  <c r="BH5"/>
  <c r="BI5" s="1"/>
  <c r="BJ5" s="1"/>
  <c r="BL6"/>
  <c r="BH6"/>
  <c r="BI6" s="1"/>
  <c r="BJ6" s="1"/>
  <c r="BA7" i="34"/>
  <c r="BB5"/>
  <c r="BC5"/>
  <c r="BL6"/>
  <c r="BH6"/>
  <c r="BI6" s="1"/>
  <c r="BJ6" s="1"/>
  <c r="BL6" i="33"/>
  <c r="BH6"/>
  <c r="BI6" s="1"/>
  <c r="BJ6" s="1"/>
  <c r="BL5"/>
  <c r="BH5"/>
  <c r="BI5" s="1"/>
  <c r="BJ5" s="1"/>
  <c r="BJ7" s="1"/>
  <c r="BB5" i="32"/>
  <c r="BC5"/>
  <c r="BA6"/>
  <c r="BA7" s="1"/>
  <c r="T6" i="31"/>
  <c r="U6"/>
  <c r="S5"/>
  <c r="BO5" i="48" l="1"/>
  <c r="BP5" s="1"/>
  <c r="BI6"/>
  <c r="BO6" s="1"/>
  <c r="BP6" s="1"/>
  <c r="BJ6"/>
  <c r="BR6"/>
  <c r="AE8"/>
  <c r="BO5" i="47"/>
  <c r="BP5" s="1"/>
  <c r="BI6"/>
  <c r="BO6" s="1"/>
  <c r="BP6" s="1"/>
  <c r="BJ6"/>
  <c r="BR6"/>
  <c r="X5"/>
  <c r="AD5" s="1"/>
  <c r="Y5"/>
  <c r="AP5"/>
  <c r="AE5"/>
  <c r="AE7" s="1"/>
  <c r="AG5"/>
  <c r="AG7" s="1"/>
  <c r="BI6" i="46"/>
  <c r="BO6" s="1"/>
  <c r="BP6" s="1"/>
  <c r="BJ6"/>
  <c r="BR6"/>
  <c r="AE7"/>
  <c r="BO5"/>
  <c r="BP5" s="1"/>
  <c r="AD6" i="45"/>
  <c r="AE6" s="1"/>
  <c r="AE7" s="1"/>
  <c r="BO6"/>
  <c r="BP6" s="1"/>
  <c r="BP7" s="1"/>
  <c r="BO6" i="43"/>
  <c r="BP6" s="1"/>
  <c r="BO5"/>
  <c r="BP5" s="1"/>
  <c r="BO5" i="42"/>
  <c r="BP5" s="1"/>
  <c r="BP7" s="1"/>
  <c r="BK6" i="39"/>
  <c r="BO6" s="1"/>
  <c r="BP6" s="1"/>
  <c r="BP7" s="1"/>
  <c r="BR6"/>
  <c r="BP7" i="38"/>
  <c r="AG7"/>
  <c r="AE7"/>
  <c r="BO6" i="37"/>
  <c r="BP6" s="1"/>
  <c r="BO5"/>
  <c r="BP5" s="1"/>
  <c r="AE7"/>
  <c r="AP6" i="36"/>
  <c r="Z6"/>
  <c r="AD6" s="1"/>
  <c r="AE6" s="1"/>
  <c r="AE7" s="1"/>
  <c r="AG6"/>
  <c r="BJ7" i="35"/>
  <c r="BL5" i="34"/>
  <c r="BL7" s="1"/>
  <c r="BH5"/>
  <c r="BI5" s="1"/>
  <c r="BJ5" s="1"/>
  <c r="BJ7" s="1"/>
  <c r="BL7" i="33"/>
  <c r="BB6" i="32"/>
  <c r="BC6"/>
  <c r="BL5"/>
  <c r="BH5"/>
  <c r="BI5" s="1"/>
  <c r="BJ5" s="1"/>
  <c r="AM6" i="31"/>
  <c r="AB6"/>
  <c r="Z6"/>
  <c r="AA6" s="1"/>
  <c r="AD6"/>
  <c r="T5"/>
  <c r="U5"/>
  <c r="BP8" i="48" l="1"/>
  <c r="BP7" i="47"/>
  <c r="BP7" i="46"/>
  <c r="BP7" i="43"/>
  <c r="BP7" i="37"/>
  <c r="BL6" i="32"/>
  <c r="BL7" s="1"/>
  <c r="BH6"/>
  <c r="BI6" s="1"/>
  <c r="BJ6" s="1"/>
  <c r="BJ7" s="1"/>
  <c r="AM5" i="31"/>
  <c r="U7"/>
  <c r="I11" s="1"/>
  <c r="AD5"/>
  <c r="AD7" s="1"/>
  <c r="Z5"/>
  <c r="AA5" s="1"/>
  <c r="AB5" s="1"/>
  <c r="AB7" s="1"/>
  <c r="N11" l="1"/>
  <c r="I14"/>
  <c r="N14" l="1"/>
  <c r="O11"/>
  <c r="O14" s="1"/>
  <c r="BG7" i="30" l="1"/>
  <c r="BF7"/>
  <c r="AQ7"/>
  <c r="BG6"/>
  <c r="BF6"/>
  <c r="AQ6"/>
  <c r="AN6"/>
  <c r="BM6" s="1"/>
  <c r="W6"/>
  <c r="V6"/>
  <c r="L6"/>
  <c r="K6"/>
  <c r="J6"/>
  <c r="H6"/>
  <c r="G6"/>
  <c r="AF6" s="1"/>
  <c r="AI6" s="1"/>
  <c r="BG5"/>
  <c r="BF5"/>
  <c r="AQ5"/>
  <c r="AN5"/>
  <c r="BM5" s="1"/>
  <c r="Y5"/>
  <c r="W5"/>
  <c r="V5"/>
  <c r="M5"/>
  <c r="L5"/>
  <c r="K5"/>
  <c r="J5"/>
  <c r="I5"/>
  <c r="H5"/>
  <c r="G5"/>
  <c r="AF5" s="1"/>
  <c r="D3"/>
  <c r="Y6"/>
  <c r="X6"/>
  <c r="I6" i="29"/>
  <c r="I6" i="30" s="1"/>
  <c r="X5"/>
  <c r="M5" i="29"/>
  <c r="N5" s="1"/>
  <c r="N5" i="30" s="1"/>
  <c r="I5" i="29"/>
  <c r="I6" i="28"/>
  <c r="I5"/>
  <c r="M5" i="27"/>
  <c r="N5" s="1"/>
  <c r="I5"/>
  <c r="AU7" i="30" l="1"/>
  <c r="AV7" s="1"/>
  <c r="AI5"/>
  <c r="M6" i="29"/>
  <c r="M6" i="30" s="1"/>
  <c r="N6" i="29"/>
  <c r="N6" i="30" s="1"/>
  <c r="O5" i="29"/>
  <c r="O5" i="30" s="1"/>
  <c r="O5" i="28"/>
  <c r="M5"/>
  <c r="N5" s="1"/>
  <c r="M6"/>
  <c r="N6" s="1"/>
  <c r="O6" s="1"/>
  <c r="O5" i="27"/>
  <c r="I6" i="26"/>
  <c r="M6" s="1"/>
  <c r="N6" s="1"/>
  <c r="I5"/>
  <c r="M6" i="25"/>
  <c r="N6" s="1"/>
  <c r="I6"/>
  <c r="I5"/>
  <c r="I6" i="24"/>
  <c r="M6" s="1"/>
  <c r="N6" s="1"/>
  <c r="I5"/>
  <c r="I6" i="23"/>
  <c r="M6" s="1"/>
  <c r="N6" s="1"/>
  <c r="I5"/>
  <c r="I6" i="22"/>
  <c r="M6" s="1"/>
  <c r="N6" s="1"/>
  <c r="I5"/>
  <c r="M6" i="21"/>
  <c r="N6" s="1"/>
  <c r="I6"/>
  <c r="I5"/>
  <c r="I6" i="20"/>
  <c r="I5"/>
  <c r="M5" s="1"/>
  <c r="N5" s="1"/>
  <c r="S7" i="18"/>
  <c r="I6"/>
  <c r="I5"/>
  <c r="M5" s="1"/>
  <c r="N5" s="1"/>
  <c r="AL6" i="1"/>
  <c r="I6" i="17"/>
  <c r="M5"/>
  <c r="N5" s="1"/>
  <c r="I5"/>
  <c r="T6" i="1"/>
  <c r="T5"/>
  <c r="T6" i="12"/>
  <c r="T5"/>
  <c r="T6" i="13"/>
  <c r="T5"/>
  <c r="T5" i="5"/>
  <c r="T5" i="6"/>
  <c r="T6" i="8"/>
  <c r="T5"/>
  <c r="T6" i="9"/>
  <c r="T5"/>
  <c r="T6" i="10"/>
  <c r="T5"/>
  <c r="T5" i="11"/>
  <c r="T6"/>
  <c r="I6" i="15"/>
  <c r="I5"/>
  <c r="M5" s="1"/>
  <c r="N5" s="1"/>
  <c r="N12"/>
  <c r="M12"/>
  <c r="L12"/>
  <c r="M11"/>
  <c r="L11"/>
  <c r="I6" i="14"/>
  <c r="I5"/>
  <c r="I6" i="13"/>
  <c r="I5"/>
  <c r="I6" i="12"/>
  <c r="I5"/>
  <c r="M5" s="1"/>
  <c r="N5" s="1"/>
  <c r="AI5" i="10"/>
  <c r="I6" i="11"/>
  <c r="I5"/>
  <c r="AF6" i="10"/>
  <c r="AI6" s="1"/>
  <c r="I6"/>
  <c r="AF5"/>
  <c r="I5"/>
  <c r="M5" s="1"/>
  <c r="N5" s="1"/>
  <c r="AL5" i="1"/>
  <c r="I6" i="9"/>
  <c r="I5"/>
  <c r="M5" s="1"/>
  <c r="N5" s="1"/>
  <c r="I6" i="8"/>
  <c r="I5"/>
  <c r="M5" s="1"/>
  <c r="N5" s="1"/>
  <c r="I5" i="6"/>
  <c r="M5" s="1"/>
  <c r="N5" s="1"/>
  <c r="N5" i="5"/>
  <c r="O5" s="1"/>
  <c r="P5" s="1"/>
  <c r="M5"/>
  <c r="I5"/>
  <c r="AI6" i="1"/>
  <c r="H3" i="3"/>
  <c r="H2"/>
  <c r="F3"/>
  <c r="F2"/>
  <c r="B3"/>
  <c r="C3"/>
  <c r="D3"/>
  <c r="A3"/>
  <c r="B2"/>
  <c r="C2"/>
  <c r="D2"/>
  <c r="A2"/>
  <c r="Y6" i="1"/>
  <c r="I6"/>
  <c r="M6" s="1"/>
  <c r="N6" s="1"/>
  <c r="AI5"/>
  <c r="Y5"/>
  <c r="AD5" s="1"/>
  <c r="I5"/>
  <c r="M5" s="1"/>
  <c r="N5" s="1"/>
  <c r="AW7" i="30" l="1"/>
  <c r="O6" i="29"/>
  <c r="O6" i="30" s="1"/>
  <c r="P6" i="29"/>
  <c r="P6" i="30" s="1"/>
  <c r="P5" i="29"/>
  <c r="P5" i="30" s="1"/>
  <c r="Q6" i="28"/>
  <c r="R6" s="1"/>
  <c r="S6" s="1"/>
  <c r="P6"/>
  <c r="P5"/>
  <c r="Q5" s="1"/>
  <c r="R5" s="1"/>
  <c r="S5" s="1"/>
  <c r="P5" i="27"/>
  <c r="Q5"/>
  <c r="R5" s="1"/>
  <c r="O6" i="26"/>
  <c r="M5"/>
  <c r="N5" s="1"/>
  <c r="O6" i="25"/>
  <c r="M5"/>
  <c r="N5" s="1"/>
  <c r="O6" i="24"/>
  <c r="M5"/>
  <c r="N5" s="1"/>
  <c r="O6" i="23"/>
  <c r="M5"/>
  <c r="N5" s="1"/>
  <c r="O5" s="1"/>
  <c r="O6" i="22"/>
  <c r="M5"/>
  <c r="N5" s="1"/>
  <c r="O6" i="21"/>
  <c r="M5"/>
  <c r="N5" s="1"/>
  <c r="O5" s="1"/>
  <c r="O5" i="20"/>
  <c r="M6"/>
  <c r="N6" s="1"/>
  <c r="O6" s="1"/>
  <c r="O5" i="18"/>
  <c r="P5" s="1"/>
  <c r="M6"/>
  <c r="N6" s="1"/>
  <c r="O6" s="1"/>
  <c r="O5" i="17"/>
  <c r="M6"/>
  <c r="N6" s="1"/>
  <c r="O5" i="10"/>
  <c r="P5" s="1"/>
  <c r="O5" i="6"/>
  <c r="P5" s="1"/>
  <c r="I7" i="15"/>
  <c r="M6"/>
  <c r="N6" s="1"/>
  <c r="O6" s="1"/>
  <c r="O5"/>
  <c r="L13"/>
  <c r="M13"/>
  <c r="O12"/>
  <c r="M5" i="14"/>
  <c r="N5" s="1"/>
  <c r="M6"/>
  <c r="N6" s="1"/>
  <c r="M5" i="13"/>
  <c r="N5" s="1"/>
  <c r="M6"/>
  <c r="N6" s="1"/>
  <c r="O5" i="12"/>
  <c r="M6"/>
  <c r="N6" s="1"/>
  <c r="M5" i="11"/>
  <c r="N5" s="1"/>
  <c r="O5" s="1"/>
  <c r="M6"/>
  <c r="N6" s="1"/>
  <c r="O6" s="1"/>
  <c r="M6" i="10"/>
  <c r="N6" s="1"/>
  <c r="O6" s="1"/>
  <c r="O5" i="9"/>
  <c r="M6"/>
  <c r="N6" s="1"/>
  <c r="O5" i="8"/>
  <c r="P5" s="1"/>
  <c r="Q5" s="1"/>
  <c r="R5" s="1"/>
  <c r="M6"/>
  <c r="N6" s="1"/>
  <c r="Q5" i="5"/>
  <c r="R5" s="1"/>
  <c r="S5" s="1"/>
  <c r="O6" i="1"/>
  <c r="O5"/>
  <c r="AX7" i="30" l="1"/>
  <c r="AY7" s="1"/>
  <c r="AZ7" s="1"/>
  <c r="Q6" i="29"/>
  <c r="Q6" i="30" s="1"/>
  <c r="Q5" i="29"/>
  <c r="Q5" i="30" s="1"/>
  <c r="T6" i="28"/>
  <c r="U6"/>
  <c r="T5"/>
  <c r="U5"/>
  <c r="S5" i="27"/>
  <c r="P6" i="26"/>
  <c r="Q6" s="1"/>
  <c r="R6" s="1"/>
  <c r="O5"/>
  <c r="P6" i="25"/>
  <c r="O5"/>
  <c r="P6" i="24"/>
  <c r="Q6" s="1"/>
  <c r="R6" s="1"/>
  <c r="O5"/>
  <c r="P5" i="23"/>
  <c r="Q5" s="1"/>
  <c r="R5" s="1"/>
  <c r="P6"/>
  <c r="Q6" s="1"/>
  <c r="R6" s="1"/>
  <c r="P6" i="22"/>
  <c r="Q6" s="1"/>
  <c r="R6" s="1"/>
  <c r="O5"/>
  <c r="P5" i="21"/>
  <c r="Q5" s="1"/>
  <c r="R5" s="1"/>
  <c r="P6"/>
  <c r="Q6" s="1"/>
  <c r="R6" s="1"/>
  <c r="P6" i="20"/>
  <c r="Q6" s="1"/>
  <c r="R6" s="1"/>
  <c r="P5"/>
  <c r="Q5" s="1"/>
  <c r="R5" s="1"/>
  <c r="Q5" i="18"/>
  <c r="R5" s="1"/>
  <c r="S5" s="1"/>
  <c r="U5" s="1"/>
  <c r="P6"/>
  <c r="Q6" s="1"/>
  <c r="R6" s="1"/>
  <c r="S6" s="1"/>
  <c r="O6" i="17"/>
  <c r="P5"/>
  <c r="P6" i="15"/>
  <c r="P5"/>
  <c r="O6" i="14"/>
  <c r="O5"/>
  <c r="P5" s="1"/>
  <c r="O6" i="13"/>
  <c r="O5"/>
  <c r="O6" i="12"/>
  <c r="P5"/>
  <c r="P6" i="11"/>
  <c r="Q6" s="1"/>
  <c r="R6" s="1"/>
  <c r="P5"/>
  <c r="Q5" s="1"/>
  <c r="R5" s="1"/>
  <c r="S5" s="1"/>
  <c r="P6" i="10"/>
  <c r="Q6" s="1"/>
  <c r="R6" s="1"/>
  <c r="Q5"/>
  <c r="R5" s="1"/>
  <c r="S5" s="1"/>
  <c r="O6" i="9"/>
  <c r="P6" s="1"/>
  <c r="P5"/>
  <c r="S5" i="8"/>
  <c r="O6"/>
  <c r="Q5" i="6"/>
  <c r="R5" s="1"/>
  <c r="S5" s="1"/>
  <c r="U5" i="5"/>
  <c r="P6" i="1"/>
  <c r="P5"/>
  <c r="BA7" i="30" l="1"/>
  <c r="BA8"/>
  <c r="R6" i="29"/>
  <c r="R6" i="30" s="1"/>
  <c r="R5" i="29"/>
  <c r="R5" i="30" s="1"/>
  <c r="U6" i="27"/>
  <c r="T5"/>
  <c r="U5"/>
  <c r="S6" i="26"/>
  <c r="Q5"/>
  <c r="R5" s="1"/>
  <c r="P5"/>
  <c r="P5" i="25"/>
  <c r="Q6"/>
  <c r="R6" s="1"/>
  <c r="S6" s="1"/>
  <c r="P5" i="24"/>
  <c r="Q5" s="1"/>
  <c r="R5" s="1"/>
  <c r="S6"/>
  <c r="S5" i="23"/>
  <c r="S6"/>
  <c r="P5" i="22"/>
  <c r="Q5" s="1"/>
  <c r="R5" s="1"/>
  <c r="S6"/>
  <c r="S5" i="21"/>
  <c r="S6"/>
  <c r="S6" i="20"/>
  <c r="S5"/>
  <c r="T5" i="18"/>
  <c r="T6"/>
  <c r="U6"/>
  <c r="P6" i="17"/>
  <c r="Q6" s="1"/>
  <c r="R6" s="1"/>
  <c r="Q5"/>
  <c r="R5" s="1"/>
  <c r="S5" s="1"/>
  <c r="Q6" i="15"/>
  <c r="R6" s="1"/>
  <c r="S6" s="1"/>
  <c r="T6" s="1"/>
  <c r="Q5"/>
  <c r="R5" s="1"/>
  <c r="S5" s="1"/>
  <c r="T5" s="1"/>
  <c r="P6" i="14"/>
  <c r="P5" i="13"/>
  <c r="P6"/>
  <c r="P6" i="12"/>
  <c r="Q5"/>
  <c r="R5" s="1"/>
  <c r="S5" s="1"/>
  <c r="U5" i="11"/>
  <c r="S6"/>
  <c r="U5" i="10"/>
  <c r="S6"/>
  <c r="Q6" i="9"/>
  <c r="R6" s="1"/>
  <c r="S6" s="1"/>
  <c r="Q5"/>
  <c r="R5" s="1"/>
  <c r="S5" s="1"/>
  <c r="U5" i="8"/>
  <c r="P6"/>
  <c r="U5" i="6"/>
  <c r="AD6" i="5"/>
  <c r="Q6" i="1"/>
  <c r="R6" s="1"/>
  <c r="S6" s="1"/>
  <c r="Q5"/>
  <c r="R5" s="1"/>
  <c r="S5" s="1"/>
  <c r="BB7" i="30" l="1"/>
  <c r="BC7"/>
  <c r="BL5"/>
  <c r="BH5"/>
  <c r="BI5" s="1"/>
  <c r="BJ5" s="1"/>
  <c r="S6" i="29"/>
  <c r="S6" i="30" s="1"/>
  <c r="S5" i="29"/>
  <c r="S5" i="30" s="1"/>
  <c r="U6" i="26"/>
  <c r="T6"/>
  <c r="S5"/>
  <c r="U6" i="25"/>
  <c r="T6"/>
  <c r="Q5"/>
  <c r="R5" s="1"/>
  <c r="S5" s="1"/>
  <c r="T6" i="24"/>
  <c r="U6"/>
  <c r="S5"/>
  <c r="T5" i="23"/>
  <c r="U5"/>
  <c r="T6"/>
  <c r="U6"/>
  <c r="T6" i="22"/>
  <c r="U6"/>
  <c r="S5"/>
  <c r="T5" i="21"/>
  <c r="U5"/>
  <c r="T6"/>
  <c r="U6"/>
  <c r="T6" i="20"/>
  <c r="U6"/>
  <c r="U5"/>
  <c r="T5"/>
  <c r="T5" i="17"/>
  <c r="U5"/>
  <c r="S6"/>
  <c r="AB5" i="10"/>
  <c r="AM5"/>
  <c r="U6" i="15"/>
  <c r="U5"/>
  <c r="S5" i="14"/>
  <c r="Q5"/>
  <c r="R5" s="1"/>
  <c r="Q6"/>
  <c r="R6" s="1"/>
  <c r="S6" s="1"/>
  <c r="Q5" i="13"/>
  <c r="R5" s="1"/>
  <c r="S5" s="1"/>
  <c r="Q6"/>
  <c r="R6" s="1"/>
  <c r="S6" s="1"/>
  <c r="U5" i="12"/>
  <c r="Q6"/>
  <c r="R6" s="1"/>
  <c r="S6" s="1"/>
  <c r="U6" i="11"/>
  <c r="AD5" i="10"/>
  <c r="AD7" s="1"/>
  <c r="U6"/>
  <c r="AM6" s="1"/>
  <c r="U6" i="9"/>
  <c r="U5"/>
  <c r="Q6" i="8"/>
  <c r="R6" s="1"/>
  <c r="S6" s="1"/>
  <c r="AD6" i="6"/>
  <c r="AB6"/>
  <c r="U6" i="1"/>
  <c r="AP6" s="1"/>
  <c r="U5"/>
  <c r="AP5" s="1"/>
  <c r="AP5" i="21" l="1"/>
  <c r="AG5"/>
  <c r="AG7" s="1"/>
  <c r="Z5"/>
  <c r="AD5" s="1"/>
  <c r="AE5" s="1"/>
  <c r="AE7" s="1"/>
  <c r="S8" i="30"/>
  <c r="BL7"/>
  <c r="BH7"/>
  <c r="BI7" s="1"/>
  <c r="BJ7" s="1"/>
  <c r="BL6"/>
  <c r="BH6"/>
  <c r="BI6" s="1"/>
  <c r="BJ6" s="1"/>
  <c r="BJ8" s="1"/>
  <c r="S7" i="29"/>
  <c r="U6"/>
  <c r="U6" i="30" s="1"/>
  <c r="AM6" s="1"/>
  <c r="T6" i="29"/>
  <c r="T6" i="30" s="1"/>
  <c r="U5" i="29"/>
  <c r="U5" i="30" s="1"/>
  <c r="AM5" s="1"/>
  <c r="T5" i="29"/>
  <c r="T5" i="30" s="1"/>
  <c r="T5" i="26"/>
  <c r="U5"/>
  <c r="T5" i="25"/>
  <c r="U5"/>
  <c r="T5" i="24"/>
  <c r="U5"/>
  <c r="T5" i="22"/>
  <c r="U5"/>
  <c r="T6" i="17"/>
  <c r="U6"/>
  <c r="U7" i="15"/>
  <c r="T6" i="14"/>
  <c r="U6"/>
  <c r="T5"/>
  <c r="U5"/>
  <c r="U6" i="13"/>
  <c r="U5"/>
  <c r="U6" i="12"/>
  <c r="AD6" i="10"/>
  <c r="U6" i="8"/>
  <c r="Z6" i="1"/>
  <c r="AG6"/>
  <c r="AG5"/>
  <c r="AG7" s="1"/>
  <c r="AE5"/>
  <c r="AE6" l="1"/>
  <c r="AE7" s="1"/>
  <c r="AD6"/>
  <c r="BL8" i="30"/>
  <c r="Z5"/>
  <c r="AD5"/>
  <c r="Z6"/>
  <c r="AD6"/>
  <c r="I13" i="15"/>
  <c r="N11"/>
  <c r="AB6" i="10"/>
  <c r="AB7" s="1"/>
  <c r="AD8" i="30" l="1"/>
  <c r="AA5"/>
  <c r="AA6"/>
  <c r="N13" i="15"/>
  <c r="O11"/>
  <c r="O13" s="1"/>
  <c r="AB6" i="30" l="1"/>
  <c r="AB5"/>
  <c r="AB8" l="1"/>
</calcChain>
</file>

<file path=xl/sharedStrings.xml><?xml version="1.0" encoding="utf-8"?>
<sst xmlns="http://schemas.openxmlformats.org/spreadsheetml/2006/main" count="3658" uniqueCount="189">
  <si>
    <t>Item</t>
  </si>
  <si>
    <t>Gross Amt.</t>
  </si>
  <si>
    <t>TD%</t>
  </si>
  <si>
    <t>CD%</t>
  </si>
  <si>
    <t>SD%</t>
  </si>
  <si>
    <t>TD Amt.</t>
  </si>
  <si>
    <t>CD Amt.</t>
  </si>
  <si>
    <t>SD Amt.</t>
  </si>
  <si>
    <t>TD Asbl. Val.</t>
  </si>
  <si>
    <t>CD Asbl. Val.</t>
  </si>
  <si>
    <t>NOS</t>
  </si>
  <si>
    <t>Net Amt</t>
  </si>
  <si>
    <t>Tax amt</t>
  </si>
  <si>
    <t>Stk. UOM</t>
  </si>
  <si>
    <t>SD Asbl. Val.</t>
  </si>
  <si>
    <t>Disc. Amt.</t>
  </si>
  <si>
    <t>Item Desc.</t>
  </si>
  <si>
    <t>S. No.</t>
  </si>
  <si>
    <t>Tax Rate</t>
  </si>
  <si>
    <t>CGST</t>
  </si>
  <si>
    <t>SGST</t>
  </si>
  <si>
    <t>IGST</t>
  </si>
  <si>
    <t>HSN</t>
  </si>
  <si>
    <t>HSN1</t>
  </si>
  <si>
    <t>Conv. Factor</t>
  </si>
  <si>
    <t>Eqv.  Stock Qty</t>
  </si>
  <si>
    <t>Ex. Rate</t>
  </si>
  <si>
    <t xml:space="preserve">Cur. </t>
  </si>
  <si>
    <t>INR</t>
  </si>
  <si>
    <t>Weight/Vol</t>
  </si>
  <si>
    <t>Sales Order</t>
  </si>
  <si>
    <t>Order Qty (Sale UOM)</t>
  </si>
  <si>
    <t>Unit Price</t>
  </si>
  <si>
    <t>Sales Val.</t>
  </si>
  <si>
    <t>Sales Amt (BC)</t>
  </si>
  <si>
    <t>GST Sales</t>
  </si>
  <si>
    <t>(1 - Local Sales,2 Interstate Sales, 3 Import Sales)</t>
  </si>
  <si>
    <t>Sale. UOM</t>
  </si>
  <si>
    <t>Rev</t>
  </si>
  <si>
    <t xml:space="preserve">NET AMOUNT </t>
  </si>
  <si>
    <t>SALES AMOUNT</t>
  </si>
  <si>
    <t>DISC AMOUNT</t>
  </si>
  <si>
    <t>Scenario  : Local Sales - Stock UOM and Sales UOM (Similar)   DOC NO :  SORD-2425-00089</t>
  </si>
  <si>
    <t>HK-FIFO-LOT-BATCH-10001(FG)</t>
  </si>
  <si>
    <t>HK-FG-DISSIMILAR-10001</t>
  </si>
  <si>
    <t>KGS</t>
  </si>
  <si>
    <t>Disc.Amt.Per.Qty</t>
  </si>
  <si>
    <t>Before Stock Qty</t>
  </si>
  <si>
    <t>After Stock Qty</t>
  </si>
  <si>
    <t>Warehouse</t>
  </si>
  <si>
    <t>F100</t>
  </si>
  <si>
    <t>Order Qty</t>
  </si>
  <si>
    <t>Unit Cost</t>
  </si>
  <si>
    <t>2954.00</t>
  </si>
  <si>
    <t>Before Stock Cost</t>
  </si>
  <si>
    <t>235.36857</t>
  </si>
  <si>
    <t>123</t>
  </si>
  <si>
    <t>HK-TVS-SCRAP-10001</t>
  </si>
  <si>
    <t>TVS-SER-10001</t>
  </si>
  <si>
    <t>Promotional Type</t>
  </si>
  <si>
    <t>Promotional</t>
  </si>
  <si>
    <t>Sales Regular</t>
  </si>
  <si>
    <t>PRO-10001</t>
  </si>
  <si>
    <t>PROMOTIONAL-10001</t>
  </si>
  <si>
    <t>(1 - Local Sales,2 Interstate Sales, 3 Export Sales)</t>
  </si>
  <si>
    <t>CESS PCT</t>
  </si>
  <si>
    <t>CESS AMT</t>
  </si>
  <si>
    <t>HK-USRDFN-10001</t>
  </si>
  <si>
    <t>HK-USERDEFINED-10001</t>
  </si>
  <si>
    <t>(1 - Local Sales,2 Interstate Sales, 3 Export Sales, 4 UTGST)</t>
  </si>
  <si>
    <t>Total</t>
  </si>
  <si>
    <t>Charges</t>
  </si>
  <si>
    <t>Sno</t>
  </si>
  <si>
    <t>Desc</t>
  </si>
  <si>
    <t>Basiss</t>
  </si>
  <si>
    <t>Pct</t>
  </si>
  <si>
    <t>Value</t>
  </si>
  <si>
    <t>SAC</t>
  </si>
  <si>
    <t>TVS-CH-00002</t>
  </si>
  <si>
    <t>FRIEGHT CHARGES</t>
  </si>
  <si>
    <t>%</t>
  </si>
  <si>
    <t>TVS-CH-00003</t>
  </si>
  <si>
    <t>PACKING CHARGES</t>
  </si>
  <si>
    <t>1375.002</t>
  </si>
  <si>
    <t>848</t>
  </si>
  <si>
    <t>HK-LOT-MAC-10001(FG)</t>
  </si>
  <si>
    <t>HK-FG-RC-DISSIMILAR ITEM-10001</t>
  </si>
  <si>
    <t>10</t>
  </si>
  <si>
    <t>3120</t>
  </si>
  <si>
    <t>4</t>
  </si>
  <si>
    <t>2</t>
  </si>
  <si>
    <t>3156</t>
  </si>
  <si>
    <t>36</t>
  </si>
  <si>
    <t>17</t>
  </si>
  <si>
    <t>12</t>
  </si>
  <si>
    <t>HK-SER-MAC-10001(FG)</t>
  </si>
  <si>
    <t>HK-FG-STD-PRICE-DISSIMILAR ITEM-10001</t>
  </si>
  <si>
    <t>1542</t>
  </si>
  <si>
    <t>25</t>
  </si>
  <si>
    <t>32</t>
  </si>
  <si>
    <t>HK-FIFO-SER-BATCH-10001(FG)</t>
  </si>
  <si>
    <t>HK-FG-CATALOG-DISSIMILAR-10001</t>
  </si>
  <si>
    <t>4265</t>
  </si>
  <si>
    <t>1543</t>
  </si>
  <si>
    <t>42</t>
  </si>
  <si>
    <t>HK-LOT-FIFO-LOT-10001(FG)</t>
  </si>
  <si>
    <t>HK-FG-PRICELIST-DISSIMILAR UOM-10001</t>
  </si>
  <si>
    <t>3321</t>
  </si>
  <si>
    <t>5472</t>
  </si>
  <si>
    <t>47</t>
  </si>
  <si>
    <t>27</t>
  </si>
  <si>
    <t>PriceClass</t>
  </si>
  <si>
    <t>DOMESTIC</t>
  </si>
  <si>
    <t>SPARE</t>
  </si>
  <si>
    <t>9000</t>
  </si>
  <si>
    <t>5</t>
  </si>
  <si>
    <t>6300</t>
  </si>
  <si>
    <t>HK-TVS-FG-10001</t>
  </si>
  <si>
    <t>HK-TVS-FG-10002</t>
  </si>
  <si>
    <t>Sales Order Amendment</t>
  </si>
  <si>
    <t>Old Order Qty (Sale UOM)</t>
  </si>
  <si>
    <t>Old Unit Price</t>
  </si>
  <si>
    <t>Old Gross Amt.</t>
  </si>
  <si>
    <t>Old TD%</t>
  </si>
  <si>
    <t>Old SD%</t>
  </si>
  <si>
    <t>Old CD%</t>
  </si>
  <si>
    <t>Old TD Asbl. Val.</t>
  </si>
  <si>
    <t>Old TD Amt.</t>
  </si>
  <si>
    <t>Old SD Asbl. Val.</t>
  </si>
  <si>
    <t>Old SD Amt.</t>
  </si>
  <si>
    <t>Old CD Asbl. Val.</t>
  </si>
  <si>
    <t>Old CD Amt.</t>
  </si>
  <si>
    <t>Old Disc. Amt.</t>
  </si>
  <si>
    <t>Old Sales Val.</t>
  </si>
  <si>
    <t>Old HSN</t>
  </si>
  <si>
    <t>Old Tax Rate</t>
  </si>
  <si>
    <t>Old CGST</t>
  </si>
  <si>
    <t>Old SGST</t>
  </si>
  <si>
    <t>Old IGST</t>
  </si>
  <si>
    <t>Old Tax amt</t>
  </si>
  <si>
    <t>Old Net Amt</t>
  </si>
  <si>
    <t>Old Disc.Amt.Per.Qty</t>
  </si>
  <si>
    <t>Old Sales Amt (BC)</t>
  </si>
  <si>
    <t>New Order Qty (Sale UOM)</t>
  </si>
  <si>
    <t>New Unit Price</t>
  </si>
  <si>
    <t>New Gross Amt.</t>
  </si>
  <si>
    <t>New TD%</t>
  </si>
  <si>
    <t>New SD%</t>
  </si>
  <si>
    <t>New CD%</t>
  </si>
  <si>
    <t>New TD Asbl. Val.</t>
  </si>
  <si>
    <t>New TD Amt.</t>
  </si>
  <si>
    <t>New SD Asbl. Val.</t>
  </si>
  <si>
    <t>New SD Amt.</t>
  </si>
  <si>
    <t>New CD Asbl. Val.</t>
  </si>
  <si>
    <t>New CD Amt.</t>
  </si>
  <si>
    <t>New Disc. Amt.</t>
  </si>
  <si>
    <t>New Sales Val.</t>
  </si>
  <si>
    <t>New HSN</t>
  </si>
  <si>
    <t>New Tax Rate</t>
  </si>
  <si>
    <t>New CGST</t>
  </si>
  <si>
    <t>New SGST</t>
  </si>
  <si>
    <t>New IGST</t>
  </si>
  <si>
    <t>New Tax amt</t>
  </si>
  <si>
    <t>New Net Amt</t>
  </si>
  <si>
    <t>New Sales Amt (BC)</t>
  </si>
  <si>
    <t>New Disc.Amt.Per.Qty</t>
  </si>
  <si>
    <t>Old PriceClass</t>
  </si>
  <si>
    <t>New PriceClass</t>
  </si>
  <si>
    <t>Spare</t>
  </si>
  <si>
    <t>SoAmdType</t>
  </si>
  <si>
    <t>Modify</t>
  </si>
  <si>
    <t>MTON</t>
  </si>
  <si>
    <t>.0001</t>
  </si>
  <si>
    <t>Addition</t>
  </si>
  <si>
    <t>Old Value</t>
  </si>
  <si>
    <t>Old SAC</t>
  </si>
  <si>
    <t>New SAC</t>
  </si>
  <si>
    <t>Old Pct</t>
  </si>
  <si>
    <t>New Value</t>
  </si>
  <si>
    <t>AmdType</t>
  </si>
  <si>
    <t>AOI</t>
  </si>
  <si>
    <t>TVS-CH-00011</t>
  </si>
  <si>
    <t>UTGST</t>
  </si>
  <si>
    <t>CESS %</t>
  </si>
  <si>
    <t>(740410)-18%</t>
  </si>
  <si>
    <t>2135</t>
  </si>
  <si>
    <t>New UTGST</t>
  </si>
  <si>
    <t>New CESS %</t>
  </si>
  <si>
    <t>New CESS AMT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</si>
</sst>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4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7" borderId="0" applyNumberFormat="0" applyBorder="0" applyAlignment="0" applyProtection="0"/>
    <xf numFmtId="9" fontId="7" fillId="0" borderId="0" applyFont="0" applyFill="0" applyBorder="0" applyAlignment="0" applyProtection="0"/>
  </cellStyleXfs>
  <cellXfs count="13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2" fontId="1" fillId="0" borderId="0" xfId="0" applyNumberFormat="1" applyFont="1" applyBorder="1"/>
    <xf numFmtId="10" fontId="1" fillId="0" borderId="0" xfId="0" applyNumberFormat="1" applyFont="1" applyBorder="1"/>
    <xf numFmtId="2" fontId="5" fillId="7" borderId="0" xfId="1" applyNumberFormat="1" applyBorder="1"/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1" fillId="0" borderId="1" xfId="0" applyNumberFormat="1" applyFont="1" applyBorder="1"/>
    <xf numFmtId="2" fontId="4" fillId="0" borderId="0" xfId="0" applyNumberFormat="1" applyFont="1" applyBorder="1" applyAlignment="1">
      <alignment horizontal="left" vertical="top"/>
    </xf>
    <xf numFmtId="2" fontId="2" fillId="0" borderId="0" xfId="0" applyNumberFormat="1" applyFont="1" applyFill="1" applyBorder="1"/>
    <xf numFmtId="2" fontId="2" fillId="6" borderId="2" xfId="0" applyNumberFormat="1" applyFont="1" applyFill="1" applyBorder="1" applyAlignment="1">
      <alignment horizontal="center" vertical="center" wrapText="1"/>
    </xf>
    <xf numFmtId="2" fontId="1" fillId="0" borderId="0" xfId="0" applyNumberFormat="1" applyFont="1"/>
    <xf numFmtId="0" fontId="1" fillId="0" borderId="0" xfId="0" applyNumberFormat="1" applyFont="1"/>
    <xf numFmtId="0" fontId="2" fillId="6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1" fontId="0" fillId="0" borderId="0" xfId="0" applyNumberFormat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0" fillId="0" borderId="4" xfId="0" applyBorder="1"/>
    <xf numFmtId="0" fontId="1" fillId="0" borderId="4" xfId="0" applyFont="1" applyBorder="1"/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0" fillId="0" borderId="1" xfId="0" applyNumberFormat="1" applyBorder="1"/>
    <xf numFmtId="0" fontId="0" fillId="0" borderId="1" xfId="0" applyBorder="1"/>
    <xf numFmtId="0" fontId="1" fillId="0" borderId="7" xfId="0" applyFont="1" applyBorder="1"/>
    <xf numFmtId="0" fontId="0" fillId="0" borderId="8" xfId="0" applyBorder="1"/>
    <xf numFmtId="0" fontId="4" fillId="0" borderId="0" xfId="0" applyFont="1" applyBorder="1" applyAlignment="1">
      <alignment horizontal="left" vertical="top"/>
    </xf>
    <xf numFmtId="0" fontId="1" fillId="0" borderId="1" xfId="2" applyNumberFormat="1" applyFont="1" applyBorder="1"/>
    <xf numFmtId="0" fontId="1" fillId="0" borderId="9" xfId="0" applyFont="1" applyBorder="1"/>
    <xf numFmtId="10" fontId="1" fillId="0" borderId="9" xfId="0" applyNumberFormat="1" applyFont="1" applyBorder="1"/>
    <xf numFmtId="0" fontId="1" fillId="0" borderId="10" xfId="0" applyFont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5" fillId="7" borderId="0" xfId="1" applyNumberFormat="1" applyBorder="1"/>
    <xf numFmtId="0" fontId="0" fillId="0" borderId="1" xfId="0" applyFill="1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2" fontId="1" fillId="0" borderId="9" xfId="0" applyNumberFormat="1" applyFont="1" applyBorder="1"/>
    <xf numFmtId="0" fontId="0" fillId="0" borderId="1" xfId="0" applyNumberFormat="1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2" fontId="1" fillId="0" borderId="14" xfId="0" applyNumberFormat="1" applyFont="1" applyBorder="1"/>
    <xf numFmtId="0" fontId="0" fillId="0" borderId="1" xfId="0" applyFill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</cellXfs>
  <cellStyles count="3">
    <cellStyle name="Neutral" xfId="1" builtinId="2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L1" zoomScale="85" zoomScaleNormal="85" workbookViewId="0">
      <selection activeCell="X6" sqref="X6"/>
    </sheetView>
  </sheetViews>
  <sheetFormatPr defaultColWidth="9.140625" defaultRowHeight="14.25"/>
  <cols>
    <col min="1" max="1" width="5.7109375" style="1" bestFit="1" customWidth="1"/>
    <col min="2" max="2" width="32.5703125" style="1" bestFit="1" customWidth="1"/>
    <col min="3" max="3" width="4.5703125" style="1" bestFit="1" customWidth="1"/>
    <col min="4" max="4" width="3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8"/>
      <c r="AD1" s="88"/>
      <c r="AE1" s="88"/>
      <c r="AF1" s="88"/>
      <c r="AG1" s="32"/>
      <c r="AH1" s="32"/>
    </row>
    <row r="2" spans="1:43" ht="18">
      <c r="A2" s="88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32"/>
      <c r="AH2" s="32"/>
    </row>
    <row r="3" spans="1:43" ht="19.899999999999999" customHeight="1" thickBot="1">
      <c r="A3" s="134" t="s">
        <v>35</v>
      </c>
      <c r="B3" s="134"/>
      <c r="C3" s="89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105</v>
      </c>
      <c r="C5" s="85">
        <v>0</v>
      </c>
      <c r="D5" s="85" t="s">
        <v>105</v>
      </c>
      <c r="E5" s="27" t="s">
        <v>10</v>
      </c>
      <c r="F5" s="27" t="s">
        <v>10</v>
      </c>
      <c r="G5" s="27">
        <v>44</v>
      </c>
      <c r="H5" s="1" t="s">
        <v>107</v>
      </c>
      <c r="I5" s="27">
        <f>G5*H5</f>
        <v>187660</v>
      </c>
      <c r="J5" s="1" t="s">
        <v>87</v>
      </c>
      <c r="K5" s="27">
        <v>2</v>
      </c>
      <c r="L5" s="27">
        <v>4</v>
      </c>
      <c r="M5" s="27">
        <f>I5</f>
        <v>187660</v>
      </c>
      <c r="N5" s="27">
        <f>ROUND((M5*J5)/100,2)</f>
        <v>1876.6</v>
      </c>
      <c r="O5" s="27">
        <f>I5-N5</f>
        <v>185783.4</v>
      </c>
      <c r="P5" s="27">
        <f>ROUND((O5*K5)/100,2)</f>
        <v>3715.67</v>
      </c>
      <c r="Q5" s="27">
        <f>ROUND(O5-P5,2)</f>
        <v>182067.73</v>
      </c>
      <c r="R5" s="27">
        <f>ROUND((Q5*L5)/100,2)</f>
        <v>7282.71</v>
      </c>
      <c r="S5" s="27">
        <f>N5+P5+R5</f>
        <v>12874.98</v>
      </c>
      <c r="T5" s="27">
        <f>ROUND(S5/G5,2)</f>
        <v>292.61</v>
      </c>
      <c r="U5" s="27">
        <f>(I5-S5)</f>
        <v>174785.02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20974.2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20974.2</v>
      </c>
      <c r="AE5" s="27">
        <f t="shared" ref="AE5:AE6" si="0">U5+AD5</f>
        <v>195759.22</v>
      </c>
      <c r="AF5" s="27">
        <v>120</v>
      </c>
      <c r="AG5" s="27">
        <f t="shared" ref="AG5:AG6" si="1">U5*$N$3</f>
        <v>174785.02</v>
      </c>
      <c r="AH5" s="27">
        <v>1</v>
      </c>
      <c r="AI5" s="27">
        <f t="shared" ref="AI5" si="2">G5/AH5</f>
        <v>44</v>
      </c>
      <c r="AJ5" s="35" t="s">
        <v>84</v>
      </c>
      <c r="AK5" s="35" t="s">
        <v>55</v>
      </c>
      <c r="AL5" s="29">
        <f>ROUND(AJ5-G5,0)</f>
        <v>804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5" t="s">
        <v>106</v>
      </c>
      <c r="C6" s="85">
        <v>0</v>
      </c>
      <c r="D6" s="85" t="s">
        <v>106</v>
      </c>
      <c r="E6" s="27" t="s">
        <v>45</v>
      </c>
      <c r="F6" s="27" t="s">
        <v>10</v>
      </c>
      <c r="G6" s="27">
        <v>53</v>
      </c>
      <c r="H6" s="1" t="s">
        <v>108</v>
      </c>
      <c r="I6" s="27">
        <f>G6*H6</f>
        <v>81779</v>
      </c>
      <c r="J6" s="1" t="s">
        <v>87</v>
      </c>
      <c r="K6" s="27">
        <v>7</v>
      </c>
      <c r="L6" s="27">
        <v>9</v>
      </c>
      <c r="M6" s="27">
        <f>I6</f>
        <v>81779</v>
      </c>
      <c r="N6" s="27">
        <f>ROUND((M6*J6)/100,2)</f>
        <v>817.79</v>
      </c>
      <c r="O6" s="27">
        <f>I6-N6</f>
        <v>80961.210000000006</v>
      </c>
      <c r="P6" s="27">
        <f>ROUND((O6*K6)/100,2)</f>
        <v>5667.28</v>
      </c>
      <c r="Q6" s="27">
        <f>ROUND(O6-P6,2)</f>
        <v>75293.929999999993</v>
      </c>
      <c r="R6" s="27">
        <f>ROUND((Q6*L6)/100,2)</f>
        <v>6776.45</v>
      </c>
      <c r="S6" s="27">
        <f>N6+P6+R6</f>
        <v>13261.52</v>
      </c>
      <c r="T6" s="27">
        <f>ROUND(S6/G6,2)</f>
        <v>250.22</v>
      </c>
      <c r="U6" s="27">
        <f>(I6-S6)</f>
        <v>68517.48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8222.1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8222.1</v>
      </c>
      <c r="AE6" s="27">
        <f t="shared" si="0"/>
        <v>76739.58</v>
      </c>
      <c r="AF6" s="27">
        <v>120</v>
      </c>
      <c r="AG6" s="27">
        <f t="shared" si="1"/>
        <v>68517.48</v>
      </c>
      <c r="AH6" s="27">
        <v>3</v>
      </c>
      <c r="AI6" s="27">
        <f>ROUND(G6/AH6,3)</f>
        <v>17.667000000000002</v>
      </c>
      <c r="AJ6" s="35" t="s">
        <v>83</v>
      </c>
      <c r="AK6" s="35" t="s">
        <v>56</v>
      </c>
      <c r="AL6" s="29">
        <f>ROUND((AJ6-AI6),3)</f>
        <v>1357.335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272498.8</v>
      </c>
      <c r="AF7" s="15" t="s">
        <v>40</v>
      </c>
      <c r="AG7" s="79">
        <f>AG5</f>
        <v>174785.02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S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8"/>
      <c r="AD1" s="88"/>
      <c r="AE1" s="88"/>
      <c r="AF1" s="88"/>
      <c r="AG1" s="32"/>
      <c r="AH1" s="32"/>
    </row>
    <row r="2" spans="1:43" ht="18">
      <c r="A2" s="88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32"/>
      <c r="AH2" s="32"/>
    </row>
    <row r="3" spans="1:43" ht="19.899999999999999" customHeight="1" thickBot="1">
      <c r="A3" s="134" t="s">
        <v>35</v>
      </c>
      <c r="B3" s="134"/>
      <c r="C3" s="89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105</v>
      </c>
      <c r="C5" s="85">
        <v>0</v>
      </c>
      <c r="D5" s="85" t="s">
        <v>105</v>
      </c>
      <c r="E5" s="27" t="s">
        <v>10</v>
      </c>
      <c r="F5" s="27" t="s">
        <v>10</v>
      </c>
      <c r="G5" s="27">
        <v>5</v>
      </c>
      <c r="H5" s="1" t="s">
        <v>109</v>
      </c>
      <c r="I5" s="27">
        <f>G5*H5</f>
        <v>160</v>
      </c>
      <c r="J5" s="1" t="s">
        <v>87</v>
      </c>
      <c r="K5" s="27">
        <v>3</v>
      </c>
      <c r="L5" s="27">
        <v>4</v>
      </c>
      <c r="M5" s="27">
        <f>I5</f>
        <v>160</v>
      </c>
      <c r="N5" s="27">
        <f>ROUND((M5*J5)/100,2)</f>
        <v>1.6</v>
      </c>
      <c r="O5" s="27">
        <f>I5-N5</f>
        <v>158.4</v>
      </c>
      <c r="P5" s="27">
        <f>ROUND((O5*K5)/100,2)</f>
        <v>4.75</v>
      </c>
      <c r="Q5" s="27">
        <f>ROUND(O5-P5,2)</f>
        <v>153.65</v>
      </c>
      <c r="R5" s="27">
        <f>ROUND((Q5*L5)/100,2)</f>
        <v>6.15</v>
      </c>
      <c r="S5" s="27">
        <f>N5+P5+R5</f>
        <v>12.5</v>
      </c>
      <c r="T5" s="27">
        <f>ROUND(S5/G5,2)</f>
        <v>2.5</v>
      </c>
      <c r="U5" s="27">
        <f>(I5-S5)</f>
        <v>147.5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147.5</v>
      </c>
      <c r="AF5" s="27">
        <v>120</v>
      </c>
      <c r="AG5" s="27">
        <f t="shared" ref="AG5:AG6" si="1">U5*$N$3</f>
        <v>147.5</v>
      </c>
      <c r="AH5" s="27">
        <v>1</v>
      </c>
      <c r="AI5" s="27">
        <f t="shared" ref="AI5" si="2">G5/AH5</f>
        <v>5</v>
      </c>
      <c r="AJ5" s="35" t="s">
        <v>84</v>
      </c>
      <c r="AK5" s="35" t="s">
        <v>55</v>
      </c>
      <c r="AL5" s="29">
        <f>ROUND(AJ5-G5,0)</f>
        <v>843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5" t="s">
        <v>106</v>
      </c>
      <c r="C6" s="85">
        <v>0</v>
      </c>
      <c r="D6" s="85" t="s">
        <v>106</v>
      </c>
      <c r="E6" s="27" t="s">
        <v>45</v>
      </c>
      <c r="F6" s="27" t="s">
        <v>10</v>
      </c>
      <c r="G6" s="27">
        <v>89</v>
      </c>
      <c r="H6" s="1" t="s">
        <v>110</v>
      </c>
      <c r="I6" s="27">
        <f>G6*H6</f>
        <v>3738</v>
      </c>
      <c r="J6" s="1" t="s">
        <v>87</v>
      </c>
      <c r="K6" s="27">
        <v>7</v>
      </c>
      <c r="L6" s="27">
        <v>9</v>
      </c>
      <c r="M6" s="27">
        <f>I6</f>
        <v>3738</v>
      </c>
      <c r="N6" s="27">
        <f>ROUND((M6*J6)/100,2)</f>
        <v>37.380000000000003</v>
      </c>
      <c r="O6" s="27">
        <f>I6-N6</f>
        <v>3700.62</v>
      </c>
      <c r="P6" s="27">
        <f>ROUND((O6*K6)/100,2)</f>
        <v>259.04000000000002</v>
      </c>
      <c r="Q6" s="27">
        <f>ROUND(O6-P6,2)</f>
        <v>3441.58</v>
      </c>
      <c r="R6" s="27">
        <f>ROUND((Q6*L6)/100,2)</f>
        <v>309.74</v>
      </c>
      <c r="S6" s="27">
        <f>N6+P6+R6</f>
        <v>606.16000000000008</v>
      </c>
      <c r="T6" s="27">
        <f>ROUND(S6/G6,2)</f>
        <v>6.81</v>
      </c>
      <c r="U6" s="27">
        <f>(I6-S6)</f>
        <v>3131.84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3131.84</v>
      </c>
      <c r="AF6" s="27">
        <v>120</v>
      </c>
      <c r="AG6" s="27">
        <f t="shared" si="1"/>
        <v>3131.84</v>
      </c>
      <c r="AH6" s="27">
        <v>3</v>
      </c>
      <c r="AI6" s="27">
        <f>ROUND(G6/AH6,3)</f>
        <v>29.667000000000002</v>
      </c>
      <c r="AJ6" s="35" t="s">
        <v>83</v>
      </c>
      <c r="AK6" s="35" t="s">
        <v>56</v>
      </c>
      <c r="AL6" s="29">
        <f>ROUND((AJ6-AI6),3)</f>
        <v>1345.335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3279.34</v>
      </c>
      <c r="AF7" s="15" t="s">
        <v>40</v>
      </c>
      <c r="AG7" s="79">
        <f>AG5</f>
        <v>147.5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X6" sqref="X6"/>
    </sheetView>
  </sheetViews>
  <sheetFormatPr defaultColWidth="9.140625" defaultRowHeight="14.25"/>
  <cols>
    <col min="1" max="1" width="5.7109375" style="1" bestFit="1" customWidth="1"/>
    <col min="2" max="2" width="32.5703125" style="1" bestFit="1" customWidth="1"/>
    <col min="3" max="3" width="5" style="1" bestFit="1" customWidth="1"/>
    <col min="4" max="4" width="3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6"/>
      <c r="AD1" s="86"/>
      <c r="AE1" s="86"/>
      <c r="AF1" s="86"/>
      <c r="AG1" s="32"/>
      <c r="AH1" s="32"/>
    </row>
    <row r="2" spans="1:43" ht="18">
      <c r="A2" s="86" t="s">
        <v>30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32"/>
      <c r="AH2" s="32"/>
    </row>
    <row r="3" spans="1:43" ht="19.899999999999999" customHeight="1" thickBot="1">
      <c r="A3" s="134" t="s">
        <v>35</v>
      </c>
      <c r="B3" s="134"/>
      <c r="C3" s="87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100</v>
      </c>
      <c r="C5" s="80">
        <v>0</v>
      </c>
      <c r="D5" s="85" t="s">
        <v>100</v>
      </c>
      <c r="E5" s="27" t="s">
        <v>10</v>
      </c>
      <c r="F5" s="27" t="s">
        <v>10</v>
      </c>
      <c r="G5" s="27">
        <v>21</v>
      </c>
      <c r="H5" s="1" t="s">
        <v>102</v>
      </c>
      <c r="I5" s="27">
        <f>G5*H5</f>
        <v>86982</v>
      </c>
      <c r="J5" s="27">
        <v>1</v>
      </c>
      <c r="K5" s="27">
        <v>2</v>
      </c>
      <c r="L5" s="27">
        <v>4</v>
      </c>
      <c r="M5" s="27">
        <f>I5</f>
        <v>86982</v>
      </c>
      <c r="N5" s="27">
        <f>ROUND((M5*J5)/100,2)</f>
        <v>869.82</v>
      </c>
      <c r="O5" s="27">
        <f>I5-N5</f>
        <v>86112.18</v>
      </c>
      <c r="P5" s="27">
        <f>ROUND((O5*K5)/100,2)</f>
        <v>1722.24</v>
      </c>
      <c r="Q5" s="27">
        <f>ROUND(O5-P5,2)</f>
        <v>84389.94</v>
      </c>
      <c r="R5" s="27">
        <f>ROUND((Q5*L5)/100,2)</f>
        <v>3375.6</v>
      </c>
      <c r="S5" s="27">
        <f>N5+P5+R5</f>
        <v>5967.66</v>
      </c>
      <c r="T5" s="27">
        <f>ROUND(S5/G5,2)</f>
        <v>284.17</v>
      </c>
      <c r="U5" s="27">
        <f>(I5-S5)</f>
        <v>81014.34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4050.72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4050.72</v>
      </c>
      <c r="AE5" s="27">
        <f t="shared" ref="AE5:AE6" si="0">U5+AD5</f>
        <v>85065.06</v>
      </c>
      <c r="AF5" s="27">
        <v>120</v>
      </c>
      <c r="AG5" s="27">
        <f t="shared" ref="AG5:AG6" si="1">U5*$N$3</f>
        <v>81014.34</v>
      </c>
      <c r="AH5" s="27">
        <v>1</v>
      </c>
      <c r="AI5" s="27">
        <f t="shared" ref="AI5" si="2">G5/AH5</f>
        <v>21</v>
      </c>
      <c r="AJ5" s="35" t="s">
        <v>84</v>
      </c>
      <c r="AK5" s="35" t="s">
        <v>55</v>
      </c>
      <c r="AL5" s="29">
        <f>ROUND(AJ5-G5,0)</f>
        <v>827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101</v>
      </c>
      <c r="C6" s="80">
        <v>0</v>
      </c>
      <c r="D6" s="85" t="s">
        <v>101</v>
      </c>
      <c r="E6" s="27" t="s">
        <v>45</v>
      </c>
      <c r="F6" s="27" t="s">
        <v>10</v>
      </c>
      <c r="G6" s="27">
        <v>35</v>
      </c>
      <c r="H6" s="1" t="s">
        <v>103</v>
      </c>
      <c r="I6" s="27">
        <f>G6*H6</f>
        <v>53970</v>
      </c>
      <c r="J6" s="27">
        <v>1</v>
      </c>
      <c r="K6" s="27">
        <v>7</v>
      </c>
      <c r="L6" s="27">
        <v>9</v>
      </c>
      <c r="M6" s="27">
        <f>I6</f>
        <v>53970</v>
      </c>
      <c r="N6" s="27">
        <f>ROUND((M6*J6)/100,2)</f>
        <v>539.70000000000005</v>
      </c>
      <c r="O6" s="27">
        <f>I6-N6</f>
        <v>53430.3</v>
      </c>
      <c r="P6" s="27">
        <f>ROUND((O6*K6)/100,2)</f>
        <v>3740.12</v>
      </c>
      <c r="Q6" s="27">
        <f>ROUND(O6-P6,2)</f>
        <v>49690.18</v>
      </c>
      <c r="R6" s="27">
        <f>ROUND((Q6*L6)/100,2)</f>
        <v>4472.12</v>
      </c>
      <c r="S6" s="27">
        <f>N6+P6+R6</f>
        <v>8751.9399999999987</v>
      </c>
      <c r="T6" s="27">
        <f>ROUND(S6/G6,2)</f>
        <v>250.06</v>
      </c>
      <c r="U6" s="27">
        <f>(I6-S6)</f>
        <v>45218.06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5426.17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5426.17</v>
      </c>
      <c r="AE6" s="27">
        <f t="shared" si="0"/>
        <v>50644.229999999996</v>
      </c>
      <c r="AF6" s="27">
        <v>120</v>
      </c>
      <c r="AG6" s="27">
        <f t="shared" si="1"/>
        <v>45218.06</v>
      </c>
      <c r="AH6" s="27">
        <v>3</v>
      </c>
      <c r="AI6" s="27">
        <f>ROUND(G6/AH6,3)</f>
        <v>11.667</v>
      </c>
      <c r="AJ6" s="35" t="s">
        <v>83</v>
      </c>
      <c r="AK6" s="35" t="s">
        <v>56</v>
      </c>
      <c r="AL6" s="29">
        <f>ROUND((AJ6-AI6),3)</f>
        <v>1363.335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135709.28999999998</v>
      </c>
      <c r="AF7" s="15" t="s">
        <v>40</v>
      </c>
      <c r="AG7" s="79">
        <f>AG5</f>
        <v>81014.34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6"/>
      <c r="AD1" s="86"/>
      <c r="AE1" s="86"/>
      <c r="AF1" s="86"/>
      <c r="AG1" s="32"/>
      <c r="AH1" s="32"/>
    </row>
    <row r="2" spans="1:43" ht="18">
      <c r="A2" s="86" t="s">
        <v>30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32"/>
      <c r="AH2" s="32"/>
    </row>
    <row r="3" spans="1:43" ht="19.899999999999999" customHeight="1" thickBot="1">
      <c r="A3" s="134" t="s">
        <v>35</v>
      </c>
      <c r="B3" s="134"/>
      <c r="C3" s="87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100</v>
      </c>
      <c r="C5" s="80">
        <v>0</v>
      </c>
      <c r="D5" s="85" t="s">
        <v>100</v>
      </c>
      <c r="E5" s="27" t="s">
        <v>10</v>
      </c>
      <c r="F5" s="27" t="s">
        <v>10</v>
      </c>
      <c r="G5" s="27">
        <v>11</v>
      </c>
      <c r="H5" s="1" t="s">
        <v>99</v>
      </c>
      <c r="I5" s="27">
        <f>G5*H5</f>
        <v>275</v>
      </c>
      <c r="J5" s="1">
        <v>1</v>
      </c>
      <c r="K5" s="27">
        <v>3</v>
      </c>
      <c r="L5" s="27">
        <v>4</v>
      </c>
      <c r="M5" s="27">
        <f>I5</f>
        <v>275</v>
      </c>
      <c r="N5" s="27">
        <f>ROUND((M5*J5)/100,2)</f>
        <v>2.75</v>
      </c>
      <c r="O5" s="27">
        <f>I5-N5</f>
        <v>272.25</v>
      </c>
      <c r="P5" s="27">
        <f>ROUND((O5*K5)/100,2)</f>
        <v>8.17</v>
      </c>
      <c r="Q5" s="27">
        <f>ROUND(O5-P5,2)</f>
        <v>264.08</v>
      </c>
      <c r="R5" s="27">
        <f>ROUND((Q5*L5)/100,2)</f>
        <v>10.56</v>
      </c>
      <c r="S5" s="27">
        <f>N5+P5+R5</f>
        <v>21.48</v>
      </c>
      <c r="T5" s="27">
        <f>ROUND(S5/G5,2)</f>
        <v>1.95</v>
      </c>
      <c r="U5" s="27">
        <f>(I5-S5)</f>
        <v>253.52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253.52</v>
      </c>
      <c r="AF5" s="27">
        <v>120</v>
      </c>
      <c r="AG5" s="27">
        <f t="shared" ref="AG5:AG6" si="1">U5*$N$3</f>
        <v>253.52</v>
      </c>
      <c r="AH5" s="27">
        <v>1</v>
      </c>
      <c r="AI5" s="27">
        <f t="shared" ref="AI5" si="2">G5/AH5</f>
        <v>11</v>
      </c>
      <c r="AJ5" s="35" t="s">
        <v>84</v>
      </c>
      <c r="AK5" s="35" t="s">
        <v>55</v>
      </c>
      <c r="AL5" s="29">
        <f>ROUND(AJ5-G5,0)</f>
        <v>837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101</v>
      </c>
      <c r="C6" s="80">
        <v>0</v>
      </c>
      <c r="D6" s="85" t="s">
        <v>101</v>
      </c>
      <c r="E6" s="27" t="s">
        <v>45</v>
      </c>
      <c r="F6" s="27" t="s">
        <v>10</v>
      </c>
      <c r="G6" s="27">
        <v>15</v>
      </c>
      <c r="H6" s="1" t="s">
        <v>104</v>
      </c>
      <c r="I6" s="27">
        <f>G6*H6</f>
        <v>480</v>
      </c>
      <c r="J6" s="1">
        <v>1</v>
      </c>
      <c r="K6" s="27">
        <v>7</v>
      </c>
      <c r="L6" s="27">
        <v>9</v>
      </c>
      <c r="M6" s="27">
        <f>I6</f>
        <v>480</v>
      </c>
      <c r="N6" s="27">
        <f>ROUND((M6*J6)/100,2)</f>
        <v>4.8</v>
      </c>
      <c r="O6" s="27">
        <f>I6-N6</f>
        <v>475.2</v>
      </c>
      <c r="P6" s="27">
        <f>ROUND((O6*K6)/100,2)</f>
        <v>33.26</v>
      </c>
      <c r="Q6" s="27">
        <f>ROUND(O6-P6,2)</f>
        <v>441.94</v>
      </c>
      <c r="R6" s="27">
        <f>ROUND((Q6*L6)/100,2)</f>
        <v>39.770000000000003</v>
      </c>
      <c r="S6" s="27">
        <f>N6+P6+R6</f>
        <v>77.83</v>
      </c>
      <c r="T6" s="27">
        <f>ROUND(S6/G6,2)</f>
        <v>5.19</v>
      </c>
      <c r="U6" s="27">
        <f>(I6-S6)</f>
        <v>402.17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402.17</v>
      </c>
      <c r="AF6" s="27">
        <v>120</v>
      </c>
      <c r="AG6" s="27">
        <f t="shared" si="1"/>
        <v>402.17</v>
      </c>
      <c r="AH6" s="27">
        <v>3</v>
      </c>
      <c r="AI6" s="27">
        <f>ROUND(G6/AH6,3)</f>
        <v>5</v>
      </c>
      <c r="AJ6" s="35" t="s">
        <v>83</v>
      </c>
      <c r="AK6" s="35" t="s">
        <v>56</v>
      </c>
      <c r="AL6" s="29">
        <f>ROUND((AJ6-AI6),3)</f>
        <v>1370.002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655.69</v>
      </c>
      <c r="AF7" s="15" t="s">
        <v>40</v>
      </c>
      <c r="AG7" s="79">
        <f>AG5</f>
        <v>253.52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3"/>
      <c r="AD1" s="83"/>
      <c r="AE1" s="83"/>
      <c r="AF1" s="83"/>
      <c r="AG1" s="32"/>
      <c r="AH1" s="32"/>
    </row>
    <row r="2" spans="1:43" ht="18">
      <c r="A2" s="83" t="s">
        <v>30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32"/>
      <c r="AH2" s="32"/>
    </row>
    <row r="3" spans="1:43" ht="19.899999999999999" customHeight="1" thickBot="1">
      <c r="A3" s="134" t="s">
        <v>35</v>
      </c>
      <c r="B3" s="134"/>
      <c r="C3" s="84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95</v>
      </c>
      <c r="C5" s="85">
        <v>0</v>
      </c>
      <c r="D5" s="85" t="s">
        <v>95</v>
      </c>
      <c r="E5" s="27" t="s">
        <v>10</v>
      </c>
      <c r="F5" s="27" t="s">
        <v>10</v>
      </c>
      <c r="G5" s="27">
        <v>22</v>
      </c>
      <c r="H5" s="1" t="s">
        <v>98</v>
      </c>
      <c r="I5" s="27">
        <f>G5*H5</f>
        <v>792</v>
      </c>
      <c r="J5" s="1">
        <v>1</v>
      </c>
      <c r="K5" s="27">
        <v>3</v>
      </c>
      <c r="L5" s="27">
        <v>4</v>
      </c>
      <c r="M5" s="27">
        <f>I5</f>
        <v>792</v>
      </c>
      <c r="N5" s="27">
        <f>ROUND((M5*J5)/100,2)</f>
        <v>7.92</v>
      </c>
      <c r="O5" s="27">
        <f>I5-N5</f>
        <v>784.08</v>
      </c>
      <c r="P5" s="27">
        <f>ROUND((O5*K5)/100,2)</f>
        <v>23.52</v>
      </c>
      <c r="Q5" s="27">
        <f>ROUND(O5-P5,2)</f>
        <v>760.56</v>
      </c>
      <c r="R5" s="27">
        <f>ROUND((Q5*L5)/100,2)</f>
        <v>30.42</v>
      </c>
      <c r="S5" s="27">
        <f>N5+P5+R5</f>
        <v>61.86</v>
      </c>
      <c r="T5" s="27">
        <f>ROUND(S5/G5,2)</f>
        <v>2.81</v>
      </c>
      <c r="U5" s="27">
        <f>(I5-S5)</f>
        <v>730.14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730.14</v>
      </c>
      <c r="AF5" s="27">
        <v>120</v>
      </c>
      <c r="AG5" s="27">
        <f t="shared" ref="AG5:AG6" si="1">U5*$N$3</f>
        <v>730.14</v>
      </c>
      <c r="AH5" s="27">
        <v>1</v>
      </c>
      <c r="AI5" s="27">
        <f t="shared" ref="AI5" si="2">G5/AH5</f>
        <v>22</v>
      </c>
      <c r="AJ5" s="35" t="s">
        <v>84</v>
      </c>
      <c r="AK5" s="35" t="s">
        <v>55</v>
      </c>
      <c r="AL5" s="29">
        <f>ROUND(AJ5-G5,0)</f>
        <v>826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5" t="s">
        <v>96</v>
      </c>
      <c r="C6" s="80">
        <v>0</v>
      </c>
      <c r="D6" s="85" t="s">
        <v>96</v>
      </c>
      <c r="E6" s="27" t="s">
        <v>45</v>
      </c>
      <c r="F6" s="27" t="s">
        <v>10</v>
      </c>
      <c r="G6" s="27">
        <v>12</v>
      </c>
      <c r="H6" s="1" t="s">
        <v>99</v>
      </c>
      <c r="I6" s="27">
        <f>G6*H6</f>
        <v>204</v>
      </c>
      <c r="J6" s="1">
        <v>1</v>
      </c>
      <c r="K6" s="27">
        <v>7</v>
      </c>
      <c r="L6" s="27">
        <v>9</v>
      </c>
      <c r="M6" s="27">
        <f>I6</f>
        <v>204</v>
      </c>
      <c r="N6" s="27">
        <f>ROUND((M6*J6)/100,2)</f>
        <v>2.04</v>
      </c>
      <c r="O6" s="27">
        <f>I6-N6</f>
        <v>201.96</v>
      </c>
      <c r="P6" s="27">
        <f>ROUND((O6*K6)/100,2)</f>
        <v>14.14</v>
      </c>
      <c r="Q6" s="27">
        <f>ROUND(O6-P6,2)</f>
        <v>187.82</v>
      </c>
      <c r="R6" s="27">
        <f>ROUND((Q6*L6)/100,2)</f>
        <v>16.899999999999999</v>
      </c>
      <c r="S6" s="27">
        <f>N6+P6+R6</f>
        <v>33.08</v>
      </c>
      <c r="T6" s="27">
        <f>ROUND(S6/G6,2)</f>
        <v>2.76</v>
      </c>
      <c r="U6" s="27">
        <f>(I6-S6)</f>
        <v>170.92000000000002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170.92000000000002</v>
      </c>
      <c r="AF6" s="27">
        <v>120</v>
      </c>
      <c r="AG6" s="27">
        <f t="shared" si="1"/>
        <v>170.92000000000002</v>
      </c>
      <c r="AH6" s="27">
        <v>3</v>
      </c>
      <c r="AI6" s="27">
        <f>ROUND(G6/AH6,3)</f>
        <v>4</v>
      </c>
      <c r="AJ6" s="35" t="s">
        <v>83</v>
      </c>
      <c r="AK6" s="35" t="s">
        <v>56</v>
      </c>
      <c r="AL6" s="29">
        <f>ROUND((AJ6-AI6),3)</f>
        <v>1371.002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901.06</v>
      </c>
      <c r="AF7" s="15" t="s">
        <v>40</v>
      </c>
      <c r="AG7" s="79">
        <f>AG5</f>
        <v>730.14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L5" sqref="L5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3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3"/>
      <c r="AD1" s="83"/>
      <c r="AE1" s="83"/>
      <c r="AF1" s="83"/>
      <c r="AG1" s="32"/>
      <c r="AH1" s="32"/>
    </row>
    <row r="2" spans="1:43" ht="18">
      <c r="A2" s="83" t="s">
        <v>30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32"/>
      <c r="AH2" s="32"/>
    </row>
    <row r="3" spans="1:43" ht="19.899999999999999" customHeight="1" thickBot="1">
      <c r="A3" s="134" t="s">
        <v>35</v>
      </c>
      <c r="B3" s="134"/>
      <c r="C3" s="84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5" t="s">
        <v>95</v>
      </c>
      <c r="C5" s="85">
        <v>0</v>
      </c>
      <c r="D5" s="85" t="s">
        <v>95</v>
      </c>
      <c r="E5" s="27" t="s">
        <v>10</v>
      </c>
      <c r="F5" s="27" t="s">
        <v>10</v>
      </c>
      <c r="G5" s="27">
        <v>12</v>
      </c>
      <c r="H5" s="1" t="s">
        <v>185</v>
      </c>
      <c r="I5" s="27">
        <f>G5*H5</f>
        <v>37440</v>
      </c>
      <c r="J5" s="27">
        <v>1</v>
      </c>
      <c r="K5" s="27">
        <v>2</v>
      </c>
      <c r="L5" s="27">
        <v>4</v>
      </c>
      <c r="M5" s="27">
        <f>I5</f>
        <v>37440</v>
      </c>
      <c r="N5" s="27">
        <f>ROUND((M5*J5)/100,2)</f>
        <v>374.4</v>
      </c>
      <c r="O5" s="27">
        <f>I5-N5</f>
        <v>37065.599999999999</v>
      </c>
      <c r="P5" s="27">
        <f>ROUND((O5*K5)/100,2)</f>
        <v>741.31</v>
      </c>
      <c r="Q5" s="27">
        <f>ROUND(O5-P5,2)</f>
        <v>36324.29</v>
      </c>
      <c r="R5" s="27">
        <f>ROUND((Q5*L5)/100,2)</f>
        <v>1452.97</v>
      </c>
      <c r="S5" s="27">
        <f>N5+P5+R5</f>
        <v>2568.6800000000003</v>
      </c>
      <c r="T5" s="27">
        <f>ROUND(S5/G5,2)</f>
        <v>214.06</v>
      </c>
      <c r="U5" s="27">
        <f>(I5-S5)</f>
        <v>34871.32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4184.5600000000004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4184.5600000000004</v>
      </c>
      <c r="AE5" s="27">
        <f t="shared" ref="AE5:AE6" si="0">U5+AD5</f>
        <v>39055.879999999997</v>
      </c>
      <c r="AF5" s="27">
        <v>120</v>
      </c>
      <c r="AG5" s="27">
        <f t="shared" ref="AG5:AG6" si="1">U5*$N$3</f>
        <v>34871.32</v>
      </c>
      <c r="AH5" s="27">
        <v>1</v>
      </c>
      <c r="AI5" s="27">
        <f t="shared" ref="AI5" si="2">G5/AH5</f>
        <v>12</v>
      </c>
      <c r="AJ5" s="35" t="s">
        <v>84</v>
      </c>
      <c r="AK5" s="35" t="s">
        <v>55</v>
      </c>
      <c r="AL5" s="29">
        <f>ROUND(AJ5-G5,0)</f>
        <v>836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5" t="s">
        <v>96</v>
      </c>
      <c r="C6" s="80">
        <v>0</v>
      </c>
      <c r="D6" s="85" t="s">
        <v>96</v>
      </c>
      <c r="E6" s="27" t="s">
        <v>45</v>
      </c>
      <c r="F6" s="27" t="s">
        <v>10</v>
      </c>
      <c r="G6" s="27">
        <v>14</v>
      </c>
      <c r="H6" s="1" t="s">
        <v>97</v>
      </c>
      <c r="I6" s="27">
        <f>G6*H6</f>
        <v>44184</v>
      </c>
      <c r="J6" s="27">
        <v>1</v>
      </c>
      <c r="K6" s="27">
        <v>7</v>
      </c>
      <c r="L6" s="27">
        <v>9</v>
      </c>
      <c r="M6" s="27">
        <f>I6</f>
        <v>44184</v>
      </c>
      <c r="N6" s="27">
        <f>ROUND((M6*J6)/100,2)</f>
        <v>441.84</v>
      </c>
      <c r="O6" s="27">
        <f>I6-N6</f>
        <v>43742.16</v>
      </c>
      <c r="P6" s="27">
        <f>ROUND((O6*K6)/100,2)</f>
        <v>3061.95</v>
      </c>
      <c r="Q6" s="27">
        <f>ROUND(O6-P6,2)</f>
        <v>40680.21</v>
      </c>
      <c r="R6" s="27">
        <f>ROUND((Q6*L6)/100,2)</f>
        <v>3661.22</v>
      </c>
      <c r="S6" s="27">
        <f>N6+P6+R6</f>
        <v>7165.01</v>
      </c>
      <c r="T6" s="27">
        <f>ROUND(S6/G6,2)</f>
        <v>511.79</v>
      </c>
      <c r="U6" s="27">
        <f>(I6-S6)</f>
        <v>37018.99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1850.95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1850.95</v>
      </c>
      <c r="AE6" s="27">
        <f t="shared" si="0"/>
        <v>38869.939999999995</v>
      </c>
      <c r="AF6" s="27">
        <v>120</v>
      </c>
      <c r="AG6" s="27">
        <f t="shared" si="1"/>
        <v>37018.99</v>
      </c>
      <c r="AH6" s="27">
        <v>3</v>
      </c>
      <c r="AI6" s="27">
        <f>ROUND(G6/AH6,3)</f>
        <v>4.6669999999999998</v>
      </c>
      <c r="AJ6" s="35" t="s">
        <v>83</v>
      </c>
      <c r="AK6" s="35" t="s">
        <v>56</v>
      </c>
      <c r="AL6" s="29">
        <f>ROUND((AJ6-AI6),3)</f>
        <v>1370.335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77925.819999999992</v>
      </c>
      <c r="AF7" s="15" t="s">
        <v>40</v>
      </c>
      <c r="AG7" s="79">
        <f>AG5</f>
        <v>34871.32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81"/>
      <c r="AD1" s="81"/>
      <c r="AE1" s="81"/>
      <c r="AF1" s="81"/>
      <c r="AG1" s="32"/>
      <c r="AH1" s="32"/>
    </row>
    <row r="2" spans="1:43" ht="18">
      <c r="A2" s="81" t="s">
        <v>30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32"/>
      <c r="AH2" s="32"/>
    </row>
    <row r="3" spans="1:43" ht="19.899999999999999" customHeight="1" thickBot="1">
      <c r="A3" s="134" t="s">
        <v>35</v>
      </c>
      <c r="B3" s="134"/>
      <c r="C3" s="82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92</v>
      </c>
      <c r="I5" s="27">
        <f>G5*H5</f>
        <v>150</v>
      </c>
      <c r="J5" s="1" t="s">
        <v>87</v>
      </c>
      <c r="K5" s="27">
        <v>2</v>
      </c>
      <c r="L5" s="27">
        <v>4</v>
      </c>
      <c r="M5" s="27">
        <f>I5</f>
        <v>150</v>
      </c>
      <c r="N5" s="27">
        <f>ROUND((M5*J5)/100,2)</f>
        <v>6</v>
      </c>
      <c r="O5" s="27">
        <f>I5-N5</f>
        <v>144</v>
      </c>
      <c r="P5" s="27">
        <f>ROUND((O5*K5)/100,2)</f>
        <v>2.88</v>
      </c>
      <c r="Q5" s="27">
        <f>ROUND(O5-P5,2)</f>
        <v>141.12</v>
      </c>
      <c r="R5" s="27">
        <f>ROUND((Q5*L5)/100,2)</f>
        <v>5.64</v>
      </c>
      <c r="S5" s="27">
        <f>N5+P5+R5</f>
        <v>14.52</v>
      </c>
      <c r="T5" s="27">
        <f>ROUND(S5/G5,2)</f>
        <v>1.45</v>
      </c>
      <c r="U5" s="27">
        <f>(I5-S5)</f>
        <v>135.47999999999999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135.47999999999999</v>
      </c>
      <c r="AF5" s="27">
        <v>120</v>
      </c>
      <c r="AG5" s="27">
        <f t="shared" ref="AG5:AG6" si="1">U5*$N$3</f>
        <v>135.47999999999999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93</v>
      </c>
      <c r="I6" s="27">
        <f>G6*H6</f>
        <v>330</v>
      </c>
      <c r="J6" s="1" t="s">
        <v>94</v>
      </c>
      <c r="K6" s="27">
        <v>7</v>
      </c>
      <c r="L6" s="27">
        <v>9</v>
      </c>
      <c r="M6" s="27">
        <f>I6</f>
        <v>330</v>
      </c>
      <c r="N6" s="27">
        <f>ROUND((M6*J6)/100,2)</f>
        <v>6.6</v>
      </c>
      <c r="O6" s="27">
        <f>I6-N6</f>
        <v>323.39999999999998</v>
      </c>
      <c r="P6" s="27">
        <f>ROUND((O6*K6)/100,2)</f>
        <v>22.64</v>
      </c>
      <c r="Q6" s="27">
        <f>ROUND(O6-P6,2)</f>
        <v>300.76</v>
      </c>
      <c r="R6" s="27">
        <f>ROUND((Q6*L6)/100,2)</f>
        <v>27.07</v>
      </c>
      <c r="S6" s="27">
        <f>N6+P6+R6</f>
        <v>56.31</v>
      </c>
      <c r="T6" s="27">
        <f>ROUND(S6/G6,2)</f>
        <v>5.63</v>
      </c>
      <c r="U6" s="27">
        <f>(I6-S6)</f>
        <v>273.69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273.69</v>
      </c>
      <c r="AF6" s="27">
        <v>120</v>
      </c>
      <c r="AG6" s="27">
        <f t="shared" si="1"/>
        <v>273.69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409.16999999999996</v>
      </c>
      <c r="AF7" s="15" t="s">
        <v>40</v>
      </c>
      <c r="AG7" s="79">
        <f>AG5</f>
        <v>135.47999999999999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I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31.7109375" style="1" bestFit="1" customWidth="1"/>
    <col min="3" max="3" width="4.5703125" style="1" bestFit="1" customWidth="1"/>
    <col min="4" max="4" width="31.71093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92"/>
      <c r="AD1" s="92"/>
      <c r="AE1" s="92"/>
      <c r="AF1" s="92"/>
      <c r="AG1" s="32"/>
      <c r="AH1" s="32"/>
    </row>
    <row r="2" spans="1:43" ht="18">
      <c r="A2" s="92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32"/>
      <c r="AH2" s="32"/>
    </row>
    <row r="3" spans="1:43" ht="19.899999999999999" customHeight="1" thickBot="1">
      <c r="A3" s="134" t="s">
        <v>35</v>
      </c>
      <c r="B3" s="134"/>
      <c r="C3" s="9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0" t="s">
        <v>117</v>
      </c>
      <c r="C5" s="27">
        <v>0</v>
      </c>
      <c r="D5" s="80" t="s">
        <v>117</v>
      </c>
      <c r="E5" s="27" t="s">
        <v>10</v>
      </c>
      <c r="F5" s="27" t="s">
        <v>10</v>
      </c>
      <c r="G5" s="27">
        <v>10</v>
      </c>
      <c r="H5" s="1" t="s">
        <v>116</v>
      </c>
      <c r="I5" s="27">
        <f>G5*H5</f>
        <v>63000</v>
      </c>
      <c r="J5" s="1" t="s">
        <v>115</v>
      </c>
      <c r="K5" s="27">
        <v>2</v>
      </c>
      <c r="L5" s="27">
        <v>4</v>
      </c>
      <c r="M5" s="27">
        <f>I5</f>
        <v>63000</v>
      </c>
      <c r="N5" s="27">
        <f>ROUND((M5*J5)/100,2)</f>
        <v>3150</v>
      </c>
      <c r="O5" s="27">
        <f>I5-N5</f>
        <v>59850</v>
      </c>
      <c r="P5" s="27">
        <f>ROUND((O5*K5)/100,2)</f>
        <v>1197</v>
      </c>
      <c r="Q5" s="27">
        <f>ROUND(O5-P5,2)</f>
        <v>58653</v>
      </c>
      <c r="R5" s="27">
        <f>ROUND((Q5*L5)/100,2)</f>
        <v>2346.12</v>
      </c>
      <c r="S5" s="27">
        <f>N5+P5+R5</f>
        <v>6693.12</v>
      </c>
      <c r="T5" s="27">
        <f>ROUND(S5/G5,2)</f>
        <v>669.31</v>
      </c>
      <c r="U5" s="27">
        <f>(I5-S5)</f>
        <v>56306.879999999997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6756.83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6756.83</v>
      </c>
      <c r="AE5" s="27">
        <f t="shared" ref="AE5:AE6" si="0">U5+AD5</f>
        <v>63063.71</v>
      </c>
      <c r="AF5" s="27">
        <v>120</v>
      </c>
      <c r="AG5" s="27">
        <f t="shared" ref="AG5:AG6" si="1">U5*$N$3</f>
        <v>56306.879999999997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118</v>
      </c>
      <c r="C6" s="27">
        <v>0</v>
      </c>
      <c r="D6" s="80" t="s">
        <v>118</v>
      </c>
      <c r="E6" s="27" t="s">
        <v>45</v>
      </c>
      <c r="F6" s="27" t="s">
        <v>10</v>
      </c>
      <c r="G6" s="27">
        <v>10</v>
      </c>
      <c r="H6" s="1" t="s">
        <v>114</v>
      </c>
      <c r="I6" s="27">
        <f>G6*H6</f>
        <v>90000</v>
      </c>
      <c r="J6" s="1" t="s">
        <v>90</v>
      </c>
      <c r="K6" s="27">
        <v>7</v>
      </c>
      <c r="L6" s="27">
        <v>9</v>
      </c>
      <c r="M6" s="27">
        <f>I6</f>
        <v>90000</v>
      </c>
      <c r="N6" s="27">
        <f>ROUND((M6*J6)/100,2)</f>
        <v>1800</v>
      </c>
      <c r="O6" s="27">
        <f>I6-N6</f>
        <v>88200</v>
      </c>
      <c r="P6" s="27">
        <f>ROUND((O6*K6)/100,2)</f>
        <v>6174</v>
      </c>
      <c r="Q6" s="27">
        <f>ROUND(O6-P6,2)</f>
        <v>82026</v>
      </c>
      <c r="R6" s="27">
        <f>ROUND((Q6*L6)/100,2)</f>
        <v>7382.34</v>
      </c>
      <c r="S6" s="27">
        <f>N6+P6+R6</f>
        <v>15356.34</v>
      </c>
      <c r="T6" s="27">
        <f>ROUND(S6/G6,2)</f>
        <v>1535.63</v>
      </c>
      <c r="U6" s="27">
        <f>(I6-S6)</f>
        <v>74643.66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3732.18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3732.18</v>
      </c>
      <c r="AE6" s="27">
        <f t="shared" si="0"/>
        <v>78375.839999999997</v>
      </c>
      <c r="AF6" s="27">
        <v>120</v>
      </c>
      <c r="AG6" s="27">
        <f t="shared" si="1"/>
        <v>74643.66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141439.54999999999</v>
      </c>
      <c r="AF7" s="15" t="s">
        <v>40</v>
      </c>
      <c r="AG7" s="79">
        <f>AG5</f>
        <v>56306.879999999997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Z13" sqref="Z13"/>
    </sheetView>
  </sheetViews>
  <sheetFormatPr defaultColWidth="9.140625" defaultRowHeight="14.25"/>
  <cols>
    <col min="1" max="1" width="5.7109375" style="1" bestFit="1" customWidth="1"/>
    <col min="2" max="2" width="31.7109375" style="1" bestFit="1" customWidth="1"/>
    <col min="3" max="3" width="4.5703125" style="1" bestFit="1" customWidth="1"/>
    <col min="4" max="4" width="31.71093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90"/>
      <c r="AD1" s="90"/>
      <c r="AE1" s="90"/>
      <c r="AF1" s="90"/>
      <c r="AG1" s="32"/>
      <c r="AH1" s="32"/>
    </row>
    <row r="2" spans="1:43" ht="18">
      <c r="A2" s="90" t="s">
        <v>30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2"/>
      <c r="AH2" s="32"/>
    </row>
    <row r="3" spans="1:43" ht="19.899999999999999" customHeight="1" thickBot="1">
      <c r="A3" s="134" t="s">
        <v>35</v>
      </c>
      <c r="B3" s="134"/>
      <c r="C3" s="91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114</v>
      </c>
      <c r="I5" s="27">
        <f>G5*H5</f>
        <v>31200</v>
      </c>
      <c r="J5" s="1" t="s">
        <v>90</v>
      </c>
      <c r="K5" s="27">
        <v>2</v>
      </c>
      <c r="L5" s="27">
        <v>4</v>
      </c>
      <c r="M5" s="27">
        <f>I5</f>
        <v>31200</v>
      </c>
      <c r="N5" s="27">
        <f>ROUND((M5*J5)/100,2)</f>
        <v>1248</v>
      </c>
      <c r="O5" s="27">
        <f>I5-N5</f>
        <v>29952</v>
      </c>
      <c r="P5" s="27">
        <f>ROUND((O5*K5)/100,2)</f>
        <v>599.04</v>
      </c>
      <c r="Q5" s="27">
        <f>ROUND(O5-P5,2)</f>
        <v>29352.959999999999</v>
      </c>
      <c r="R5" s="27">
        <f>ROUND((Q5*L5)/100,2)</f>
        <v>1174.1199999999999</v>
      </c>
      <c r="S5" s="27">
        <f>N5+P5+R5</f>
        <v>3021.16</v>
      </c>
      <c r="T5" s="27">
        <f>ROUND(S5/G5,2)</f>
        <v>302.12</v>
      </c>
      <c r="U5" s="27">
        <f>(I5-S5)</f>
        <v>28178.84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3381.46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3381.46</v>
      </c>
      <c r="AE5" s="27">
        <f t="shared" ref="AE5:AE6" si="0">U5+AD5</f>
        <v>31560.3</v>
      </c>
      <c r="AF5" s="27">
        <v>120</v>
      </c>
      <c r="AG5" s="27">
        <f t="shared" ref="AG5:AG6" si="1">U5*$N$3</f>
        <v>28178.84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113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116</v>
      </c>
      <c r="I6" s="27">
        <f>G6*H6</f>
        <v>63000</v>
      </c>
      <c r="J6" s="1" t="s">
        <v>115</v>
      </c>
      <c r="K6" s="27">
        <v>7</v>
      </c>
      <c r="L6" s="27">
        <v>9</v>
      </c>
      <c r="M6" s="27">
        <f>I6</f>
        <v>63000</v>
      </c>
      <c r="N6" s="27">
        <f>ROUND((M6*J6)/100,2)</f>
        <v>3150</v>
      </c>
      <c r="O6" s="27">
        <f>I6-N6</f>
        <v>59850</v>
      </c>
      <c r="P6" s="27">
        <f>ROUND((O6*K6)/100,2)</f>
        <v>4189.5</v>
      </c>
      <c r="Q6" s="27">
        <f>ROUND(O6-P6,2)</f>
        <v>55660.5</v>
      </c>
      <c r="R6" s="27">
        <f>ROUND((Q6*L6)/100,2)</f>
        <v>5009.45</v>
      </c>
      <c r="S6" s="27">
        <f>N6+P6+R6</f>
        <v>12348.95</v>
      </c>
      <c r="T6" s="27">
        <f>ROUND(S6/G6,2)</f>
        <v>1234.9000000000001</v>
      </c>
      <c r="U6" s="27">
        <f>(I6-S6)</f>
        <v>26175.040000000001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3141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3141</v>
      </c>
      <c r="AE6" s="27">
        <f t="shared" si="0"/>
        <v>29316.04</v>
      </c>
      <c r="AF6" s="27">
        <v>120</v>
      </c>
      <c r="AG6" s="27">
        <f t="shared" si="1"/>
        <v>26175.040000000001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113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60876.34</v>
      </c>
      <c r="AF7" s="15" t="s">
        <v>40</v>
      </c>
      <c r="AG7" s="79">
        <f>AG5</f>
        <v>28178.84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Z1" zoomScale="85" zoomScaleNormal="85" workbookViewId="0">
      <selection activeCell="AR6" sqref="AR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77"/>
      <c r="AD1" s="77"/>
      <c r="AE1" s="77"/>
      <c r="AF1" s="77"/>
      <c r="AG1" s="32"/>
      <c r="AH1" s="32"/>
    </row>
    <row r="2" spans="1:43" ht="18">
      <c r="A2" s="77" t="s">
        <v>30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32"/>
      <c r="AH2" s="32"/>
    </row>
    <row r="3" spans="1:43" ht="19.899999999999999" customHeight="1" thickBot="1">
      <c r="A3" s="134" t="s">
        <v>35</v>
      </c>
      <c r="B3" s="134"/>
      <c r="C3" s="78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88</v>
      </c>
      <c r="I5" s="27">
        <f>G5*H5</f>
        <v>31200</v>
      </c>
      <c r="J5" s="1" t="s">
        <v>89</v>
      </c>
      <c r="K5" s="27">
        <v>2</v>
      </c>
      <c r="L5" s="27">
        <v>4</v>
      </c>
      <c r="M5" s="27">
        <f>I5</f>
        <v>31200</v>
      </c>
      <c r="N5" s="27">
        <f>ROUND((M5*J5)/100,2)</f>
        <v>1248</v>
      </c>
      <c r="O5" s="27">
        <f>I5-N5</f>
        <v>29952</v>
      </c>
      <c r="P5" s="27">
        <f>ROUND((O5*K5)/100,2)</f>
        <v>599.04</v>
      </c>
      <c r="Q5" s="27">
        <f>ROUND(O5-P5,2)</f>
        <v>29352.959999999999</v>
      </c>
      <c r="R5" s="27">
        <f>ROUND((Q5*L5)/100,2)</f>
        <v>1174.1199999999999</v>
      </c>
      <c r="S5" s="27">
        <f>N5+P5+R5</f>
        <v>3021.16</v>
      </c>
      <c r="T5" s="27">
        <f>ROUND(S5/G5,2)</f>
        <v>302.12</v>
      </c>
      <c r="U5" s="27">
        <f>(I5-S5)</f>
        <v>28178.84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3381.46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3381.46</v>
      </c>
      <c r="AE5" s="27">
        <f>U5+AD5</f>
        <v>31560.3</v>
      </c>
      <c r="AF5" s="27">
        <v>120</v>
      </c>
      <c r="AG5" s="27">
        <f>U5*$N$3</f>
        <v>28178.84</v>
      </c>
      <c r="AH5" s="27">
        <v>1</v>
      </c>
      <c r="AI5" s="27">
        <f t="shared" ref="AI5" si="0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91</v>
      </c>
      <c r="I6" s="27">
        <f>G6*H6</f>
        <v>31560</v>
      </c>
      <c r="J6" s="1" t="s">
        <v>90</v>
      </c>
      <c r="K6" s="27">
        <v>7</v>
      </c>
      <c r="L6" s="27">
        <v>9</v>
      </c>
      <c r="M6" s="27">
        <f>I6</f>
        <v>31560</v>
      </c>
      <c r="N6" s="27">
        <f>ROUND((M6*J6)/100,2)</f>
        <v>631.20000000000005</v>
      </c>
      <c r="O6" s="27">
        <f>I6-N6</f>
        <v>30928.799999999999</v>
      </c>
      <c r="P6" s="27">
        <f>ROUND((O6*K6)/100,2)</f>
        <v>2165.02</v>
      </c>
      <c r="Q6" s="27">
        <f>ROUND(O6-P6,2)</f>
        <v>28763.78</v>
      </c>
      <c r="R6" s="27">
        <f>ROUND((Q6*L6)/100,2)</f>
        <v>2588.7399999999998</v>
      </c>
      <c r="S6" s="27">
        <f>N6+P6+R6</f>
        <v>5384.96</v>
      </c>
      <c r="T6" s="27">
        <f>ROUND(S6/G6,2)</f>
        <v>538.5</v>
      </c>
      <c r="U6" s="27">
        <f>(I6-S6)</f>
        <v>26175.040000000001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3141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3141</v>
      </c>
      <c r="AE6" s="27">
        <f t="shared" ref="AE6" si="1">U6+AD6</f>
        <v>29316.04</v>
      </c>
      <c r="AF6" s="27">
        <v>120</v>
      </c>
      <c r="AG6" s="27">
        <f>U6*$N$3</f>
        <v>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60876.34</v>
      </c>
      <c r="AF7" s="15" t="s">
        <v>40</v>
      </c>
      <c r="AG7" s="79">
        <f>AG5</f>
        <v>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K1" zoomScale="85" zoomScaleNormal="85" workbookViewId="0">
      <selection activeCell="AJ10" sqref="AJ10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75"/>
      <c r="AD1" s="75"/>
      <c r="AE1" s="75"/>
      <c r="AF1" s="75"/>
      <c r="AG1" s="32"/>
      <c r="AH1" s="32"/>
    </row>
    <row r="2" spans="1:43" ht="18">
      <c r="A2" s="75" t="s">
        <v>30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32"/>
      <c r="AH2" s="32"/>
    </row>
    <row r="3" spans="1:43" ht="19.899999999999999" customHeight="1" thickBot="1">
      <c r="A3" s="134" t="s">
        <v>35</v>
      </c>
      <c r="B3" s="134"/>
      <c r="C3" s="76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12</v>
      </c>
      <c r="H5" s="27">
        <v>23</v>
      </c>
      <c r="I5" s="27">
        <f>G5*H5</f>
        <v>276</v>
      </c>
      <c r="J5" s="27">
        <v>1</v>
      </c>
      <c r="K5" s="27">
        <v>2</v>
      </c>
      <c r="L5" s="27">
        <v>4</v>
      </c>
      <c r="M5" s="27">
        <f>I5</f>
        <v>276</v>
      </c>
      <c r="N5" s="27">
        <f>ROUND((M5*J5)/100,2)</f>
        <v>2.76</v>
      </c>
      <c r="O5" s="27">
        <f>I5-N5</f>
        <v>273.24</v>
      </c>
      <c r="P5" s="27">
        <f>ROUND((O5*K5)/100,2)</f>
        <v>5.46</v>
      </c>
      <c r="Q5" s="27">
        <f>ROUND(O5-P5,2)</f>
        <v>267.77999999999997</v>
      </c>
      <c r="R5" s="27">
        <f>ROUND((Q5*L5)/100,2)</f>
        <v>10.71</v>
      </c>
      <c r="S5" s="27">
        <f>N5+P5+R5</f>
        <v>18.93</v>
      </c>
      <c r="T5" s="27">
        <f>ROUND(S5/G5,2)</f>
        <v>1.58</v>
      </c>
      <c r="U5" s="27">
        <f>(I5-S5)</f>
        <v>257.07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257.07</v>
      </c>
      <c r="AF5" s="27">
        <v>120</v>
      </c>
      <c r="AG5" s="27">
        <f t="shared" ref="AG5:AG6" si="1">U5*$N$3</f>
        <v>257.07</v>
      </c>
      <c r="AH5" s="27">
        <v>1</v>
      </c>
      <c r="AI5" s="27">
        <f t="shared" ref="AI5" si="2">G5/AH5</f>
        <v>12</v>
      </c>
      <c r="AJ5" s="35" t="s">
        <v>84</v>
      </c>
      <c r="AK5" s="35" t="s">
        <v>55</v>
      </c>
      <c r="AL5" s="29">
        <f>ROUND(AJ5-G5,0)</f>
        <v>836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13</v>
      </c>
      <c r="H6" s="27">
        <v>34</v>
      </c>
      <c r="I6" s="27">
        <f>G6*H6</f>
        <v>442</v>
      </c>
      <c r="J6" s="27">
        <v>2</v>
      </c>
      <c r="K6" s="27">
        <v>7</v>
      </c>
      <c r="L6" s="27">
        <v>9</v>
      </c>
      <c r="M6" s="27">
        <f>I6</f>
        <v>442</v>
      </c>
      <c r="N6" s="27">
        <f>ROUND((M6*J6)/100,2)</f>
        <v>8.84</v>
      </c>
      <c r="O6" s="27">
        <f>I6-N6</f>
        <v>433.16</v>
      </c>
      <c r="P6" s="27">
        <f>ROUND((O6*K6)/100,2)</f>
        <v>30.32</v>
      </c>
      <c r="Q6" s="27">
        <f>ROUND(O6-P6,2)</f>
        <v>402.84</v>
      </c>
      <c r="R6" s="27">
        <f>ROUND((Q6*L6)/100,2)</f>
        <v>36.26</v>
      </c>
      <c r="S6" s="27">
        <f>N6+P6+R6</f>
        <v>75.419999999999987</v>
      </c>
      <c r="T6" s="27">
        <f>ROUND(S6/G6,2)</f>
        <v>5.8</v>
      </c>
      <c r="U6" s="27">
        <f>(I6-S6)</f>
        <v>366.58000000000004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366.58000000000004</v>
      </c>
      <c r="AF6" s="27">
        <v>120</v>
      </c>
      <c r="AG6" s="27">
        <f t="shared" si="1"/>
        <v>366.58000000000004</v>
      </c>
      <c r="AH6" s="27">
        <v>3</v>
      </c>
      <c r="AI6" s="27">
        <f>ROUND(G6/AH6,3)</f>
        <v>4.3330000000000002</v>
      </c>
      <c r="AJ6" s="35" t="s">
        <v>83</v>
      </c>
      <c r="AK6" s="35" t="s">
        <v>56</v>
      </c>
      <c r="AL6" s="29">
        <f>ROUND((AJ6-AI6),3)</f>
        <v>1370.6690000000001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79">
        <f>SUM(S5:S6)</f>
        <v>94.35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623.65000000000009</v>
      </c>
      <c r="AF7" s="15" t="s">
        <v>40</v>
      </c>
      <c r="AG7" s="79">
        <f>AG5</f>
        <v>257.07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Z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73"/>
      <c r="AD1" s="73"/>
      <c r="AE1" s="73"/>
      <c r="AF1" s="73"/>
      <c r="AG1" s="32"/>
      <c r="AH1" s="32"/>
    </row>
    <row r="2" spans="1:43" ht="18">
      <c r="A2" s="73" t="s">
        <v>30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32"/>
      <c r="AH2" s="32"/>
    </row>
    <row r="3" spans="1:43" ht="19.899999999999999" customHeight="1" thickBot="1">
      <c r="A3" s="134" t="s">
        <v>35</v>
      </c>
      <c r="B3" s="134"/>
      <c r="C3" s="74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1379.21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1379.21</v>
      </c>
      <c r="AE5" s="27">
        <f t="shared" ref="AE5:AE6" si="0">U5+AD5</f>
        <v>12872.59</v>
      </c>
      <c r="AF5" s="27">
        <v>120</v>
      </c>
      <c r="AG5" s="27">
        <f t="shared" ref="AG5:AG6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3214</v>
      </c>
      <c r="I6" s="27">
        <f>G6*H6</f>
        <v>32140</v>
      </c>
      <c r="J6" s="27">
        <v>2</v>
      </c>
      <c r="K6" s="27">
        <v>7</v>
      </c>
      <c r="L6" s="27">
        <v>9</v>
      </c>
      <c r="M6" s="27">
        <f>I6</f>
        <v>32140</v>
      </c>
      <c r="N6" s="27">
        <f>ROUND((M6*J6)/100,2)</f>
        <v>642.79999999999995</v>
      </c>
      <c r="O6" s="27">
        <f>I6-N6</f>
        <v>31497.200000000001</v>
      </c>
      <c r="P6" s="27">
        <f>ROUND((O6*K6)/100,2)</f>
        <v>2204.8000000000002</v>
      </c>
      <c r="Q6" s="27">
        <f>ROUND(O6-P6,2)</f>
        <v>29292.400000000001</v>
      </c>
      <c r="R6" s="27">
        <f>ROUND((Q6*L6)/100,2)</f>
        <v>2636.32</v>
      </c>
      <c r="S6" s="27">
        <f>N6+P6+R6</f>
        <v>5483.92</v>
      </c>
      <c r="T6" s="27">
        <f>ROUND(S6/G6,2)</f>
        <v>548.39</v>
      </c>
      <c r="U6" s="27">
        <f>(I6-S6)</f>
        <v>26656.080000000002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1332.8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1332.8</v>
      </c>
      <c r="AE6" s="27">
        <f t="shared" si="0"/>
        <v>27988.880000000001</v>
      </c>
      <c r="AF6" s="27">
        <v>120</v>
      </c>
      <c r="AG6" s="27">
        <f t="shared" si="1"/>
        <v>26656.080000000002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40861.47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/>
  <dimension ref="A1:AQ8"/>
  <sheetViews>
    <sheetView showGridLines="0" topLeftCell="I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9" width="11.28515625" style="1" customWidth="1"/>
    <col min="30" max="30" width="10.7109375" style="1" bestFit="1" customWidth="1"/>
    <col min="31" max="31" width="11.7109375" style="1" customWidth="1"/>
    <col min="32" max="32" width="16" style="1" bestFit="1" customWidth="1"/>
    <col min="33" max="33" width="12" style="1" bestFit="1" customWidth="1"/>
    <col min="34" max="34" width="12.28515625" style="1" customWidth="1"/>
    <col min="35" max="35" width="14.7109375" style="1" bestFit="1" customWidth="1"/>
    <col min="36" max="37" width="12.28515625" style="35" customWidth="1"/>
    <col min="38" max="38" width="10.28515625" style="36" customWidth="1"/>
    <col min="39" max="39" width="13.5703125" style="1" customWidth="1"/>
    <col min="40" max="40" width="12.7109375" style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7"/>
      <c r="AG1" s="7"/>
      <c r="AH1" s="7"/>
      <c r="AI1" s="7"/>
      <c r="AJ1" s="32"/>
      <c r="AK1" s="32"/>
    </row>
    <row r="2" spans="1:43" ht="18">
      <c r="A2" s="7" t="s">
        <v>30</v>
      </c>
      <c r="B2" s="7"/>
      <c r="C2" s="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7"/>
      <c r="U2" s="7"/>
      <c r="V2" s="7"/>
      <c r="W2" s="7"/>
      <c r="X2" s="7"/>
      <c r="Y2" s="7"/>
      <c r="Z2" s="7"/>
      <c r="AA2" s="119"/>
      <c r="AB2" s="119"/>
      <c r="AC2" s="119"/>
      <c r="AD2" s="7"/>
      <c r="AE2" s="7"/>
      <c r="AF2" s="7"/>
      <c r="AG2" s="7"/>
      <c r="AH2" s="7"/>
      <c r="AI2" s="7"/>
      <c r="AJ2" s="32"/>
      <c r="AK2" s="32"/>
    </row>
    <row r="3" spans="1:43" ht="19.899999999999999" customHeight="1" thickBot="1">
      <c r="A3" s="134" t="s">
        <v>35</v>
      </c>
      <c r="B3" s="134"/>
      <c r="C3" s="10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33"/>
      <c r="AK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1379.21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1379.21</v>
      </c>
      <c r="AE5" s="27">
        <f t="shared" ref="AE5" si="0">U5+AD5</f>
        <v>12872.59</v>
      </c>
      <c r="AF5" s="27">
        <v>120</v>
      </c>
      <c r="AG5" s="27">
        <f t="shared" ref="AG5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902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3214</v>
      </c>
      <c r="I6" s="27">
        <f>G6*H6</f>
        <v>32140</v>
      </c>
      <c r="J6" s="27">
        <v>2</v>
      </c>
      <c r="K6" s="27">
        <v>7</v>
      </c>
      <c r="L6" s="27">
        <v>9</v>
      </c>
      <c r="M6" s="27">
        <f>I6</f>
        <v>32140</v>
      </c>
      <c r="N6" s="27">
        <f>ROUND((M6*J6)/100,2)</f>
        <v>642.79999999999995</v>
      </c>
      <c r="O6" s="27">
        <f>I6-N6</f>
        <v>31497.200000000001</v>
      </c>
      <c r="P6" s="27">
        <f>ROUND((O6*K6)/100,2)</f>
        <v>2204.8000000000002</v>
      </c>
      <c r="Q6" s="27">
        <f>ROUND(O6-P6,2)</f>
        <v>29292.400000000001</v>
      </c>
      <c r="R6" s="27">
        <f>ROUND((Q6*L6)/100,2)</f>
        <v>2636.32</v>
      </c>
      <c r="S6" s="27">
        <f>N6+P6+R6</f>
        <v>5483.92</v>
      </c>
      <c r="T6" s="27">
        <f>ROUND(S6/G6,2)</f>
        <v>548.39</v>
      </c>
      <c r="U6" s="27">
        <f>(I6-S6)</f>
        <v>26656.080000000002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1332.8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1332.8</v>
      </c>
      <c r="AE6" s="27">
        <f t="shared" ref="AE6" si="3">U6+AD6</f>
        <v>27988.880000000001</v>
      </c>
      <c r="AF6" s="27">
        <v>120</v>
      </c>
      <c r="AG6" s="27">
        <f t="shared" ref="AG6" si="4">U6*$N$3</f>
        <v>26656.080000000002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40861.47</v>
      </c>
      <c r="AF7" s="15" t="s">
        <v>40</v>
      </c>
      <c r="AG7" s="79">
        <f>AG5</f>
        <v>11493.38</v>
      </c>
      <c r="AH7" s="12"/>
      <c r="AI7" s="13"/>
      <c r="AJ7" s="13"/>
      <c r="AK7" s="13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2"/>
      <c r="AI8" s="13"/>
      <c r="AJ8" s="13"/>
      <c r="AK8" s="13"/>
    </row>
  </sheetData>
  <mergeCells count="2">
    <mergeCell ref="A1:AE1"/>
    <mergeCell ref="A3:B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"/>
  <dimension ref="A1:H3"/>
  <sheetViews>
    <sheetView workbookViewId="0">
      <selection activeCell="H2" sqref="H2"/>
    </sheetView>
  </sheetViews>
  <sheetFormatPr defaultRowHeight="15"/>
  <cols>
    <col min="1" max="1" width="6.42578125" bestFit="1" customWidth="1"/>
    <col min="2" max="2" width="28.7109375" bestFit="1" customWidth="1"/>
    <col min="3" max="3" width="5" bestFit="1" customWidth="1"/>
    <col min="4" max="4" width="28.7109375" bestFit="1" customWidth="1"/>
    <col min="5" max="5" width="10.85546875" bestFit="1" customWidth="1"/>
    <col min="6" max="6" width="10.140625" bestFit="1" customWidth="1"/>
    <col min="7" max="7" width="17.85546875" bestFit="1" customWidth="1"/>
    <col min="8" max="8" width="16" bestFit="1" customWidth="1"/>
  </cols>
  <sheetData>
    <row r="1" spans="1:8">
      <c r="A1" s="18" t="s">
        <v>17</v>
      </c>
      <c r="B1" s="18" t="s">
        <v>0</v>
      </c>
      <c r="C1" s="18" t="s">
        <v>38</v>
      </c>
      <c r="D1" s="19" t="s">
        <v>16</v>
      </c>
      <c r="E1" s="19" t="s">
        <v>51</v>
      </c>
      <c r="F1" s="19" t="s">
        <v>52</v>
      </c>
      <c r="G1" s="19" t="s">
        <v>47</v>
      </c>
      <c r="H1" s="38" t="s">
        <v>48</v>
      </c>
    </row>
    <row r="2" spans="1:8">
      <c r="A2">
        <f>'Case 1'!A5</f>
        <v>1</v>
      </c>
      <c r="B2" t="str">
        <f>'Case 1'!B5</f>
        <v>HK-FIFO-LOT-BATCH-10001(FG)</v>
      </c>
      <c r="C2">
        <f>'Case 1'!C5</f>
        <v>0</v>
      </c>
      <c r="D2" t="str">
        <f>'Case 1'!D5</f>
        <v>HK-FIFO-LOT-BATCH-10001(FG)</v>
      </c>
      <c r="E2" s="39">
        <v>20</v>
      </c>
      <c r="F2" s="39">
        <f>'Case 1'!H5</f>
        <v>1234</v>
      </c>
      <c r="G2" t="s">
        <v>53</v>
      </c>
      <c r="H2" s="39">
        <f>G2-E2</f>
        <v>4547</v>
      </c>
    </row>
    <row r="3" spans="1:8">
      <c r="A3">
        <f>'Case 1'!A6</f>
        <v>2</v>
      </c>
      <c r="B3" t="str">
        <f>'Case 1'!B6</f>
        <v>HK-FG-DISSIMILAR-10001</v>
      </c>
      <c r="C3">
        <f>'Case 1'!C6</f>
        <v>0</v>
      </c>
      <c r="D3" t="str">
        <f>'Case 1'!D6</f>
        <v>HK-FG-DISSIMILAR-10001</v>
      </c>
      <c r="E3" s="39">
        <v>30</v>
      </c>
      <c r="F3" s="39">
        <f>'Case 1'!H6</f>
        <v>3214</v>
      </c>
      <c r="G3">
        <v>675</v>
      </c>
      <c r="H3" s="39">
        <f>G3-E3</f>
        <v>645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16"/>
  <sheetViews>
    <sheetView showGridLines="0" topLeftCell="AB1" zoomScale="85" zoomScaleNormal="85" workbookViewId="0">
      <selection activeCell="G4" sqref="G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9.2851562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5"/>
      <c r="AD1" s="125"/>
      <c r="AE1" s="125"/>
      <c r="AF1" s="125"/>
      <c r="AG1" s="32"/>
      <c r="AH1" s="32"/>
    </row>
    <row r="2" spans="1:43" ht="18">
      <c r="A2" s="125" t="s">
        <v>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32"/>
      <c r="AH2" s="32"/>
    </row>
    <row r="3" spans="1:43" ht="19.899999999999999" customHeight="1" thickBot="1">
      <c r="A3" s="134" t="s">
        <v>35</v>
      </c>
      <c r="B3" s="134"/>
      <c r="C3" s="126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184</v>
      </c>
      <c r="W5" s="30">
        <v>0.12</v>
      </c>
      <c r="X5" s="27">
        <f>IF(OR($D$3=1,$D$3=4),ROUND((U5*W5)/2,2),0)</f>
        <v>689.6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689.6</v>
      </c>
      <c r="AB5" s="30">
        <v>0.06</v>
      </c>
      <c r="AC5" s="27">
        <f>IF($D$3=5,ROUND(((U5*AB5)/2),2),0)</f>
        <v>0</v>
      </c>
      <c r="AD5" s="27">
        <f>X5+Y5+Z5+AA5+AC5</f>
        <v>1379.2</v>
      </c>
      <c r="AE5" s="27">
        <f t="shared" ref="AE5:AE6" si="0">U5+AD5</f>
        <v>12872.58</v>
      </c>
      <c r="AF5" s="27">
        <v>120</v>
      </c>
      <c r="AG5" s="27">
        <f t="shared" ref="AG5:AG6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20</v>
      </c>
      <c r="H6" s="27">
        <v>3214</v>
      </c>
      <c r="I6" s="27">
        <f>G6*H6</f>
        <v>64280</v>
      </c>
      <c r="J6" s="27">
        <v>2</v>
      </c>
      <c r="K6" s="27">
        <v>7</v>
      </c>
      <c r="L6" s="27">
        <v>9</v>
      </c>
      <c r="M6" s="27">
        <f>I6</f>
        <v>64280</v>
      </c>
      <c r="N6" s="27">
        <f>ROUND((M6*J6)/100,2)</f>
        <v>1285.5999999999999</v>
      </c>
      <c r="O6" s="27">
        <f>I6-N6</f>
        <v>62994.400000000001</v>
      </c>
      <c r="P6" s="27">
        <f>ROUND((O6*K6)/100,2)</f>
        <v>4409.6099999999997</v>
      </c>
      <c r="Q6" s="27">
        <f>ROUND(O6-P6,2)</f>
        <v>58584.79</v>
      </c>
      <c r="R6" s="27">
        <f>ROUND((Q6*L6)/100,2)</f>
        <v>5272.63</v>
      </c>
      <c r="S6" s="27">
        <f>N6+P6+R6</f>
        <v>10967.84</v>
      </c>
      <c r="T6" s="27">
        <f>ROUND(S6/G6,2)</f>
        <v>548.39</v>
      </c>
      <c r="U6" s="27">
        <f>(I6-S6)</f>
        <v>53312.160000000003</v>
      </c>
      <c r="V6" s="27">
        <v>772213</v>
      </c>
      <c r="W6" s="30">
        <v>0.05</v>
      </c>
      <c r="X6" s="27">
        <f>IF(OR($D$3=1,$D$3=4),ROUND((U6*W6)/2,2),0)</f>
        <v>1332.8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1332.8</v>
      </c>
      <c r="AB6" s="30">
        <v>0.06</v>
      </c>
      <c r="AC6" s="27">
        <f>IF($D$3=5,ROUND(((U6*AB6)/2),2),0)</f>
        <v>0</v>
      </c>
      <c r="AD6" s="27">
        <f>X6+Y6+Z6+AA6+AC6</f>
        <v>2665.6</v>
      </c>
      <c r="AE6" s="27">
        <f t="shared" si="0"/>
        <v>55977.760000000002</v>
      </c>
      <c r="AF6" s="27">
        <v>120</v>
      </c>
      <c r="AG6" s="27">
        <f t="shared" si="1"/>
        <v>53312.160000000003</v>
      </c>
      <c r="AH6" s="27">
        <v>3</v>
      </c>
      <c r="AI6" s="27">
        <f>ROUND(G6/AH6,3)</f>
        <v>6.6669999999999998</v>
      </c>
      <c r="AJ6" s="35" t="s">
        <v>83</v>
      </c>
      <c r="AK6" s="35" t="s">
        <v>56</v>
      </c>
      <c r="AL6" s="29">
        <f>ROUND((AJ6-AI6),3)</f>
        <v>1368.335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4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3"/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34" t="s">
        <v>35</v>
      </c>
      <c r="B3" s="134"/>
      <c r="C3" s="5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2333</v>
      </c>
      <c r="I5" s="27">
        <f>G5*H5</f>
        <v>23330</v>
      </c>
      <c r="J5" s="27">
        <v>0</v>
      </c>
      <c r="K5" s="27">
        <v>0</v>
      </c>
      <c r="L5" s="27">
        <v>0</v>
      </c>
      <c r="M5" s="27">
        <f>I5</f>
        <v>23330</v>
      </c>
      <c r="N5" s="27">
        <f>ROUND((M5*J5)/100,2)</f>
        <v>0</v>
      </c>
      <c r="O5" s="27">
        <f>I5-N5</f>
        <v>23330</v>
      </c>
      <c r="P5" s="27">
        <f>ROUND((O5*K5)/100,2)</f>
        <v>0</v>
      </c>
      <c r="Q5" s="27">
        <f>ROUND(O5-P5,2)</f>
        <v>23330</v>
      </c>
      <c r="R5" s="27">
        <f>ROUND((Q5*L5)/100,2)</f>
        <v>0</v>
      </c>
      <c r="S5" s="27">
        <f>N5+P5+R5</f>
        <v>0</v>
      </c>
      <c r="T5" s="27">
        <f>ROUND(S5/G5,2)</f>
        <v>0</v>
      </c>
      <c r="U5" s="27">
        <f>(I5-S5)</f>
        <v>23330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2799.6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2799.6</v>
      </c>
      <c r="AE5" s="27">
        <f t="shared" ref="AE5:AE6" si="0">U5+AD5</f>
        <v>26129.599999999999</v>
      </c>
      <c r="AF5" s="27">
        <v>120</v>
      </c>
      <c r="AG5" s="27">
        <f t="shared" ref="AG5:AG6" si="1">U5*$N$3</f>
        <v>23330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4319</v>
      </c>
      <c r="I6" s="27">
        <f>G6*H6</f>
        <v>43190</v>
      </c>
      <c r="J6" s="27">
        <v>0</v>
      </c>
      <c r="K6" s="27">
        <v>0</v>
      </c>
      <c r="L6" s="27">
        <v>0</v>
      </c>
      <c r="M6" s="27">
        <f>I6</f>
        <v>43190</v>
      </c>
      <c r="N6" s="27">
        <f>ROUND((M6*J6)/100,2)</f>
        <v>0</v>
      </c>
      <c r="O6" s="27">
        <f>I6-N6</f>
        <v>43190</v>
      </c>
      <c r="P6" s="27">
        <f>ROUND((O6*K6)/100,2)</f>
        <v>0</v>
      </c>
      <c r="Q6" s="27">
        <f>ROUND(O6-P6,2)</f>
        <v>43190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43190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2159.5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2159.5</v>
      </c>
      <c r="AE6" s="27">
        <f t="shared" si="0"/>
        <v>45349.5</v>
      </c>
      <c r="AF6" s="27">
        <v>120</v>
      </c>
      <c r="AG6" s="27">
        <f t="shared" si="1"/>
        <v>43190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71479.100000000006</v>
      </c>
      <c r="AF7" s="15" t="s">
        <v>40</v>
      </c>
      <c r="AG7" s="79">
        <f>AG5</f>
        <v>23330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0"/>
  <dimension ref="A1:AQ8"/>
  <sheetViews>
    <sheetView showGridLines="0" topLeftCell="Z1" zoomScale="85" zoomScaleNormal="85" workbookViewId="0">
      <selection activeCell="W4" sqref="W4:AQ5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34" t="s">
        <v>35</v>
      </c>
      <c r="B3" s="134"/>
      <c r="C3" s="5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0</v>
      </c>
      <c r="K5" s="27">
        <v>0</v>
      </c>
      <c r="L5" s="27">
        <v>0</v>
      </c>
      <c r="M5" s="27">
        <f>I5</f>
        <v>15000</v>
      </c>
      <c r="N5" s="27">
        <f>ROUND((M5*J5)/100,2)</f>
        <v>0</v>
      </c>
      <c r="O5" s="27">
        <f>I5-N5</f>
        <v>15000</v>
      </c>
      <c r="P5" s="27">
        <f>ROUND((O5*K5)/100,2)</f>
        <v>0</v>
      </c>
      <c r="Q5" s="27">
        <f>ROUND(O5-P5,2)</f>
        <v>15000</v>
      </c>
      <c r="R5" s="27">
        <f>ROUND((Q5*L5)/100,2)</f>
        <v>0</v>
      </c>
      <c r="S5" s="27">
        <f>N5+P5+R5</f>
        <v>0</v>
      </c>
      <c r="T5" s="27">
        <f>ROUND(S5/G5,2)</f>
        <v>0</v>
      </c>
      <c r="U5" s="27">
        <f>(I5-S5)</f>
        <v>15000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1800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1800</v>
      </c>
      <c r="AE5" s="27">
        <f t="shared" ref="AE5:AE6" si="0">U5+AD5</f>
        <v>16800</v>
      </c>
      <c r="AF5" s="27">
        <v>120</v>
      </c>
      <c r="AG5" s="27">
        <f t="shared" ref="AG5:AG6" si="1">U5*$N$3</f>
        <v>15000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37800</v>
      </c>
      <c r="AF7" s="15" t="s">
        <v>40</v>
      </c>
      <c r="AG7" s="79">
        <f>AG5</f>
        <v>15000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4"/>
  <dimension ref="A1:AQ7"/>
  <sheetViews>
    <sheetView showGridLines="0" topLeftCell="Z1" zoomScale="85" zoomScaleNormal="85" workbookViewId="0">
      <selection activeCell="W4" sqref="W4:AQ5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4.5703125" style="36" bestFit="1" customWidth="1"/>
    <col min="36" max="36" width="11.85546875" style="1" customWidth="1"/>
    <col min="37" max="37" width="13.14062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0"/>
      <c r="AD1" s="40"/>
      <c r="AE1" s="40"/>
      <c r="AF1" s="40"/>
      <c r="AG1" s="32"/>
      <c r="AH1" s="32"/>
    </row>
    <row r="2" spans="1:43" ht="18">
      <c r="A2" s="40" t="s">
        <v>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32"/>
      <c r="AH2" s="32"/>
    </row>
    <row r="3" spans="1:43" ht="19.899999999999999" customHeight="1" thickBot="1">
      <c r="A3" s="134" t="s">
        <v>35</v>
      </c>
      <c r="B3" s="134"/>
      <c r="C3" s="4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57</v>
      </c>
      <c r="C5" s="27">
        <v>0</v>
      </c>
      <c r="D5" s="16" t="s">
        <v>57</v>
      </c>
      <c r="E5" s="27" t="s">
        <v>45</v>
      </c>
      <c r="F5" s="27" t="s">
        <v>45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2</v>
      </c>
      <c r="L5" s="27">
        <v>9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297</v>
      </c>
      <c r="Q5" s="27">
        <f>ROUND(O5-P5,2)</f>
        <v>14553</v>
      </c>
      <c r="R5" s="27">
        <f>ROUND((Q5*L5)/100,2)</f>
        <v>1309.77</v>
      </c>
      <c r="S5" s="27">
        <f>N5+P5+R5</f>
        <v>1756.77</v>
      </c>
      <c r="T5" s="27">
        <f>ROUND(S5/G5,2)</f>
        <v>175.68</v>
      </c>
      <c r="U5" s="27">
        <f>(I5-S5)</f>
        <v>13243.23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662.16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662.16</v>
      </c>
      <c r="AE5" s="27">
        <f t="shared" ref="AE5" si="0">U5+AD5</f>
        <v>13905.39</v>
      </c>
      <c r="AF5" s="27">
        <v>120</v>
      </c>
      <c r="AG5" s="27">
        <f t="shared" ref="AG5" si="1">U5*$N$3</f>
        <v>13243.23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11"/>
      <c r="B6" s="11"/>
      <c r="C6" s="11"/>
      <c r="D6" s="11"/>
      <c r="E6" s="11"/>
      <c r="F6" s="11"/>
      <c r="G6" s="12"/>
      <c r="H6" s="13"/>
      <c r="I6" s="13"/>
      <c r="J6" s="14"/>
      <c r="K6" s="14"/>
      <c r="L6" s="14"/>
      <c r="M6" s="13"/>
      <c r="N6" s="13"/>
      <c r="O6" s="13"/>
      <c r="P6" s="15"/>
      <c r="Q6" s="15" t="s">
        <v>41</v>
      </c>
      <c r="R6" s="15"/>
      <c r="S6" s="15"/>
      <c r="T6" s="15"/>
      <c r="U6" s="13"/>
      <c r="V6" s="13"/>
      <c r="W6" s="14"/>
      <c r="X6" s="13"/>
      <c r="Y6" s="13"/>
      <c r="Z6" s="15" t="s">
        <v>39</v>
      </c>
      <c r="AA6" s="15"/>
      <c r="AB6" s="79">
        <f>SUM(AB5:AB5)</f>
        <v>0.06</v>
      </c>
      <c r="AC6" s="15" t="s">
        <v>40</v>
      </c>
      <c r="AD6" s="15">
        <f>AD5</f>
        <v>662.16</v>
      </c>
      <c r="AE6" s="12"/>
      <c r="AF6" s="13"/>
      <c r="AG6" s="13"/>
      <c r="AH6" s="13"/>
      <c r="AL6" s="27"/>
      <c r="AM6" s="27"/>
      <c r="AN6" s="27"/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2"/>
      <c r="AF7" s="13"/>
      <c r="AG7" s="13"/>
      <c r="AH7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5"/>
  <dimension ref="A1:AQ7"/>
  <sheetViews>
    <sheetView showGridLines="0" topLeftCell="Y1" zoomScale="85" zoomScaleNormal="85" workbookViewId="0">
      <selection activeCell="AJ13" sqref="AJ13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1.7109375" style="1" customWidth="1"/>
    <col min="37" max="37" width="14.28515625" style="1" customWidth="1"/>
    <col min="38" max="39" width="9.140625" style="1"/>
    <col min="40" max="40" width="11" style="1" bestFit="1" customWidth="1"/>
    <col min="41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2"/>
      <c r="AD1" s="42"/>
      <c r="AE1" s="42"/>
      <c r="AF1" s="42"/>
      <c r="AG1" s="32"/>
      <c r="AH1" s="32"/>
    </row>
    <row r="2" spans="1:43" ht="18">
      <c r="A2" s="42" t="s">
        <v>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32"/>
      <c r="AH2" s="32"/>
    </row>
    <row r="3" spans="1:43" ht="19.899999999999999" customHeight="1" thickBot="1">
      <c r="A3" s="134" t="s">
        <v>35</v>
      </c>
      <c r="B3" s="134"/>
      <c r="C3" s="43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58</v>
      </c>
      <c r="C5" s="27">
        <v>0</v>
      </c>
      <c r="D5" s="16" t="s">
        <v>58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7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998.13</v>
      </c>
      <c r="S5" s="27">
        <f>N5+P5+R5</f>
        <v>1739.13</v>
      </c>
      <c r="T5" s="27">
        <f>ROUND(S5/G5,2)</f>
        <v>173.91</v>
      </c>
      <c r="U5" s="27">
        <f>(I5-S5)</f>
        <v>13260.869999999999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663.04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663.04</v>
      </c>
      <c r="AE5" s="27">
        <f t="shared" ref="AE5" si="0">U5+AD5</f>
        <v>13923.91</v>
      </c>
      <c r="AF5" s="27">
        <v>120</v>
      </c>
      <c r="AG5" s="27">
        <f t="shared" ref="AG5" si="1">U5*$N$3</f>
        <v>13260.869999999999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11"/>
      <c r="B6" s="11"/>
      <c r="C6" s="11"/>
      <c r="D6" s="11"/>
      <c r="E6" s="11"/>
      <c r="F6" s="11"/>
      <c r="G6" s="12"/>
      <c r="H6" s="13"/>
      <c r="I6" s="13"/>
      <c r="J6" s="14"/>
      <c r="K6" s="14"/>
      <c r="L6" s="14"/>
      <c r="M6" s="13"/>
      <c r="N6" s="13"/>
      <c r="O6" s="13"/>
      <c r="P6" s="15"/>
      <c r="Q6" s="15" t="s">
        <v>41</v>
      </c>
      <c r="R6" s="15"/>
      <c r="S6" s="15"/>
      <c r="T6" s="15"/>
      <c r="U6" s="13"/>
      <c r="V6" s="13"/>
      <c r="W6" s="14"/>
      <c r="X6" s="13"/>
      <c r="Y6" s="13"/>
      <c r="Z6" s="15" t="s">
        <v>39</v>
      </c>
      <c r="AA6" s="15"/>
      <c r="AB6" s="79">
        <f>SUM(AB5:AB5)</f>
        <v>0.06</v>
      </c>
      <c r="AC6" s="15" t="s">
        <v>40</v>
      </c>
      <c r="AD6" s="15">
        <f>AD5</f>
        <v>663.04</v>
      </c>
      <c r="AE6" s="12"/>
      <c r="AF6" s="13"/>
      <c r="AG6" s="13"/>
      <c r="AH6" s="13"/>
      <c r="AL6" s="27"/>
      <c r="AM6" s="27"/>
      <c r="AN6" s="27"/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2"/>
      <c r="AF7" s="13"/>
      <c r="AG7" s="13"/>
      <c r="AH7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6"/>
  <dimension ref="A1:AQ8"/>
  <sheetViews>
    <sheetView showGridLines="0" topLeftCell="AA1" zoomScale="85" zoomScaleNormal="85" workbookViewId="0">
      <selection activeCell="AE7" sqref="AE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3.5703125" style="1" bestFit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1.5703125" style="1" customWidth="1"/>
    <col min="37" max="37" width="13.7109375" style="1" customWidth="1"/>
    <col min="38" max="39" width="9.140625" style="1"/>
    <col min="40" max="40" width="17.5703125" style="1" bestFit="1" customWidth="1"/>
    <col min="41" max="42" width="9.140625" style="1"/>
    <col min="43" max="43" width="11" style="1" bestFit="1" customWidth="1"/>
    <col min="44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4"/>
      <c r="AD1" s="44"/>
      <c r="AE1" s="44"/>
      <c r="AF1" s="44"/>
      <c r="AG1" s="32"/>
      <c r="AH1" s="32"/>
    </row>
    <row r="2" spans="1:43" ht="18">
      <c r="A2" s="44" t="s">
        <v>30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32"/>
      <c r="AH2" s="32"/>
    </row>
    <row r="3" spans="1:43" ht="19.899999999999999" customHeight="1" thickBot="1">
      <c r="A3" s="134" t="s">
        <v>35</v>
      </c>
      <c r="B3" s="134"/>
      <c r="C3" s="45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5</v>
      </c>
      <c r="L5" s="27">
        <v>7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742.5</v>
      </c>
      <c r="Q5" s="27">
        <f>ROUND(O5-P5,2)</f>
        <v>14107.5</v>
      </c>
      <c r="R5" s="27">
        <f>ROUND((Q5*L5)/100,2)</f>
        <v>987.53</v>
      </c>
      <c r="S5" s="27">
        <f>N5+P5+R5</f>
        <v>1880.03</v>
      </c>
      <c r="T5" s="27">
        <f>ROUND(S5/G5,2)</f>
        <v>188</v>
      </c>
      <c r="U5" s="27">
        <f>(I5-S5)</f>
        <v>13119.97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1574.4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1574.4</v>
      </c>
      <c r="AE5" s="27">
        <f t="shared" ref="AE5:AE6" si="0">U5+AD5</f>
        <v>14694.369999999999</v>
      </c>
      <c r="AF5" s="27">
        <v>120</v>
      </c>
      <c r="AG5" s="27">
        <f t="shared" ref="AG5:AG6" si="1">U5*$N$3</f>
        <v>13119.97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62</v>
      </c>
      <c r="C6" s="27">
        <v>0</v>
      </c>
      <c r="D6" s="16" t="s">
        <v>63</v>
      </c>
      <c r="E6" s="27" t="s">
        <v>10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124" t="s">
        <v>60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AE5</f>
        <v>14694.369999999999</v>
      </c>
      <c r="AF7" s="15" t="s">
        <v>40</v>
      </c>
      <c r="AG7" s="79">
        <f>AG5</f>
        <v>13119.97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7"/>
  <dimension ref="A1:AQ8"/>
  <sheetViews>
    <sheetView showGridLines="0" topLeftCell="Z1" zoomScale="85" zoomScaleNormal="85" workbookViewId="0">
      <selection activeCell="AG23" sqref="AG23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6"/>
      <c r="AD1" s="46"/>
      <c r="AE1" s="46"/>
      <c r="AF1" s="46"/>
      <c r="AG1" s="32"/>
      <c r="AH1" s="32"/>
    </row>
    <row r="2" spans="1:43" ht="18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32"/>
      <c r="AH2" s="32"/>
    </row>
    <row r="3" spans="1:43" ht="19.899999999999999" customHeight="1" thickBot="1">
      <c r="A3" s="134" t="s">
        <v>35</v>
      </c>
      <c r="B3" s="134"/>
      <c r="C3" s="47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8"/>
  <dimension ref="A1:AN8"/>
  <sheetViews>
    <sheetView showGridLines="0" topLeftCell="O1" zoomScale="85" zoomScaleNormal="85" workbookViewId="0">
      <selection activeCell="X7" sqref="X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0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8"/>
      <c r="AD1" s="48"/>
      <c r="AE1" s="48"/>
      <c r="AF1" s="48"/>
      <c r="AG1" s="32"/>
      <c r="AH1" s="32"/>
    </row>
    <row r="2" spans="1:40" ht="18">
      <c r="A2" s="48" t="s">
        <v>30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32"/>
      <c r="AH2" s="32"/>
    </row>
    <row r="3" spans="1:40" ht="19.899999999999999" customHeight="1" thickBot="1">
      <c r="A3" s="134" t="s">
        <v>35</v>
      </c>
      <c r="B3" s="134"/>
      <c r="C3" s="49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0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12</v>
      </c>
      <c r="AB4" s="25" t="s">
        <v>11</v>
      </c>
      <c r="AC4" s="25" t="s">
        <v>29</v>
      </c>
      <c r="AD4" s="26" t="s">
        <v>34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111</v>
      </c>
    </row>
    <row r="5" spans="1:40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3</v>
      </c>
      <c r="L5" s="27">
        <v>5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445.5</v>
      </c>
      <c r="Q5" s="27">
        <f>ROUND(O5-P5,2)</f>
        <v>14404.5</v>
      </c>
      <c r="R5" s="27">
        <f>ROUND((Q5*L5)/100,2)</f>
        <v>720.23</v>
      </c>
      <c r="S5" s="27">
        <f>ROUND(N5+P5+R5,2)</f>
        <v>1315.73</v>
      </c>
      <c r="T5" s="27">
        <f>ROUND(S5/G5,2)</f>
        <v>131.57</v>
      </c>
      <c r="U5" s="27">
        <f>(I5-S5)</f>
        <v>13684.27</v>
      </c>
      <c r="V5" s="27" t="s">
        <v>23</v>
      </c>
      <c r="W5" s="30">
        <v>0.12</v>
      </c>
      <c r="X5" s="27">
        <v>0</v>
      </c>
      <c r="Y5" s="27">
        <v>0</v>
      </c>
      <c r="Z5" s="27">
        <v>0</v>
      </c>
      <c r="AA5" s="27">
        <v>0</v>
      </c>
      <c r="AB5" s="27">
        <f>U5+AA5</f>
        <v>13684.27</v>
      </c>
      <c r="AC5" s="27">
        <v>120</v>
      </c>
      <c r="AD5" s="27">
        <f t="shared" ref="AD5:AD6" si="0">U5*$N$3</f>
        <v>13684.27</v>
      </c>
      <c r="AE5" s="27">
        <v>1</v>
      </c>
      <c r="AF5" s="27">
        <f t="shared" ref="AF5" si="1">G5/AE5</f>
        <v>10</v>
      </c>
      <c r="AG5" s="35" t="s">
        <v>84</v>
      </c>
      <c r="AH5" s="35" t="s">
        <v>55</v>
      </c>
      <c r="AI5" s="29">
        <f>ROUND(AG5-G5,0)</f>
        <v>902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">
        <v>112</v>
      </c>
    </row>
    <row r="6" spans="1:40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2</v>
      </c>
      <c r="K6" s="27">
        <v>1</v>
      </c>
      <c r="L6" s="27">
        <v>3</v>
      </c>
      <c r="M6" s="27">
        <f>I6</f>
        <v>20000</v>
      </c>
      <c r="N6" s="27">
        <f>ROUND((M6*J6)/100,2)</f>
        <v>400</v>
      </c>
      <c r="O6" s="27">
        <f>I6-N6</f>
        <v>19600</v>
      </c>
      <c r="P6" s="27">
        <f>ROUND((O6*K6)/100,2)</f>
        <v>196</v>
      </c>
      <c r="Q6" s="27">
        <f>ROUND(O6-P6,2)</f>
        <v>19404</v>
      </c>
      <c r="R6" s="27">
        <f>ROUND((Q6*L6)/100,2)</f>
        <v>582.12</v>
      </c>
      <c r="S6" s="27">
        <f>ROUND(N6+P6+R6,2)</f>
        <v>1178.1199999999999</v>
      </c>
      <c r="T6" s="27">
        <f>ROUND(S6/G6,2)</f>
        <v>117.81</v>
      </c>
      <c r="U6" s="27">
        <f>(I6-S6)</f>
        <v>18821.88</v>
      </c>
      <c r="V6" s="27" t="s">
        <v>23</v>
      </c>
      <c r="W6" s="30">
        <v>0.05</v>
      </c>
      <c r="X6" s="27">
        <v>0</v>
      </c>
      <c r="Y6" s="27">
        <v>0</v>
      </c>
      <c r="Z6" s="27">
        <v>0</v>
      </c>
      <c r="AA6" s="27">
        <v>0</v>
      </c>
      <c r="AB6" s="27">
        <f t="shared" ref="AB6" si="2">U6+AA6</f>
        <v>18821.88</v>
      </c>
      <c r="AC6" s="27">
        <v>120</v>
      </c>
      <c r="AD6" s="27">
        <f t="shared" si="0"/>
        <v>18821.88</v>
      </c>
      <c r="AE6" s="27">
        <v>3</v>
      </c>
      <c r="AF6" s="27">
        <f>ROUND(G6/AE6,3)</f>
        <v>3.3330000000000002</v>
      </c>
      <c r="AG6" s="35" t="s">
        <v>83</v>
      </c>
      <c r="AH6" s="35" t="s">
        <v>56</v>
      </c>
      <c r="AI6" s="29">
        <f>ROUND((AG6-AF6),3)</f>
        <v>1371.6690000000001</v>
      </c>
      <c r="AJ6" s="27" t="s">
        <v>50</v>
      </c>
      <c r="AK6" s="27" t="s">
        <v>61</v>
      </c>
      <c r="AL6" s="27">
        <v>0</v>
      </c>
      <c r="AM6" s="27">
        <f>ROUND(((AL6*U6)/100),2)</f>
        <v>0</v>
      </c>
      <c r="AN6" s="27" t="s">
        <v>112</v>
      </c>
    </row>
    <row r="7" spans="1:40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32506.15</v>
      </c>
      <c r="AC7" s="15" t="s">
        <v>40</v>
      </c>
      <c r="AD7" s="15">
        <f>AD5</f>
        <v>13684.27</v>
      </c>
      <c r="AE7" s="12"/>
      <c r="AF7" s="13"/>
      <c r="AG7" s="13"/>
      <c r="AH7" s="13"/>
    </row>
    <row r="8" spans="1:40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9"/>
  <dimension ref="A1:AQ8"/>
  <sheetViews>
    <sheetView showGridLines="0" topLeftCell="Y1" zoomScale="85" zoomScaleNormal="85" workbookViewId="0">
      <selection activeCell="AP6" sqref="AP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2.140625" style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50"/>
      <c r="AD1" s="50"/>
      <c r="AE1" s="50"/>
      <c r="AF1" s="50"/>
      <c r="AG1" s="32"/>
      <c r="AH1" s="32"/>
    </row>
    <row r="2" spans="1:43" ht="18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32"/>
      <c r="AH2" s="32"/>
    </row>
    <row r="3" spans="1:43" ht="19.899999999999999" customHeight="1" thickBot="1">
      <c r="A3" s="134" t="s">
        <v>35</v>
      </c>
      <c r="B3" s="134"/>
      <c r="C3" s="5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1625.53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1625.53</v>
      </c>
      <c r="AE5" s="27">
        <f t="shared" ref="AE5:AE6" si="0">U5+AD5</f>
        <v>15171.58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67</v>
      </c>
      <c r="C6" s="27">
        <v>0</v>
      </c>
      <c r="D6" s="16" t="s">
        <v>68</v>
      </c>
      <c r="E6" s="27" t="s">
        <v>10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ROUND(N6+P6+R6,2)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60</v>
      </c>
      <c r="AO6" s="27">
        <v>6</v>
      </c>
      <c r="AP6" s="27">
        <f>ROUND(((AO6*U6)/100),2)</f>
        <v>1200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36171.58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11"/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34" t="s">
        <v>35</v>
      </c>
      <c r="B3" s="134"/>
      <c r="C3" s="53"/>
      <c r="D3" s="3">
        <v>2</v>
      </c>
      <c r="E3" s="8" t="s">
        <v>69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0</v>
      </c>
      <c r="K5" s="27">
        <v>0</v>
      </c>
      <c r="L5" s="27">
        <v>0</v>
      </c>
      <c r="M5" s="27">
        <f>I5</f>
        <v>15000</v>
      </c>
      <c r="N5" s="27">
        <f>ROUND((M5*J5)/100,2)</f>
        <v>0</v>
      </c>
      <c r="O5" s="27">
        <f>I5-N5</f>
        <v>15000</v>
      </c>
      <c r="P5" s="27">
        <f>ROUND((O5*K5)/100,2)</f>
        <v>0</v>
      </c>
      <c r="Q5" s="27">
        <f>ROUND(O5-P5,2)</f>
        <v>15000</v>
      </c>
      <c r="R5" s="27">
        <f>ROUND((Q5*L5)/100,2)</f>
        <v>0</v>
      </c>
      <c r="S5" s="27">
        <f>N5+P5+R5</f>
        <v>0</v>
      </c>
      <c r="T5" s="27">
        <f>S5/G5</f>
        <v>0</v>
      </c>
      <c r="U5" s="27">
        <f>(I5-S5)</f>
        <v>15000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1800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1800</v>
      </c>
      <c r="AE5" s="27">
        <f t="shared" ref="AE5:AE6" si="0">U5+AD5</f>
        <v>16800</v>
      </c>
      <c r="AF5" s="27">
        <v>120</v>
      </c>
      <c r="AG5" s="27">
        <f t="shared" ref="AG5:AG6" si="1">U5*$N$3</f>
        <v>15000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S6/G6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37800</v>
      </c>
      <c r="AF7" s="15" t="s">
        <v>40</v>
      </c>
      <c r="AG7" s="79">
        <f>AG5</f>
        <v>15000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26"/>
  <sheetViews>
    <sheetView topLeftCell="H1" workbookViewId="0">
      <selection activeCell="T10" sqref="T10"/>
    </sheetView>
  </sheetViews>
  <sheetFormatPr defaultRowHeight="15"/>
  <cols>
    <col min="2" max="2" width="28.7109375" bestFit="1" customWidth="1"/>
    <col min="4" max="4" width="28.7109375" bestFit="1" customWidth="1"/>
    <col min="5" max="5" width="10.42578125" customWidth="1"/>
    <col min="6" max="6" width="17.85546875" bestFit="1" customWidth="1"/>
    <col min="8" max="8" width="11" bestFit="1" customWidth="1"/>
    <col min="9" max="9" width="11.85546875" bestFit="1" customWidth="1"/>
    <col min="13" max="13" width="15.140625" customWidth="1"/>
    <col min="14" max="14" width="11.7109375" customWidth="1"/>
    <col min="15" max="15" width="13.28515625" customWidth="1"/>
    <col min="16" max="16" width="10.5703125" bestFit="1" customWidth="1"/>
    <col min="18" max="18" width="10.5703125" bestFit="1" customWidth="1"/>
    <col min="19" max="19" width="11" customWidth="1"/>
    <col min="20" max="20" width="17.85546875" bestFit="1" customWidth="1"/>
    <col min="21" max="21" width="10.7109375" bestFit="1" customWidth="1"/>
    <col min="28" max="28" width="10.7109375" bestFit="1" customWidth="1"/>
    <col min="29" max="29" width="14.85546875" bestFit="1" customWidth="1"/>
    <col min="30" max="30" width="10.7109375" bestFit="1" customWidth="1"/>
    <col min="31" max="31" width="13.5703125" bestFit="1" customWidth="1"/>
    <col min="32" max="32" width="15.5703125" bestFit="1" customWidth="1"/>
    <col min="35" max="35" width="10" customWidth="1"/>
    <col min="37" max="37" width="12.7109375" bestFit="1" customWidth="1"/>
  </cols>
  <sheetData>
    <row r="1" spans="1:43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70"/>
      <c r="AD1" s="70"/>
      <c r="AE1" s="70"/>
      <c r="AF1" s="70"/>
      <c r="AG1" s="32"/>
      <c r="AH1" s="32"/>
      <c r="AI1" s="36"/>
      <c r="AJ1" s="1"/>
      <c r="AK1" s="1"/>
      <c r="AL1" s="1"/>
      <c r="AM1" s="1"/>
    </row>
    <row r="2" spans="1:43" ht="18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32"/>
      <c r="AH2" s="32"/>
      <c r="AI2" s="36"/>
      <c r="AJ2" s="1"/>
      <c r="AK2" s="1"/>
      <c r="AL2" s="1"/>
      <c r="AM2" s="1"/>
    </row>
    <row r="3" spans="1:43" ht="15.75" thickBot="1">
      <c r="A3" s="134" t="s">
        <v>35</v>
      </c>
      <c r="B3" s="134"/>
      <c r="C3" s="7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  <c r="AI3" s="36"/>
      <c r="AJ3" s="1"/>
      <c r="AK3" s="1"/>
      <c r="AL3" s="1"/>
      <c r="AM3" s="1"/>
    </row>
    <row r="4" spans="1:43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8">
        <v>10</v>
      </c>
      <c r="H5" s="31">
        <v>1679</v>
      </c>
      <c r="I5" s="31">
        <f>G5*H5</f>
        <v>16790</v>
      </c>
      <c r="J5" s="31">
        <v>12.5</v>
      </c>
      <c r="K5" s="31">
        <v>11.3</v>
      </c>
      <c r="L5" s="31">
        <v>25.6</v>
      </c>
      <c r="M5" s="31">
        <f>I5</f>
        <v>16790</v>
      </c>
      <c r="N5" s="31">
        <f>ROUND((M5*J5)/100,2)</f>
        <v>2098.75</v>
      </c>
      <c r="O5" s="31">
        <f>I5-N5</f>
        <v>14691.25</v>
      </c>
      <c r="P5" s="31">
        <f>ROUND((O5*K5)/100,2)</f>
        <v>1660.11</v>
      </c>
      <c r="Q5" s="31">
        <f>ROUND(O5-P5,2)</f>
        <v>13031.14</v>
      </c>
      <c r="R5" s="31">
        <f>ROUND((Q5*L5)/100,2)</f>
        <v>3335.97</v>
      </c>
      <c r="S5" s="31">
        <f>ROUND(N5+P5+R5,2)</f>
        <v>7094.83</v>
      </c>
      <c r="T5" s="31">
        <f>ROUND(S5/G5,2)</f>
        <v>709.48</v>
      </c>
      <c r="U5" s="31">
        <f>(I5-S5)</f>
        <v>9695.17</v>
      </c>
      <c r="V5" s="31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1163.42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1163.42</v>
      </c>
      <c r="AE5" s="27">
        <f t="shared" ref="AE5:AE6" si="0">U5+AD5</f>
        <v>10858.59</v>
      </c>
      <c r="AF5" s="27">
        <v>120</v>
      </c>
      <c r="AG5" s="27">
        <f t="shared" ref="AG5:AG6" si="1">U5*$N$3</f>
        <v>9695.17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8">
        <v>10</v>
      </c>
      <c r="H6" s="31">
        <v>2367</v>
      </c>
      <c r="I6" s="31">
        <f>G6*H6</f>
        <v>23670</v>
      </c>
      <c r="J6" s="31">
        <v>1.2</v>
      </c>
      <c r="K6" s="31">
        <v>1.34</v>
      </c>
      <c r="L6" s="31">
        <v>1.65</v>
      </c>
      <c r="M6" s="31">
        <f>I6</f>
        <v>23670</v>
      </c>
      <c r="N6" s="31">
        <f>ROUND((M6*J6)/100,2)</f>
        <v>284.04000000000002</v>
      </c>
      <c r="O6" s="31">
        <f>I6-N6</f>
        <v>23385.96</v>
      </c>
      <c r="P6" s="31">
        <f>ROUND((O6*K6)/100,2)</f>
        <v>313.37</v>
      </c>
      <c r="Q6" s="31">
        <f>ROUND(O6-P6,2)</f>
        <v>23072.59</v>
      </c>
      <c r="R6" s="31">
        <f>ROUND((Q6*L6)/100,2)</f>
        <v>380.7</v>
      </c>
      <c r="S6" s="31">
        <f>N6+P6+R6</f>
        <v>978.11000000000013</v>
      </c>
      <c r="T6" s="31">
        <f>ROUND(S6/G6,2)</f>
        <v>97.81</v>
      </c>
      <c r="U6" s="31">
        <f>(I6-S6)</f>
        <v>22691.89</v>
      </c>
      <c r="V6" s="31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1134.5899999999999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1134.5899999999999</v>
      </c>
      <c r="AE6" s="27">
        <f t="shared" si="0"/>
        <v>23826.48</v>
      </c>
      <c r="AF6" s="27">
        <v>120</v>
      </c>
      <c r="AG6" s="27">
        <f t="shared" si="1"/>
        <v>22691.89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>
      <c r="A7" s="11"/>
      <c r="B7" s="11"/>
      <c r="C7" s="11"/>
      <c r="D7" s="11"/>
      <c r="E7" s="11"/>
      <c r="F7" s="11"/>
      <c r="G7" s="12"/>
      <c r="H7" s="13"/>
      <c r="I7" s="13">
        <f>SUM(I5:I6)</f>
        <v>40460</v>
      </c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>
        <f>SUM(U5:U6)</f>
        <v>32387.059999999998</v>
      </c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34685.07</v>
      </c>
      <c r="AF7" s="15" t="s">
        <v>40</v>
      </c>
      <c r="AG7" s="79">
        <f>AG5</f>
        <v>9695.17</v>
      </c>
      <c r="AH7" s="12"/>
      <c r="AI7" s="13"/>
      <c r="AJ7" s="13"/>
      <c r="AK7" s="13"/>
      <c r="AL7" s="36"/>
      <c r="AM7" s="1"/>
      <c r="AN7" s="1"/>
      <c r="AO7" s="1"/>
      <c r="AP7" s="1"/>
      <c r="AQ7" s="1"/>
    </row>
    <row r="8" spans="1:4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3" ht="15.75" thickBot="1">
      <c r="C9" s="72" t="s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3" ht="15.75" thickTop="1">
      <c r="C10" s="69" t="s">
        <v>72</v>
      </c>
      <c r="D10" s="56" t="s">
        <v>0</v>
      </c>
      <c r="E10" s="56" t="s">
        <v>38</v>
      </c>
      <c r="F10" s="56" t="s">
        <v>73</v>
      </c>
      <c r="G10" s="56" t="s">
        <v>74</v>
      </c>
      <c r="H10" s="57" t="s">
        <v>75</v>
      </c>
      <c r="I10" s="57" t="s">
        <v>76</v>
      </c>
      <c r="J10" s="57" t="s">
        <v>77</v>
      </c>
      <c r="K10" s="58" t="s">
        <v>18</v>
      </c>
      <c r="L10" s="58" t="s">
        <v>19</v>
      </c>
      <c r="M10" s="58" t="s">
        <v>20</v>
      </c>
      <c r="N10" s="58" t="s">
        <v>21</v>
      </c>
      <c r="O10" s="59" t="s">
        <v>12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43">
      <c r="C11" s="60">
        <v>1</v>
      </c>
      <c r="D11" s="61" t="s">
        <v>78</v>
      </c>
      <c r="E11" s="61">
        <v>0</v>
      </c>
      <c r="F11" s="62" t="s">
        <v>79</v>
      </c>
      <c r="G11" s="62" t="s">
        <v>80</v>
      </c>
      <c r="H11" s="66">
        <v>20</v>
      </c>
      <c r="I11" s="27">
        <f>ROUND(((U7*H11)/100),2)</f>
        <v>6477.41</v>
      </c>
      <c r="J11" s="27">
        <v>4901</v>
      </c>
      <c r="K11" s="30">
        <v>0.12</v>
      </c>
      <c r="L11" s="27">
        <f>IF($D$3=1,ROUND(((I11*K11)/2),2),0)</f>
        <v>0</v>
      </c>
      <c r="M11" s="27">
        <f>IF($D$3=1,ROUND(((I11*K11)/2),2),0)</f>
        <v>0</v>
      </c>
      <c r="N11" s="27">
        <f>IF($D$3=2,ROUND(((I11*K11)),2),0)</f>
        <v>777.29</v>
      </c>
      <c r="O11" s="27">
        <f>L11+M11+N11</f>
        <v>777.29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43" ht="15.75" thickBot="1">
      <c r="C12" s="63">
        <v>2</v>
      </c>
      <c r="D12" s="64" t="s">
        <v>81</v>
      </c>
      <c r="E12" s="64">
        <v>0</v>
      </c>
      <c r="F12" s="64" t="s">
        <v>82</v>
      </c>
      <c r="G12" s="64" t="s">
        <v>76</v>
      </c>
      <c r="H12" s="67"/>
      <c r="I12" s="67">
        <v>15000</v>
      </c>
      <c r="J12" s="67">
        <v>112341</v>
      </c>
      <c r="K12" s="68">
        <v>0.12</v>
      </c>
      <c r="L12" s="27">
        <f t="shared" ref="L12" si="3">IF($D$3=1,ROUND(((I12*K12)/2),2),0)</f>
        <v>0</v>
      </c>
      <c r="M12" s="27">
        <f t="shared" ref="M12" si="4">IF($D$3=1,ROUND(((I12*K12)/2),2),0)</f>
        <v>0</v>
      </c>
      <c r="N12" s="27">
        <f t="shared" ref="N12" si="5">IF($D$3=2,ROUND(((I12*K12)),2),0)</f>
        <v>1800</v>
      </c>
      <c r="O12" s="27">
        <f t="shared" ref="O12" si="6">L12+M12+N12</f>
        <v>1800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43" ht="15.75" thickTop="1">
      <c r="C13" s="1"/>
      <c r="H13" s="27" t="s">
        <v>70</v>
      </c>
      <c r="I13" s="27">
        <f>SUM(I11:I12)</f>
        <v>21477.41</v>
      </c>
      <c r="J13" s="27"/>
      <c r="K13" s="27"/>
      <c r="L13" s="29">
        <f>SUM(L11:L12)</f>
        <v>0</v>
      </c>
      <c r="M13" s="29">
        <f>SUM(M11:M12)</f>
        <v>0</v>
      </c>
      <c r="N13" s="29">
        <f>SUM(N11:N12)</f>
        <v>2577.29</v>
      </c>
      <c r="O13" s="29">
        <f>SUM(O11:O12)</f>
        <v>2577.29</v>
      </c>
      <c r="P13" s="1"/>
      <c r="Q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43">
      <c r="A14" s="1"/>
      <c r="Q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3" ht="18">
      <c r="A15" s="54"/>
      <c r="B15" s="54"/>
      <c r="C15" s="54"/>
      <c r="Q15" s="54"/>
      <c r="R15" s="54"/>
      <c r="S15" s="54"/>
      <c r="T15" s="65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</row>
    <row r="16" spans="1:43">
      <c r="A16" s="134"/>
      <c r="B16" s="134"/>
      <c r="C16" s="55"/>
      <c r="Q16" s="4"/>
      <c r="R16" s="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>
      <c r="A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F19" s="35"/>
      <c r="G19" s="1"/>
      <c r="H19" s="1"/>
      <c r="I19" s="1"/>
      <c r="J19" s="1"/>
      <c r="K19" s="1"/>
      <c r="L19" s="1"/>
      <c r="M19" s="1"/>
      <c r="N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F20" s="1"/>
      <c r="G20" s="1"/>
      <c r="H20" s="1"/>
      <c r="I20" s="1"/>
      <c r="J20" s="1"/>
      <c r="K20" s="1"/>
      <c r="L20" s="1"/>
      <c r="M20" s="1"/>
      <c r="N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F21" s="1"/>
      <c r="G21" s="1"/>
      <c r="H21" s="1"/>
      <c r="I21" s="1"/>
      <c r="J21" s="1"/>
      <c r="K21" s="1"/>
      <c r="L21" s="1"/>
      <c r="M21" s="1"/>
      <c r="N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F22" s="1"/>
      <c r="G22" s="1"/>
      <c r="H22" s="1"/>
      <c r="I22" s="1"/>
      <c r="J22" s="1"/>
      <c r="K22" s="1"/>
      <c r="L22" s="1"/>
      <c r="M22" s="1"/>
      <c r="N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F23" s="1"/>
      <c r="G23" s="1"/>
      <c r="H23" s="1"/>
      <c r="I23" s="1"/>
      <c r="J23" s="1"/>
      <c r="K23" s="1"/>
      <c r="L23" s="1"/>
      <c r="M23" s="1"/>
      <c r="N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F24" s="1"/>
      <c r="G24" s="1"/>
      <c r="H24" s="1"/>
      <c r="I24" s="1"/>
      <c r="J24" s="1"/>
      <c r="K24" s="1"/>
      <c r="L24" s="1"/>
      <c r="M24" s="1"/>
      <c r="N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F25" s="1"/>
      <c r="G25" s="1"/>
      <c r="H25" s="1"/>
      <c r="I25" s="1"/>
      <c r="J25" s="1"/>
      <c r="K25" s="1"/>
      <c r="L25" s="1"/>
      <c r="M25" s="1"/>
      <c r="N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</sheetData>
  <mergeCells count="3">
    <mergeCell ref="A1:AB1"/>
    <mergeCell ref="A3:B3"/>
    <mergeCell ref="A16:B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S16"/>
  <sheetViews>
    <sheetView showGridLines="0" topLeftCell="AU1" zoomScale="85" zoomScaleNormal="85" workbookViewId="0">
      <selection activeCell="BD11" sqref="BD11"/>
    </sheetView>
  </sheetViews>
  <sheetFormatPr defaultColWidth="9.140625" defaultRowHeight="14.25"/>
  <cols>
    <col min="1" max="1" width="5.7109375" style="1" bestFit="1" customWidth="1"/>
    <col min="2" max="2" width="32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3" width="12.28515625" style="35" customWidth="1"/>
    <col min="34" max="34" width="13.5703125" style="35" bestFit="1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2.85546875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6" style="1" bestFit="1" customWidth="1"/>
    <col min="46" max="46" width="16.85546875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8.85546875" style="1" bestFit="1" customWidth="1"/>
    <col min="51" max="51" width="13.7109375" style="1" bestFit="1" customWidth="1"/>
    <col min="52" max="52" width="18.42578125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.85546875" style="1" bestFit="1" customWidth="1"/>
    <col min="57" max="57" width="22.85546875" style="1" bestFit="1" customWidth="1"/>
    <col min="58" max="58" width="15.570312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3" style="1" bestFit="1" customWidth="1"/>
    <col min="65" max="65" width="13.5703125" style="1" bestFit="1" customWidth="1"/>
    <col min="66" max="66" width="16.28515625" style="1" bestFit="1" customWidth="1"/>
    <col min="67" max="67" width="14" style="1" bestFit="1" customWidth="1"/>
    <col min="68" max="68" width="13.85546875" style="1" bestFit="1" customWidth="1"/>
    <col min="69" max="69" width="15" style="1" bestFit="1" customWidth="1"/>
    <col min="70" max="70" width="11.7109375" style="1" bestFit="1" customWidth="1"/>
    <col min="71" max="71" width="11" style="1" bestFit="1" customWidth="1"/>
    <col min="72" max="16384" width="9.140625" style="1"/>
  </cols>
  <sheetData>
    <row r="1" spans="1:71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34" t="s">
        <v>35</v>
      </c>
      <c r="B3" s="134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143</v>
      </c>
      <c r="AS4" s="18" t="s">
        <v>144</v>
      </c>
      <c r="AT4" s="18" t="s">
        <v>145</v>
      </c>
      <c r="AU4" s="21" t="s">
        <v>146</v>
      </c>
      <c r="AV4" s="21" t="s">
        <v>147</v>
      </c>
      <c r="AW4" s="21" t="s">
        <v>148</v>
      </c>
      <c r="AX4" s="22" t="s">
        <v>149</v>
      </c>
      <c r="AY4" s="22" t="s">
        <v>150</v>
      </c>
      <c r="AZ4" s="22" t="s">
        <v>151</v>
      </c>
      <c r="BA4" s="22" t="s">
        <v>152</v>
      </c>
      <c r="BB4" s="23" t="s">
        <v>153</v>
      </c>
      <c r="BC4" s="22" t="s">
        <v>154</v>
      </c>
      <c r="BD4" s="21" t="s">
        <v>155</v>
      </c>
      <c r="BE4" s="21" t="s">
        <v>165</v>
      </c>
      <c r="BF4" s="18" t="s">
        <v>156</v>
      </c>
      <c r="BG4" s="18" t="s">
        <v>157</v>
      </c>
      <c r="BH4" s="24" t="s">
        <v>158</v>
      </c>
      <c r="BI4" s="24" t="s">
        <v>159</v>
      </c>
      <c r="BJ4" s="24" t="s">
        <v>160</v>
      </c>
      <c r="BK4" s="24" t="s">
        <v>161</v>
      </c>
      <c r="BL4" s="24" t="s">
        <v>186</v>
      </c>
      <c r="BM4" s="24" t="s">
        <v>187</v>
      </c>
      <c r="BN4" s="24" t="s">
        <v>188</v>
      </c>
      <c r="BO4" s="24" t="s">
        <v>162</v>
      </c>
      <c r="BP4" s="25" t="s">
        <v>163</v>
      </c>
      <c r="BQ4" s="25" t="s">
        <v>29</v>
      </c>
      <c r="BR4" s="26" t="s">
        <v>164</v>
      </c>
      <c r="BS4" s="26" t="s">
        <v>167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10</v>
      </c>
      <c r="AS5" s="27">
        <v>1234</v>
      </c>
      <c r="AT5" s="27">
        <f>AR5*AS5</f>
        <v>12340</v>
      </c>
      <c r="AU5" s="27">
        <v>11</v>
      </c>
      <c r="AV5" s="27">
        <v>12</v>
      </c>
      <c r="AW5" s="27">
        <v>14</v>
      </c>
      <c r="AX5" s="27">
        <f>AT5</f>
        <v>12340</v>
      </c>
      <c r="AY5" s="27">
        <f>ROUND((AX5*AU5)/100,2)</f>
        <v>1357.4</v>
      </c>
      <c r="AZ5" s="27">
        <f>AT5-AY5</f>
        <v>10982.6</v>
      </c>
      <c r="BA5" s="27">
        <f>ROUND((AZ5*AV5)/100,2)</f>
        <v>1317.91</v>
      </c>
      <c r="BB5" s="27">
        <f>ROUND(AZ5-BA5,2)</f>
        <v>9664.69</v>
      </c>
      <c r="BC5" s="27">
        <f>ROUND((BB5*AW5)/100,2)</f>
        <v>1353.06</v>
      </c>
      <c r="BD5" s="27">
        <f>AY5+BA5+BC5</f>
        <v>4028.3700000000003</v>
      </c>
      <c r="BE5" s="27">
        <f>ROUND(BD5/AR5,2)</f>
        <v>402.84</v>
      </c>
      <c r="BF5" s="27">
        <f>(AT5-BD5)</f>
        <v>8311.6299999999992</v>
      </c>
      <c r="BG5" s="27" t="s">
        <v>184</v>
      </c>
      <c r="BH5" s="30">
        <v>0.12</v>
      </c>
      <c r="BI5" s="27">
        <f>IF(OR($D$3=1,$D$3=4),ROUND((BF5*BH5)/2,2),0)</f>
        <v>498.7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498.7</v>
      </c>
      <c r="BM5" s="30">
        <v>0.06</v>
      </c>
      <c r="BN5" s="27">
        <f>IF($D$3=5,ROUND(((BF5*BM5)/2),2),0)</f>
        <v>0</v>
      </c>
      <c r="BO5" s="27">
        <f>BI5+BJ5+BK5+BL5+BN5</f>
        <v>997.4</v>
      </c>
      <c r="BP5" s="27">
        <f t="shared" ref="BP5:BP6" si="0">BF5+BO5</f>
        <v>9309.0299999999988</v>
      </c>
      <c r="BQ5" s="27">
        <v>120</v>
      </c>
      <c r="BR5" s="27">
        <f t="shared" ref="BR5:BR6" si="1">BF5*$N$3</f>
        <v>8311.6299999999992</v>
      </c>
      <c r="BS5" s="27" t="s">
        <v>112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20</v>
      </c>
      <c r="AS6" s="27">
        <v>3214</v>
      </c>
      <c r="AT6" s="27">
        <f>AR6*AS6</f>
        <v>64280</v>
      </c>
      <c r="AU6" s="27">
        <v>12</v>
      </c>
      <c r="AV6" s="27">
        <v>17</v>
      </c>
      <c r="AW6" s="27">
        <v>19</v>
      </c>
      <c r="AX6" s="27">
        <f>AT6</f>
        <v>64280</v>
      </c>
      <c r="AY6" s="27">
        <f>ROUND((AX6*AU6)/100,2)</f>
        <v>7713.6</v>
      </c>
      <c r="AZ6" s="27">
        <f>AT6-AY6</f>
        <v>56566.400000000001</v>
      </c>
      <c r="BA6" s="27">
        <f>ROUND((AZ6*AV6)/100,2)</f>
        <v>9616.2900000000009</v>
      </c>
      <c r="BB6" s="27">
        <f>ROUND(AZ6-BA6,2)</f>
        <v>46950.11</v>
      </c>
      <c r="BC6" s="27">
        <f>ROUND((BB6*AW6)/100,2)</f>
        <v>8920.52</v>
      </c>
      <c r="BD6" s="27">
        <f>AY6+BA6+BC6</f>
        <v>26250.41</v>
      </c>
      <c r="BE6" s="27">
        <f>ROUND(BD6/AR6,2)</f>
        <v>1312.52</v>
      </c>
      <c r="BF6" s="27">
        <f>(AT6-BD6)</f>
        <v>38029.589999999997</v>
      </c>
      <c r="BG6" s="27">
        <v>772213</v>
      </c>
      <c r="BH6" s="30">
        <v>0.05</v>
      </c>
      <c r="BI6" s="27">
        <f>IF(OR($D$3=1,$D$3=4),ROUND((BF6*BH6)/2,2),0)</f>
        <v>950.74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950.74</v>
      </c>
      <c r="BM6" s="30">
        <v>0.06</v>
      </c>
      <c r="BN6" s="27">
        <f>IF($D$3=5,ROUND(((BF6*BM6)/2),2),0)</f>
        <v>0</v>
      </c>
      <c r="BO6" s="27">
        <f>BI6+BJ6+BK6+BL6+BN6</f>
        <v>1901.48</v>
      </c>
      <c r="BP6" s="27">
        <f t="shared" si="0"/>
        <v>39931.07</v>
      </c>
      <c r="BQ6" s="27">
        <v>120</v>
      </c>
      <c r="BR6" s="27">
        <f t="shared" si="1"/>
        <v>38029.589999999997</v>
      </c>
      <c r="BS6" s="27" t="s">
        <v>112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30278.78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49240.1</v>
      </c>
      <c r="BQ7" s="15" t="s">
        <v>40</v>
      </c>
      <c r="BR7" s="79">
        <f>BR5</f>
        <v>8311.6299999999992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S16"/>
  <sheetViews>
    <sheetView showGridLines="0" topLeftCell="AL1" zoomScale="85" zoomScaleNormal="85" workbookViewId="0">
      <selection activeCell="AW10" sqref="AW10"/>
    </sheetView>
  </sheetViews>
  <sheetFormatPr defaultColWidth="9.140625" defaultRowHeight="14.25"/>
  <cols>
    <col min="1" max="1" width="5.7109375" style="1" bestFit="1" customWidth="1"/>
    <col min="2" max="2" width="32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3" width="12.28515625" style="35" customWidth="1"/>
    <col min="34" max="34" width="13.5703125" style="35" bestFit="1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2.85546875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6" style="1" bestFit="1" customWidth="1"/>
    <col min="46" max="46" width="16.85546875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8.85546875" style="1" bestFit="1" customWidth="1"/>
    <col min="51" max="51" width="13.7109375" style="1" bestFit="1" customWidth="1"/>
    <col min="52" max="52" width="18.42578125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.85546875" style="1" bestFit="1" customWidth="1"/>
    <col min="57" max="57" width="22.85546875" style="1" bestFit="1" customWidth="1"/>
    <col min="58" max="58" width="15.570312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3" style="1" bestFit="1" customWidth="1"/>
    <col min="65" max="65" width="13.5703125" style="1" bestFit="1" customWidth="1"/>
    <col min="66" max="66" width="16.28515625" style="1" bestFit="1" customWidth="1"/>
    <col min="67" max="67" width="14" style="1" bestFit="1" customWidth="1"/>
    <col min="68" max="68" width="13.85546875" style="1" bestFit="1" customWidth="1"/>
    <col min="69" max="69" width="15" style="1" bestFit="1" customWidth="1"/>
    <col min="70" max="70" width="11.7109375" style="1" bestFit="1" customWidth="1"/>
    <col min="71" max="71" width="11" style="1" bestFit="1" customWidth="1"/>
    <col min="72" max="16384" width="9.140625" style="1"/>
  </cols>
  <sheetData>
    <row r="1" spans="1:71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34" t="s">
        <v>35</v>
      </c>
      <c r="B3" s="134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143</v>
      </c>
      <c r="AS4" s="18" t="s">
        <v>144</v>
      </c>
      <c r="AT4" s="18" t="s">
        <v>145</v>
      </c>
      <c r="AU4" s="21" t="s">
        <v>146</v>
      </c>
      <c r="AV4" s="21" t="s">
        <v>147</v>
      </c>
      <c r="AW4" s="21" t="s">
        <v>148</v>
      </c>
      <c r="AX4" s="22" t="s">
        <v>149</v>
      </c>
      <c r="AY4" s="22" t="s">
        <v>150</v>
      </c>
      <c r="AZ4" s="22" t="s">
        <v>151</v>
      </c>
      <c r="BA4" s="22" t="s">
        <v>152</v>
      </c>
      <c r="BB4" s="23" t="s">
        <v>153</v>
      </c>
      <c r="BC4" s="22" t="s">
        <v>154</v>
      </c>
      <c r="BD4" s="21" t="s">
        <v>155</v>
      </c>
      <c r="BE4" s="21" t="s">
        <v>165</v>
      </c>
      <c r="BF4" s="18" t="s">
        <v>156</v>
      </c>
      <c r="BG4" s="18" t="s">
        <v>157</v>
      </c>
      <c r="BH4" s="24" t="s">
        <v>158</v>
      </c>
      <c r="BI4" s="24" t="s">
        <v>159</v>
      </c>
      <c r="BJ4" s="24" t="s">
        <v>160</v>
      </c>
      <c r="BK4" s="24" t="s">
        <v>161</v>
      </c>
      <c r="BL4" s="24" t="s">
        <v>186</v>
      </c>
      <c r="BM4" s="24" t="s">
        <v>187</v>
      </c>
      <c r="BN4" s="24" t="s">
        <v>188</v>
      </c>
      <c r="BO4" s="24" t="s">
        <v>162</v>
      </c>
      <c r="BP4" s="25" t="s">
        <v>163</v>
      </c>
      <c r="BQ4" s="25" t="s">
        <v>29</v>
      </c>
      <c r="BR4" s="26" t="s">
        <v>164</v>
      </c>
      <c r="BS4" s="26" t="s">
        <v>167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10</v>
      </c>
      <c r="AS5" s="27">
        <v>2678</v>
      </c>
      <c r="AT5" s="27">
        <f>AR5*AS5</f>
        <v>26780</v>
      </c>
      <c r="AU5" s="27">
        <v>1</v>
      </c>
      <c r="AV5" s="27">
        <v>2</v>
      </c>
      <c r="AW5" s="27">
        <v>4</v>
      </c>
      <c r="AX5" s="27">
        <f>AT5</f>
        <v>26780</v>
      </c>
      <c r="AY5" s="27">
        <f>ROUND((AX5*AU5)/100,2)</f>
        <v>267.8</v>
      </c>
      <c r="AZ5" s="27">
        <f>AT5-AY5</f>
        <v>26512.2</v>
      </c>
      <c r="BA5" s="27">
        <f>ROUND((AZ5*AV5)/100,2)</f>
        <v>530.24</v>
      </c>
      <c r="BB5" s="27">
        <f>ROUND(AZ5-BA5,2)</f>
        <v>25981.96</v>
      </c>
      <c r="BC5" s="27">
        <f>ROUND((BB5*AW5)/100,2)</f>
        <v>1039.28</v>
      </c>
      <c r="BD5" s="27">
        <f>AY5+BA5+BC5</f>
        <v>1837.32</v>
      </c>
      <c r="BE5" s="27">
        <f>ROUND(BD5/AR5,2)</f>
        <v>183.73</v>
      </c>
      <c r="BF5" s="27">
        <f>(AT5-BD5)</f>
        <v>24942.68</v>
      </c>
      <c r="BG5" s="27" t="s">
        <v>184</v>
      </c>
      <c r="BH5" s="30">
        <v>0.12</v>
      </c>
      <c r="BI5" s="27">
        <f>IF(OR($D$3=1,$D$3=4),ROUND((BF5*BH5)/2,2),0)</f>
        <v>1496.56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1496.56</v>
      </c>
      <c r="BM5" s="30">
        <v>0.06</v>
      </c>
      <c r="BN5" s="27">
        <f>IF($D$3=5,ROUND(((BF5*BM5)/2),2),0)</f>
        <v>0</v>
      </c>
      <c r="BO5" s="27">
        <f>BI5+BJ5+BK5+BL5+BN5</f>
        <v>2993.12</v>
      </c>
      <c r="BP5" s="27">
        <f t="shared" ref="BP5:BP6" si="0">BF5+BO5</f>
        <v>27935.8</v>
      </c>
      <c r="BQ5" s="27">
        <v>120</v>
      </c>
      <c r="BR5" s="27">
        <f t="shared" ref="BR5:BR6" si="1">BF5*$N$3</f>
        <v>24942.68</v>
      </c>
      <c r="BS5" s="27" t="s">
        <v>112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20</v>
      </c>
      <c r="AS6" s="27">
        <v>4256</v>
      </c>
      <c r="AT6" s="27">
        <f>AR6*AS6</f>
        <v>85120</v>
      </c>
      <c r="AU6" s="27">
        <v>2</v>
      </c>
      <c r="AV6" s="27">
        <v>7</v>
      </c>
      <c r="AW6" s="27">
        <v>9</v>
      </c>
      <c r="AX6" s="27">
        <f>AT6</f>
        <v>85120</v>
      </c>
      <c r="AY6" s="27">
        <f>ROUND((AX6*AU6)/100,2)</f>
        <v>1702.4</v>
      </c>
      <c r="AZ6" s="27">
        <f>AT6-AY6</f>
        <v>83417.600000000006</v>
      </c>
      <c r="BA6" s="27">
        <f>ROUND((AZ6*AV6)/100,2)</f>
        <v>5839.23</v>
      </c>
      <c r="BB6" s="27">
        <f>ROUND(AZ6-BA6,2)</f>
        <v>77578.37</v>
      </c>
      <c r="BC6" s="27">
        <f>ROUND((BB6*AW6)/100,2)</f>
        <v>6982.05</v>
      </c>
      <c r="BD6" s="27">
        <f>AY6+BA6+BC6</f>
        <v>14523.68</v>
      </c>
      <c r="BE6" s="27">
        <f>ROUND(BD6/AR6,2)</f>
        <v>726.18</v>
      </c>
      <c r="BF6" s="27">
        <f>(AT6-BD6)</f>
        <v>70596.320000000007</v>
      </c>
      <c r="BG6" s="27">
        <v>772213</v>
      </c>
      <c r="BH6" s="30">
        <v>0.05</v>
      </c>
      <c r="BI6" s="27">
        <f>IF(OR($D$3=1,$D$3=4),ROUND((BF6*BH6)/2,2),0)</f>
        <v>1764.91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1764.91</v>
      </c>
      <c r="BM6" s="30">
        <v>0.06</v>
      </c>
      <c r="BN6" s="27">
        <f>IF($D$3=5,ROUND(((BF6*BM6)/2),2),0)</f>
        <v>0</v>
      </c>
      <c r="BO6" s="27">
        <f>BI6+BJ6+BK6+BL6+BN6</f>
        <v>3529.82</v>
      </c>
      <c r="BP6" s="27">
        <f t="shared" si="0"/>
        <v>74126.140000000014</v>
      </c>
      <c r="BQ6" s="27">
        <v>120</v>
      </c>
      <c r="BR6" s="27">
        <f t="shared" si="1"/>
        <v>70596.320000000007</v>
      </c>
      <c r="BS6" s="27" t="s">
        <v>112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16361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102061.94000000002</v>
      </c>
      <c r="BQ7" s="15" t="s">
        <v>40</v>
      </c>
      <c r="BR7" s="79">
        <f>BR5</f>
        <v>24942.68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S17"/>
  <sheetViews>
    <sheetView showGridLines="0" zoomScale="85" zoomScaleNormal="85" workbookViewId="0">
      <selection activeCell="A7" sqref="A7"/>
    </sheetView>
  </sheetViews>
  <sheetFormatPr defaultColWidth="9.140625" defaultRowHeight="14.25"/>
  <cols>
    <col min="1" max="1" width="5.7109375" style="1" bestFit="1" customWidth="1"/>
    <col min="2" max="2" width="32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3" width="12.28515625" style="35" customWidth="1"/>
    <col min="34" max="34" width="13.5703125" style="35" bestFit="1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2.85546875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6" style="1" bestFit="1" customWidth="1"/>
    <col min="46" max="46" width="16.85546875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8.85546875" style="1" bestFit="1" customWidth="1"/>
    <col min="51" max="51" width="13.7109375" style="1" bestFit="1" customWidth="1"/>
    <col min="52" max="52" width="18.42578125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.85546875" style="1" bestFit="1" customWidth="1"/>
    <col min="57" max="57" width="22.85546875" style="1" bestFit="1" customWidth="1"/>
    <col min="58" max="58" width="15.570312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3" style="1" bestFit="1" customWidth="1"/>
    <col min="65" max="65" width="13.5703125" style="1" bestFit="1" customWidth="1"/>
    <col min="66" max="66" width="16.28515625" style="1" bestFit="1" customWidth="1"/>
    <col min="67" max="67" width="14" style="1" bestFit="1" customWidth="1"/>
    <col min="68" max="68" width="13.85546875" style="1" bestFit="1" customWidth="1"/>
    <col min="69" max="69" width="15" style="1" bestFit="1" customWidth="1"/>
    <col min="70" max="70" width="11.7109375" style="1" bestFit="1" customWidth="1"/>
    <col min="71" max="71" width="11" style="1" bestFit="1" customWidth="1"/>
    <col min="72" max="16384" width="9.140625" style="1"/>
  </cols>
  <sheetData>
    <row r="1" spans="1:71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34" t="s">
        <v>35</v>
      </c>
      <c r="B3" s="134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143</v>
      </c>
      <c r="AS4" s="18" t="s">
        <v>144</v>
      </c>
      <c r="AT4" s="18" t="s">
        <v>145</v>
      </c>
      <c r="AU4" s="21" t="s">
        <v>146</v>
      </c>
      <c r="AV4" s="21" t="s">
        <v>147</v>
      </c>
      <c r="AW4" s="21" t="s">
        <v>148</v>
      </c>
      <c r="AX4" s="22" t="s">
        <v>149</v>
      </c>
      <c r="AY4" s="22" t="s">
        <v>150</v>
      </c>
      <c r="AZ4" s="22" t="s">
        <v>151</v>
      </c>
      <c r="BA4" s="22" t="s">
        <v>152</v>
      </c>
      <c r="BB4" s="23" t="s">
        <v>153</v>
      </c>
      <c r="BC4" s="22" t="s">
        <v>154</v>
      </c>
      <c r="BD4" s="21" t="s">
        <v>155</v>
      </c>
      <c r="BE4" s="21" t="s">
        <v>165</v>
      </c>
      <c r="BF4" s="18" t="s">
        <v>156</v>
      </c>
      <c r="BG4" s="18" t="s">
        <v>157</v>
      </c>
      <c r="BH4" s="24" t="s">
        <v>158</v>
      </c>
      <c r="BI4" s="24" t="s">
        <v>159</v>
      </c>
      <c r="BJ4" s="24" t="s">
        <v>160</v>
      </c>
      <c r="BK4" s="24" t="s">
        <v>161</v>
      </c>
      <c r="BL4" s="24" t="s">
        <v>186</v>
      </c>
      <c r="BM4" s="24" t="s">
        <v>187</v>
      </c>
      <c r="BN4" s="24" t="s">
        <v>188</v>
      </c>
      <c r="BO4" s="24" t="s">
        <v>162</v>
      </c>
      <c r="BP4" s="25" t="s">
        <v>163</v>
      </c>
      <c r="BQ4" s="25" t="s">
        <v>29</v>
      </c>
      <c r="BR4" s="26" t="s">
        <v>164</v>
      </c>
      <c r="BS4" s="26" t="s">
        <v>167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184</v>
      </c>
      <c r="BH5" s="30">
        <v>0.12</v>
      </c>
      <c r="BI5" s="27">
        <f>IF(OR($D$3=1,$D$3=4),ROUND((BF5*BH5)/2,2),0)</f>
        <v>2068.81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2068.81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112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40</v>
      </c>
      <c r="AS6" s="27">
        <v>3214</v>
      </c>
      <c r="AT6" s="27">
        <f>AR6*AS6</f>
        <v>128560</v>
      </c>
      <c r="AU6" s="27">
        <v>2</v>
      </c>
      <c r="AV6" s="27">
        <v>7</v>
      </c>
      <c r="AW6" s="27">
        <v>9</v>
      </c>
      <c r="AX6" s="27">
        <f>AT6</f>
        <v>128560</v>
      </c>
      <c r="AY6" s="27">
        <f>ROUND((AX6*AU6)/100,2)</f>
        <v>2571.1999999999998</v>
      </c>
      <c r="AZ6" s="27">
        <f>AT6-AY6</f>
        <v>125988.8</v>
      </c>
      <c r="BA6" s="27">
        <f>ROUND((AZ6*AV6)/100,2)</f>
        <v>8819.2199999999993</v>
      </c>
      <c r="BB6" s="27">
        <f>ROUND(AZ6-BA6,2)</f>
        <v>117169.58</v>
      </c>
      <c r="BC6" s="27">
        <f>ROUND((BB6*AW6)/100,2)</f>
        <v>10545.26</v>
      </c>
      <c r="BD6" s="27">
        <f>AY6+BA6+BC6</f>
        <v>21935.68</v>
      </c>
      <c r="BE6" s="27">
        <f>ROUND(BD6/AR6,2)</f>
        <v>548.39</v>
      </c>
      <c r="BF6" s="27">
        <f>(AT6-BD6)</f>
        <v>106624.32000000001</v>
      </c>
      <c r="BG6" s="27">
        <v>772213</v>
      </c>
      <c r="BH6" s="30">
        <v>0.05</v>
      </c>
      <c r="BI6" s="27">
        <f>IF(OR($D$3=1,$D$3=4),ROUND((BF6*BH6)/2,2),0)</f>
        <v>2665.61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2665.61</v>
      </c>
      <c r="BM6" s="30">
        <v>0.06</v>
      </c>
      <c r="BN6" s="27">
        <f>IF($D$3=5,ROUND(((BF6*BM6)/2),2),0)</f>
        <v>0</v>
      </c>
      <c r="BO6" s="27">
        <f>BI6+BJ6+BK6+BL6+BN6</f>
        <v>5331.22</v>
      </c>
      <c r="BP6" s="27">
        <f t="shared" si="0"/>
        <v>111955.54000000001</v>
      </c>
      <c r="BQ6" s="27">
        <v>120</v>
      </c>
      <c r="BR6" s="27">
        <f t="shared" si="1"/>
        <v>106624.32000000001</v>
      </c>
      <c r="BS6" s="27" t="s">
        <v>112</v>
      </c>
    </row>
    <row r="7" spans="1:71" ht="14.25" customHeight="1">
      <c r="A7" s="27">
        <v>3</v>
      </c>
      <c r="B7" s="85" t="s">
        <v>117</v>
      </c>
      <c r="C7" s="80">
        <v>0</v>
      </c>
      <c r="D7" s="85" t="s">
        <v>117</v>
      </c>
      <c r="E7" s="106" t="s">
        <v>171</v>
      </c>
      <c r="F7" s="106" t="s">
        <v>171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112</v>
      </c>
      <c r="AR7" s="27">
        <v>50</v>
      </c>
      <c r="AS7" s="27">
        <v>6754</v>
      </c>
      <c r="AT7" s="27">
        <f>AR7*AS7</f>
        <v>337700</v>
      </c>
      <c r="AU7" s="27">
        <v>4</v>
      </c>
      <c r="AV7" s="27">
        <v>6</v>
      </c>
      <c r="AW7" s="27">
        <v>8</v>
      </c>
      <c r="AX7" s="27">
        <f>AT7</f>
        <v>337700</v>
      </c>
      <c r="AY7" s="27">
        <f>ROUND((AX7*AU7)/100,2)</f>
        <v>13508</v>
      </c>
      <c r="AZ7" s="27">
        <f>AT7-AY7</f>
        <v>324192</v>
      </c>
      <c r="BA7" s="27">
        <f>ROUND((AZ7*AV7)/100,2)</f>
        <v>19451.52</v>
      </c>
      <c r="BB7" s="27">
        <f>ROUND(AZ7-BA7,2)</f>
        <v>304740.47999999998</v>
      </c>
      <c r="BC7" s="27">
        <f>ROUND((BB7*AW7)/100,2)</f>
        <v>24379.24</v>
      </c>
      <c r="BD7" s="27">
        <f>AY7+BA7+BC7</f>
        <v>57338.760000000009</v>
      </c>
      <c r="BE7" s="27">
        <f>ROUND(BD7/AR7,2)</f>
        <v>1146.78</v>
      </c>
      <c r="BF7" s="27">
        <f>(AT7-BD7)</f>
        <v>280361.24</v>
      </c>
      <c r="BG7" s="27">
        <v>772213</v>
      </c>
      <c r="BH7" s="30">
        <v>0.05</v>
      </c>
      <c r="BI7" s="27">
        <f>IF(OR($D$3=1,$D$3=4),ROUND((BF7*BH7)/2,2),0)</f>
        <v>7009.03</v>
      </c>
      <c r="BJ7" s="27">
        <f>IF($D$3=1,ROUND(((BF7*BH7)/2),2),0)</f>
        <v>0</v>
      </c>
      <c r="BK7" s="27">
        <f>IF($D$3=2,ROUND(((BF7*BH7)),2),0)</f>
        <v>0</v>
      </c>
      <c r="BL7" s="27">
        <f>IF($D$3=4,ROUND(((BF7*BH7)/2),2),0)</f>
        <v>7009.03</v>
      </c>
      <c r="BM7" s="30">
        <v>0.06</v>
      </c>
      <c r="BN7" s="27">
        <f>IF($D$3=5,ROUND(((BF7*BM7)/2),2),0)</f>
        <v>0</v>
      </c>
      <c r="BO7" s="27">
        <f>BI7+BJ7+BK7+BL7+BN7</f>
        <v>14018.06</v>
      </c>
      <c r="BP7" s="27">
        <f t="shared" ref="BP7" si="2">BF7+BO7</f>
        <v>294379.3</v>
      </c>
      <c r="BQ7" s="27">
        <v>120</v>
      </c>
      <c r="BR7" s="27">
        <f t="shared" ref="BR7" si="3">BF7*$N$3</f>
        <v>280361.24</v>
      </c>
      <c r="BS7" s="27" t="s">
        <v>112</v>
      </c>
    </row>
    <row r="8" spans="1:71" ht="14.25" customHeight="1"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>
        <f>SUM(BD5:BD7)</f>
        <v>81814.310000000012</v>
      </c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SUM(BP5:BP7)</f>
        <v>444952.58999999997</v>
      </c>
      <c r="BQ8" s="15" t="s">
        <v>40</v>
      </c>
      <c r="BR8" s="79">
        <f>SUM(BR5:BR7)</f>
        <v>421465.69</v>
      </c>
    </row>
    <row r="9" spans="1:71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  <row r="17" spans="1:2">
      <c r="A17" s="11"/>
      <c r="B17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S16"/>
  <sheetViews>
    <sheetView showGridLines="0" zoomScale="85" zoomScaleNormal="85" workbookViewId="0">
      <selection activeCell="F19" sqref="F19"/>
    </sheetView>
  </sheetViews>
  <sheetFormatPr defaultColWidth="9.140625" defaultRowHeight="14.25"/>
  <cols>
    <col min="1" max="1" width="5.7109375" style="1" bestFit="1" customWidth="1"/>
    <col min="2" max="2" width="32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3" width="12.28515625" style="35" customWidth="1"/>
    <col min="34" max="34" width="13.5703125" style="35" bestFit="1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2.85546875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6" style="1" bestFit="1" customWidth="1"/>
    <col min="46" max="46" width="16.85546875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8.85546875" style="1" bestFit="1" customWidth="1"/>
    <col min="51" max="51" width="13.7109375" style="1" bestFit="1" customWidth="1"/>
    <col min="52" max="52" width="18.42578125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.85546875" style="1" bestFit="1" customWidth="1"/>
    <col min="57" max="57" width="22.85546875" style="1" bestFit="1" customWidth="1"/>
    <col min="58" max="58" width="15.570312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3" style="1" bestFit="1" customWidth="1"/>
    <col min="65" max="65" width="13.5703125" style="1" bestFit="1" customWidth="1"/>
    <col min="66" max="66" width="16.28515625" style="1" bestFit="1" customWidth="1"/>
    <col min="67" max="67" width="14" style="1" bestFit="1" customWidth="1"/>
    <col min="68" max="68" width="13.85546875" style="1" bestFit="1" customWidth="1"/>
    <col min="69" max="69" width="15" style="1" bestFit="1" customWidth="1"/>
    <col min="70" max="70" width="11.7109375" style="1" bestFit="1" customWidth="1"/>
    <col min="71" max="71" width="11" style="1" bestFit="1" customWidth="1"/>
    <col min="72" max="16384" width="9.140625" style="1"/>
  </cols>
  <sheetData>
    <row r="1" spans="1:71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7"/>
      <c r="AD1" s="127"/>
      <c r="AE1" s="127"/>
      <c r="AF1" s="127"/>
      <c r="AG1" s="32"/>
      <c r="AH1" s="32"/>
    </row>
    <row r="2" spans="1:71" ht="18">
      <c r="A2" s="127" t="s">
        <v>30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32"/>
      <c r="AH2" s="32"/>
    </row>
    <row r="3" spans="1:71" ht="19.899999999999999" customHeight="1" thickBot="1">
      <c r="A3" s="134" t="s">
        <v>35</v>
      </c>
      <c r="B3" s="134"/>
      <c r="C3" s="128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143</v>
      </c>
      <c r="AS4" s="18" t="s">
        <v>144</v>
      </c>
      <c r="AT4" s="18" t="s">
        <v>145</v>
      </c>
      <c r="AU4" s="21" t="s">
        <v>146</v>
      </c>
      <c r="AV4" s="21" t="s">
        <v>147</v>
      </c>
      <c r="AW4" s="21" t="s">
        <v>148</v>
      </c>
      <c r="AX4" s="22" t="s">
        <v>149</v>
      </c>
      <c r="AY4" s="22" t="s">
        <v>150</v>
      </c>
      <c r="AZ4" s="22" t="s">
        <v>151</v>
      </c>
      <c r="BA4" s="22" t="s">
        <v>152</v>
      </c>
      <c r="BB4" s="23" t="s">
        <v>153</v>
      </c>
      <c r="BC4" s="22" t="s">
        <v>154</v>
      </c>
      <c r="BD4" s="21" t="s">
        <v>155</v>
      </c>
      <c r="BE4" s="21" t="s">
        <v>165</v>
      </c>
      <c r="BF4" s="18" t="s">
        <v>156</v>
      </c>
      <c r="BG4" s="18" t="s">
        <v>157</v>
      </c>
      <c r="BH4" s="24" t="s">
        <v>158</v>
      </c>
      <c r="BI4" s="24" t="s">
        <v>159</v>
      </c>
      <c r="BJ4" s="24" t="s">
        <v>160</v>
      </c>
      <c r="BK4" s="24" t="s">
        <v>161</v>
      </c>
      <c r="BL4" s="24" t="s">
        <v>186</v>
      </c>
      <c r="BM4" s="24" t="s">
        <v>187</v>
      </c>
      <c r="BN4" s="24" t="s">
        <v>188</v>
      </c>
      <c r="BO4" s="24" t="s">
        <v>162</v>
      </c>
      <c r="BP4" s="25" t="s">
        <v>163</v>
      </c>
      <c r="BQ4" s="25" t="s">
        <v>29</v>
      </c>
      <c r="BR4" s="26" t="s">
        <v>164</v>
      </c>
      <c r="BS4" s="26" t="s">
        <v>167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184</v>
      </c>
      <c r="BH5" s="30">
        <v>0.12</v>
      </c>
      <c r="BI5" s="27">
        <f>IF(OR($D$3=1,$D$3=4),ROUND((BF5*BH5)/2,2),0)</f>
        <v>2068.81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2068.81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112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40</v>
      </c>
      <c r="AS6" s="27">
        <v>3214</v>
      </c>
      <c r="AT6" s="27">
        <f>AR6*AS6</f>
        <v>128560</v>
      </c>
      <c r="AU6" s="27">
        <v>2</v>
      </c>
      <c r="AV6" s="27">
        <v>7</v>
      </c>
      <c r="AW6" s="27">
        <v>9</v>
      </c>
      <c r="AX6" s="27">
        <f>AT6</f>
        <v>128560</v>
      </c>
      <c r="AY6" s="27">
        <f>ROUND((AX6*AU6)/100,2)</f>
        <v>2571.1999999999998</v>
      </c>
      <c r="AZ6" s="27">
        <f>AT6-AY6</f>
        <v>125988.8</v>
      </c>
      <c r="BA6" s="27">
        <f>ROUND((AZ6*AV6)/100,2)</f>
        <v>8819.2199999999993</v>
      </c>
      <c r="BB6" s="27">
        <f>ROUND(AZ6-BA6,2)</f>
        <v>117169.58</v>
      </c>
      <c r="BC6" s="27">
        <f>ROUND((BB6*AW6)/100,2)</f>
        <v>10545.26</v>
      </c>
      <c r="BD6" s="27">
        <f>AY6+BA6+BC6</f>
        <v>21935.68</v>
      </c>
      <c r="BE6" s="27">
        <f>ROUND(BD6/AR6,2)</f>
        <v>548.39</v>
      </c>
      <c r="BF6" s="27">
        <f>(AT6-BD6)</f>
        <v>106624.32000000001</v>
      </c>
      <c r="BG6" s="27">
        <v>772213</v>
      </c>
      <c r="BH6" s="30">
        <v>0.05</v>
      </c>
      <c r="BI6" s="27">
        <f>IF(OR($D$3=1,$D$3=4),ROUND((BF6*BH6)/2,2),0)</f>
        <v>2665.61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2665.61</v>
      </c>
      <c r="BM6" s="30">
        <v>0.06</v>
      </c>
      <c r="BN6" s="27">
        <f>IF($D$3=5,ROUND(((BF6*BM6)/2),2),0)</f>
        <v>0</v>
      </c>
      <c r="BO6" s="27">
        <f>BI6+BJ6+BK6+BL6+BN6</f>
        <v>5331.22</v>
      </c>
      <c r="BP6" s="27">
        <f t="shared" si="0"/>
        <v>111955.54000000001</v>
      </c>
      <c r="BQ6" s="27">
        <v>120</v>
      </c>
      <c r="BR6" s="27">
        <f t="shared" si="1"/>
        <v>106624.32000000001</v>
      </c>
      <c r="BS6" s="27" t="s">
        <v>112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24475.55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150573.29</v>
      </c>
      <c r="BQ7" s="15" t="s">
        <v>40</v>
      </c>
      <c r="BR7" s="79">
        <f>BR5</f>
        <v>34480.129999999997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AN4" sqref="A4:AN4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3" style="1" customWidth="1"/>
    <col min="6" max="6" width="12.5703125" style="1" bestFit="1" customWidth="1"/>
    <col min="7" max="7" width="21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2" width="13.8554687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4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6" width="12.140625" style="1" customWidth="1"/>
    <col min="67" max="16384" width="9.140625" style="1"/>
  </cols>
  <sheetData>
    <row r="1" spans="1:66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0"/>
      <c r="AD1" s="120"/>
      <c r="AE1" s="120"/>
      <c r="AF1" s="120"/>
      <c r="AG1" s="32"/>
      <c r="AH1" s="32"/>
    </row>
    <row r="2" spans="1:66" ht="18">
      <c r="A2" s="120" t="s">
        <v>119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32"/>
      <c r="AH2" s="32"/>
    </row>
    <row r="3" spans="1:66" ht="15" thickBot="1">
      <c r="A3" s="134" t="s">
        <v>35</v>
      </c>
      <c r="B3" s="134"/>
      <c r="C3" s="121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120</v>
      </c>
      <c r="H4" s="18" t="s">
        <v>121</v>
      </c>
      <c r="I4" s="18" t="s">
        <v>122</v>
      </c>
      <c r="J4" s="21" t="s">
        <v>123</v>
      </c>
      <c r="K4" s="21" t="s">
        <v>124</v>
      </c>
      <c r="L4" s="21" t="s">
        <v>125</v>
      </c>
      <c r="M4" s="22" t="s">
        <v>126</v>
      </c>
      <c r="N4" s="22" t="s">
        <v>127</v>
      </c>
      <c r="O4" s="22" t="s">
        <v>128</v>
      </c>
      <c r="P4" s="22" t="s">
        <v>129</v>
      </c>
      <c r="Q4" s="23" t="s">
        <v>130</v>
      </c>
      <c r="R4" s="22" t="s">
        <v>131</v>
      </c>
      <c r="S4" s="21" t="s">
        <v>132</v>
      </c>
      <c r="T4" s="21" t="s">
        <v>141</v>
      </c>
      <c r="U4" s="18" t="s">
        <v>133</v>
      </c>
      <c r="V4" s="18" t="s">
        <v>134</v>
      </c>
      <c r="W4" s="24" t="s">
        <v>135</v>
      </c>
      <c r="X4" s="24" t="s">
        <v>136</v>
      </c>
      <c r="Y4" s="24" t="s">
        <v>137</v>
      </c>
      <c r="Z4" s="24" t="s">
        <v>138</v>
      </c>
      <c r="AA4" s="24" t="s">
        <v>139</v>
      </c>
      <c r="AB4" s="25" t="s">
        <v>140</v>
      </c>
      <c r="AC4" s="25" t="s">
        <v>29</v>
      </c>
      <c r="AD4" s="26" t="s">
        <v>142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166</v>
      </c>
      <c r="AO4" s="20" t="s">
        <v>143</v>
      </c>
      <c r="AP4" s="103" t="s">
        <v>144</v>
      </c>
      <c r="AQ4" s="103" t="s">
        <v>145</v>
      </c>
      <c r="AR4" s="96" t="s">
        <v>146</v>
      </c>
      <c r="AS4" s="96" t="s">
        <v>147</v>
      </c>
      <c r="AT4" s="96" t="s">
        <v>148</v>
      </c>
      <c r="AU4" s="98" t="s">
        <v>149</v>
      </c>
      <c r="AV4" s="98" t="s">
        <v>150</v>
      </c>
      <c r="AW4" s="98" t="s">
        <v>151</v>
      </c>
      <c r="AX4" s="98" t="s">
        <v>152</v>
      </c>
      <c r="AY4" s="98" t="s">
        <v>153</v>
      </c>
      <c r="AZ4" s="98" t="s">
        <v>154</v>
      </c>
      <c r="BA4" s="105" t="s">
        <v>155</v>
      </c>
      <c r="BB4" s="21" t="s">
        <v>165</v>
      </c>
      <c r="BC4" s="103" t="s">
        <v>156</v>
      </c>
      <c r="BD4" s="103" t="s">
        <v>157</v>
      </c>
      <c r="BE4" s="104" t="s">
        <v>158</v>
      </c>
      <c r="BF4" s="104" t="s">
        <v>159</v>
      </c>
      <c r="BG4" s="104" t="s">
        <v>160</v>
      </c>
      <c r="BH4" s="104" t="s">
        <v>161</v>
      </c>
      <c r="BI4" s="104" t="s">
        <v>162</v>
      </c>
      <c r="BJ4" s="102" t="s">
        <v>163</v>
      </c>
      <c r="BK4" s="102" t="s">
        <v>29</v>
      </c>
      <c r="BL4" s="102" t="s">
        <v>164</v>
      </c>
      <c r="BM4" s="26" t="s">
        <v>167</v>
      </c>
      <c r="BN4" s="26" t="s">
        <v>169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v>20</v>
      </c>
      <c r="AP5" s="27">
        <f>SO!H5</f>
        <v>1234</v>
      </c>
      <c r="AQ5" s="27">
        <f>AO5*AP5</f>
        <v>24680</v>
      </c>
      <c r="AR5" s="27">
        <f>SO!J5</f>
        <v>1</v>
      </c>
      <c r="AS5" s="27">
        <f>SO!K5</f>
        <v>2</v>
      </c>
      <c r="AT5" s="27">
        <f>SO!L5</f>
        <v>4</v>
      </c>
      <c r="AU5" s="27">
        <f>AQ5</f>
        <v>24680</v>
      </c>
      <c r="AV5" s="27">
        <f>ROUND((AU5*AR5)/100,2)</f>
        <v>246.8</v>
      </c>
      <c r="AW5" s="27">
        <f>AQ5-AV5</f>
        <v>24433.200000000001</v>
      </c>
      <c r="AX5" s="27">
        <f>ROUND((AW5*AS5)/100,2)</f>
        <v>488.66</v>
      </c>
      <c r="AY5" s="27">
        <f>ROUND(AW5-AX5,2)</f>
        <v>23944.54</v>
      </c>
      <c r="AZ5" s="27">
        <f>ROUND((AY5*AT5)/100,2)</f>
        <v>957.78</v>
      </c>
      <c r="BA5" s="27">
        <f>AV5+AX5+AZ5</f>
        <v>1693.24</v>
      </c>
      <c r="BB5" s="27">
        <f>ROUND(BA5/AO5,2)</f>
        <v>84.66</v>
      </c>
      <c r="BC5" s="27">
        <f>(AQ5-BA5)</f>
        <v>22986.76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2758.41</v>
      </c>
      <c r="BI5" s="27">
        <f>BF5+BG5+BH5</f>
        <v>2758.41</v>
      </c>
      <c r="BJ5" s="27">
        <f>BC5+BI5</f>
        <v>25745.17</v>
      </c>
      <c r="BK5" s="27">
        <v>120</v>
      </c>
      <c r="BL5" s="27">
        <f>BC5*SO!$N$3</f>
        <v>22986.76</v>
      </c>
      <c r="BM5" s="27" t="s">
        <v>168</v>
      </c>
      <c r="BN5" s="27" t="s">
        <v>170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v>30</v>
      </c>
      <c r="AP6" s="27">
        <f>SO!H6</f>
        <v>3214</v>
      </c>
      <c r="AQ6" s="27">
        <f>AO6*AP6</f>
        <v>96420</v>
      </c>
      <c r="AR6" s="27">
        <f>SO!J6</f>
        <v>2</v>
      </c>
      <c r="AS6" s="27">
        <f>SO!K6</f>
        <v>7</v>
      </c>
      <c r="AT6" s="27">
        <f>SO!L6</f>
        <v>9</v>
      </c>
      <c r="AU6" s="27">
        <f>AQ6</f>
        <v>96420</v>
      </c>
      <c r="AV6" s="27">
        <f>ROUND((AU6*AR6)/100,2)</f>
        <v>1928.4</v>
      </c>
      <c r="AW6" s="27">
        <f>AQ6-AV6</f>
        <v>94491.6</v>
      </c>
      <c r="AX6" s="27">
        <f>ROUND((AW6*AS6)/100,2)</f>
        <v>6614.41</v>
      </c>
      <c r="AY6" s="27">
        <f>ROUND(AW6-AX6,2)</f>
        <v>87877.19</v>
      </c>
      <c r="AZ6" s="27">
        <f>ROUND((AY6*AT6)/100,2)</f>
        <v>7908.95</v>
      </c>
      <c r="BA6" s="27">
        <f>AV6+AX6+AZ6</f>
        <v>16451.759999999998</v>
      </c>
      <c r="BB6" s="27">
        <f>ROUND(BA6/AO6,2)</f>
        <v>548.39</v>
      </c>
      <c r="BC6" s="27">
        <f>(AQ6-BA6)</f>
        <v>79968.240000000005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3998.41</v>
      </c>
      <c r="BI6" s="27">
        <f>BF6+BG6+BH6</f>
        <v>3998.41</v>
      </c>
      <c r="BJ6" s="27">
        <f>BC6+BI6</f>
        <v>83966.650000000009</v>
      </c>
      <c r="BK6" s="27">
        <v>120</v>
      </c>
      <c r="BL6" s="27">
        <f>BC6*SO!$N$3</f>
        <v>79968.240000000005</v>
      </c>
      <c r="BM6" s="27" t="s">
        <v>168</v>
      </c>
      <c r="BN6" s="27" t="s">
        <v>170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18145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109711.82</v>
      </c>
      <c r="BK7" s="15" t="s">
        <v>40</v>
      </c>
      <c r="BL7" s="79">
        <f>SUM(BL5:BL6)</f>
        <v>102955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U16"/>
  <sheetViews>
    <sheetView showGridLines="0" topLeftCell="AX1" zoomScale="85" zoomScaleNormal="85" workbookViewId="0">
      <selection activeCell="BF19" sqref="BF19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0.85546875" style="1" bestFit="1" customWidth="1"/>
    <col min="57" max="57" width="17.85546875" style="1" bestFit="1" customWidth="1"/>
    <col min="58" max="58" width="11.85546875" style="1" customWidth="1"/>
    <col min="59" max="59" width="1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7" width="9.140625" style="1"/>
    <col min="68" max="68" width="10.5703125" style="1" bestFit="1" customWidth="1"/>
    <col min="69" max="69" width="15" style="1" bestFit="1" customWidth="1"/>
    <col min="70" max="70" width="9.140625" style="1"/>
    <col min="71" max="71" width="12.85546875" style="1" bestFit="1" customWidth="1"/>
    <col min="72" max="72" width="11" style="1" bestFit="1" customWidth="1"/>
    <col min="73" max="73" width="12.7109375" style="1" customWidth="1"/>
    <col min="74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1234</v>
      </c>
      <c r="AT5" s="27">
        <f>AR5*AS5</f>
        <v>12340</v>
      </c>
      <c r="AU5" s="27">
        <v>10</v>
      </c>
      <c r="AV5" s="27">
        <v>12</v>
      </c>
      <c r="AW5" s="27">
        <v>14</v>
      </c>
      <c r="AX5" s="27">
        <f>AT5</f>
        <v>12340</v>
      </c>
      <c r="AY5" s="27">
        <f>ROUND((AX5*AU5)/100,2)</f>
        <v>1234</v>
      </c>
      <c r="AZ5" s="27">
        <f>AT5-AY5</f>
        <v>11106</v>
      </c>
      <c r="BA5" s="27">
        <f>ROUND((AZ5*AV5)/100,2)</f>
        <v>1332.72</v>
      </c>
      <c r="BB5" s="27">
        <f>ROUND(AZ5-BA5,2)</f>
        <v>9773.2800000000007</v>
      </c>
      <c r="BC5" s="27">
        <f>ROUND((BB5*AW5)/100,2)</f>
        <v>1368.26</v>
      </c>
      <c r="BD5" s="27">
        <f>AY5+BA5+BC5</f>
        <v>3934.9800000000005</v>
      </c>
      <c r="BE5" s="27">
        <f>ROUND(BD5/AR5,2)</f>
        <v>393.5</v>
      </c>
      <c r="BF5" s="27">
        <f>(AT5-BD5)</f>
        <v>8405.02</v>
      </c>
      <c r="BG5" s="27" t="s">
        <v>184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1008.6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1008.6</v>
      </c>
      <c r="BP5" s="27">
        <f t="shared" ref="BP5:BP6" si="0">BF5+BO5</f>
        <v>9413.6200000000008</v>
      </c>
      <c r="BQ5" s="27">
        <v>120</v>
      </c>
      <c r="BR5" s="27">
        <f t="shared" ref="BR5:BR6" si="1">BF5*$N$3</f>
        <v>8405.02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3214</v>
      </c>
      <c r="AT6" s="27">
        <f>AR6*AS6</f>
        <v>64280</v>
      </c>
      <c r="AU6" s="27">
        <v>12</v>
      </c>
      <c r="AV6" s="27">
        <v>17</v>
      </c>
      <c r="AW6" s="27">
        <v>19</v>
      </c>
      <c r="AX6" s="27">
        <f>AT6</f>
        <v>64280</v>
      </c>
      <c r="AY6" s="27">
        <f>ROUND((AX6*AU6)/100,2)</f>
        <v>7713.6</v>
      </c>
      <c r="AZ6" s="27">
        <f>AT6-AY6</f>
        <v>56566.400000000001</v>
      </c>
      <c r="BA6" s="27">
        <f>ROUND((AZ6*AV6)/100,2)</f>
        <v>9616.2900000000009</v>
      </c>
      <c r="BB6" s="27">
        <f>ROUND(AZ6-BA6,2)</f>
        <v>46950.11</v>
      </c>
      <c r="BC6" s="27">
        <f>ROUND((BB6*AW6)/100,2)</f>
        <v>8920.52</v>
      </c>
      <c r="BD6" s="27">
        <f>AY6+BA6+BC6</f>
        <v>26250.41</v>
      </c>
      <c r="BE6" s="27">
        <f>ROUND(BD6/AR6,2)</f>
        <v>1312.52</v>
      </c>
      <c r="BF6" s="27">
        <f>(AT6-BD6)</f>
        <v>38029.589999999997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1901.48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1901.48</v>
      </c>
      <c r="BP6" s="27">
        <f t="shared" si="0"/>
        <v>39931.07</v>
      </c>
      <c r="BQ6" s="27">
        <v>120</v>
      </c>
      <c r="BR6" s="27">
        <f t="shared" si="1"/>
        <v>38029.589999999997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30185.39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49344.69</v>
      </c>
      <c r="BQ7" s="15" t="s">
        <v>40</v>
      </c>
      <c r="BR7" s="79">
        <f>BR5</f>
        <v>8405.02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U16"/>
  <sheetViews>
    <sheetView showGridLines="0" zoomScale="85" zoomScaleNormal="85" workbookViewId="0">
      <selection activeCell="B12" sqref="B12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0.85546875" style="1" bestFit="1" customWidth="1"/>
    <col min="57" max="57" width="17.85546875" style="1" bestFit="1" customWidth="1"/>
    <col min="58" max="58" width="11.85546875" style="1" customWidth="1"/>
    <col min="59" max="59" width="1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7" width="9.140625" style="1"/>
    <col min="68" max="68" width="10.5703125" style="1" bestFit="1" customWidth="1"/>
    <col min="69" max="69" width="15" style="1" bestFit="1" customWidth="1"/>
    <col min="70" max="70" width="9.140625" style="1"/>
    <col min="71" max="71" width="12.85546875" style="1" bestFit="1" customWidth="1"/>
    <col min="72" max="72" width="11" style="1" bestFit="1" customWidth="1"/>
    <col min="73" max="73" width="12.7109375" style="1" customWidth="1"/>
    <col min="74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2150</v>
      </c>
      <c r="AT5" s="27">
        <f>AR5*AS5</f>
        <v>21500</v>
      </c>
      <c r="AU5" s="27">
        <v>1</v>
      </c>
      <c r="AV5" s="27">
        <v>2</v>
      </c>
      <c r="AW5" s="27">
        <v>4</v>
      </c>
      <c r="AX5" s="27">
        <f>AT5</f>
        <v>21500</v>
      </c>
      <c r="AY5" s="27">
        <f>ROUND((AX5*AU5)/100,2)</f>
        <v>215</v>
      </c>
      <c r="AZ5" s="27">
        <f>AT5-AY5</f>
        <v>21285</v>
      </c>
      <c r="BA5" s="27">
        <f>ROUND((AZ5*AV5)/100,2)</f>
        <v>425.7</v>
      </c>
      <c r="BB5" s="27">
        <f>ROUND(AZ5-BA5,2)</f>
        <v>20859.3</v>
      </c>
      <c r="BC5" s="27">
        <f>ROUND((BB5*AW5)/100,2)</f>
        <v>834.37</v>
      </c>
      <c r="BD5" s="27">
        <f>AY5+BA5+BC5</f>
        <v>1475.0700000000002</v>
      </c>
      <c r="BE5" s="27">
        <f>ROUND(BD5/AR5,2)</f>
        <v>147.51</v>
      </c>
      <c r="BF5" s="27">
        <f>(AT5-BD5)</f>
        <v>20024.93</v>
      </c>
      <c r="BG5" s="27" t="s">
        <v>184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2402.9899999999998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2402.9899999999998</v>
      </c>
      <c r="BP5" s="27">
        <f t="shared" ref="BP5:BP6" si="0">BF5+BO5</f>
        <v>22427.919999999998</v>
      </c>
      <c r="BQ5" s="27">
        <v>120</v>
      </c>
      <c r="BR5" s="27">
        <f t="shared" ref="BR5:BR6" si="1">BF5*$N$3</f>
        <v>20024.93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3265</v>
      </c>
      <c r="AT6" s="27">
        <f>AR6*AS6</f>
        <v>65300</v>
      </c>
      <c r="AU6" s="27">
        <v>2</v>
      </c>
      <c r="AV6" s="27">
        <v>7</v>
      </c>
      <c r="AW6" s="27">
        <v>9</v>
      </c>
      <c r="AX6" s="27">
        <f>AT6</f>
        <v>65300</v>
      </c>
      <c r="AY6" s="27">
        <f>ROUND((AX6*AU6)/100,2)</f>
        <v>1306</v>
      </c>
      <c r="AZ6" s="27">
        <f>AT6-AY6</f>
        <v>63994</v>
      </c>
      <c r="BA6" s="27">
        <f>ROUND((AZ6*AV6)/100,2)</f>
        <v>4479.58</v>
      </c>
      <c r="BB6" s="27">
        <f>ROUND(AZ6-BA6,2)</f>
        <v>59514.42</v>
      </c>
      <c r="BC6" s="27">
        <f>ROUND((BB6*AW6)/100,2)</f>
        <v>5356.3</v>
      </c>
      <c r="BD6" s="27">
        <f>AY6+BA6+BC6</f>
        <v>11141.880000000001</v>
      </c>
      <c r="BE6" s="27">
        <f>ROUND(BD6/AR6,2)</f>
        <v>557.09</v>
      </c>
      <c r="BF6" s="27">
        <f>(AT6-BD6)</f>
        <v>54158.119999999995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2707.91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2707.91</v>
      </c>
      <c r="BP6" s="27">
        <f t="shared" si="0"/>
        <v>56866.03</v>
      </c>
      <c r="BQ6" s="27">
        <v>120</v>
      </c>
      <c r="BR6" s="27">
        <f t="shared" si="1"/>
        <v>54158.119999999995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12616.95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79293.95</v>
      </c>
      <c r="BQ7" s="15" t="s">
        <v>40</v>
      </c>
      <c r="BR7" s="79">
        <f>BR5</f>
        <v>20024.93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U16"/>
  <sheetViews>
    <sheetView showGridLines="0" topLeftCell="BD1" zoomScale="85" zoomScaleNormal="85" workbookViewId="0">
      <selection activeCell="BU4" sqref="BU4:BU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0.85546875" style="1" bestFit="1" customWidth="1"/>
    <col min="57" max="57" width="17.85546875" style="1" bestFit="1" customWidth="1"/>
    <col min="58" max="58" width="11.85546875" style="1" customWidth="1"/>
    <col min="59" max="59" width="1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7" width="9.140625" style="1"/>
    <col min="68" max="68" width="10.5703125" style="1" bestFit="1" customWidth="1"/>
    <col min="69" max="69" width="15" style="1" bestFit="1" customWidth="1"/>
    <col min="70" max="70" width="9.140625" style="1"/>
    <col min="71" max="71" width="12.85546875" style="1" bestFit="1" customWidth="1"/>
    <col min="72" max="72" width="11" style="1" bestFit="1" customWidth="1"/>
    <col min="73" max="73" width="12.7109375" style="1" customWidth="1"/>
    <col min="74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9"/>
      <c r="AD1" s="129"/>
      <c r="AE1" s="129"/>
      <c r="AF1" s="129"/>
      <c r="AG1" s="32"/>
      <c r="AH1" s="32"/>
    </row>
    <row r="2" spans="1:73" ht="18">
      <c r="A2" s="129" t="s">
        <v>30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32"/>
      <c r="AH2" s="32"/>
    </row>
    <row r="3" spans="1:73" ht="19.899999999999999" customHeight="1" thickBot="1">
      <c r="A3" s="134" t="s">
        <v>35</v>
      </c>
      <c r="B3" s="134"/>
      <c r="C3" s="130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184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4137.62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50</v>
      </c>
      <c r="AS6" s="27">
        <v>3214</v>
      </c>
      <c r="AT6" s="27">
        <f>AR6*AS6</f>
        <v>160700</v>
      </c>
      <c r="AU6" s="27">
        <v>2</v>
      </c>
      <c r="AV6" s="27">
        <v>7</v>
      </c>
      <c r="AW6" s="27">
        <v>9</v>
      </c>
      <c r="AX6" s="27">
        <f>AT6</f>
        <v>160700</v>
      </c>
      <c r="AY6" s="27">
        <f>ROUND((AX6*AU6)/100,2)</f>
        <v>3214</v>
      </c>
      <c r="AZ6" s="27">
        <f>AT6-AY6</f>
        <v>157486</v>
      </c>
      <c r="BA6" s="27">
        <f>ROUND((AZ6*AV6)/100,2)</f>
        <v>11024.02</v>
      </c>
      <c r="BB6" s="27">
        <f>ROUND(AZ6-BA6,2)</f>
        <v>146461.98000000001</v>
      </c>
      <c r="BC6" s="27">
        <f>ROUND((BB6*AW6)/100,2)</f>
        <v>13181.58</v>
      </c>
      <c r="BD6" s="27">
        <f>AY6+BA6+BC6</f>
        <v>27419.599999999999</v>
      </c>
      <c r="BE6" s="27">
        <f>ROUND(BD6/AR6,2)</f>
        <v>548.39</v>
      </c>
      <c r="BF6" s="27">
        <f>(AT6-BD6)</f>
        <v>133280.4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6664.02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6664.02</v>
      </c>
      <c r="BP6" s="27">
        <f t="shared" si="0"/>
        <v>139944.41999999998</v>
      </c>
      <c r="BQ6" s="27">
        <v>120</v>
      </c>
      <c r="BR6" s="27">
        <f t="shared" si="1"/>
        <v>133280.4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29959.469999999998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178562.16999999998</v>
      </c>
      <c r="BQ7" s="15" t="s">
        <v>40</v>
      </c>
      <c r="BR7" s="79">
        <f>BR5</f>
        <v>34480.129999999997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U8"/>
  <sheetViews>
    <sheetView showGridLines="0" topLeftCell="AF1" zoomScale="85" zoomScaleNormal="85" workbookViewId="0">
      <selection activeCell="AT6" sqref="AT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42" width="9.140625" style="1"/>
    <col min="43" max="43" width="11" style="1" bestFit="1" customWidth="1"/>
    <col min="44" max="49" width="9.140625" style="1"/>
    <col min="50" max="50" width="13.85546875" style="1" bestFit="1" customWidth="1"/>
    <col min="51" max="51" width="9.140625" style="1"/>
    <col min="52" max="52" width="13.5703125" style="1" bestFit="1" customWidth="1"/>
    <col min="53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  <c r="AR5" s="27">
        <v>10</v>
      </c>
      <c r="AS5" s="27">
        <v>2567</v>
      </c>
      <c r="AT5" s="27">
        <f>AR5*AS5</f>
        <v>25670</v>
      </c>
      <c r="AU5" s="27">
        <v>2</v>
      </c>
      <c r="AV5" s="27">
        <v>3</v>
      </c>
      <c r="AW5" s="27">
        <v>5</v>
      </c>
      <c r="AX5" s="27">
        <f>AT5</f>
        <v>25670</v>
      </c>
      <c r="AY5" s="27">
        <f>ROUND((AX5*AU5)/100,2)</f>
        <v>513.4</v>
      </c>
      <c r="AZ5" s="27">
        <f>AT5-AY5</f>
        <v>25156.6</v>
      </c>
      <c r="BA5" s="27">
        <f>ROUND((AZ5*AV5)/100,2)</f>
        <v>754.7</v>
      </c>
      <c r="BB5" s="27">
        <f>ROUND(AZ5-BA5,2)</f>
        <v>24401.9</v>
      </c>
      <c r="BC5" s="27">
        <f>ROUND((BB5*AW5)/100,2)</f>
        <v>1220.0999999999999</v>
      </c>
      <c r="BD5" s="27">
        <f>ROUND(AY5+BA5+BC5,2)</f>
        <v>2488.1999999999998</v>
      </c>
      <c r="BE5" s="27">
        <f>ROUND(BD5/AR5,2)</f>
        <v>248.82</v>
      </c>
      <c r="BF5" s="27">
        <f>(AT5-BD5)</f>
        <v>23181.8</v>
      </c>
      <c r="BG5" s="27" t="s">
        <v>23</v>
      </c>
      <c r="BH5" s="30">
        <v>0.12</v>
      </c>
      <c r="BI5" s="27">
        <f>IF(OR($D$3=1,$D$3=4),ROUND((BF5*BH5)/2,2),0)</f>
        <v>1390.91</v>
      </c>
      <c r="BJ5" s="27">
        <f>IF($D$3=1,ROUND(((BF5*BH5)/2),2),0)</f>
        <v>1390.91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2781.82</v>
      </c>
      <c r="BP5" s="27">
        <f t="shared" ref="BP5:BP6" si="3">BF5+BO5</f>
        <v>25963.62</v>
      </c>
      <c r="BQ5" s="27">
        <v>120</v>
      </c>
      <c r="BR5" s="27">
        <f t="shared" ref="BR5:BR6" si="4">BF5*$N$3</f>
        <v>23181.8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  <c r="AR6" s="27">
        <v>20</v>
      </c>
      <c r="AS6" s="27">
        <v>3265</v>
      </c>
      <c r="AT6" s="27">
        <f>AR6*AS6</f>
        <v>65300</v>
      </c>
      <c r="AU6" s="27">
        <v>5</v>
      </c>
      <c r="AV6" s="27">
        <v>7</v>
      </c>
      <c r="AW6" s="27">
        <v>9</v>
      </c>
      <c r="AX6" s="27">
        <f>AT6</f>
        <v>65300</v>
      </c>
      <c r="AY6" s="27">
        <f>ROUND((AX6*AU6)/100,2)</f>
        <v>3265</v>
      </c>
      <c r="AZ6" s="27">
        <f>AT6-AY6</f>
        <v>62035</v>
      </c>
      <c r="BA6" s="27">
        <f>ROUND((AZ6*AV6)/100,2)</f>
        <v>4342.45</v>
      </c>
      <c r="BB6" s="27">
        <f>ROUND(AZ6-BA6,2)</f>
        <v>57692.55</v>
      </c>
      <c r="BC6" s="27">
        <f>ROUND((BB6*AW6)/100,2)</f>
        <v>5192.33</v>
      </c>
      <c r="BD6" s="27">
        <f>ROUND(AY6+BA6+BC6,2)</f>
        <v>12799.78</v>
      </c>
      <c r="BE6" s="27">
        <f>ROUND(BD6/AR6,2)</f>
        <v>639.99</v>
      </c>
      <c r="BF6" s="27">
        <f>(AT6-BD6)</f>
        <v>52500.22</v>
      </c>
      <c r="BG6" s="27" t="s">
        <v>23</v>
      </c>
      <c r="BH6" s="30">
        <v>0.05</v>
      </c>
      <c r="BI6" s="27">
        <f>IF(OR($D$3=1,$D$3=4),ROUND((BF6*BH6)/2,2),0)</f>
        <v>1312.51</v>
      </c>
      <c r="BJ6" s="27">
        <f>IF($D$3=1,ROUND(((BF6*BH6)/2),2),0)</f>
        <v>1312.51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2625.02</v>
      </c>
      <c r="BP6" s="27">
        <f t="shared" si="3"/>
        <v>55125.24</v>
      </c>
      <c r="BQ6" s="27">
        <v>120</v>
      </c>
      <c r="BR6" s="27">
        <f t="shared" si="4"/>
        <v>52500.22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81088.86</v>
      </c>
      <c r="BQ7" s="15" t="s">
        <v>40</v>
      </c>
      <c r="BR7" s="79">
        <f>BR5</f>
        <v>23181.8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U8"/>
  <sheetViews>
    <sheetView showGridLines="0" topLeftCell="AK1" zoomScale="85" zoomScaleNormal="85" workbookViewId="0">
      <selection activeCell="BA6" sqref="BA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42" width="9.140625" style="1"/>
    <col min="43" max="43" width="11" style="1" bestFit="1" customWidth="1"/>
    <col min="44" max="49" width="9.140625" style="1"/>
    <col min="50" max="50" width="13.85546875" style="1" bestFit="1" customWidth="1"/>
    <col min="51" max="51" width="9.140625" style="1"/>
    <col min="52" max="52" width="13.5703125" style="1" bestFit="1" customWidth="1"/>
    <col min="53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  <c r="AR5" s="27">
        <v>10</v>
      </c>
      <c r="AS5" s="27">
        <v>1500</v>
      </c>
      <c r="AT5" s="27">
        <f>AR5*AS5</f>
        <v>15000</v>
      </c>
      <c r="AU5" s="27">
        <v>12</v>
      </c>
      <c r="AV5" s="27">
        <v>13</v>
      </c>
      <c r="AW5" s="27">
        <v>15</v>
      </c>
      <c r="AX5" s="27">
        <f>AT5</f>
        <v>15000</v>
      </c>
      <c r="AY5" s="27">
        <f>ROUND((AX5*AU5)/100,2)</f>
        <v>1800</v>
      </c>
      <c r="AZ5" s="27">
        <f>AT5-AY5</f>
        <v>13200</v>
      </c>
      <c r="BA5" s="27">
        <f>ROUND((AZ5*AV5)/100,2)</f>
        <v>1716</v>
      </c>
      <c r="BB5" s="27">
        <f>ROUND(AZ5-BA5,2)</f>
        <v>11484</v>
      </c>
      <c r="BC5" s="27">
        <f>ROUND((BB5*AW5)/100,2)</f>
        <v>1722.6</v>
      </c>
      <c r="BD5" s="27">
        <f>ROUND(AY5+BA5+BC5,2)</f>
        <v>5238.6000000000004</v>
      </c>
      <c r="BE5" s="27">
        <f>ROUND(BD5/AR5,2)</f>
        <v>523.86</v>
      </c>
      <c r="BF5" s="27">
        <f>(AT5-BD5)</f>
        <v>9761.4</v>
      </c>
      <c r="BG5" s="27" t="s">
        <v>23</v>
      </c>
      <c r="BH5" s="30">
        <v>0.12</v>
      </c>
      <c r="BI5" s="27">
        <f>IF(OR($D$3=1,$D$3=4),ROUND((BF5*BH5)/2,2),0)</f>
        <v>585.67999999999995</v>
      </c>
      <c r="BJ5" s="27">
        <f>IF($D$3=1,ROUND(((BF5*BH5)/2),2),0)</f>
        <v>585.67999999999995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1171.3599999999999</v>
      </c>
      <c r="BP5" s="27">
        <f t="shared" ref="BP5:BP6" si="3">BF5+BO5</f>
        <v>10932.76</v>
      </c>
      <c r="BQ5" s="27">
        <v>120</v>
      </c>
      <c r="BR5" s="27">
        <f t="shared" ref="BR5:BR6" si="4">BF5*$N$3</f>
        <v>9761.4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  <c r="AR6" s="27">
        <v>20</v>
      </c>
      <c r="AS6" s="27">
        <v>2000</v>
      </c>
      <c r="AT6" s="27">
        <f>AR6*AS6</f>
        <v>40000</v>
      </c>
      <c r="AU6" s="27">
        <v>15</v>
      </c>
      <c r="AV6" s="27">
        <v>17</v>
      </c>
      <c r="AW6" s="27">
        <v>19</v>
      </c>
      <c r="AX6" s="27">
        <f>AT6</f>
        <v>40000</v>
      </c>
      <c r="AY6" s="27">
        <f>ROUND((AX6*AU6)/100,2)</f>
        <v>6000</v>
      </c>
      <c r="AZ6" s="27">
        <f>AT6-AY6</f>
        <v>34000</v>
      </c>
      <c r="BA6" s="27">
        <f>ROUND((AZ6*AV6)/100,2)</f>
        <v>5780</v>
      </c>
      <c r="BB6" s="27">
        <f>ROUND(AZ6-BA6,2)</f>
        <v>28220</v>
      </c>
      <c r="BC6" s="27">
        <f>ROUND((BB6*AW6)/100,2)</f>
        <v>5361.8</v>
      </c>
      <c r="BD6" s="27">
        <f>ROUND(AY6+BA6+BC6,2)</f>
        <v>17141.8</v>
      </c>
      <c r="BE6" s="27">
        <f>ROUND(BD6/AR6,2)</f>
        <v>857.09</v>
      </c>
      <c r="BF6" s="27">
        <f>(AT6-BD6)</f>
        <v>22858.2</v>
      </c>
      <c r="BG6" s="27" t="s">
        <v>23</v>
      </c>
      <c r="BH6" s="30">
        <v>0.05</v>
      </c>
      <c r="BI6" s="27">
        <f>IF(OR($D$3=1,$D$3=4),ROUND((BF6*BH6)/2,2),0)</f>
        <v>571.46</v>
      </c>
      <c r="BJ6" s="27">
        <f>IF($D$3=1,ROUND(((BF6*BH6)/2),2),0)</f>
        <v>571.46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1142.92</v>
      </c>
      <c r="BP6" s="27">
        <f t="shared" si="3"/>
        <v>24001.120000000003</v>
      </c>
      <c r="BQ6" s="27">
        <v>120</v>
      </c>
      <c r="BR6" s="27">
        <f t="shared" si="4"/>
        <v>22858.2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34933.880000000005</v>
      </c>
      <c r="BQ7" s="15" t="s">
        <v>40</v>
      </c>
      <c r="BR7" s="79">
        <f>BR5</f>
        <v>9761.4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U8"/>
  <sheetViews>
    <sheetView showGridLines="0" topLeftCell="AM1" zoomScale="85" zoomScaleNormal="85" workbookViewId="0">
      <selection activeCell="BD22" sqref="BD22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42" width="9.140625" style="1"/>
    <col min="43" max="43" width="11" style="1" bestFit="1" customWidth="1"/>
    <col min="44" max="49" width="9.140625" style="1"/>
    <col min="50" max="50" width="13.85546875" style="1" bestFit="1" customWidth="1"/>
    <col min="51" max="51" width="9.140625" style="1"/>
    <col min="52" max="52" width="13.5703125" style="1" bestFit="1" customWidth="1"/>
    <col min="53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  <c r="AR5" s="27">
        <v>20</v>
      </c>
      <c r="AS5" s="27">
        <v>1500</v>
      </c>
      <c r="AT5" s="27">
        <f>AR5*AS5</f>
        <v>30000</v>
      </c>
      <c r="AU5" s="27">
        <v>2</v>
      </c>
      <c r="AV5" s="27">
        <v>3</v>
      </c>
      <c r="AW5" s="27">
        <v>5</v>
      </c>
      <c r="AX5" s="27">
        <f>AT5</f>
        <v>30000</v>
      </c>
      <c r="AY5" s="27">
        <f>ROUND((AX5*AU5)/100,2)</f>
        <v>600</v>
      </c>
      <c r="AZ5" s="27">
        <f>AT5-AY5</f>
        <v>29400</v>
      </c>
      <c r="BA5" s="27">
        <f>ROUND((AZ5*AV5)/100,2)</f>
        <v>882</v>
      </c>
      <c r="BB5" s="27">
        <f>ROUND(AZ5-BA5,2)</f>
        <v>28518</v>
      </c>
      <c r="BC5" s="27">
        <f>ROUND((BB5*AW5)/100,2)</f>
        <v>1425.9</v>
      </c>
      <c r="BD5" s="27">
        <f>ROUND(AY5+BA5+BC5,2)</f>
        <v>2907.9</v>
      </c>
      <c r="BE5" s="27">
        <f>ROUND(BD5/AR5,2)</f>
        <v>145.4</v>
      </c>
      <c r="BF5" s="27">
        <f>(AT5-BD5)</f>
        <v>27092.1</v>
      </c>
      <c r="BG5" s="27" t="s">
        <v>23</v>
      </c>
      <c r="BH5" s="30">
        <v>0.12</v>
      </c>
      <c r="BI5" s="27">
        <f>IF(OR($D$3=1,$D$3=4),ROUND((BF5*BH5)/2,2),0)</f>
        <v>1625.53</v>
      </c>
      <c r="BJ5" s="27">
        <f>IF($D$3=1,ROUND(((BF5*BH5)/2),2),0)</f>
        <v>1625.53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3251.06</v>
      </c>
      <c r="BP5" s="27">
        <f t="shared" ref="BP5:BP6" si="3">BF5+BO5</f>
        <v>30343.16</v>
      </c>
      <c r="BQ5" s="27">
        <v>120</v>
      </c>
      <c r="BR5" s="27">
        <f t="shared" ref="BR5:BR6" si="4">BF5*$N$3</f>
        <v>27092.1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  <c r="AR6" s="27">
        <v>30</v>
      </c>
      <c r="AS6" s="27">
        <v>2000</v>
      </c>
      <c r="AT6" s="27">
        <f>AR6*AS6</f>
        <v>60000</v>
      </c>
      <c r="AU6" s="27">
        <v>5</v>
      </c>
      <c r="AV6" s="27">
        <v>7</v>
      </c>
      <c r="AW6" s="27">
        <v>9</v>
      </c>
      <c r="AX6" s="27">
        <f>AT6</f>
        <v>60000</v>
      </c>
      <c r="AY6" s="27">
        <f>ROUND((AX6*AU6)/100,2)</f>
        <v>3000</v>
      </c>
      <c r="AZ6" s="27">
        <f>AT6-AY6</f>
        <v>57000</v>
      </c>
      <c r="BA6" s="27">
        <f>ROUND((AZ6*AV6)/100,2)</f>
        <v>3990</v>
      </c>
      <c r="BB6" s="27">
        <f>ROUND(AZ6-BA6,2)</f>
        <v>53010</v>
      </c>
      <c r="BC6" s="27">
        <f>ROUND((BB6*AW6)/100,2)</f>
        <v>4770.8999999999996</v>
      </c>
      <c r="BD6" s="27">
        <f>ROUND(AY6+BA6+BC6,2)</f>
        <v>11760.9</v>
      </c>
      <c r="BE6" s="27">
        <f>ROUND(BD6/AR6,2)</f>
        <v>392.03</v>
      </c>
      <c r="BF6" s="27">
        <f>(AT6-BD6)</f>
        <v>48239.1</v>
      </c>
      <c r="BG6" s="27" t="s">
        <v>23</v>
      </c>
      <c r="BH6" s="30">
        <v>0.05</v>
      </c>
      <c r="BI6" s="27">
        <f>IF(OR($D$3=1,$D$3=4),ROUND((BF6*BH6)/2,2),0)</f>
        <v>1205.98</v>
      </c>
      <c r="BJ6" s="27">
        <f>IF($D$3=1,ROUND(((BF6*BH6)/2),2),0)</f>
        <v>1205.98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2411.96</v>
      </c>
      <c r="BP6" s="27">
        <f t="shared" si="3"/>
        <v>50651.06</v>
      </c>
      <c r="BQ6" s="27">
        <v>120</v>
      </c>
      <c r="BR6" s="27">
        <f t="shared" si="4"/>
        <v>48239.1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80994.22</v>
      </c>
      <c r="BQ7" s="15" t="s">
        <v>40</v>
      </c>
      <c r="BR7" s="79">
        <f>BR5</f>
        <v>27092.1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Q16"/>
  <sheetViews>
    <sheetView showGridLines="0" topLeftCell="AA1" zoomScale="85" zoomScaleNormal="85" workbookViewId="0">
      <selection activeCell="G4" sqref="G4:AQ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9.2851562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16384" width="9.140625" style="1"/>
  </cols>
  <sheetData>
    <row r="1" spans="1:4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94"/>
      <c r="AD1" s="94"/>
      <c r="AE1" s="94"/>
      <c r="AF1" s="94"/>
      <c r="AG1" s="32"/>
      <c r="AH1" s="32"/>
    </row>
    <row r="2" spans="1:43" ht="18">
      <c r="A2" s="94" t="s">
        <v>30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32"/>
      <c r="AH2" s="32"/>
    </row>
    <row r="3" spans="1:43" ht="19.899999999999999" customHeight="1" thickBot="1">
      <c r="A3" s="134" t="s">
        <v>35</v>
      </c>
      <c r="B3" s="134"/>
      <c r="C3" s="95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184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1379.21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1379.21</v>
      </c>
      <c r="AE5" s="27">
        <f t="shared" ref="AE5:AE6" si="0">U5+AD5</f>
        <v>12872.59</v>
      </c>
      <c r="AF5" s="27">
        <v>120</v>
      </c>
      <c r="AG5" s="27">
        <f t="shared" ref="AG5:AG6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20</v>
      </c>
      <c r="H6" s="27">
        <v>3214</v>
      </c>
      <c r="I6" s="27">
        <f>G6*H6</f>
        <v>64280</v>
      </c>
      <c r="J6" s="27">
        <v>2</v>
      </c>
      <c r="K6" s="27">
        <v>7</v>
      </c>
      <c r="L6" s="27">
        <v>9</v>
      </c>
      <c r="M6" s="27">
        <f>I6</f>
        <v>64280</v>
      </c>
      <c r="N6" s="27">
        <f>ROUND((M6*J6)/100,2)</f>
        <v>1285.5999999999999</v>
      </c>
      <c r="O6" s="27">
        <f>I6-N6</f>
        <v>62994.400000000001</v>
      </c>
      <c r="P6" s="27">
        <f>ROUND((O6*K6)/100,2)</f>
        <v>4409.6099999999997</v>
      </c>
      <c r="Q6" s="27">
        <f>ROUND(O6-P6,2)</f>
        <v>58584.79</v>
      </c>
      <c r="R6" s="27">
        <f>ROUND((Q6*L6)/100,2)</f>
        <v>5272.63</v>
      </c>
      <c r="S6" s="27">
        <f>N6+P6+R6</f>
        <v>10967.84</v>
      </c>
      <c r="T6" s="27">
        <f>ROUND(S6/G6,2)</f>
        <v>548.39</v>
      </c>
      <c r="U6" s="27">
        <f>(I6-S6)</f>
        <v>53312.160000000003</v>
      </c>
      <c r="V6" s="27">
        <v>772213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2665.61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2665.61</v>
      </c>
      <c r="AE6" s="27">
        <f t="shared" si="0"/>
        <v>55977.770000000004</v>
      </c>
      <c r="AF6" s="27">
        <v>120</v>
      </c>
      <c r="AG6" s="27">
        <f t="shared" si="1"/>
        <v>53312.160000000003</v>
      </c>
      <c r="AH6" s="27">
        <v>3</v>
      </c>
      <c r="AI6" s="27">
        <f>ROUND(G6/AH6,3)</f>
        <v>6.6669999999999998</v>
      </c>
      <c r="AJ6" s="35" t="s">
        <v>83</v>
      </c>
      <c r="AK6" s="35" t="s">
        <v>56</v>
      </c>
      <c r="AL6" s="29">
        <f>ROUND((AJ6-AI6),3)</f>
        <v>1368.335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4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W6" sqref="W6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3" style="1" customWidth="1"/>
    <col min="6" max="6" width="12.5703125" style="1" bestFit="1" customWidth="1"/>
    <col min="7" max="7" width="21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2" width="13.8554687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4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6" width="12.140625" style="1" customWidth="1"/>
    <col min="67" max="16384" width="9.140625" style="1"/>
  </cols>
  <sheetData>
    <row r="1" spans="1:66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2"/>
      <c r="AD1" s="122"/>
      <c r="AE1" s="122"/>
      <c r="AF1" s="122"/>
      <c r="AG1" s="32"/>
      <c r="AH1" s="32"/>
    </row>
    <row r="2" spans="1:66" ht="18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32"/>
      <c r="AH2" s="32"/>
    </row>
    <row r="3" spans="1:66" ht="15" thickBot="1">
      <c r="A3" s="134" t="s">
        <v>35</v>
      </c>
      <c r="B3" s="134"/>
      <c r="C3" s="123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120</v>
      </c>
      <c r="H4" s="18" t="s">
        <v>121</v>
      </c>
      <c r="I4" s="18" t="s">
        <v>122</v>
      </c>
      <c r="J4" s="21" t="s">
        <v>123</v>
      </c>
      <c r="K4" s="21" t="s">
        <v>124</v>
      </c>
      <c r="L4" s="21" t="s">
        <v>125</v>
      </c>
      <c r="M4" s="22" t="s">
        <v>126</v>
      </c>
      <c r="N4" s="22" t="s">
        <v>127</v>
      </c>
      <c r="O4" s="22" t="s">
        <v>128</v>
      </c>
      <c r="P4" s="22" t="s">
        <v>129</v>
      </c>
      <c r="Q4" s="23" t="s">
        <v>130</v>
      </c>
      <c r="R4" s="22" t="s">
        <v>131</v>
      </c>
      <c r="S4" s="21" t="s">
        <v>132</v>
      </c>
      <c r="T4" s="21" t="s">
        <v>141</v>
      </c>
      <c r="U4" s="18" t="s">
        <v>133</v>
      </c>
      <c r="V4" s="18" t="s">
        <v>134</v>
      </c>
      <c r="W4" s="24" t="s">
        <v>135</v>
      </c>
      <c r="X4" s="24" t="s">
        <v>136</v>
      </c>
      <c r="Y4" s="24" t="s">
        <v>137</v>
      </c>
      <c r="Z4" s="24" t="s">
        <v>138</v>
      </c>
      <c r="AA4" s="24" t="s">
        <v>139</v>
      </c>
      <c r="AB4" s="25" t="s">
        <v>140</v>
      </c>
      <c r="AC4" s="25" t="s">
        <v>29</v>
      </c>
      <c r="AD4" s="26" t="s">
        <v>142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166</v>
      </c>
      <c r="AO4" s="20" t="s">
        <v>143</v>
      </c>
      <c r="AP4" s="20" t="s">
        <v>144</v>
      </c>
      <c r="AQ4" s="103" t="s">
        <v>145</v>
      </c>
      <c r="AR4" s="96" t="s">
        <v>146</v>
      </c>
      <c r="AS4" s="96" t="s">
        <v>147</v>
      </c>
      <c r="AT4" s="96" t="s">
        <v>148</v>
      </c>
      <c r="AU4" s="98" t="s">
        <v>149</v>
      </c>
      <c r="AV4" s="98" t="s">
        <v>150</v>
      </c>
      <c r="AW4" s="98" t="s">
        <v>151</v>
      </c>
      <c r="AX4" s="98" t="s">
        <v>152</v>
      </c>
      <c r="AY4" s="98" t="s">
        <v>153</v>
      </c>
      <c r="AZ4" s="98" t="s">
        <v>154</v>
      </c>
      <c r="BA4" s="105" t="s">
        <v>155</v>
      </c>
      <c r="BB4" s="21" t="s">
        <v>165</v>
      </c>
      <c r="BC4" s="103" t="s">
        <v>156</v>
      </c>
      <c r="BD4" s="103" t="s">
        <v>157</v>
      </c>
      <c r="BE4" s="104" t="s">
        <v>158</v>
      </c>
      <c r="BF4" s="104" t="s">
        <v>159</v>
      </c>
      <c r="BG4" s="104" t="s">
        <v>160</v>
      </c>
      <c r="BH4" s="104" t="s">
        <v>161</v>
      </c>
      <c r="BI4" s="104" t="s">
        <v>162</v>
      </c>
      <c r="BJ4" s="102" t="s">
        <v>163</v>
      </c>
      <c r="BK4" s="102" t="s">
        <v>29</v>
      </c>
      <c r="BL4" s="102" t="s">
        <v>164</v>
      </c>
      <c r="BM4" s="26" t="s">
        <v>167</v>
      </c>
      <c r="BN4" s="26" t="s">
        <v>169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v>2350</v>
      </c>
      <c r="AQ5" s="27">
        <f>AO5*AP5</f>
        <v>23500</v>
      </c>
      <c r="AR5" s="27">
        <f>J5</f>
        <v>1</v>
      </c>
      <c r="AS5" s="27">
        <f t="shared" ref="AS5:AT6" si="0">K5</f>
        <v>2</v>
      </c>
      <c r="AT5" s="27">
        <f t="shared" si="0"/>
        <v>4</v>
      </c>
      <c r="AU5" s="27">
        <f>AQ5</f>
        <v>23500</v>
      </c>
      <c r="AV5" s="27">
        <f>ROUND((AU5*AR5)/100,2)</f>
        <v>235</v>
      </c>
      <c r="AW5" s="27">
        <f>AQ5-AV5</f>
        <v>23265</v>
      </c>
      <c r="AX5" s="27">
        <f>ROUND((AW5*AS5)/100,2)</f>
        <v>465.3</v>
      </c>
      <c r="AY5" s="27">
        <f>ROUND(AW5-AX5,2)</f>
        <v>22799.7</v>
      </c>
      <c r="AZ5" s="27">
        <f>ROUND((AY5*AT5)/100,2)</f>
        <v>911.99</v>
      </c>
      <c r="BA5" s="27">
        <f>AV5+AX5+AZ5</f>
        <v>1612.29</v>
      </c>
      <c r="BB5" s="27">
        <f>ROUND(BA5/AO5,2)</f>
        <v>161.22999999999999</v>
      </c>
      <c r="BC5" s="27">
        <f>(AQ5-BA5)</f>
        <v>21887.71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2626.53</v>
      </c>
      <c r="BI5" s="27">
        <f>BF5+BG5+BH5</f>
        <v>2626.53</v>
      </c>
      <c r="BJ5" s="27">
        <f>BC5+BI5</f>
        <v>24514.239999999998</v>
      </c>
      <c r="BK5" s="27">
        <v>120</v>
      </c>
      <c r="BL5" s="27">
        <f>BC5*SO!$N$3</f>
        <v>21887.71</v>
      </c>
      <c r="BM5" s="27" t="s">
        <v>168</v>
      </c>
      <c r="BN5" s="27" t="s">
        <v>170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f>G6</f>
        <v>20</v>
      </c>
      <c r="AP6" s="27">
        <v>4550</v>
      </c>
      <c r="AQ6" s="27">
        <f>AO6*AP6</f>
        <v>91000</v>
      </c>
      <c r="AR6" s="27">
        <f>J6</f>
        <v>2</v>
      </c>
      <c r="AS6" s="27">
        <f t="shared" si="0"/>
        <v>7</v>
      </c>
      <c r="AT6" s="27">
        <f t="shared" si="0"/>
        <v>9</v>
      </c>
      <c r="AU6" s="27">
        <f>AQ6</f>
        <v>91000</v>
      </c>
      <c r="AV6" s="27">
        <f>ROUND((AU6*AR6)/100,2)</f>
        <v>1820</v>
      </c>
      <c r="AW6" s="27">
        <f>AQ6-AV6</f>
        <v>89180</v>
      </c>
      <c r="AX6" s="27">
        <f>ROUND((AW6*AS6)/100,2)</f>
        <v>6242.6</v>
      </c>
      <c r="AY6" s="27">
        <f>ROUND(AW6-AX6,2)</f>
        <v>82937.399999999994</v>
      </c>
      <c r="AZ6" s="27">
        <f>ROUND((AY6*AT6)/100,2)</f>
        <v>7464.37</v>
      </c>
      <c r="BA6" s="27">
        <f>AV6+AX6+AZ6</f>
        <v>15526.970000000001</v>
      </c>
      <c r="BB6" s="27">
        <f>ROUND(BA6/AO6,2)</f>
        <v>776.35</v>
      </c>
      <c r="BC6" s="27">
        <f>(AQ6-BA6)</f>
        <v>75473.03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3773.65</v>
      </c>
      <c r="BI6" s="27">
        <f>BF6+BG6+BH6</f>
        <v>3773.65</v>
      </c>
      <c r="BJ6" s="27">
        <f>BC6+BI6</f>
        <v>79246.679999999993</v>
      </c>
      <c r="BK6" s="27">
        <v>120</v>
      </c>
      <c r="BL6" s="27">
        <f>BC6*SO!$N$3</f>
        <v>75473.03</v>
      </c>
      <c r="BM6" s="27" t="s">
        <v>168</v>
      </c>
      <c r="BN6" s="27" t="s">
        <v>170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17139.260000000002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103760.91999999998</v>
      </c>
      <c r="BK7" s="15" t="s">
        <v>40</v>
      </c>
      <c r="BL7" s="79">
        <f>SUM(BL5:BL6)</f>
        <v>97360.739999999991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BL7" sqref="BL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3" style="1" customWidth="1"/>
    <col min="6" max="6" width="12.5703125" style="1" bestFit="1" customWidth="1"/>
    <col min="7" max="7" width="21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2" width="13.8554687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4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4.140625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3.140625" style="1" customWidth="1"/>
    <col min="65" max="65" width="11" style="1" bestFit="1" customWidth="1"/>
    <col min="66" max="66" width="12.140625" style="1" customWidth="1"/>
    <col min="67" max="16384" width="9.140625" style="1"/>
  </cols>
  <sheetData>
    <row r="1" spans="1:66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22"/>
      <c r="AD1" s="122"/>
      <c r="AE1" s="122"/>
      <c r="AF1" s="122"/>
      <c r="AG1" s="32"/>
      <c r="AH1" s="32"/>
    </row>
    <row r="2" spans="1:66" ht="18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32"/>
      <c r="AH2" s="32"/>
    </row>
    <row r="3" spans="1:66" ht="15" thickBot="1">
      <c r="A3" s="134" t="s">
        <v>35</v>
      </c>
      <c r="B3" s="134"/>
      <c r="C3" s="123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120</v>
      </c>
      <c r="H4" s="18" t="s">
        <v>121</v>
      </c>
      <c r="I4" s="18" t="s">
        <v>122</v>
      </c>
      <c r="J4" s="21" t="s">
        <v>123</v>
      </c>
      <c r="K4" s="21" t="s">
        <v>124</v>
      </c>
      <c r="L4" s="21" t="s">
        <v>125</v>
      </c>
      <c r="M4" s="22" t="s">
        <v>126</v>
      </c>
      <c r="N4" s="22" t="s">
        <v>127</v>
      </c>
      <c r="O4" s="22" t="s">
        <v>128</v>
      </c>
      <c r="P4" s="22" t="s">
        <v>129</v>
      </c>
      <c r="Q4" s="23" t="s">
        <v>130</v>
      </c>
      <c r="R4" s="22" t="s">
        <v>131</v>
      </c>
      <c r="S4" s="21" t="s">
        <v>132</v>
      </c>
      <c r="T4" s="21" t="s">
        <v>141</v>
      </c>
      <c r="U4" s="18" t="s">
        <v>133</v>
      </c>
      <c r="V4" s="18" t="s">
        <v>134</v>
      </c>
      <c r="W4" s="24" t="s">
        <v>135</v>
      </c>
      <c r="X4" s="24" t="s">
        <v>136</v>
      </c>
      <c r="Y4" s="24" t="s">
        <v>137</v>
      </c>
      <c r="Z4" s="24" t="s">
        <v>138</v>
      </c>
      <c r="AA4" s="24" t="s">
        <v>139</v>
      </c>
      <c r="AB4" s="25" t="s">
        <v>140</v>
      </c>
      <c r="AC4" s="25" t="s">
        <v>29</v>
      </c>
      <c r="AD4" s="26" t="s">
        <v>142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166</v>
      </c>
      <c r="AO4" s="20" t="s">
        <v>143</v>
      </c>
      <c r="AP4" s="103" t="s">
        <v>144</v>
      </c>
      <c r="AQ4" s="103" t="s">
        <v>145</v>
      </c>
      <c r="AR4" s="96" t="s">
        <v>146</v>
      </c>
      <c r="AS4" s="96" t="s">
        <v>147</v>
      </c>
      <c r="AT4" s="96" t="s">
        <v>148</v>
      </c>
      <c r="AU4" s="98" t="s">
        <v>149</v>
      </c>
      <c r="AV4" s="98" t="s">
        <v>150</v>
      </c>
      <c r="AW4" s="98" t="s">
        <v>151</v>
      </c>
      <c r="AX4" s="98" t="s">
        <v>152</v>
      </c>
      <c r="AY4" s="98" t="s">
        <v>153</v>
      </c>
      <c r="AZ4" s="98" t="s">
        <v>154</v>
      </c>
      <c r="BA4" s="105" t="s">
        <v>155</v>
      </c>
      <c r="BB4" s="21" t="s">
        <v>165</v>
      </c>
      <c r="BC4" s="103" t="s">
        <v>156</v>
      </c>
      <c r="BD4" s="103" t="s">
        <v>157</v>
      </c>
      <c r="BE4" s="104" t="s">
        <v>158</v>
      </c>
      <c r="BF4" s="104" t="s">
        <v>159</v>
      </c>
      <c r="BG4" s="104" t="s">
        <v>160</v>
      </c>
      <c r="BH4" s="104" t="s">
        <v>161</v>
      </c>
      <c r="BI4" s="104" t="s">
        <v>162</v>
      </c>
      <c r="BJ4" s="102" t="s">
        <v>163</v>
      </c>
      <c r="BK4" s="102" t="s">
        <v>29</v>
      </c>
      <c r="BL4" s="102" t="s">
        <v>164</v>
      </c>
      <c r="BM4" s="26" t="s">
        <v>167</v>
      </c>
      <c r="BN4" s="26" t="s">
        <v>169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f>H5</f>
        <v>1234</v>
      </c>
      <c r="AQ5" s="27">
        <f>AO5*AP5</f>
        <v>12340</v>
      </c>
      <c r="AR5" s="27">
        <v>10</v>
      </c>
      <c r="AS5" s="27">
        <v>5</v>
      </c>
      <c r="AT5" s="27">
        <v>2</v>
      </c>
      <c r="AU5" s="27">
        <f>AQ5</f>
        <v>12340</v>
      </c>
      <c r="AV5" s="27">
        <f>ROUND((AU5*AR5)/100,2)</f>
        <v>1234</v>
      </c>
      <c r="AW5" s="27">
        <f>AQ5-AV5</f>
        <v>11106</v>
      </c>
      <c r="AX5" s="27">
        <f>ROUND((AW5*AS5)/100,2)</f>
        <v>555.29999999999995</v>
      </c>
      <c r="AY5" s="27">
        <f>ROUND(AW5-AX5,2)</f>
        <v>10550.7</v>
      </c>
      <c r="AZ5" s="27">
        <f>ROUND((AY5*AT5)/100,2)</f>
        <v>211.01</v>
      </c>
      <c r="BA5" s="27">
        <f>AV5+AX5+AZ5</f>
        <v>2000.31</v>
      </c>
      <c r="BB5" s="27">
        <f>ROUND(BA5/AO5,2)</f>
        <v>200.03</v>
      </c>
      <c r="BC5" s="27">
        <f>(AQ5-BA5)</f>
        <v>10339.69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1240.76</v>
      </c>
      <c r="BI5" s="27">
        <f>BF5+BG5+BH5</f>
        <v>1240.76</v>
      </c>
      <c r="BJ5" s="27">
        <f>BC5+BI5</f>
        <v>11580.45</v>
      </c>
      <c r="BK5" s="27">
        <v>120</v>
      </c>
      <c r="BL5" s="27">
        <f>BC5*SO!$N$3</f>
        <v>10339.69</v>
      </c>
      <c r="BM5" s="27" t="s">
        <v>168</v>
      </c>
      <c r="BN5" s="27" t="s">
        <v>170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f>G6</f>
        <v>20</v>
      </c>
      <c r="AP6" s="27">
        <f>H6</f>
        <v>3214</v>
      </c>
      <c r="AQ6" s="27">
        <f>AO6*AP6</f>
        <v>64280</v>
      </c>
      <c r="AR6" s="27">
        <v>20</v>
      </c>
      <c r="AS6" s="27">
        <v>10</v>
      </c>
      <c r="AT6" s="27">
        <v>5</v>
      </c>
      <c r="AU6" s="27">
        <f>AQ6</f>
        <v>64280</v>
      </c>
      <c r="AV6" s="27">
        <f>ROUND((AU6*AR6)/100,2)</f>
        <v>12856</v>
      </c>
      <c r="AW6" s="27">
        <f>AQ6-AV6</f>
        <v>51424</v>
      </c>
      <c r="AX6" s="27">
        <f>ROUND((AW6*AS6)/100,2)</f>
        <v>5142.3999999999996</v>
      </c>
      <c r="AY6" s="27">
        <f>ROUND(AW6-AX6,2)</f>
        <v>46281.599999999999</v>
      </c>
      <c r="AZ6" s="27">
        <f>ROUND((AY6*AT6)/100,2)</f>
        <v>2314.08</v>
      </c>
      <c r="BA6" s="27">
        <f>AV6+AX6+AZ6</f>
        <v>20312.480000000003</v>
      </c>
      <c r="BB6" s="27">
        <f>ROUND(BA6/AO6,2)</f>
        <v>1015.62</v>
      </c>
      <c r="BC6" s="27">
        <f>(AQ6-BA6)</f>
        <v>43967.519999999997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2198.38</v>
      </c>
      <c r="BI6" s="27">
        <f>BF6+BG6+BH6</f>
        <v>2198.38</v>
      </c>
      <c r="BJ6" s="27">
        <f>BC6+BI6</f>
        <v>46165.899999999994</v>
      </c>
      <c r="BK6" s="27">
        <v>120</v>
      </c>
      <c r="BL6" s="27">
        <f>BC6*SO!$N$3</f>
        <v>43967.519999999997</v>
      </c>
      <c r="BM6" s="27" t="s">
        <v>168</v>
      </c>
      <c r="BN6" s="27" t="s">
        <v>170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22312.790000000005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57746.349999999991</v>
      </c>
      <c r="BK7" s="15" t="s">
        <v>40</v>
      </c>
      <c r="BL7" s="79">
        <f>SUM(BL5:BL6)</f>
        <v>54307.21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H14" sqref="H14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3" style="1" customWidth="1"/>
    <col min="6" max="6" width="12.5703125" style="1" bestFit="1" customWidth="1"/>
    <col min="7" max="7" width="21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2" width="13.8554687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4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9.2851562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6" width="12.140625" style="1" customWidth="1"/>
    <col min="67" max="16384" width="9.140625" style="1"/>
  </cols>
  <sheetData>
    <row r="1" spans="1:66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17"/>
      <c r="AD1" s="117"/>
      <c r="AE1" s="117"/>
      <c r="AF1" s="117"/>
      <c r="AG1" s="32"/>
      <c r="AH1" s="32"/>
    </row>
    <row r="2" spans="1:66" ht="18">
      <c r="A2" s="117" t="s">
        <v>119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32"/>
      <c r="AH2" s="32"/>
    </row>
    <row r="3" spans="1:66" ht="15" thickBot="1">
      <c r="A3" s="134" t="s">
        <v>35</v>
      </c>
      <c r="B3" s="134"/>
      <c r="C3" s="118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120</v>
      </c>
      <c r="H4" s="18" t="s">
        <v>121</v>
      </c>
      <c r="I4" s="18" t="s">
        <v>122</v>
      </c>
      <c r="J4" s="21" t="s">
        <v>123</v>
      </c>
      <c r="K4" s="21" t="s">
        <v>124</v>
      </c>
      <c r="L4" s="21" t="s">
        <v>125</v>
      </c>
      <c r="M4" s="22" t="s">
        <v>126</v>
      </c>
      <c r="N4" s="22" t="s">
        <v>127</v>
      </c>
      <c r="O4" s="22" t="s">
        <v>128</v>
      </c>
      <c r="P4" s="22" t="s">
        <v>129</v>
      </c>
      <c r="Q4" s="23" t="s">
        <v>130</v>
      </c>
      <c r="R4" s="22" t="s">
        <v>131</v>
      </c>
      <c r="S4" s="21" t="s">
        <v>132</v>
      </c>
      <c r="T4" s="21" t="s">
        <v>141</v>
      </c>
      <c r="U4" s="18" t="s">
        <v>133</v>
      </c>
      <c r="V4" s="18" t="s">
        <v>134</v>
      </c>
      <c r="W4" s="24" t="s">
        <v>135</v>
      </c>
      <c r="X4" s="24" t="s">
        <v>136</v>
      </c>
      <c r="Y4" s="24" t="s">
        <v>137</v>
      </c>
      <c r="Z4" s="24" t="s">
        <v>138</v>
      </c>
      <c r="AA4" s="24" t="s">
        <v>139</v>
      </c>
      <c r="AB4" s="25" t="s">
        <v>140</v>
      </c>
      <c r="AC4" s="25" t="s">
        <v>29</v>
      </c>
      <c r="AD4" s="26" t="s">
        <v>142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166</v>
      </c>
      <c r="AO4" s="20" t="s">
        <v>143</v>
      </c>
      <c r="AP4" s="103" t="s">
        <v>144</v>
      </c>
      <c r="AQ4" s="103" t="s">
        <v>145</v>
      </c>
      <c r="AR4" s="96" t="s">
        <v>146</v>
      </c>
      <c r="AS4" s="96" t="s">
        <v>147</v>
      </c>
      <c r="AT4" s="96" t="s">
        <v>148</v>
      </c>
      <c r="AU4" s="98" t="s">
        <v>149</v>
      </c>
      <c r="AV4" s="98" t="s">
        <v>150</v>
      </c>
      <c r="AW4" s="98" t="s">
        <v>151</v>
      </c>
      <c r="AX4" s="98" t="s">
        <v>152</v>
      </c>
      <c r="AY4" s="98" t="s">
        <v>153</v>
      </c>
      <c r="AZ4" s="98" t="s">
        <v>154</v>
      </c>
      <c r="BA4" s="105" t="s">
        <v>155</v>
      </c>
      <c r="BB4" s="21" t="s">
        <v>165</v>
      </c>
      <c r="BC4" s="103" t="s">
        <v>156</v>
      </c>
      <c r="BD4" s="103" t="s">
        <v>157</v>
      </c>
      <c r="BE4" s="104" t="s">
        <v>158</v>
      </c>
      <c r="BF4" s="104" t="s">
        <v>159</v>
      </c>
      <c r="BG4" s="104" t="s">
        <v>160</v>
      </c>
      <c r="BH4" s="104" t="s">
        <v>161</v>
      </c>
      <c r="BI4" s="104" t="s">
        <v>162</v>
      </c>
      <c r="BJ4" s="102" t="s">
        <v>163</v>
      </c>
      <c r="BK4" s="102" t="s">
        <v>29</v>
      </c>
      <c r="BL4" s="102" t="s">
        <v>164</v>
      </c>
      <c r="BM4" s="26" t="s">
        <v>167</v>
      </c>
      <c r="BN4" s="26" t="s">
        <v>169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v>20</v>
      </c>
      <c r="AP5" s="27">
        <v>2350</v>
      </c>
      <c r="AQ5" s="27">
        <f>AO5*AP5</f>
        <v>47000</v>
      </c>
      <c r="AR5" s="27">
        <v>10</v>
      </c>
      <c r="AS5" s="27">
        <v>5</v>
      </c>
      <c r="AT5" s="27">
        <v>2</v>
      </c>
      <c r="AU5" s="27">
        <f>AQ5</f>
        <v>47000</v>
      </c>
      <c r="AV5" s="27">
        <f>ROUND((AU5*AR5)/100,2)</f>
        <v>4700</v>
      </c>
      <c r="AW5" s="27">
        <f>AQ5-AV5</f>
        <v>42300</v>
      </c>
      <c r="AX5" s="27">
        <f>ROUND((AW5*AS5)/100,2)</f>
        <v>2115</v>
      </c>
      <c r="AY5" s="27">
        <f>ROUND(AW5-AX5,2)</f>
        <v>40185</v>
      </c>
      <c r="AZ5" s="27">
        <f>ROUND((AY5*AT5)/100,2)</f>
        <v>803.7</v>
      </c>
      <c r="BA5" s="27">
        <f>AV5+AX5+AZ5</f>
        <v>7618.7</v>
      </c>
      <c r="BB5" s="27">
        <f>ROUND(BA5/AO5,2)</f>
        <v>380.94</v>
      </c>
      <c r="BC5" s="27">
        <f>(AQ5-BA5)</f>
        <v>39381.300000000003</v>
      </c>
      <c r="BD5" s="27" t="s">
        <v>23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4725.76</v>
      </c>
      <c r="BI5" s="27">
        <f>BF5+BG5+BH5</f>
        <v>4725.76</v>
      </c>
      <c r="BJ5" s="27">
        <f>BC5+BI5</f>
        <v>44107.060000000005</v>
      </c>
      <c r="BK5" s="27">
        <v>120</v>
      </c>
      <c r="BL5" s="27">
        <f>BC5*SO!$N$3</f>
        <v>39381.300000000003</v>
      </c>
      <c r="BM5" s="27" t="s">
        <v>168</v>
      </c>
      <c r="BN5" s="27" t="s">
        <v>170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v>30</v>
      </c>
      <c r="AP6" s="67">
        <v>4550</v>
      </c>
      <c r="AQ6" s="27">
        <f>AO6*AP6</f>
        <v>136500</v>
      </c>
      <c r="AR6" s="27">
        <v>20</v>
      </c>
      <c r="AS6" s="27">
        <v>10</v>
      </c>
      <c r="AT6" s="27">
        <v>5</v>
      </c>
      <c r="AU6" s="27">
        <f>AQ6</f>
        <v>136500</v>
      </c>
      <c r="AV6" s="27">
        <f>ROUND((AU6*AR6)/100,2)</f>
        <v>27300</v>
      </c>
      <c r="AW6" s="27">
        <f>AQ6-AV6</f>
        <v>109200</v>
      </c>
      <c r="AX6" s="27">
        <f>ROUND((AW6*AS6)/100,2)</f>
        <v>10920</v>
      </c>
      <c r="AY6" s="27">
        <f>ROUND(AW6-AX6,2)</f>
        <v>98280</v>
      </c>
      <c r="AZ6" s="27">
        <f>ROUND((AY6*AT6)/100,2)</f>
        <v>4914</v>
      </c>
      <c r="BA6" s="27">
        <f>AV6+AX6+AZ6</f>
        <v>43134</v>
      </c>
      <c r="BB6" s="27">
        <f>ROUND(BA6/AO6,2)</f>
        <v>1437.8</v>
      </c>
      <c r="BC6" s="27">
        <f>(AQ6-BA6)</f>
        <v>93366</v>
      </c>
      <c r="BD6" s="27" t="s">
        <v>23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4668.3</v>
      </c>
      <c r="BI6" s="27">
        <f>BF6+BG6+BH6</f>
        <v>4668.3</v>
      </c>
      <c r="BJ6" s="27">
        <f>BC6+BI6</f>
        <v>98034.3</v>
      </c>
      <c r="BK6" s="27">
        <v>120</v>
      </c>
      <c r="BL6" s="27">
        <f>BC6*SO!$N$3</f>
        <v>93366</v>
      </c>
      <c r="BM6" s="27" t="s">
        <v>168</v>
      </c>
      <c r="BN6" s="27" t="s">
        <v>170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50752.7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142141.36000000002</v>
      </c>
      <c r="BK7" s="15" t="s">
        <v>40</v>
      </c>
      <c r="BL7" s="79">
        <f>SUM(BL5:BL6)</f>
        <v>132747.29999999999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N8"/>
  <sheetViews>
    <sheetView showGridLines="0" topLeftCell="AG1" zoomScale="85" zoomScaleNormal="85" workbookViewId="0">
      <selection activeCell="A7" sqref="A7:AN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3" style="1" customWidth="1"/>
    <col min="6" max="6" width="12.5703125" style="1" bestFit="1" customWidth="1"/>
    <col min="7" max="7" width="21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2" width="13.8554687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4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9.28515625" style="1" bestFit="1" customWidth="1"/>
    <col min="57" max="57" width="13.85546875" style="1" bestFit="1" customWidth="1"/>
    <col min="58" max="58" width="9.7109375" style="1" bestFit="1" customWidth="1"/>
    <col min="59" max="59" width="9.570312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6" width="12.140625" style="1" customWidth="1"/>
    <col min="67" max="16384" width="9.140625" style="1"/>
  </cols>
  <sheetData>
    <row r="1" spans="1:66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94"/>
      <c r="AD1" s="94"/>
      <c r="AE1" s="94"/>
      <c r="AF1" s="94"/>
      <c r="AG1" s="32"/>
      <c r="AH1" s="32"/>
    </row>
    <row r="2" spans="1:66" ht="18">
      <c r="A2" s="94" t="s">
        <v>119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32"/>
      <c r="AH2" s="32"/>
    </row>
    <row r="3" spans="1:66" ht="15" thickBot="1">
      <c r="A3" s="134" t="s">
        <v>35</v>
      </c>
      <c r="B3" s="134"/>
      <c r="C3" s="95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120</v>
      </c>
      <c r="H4" s="18" t="s">
        <v>121</v>
      </c>
      <c r="I4" s="18" t="s">
        <v>122</v>
      </c>
      <c r="J4" s="96" t="s">
        <v>123</v>
      </c>
      <c r="K4" s="96" t="s">
        <v>124</v>
      </c>
      <c r="L4" s="96" t="s">
        <v>125</v>
      </c>
      <c r="M4" s="97" t="s">
        <v>126</v>
      </c>
      <c r="N4" s="97" t="s">
        <v>127</v>
      </c>
      <c r="O4" s="97" t="s">
        <v>128</v>
      </c>
      <c r="P4" s="97" t="s">
        <v>129</v>
      </c>
      <c r="Q4" s="98" t="s">
        <v>130</v>
      </c>
      <c r="R4" s="97" t="s">
        <v>131</v>
      </c>
      <c r="S4" s="96" t="s">
        <v>132</v>
      </c>
      <c r="T4" s="21" t="s">
        <v>141</v>
      </c>
      <c r="U4" s="99" t="s">
        <v>133</v>
      </c>
      <c r="V4" s="99" t="s">
        <v>134</v>
      </c>
      <c r="W4" s="100" t="s">
        <v>135</v>
      </c>
      <c r="X4" s="100" t="s">
        <v>136</v>
      </c>
      <c r="Y4" s="100" t="s">
        <v>137</v>
      </c>
      <c r="Z4" s="100" t="s">
        <v>138</v>
      </c>
      <c r="AA4" s="100" t="s">
        <v>139</v>
      </c>
      <c r="AB4" s="101" t="s">
        <v>140</v>
      </c>
      <c r="AC4" s="101" t="s">
        <v>29</v>
      </c>
      <c r="AD4" s="102" t="s">
        <v>142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166</v>
      </c>
      <c r="AO4" s="103" t="s">
        <v>143</v>
      </c>
      <c r="AP4" s="103" t="s">
        <v>144</v>
      </c>
      <c r="AQ4" s="103" t="s">
        <v>145</v>
      </c>
      <c r="AR4" s="96" t="s">
        <v>146</v>
      </c>
      <c r="AS4" s="96" t="s">
        <v>147</v>
      </c>
      <c r="AT4" s="96" t="s">
        <v>148</v>
      </c>
      <c r="AU4" s="98" t="s">
        <v>149</v>
      </c>
      <c r="AV4" s="98" t="s">
        <v>150</v>
      </c>
      <c r="AW4" s="98" t="s">
        <v>151</v>
      </c>
      <c r="AX4" s="98" t="s">
        <v>152</v>
      </c>
      <c r="AY4" s="98" t="s">
        <v>153</v>
      </c>
      <c r="AZ4" s="98" t="s">
        <v>154</v>
      </c>
      <c r="BA4" s="105" t="s">
        <v>155</v>
      </c>
      <c r="BB4" s="21" t="s">
        <v>165</v>
      </c>
      <c r="BC4" s="103" t="s">
        <v>156</v>
      </c>
      <c r="BD4" s="103" t="s">
        <v>157</v>
      </c>
      <c r="BE4" s="104" t="s">
        <v>158</v>
      </c>
      <c r="BF4" s="104" t="s">
        <v>159</v>
      </c>
      <c r="BG4" s="104" t="s">
        <v>160</v>
      </c>
      <c r="BH4" s="104" t="s">
        <v>161</v>
      </c>
      <c r="BI4" s="104" t="s">
        <v>162</v>
      </c>
      <c r="BJ4" s="102" t="s">
        <v>163</v>
      </c>
      <c r="BK4" s="102" t="s">
        <v>29</v>
      </c>
      <c r="BL4" s="102" t="s">
        <v>164</v>
      </c>
      <c r="BM4" s="26" t="s">
        <v>167</v>
      </c>
      <c r="BN4" s="26" t="s">
        <v>169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35" t="s">
        <v>84</v>
      </c>
      <c r="AH5" s="35" t="s">
        <v>55</v>
      </c>
      <c r="AI5" s="29">
        <f>ROUND(AG5-G5,0)</f>
        <v>838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f>H5</f>
        <v>1234</v>
      </c>
      <c r="AQ5" s="27">
        <f>AO5*AP5</f>
        <v>12340</v>
      </c>
      <c r="AR5" s="27">
        <f>J5</f>
        <v>1</v>
      </c>
      <c r="AS5" s="27">
        <f t="shared" ref="AS5:AT6" si="0">K5</f>
        <v>2</v>
      </c>
      <c r="AT5" s="27">
        <f t="shared" si="0"/>
        <v>4</v>
      </c>
      <c r="AU5" s="27">
        <f t="shared" ref="AU5:AU6" si="1">M5</f>
        <v>12340</v>
      </c>
      <c r="AV5" s="27">
        <f t="shared" ref="AV5:AV6" si="2">N5</f>
        <v>123.4</v>
      </c>
      <c r="AW5" s="27">
        <f t="shared" ref="AW5:AW6" si="3">O5</f>
        <v>12216.6</v>
      </c>
      <c r="AX5" s="27">
        <f t="shared" ref="AX5:AX6" si="4">P5</f>
        <v>244.33</v>
      </c>
      <c r="AY5" s="27">
        <f t="shared" ref="AY5:AY6" si="5">Q5</f>
        <v>11972.27</v>
      </c>
      <c r="AZ5" s="27">
        <f t="shared" ref="AZ5:AZ6" si="6">R5</f>
        <v>478.89</v>
      </c>
      <c r="BA5" s="27">
        <f t="shared" ref="BA5:BA6" si="7">S5</f>
        <v>846.62</v>
      </c>
      <c r="BB5" s="27">
        <f t="shared" ref="BB5:BD6" si="8">T5</f>
        <v>84.66</v>
      </c>
      <c r="BC5" s="27">
        <f t="shared" si="8"/>
        <v>11493.38</v>
      </c>
      <c r="BD5" s="27" t="str">
        <f t="shared" si="8"/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1379.21</v>
      </c>
      <c r="BI5" s="27">
        <f>BF5+BG5+BH5</f>
        <v>1379.21</v>
      </c>
      <c r="BJ5" s="27">
        <f>BC5+BI5</f>
        <v>12872.59</v>
      </c>
      <c r="BK5" s="27">
        <v>120</v>
      </c>
      <c r="BL5" s="27">
        <f>BC5*SO!$N$3</f>
        <v>11493.38</v>
      </c>
      <c r="BM5" s="27" t="str">
        <f>AN5</f>
        <v>Sales Regular</v>
      </c>
      <c r="BN5" s="27" t="s">
        <v>170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67">
        <f>SO!G6</f>
        <v>20</v>
      </c>
      <c r="H6" s="67">
        <f>SO!H6</f>
        <v>3214</v>
      </c>
      <c r="I6" s="67">
        <f>SO!I6</f>
        <v>64280</v>
      </c>
      <c r="J6" s="67">
        <f>SO!J6</f>
        <v>2</v>
      </c>
      <c r="K6" s="67">
        <f>SO!K6</f>
        <v>7</v>
      </c>
      <c r="L6" s="67">
        <f>SO!L6</f>
        <v>9</v>
      </c>
      <c r="M6" s="67">
        <f>SO!M6</f>
        <v>64280</v>
      </c>
      <c r="N6" s="67">
        <f>SO!N6</f>
        <v>1285.5999999999999</v>
      </c>
      <c r="O6" s="67">
        <f>SO!O6</f>
        <v>62994.400000000001</v>
      </c>
      <c r="P6" s="67">
        <f>SO!P6</f>
        <v>4409.6099999999997</v>
      </c>
      <c r="Q6" s="67">
        <f>SO!Q6</f>
        <v>58584.79</v>
      </c>
      <c r="R6" s="67">
        <f>SO!R6</f>
        <v>5272.63</v>
      </c>
      <c r="S6" s="67">
        <f>SO!S6</f>
        <v>10967.84</v>
      </c>
      <c r="T6" s="67">
        <f>SO!T6</f>
        <v>548.39</v>
      </c>
      <c r="U6" s="67">
        <f>SO!U6</f>
        <v>53312.160000000003</v>
      </c>
      <c r="V6" s="67">
        <f>SO!V6</f>
        <v>772213</v>
      </c>
      <c r="W6" s="68">
        <f>SO!W6</f>
        <v>0.05</v>
      </c>
      <c r="X6" s="67">
        <f>SO!X6</f>
        <v>0</v>
      </c>
      <c r="Y6" s="67">
        <f>SO!Y6</f>
        <v>0</v>
      </c>
      <c r="Z6" s="67">
        <f>SO!Z6</f>
        <v>2665.61</v>
      </c>
      <c r="AA6" s="67">
        <f>SO!AA6</f>
        <v>0</v>
      </c>
      <c r="AB6" s="67">
        <f>SO!AB6</f>
        <v>0.06</v>
      </c>
      <c r="AC6" s="67">
        <v>120</v>
      </c>
      <c r="AD6" s="67">
        <f>SO!AD6</f>
        <v>2665.61</v>
      </c>
      <c r="AE6" s="67">
        <v>3</v>
      </c>
      <c r="AF6" s="67">
        <f>ROUND(G6/AE6,3)</f>
        <v>6.6669999999999998</v>
      </c>
      <c r="AG6" s="35" t="s">
        <v>83</v>
      </c>
      <c r="AH6" s="35" t="s">
        <v>56</v>
      </c>
      <c r="AI6" s="107">
        <f>ROUND((AG6-AF6),3)</f>
        <v>1368.335</v>
      </c>
      <c r="AJ6" s="67" t="s">
        <v>50</v>
      </c>
      <c r="AK6" s="67" t="s">
        <v>61</v>
      </c>
      <c r="AL6" s="67">
        <v>0</v>
      </c>
      <c r="AM6" s="67">
        <f>ROUND(((AL6*U6)/100),2)</f>
        <v>0</v>
      </c>
      <c r="AN6" s="67" t="str">
        <f>SO!AN6</f>
        <v>Sales Regular</v>
      </c>
      <c r="AO6" s="27">
        <f>G6</f>
        <v>20</v>
      </c>
      <c r="AP6" s="27">
        <f>H6</f>
        <v>3214</v>
      </c>
      <c r="AQ6" s="27">
        <f>AO6*AP6</f>
        <v>64280</v>
      </c>
      <c r="AR6" s="27">
        <f>J6</f>
        <v>2</v>
      </c>
      <c r="AS6" s="27">
        <f t="shared" si="0"/>
        <v>7</v>
      </c>
      <c r="AT6" s="27">
        <f t="shared" si="0"/>
        <v>9</v>
      </c>
      <c r="AU6" s="27">
        <f t="shared" si="1"/>
        <v>64280</v>
      </c>
      <c r="AV6" s="27">
        <f t="shared" si="2"/>
        <v>1285.5999999999999</v>
      </c>
      <c r="AW6" s="27">
        <f t="shared" si="3"/>
        <v>62994.400000000001</v>
      </c>
      <c r="AX6" s="27">
        <f t="shared" si="4"/>
        <v>4409.6099999999997</v>
      </c>
      <c r="AY6" s="27">
        <f t="shared" si="5"/>
        <v>58584.79</v>
      </c>
      <c r="AZ6" s="27">
        <f t="shared" si="6"/>
        <v>5272.63</v>
      </c>
      <c r="BA6" s="27">
        <f t="shared" si="7"/>
        <v>10967.84</v>
      </c>
      <c r="BB6" s="27">
        <f t="shared" si="8"/>
        <v>548.39</v>
      </c>
      <c r="BC6" s="27">
        <f t="shared" si="8"/>
        <v>53312.160000000003</v>
      </c>
      <c r="BD6" s="27">
        <f t="shared" si="8"/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2665.61</v>
      </c>
      <c r="BI6" s="27">
        <f>BF6+BG6+BH6</f>
        <v>2665.61</v>
      </c>
      <c r="BJ6" s="27">
        <f>BC6+BI6</f>
        <v>55977.770000000004</v>
      </c>
      <c r="BK6" s="27">
        <v>120</v>
      </c>
      <c r="BL6" s="27">
        <f>BC6*SO!$N$3</f>
        <v>53312.160000000003</v>
      </c>
      <c r="BM6" s="27" t="str">
        <f>AN6</f>
        <v>Sales Regular</v>
      </c>
      <c r="BN6" s="27" t="s">
        <v>170</v>
      </c>
    </row>
    <row r="7" spans="1:66" ht="15">
      <c r="A7" s="27">
        <v>3</v>
      </c>
      <c r="B7" s="85" t="s">
        <v>117</v>
      </c>
      <c r="C7" s="80">
        <v>0</v>
      </c>
      <c r="D7" s="85" t="s">
        <v>117</v>
      </c>
      <c r="E7" s="106" t="s">
        <v>171</v>
      </c>
      <c r="F7" s="106" t="s">
        <v>171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108" t="s">
        <v>172</v>
      </c>
      <c r="AF7" s="31"/>
      <c r="AG7" s="31"/>
      <c r="AH7" s="31"/>
      <c r="AI7" s="31"/>
      <c r="AJ7" s="31"/>
      <c r="AK7" s="31"/>
      <c r="AL7" s="31"/>
      <c r="AM7" s="31"/>
      <c r="AN7" s="27" t="s">
        <v>112</v>
      </c>
      <c r="AO7" s="27">
        <v>15</v>
      </c>
      <c r="AP7" s="27">
        <v>5780</v>
      </c>
      <c r="AQ7" s="27">
        <f>AO7*AP7</f>
        <v>86700</v>
      </c>
      <c r="AR7" s="27">
        <v>20</v>
      </c>
      <c r="AS7" s="27">
        <v>10</v>
      </c>
      <c r="AT7" s="27">
        <v>5</v>
      </c>
      <c r="AU7" s="27">
        <f>AQ7</f>
        <v>86700</v>
      </c>
      <c r="AV7" s="27">
        <f>ROUND((AU7*AR7)/100,2)</f>
        <v>17340</v>
      </c>
      <c r="AW7" s="27">
        <f>AQ7-AV7</f>
        <v>69360</v>
      </c>
      <c r="AX7" s="27">
        <f>ROUND((AW7*AS7)/100,2)</f>
        <v>6936</v>
      </c>
      <c r="AY7" s="27">
        <f>ROUND(AW7-AX7,2)</f>
        <v>62424</v>
      </c>
      <c r="AZ7" s="27">
        <f>ROUND((AY7*AT7)/100,2)</f>
        <v>3121.2</v>
      </c>
      <c r="BA7" s="27">
        <f>AV7+AX7+AZ7</f>
        <v>27397.200000000001</v>
      </c>
      <c r="BB7" s="27">
        <f>ROUND(BA7/AO7,2)</f>
        <v>1826.48</v>
      </c>
      <c r="BC7" s="27">
        <f>(AQ7-BA7)</f>
        <v>59302.8</v>
      </c>
      <c r="BD7" s="27" t="s">
        <v>23</v>
      </c>
      <c r="BE7" s="30">
        <v>0.18</v>
      </c>
      <c r="BF7" s="27">
        <f>IF(SO!$D$3=1,ROUND(((BC7*BE7)/2),2),0)</f>
        <v>0</v>
      </c>
      <c r="BG7" s="27">
        <f>IF(SO!$D$3=1,ROUND(((BC7*BE7)/2),2),0)</f>
        <v>0</v>
      </c>
      <c r="BH7" s="27">
        <f>IF(SO!$D$3=2,ROUND(((BC7*BE7)),2),0)</f>
        <v>10674.5</v>
      </c>
      <c r="BI7" s="27">
        <f>BF7+BG7+BH7</f>
        <v>10674.5</v>
      </c>
      <c r="BJ7" s="27">
        <f>BC7+BI7</f>
        <v>69977.3</v>
      </c>
      <c r="BK7" s="27">
        <v>120</v>
      </c>
      <c r="BL7" s="27">
        <f>BC7*SO!$N$3</f>
        <v>59302.8</v>
      </c>
      <c r="BM7" s="27" t="s">
        <v>168</v>
      </c>
      <c r="BN7" s="27" t="s">
        <v>173</v>
      </c>
    </row>
    <row r="8" spans="1:66" ht="15">
      <c r="P8" s="15"/>
      <c r="Q8" s="15" t="s">
        <v>41</v>
      </c>
      <c r="R8" s="15"/>
      <c r="S8" s="15">
        <f>SUM(S5:S7)</f>
        <v>11814.460000000001</v>
      </c>
      <c r="T8" s="15"/>
      <c r="U8" s="13"/>
      <c r="V8" s="13"/>
      <c r="W8" s="14"/>
      <c r="X8" s="13"/>
      <c r="Y8" s="13"/>
      <c r="Z8" s="15" t="s">
        <v>39</v>
      </c>
      <c r="AA8" s="15"/>
      <c r="AB8" s="79">
        <f>SUM(AB5:AB7)</f>
        <v>0.12</v>
      </c>
      <c r="AC8" s="15" t="s">
        <v>40</v>
      </c>
      <c r="AD8" s="79">
        <f>SUM(AD5:AD7)</f>
        <v>4044.82</v>
      </c>
      <c r="AE8" s="12"/>
      <c r="AF8" s="13"/>
      <c r="AG8" s="13"/>
      <c r="AH8" s="13"/>
      <c r="AO8" s="11"/>
      <c r="AP8" s="12"/>
      <c r="AQ8" s="13"/>
      <c r="AR8" s="13"/>
      <c r="AS8" s="14"/>
      <c r="AT8" s="14"/>
      <c r="AU8" s="14"/>
      <c r="AV8" s="13"/>
      <c r="AW8" s="13"/>
      <c r="AX8" s="15"/>
      <c r="AY8" s="15" t="s">
        <v>41</v>
      </c>
      <c r="AZ8" s="15"/>
      <c r="BA8" s="79">
        <f>SUM(BA5:BA6)</f>
        <v>11814.460000000001</v>
      </c>
      <c r="BB8" s="15"/>
      <c r="BD8" s="13"/>
      <c r="BE8" s="13"/>
      <c r="BF8" s="14"/>
      <c r="BG8" s="13"/>
      <c r="BH8" s="15" t="s">
        <v>39</v>
      </c>
      <c r="BI8" s="15"/>
      <c r="BJ8" s="79">
        <f>SUM(BJ5:BJ7)</f>
        <v>138827.66</v>
      </c>
      <c r="BK8" s="15" t="s">
        <v>40</v>
      </c>
      <c r="BL8" s="79">
        <f>SUM(BL5:BL7)</f>
        <v>124108.34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U17"/>
  <sheetViews>
    <sheetView showGridLines="0" topLeftCell="BD1" zoomScale="85" zoomScaleNormal="85" workbookViewId="0">
      <selection activeCell="A7" sqref="A7:BU7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10.85546875" style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5" style="1" bestFit="1" customWidth="1"/>
    <col min="9" max="9" width="16" style="1" bestFit="1" customWidth="1"/>
    <col min="10" max="10" width="10.28515625" style="1" bestFit="1" customWidth="1"/>
    <col min="11" max="11" width="10" style="1" bestFit="1" customWidth="1"/>
    <col min="12" max="12" width="10.140625" style="1" bestFit="1" customWidth="1"/>
    <col min="13" max="13" width="17.85546875" style="1" bestFit="1" customWidth="1"/>
    <col min="14" max="14" width="13.140625" style="1" bestFit="1" customWidth="1"/>
    <col min="15" max="15" width="17.5703125" style="1" bestFit="1" customWidth="1"/>
    <col min="16" max="16" width="14.7109375" style="1" customWidth="1"/>
    <col min="17" max="17" width="9.7109375" style="1" bestFit="1" customWidth="1"/>
    <col min="18" max="18" width="13" style="1" bestFit="1" customWidth="1"/>
    <col min="19" max="19" width="14.85546875" style="1" bestFit="1" customWidth="1"/>
    <col min="20" max="20" width="21.85546875" style="1" bestFit="1" customWidth="1"/>
    <col min="21" max="21" width="14.5703125" style="1" bestFit="1" customWidth="1"/>
    <col min="22" max="22" width="15" style="1" bestFit="1" customWidth="1"/>
    <col min="23" max="23" width="13.85546875" style="1" bestFit="1" customWidth="1"/>
    <col min="24" max="25" width="10.7109375" style="1" bestFit="1" customWidth="1"/>
    <col min="26" max="26" width="11.28515625" style="1" customWidth="1"/>
    <col min="27" max="27" width="13.140625" style="1" bestFit="1" customWidth="1"/>
    <col min="28" max="28" width="13" style="1" bestFit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5.7109375" style="36" bestFit="1" customWidth="1"/>
    <col min="36" max="36" width="13.5703125" style="1" customWidth="1"/>
    <col min="37" max="37" width="12.7109375" style="1" customWidth="1"/>
    <col min="38" max="39" width="9.140625" style="1"/>
    <col min="40" max="40" width="11" style="1" bestFit="1" customWidth="1"/>
    <col min="41" max="41" width="10.42578125" style="1" bestFit="1" customWidth="1"/>
    <col min="42" max="42" width="15" style="1" bestFit="1" customWidth="1"/>
    <col min="43" max="43" width="16" style="1" bestFit="1" customWidth="1"/>
    <col min="44" max="44" width="11.140625" style="1" bestFit="1" customWidth="1"/>
    <col min="45" max="45" width="10.85546875" style="1" bestFit="1" customWidth="1"/>
    <col min="46" max="46" width="11" style="1" bestFit="1" customWidth="1"/>
    <col min="47" max="47" width="17.85546875" style="1" bestFit="1" customWidth="1"/>
    <col min="48" max="48" width="13.140625" style="1" bestFit="1" customWidth="1"/>
    <col min="49" max="49" width="17.5703125" style="1" bestFit="1" customWidth="1"/>
    <col min="50" max="50" width="12.85546875" style="1" bestFit="1" customWidth="1"/>
    <col min="51" max="51" width="13.7109375" style="1" bestFit="1" customWidth="1"/>
    <col min="52" max="52" width="13" style="1" bestFit="1" customWidth="1"/>
    <col min="53" max="53" width="14.85546875" style="1" bestFit="1" customWidth="1"/>
    <col min="54" max="54" width="21.85546875" style="1" bestFit="1" customWidth="1"/>
    <col min="55" max="55" width="14.5703125" style="1" bestFit="1" customWidth="1"/>
    <col min="56" max="56" width="10.85546875" style="1" bestFit="1" customWidth="1"/>
    <col min="57" max="57" width="17.85546875" style="1" bestFit="1" customWidth="1"/>
    <col min="58" max="58" width="11.85546875" style="1" customWidth="1"/>
    <col min="59" max="59" width="15" style="1" bestFit="1" customWidth="1"/>
    <col min="60" max="60" width="13.5703125" style="1" bestFit="1" customWidth="1"/>
    <col min="61" max="61" width="13.140625" style="1" bestFit="1" customWidth="1"/>
    <col min="62" max="62" width="11.85546875" style="1" bestFit="1" customWidth="1"/>
    <col min="63" max="63" width="15" style="1" bestFit="1" customWidth="1"/>
    <col min="64" max="64" width="10.5703125" style="1" bestFit="1" customWidth="1"/>
    <col min="65" max="65" width="11" style="1" bestFit="1" customWidth="1"/>
    <col min="66" max="67" width="9.140625" style="1"/>
    <col min="68" max="68" width="10.5703125" style="1" bestFit="1" customWidth="1"/>
    <col min="69" max="69" width="15" style="1" bestFit="1" customWidth="1"/>
    <col min="70" max="70" width="9.140625" style="1"/>
    <col min="71" max="71" width="12.85546875" style="1" bestFit="1" customWidth="1"/>
    <col min="72" max="72" width="11" style="1" bestFit="1" customWidth="1"/>
    <col min="73" max="73" width="12.7109375" style="1" customWidth="1"/>
    <col min="74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1234</v>
      </c>
      <c r="AT5" s="27">
        <f>AR5*AS5</f>
        <v>12340</v>
      </c>
      <c r="AU5" s="27">
        <v>1</v>
      </c>
      <c r="AV5" s="27">
        <v>2</v>
      </c>
      <c r="AW5" s="27">
        <v>4</v>
      </c>
      <c r="AX5" s="27">
        <f>AT5</f>
        <v>12340</v>
      </c>
      <c r="AY5" s="27">
        <f>ROUND((AX5*AU5)/100,2)</f>
        <v>123.4</v>
      </c>
      <c r="AZ5" s="27">
        <f>AT5-AY5</f>
        <v>12216.6</v>
      </c>
      <c r="BA5" s="27">
        <f>ROUND((AZ5*AV5)/100,2)</f>
        <v>244.33</v>
      </c>
      <c r="BB5" s="27">
        <f>ROUND(AZ5-BA5,2)</f>
        <v>11972.27</v>
      </c>
      <c r="BC5" s="27">
        <f>ROUND((BB5*AW5)/100,2)</f>
        <v>478.89</v>
      </c>
      <c r="BD5" s="27">
        <f>AY5+BA5+BC5</f>
        <v>846.62</v>
      </c>
      <c r="BE5" s="27">
        <f>ROUND(BD5/AR5,2)</f>
        <v>84.66</v>
      </c>
      <c r="BF5" s="27">
        <f>(AT5-BD5)</f>
        <v>11493.38</v>
      </c>
      <c r="BG5" s="27" t="s">
        <v>184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1379.21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1379.21</v>
      </c>
      <c r="BP5" s="27">
        <f t="shared" ref="BP5:BP6" si="0">BF5+BO5</f>
        <v>12872.59</v>
      </c>
      <c r="BQ5" s="27">
        <v>120</v>
      </c>
      <c r="BR5" s="27">
        <f t="shared" ref="BR5:BR6" si="1">BF5*$N$3</f>
        <v>11493.38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3214</v>
      </c>
      <c r="AT6" s="27">
        <f>AR6*AS6</f>
        <v>64280</v>
      </c>
      <c r="AU6" s="27">
        <v>2</v>
      </c>
      <c r="AV6" s="27">
        <v>7</v>
      </c>
      <c r="AW6" s="27">
        <v>9</v>
      </c>
      <c r="AX6" s="27">
        <f>AT6</f>
        <v>64280</v>
      </c>
      <c r="AY6" s="27">
        <f>ROUND((AX6*AU6)/100,2)</f>
        <v>1285.5999999999999</v>
      </c>
      <c r="AZ6" s="27">
        <f>AT6-AY6</f>
        <v>62994.400000000001</v>
      </c>
      <c r="BA6" s="27">
        <f>ROUND((AZ6*AV6)/100,2)</f>
        <v>4409.6099999999997</v>
      </c>
      <c r="BB6" s="27">
        <f>ROUND(AZ6-BA6,2)</f>
        <v>58584.79</v>
      </c>
      <c r="BC6" s="27">
        <f>ROUND((BB6*AW6)/100,2)</f>
        <v>5272.63</v>
      </c>
      <c r="BD6" s="27">
        <f>AY6+BA6+BC6</f>
        <v>10967.84</v>
      </c>
      <c r="BE6" s="27">
        <f>ROUND(BD6/AR6,2)</f>
        <v>548.39</v>
      </c>
      <c r="BF6" s="27">
        <f>(AT6-BD6)</f>
        <v>53312.160000000003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2665.61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2665.61</v>
      </c>
      <c r="BP6" s="27">
        <f t="shared" si="0"/>
        <v>55977.770000000004</v>
      </c>
      <c r="BQ6" s="27">
        <v>120</v>
      </c>
      <c r="BR6" s="27">
        <f t="shared" si="1"/>
        <v>53312.160000000003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27">
        <v>3</v>
      </c>
      <c r="B7" s="85" t="s">
        <v>117</v>
      </c>
      <c r="C7" s="80">
        <v>0</v>
      </c>
      <c r="D7" s="85" t="s">
        <v>117</v>
      </c>
      <c r="E7" s="106" t="s">
        <v>171</v>
      </c>
      <c r="F7" s="106" t="s">
        <v>171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112</v>
      </c>
      <c r="AR7" s="27">
        <v>35</v>
      </c>
      <c r="AS7" s="27">
        <v>8716</v>
      </c>
      <c r="AT7" s="27">
        <f>AR7*AS7</f>
        <v>305060</v>
      </c>
      <c r="AU7" s="27">
        <v>5</v>
      </c>
      <c r="AV7" s="27">
        <v>9</v>
      </c>
      <c r="AW7" s="27">
        <v>11</v>
      </c>
      <c r="AX7" s="27">
        <f>AT7</f>
        <v>305060</v>
      </c>
      <c r="AY7" s="27">
        <f>ROUND((AX7*AU7)/100,2)</f>
        <v>15253</v>
      </c>
      <c r="AZ7" s="27">
        <f>AT7-AY7</f>
        <v>289807</v>
      </c>
      <c r="BA7" s="27">
        <f>ROUND((AZ7*AV7)/100,2)</f>
        <v>26082.63</v>
      </c>
      <c r="BB7" s="27">
        <f>ROUND(AZ7-BA7,2)</f>
        <v>263724.37</v>
      </c>
      <c r="BC7" s="27">
        <f>ROUND((BB7*AW7)/100,2)</f>
        <v>29009.68</v>
      </c>
      <c r="BD7" s="27">
        <f>AY7+BA7+BC7</f>
        <v>70345.31</v>
      </c>
      <c r="BE7" s="27">
        <f>ROUND(BD7/AR7,2)</f>
        <v>2009.87</v>
      </c>
      <c r="BF7" s="27">
        <f>(AT7-BD7)</f>
        <v>234714.69</v>
      </c>
      <c r="BG7" s="27">
        <v>772213</v>
      </c>
      <c r="BH7" s="30">
        <v>0.05</v>
      </c>
      <c r="BI7" s="27">
        <f>IF(OR($D$3=1,$D$3=4),ROUND((BF7*BH7)/2,2),0)</f>
        <v>0</v>
      </c>
      <c r="BJ7" s="27">
        <f>IF($D$3=1,ROUND(((BF7*BH7)/2),2),0)</f>
        <v>0</v>
      </c>
      <c r="BK7" s="27">
        <f>IF($D$3=2,ROUND(((BF7*BH7)),2),0)</f>
        <v>11735.73</v>
      </c>
      <c r="BL7" s="27">
        <f>IF($D$3=4,ROUND(((BF7*BH7)/2),2),0)</f>
        <v>0</v>
      </c>
      <c r="BM7" s="30">
        <v>0.06</v>
      </c>
      <c r="BN7" s="27">
        <f>IF($D$3=5,ROUND(((BF7*BM7)/2),2),0)</f>
        <v>0</v>
      </c>
      <c r="BO7" s="27">
        <f>BI7+BJ7+BK7+BL7+BN7</f>
        <v>11735.73</v>
      </c>
      <c r="BP7" s="27">
        <f t="shared" ref="BP7" si="2">BF7+BO7</f>
        <v>246450.42</v>
      </c>
      <c r="BQ7" s="27">
        <v>120</v>
      </c>
      <c r="BR7" s="27">
        <f t="shared" ref="BR7" si="3">BF7*$N$3</f>
        <v>234714.69</v>
      </c>
      <c r="BS7" s="27" t="s">
        <v>61</v>
      </c>
      <c r="BT7" s="27" t="s">
        <v>112</v>
      </c>
      <c r="BU7" s="27" t="s">
        <v>173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5"/>
      <c r="Q8" s="15" t="s">
        <v>41</v>
      </c>
      <c r="R8" s="15"/>
      <c r="S8" s="15">
        <f>SUM(S5:S6)</f>
        <v>11814.460000000001</v>
      </c>
      <c r="T8" s="15"/>
      <c r="U8" s="13"/>
      <c r="V8" s="13"/>
      <c r="W8" s="14"/>
      <c r="X8" s="13"/>
      <c r="Y8" s="13"/>
      <c r="Z8" s="15" t="s">
        <v>39</v>
      </c>
      <c r="AA8" s="15"/>
      <c r="AB8" s="15"/>
      <c r="AC8" s="15"/>
      <c r="AD8" s="15"/>
      <c r="AE8" s="79">
        <f>SUM(AE5:AE6)</f>
        <v>68850.36</v>
      </c>
      <c r="AF8" s="15" t="s">
        <v>40</v>
      </c>
      <c r="AG8" s="79">
        <f>AG5</f>
        <v>11493.38</v>
      </c>
      <c r="AH8" s="12"/>
      <c r="AI8" s="13"/>
      <c r="AJ8" s="13"/>
      <c r="AK8" s="13"/>
      <c r="AL8" s="36"/>
      <c r="AR8" s="12"/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>
        <f>SUM(BD5:BD7)</f>
        <v>82159.77</v>
      </c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SUM(BP5:BP7)</f>
        <v>315300.78000000003</v>
      </c>
      <c r="BQ8" s="15" t="s">
        <v>40</v>
      </c>
      <c r="BR8" s="79">
        <f>SUM(BR5:BR7)</f>
        <v>299520.23</v>
      </c>
    </row>
    <row r="9" spans="1:73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  <row r="17" spans="1:2">
      <c r="A17" s="11"/>
      <c r="B17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U9"/>
  <sheetViews>
    <sheetView showGridLines="0" tabSelected="1" zoomScale="85" zoomScaleNormal="85" workbookViewId="0">
      <selection activeCell="I9" sqref="I9"/>
    </sheetView>
  </sheetViews>
  <sheetFormatPr defaultColWidth="9.140625" defaultRowHeight="14.25"/>
  <cols>
    <col min="1" max="1" width="5.7109375" style="1" bestFit="1" customWidth="1"/>
    <col min="2" max="2" width="28.85546875" style="1" bestFit="1" customWidth="1"/>
    <col min="3" max="3" width="4.5703125" style="1" bestFit="1" customWidth="1"/>
    <col min="4" max="4" width="28.85546875" style="1" bestFit="1" customWidth="1"/>
    <col min="5" max="5" width="10" style="1" bestFit="1" customWidth="1"/>
    <col min="6" max="6" width="12.5703125" style="1" bestFit="1" customWidth="1"/>
    <col min="7" max="7" width="14.7109375" style="1" bestFit="1" customWidth="1"/>
    <col min="8" max="8" width="10.140625" style="1" bestFit="1" customWidth="1"/>
    <col min="9" max="9" width="13.5703125" style="1" customWidth="1"/>
    <col min="10" max="11" width="8.140625" style="1" bestFit="1" customWidth="1"/>
    <col min="12" max="12" width="8" style="1" bestFit="1" customWidth="1"/>
    <col min="13" max="13" width="13.85546875" style="1" bestFit="1" customWidth="1"/>
    <col min="14" max="14" width="9.7109375" style="1" bestFit="1" customWidth="1"/>
    <col min="15" max="15" width="12.5703125" style="1" customWidth="1"/>
    <col min="16" max="16" width="14.7109375" style="1" customWidth="1"/>
    <col min="17" max="17" width="9.7109375" style="1" bestFit="1" customWidth="1"/>
    <col min="18" max="18" width="9" style="1" customWidth="1"/>
    <col min="19" max="19" width="10.85546875" style="1" bestFit="1" customWidth="1"/>
    <col min="20" max="20" width="17.85546875" style="1" bestFit="1" customWidth="1"/>
    <col min="21" max="21" width="10.5703125" style="1" bestFit="1" customWidth="1"/>
    <col min="22" max="22" width="11.5703125" style="1" customWidth="1"/>
    <col min="23" max="23" width="9.28515625" style="1" bestFit="1" customWidth="1"/>
    <col min="24" max="25" width="10.7109375" style="1" bestFit="1" customWidth="1"/>
    <col min="26" max="26" width="11.28515625" style="1" customWidth="1"/>
    <col min="27" max="27" width="10.7109375" style="1" bestFit="1" customWidth="1"/>
    <col min="28" max="28" width="11.7109375" style="1" customWidth="1"/>
    <col min="29" max="29" width="16" style="1" bestFit="1" customWidth="1"/>
    <col min="30" max="30" width="12" style="1" bestFit="1" customWidth="1"/>
    <col min="31" max="31" width="12.28515625" style="1" customWidth="1"/>
    <col min="32" max="32" width="14.7109375" style="1" bestFit="1" customWidth="1"/>
    <col min="33" max="34" width="12.28515625" style="35" customWidth="1"/>
    <col min="35" max="35" width="10.28515625" style="36" customWidth="1"/>
    <col min="36" max="36" width="13.5703125" style="1" customWidth="1"/>
    <col min="37" max="37" width="12.7109375" style="1" customWidth="1"/>
    <col min="38" max="42" width="9.140625" style="1"/>
    <col min="43" max="43" width="11" style="1" bestFit="1" customWidth="1"/>
    <col min="44" max="49" width="9.140625" style="1"/>
    <col min="50" max="50" width="13.85546875" style="1" bestFit="1" customWidth="1"/>
    <col min="51" max="51" width="9.140625" style="1"/>
    <col min="52" max="52" width="13.5703125" style="1" bestFit="1" customWidth="1"/>
    <col min="53" max="70" width="9.140625" style="1"/>
    <col min="71" max="71" width="12.85546875" style="1" bestFit="1" customWidth="1"/>
    <col min="72" max="16384" width="9.140625" style="1"/>
  </cols>
  <sheetData>
    <row r="1" spans="1:73" ht="27.75" customHeight="1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34" t="s">
        <v>35</v>
      </c>
      <c r="B3" s="134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182</v>
      </c>
      <c r="AB4" s="24" t="s">
        <v>183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111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182</v>
      </c>
      <c r="BM4" s="24" t="s">
        <v>183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111</v>
      </c>
      <c r="BU4" s="26" t="s">
        <v>169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  <c r="AR5" s="27">
        <v>20</v>
      </c>
      <c r="AS5" s="27">
        <v>1500</v>
      </c>
      <c r="AT5" s="27">
        <f>AR5*AS5</f>
        <v>30000</v>
      </c>
      <c r="AU5" s="27">
        <v>2</v>
      </c>
      <c r="AV5" s="27">
        <v>3</v>
      </c>
      <c r="AW5" s="27">
        <v>5</v>
      </c>
      <c r="AX5" s="27">
        <f>AT5</f>
        <v>30000</v>
      </c>
      <c r="AY5" s="27">
        <f>ROUND((AX5*AU5)/100,2)</f>
        <v>600</v>
      </c>
      <c r="AZ5" s="27">
        <f>AT5-AY5</f>
        <v>29400</v>
      </c>
      <c r="BA5" s="27">
        <f>ROUND((AZ5*AV5)/100,2)</f>
        <v>882</v>
      </c>
      <c r="BB5" s="27">
        <f>ROUND(AZ5-BA5,2)</f>
        <v>28518</v>
      </c>
      <c r="BC5" s="27">
        <f>ROUND((BB5*AW5)/100,2)</f>
        <v>1425.9</v>
      </c>
      <c r="BD5" s="27">
        <f>ROUND(AY5+BA5+BC5,2)</f>
        <v>2907.9</v>
      </c>
      <c r="BE5" s="27">
        <f>ROUND(BD5/AR5,2)</f>
        <v>145.4</v>
      </c>
      <c r="BF5" s="27">
        <f>(AT5-BD5)</f>
        <v>27092.1</v>
      </c>
      <c r="BG5" s="27" t="s">
        <v>23</v>
      </c>
      <c r="BH5" s="30">
        <v>0.12</v>
      </c>
      <c r="BI5" s="27">
        <f>IF(OR($D$3=1,$D$3=4),ROUND((BF5*BH5)/2,2),0)</f>
        <v>1625.53</v>
      </c>
      <c r="BJ5" s="27">
        <f>IF($D$3=1,ROUND(((BF5*BH5)/2),2),0)</f>
        <v>1625.53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3251.06</v>
      </c>
      <c r="BP5" s="27">
        <f t="shared" ref="BP5:BP7" si="3">BF5+BO5</f>
        <v>30343.16</v>
      </c>
      <c r="BQ5" s="27">
        <v>120</v>
      </c>
      <c r="BR5" s="27">
        <f t="shared" ref="BR5:BR7" si="4">BF5*$N$3</f>
        <v>27092.1</v>
      </c>
      <c r="BS5" s="27" t="s">
        <v>61</v>
      </c>
      <c r="BT5" s="27" t="s">
        <v>112</v>
      </c>
      <c r="BU5" s="27" t="s">
        <v>170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  <c r="AR6" s="27">
        <v>30</v>
      </c>
      <c r="AS6" s="27">
        <v>2000</v>
      </c>
      <c r="AT6" s="27">
        <f>AR6*AS6</f>
        <v>60000</v>
      </c>
      <c r="AU6" s="27">
        <v>5</v>
      </c>
      <c r="AV6" s="27">
        <v>7</v>
      </c>
      <c r="AW6" s="27">
        <v>9</v>
      </c>
      <c r="AX6" s="27">
        <f>AT6</f>
        <v>60000</v>
      </c>
      <c r="AY6" s="27">
        <f>ROUND((AX6*AU6)/100,2)</f>
        <v>3000</v>
      </c>
      <c r="AZ6" s="27">
        <f>AT6-AY6</f>
        <v>57000</v>
      </c>
      <c r="BA6" s="27">
        <f>ROUND((AZ6*AV6)/100,2)</f>
        <v>3990</v>
      </c>
      <c r="BB6" s="27">
        <f>ROUND(AZ6-BA6,2)</f>
        <v>53010</v>
      </c>
      <c r="BC6" s="27">
        <f>ROUND((BB6*AW6)/100,2)</f>
        <v>4770.8999999999996</v>
      </c>
      <c r="BD6" s="27">
        <f>ROUND(AY6+BA6+BC6,2)</f>
        <v>11760.9</v>
      </c>
      <c r="BE6" s="27">
        <f>ROUND(BD6/AR6,2)</f>
        <v>392.03</v>
      </c>
      <c r="BF6" s="27">
        <f>(AT6-BD6)</f>
        <v>48239.1</v>
      </c>
      <c r="BG6" s="27" t="s">
        <v>23</v>
      </c>
      <c r="BH6" s="30">
        <v>0.05</v>
      </c>
      <c r="BI6" s="27">
        <f>IF(OR($D$3=1,$D$3=4),ROUND((BF6*BH6)/2,2),0)</f>
        <v>1205.98</v>
      </c>
      <c r="BJ6" s="27">
        <f>IF($D$3=1,ROUND(((BF6*BH6)/2),2),0)</f>
        <v>1205.98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2411.96</v>
      </c>
      <c r="BP6" s="27">
        <f t="shared" si="3"/>
        <v>50651.06</v>
      </c>
      <c r="BQ6" s="27">
        <v>120</v>
      </c>
      <c r="BR6" s="27">
        <f t="shared" si="4"/>
        <v>48239.1</v>
      </c>
      <c r="BS6" s="27" t="s">
        <v>61</v>
      </c>
      <c r="BT6" s="27" t="s">
        <v>112</v>
      </c>
      <c r="BU6" s="27" t="s">
        <v>170</v>
      </c>
    </row>
    <row r="7" spans="1:73" ht="14.25" customHeight="1">
      <c r="A7" s="27">
        <v>3</v>
      </c>
      <c r="B7" s="85" t="s">
        <v>117</v>
      </c>
      <c r="C7" s="80">
        <v>0</v>
      </c>
      <c r="D7" s="85" t="s">
        <v>117</v>
      </c>
      <c r="E7" s="106" t="s">
        <v>171</v>
      </c>
      <c r="F7" s="106" t="s">
        <v>171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112</v>
      </c>
      <c r="AR7" s="27">
        <v>35</v>
      </c>
      <c r="AS7" s="27">
        <v>8716</v>
      </c>
      <c r="AT7" s="27">
        <f>AR7*AS7</f>
        <v>305060</v>
      </c>
      <c r="AU7" s="27">
        <v>5</v>
      </c>
      <c r="AV7" s="27">
        <v>9</v>
      </c>
      <c r="AW7" s="27">
        <v>11</v>
      </c>
      <c r="AX7" s="27">
        <f>AT7</f>
        <v>305060</v>
      </c>
      <c r="AY7" s="27">
        <f>ROUND((AX7*AU7)/100,2)</f>
        <v>15253</v>
      </c>
      <c r="AZ7" s="27">
        <f>AT7-AY7</f>
        <v>289807</v>
      </c>
      <c r="BA7" s="27">
        <f>ROUND((AZ7*AV7)/100,2)</f>
        <v>26082.63</v>
      </c>
      <c r="BB7" s="27">
        <f>ROUND(AZ7-BA7,2)</f>
        <v>263724.37</v>
      </c>
      <c r="BC7" s="27">
        <f>ROUND((BB7*AW7)/100,2)</f>
        <v>29009.68</v>
      </c>
      <c r="BD7" s="27">
        <f>AY7+BA7+BC7</f>
        <v>70345.31</v>
      </c>
      <c r="BE7" s="27">
        <f>ROUND(BD7/AR7,2)</f>
        <v>2009.87</v>
      </c>
      <c r="BF7" s="27">
        <f>(AT7-BD7)</f>
        <v>234714.69</v>
      </c>
      <c r="BG7" s="27">
        <v>772213</v>
      </c>
      <c r="BH7" s="30">
        <v>0.05</v>
      </c>
      <c r="BI7" s="27">
        <f>IF(OR($D$3=1,$D$3=4),ROUND((BF7*BH7)/2,2),0)</f>
        <v>5867.87</v>
      </c>
      <c r="BJ7" s="27">
        <f>IF($D$3=1,ROUND(((BF7*BH7)/2),2),0)</f>
        <v>5867.87</v>
      </c>
      <c r="BK7" s="27">
        <f>IF($D$3=2,ROUND(((BF7*BH7)),2),0)</f>
        <v>0</v>
      </c>
      <c r="BL7" s="27">
        <f>IF($D$3=4,ROUND(((BF7*BH7)/2),2),0)</f>
        <v>0</v>
      </c>
      <c r="BM7" s="30">
        <v>0.06</v>
      </c>
      <c r="BN7" s="27">
        <f>IF($D$3=5,ROUND(((BF7*BM7)/2),2),0)</f>
        <v>0</v>
      </c>
      <c r="BO7" s="27">
        <f>BI7+BJ7+BK7+BL7+BN7</f>
        <v>11735.74</v>
      </c>
      <c r="BP7" s="27">
        <f t="shared" si="3"/>
        <v>246450.43</v>
      </c>
      <c r="BQ7" s="27">
        <v>120</v>
      </c>
      <c r="BR7" s="27">
        <f t="shared" si="4"/>
        <v>234714.69</v>
      </c>
      <c r="BS7" s="27" t="s">
        <v>61</v>
      </c>
      <c r="BT7" s="27" t="s">
        <v>112</v>
      </c>
      <c r="BU7" s="27" t="s">
        <v>173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5"/>
      <c r="Q8" s="15" t="s">
        <v>41</v>
      </c>
      <c r="R8" s="15"/>
      <c r="S8" s="15"/>
      <c r="T8" s="15"/>
      <c r="U8" s="13"/>
      <c r="V8" s="13"/>
      <c r="W8" s="14"/>
      <c r="X8" s="13"/>
      <c r="Y8" s="13"/>
      <c r="Z8" s="15" t="s">
        <v>39</v>
      </c>
      <c r="AA8" s="15"/>
      <c r="AB8" s="15"/>
      <c r="AC8" s="15"/>
      <c r="AD8" s="15"/>
      <c r="AE8" s="79">
        <f>SUM(AE5:AE6)</f>
        <v>32055.25</v>
      </c>
      <c r="AF8" s="15" t="s">
        <v>40</v>
      </c>
      <c r="AG8" s="79">
        <f>AG5</f>
        <v>13546.05</v>
      </c>
      <c r="AH8" s="12"/>
      <c r="AI8" s="13"/>
      <c r="AJ8" s="13"/>
      <c r="AK8" s="13"/>
      <c r="AL8" s="36"/>
      <c r="AR8" s="12"/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/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SUM(BP5:BP6)</f>
        <v>80994.22</v>
      </c>
      <c r="BQ8" s="15" t="s">
        <v>40</v>
      </c>
      <c r="BR8" s="79">
        <f>BR5</f>
        <v>27092.1</v>
      </c>
    </row>
    <row r="9" spans="1:73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N27"/>
  <sheetViews>
    <sheetView workbookViewId="0">
      <selection activeCell="F17" sqref="F17"/>
    </sheetView>
  </sheetViews>
  <sheetFormatPr defaultRowHeight="15"/>
  <cols>
    <col min="2" max="2" width="28.7109375" bestFit="1" customWidth="1"/>
    <col min="4" max="4" width="28.7109375" bestFit="1" customWidth="1"/>
    <col min="5" max="5" width="10.42578125" customWidth="1"/>
    <col min="6" max="6" width="17.85546875" bestFit="1" customWidth="1"/>
    <col min="8" max="8" width="11" bestFit="1" customWidth="1"/>
    <col min="9" max="9" width="11.85546875" bestFit="1" customWidth="1"/>
    <col min="11" max="11" width="10.42578125" customWidth="1"/>
    <col min="13" max="13" width="12.5703125" customWidth="1"/>
    <col min="14" max="14" width="11.7109375" customWidth="1"/>
    <col min="15" max="15" width="13.28515625" customWidth="1"/>
    <col min="16" max="16" width="10.5703125" bestFit="1" customWidth="1"/>
    <col min="18" max="18" width="14.7109375" bestFit="1" customWidth="1"/>
    <col min="19" max="19" width="11" customWidth="1"/>
    <col min="20" max="20" width="17.85546875" bestFit="1" customWidth="1"/>
    <col min="21" max="21" width="10.7109375" bestFit="1" customWidth="1"/>
    <col min="22" max="22" width="14" bestFit="1" customWidth="1"/>
    <col min="23" max="23" width="11.140625" customWidth="1"/>
    <col min="28" max="28" width="10.7109375" bestFit="1" customWidth="1"/>
    <col min="29" max="29" width="14.85546875" bestFit="1" customWidth="1"/>
    <col min="30" max="30" width="10.7109375" bestFit="1" customWidth="1"/>
    <col min="31" max="31" width="13.5703125" bestFit="1" customWidth="1"/>
    <col min="32" max="32" width="15.5703125" bestFit="1" customWidth="1"/>
    <col min="35" max="35" width="10" customWidth="1"/>
    <col min="36" max="36" width="14.85546875" customWidth="1"/>
    <col min="37" max="37" width="15" customWidth="1"/>
    <col min="40" max="40" width="11" bestFit="1" customWidth="1"/>
  </cols>
  <sheetData>
    <row r="1" spans="1:40" ht="18">
      <c r="A1" s="133" t="s">
        <v>42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09"/>
      <c r="AD1" s="109"/>
      <c r="AE1" s="109"/>
      <c r="AF1" s="109"/>
      <c r="AG1" s="32"/>
      <c r="AH1" s="32"/>
      <c r="AI1" s="36"/>
      <c r="AJ1" s="1"/>
      <c r="AK1" s="1"/>
      <c r="AL1" s="1"/>
      <c r="AM1" s="1"/>
    </row>
    <row r="2" spans="1:40" ht="18">
      <c r="A2" s="109" t="s">
        <v>30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32"/>
      <c r="AH2" s="32"/>
      <c r="AI2" s="36"/>
      <c r="AJ2" s="1"/>
      <c r="AK2" s="1"/>
      <c r="AL2" s="1"/>
      <c r="AM2" s="1"/>
    </row>
    <row r="3" spans="1:40" ht="15.75" thickBot="1">
      <c r="A3" s="134" t="s">
        <v>35</v>
      </c>
      <c r="B3" s="134"/>
      <c r="C3" s="110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  <c r="AI3" s="36"/>
      <c r="AJ3" s="1"/>
      <c r="AK3" s="1"/>
      <c r="AL3" s="1"/>
      <c r="AM3" s="1"/>
    </row>
    <row r="4" spans="1:40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12</v>
      </c>
      <c r="AB4" s="25" t="s">
        <v>11</v>
      </c>
      <c r="AC4" s="25" t="s">
        <v>29</v>
      </c>
      <c r="AD4" s="26" t="s">
        <v>34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111</v>
      </c>
    </row>
    <row r="5" spans="1:40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8">
        <v>10</v>
      </c>
      <c r="H5" s="31">
        <v>1679</v>
      </c>
      <c r="I5" s="31">
        <f>G5*H5</f>
        <v>16790</v>
      </c>
      <c r="J5" s="31">
        <v>12.5</v>
      </c>
      <c r="K5" s="31">
        <v>11.3</v>
      </c>
      <c r="L5" s="31">
        <v>25.6</v>
      </c>
      <c r="M5" s="31">
        <f>I5</f>
        <v>16790</v>
      </c>
      <c r="N5" s="31">
        <f>ROUND((M5*J5)/100,2)</f>
        <v>2098.75</v>
      </c>
      <c r="O5" s="31">
        <f>I5-N5</f>
        <v>14691.25</v>
      </c>
      <c r="P5" s="31">
        <f>ROUND((O5*K5)/100,2)</f>
        <v>1660.11</v>
      </c>
      <c r="Q5" s="31">
        <f>ROUND(O5-P5,2)</f>
        <v>13031.14</v>
      </c>
      <c r="R5" s="31">
        <f>ROUND((Q5*L5)/100,2)</f>
        <v>3335.97</v>
      </c>
      <c r="S5" s="31">
        <f>ROUND(N5+P5+R5,2)</f>
        <v>7094.83</v>
      </c>
      <c r="T5" s="31">
        <f>ROUND(S5/G5,2)</f>
        <v>709.48</v>
      </c>
      <c r="U5" s="31">
        <f>(I5-S5)</f>
        <v>9695.17</v>
      </c>
      <c r="V5" s="31" t="s">
        <v>23</v>
      </c>
      <c r="W5" s="30">
        <v>0.12</v>
      </c>
      <c r="X5" s="31">
        <f>IF($D$3=1,ROUND(((U5*W5)/2),2),0)</f>
        <v>0</v>
      </c>
      <c r="Y5" s="31">
        <f>IF($D$3=1,ROUND(((U5*W5)/2),2),0)</f>
        <v>0</v>
      </c>
      <c r="Z5" s="31">
        <f>IF($D$3=2,ROUND(((U5*W5)),2),0)</f>
        <v>1163.42</v>
      </c>
      <c r="AA5" s="31">
        <f>ROUND((X5+Y5+Z5+AM5),2)</f>
        <v>1163.42</v>
      </c>
      <c r="AB5" s="31">
        <f t="shared" ref="AB5:AB6" si="0">U5+AA5</f>
        <v>10858.59</v>
      </c>
      <c r="AC5" s="31">
        <v>120</v>
      </c>
      <c r="AD5" s="31">
        <f t="shared" ref="AD5:AD6" si="1">U5*$N$3</f>
        <v>9695.17</v>
      </c>
      <c r="AE5" s="31">
        <v>1</v>
      </c>
      <c r="AF5" s="31">
        <f>G5/AE5</f>
        <v>10</v>
      </c>
      <c r="AG5" t="s">
        <v>84</v>
      </c>
      <c r="AH5" t="s">
        <v>55</v>
      </c>
      <c r="AI5" s="29">
        <f>ROUND(AG5-G5,0)</f>
        <v>838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">
        <v>112</v>
      </c>
    </row>
    <row r="6" spans="1:40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8">
        <v>10</v>
      </c>
      <c r="H6" s="31">
        <v>2367</v>
      </c>
      <c r="I6" s="31">
        <f>G6*H6</f>
        <v>23670</v>
      </c>
      <c r="J6" s="31">
        <v>1.2</v>
      </c>
      <c r="K6" s="31">
        <v>1.34</v>
      </c>
      <c r="L6" s="31">
        <v>1.65</v>
      </c>
      <c r="M6" s="31">
        <f>I6</f>
        <v>23670</v>
      </c>
      <c r="N6" s="31">
        <f>ROUND((M6*J6)/100,2)</f>
        <v>284.04000000000002</v>
      </c>
      <c r="O6" s="31">
        <f>I6-N6</f>
        <v>23385.96</v>
      </c>
      <c r="P6" s="31">
        <f>ROUND((O6*K6)/100,2)</f>
        <v>313.37</v>
      </c>
      <c r="Q6" s="31">
        <f>ROUND(O6-P6,2)</f>
        <v>23072.59</v>
      </c>
      <c r="R6" s="31">
        <f>ROUND((Q6*L6)/100,2)</f>
        <v>380.7</v>
      </c>
      <c r="S6" s="31">
        <f>N6+P6+R6</f>
        <v>978.11000000000013</v>
      </c>
      <c r="T6" s="31">
        <f>ROUND(S6/G6,2)</f>
        <v>97.81</v>
      </c>
      <c r="U6" s="31">
        <f>(I6-S6)</f>
        <v>22691.89</v>
      </c>
      <c r="V6" s="31" t="s">
        <v>23</v>
      </c>
      <c r="W6" s="30">
        <v>0.05</v>
      </c>
      <c r="X6" s="31">
        <f>IF($D$3=1,ROUND(((U6*W6)/2),2),0)</f>
        <v>0</v>
      </c>
      <c r="Y6" s="31">
        <f>IF($D$3=1,ROUND(((U6*W6)/2),2),0)</f>
        <v>0</v>
      </c>
      <c r="Z6" s="31">
        <f>IF($D$3=2,ROUND(((U6*W6)),2),0)</f>
        <v>1134.5899999999999</v>
      </c>
      <c r="AA6" s="31">
        <f>X6+Y6+Z6</f>
        <v>1134.5899999999999</v>
      </c>
      <c r="AB6" s="31">
        <f t="shared" si="0"/>
        <v>23826.48</v>
      </c>
      <c r="AC6" s="31">
        <v>120</v>
      </c>
      <c r="AD6" s="31">
        <f t="shared" si="1"/>
        <v>22691.89</v>
      </c>
      <c r="AE6" s="31">
        <v>3</v>
      </c>
      <c r="AF6" s="31">
        <f>ROUND(G6/AE6,3)</f>
        <v>3.3330000000000002</v>
      </c>
      <c r="AG6" t="s">
        <v>83</v>
      </c>
      <c r="AH6" t="s">
        <v>56</v>
      </c>
      <c r="AI6" s="29">
        <f>ROUND((AG6-AF6),3)</f>
        <v>1371.6690000000001</v>
      </c>
      <c r="AJ6" s="27" t="s">
        <v>50</v>
      </c>
      <c r="AK6" s="27" t="s">
        <v>61</v>
      </c>
      <c r="AL6" s="27">
        <v>0</v>
      </c>
      <c r="AM6" s="27">
        <f>ROUND(((AL6*U6)/100),2)</f>
        <v>0</v>
      </c>
      <c r="AN6" s="27" t="s">
        <v>112</v>
      </c>
    </row>
    <row r="7" spans="1:40">
      <c r="A7" s="11"/>
      <c r="B7" s="11"/>
      <c r="C7" s="11"/>
      <c r="D7" s="11"/>
      <c r="E7" s="11"/>
      <c r="F7" s="11"/>
      <c r="G7" s="12"/>
      <c r="H7" s="13"/>
      <c r="I7" s="13">
        <f>SUM(I5:I6)</f>
        <v>40460</v>
      </c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>
        <f>SUM(U5:U6)</f>
        <v>32387.059999999998</v>
      </c>
      <c r="V7" s="13"/>
      <c r="W7" s="14"/>
      <c r="X7" s="13"/>
      <c r="Y7" s="13"/>
      <c r="Z7" s="15" t="s">
        <v>39</v>
      </c>
      <c r="AA7" s="15"/>
      <c r="AB7" s="15">
        <f>SUM(AB5:AB6)</f>
        <v>34685.07</v>
      </c>
      <c r="AC7" s="15" t="s">
        <v>40</v>
      </c>
      <c r="AD7" s="15">
        <f>AD5</f>
        <v>9695.17</v>
      </c>
      <c r="AE7" s="12"/>
      <c r="AF7" s="13"/>
      <c r="AG7" s="13"/>
      <c r="AH7" s="13"/>
      <c r="AI7" s="36"/>
      <c r="AJ7" s="1"/>
      <c r="AK7" s="1"/>
      <c r="AL7" s="1"/>
      <c r="AM7" s="1"/>
    </row>
    <row r="8" spans="1:4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.75" thickBot="1">
      <c r="C9" s="72" t="s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0" ht="29.25" thickTop="1">
      <c r="C10" s="69" t="s">
        <v>72</v>
      </c>
      <c r="D10" s="56" t="s">
        <v>0</v>
      </c>
      <c r="E10" s="56" t="s">
        <v>38</v>
      </c>
      <c r="F10" s="56" t="s">
        <v>73</v>
      </c>
      <c r="G10" s="56" t="s">
        <v>74</v>
      </c>
      <c r="H10" s="57" t="s">
        <v>177</v>
      </c>
      <c r="I10" s="57" t="s">
        <v>174</v>
      </c>
      <c r="J10" s="57" t="s">
        <v>175</v>
      </c>
      <c r="K10" s="111" t="s">
        <v>135</v>
      </c>
      <c r="L10" s="111" t="s">
        <v>136</v>
      </c>
      <c r="M10" s="111" t="s">
        <v>137</v>
      </c>
      <c r="N10" s="58" t="s">
        <v>138</v>
      </c>
      <c r="O10" s="59" t="s">
        <v>139</v>
      </c>
      <c r="P10" s="57" t="s">
        <v>178</v>
      </c>
      <c r="Q10" s="57" t="s">
        <v>176</v>
      </c>
      <c r="R10" s="58" t="s">
        <v>158</v>
      </c>
      <c r="S10" s="111" t="s">
        <v>159</v>
      </c>
      <c r="T10" s="58" t="s">
        <v>160</v>
      </c>
      <c r="U10" s="58" t="s">
        <v>161</v>
      </c>
      <c r="V10" s="112" t="s">
        <v>162</v>
      </c>
      <c r="W10" s="112" t="s">
        <v>179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40">
      <c r="C11" s="60">
        <v>1</v>
      </c>
      <c r="D11" s="61" t="s">
        <v>78</v>
      </c>
      <c r="E11" s="61">
        <v>0</v>
      </c>
      <c r="F11" s="62" t="s">
        <v>79</v>
      </c>
      <c r="G11" s="62" t="s">
        <v>80</v>
      </c>
      <c r="H11" s="66">
        <v>20</v>
      </c>
      <c r="I11" s="27">
        <f>ROUND(((U7*H11)/100),2)</f>
        <v>6477.41</v>
      </c>
      <c r="J11" s="27">
        <v>4901</v>
      </c>
      <c r="K11" s="30">
        <v>0.12</v>
      </c>
      <c r="L11" s="27">
        <f>IF($D$3=1,ROUND(((I11*K11)/2),2),0)</f>
        <v>0</v>
      </c>
      <c r="M11" s="27">
        <f>IF($D$3=1,ROUND(((I11*K11)/2),2),0)</f>
        <v>0</v>
      </c>
      <c r="N11" s="27">
        <f>IF($D$3=2,ROUND(((I11*K11)),2),0)</f>
        <v>777.29</v>
      </c>
      <c r="O11" s="27">
        <f>L11+M11+N11</f>
        <v>777.29</v>
      </c>
      <c r="P11" s="27">
        <v>5000</v>
      </c>
      <c r="Q11" s="27">
        <v>4901</v>
      </c>
      <c r="R11" s="30">
        <v>0.12</v>
      </c>
      <c r="S11" s="27">
        <f>IF($D$3=1,ROUND(((P11*R11)/2),2),0)</f>
        <v>0</v>
      </c>
      <c r="T11" s="27">
        <f>IF($D$3=1,ROUND(((P11*R11)/2),2),0)</f>
        <v>0</v>
      </c>
      <c r="U11" s="27">
        <f>IF($D$3=2,ROUND(((P11*R11)),2),0)</f>
        <v>600</v>
      </c>
      <c r="V11" s="113">
        <f>S11+T11+U11</f>
        <v>600</v>
      </c>
      <c r="W11" s="27" t="s">
        <v>170</v>
      </c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40">
      <c r="C12" s="27">
        <v>2</v>
      </c>
      <c r="D12" s="62" t="s">
        <v>81</v>
      </c>
      <c r="E12" s="62">
        <v>0</v>
      </c>
      <c r="F12" s="62" t="s">
        <v>82</v>
      </c>
      <c r="G12" s="62" t="s">
        <v>76</v>
      </c>
      <c r="H12" s="27"/>
      <c r="I12" s="27">
        <v>15000</v>
      </c>
      <c r="J12" s="27">
        <v>112341</v>
      </c>
      <c r="K12" s="30">
        <v>0.12</v>
      </c>
      <c r="L12" s="27">
        <f t="shared" ref="L12" si="2">IF($D$3=1,ROUND(((I12*K12)/2),2),0)</f>
        <v>0</v>
      </c>
      <c r="M12" s="27">
        <f t="shared" ref="M12" si="3">IF($D$3=1,ROUND(((I12*K12)/2),2),0)</f>
        <v>0</v>
      </c>
      <c r="N12" s="27">
        <f t="shared" ref="N12" si="4">IF($D$3=2,ROUND(((I12*K12)),2),0)</f>
        <v>1800</v>
      </c>
      <c r="O12" s="27">
        <f t="shared" ref="O12" si="5">L12+M12+N12</f>
        <v>1800</v>
      </c>
      <c r="P12" s="27">
        <v>10000</v>
      </c>
      <c r="Q12" s="27">
        <v>112341</v>
      </c>
      <c r="R12" s="30">
        <v>0.12</v>
      </c>
      <c r="S12" s="27">
        <f>IF($D$3=1,ROUND(((P12*R12)/2),2),0)</f>
        <v>0</v>
      </c>
      <c r="T12" s="27">
        <f>IF($D$3=1,ROUND(((P12*R12)/2),2),0)</f>
        <v>0</v>
      </c>
      <c r="U12" s="27">
        <f>IF($D$3=2,ROUND(((P12*R12)),2),0)</f>
        <v>1200</v>
      </c>
      <c r="V12" s="27">
        <f>S12+T12+U12</f>
        <v>1200</v>
      </c>
      <c r="W12" s="27" t="s">
        <v>170</v>
      </c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40">
      <c r="C13" s="27">
        <v>3</v>
      </c>
      <c r="D13" s="62" t="s">
        <v>181</v>
      </c>
      <c r="E13" s="62">
        <v>0</v>
      </c>
      <c r="F13" s="62" t="s">
        <v>181</v>
      </c>
      <c r="G13" s="116" t="s">
        <v>76</v>
      </c>
      <c r="H13" s="27">
        <v>0</v>
      </c>
      <c r="I13" s="27">
        <v>0</v>
      </c>
      <c r="J13" s="27">
        <v>0</v>
      </c>
      <c r="K13" s="30">
        <v>0</v>
      </c>
      <c r="L13" s="27">
        <v>0</v>
      </c>
      <c r="M13" s="27">
        <v>0</v>
      </c>
      <c r="N13" s="27">
        <v>0</v>
      </c>
      <c r="O13" s="27">
        <v>0</v>
      </c>
      <c r="P13" s="27">
        <v>1256</v>
      </c>
      <c r="Q13" s="27">
        <v>112341</v>
      </c>
      <c r="R13" s="30">
        <v>0.12</v>
      </c>
      <c r="S13" s="27">
        <f>IF($D$3=1,ROUND(((P13*R13)/2),2),0)</f>
        <v>0</v>
      </c>
      <c r="T13" s="27">
        <f>IF($D$3=1,ROUND(((P13*R13)/2),2),0)</f>
        <v>0</v>
      </c>
      <c r="U13" s="27">
        <f>IF($D$3=2,ROUND(((P13*R13)),2),0)</f>
        <v>150.72</v>
      </c>
      <c r="V13" s="27">
        <f>S13+T13+U13</f>
        <v>150.72</v>
      </c>
      <c r="W13" s="27" t="s">
        <v>180</v>
      </c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40">
      <c r="C14" s="1"/>
      <c r="H14" s="114" t="s">
        <v>70</v>
      </c>
      <c r="I14" s="114">
        <f>SUM(I11:I12)</f>
        <v>21477.41</v>
      </c>
      <c r="J14" s="114"/>
      <c r="K14" s="114"/>
      <c r="L14" s="115">
        <f>SUM(L11:L12)</f>
        <v>0</v>
      </c>
      <c r="M14" s="115">
        <f>SUM(M11:M12)</f>
        <v>0</v>
      </c>
      <c r="N14" s="115">
        <f>SUM(N11:N12)</f>
        <v>2577.29</v>
      </c>
      <c r="O14" s="115">
        <f>SUM(O11:O12)</f>
        <v>2577.29</v>
      </c>
      <c r="P14" s="1"/>
      <c r="Q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0">
      <c r="A15" s="1"/>
      <c r="Q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8">
      <c r="A16" s="109"/>
      <c r="B16" s="109"/>
      <c r="C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</row>
    <row r="17" spans="1:33">
      <c r="A17" s="134"/>
      <c r="B17" s="134"/>
      <c r="C17" s="110"/>
      <c r="Q17" s="4"/>
      <c r="R17" s="4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>
      <c r="A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F20" s="35"/>
      <c r="G20" s="1"/>
      <c r="H20" s="1"/>
      <c r="I20" s="1"/>
      <c r="J20" s="1"/>
      <c r="K20" s="1"/>
      <c r="L20" s="1"/>
      <c r="M20" s="1"/>
      <c r="N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F21" s="1"/>
      <c r="G21" s="1"/>
      <c r="H21" s="1"/>
      <c r="I21" s="1"/>
      <c r="J21" s="1"/>
      <c r="K21" s="1"/>
      <c r="L21" s="1"/>
      <c r="M21" s="1"/>
      <c r="N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F22" s="1"/>
      <c r="G22" s="1"/>
      <c r="H22" s="1"/>
      <c r="I22" s="1"/>
      <c r="J22" s="1"/>
      <c r="K22" s="1"/>
      <c r="L22" s="1"/>
      <c r="M22" s="1"/>
      <c r="N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F23" s="1"/>
      <c r="G23" s="1"/>
      <c r="H23" s="1"/>
      <c r="I23" s="1"/>
      <c r="J23" s="1"/>
      <c r="K23" s="1"/>
      <c r="L23" s="1"/>
      <c r="M23" s="1"/>
      <c r="N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F24" s="1"/>
      <c r="G24" s="1"/>
      <c r="H24" s="1"/>
      <c r="I24" s="1"/>
      <c r="J24" s="1"/>
      <c r="K24" s="1"/>
      <c r="L24" s="1"/>
      <c r="M24" s="1"/>
      <c r="N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F25" s="1"/>
      <c r="G25" s="1"/>
      <c r="H25" s="1"/>
      <c r="I25" s="1"/>
      <c r="J25" s="1"/>
      <c r="K25" s="1"/>
      <c r="L25" s="1"/>
      <c r="M25" s="1"/>
      <c r="N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F26" s="1"/>
      <c r="G26" s="1"/>
      <c r="H26" s="1"/>
      <c r="I26" s="1"/>
      <c r="J26" s="1"/>
      <c r="K26" s="1"/>
      <c r="L26" s="1"/>
      <c r="M26" s="1"/>
      <c r="N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</sheetData>
  <mergeCells count="3">
    <mergeCell ref="A1:AB1"/>
    <mergeCell ref="A3:B3"/>
    <mergeCell ref="A17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SO Domestic PL (S&amp;D)</vt:lpstr>
      <vt:lpstr>SO Export PL (S&amp;D)</vt:lpstr>
      <vt:lpstr>SO Domestic CP (S&amp;D)</vt:lpstr>
      <vt:lpstr>SO Export CP (S&amp;D)</vt:lpstr>
      <vt:lpstr>SO Export SP (S&amp;D)</vt:lpstr>
      <vt:lpstr>SO Domestic SP (S&amp;D)</vt:lpstr>
      <vt:lpstr>SO Export RC (S&amp;D)</vt:lpstr>
      <vt:lpstr>ShipSet</vt:lpstr>
      <vt:lpstr>Different Price Class (RC)</vt:lpstr>
      <vt:lpstr>SO Domestic RC (S&amp;D)</vt:lpstr>
      <vt:lpstr>SO Export UD (S&amp;D)</vt:lpstr>
      <vt:lpstr>SO Domestic UD (S&amp;D)</vt:lpstr>
      <vt:lpstr>Case 1</vt:lpstr>
      <vt:lpstr>Item Stocks</vt:lpstr>
      <vt:lpstr>SO UTGST</vt:lpstr>
      <vt:lpstr>Free Sample</vt:lpstr>
      <vt:lpstr>Free Replacement</vt:lpstr>
      <vt:lpstr>SCRAP</vt:lpstr>
      <vt:lpstr>SERVICE</vt:lpstr>
      <vt:lpstr>PROMOTIONAL</vt:lpstr>
      <vt:lpstr>Local Customer</vt:lpstr>
      <vt:lpstr>SEZ Customer</vt:lpstr>
      <vt:lpstr>CESS</vt:lpstr>
      <vt:lpstr>Demo Exhibition</vt:lpstr>
      <vt:lpstr>CHARGES</vt:lpstr>
      <vt:lpstr>SO Amendment Disc UTGST</vt:lpstr>
      <vt:lpstr>SO Amendment Price UTGST</vt:lpstr>
      <vt:lpstr>SO Amendment AddItem UTGST</vt:lpstr>
      <vt:lpstr>SO Amendment Qty UTGST</vt:lpstr>
      <vt:lpstr>SO Amendment Qty</vt:lpstr>
      <vt:lpstr>Disc Change</vt:lpstr>
      <vt:lpstr>Price Change</vt:lpstr>
      <vt:lpstr>Qty Change</vt:lpstr>
      <vt:lpstr>So Amend Price Local</vt:lpstr>
      <vt:lpstr>So Amend Disc Local</vt:lpstr>
      <vt:lpstr>So Amend Qty Local</vt:lpstr>
      <vt:lpstr>SO</vt:lpstr>
      <vt:lpstr>SoAmendment PriceChange</vt:lpstr>
      <vt:lpstr>SO Amendment DiscountChange</vt:lpstr>
      <vt:lpstr>SO Amendment Different PC</vt:lpstr>
      <vt:lpstr>SO Amendment AdditionOfItem</vt:lpstr>
      <vt:lpstr>Add of Item</vt:lpstr>
      <vt:lpstr>So Amend AddOfItem Local</vt:lpstr>
      <vt:lpstr>SO Amendment With Charges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</dc:creator>
  <cp:lastModifiedBy>Harikrishna</cp:lastModifiedBy>
  <dcterms:created xsi:type="dcterms:W3CDTF">2024-02-02T08:07:09Z</dcterms:created>
  <dcterms:modified xsi:type="dcterms:W3CDTF">2025-05-07T05:41:49Z</dcterms:modified>
</cp:coreProperties>
</file>