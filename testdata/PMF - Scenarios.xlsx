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 firstSheet="5" activeTab="6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<sst xmlns="http://schemas.openxmlformats.org/spreadsheetml/2006/main" count="7104" uniqueCount="195">
  <si>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</si>
  <si>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</si>
  <si>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</si>
  <si>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</si>
  <si>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</si>
  <si>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</si>
  <si>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</si>
  <si>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</si>
  <si>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</si>
  <si>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</si>
  <si>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</si>
  <si>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</si>
  <si>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</si>
  <si>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</si>
  <si>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</si>
  <si>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</si>
  <si>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</si>
  <si>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</si>
  <si>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</si>
  <si>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</si>
  <si>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252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</si>
  <si>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</si>
  <si>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</si>
  <si>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</si>
  <si>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</si>
  <si>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</si>
  <si>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</si>
  <si>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</si>
  <si>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</si>
  <si>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</si>
  <si>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</si>
  <si>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</si>
  <si>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</si>
  <si>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</si>
  <si>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</si>
  <si>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</si>
  <si>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</si>
  <si>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</si>
  <si>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</si>
  <si>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</si>
  <si>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</si>
  <si>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</si>
  <si>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</si>
  <si>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</si>
  <si>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</si>
  <si>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</si>
  <si>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</si>
  <si>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</si>
  <si>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</si>
  <si>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</si>
  <si>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</si>
  <si>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</si>
  <si>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</si>
  <si>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</si>
  <si>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</si>
  <si>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</si>
  <si>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</si>
  <si>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</si>
  <si>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</si>
  <si>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</si>
  <si>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</si>
  <si>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</si>
  <si>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</si>
  <si>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</si>
  <si>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</si>
  <si>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</si>
  <si>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</si>
  <si>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</si>
  <si>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</si>
  <si>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998295</t>
  </si>
  <si>
    <t>23</t>
  </si>
  <si>
    <t>GWL-FIFO-SER-BATCH-10001(RM)</t>
  </si>
  <si>
    <t>GWL-LOT-FIFO-LOT-10001(RM)</t>
  </si>
  <si>
    <t>998326</t>
  </si>
  <si>
    <t>21</t>
  </si>
  <si>
    <t>GWL-NA-FIFO-BATCH-10001(RM)</t>
  </si>
  <si>
    <t>GWL-LOT-MAC-10001(RM)</t>
  </si>
  <si>
    <t>GWL-SER-MAC-10001(RM)</t>
  </si>
  <si>
    <t>GWL-NA-MAC-10001(RM)</t>
  </si>
  <si>
    <t>GWL-FIFO-LOT-BATCH-10002(RM)</t>
  </si>
  <si>
    <t>99901</t>
  </si>
  <si>
    <t>33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</si>
  <si>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</si>
  <si>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</si>
  <si>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</si>
  <si>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</si>
  <si>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</si>
  <si>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</si>
  <si>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</si>
  <si>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99907</t>
  </si>
  <si>
    <t>18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</si>
  <si>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</si>
  <si>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</si>
  <si>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</si>
  <si>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</si>
  <si>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</si>
  <si>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</si>
  <si>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</si>
  <si>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</si>
  <si>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</si>
  <si>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</si>
  <si>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</si>
  <si>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</si>
  <si>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</si>
  <si>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</si>
  <si>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</si>
  <si>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</si>
  <si>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</si>
  <si>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</si>
  <si>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</si>
  <si>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</si>
  <si>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</si>
  <si>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</si>
  <si>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</si>
  <si>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</si>
  <si>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</si>
  <si>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</si>
  <si>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>Process - 2</t>
  </si>
  <si>
    <t>SFG</t>
  </si>
  <si>
    <t>Process - 3</t>
  </si>
  <si>
    <t>Overall Cost</t>
  </si>
  <si>
    <t>255</t>
  </si>
  <si>
    <t>998292</t>
  </si>
  <si>
    <t>998323</t>
  </si>
  <si>
    <t>99898</t>
  </si>
  <si>
    <t>99904</t>
  </si>
  <si>
    <t>15</t>
  </si>
  <si>
    <t>Process - 2 &amp; 3</t>
  </si>
  <si>
    <t>258</t>
  </si>
  <si>
    <t>998289</t>
  </si>
  <si>
    <t>998320</t>
  </si>
  <si>
    <t>99895</t>
  </si>
  <si>
    <t>30</t>
  </si>
  <si>
    <t>Process - 1, 2 &amp; 3</t>
  </si>
  <si>
    <t>BOM-2627-0000125</t>
  </si>
  <si>
    <t>208</t>
  </si>
  <si>
    <t>998448</t>
  </si>
  <si>
    <t>3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</si>
  <si>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</si>
  <si>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</si>
  <si>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</si>
  <si>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</si>
  <si>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</si>
  <si>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</si>
  <si>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</si>
  <si>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</si>
  <si>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</si>
  <si>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</si>
  <si>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</si>
  <si>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</si>
  <si>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</si>
  <si>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</si>
  <si>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</si>
  <si>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</si>
  <si>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</si>
  <si>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</si>
  <si>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</si>
  <si>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</si>
  <si>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</si>
  <si>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</si>
  <si>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</si>
  <si>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</si>
  <si>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</si>
  <si>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</si>
  <si>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</si>
  <si>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</si>
  <si>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</si>
  <si>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</si>
  <si>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</si>
  <si>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998779</t>
  </si>
  <si>
    <t>000</t>
  </si>
  <si>
    <t>Total</t>
  </si>
  <si>
    <t xml:space="preserve"> &lt;- Target SF Code</t>
  </si>
  <si>
    <t>998776</t>
  </si>
  <si>
    <t>998773</t>
  </si>
  <si>
    <t>Process - 2&amp; 3</t>
  </si>
  <si>
    <t>BOM-2627-0000126</t>
  </si>
  <si>
    <t>264</t>
  </si>
  <si>
    <t>998268</t>
  </si>
  <si>
    <t>998299</t>
  </si>
  <si>
    <t>99883</t>
  </si>
  <si>
    <t>i</t>
  </si>
  <si>
    <t>99889</t>
  </si>
  <si>
    <t>186</t>
  </si>
  <si>
    <t>BOM-2627-0000127</t>
  </si>
  <si>
    <t>BOM-2627-0000128</t>
  </si>
  <si>
    <t>267</t>
  </si>
  <si>
    <t>105</t>
  </si>
  <si>
    <t>998253</t>
  </si>
  <si>
    <t>20</t>
  </si>
  <si>
    <t>998284</t>
  </si>
  <si>
    <t>99880</t>
  </si>
  <si>
    <t>99886</t>
  </si>
  <si>
    <t>998250</t>
  </si>
  <si>
    <t>998281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</si>
</sst>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theme/theme1.xml" Type="http://schemas.openxmlformats.org/officeDocument/2006/relationships/theme"/><Relationship Id="rId17" Target="sharedStrings.xml" Type="http://schemas.openxmlformats.org/officeDocument/2006/relationships/sharedStrings"/><Relationship Id="rId18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topLeftCell="A34" workbookViewId="0">
      <selection activeCell="I65" sqref="I65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20</v>
      </c>
      <c r="J3" s="8">
        <f>I3+H3</f>
        <v>231</v>
      </c>
      <c r="K3" s="1" t="s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>H11-I11</f>
        <v>998329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>H12-I12</f>
        <v>998370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73</v>
      </c>
      <c r="I13" s="1" t="s">
        <v>74</v>
      </c>
      <c r="J13" s="8">
        <f>H13-I13</f>
        <v>998401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73</v>
      </c>
      <c r="I14" s="1" t="s">
        <v>74</v>
      </c>
      <c r="J14" s="8">
        <f>H14-I14</f>
        <v>998401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73</v>
      </c>
      <c r="I15" s="1" t="s">
        <v>74</v>
      </c>
      <c r="J15" s="8">
        <f t="shared" ref="J12:J31" si="0">H15-I15</f>
        <v>998401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73</v>
      </c>
      <c r="I16" s="1" t="s">
        <v>74</v>
      </c>
      <c r="J16" s="8">
        <f t="shared" si="0"/>
        <v>998401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73</v>
      </c>
      <c r="I17" s="1" t="s">
        <v>74</v>
      </c>
      <c r="J17" s="8">
        <f t="shared" si="0"/>
        <v>998401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80</v>
      </c>
      <c r="I18" s="1" t="s">
        <v>81</v>
      </c>
      <c r="J18" s="8">
        <f t="shared" si="0"/>
        <v>99928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80</v>
      </c>
      <c r="I19" s="1" t="s">
        <v>81</v>
      </c>
      <c r="J19" s="8">
        <f t="shared" si="0"/>
        <v>99928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80</v>
      </c>
      <c r="I20" s="1" t="s">
        <v>81</v>
      </c>
      <c r="J20" s="8">
        <f t="shared" si="0"/>
        <v>99928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80</v>
      </c>
      <c r="I21" s="1" t="s">
        <v>81</v>
      </c>
      <c r="J21" s="8">
        <f t="shared" si="0"/>
        <v>99928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80</v>
      </c>
      <c r="I22" s="1" t="s">
        <v>81</v>
      </c>
      <c r="J22" s="8">
        <f t="shared" si="0"/>
        <v>99928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80</v>
      </c>
      <c r="I23" s="1" t="s">
        <v>81</v>
      </c>
      <c r="J23" s="8">
        <f t="shared" si="0"/>
        <v>99928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80</v>
      </c>
      <c r="I24" s="1" t="s">
        <v>81</v>
      </c>
      <c r="J24" s="8">
        <f t="shared" si="0"/>
        <v>99928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89</v>
      </c>
      <c r="I25" s="1" t="s">
        <v>90</v>
      </c>
      <c r="J25" s="8">
        <f t="shared" si="0"/>
        <v>99931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89</v>
      </c>
      <c r="I26" s="1" t="s">
        <v>90</v>
      </c>
      <c r="J26" s="8">
        <f t="shared" si="0"/>
        <v>99931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89</v>
      </c>
      <c r="I27" s="1" t="s">
        <v>90</v>
      </c>
      <c r="J27" s="8">
        <f t="shared" si="0"/>
        <v>99931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89</v>
      </c>
      <c r="I28" s="1" t="s">
        <v>90</v>
      </c>
      <c r="J28" s="8">
        <f t="shared" si="0"/>
        <v>99931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89</v>
      </c>
      <c r="I29" s="1" t="s">
        <v>90</v>
      </c>
      <c r="J29" s="8">
        <f t="shared" si="0"/>
        <v>99931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89</v>
      </c>
      <c r="I30" s="1" t="s">
        <v>90</v>
      </c>
      <c r="J30" s="8">
        <f t="shared" si="0"/>
        <v>99931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89</v>
      </c>
      <c r="I31" s="1" t="s">
        <v>90</v>
      </c>
      <c r="J31" s="49">
        <f t="shared" si="0"/>
        <v>99931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69</v>
      </c>
      <c r="P36" s="8">
        <f>O36-I36</f>
        <v>998349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2">K37</f>
        <v>3</v>
      </c>
      <c r="O37" s="1" t="s">
        <v>69</v>
      </c>
      <c r="P37" s="8">
        <f t="shared" ref="P37:P42" si="3">O37-I37</f>
        <v>998349</v>
      </c>
      <c r="Q37" s="8">
        <f t="shared" ref="Q37:Q42" si="4">-I37</f>
        <v>-3</v>
      </c>
      <c r="R37" s="8">
        <f t="shared" ref="R37:R42" si="5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2"/>
        <v>3</v>
      </c>
      <c r="O38" s="1" t="s">
        <v>73</v>
      </c>
      <c r="P38" s="8">
        <f t="shared" si="3"/>
        <v>998380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2"/>
        <v>3</v>
      </c>
      <c r="O39" s="1" t="s">
        <v>73</v>
      </c>
      <c r="P39" s="8">
        <f t="shared" si="3"/>
        <v>998380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2"/>
        <v>3</v>
      </c>
      <c r="O40" s="1" t="s">
        <v>73</v>
      </c>
      <c r="P40" s="8">
        <f t="shared" si="3"/>
        <v>998380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2"/>
        <v>3</v>
      </c>
      <c r="O41" s="1" t="s">
        <v>73</v>
      </c>
      <c r="P41" s="8">
        <f t="shared" si="3"/>
        <v>998380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2"/>
        <v>3</v>
      </c>
      <c r="O42" s="1" t="s">
        <v>73</v>
      </c>
      <c r="P42" s="8">
        <f t="shared" si="3"/>
        <v>998380</v>
      </c>
      <c r="Q42" s="8">
        <f t="shared" si="4"/>
        <v>-3</v>
      </c>
      <c r="R42" s="8">
        <f t="shared" si="5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6">L46*K46</f>
        <v>60</v>
      </c>
      <c r="N46" s="8">
        <f>K46</f>
        <v>3</v>
      </c>
      <c r="O46" s="1" t="s">
        <v>80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2" si="7">K47</f>
        <v>3</v>
      </c>
      <c r="O47" s="1" t="s">
        <v>80</v>
      </c>
      <c r="P47" s="8">
        <f t="shared" ref="P47:P52" si="8">O47-I47</f>
        <v>-3</v>
      </c>
      <c r="Q47" s="8">
        <f t="shared" ref="Q47:Q52" si="9">-I47</f>
        <v>-3</v>
      </c>
      <c r="R47" s="8">
        <f t="shared" ref="R47:R52" si="10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7"/>
        <v>3</v>
      </c>
      <c r="O48" s="1" t="s">
        <v>80</v>
      </c>
      <c r="P48" s="8">
        <f t="shared" si="8"/>
        <v>-3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7"/>
        <v>3</v>
      </c>
      <c r="O49" s="1" t="s">
        <v>80</v>
      </c>
      <c r="P49" s="8">
        <f t="shared" si="8"/>
        <v>-3</v>
      </c>
      <c r="Q49" s="8">
        <f t="shared" si="9"/>
        <v>-3</v>
      </c>
      <c r="R49" s="8">
        <f t="shared" si="10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7"/>
        <v>3</v>
      </c>
      <c r="O50" s="1" t="s">
        <v>80</v>
      </c>
      <c r="P50" s="8">
        <f t="shared" si="8"/>
        <v>-3</v>
      </c>
      <c r="Q50" s="8">
        <f t="shared" si="9"/>
        <v>-3</v>
      </c>
      <c r="R50" s="8">
        <f t="shared" si="10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7"/>
        <v>3</v>
      </c>
      <c r="O51" s="1" t="s">
        <v>80</v>
      </c>
      <c r="P51" s="8">
        <f t="shared" si="8"/>
        <v>-3</v>
      </c>
      <c r="Q51" s="8">
        <f t="shared" si="9"/>
        <v>-3</v>
      </c>
      <c r="R51" s="8">
        <f t="shared" si="10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7"/>
        <v>3</v>
      </c>
      <c r="O52" s="1" t="s">
        <v>80</v>
      </c>
      <c r="P52" s="8">
        <f t="shared" si="8"/>
        <v>-3</v>
      </c>
      <c r="Q52" s="8">
        <f t="shared" si="9"/>
        <v>-3</v>
      </c>
      <c r="R52" s="8">
        <f t="shared" si="10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6"/>
        <v>420</v>
      </c>
      <c r="N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K57</f>
        <v>3</v>
      </c>
      <c r="O57" s="1" t="s">
        <v>89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1">K58</f>
        <v>3</v>
      </c>
      <c r="O58" s="1" t="s">
        <v>89</v>
      </c>
      <c r="P58" s="8">
        <f t="shared" ref="P58:P63" si="12">O58-I58</f>
        <v>-3</v>
      </c>
      <c r="Q58" s="8">
        <f t="shared" ref="Q58:Q63" si="13">-I58</f>
        <v>-3</v>
      </c>
      <c r="R58" s="8">
        <f t="shared" ref="R58:R63" si="14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5">L59*K59</f>
        <v>60</v>
      </c>
      <c r="N59" s="8">
        <f t="shared" si="11"/>
        <v>3</v>
      </c>
      <c r="O59" s="1" t="s">
        <v>89</v>
      </c>
      <c r="P59" s="8">
        <f t="shared" si="12"/>
        <v>-3</v>
      </c>
      <c r="Q59" s="8">
        <f t="shared" si="13"/>
        <v>-3</v>
      </c>
      <c r="R59" s="8">
        <f t="shared" si="14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>
        <f t="shared" si="11"/>
        <v>3</v>
      </c>
      <c r="O60" s="1" t="s">
        <v>89</v>
      </c>
      <c r="P60" s="8">
        <f t="shared" si="12"/>
        <v>-3</v>
      </c>
      <c r="Q60" s="8">
        <f t="shared" si="13"/>
        <v>-3</v>
      </c>
      <c r="R60" s="8">
        <f t="shared" si="14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>
        <f t="shared" si="11"/>
        <v>3</v>
      </c>
      <c r="O61" s="1" t="s">
        <v>89</v>
      </c>
      <c r="P61" s="8">
        <f t="shared" si="12"/>
        <v>-3</v>
      </c>
      <c r="Q61" s="8">
        <f t="shared" si="13"/>
        <v>-3</v>
      </c>
      <c r="R61" s="8">
        <f t="shared" si="14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>
        <f t="shared" si="11"/>
        <v>3</v>
      </c>
      <c r="O62" s="1" t="s">
        <v>89</v>
      </c>
      <c r="P62" s="8">
        <f t="shared" si="12"/>
        <v>-3</v>
      </c>
      <c r="Q62" s="8">
        <f t="shared" si="13"/>
        <v>-3</v>
      </c>
      <c r="R62" s="8">
        <f t="shared" si="14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>
        <f t="shared" si="11"/>
        <v>3</v>
      </c>
      <c r="O63" s="1" t="s">
        <v>89</v>
      </c>
      <c r="P63" s="8">
        <f t="shared" si="12"/>
        <v>-3</v>
      </c>
      <c r="Q63" s="8">
        <f t="shared" si="13"/>
        <v>-3</v>
      </c>
      <c r="R63" s="8">
        <f t="shared" si="14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5"/>
  <sheetViews>
    <sheetView zoomScale="61" zoomScaleNormal="61" topLeftCell="A28" workbookViewId="0">
      <selection activeCell="G42" sqref="G42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(K3+L64)/2</f>
        <v>420</v>
      </c>
      <c r="M3" s="9">
        <f>L64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122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122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123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123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123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123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123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124</v>
      </c>
      <c r="I18" s="1" t="s">
        <v>81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124</v>
      </c>
      <c r="I19" s="1" t="s">
        <v>81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124</v>
      </c>
      <c r="I20" s="1" t="s">
        <v>81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124</v>
      </c>
      <c r="I21" s="1" t="s">
        <v>81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124</v>
      </c>
      <c r="I22" s="1" t="s">
        <v>81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124</v>
      </c>
      <c r="I23" s="1" t="s">
        <v>81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124</v>
      </c>
      <c r="I24" s="1" t="s">
        <v>81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125</v>
      </c>
      <c r="I25" s="1" t="s">
        <v>126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125</v>
      </c>
      <c r="I26" s="1" t="s">
        <v>126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125</v>
      </c>
      <c r="I27" s="1" t="s">
        <v>126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125</v>
      </c>
      <c r="I28" s="1" t="s">
        <v>126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125</v>
      </c>
      <c r="I29" s="1" t="s">
        <v>126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125</v>
      </c>
      <c r="I30" s="1" t="s">
        <v>126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125</v>
      </c>
      <c r="I31" s="1" t="s">
        <v>126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122</v>
      </c>
      <c r="P36" s="8">
        <f t="shared" ref="P36:P42" si="2">O36-I36</f>
        <v>998346</v>
      </c>
      <c r="Q36" s="8">
        <f t="shared" ref="Q36:Q42" si="3">-I36</f>
        <v>-3</v>
      </c>
      <c r="R36" s="8">
        <f t="shared" ref="R36:R42" si="4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5">K37</f>
        <v>3</v>
      </c>
      <c r="O37" s="1" t="s">
        <v>122</v>
      </c>
      <c r="P37" s="8">
        <f t="shared" si="2"/>
        <v>998346</v>
      </c>
      <c r="Q37" s="8">
        <f t="shared" si="3"/>
        <v>-3</v>
      </c>
      <c r="R37" s="8">
        <f t="shared" si="4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5"/>
        <v>3</v>
      </c>
      <c r="O38" s="1" t="s">
        <v>123</v>
      </c>
      <c r="P38" s="8">
        <f t="shared" si="2"/>
        <v>998377</v>
      </c>
      <c r="Q38" s="8">
        <f t="shared" si="3"/>
        <v>-3</v>
      </c>
      <c r="R38" s="8">
        <f t="shared" si="4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5"/>
        <v>3</v>
      </c>
      <c r="O39" s="1" t="s">
        <v>123</v>
      </c>
      <c r="P39" s="8">
        <f t="shared" si="2"/>
        <v>998377</v>
      </c>
      <c r="Q39" s="8">
        <f t="shared" si="3"/>
        <v>-3</v>
      </c>
      <c r="R39" s="8">
        <f t="shared" si="4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5"/>
        <v>3</v>
      </c>
      <c r="O40" s="1" t="s">
        <v>123</v>
      </c>
      <c r="P40" s="8">
        <f t="shared" si="2"/>
        <v>998377</v>
      </c>
      <c r="Q40" s="8">
        <f t="shared" si="3"/>
        <v>-3</v>
      </c>
      <c r="R40" s="8">
        <f t="shared" si="4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5"/>
        <v>3</v>
      </c>
      <c r="O41" s="1" t="s">
        <v>123</v>
      </c>
      <c r="P41" s="8">
        <f t="shared" si="2"/>
        <v>998377</v>
      </c>
      <c r="Q41" s="8">
        <f t="shared" si="3"/>
        <v>-3</v>
      </c>
      <c r="R41" s="8">
        <f t="shared" si="4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5"/>
        <v>3</v>
      </c>
      <c r="O42" s="1" t="s">
        <v>123</v>
      </c>
      <c r="P42" s="8">
        <f t="shared" si="2"/>
        <v>998377</v>
      </c>
      <c r="Q42" s="8">
        <f t="shared" si="3"/>
        <v>-3</v>
      </c>
      <c r="R42" s="8">
        <f t="shared" si="4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127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6">L46*K46</f>
        <v>60</v>
      </c>
      <c r="N46" s="8">
        <f>K46</f>
        <v>3</v>
      </c>
      <c r="O46" s="1" t="s">
        <v>124</v>
      </c>
      <c r="P46" s="8">
        <f>O46-I46</f>
        <v>99922</v>
      </c>
      <c r="Q46" s="8">
        <f t="shared" ref="Q46:Q52" si="7">-I46</f>
        <v>-3</v>
      </c>
      <c r="R46" s="8">
        <f t="shared" ref="R46:R52" si="8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9" si="9">K47</f>
        <v>3</v>
      </c>
      <c r="O47" s="1" t="s">
        <v>124</v>
      </c>
      <c r="P47" s="8">
        <f t="shared" ref="P47:P59" si="10">O47-I47</f>
        <v>99922</v>
      </c>
      <c r="Q47" s="8">
        <f t="shared" si="7"/>
        <v>-3</v>
      </c>
      <c r="R47" s="8">
        <f t="shared" si="8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9"/>
        <v>3</v>
      </c>
      <c r="O48" s="1" t="s">
        <v>124</v>
      </c>
      <c r="P48" s="8">
        <f t="shared" si="10"/>
        <v>99922</v>
      </c>
      <c r="Q48" s="8">
        <f t="shared" si="7"/>
        <v>-3</v>
      </c>
      <c r="R48" s="8">
        <f t="shared" si="8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9"/>
        <v>3</v>
      </c>
      <c r="O49" s="1" t="s">
        <v>124</v>
      </c>
      <c r="P49" s="8">
        <f t="shared" si="10"/>
        <v>99922</v>
      </c>
      <c r="Q49" s="8">
        <f t="shared" si="7"/>
        <v>-3</v>
      </c>
      <c r="R49" s="8">
        <f t="shared" si="8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9"/>
        <v>3</v>
      </c>
      <c r="O50" s="1" t="s">
        <v>124</v>
      </c>
      <c r="P50" s="8">
        <f t="shared" si="10"/>
        <v>99922</v>
      </c>
      <c r="Q50" s="8">
        <f t="shared" si="7"/>
        <v>-3</v>
      </c>
      <c r="R50" s="8">
        <f t="shared" si="8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9"/>
        <v>3</v>
      </c>
      <c r="O51" s="1" t="s">
        <v>124</v>
      </c>
      <c r="P51" s="8">
        <f t="shared" si="10"/>
        <v>99922</v>
      </c>
      <c r="Q51" s="8">
        <f t="shared" si="7"/>
        <v>-3</v>
      </c>
      <c r="R51" s="8">
        <f t="shared" si="8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9"/>
        <v>3</v>
      </c>
      <c r="O52" s="1" t="s">
        <v>124</v>
      </c>
      <c r="P52" s="8">
        <f t="shared" si="10"/>
        <v>99922</v>
      </c>
      <c r="Q52" s="8">
        <f t="shared" si="7"/>
        <v>-3</v>
      </c>
      <c r="R52" s="8">
        <f t="shared" si="8"/>
        <v>3</v>
      </c>
    </row>
    <row r="53" spans="1:18">
      <c r="A53" s="8">
        <v>3</v>
      </c>
      <c r="B53" s="8">
        <v>8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1">L53*K53</f>
        <v>60</v>
      </c>
      <c r="N53" s="8">
        <f t="shared" si="9"/>
        <v>3</v>
      </c>
      <c r="O53" s="1" t="s">
        <v>125</v>
      </c>
      <c r="P53" s="8">
        <f t="shared" si="10"/>
        <v>99925</v>
      </c>
      <c r="Q53" s="8">
        <f t="shared" ref="Q53:Q59" si="12">-I53</f>
        <v>-3</v>
      </c>
      <c r="R53" s="8">
        <f t="shared" ref="R53:R59" si="13">I53</f>
        <v>3</v>
      </c>
    </row>
    <row r="54" spans="1:18">
      <c r="A54" s="8">
        <v>3</v>
      </c>
      <c r="B54" s="8">
        <v>9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1"/>
        <v>60</v>
      </c>
      <c r="N54" s="8">
        <f t="shared" si="9"/>
        <v>3</v>
      </c>
      <c r="O54" s="1" t="s">
        <v>125</v>
      </c>
      <c r="P54" s="8">
        <f t="shared" si="10"/>
        <v>99925</v>
      </c>
      <c r="Q54" s="8">
        <f t="shared" si="12"/>
        <v>-3</v>
      </c>
      <c r="R54" s="8">
        <f t="shared" si="13"/>
        <v>3</v>
      </c>
    </row>
    <row r="55" spans="1:18">
      <c r="A55" s="8">
        <v>3</v>
      </c>
      <c r="B55" s="8">
        <v>10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1"/>
        <v>60</v>
      </c>
      <c r="N55" s="8">
        <f t="shared" si="9"/>
        <v>3</v>
      </c>
      <c r="O55" s="1" t="s">
        <v>125</v>
      </c>
      <c r="P55" s="8">
        <f t="shared" si="10"/>
        <v>99925</v>
      </c>
      <c r="Q55" s="8">
        <f t="shared" si="12"/>
        <v>-3</v>
      </c>
      <c r="R55" s="8">
        <f t="shared" si="13"/>
        <v>3</v>
      </c>
    </row>
    <row r="56" spans="1:18">
      <c r="A56" s="8">
        <v>3</v>
      </c>
      <c r="B56" s="8">
        <v>11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1"/>
        <v>60</v>
      </c>
      <c r="N56" s="8">
        <f t="shared" si="9"/>
        <v>3</v>
      </c>
      <c r="O56" s="1" t="s">
        <v>125</v>
      </c>
      <c r="P56" s="8">
        <f t="shared" si="10"/>
        <v>99925</v>
      </c>
      <c r="Q56" s="8">
        <f t="shared" si="12"/>
        <v>-3</v>
      </c>
      <c r="R56" s="8">
        <f t="shared" si="13"/>
        <v>3</v>
      </c>
    </row>
    <row r="57" spans="1:18">
      <c r="A57" s="8">
        <v>3</v>
      </c>
      <c r="B57" s="8">
        <v>12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1"/>
        <v>60</v>
      </c>
      <c r="N57" s="8">
        <f t="shared" si="9"/>
        <v>3</v>
      </c>
      <c r="O57" s="1" t="s">
        <v>125</v>
      </c>
      <c r="P57" s="8">
        <f t="shared" si="10"/>
        <v>99925</v>
      </c>
      <c r="Q57" s="8">
        <f t="shared" si="12"/>
        <v>-3</v>
      </c>
      <c r="R57" s="8">
        <f t="shared" si="13"/>
        <v>3</v>
      </c>
    </row>
    <row r="58" spans="1:18">
      <c r="A58" s="8">
        <v>3</v>
      </c>
      <c r="B58" s="8">
        <v>13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1"/>
        <v>60</v>
      </c>
      <c r="N58" s="8">
        <f t="shared" si="9"/>
        <v>3</v>
      </c>
      <c r="O58" s="1" t="s">
        <v>125</v>
      </c>
      <c r="P58" s="8">
        <f t="shared" si="10"/>
        <v>99925</v>
      </c>
      <c r="Q58" s="8">
        <f t="shared" si="12"/>
        <v>-3</v>
      </c>
      <c r="R58" s="8">
        <f t="shared" si="13"/>
        <v>3</v>
      </c>
    </row>
    <row r="59" spans="1:18">
      <c r="A59" s="8">
        <v>3</v>
      </c>
      <c r="B59" s="8">
        <v>14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1"/>
        <v>60</v>
      </c>
      <c r="N59" s="8">
        <f t="shared" si="9"/>
        <v>3</v>
      </c>
      <c r="O59" s="1" t="s">
        <v>125</v>
      </c>
      <c r="P59" s="8">
        <f t="shared" si="10"/>
        <v>99925</v>
      </c>
      <c r="Q59" s="8">
        <f t="shared" si="12"/>
        <v>-3</v>
      </c>
      <c r="R59" s="8">
        <f t="shared" si="13"/>
        <v>3</v>
      </c>
    </row>
    <row r="60" spans="1:18">
      <c r="A60" s="8" t="s">
        <v>118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1"/>
        <v>420</v>
      </c>
      <c r="N60" s="8"/>
      <c r="P60" s="8"/>
      <c r="Q60" s="8"/>
      <c r="R60" s="8"/>
    </row>
    <row r="61" spans="1:18">
      <c r="A61" s="36" t="s">
        <v>116</v>
      </c>
      <c r="B61" s="36">
        <v>1</v>
      </c>
      <c r="C61" s="36" t="s">
        <v>54</v>
      </c>
      <c r="D61" s="36"/>
      <c r="E61" s="36"/>
      <c r="F61" s="53"/>
      <c r="G61" s="36"/>
      <c r="H61" s="53" t="s">
        <v>52</v>
      </c>
      <c r="I61" s="36">
        <f>H3</f>
        <v>3</v>
      </c>
      <c r="J61" s="36">
        <f>H3</f>
        <v>3</v>
      </c>
      <c r="K61" s="36">
        <f>H3</f>
        <v>3</v>
      </c>
      <c r="L61" s="36">
        <f>SUM(L46:L60)</f>
        <v>420</v>
      </c>
      <c r="M61" s="38">
        <f>SUM(M46:M60)</f>
        <v>1260</v>
      </c>
      <c r="N61" s="38">
        <v>111</v>
      </c>
      <c r="P61" s="36"/>
      <c r="Q61" s="36"/>
      <c r="R61" s="36"/>
    </row>
    <row r="62" spans="1:18">
      <c r="A62" s="8"/>
      <c r="B62" s="8"/>
      <c r="C62" s="8"/>
      <c r="D62" s="8"/>
      <c r="E62" s="8"/>
      <c r="F62" s="8"/>
      <c r="G62" s="8"/>
      <c r="H62" s="8"/>
      <c r="J62" s="8"/>
      <c r="K62" s="8"/>
      <c r="L62" s="8"/>
      <c r="M62" s="8"/>
      <c r="N62" s="8"/>
      <c r="P62" s="8"/>
      <c r="Q62" s="8"/>
      <c r="R62" s="8"/>
    </row>
    <row r="64" spans="1:18">
      <c r="K64" s="9" t="s">
        <v>109</v>
      </c>
      <c r="L64" s="9">
        <f>L65/H3</f>
        <v>420</v>
      </c>
    </row>
    <row r="65" spans="11:12">
      <c r="K65" s="9" t="s">
        <v>120</v>
      </c>
      <c r="L65" s="9">
        <f>M61+AG7</f>
        <v>1260</v>
      </c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2"/>
  <sheetViews>
    <sheetView zoomScale="61" zoomScaleNormal="61" topLeftCell="A27" workbookViewId="0">
      <selection activeCell="E62" sqref="E62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128</v>
      </c>
      <c r="J3" s="8">
        <f>I3+H3</f>
        <v>189</v>
      </c>
      <c r="K3" s="1" t="s">
        <v>21</v>
      </c>
      <c r="L3" s="8">
        <f>(K3+L61)/2</f>
        <v>560</v>
      </c>
      <c r="M3" s="9">
        <f>L61</f>
        <v>700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129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129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130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130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130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130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130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131</v>
      </c>
      <c r="I18" s="1" t="s">
        <v>132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131</v>
      </c>
      <c r="I19" s="1" t="s">
        <v>132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131</v>
      </c>
      <c r="I20" s="1" t="s">
        <v>132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131</v>
      </c>
      <c r="I21" s="1" t="s">
        <v>132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131</v>
      </c>
      <c r="I22" s="1" t="s">
        <v>132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131</v>
      </c>
      <c r="I23" s="1" t="s">
        <v>132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131</v>
      </c>
      <c r="I24" s="1" t="s">
        <v>132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80</v>
      </c>
      <c r="I25" s="1" t="s">
        <v>126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80</v>
      </c>
      <c r="I26" s="1" t="s">
        <v>126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80</v>
      </c>
      <c r="I27" s="1" t="s">
        <v>126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80</v>
      </c>
      <c r="I28" s="1" t="s">
        <v>126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80</v>
      </c>
      <c r="I29" s="1" t="s">
        <v>126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80</v>
      </c>
      <c r="I30" s="1" t="s">
        <v>126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80</v>
      </c>
      <c r="I31" s="1" t="s">
        <v>126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133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s="1" t="s">
        <v>129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s="1" t="s">
        <v>129</v>
      </c>
      <c r="P37" s="8">
        <f t="shared" si="3"/>
        <v>998776</v>
      </c>
      <c r="Q37" s="8">
        <f t="shared" si="4"/>
        <v>-3</v>
      </c>
      <c r="R37" s="8">
        <f t="shared" si="5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s="1" t="s">
        <v>130</v>
      </c>
      <c r="P38" s="8">
        <f t="shared" si="3"/>
        <v>998776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s="1" t="s">
        <v>130</v>
      </c>
      <c r="P39" s="8">
        <f t="shared" si="3"/>
        <v>998776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s="1" t="s">
        <v>130</v>
      </c>
      <c r="P40" s="8">
        <f t="shared" si="3"/>
        <v>998776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s="1" t="s">
        <v>130</v>
      </c>
      <c r="P41" s="8">
        <f t="shared" si="3"/>
        <v>998776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s="1" t="s">
        <v>130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18">
      <c r="A43" s="8">
        <v>2</v>
      </c>
      <c r="B43" s="8">
        <v>8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6">L43*K43</f>
        <v>60</v>
      </c>
      <c r="N43" s="8" t="str">
        <f t="shared" ref="N43:N56" si="7">I18</f>
        <v>3</v>
      </c>
      <c r="O43" s="1" t="s">
        <v>131</v>
      </c>
      <c r="P43" s="8">
        <f t="shared" ref="P43:P56" si="8">O43-I43</f>
        <v>998773</v>
      </c>
      <c r="Q43" s="8">
        <f t="shared" ref="Q43:Q56" si="9">-I43</f>
        <v>-3</v>
      </c>
      <c r="R43" s="8">
        <f t="shared" ref="R43:R56" si="10">I43</f>
        <v>3</v>
      </c>
    </row>
    <row r="44" spans="1:18">
      <c r="A44" s="8">
        <v>2</v>
      </c>
      <c r="B44" s="8">
        <v>9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6"/>
        <v>60</v>
      </c>
      <c r="N44" s="8" t="str">
        <f t="shared" si="7"/>
        <v>3</v>
      </c>
      <c r="O44" s="1" t="s">
        <v>131</v>
      </c>
      <c r="P44" s="8">
        <f t="shared" si="8"/>
        <v>998773</v>
      </c>
      <c r="Q44" s="8">
        <f t="shared" si="9"/>
        <v>-3</v>
      </c>
      <c r="R44" s="8">
        <f t="shared" si="10"/>
        <v>3</v>
      </c>
    </row>
    <row r="45" spans="1:18">
      <c r="A45" s="8">
        <v>2</v>
      </c>
      <c r="B45" s="8">
        <v>10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6"/>
        <v>60</v>
      </c>
      <c r="N45" s="8" t="str">
        <f t="shared" si="7"/>
        <v>3</v>
      </c>
      <c r="O45" s="1" t="s">
        <v>131</v>
      </c>
      <c r="P45" s="8">
        <f t="shared" si="8"/>
        <v>998773</v>
      </c>
      <c r="Q45" s="8">
        <f t="shared" si="9"/>
        <v>-3</v>
      </c>
      <c r="R45" s="8">
        <f t="shared" si="10"/>
        <v>3</v>
      </c>
    </row>
    <row r="46" spans="1:18">
      <c r="A46" s="8">
        <v>2</v>
      </c>
      <c r="B46" s="8">
        <v>11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6"/>
        <v>60</v>
      </c>
      <c r="N46" s="8" t="str">
        <f t="shared" si="7"/>
        <v>3</v>
      </c>
      <c r="O46" s="1" t="s">
        <v>131</v>
      </c>
      <c r="P46" s="8">
        <f t="shared" si="8"/>
        <v>998773</v>
      </c>
      <c r="Q46" s="8">
        <f t="shared" si="9"/>
        <v>-3</v>
      </c>
      <c r="R46" s="8">
        <f t="shared" si="10"/>
        <v>3</v>
      </c>
    </row>
    <row r="47" spans="1:18">
      <c r="A47" s="8">
        <v>2</v>
      </c>
      <c r="B47" s="8">
        <v>12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 t="str">
        <f t="shared" si="7"/>
        <v>3</v>
      </c>
      <c r="O47" s="1" t="s">
        <v>131</v>
      </c>
      <c r="P47" s="8">
        <f t="shared" si="8"/>
        <v>998773</v>
      </c>
      <c r="Q47" s="8">
        <f t="shared" si="9"/>
        <v>-3</v>
      </c>
      <c r="R47" s="8">
        <f t="shared" si="10"/>
        <v>3</v>
      </c>
    </row>
    <row r="48" spans="1:18">
      <c r="A48" s="8">
        <v>2</v>
      </c>
      <c r="B48" s="8">
        <v>13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 t="str">
        <f t="shared" si="7"/>
        <v>3</v>
      </c>
      <c r="O48" s="1" t="s">
        <v>131</v>
      </c>
      <c r="P48" s="8">
        <f t="shared" si="8"/>
        <v>998773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14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 t="str">
        <f t="shared" si="7"/>
        <v>3</v>
      </c>
      <c r="O49" s="1" t="s">
        <v>131</v>
      </c>
      <c r="P49" s="8">
        <f t="shared" si="8"/>
        <v>998773</v>
      </c>
      <c r="Q49" s="8">
        <f t="shared" si="9"/>
        <v>-3</v>
      </c>
      <c r="R49" s="8">
        <f t="shared" si="10"/>
        <v>3</v>
      </c>
    </row>
    <row r="50" spans="1:18">
      <c r="A50" s="8">
        <v>3</v>
      </c>
      <c r="B50" s="8">
        <v>15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 t="str">
        <f t="shared" si="7"/>
        <v>3</v>
      </c>
      <c r="O50" s="1" t="s">
        <v>80</v>
      </c>
      <c r="P50" s="8">
        <f t="shared" si="8"/>
        <v>998770</v>
      </c>
      <c r="Q50" s="8">
        <f t="shared" si="9"/>
        <v>-3</v>
      </c>
      <c r="R50" s="8">
        <f t="shared" si="10"/>
        <v>3</v>
      </c>
    </row>
    <row r="51" spans="1:18">
      <c r="A51" s="8">
        <v>3</v>
      </c>
      <c r="B51" s="8">
        <v>16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 t="str">
        <f t="shared" si="7"/>
        <v>3</v>
      </c>
      <c r="O51" s="1" t="s">
        <v>80</v>
      </c>
      <c r="P51" s="8">
        <f t="shared" si="8"/>
        <v>998770</v>
      </c>
      <c r="Q51" s="8">
        <f t="shared" si="9"/>
        <v>-3</v>
      </c>
      <c r="R51" s="8">
        <f t="shared" si="10"/>
        <v>3</v>
      </c>
    </row>
    <row r="52" spans="1:18">
      <c r="A52" s="8">
        <v>3</v>
      </c>
      <c r="B52" s="8">
        <v>17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 t="str">
        <f t="shared" si="7"/>
        <v>3</v>
      </c>
      <c r="O52" s="1" t="s">
        <v>80</v>
      </c>
      <c r="P52" s="8">
        <f t="shared" si="8"/>
        <v>998770</v>
      </c>
      <c r="Q52" s="8">
        <f t="shared" si="9"/>
        <v>-3</v>
      </c>
      <c r="R52" s="8">
        <f t="shared" si="10"/>
        <v>3</v>
      </c>
    </row>
    <row r="53" spans="1:18">
      <c r="A53" s="8">
        <v>3</v>
      </c>
      <c r="B53" s="8">
        <v>18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6"/>
        <v>60</v>
      </c>
      <c r="N53" s="8" t="str">
        <f t="shared" si="7"/>
        <v>3</v>
      </c>
      <c r="O53" s="1" t="s">
        <v>80</v>
      </c>
      <c r="P53" s="8">
        <f t="shared" si="8"/>
        <v>998770</v>
      </c>
      <c r="Q53" s="8">
        <f t="shared" si="9"/>
        <v>-3</v>
      </c>
      <c r="R53" s="8">
        <f t="shared" si="10"/>
        <v>3</v>
      </c>
    </row>
    <row r="54" spans="1:18">
      <c r="A54" s="8">
        <v>3</v>
      </c>
      <c r="B54" s="8">
        <v>19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6"/>
        <v>60</v>
      </c>
      <c r="N54" s="8" t="str">
        <f t="shared" si="7"/>
        <v>3</v>
      </c>
      <c r="O54" s="1" t="s">
        <v>80</v>
      </c>
      <c r="P54" s="8">
        <f t="shared" si="8"/>
        <v>998770</v>
      </c>
      <c r="Q54" s="8">
        <f t="shared" si="9"/>
        <v>-3</v>
      </c>
      <c r="R54" s="8">
        <f t="shared" si="10"/>
        <v>3</v>
      </c>
    </row>
    <row r="55" spans="1:18">
      <c r="A55" s="8">
        <v>3</v>
      </c>
      <c r="B55" s="8">
        <v>20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6"/>
        <v>60</v>
      </c>
      <c r="N55" s="8" t="str">
        <f t="shared" si="7"/>
        <v>3</v>
      </c>
      <c r="O55" s="1" t="s">
        <v>80</v>
      </c>
      <c r="P55" s="8">
        <f t="shared" si="8"/>
        <v>998770</v>
      </c>
      <c r="Q55" s="8">
        <f t="shared" si="9"/>
        <v>-3</v>
      </c>
      <c r="R55" s="8">
        <f t="shared" si="10"/>
        <v>3</v>
      </c>
    </row>
    <row r="56" spans="1:18">
      <c r="A56" s="8">
        <v>3</v>
      </c>
      <c r="B56" s="8">
        <v>21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6"/>
        <v>60</v>
      </c>
      <c r="N56" s="8" t="str">
        <f t="shared" si="7"/>
        <v>3</v>
      </c>
      <c r="O56" s="1" t="s">
        <v>80</v>
      </c>
      <c r="P56" s="8">
        <f t="shared" si="8"/>
        <v>998770</v>
      </c>
      <c r="Q56" s="8">
        <f t="shared" si="9"/>
        <v>-3</v>
      </c>
      <c r="R56" s="8">
        <f t="shared" si="10"/>
        <v>3</v>
      </c>
    </row>
    <row r="57" spans="1:18">
      <c r="A57" s="8" t="s">
        <v>118</v>
      </c>
      <c r="B57" s="8"/>
      <c r="C57" s="8" t="s">
        <v>54</v>
      </c>
      <c r="D57" s="8" t="s">
        <v>55</v>
      </c>
      <c r="E57" s="47" t="s">
        <v>18</v>
      </c>
      <c r="F57" s="8" t="s">
        <v>14</v>
      </c>
      <c r="G57" s="8" t="s">
        <v>52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280</v>
      </c>
      <c r="M57" s="8">
        <f t="shared" si="6"/>
        <v>840</v>
      </c>
      <c r="N57" s="8"/>
      <c r="P57" s="8"/>
      <c r="Q57" s="8"/>
      <c r="R57" s="8"/>
    </row>
    <row r="58" spans="1:18">
      <c r="A58" s="36" t="s">
        <v>116</v>
      </c>
      <c r="B58" s="36">
        <v>1</v>
      </c>
      <c r="C58" s="36" t="s">
        <v>46</v>
      </c>
      <c r="D58" s="36"/>
      <c r="E58" s="36"/>
      <c r="F58" s="53"/>
      <c r="G58" s="36"/>
      <c r="H58" s="53" t="s">
        <v>52</v>
      </c>
      <c r="I58" s="53">
        <v>3</v>
      </c>
      <c r="J58" s="36">
        <v>3</v>
      </c>
      <c r="K58" s="36">
        <f>H3</f>
        <v>3</v>
      </c>
      <c r="L58" s="36">
        <f>SUM(L36:L57)</f>
        <v>700</v>
      </c>
      <c r="M58" s="38">
        <f>SUM(M36:M57)</f>
        <v>2100</v>
      </c>
      <c r="N58" s="38">
        <v>111</v>
      </c>
      <c r="P58" s="36"/>
      <c r="Q58" s="36"/>
      <c r="R58" s="36"/>
    </row>
    <row r="59" spans="1:18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P59" s="8"/>
      <c r="Q59" s="8"/>
      <c r="R59" s="8"/>
    </row>
    <row r="61" spans="1:18">
      <c r="K61" s="9" t="s">
        <v>109</v>
      </c>
      <c r="L61" s="9">
        <f>L62/H3</f>
        <v>700</v>
      </c>
    </row>
    <row r="62" spans="1:18">
      <c r="K62" s="9" t="s">
        <v>120</v>
      </c>
      <c r="L62" s="9">
        <f>M58+AG7</f>
        <v>2100</v>
      </c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A3" workbookViewId="0">
      <selection activeCell="F22" sqref="F22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134</v>
      </c>
      <c r="F3" s="7" t="s">
        <v>18</v>
      </c>
      <c r="G3" s="54" t="s">
        <v>19</v>
      </c>
      <c r="H3" s="6">
        <v>3</v>
      </c>
      <c r="I3" s="1" t="s">
        <v>135</v>
      </c>
      <c r="J3" s="8">
        <f>I3+H3</f>
        <v>189</v>
      </c>
      <c r="K3" s="1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136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136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136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136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136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136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136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333:16345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141</v>
      </c>
      <c r="U39" s="19" t="s">
        <v>142</v>
      </c>
      <c r="V39" s="20" t="s">
        <v>143</v>
      </c>
      <c r="W39" s="19" t="s">
        <v>144</v>
      </c>
      <c r="X39" s="19" t="s">
        <v>145</v>
      </c>
      <c r="Y39" s="19" t="s">
        <v>146</v>
      </c>
      <c r="Z39" s="19" t="s">
        <v>147</v>
      </c>
      <c r="AA39" s="19" t="s">
        <v>148</v>
      </c>
      <c r="AB39" s="19" t="s">
        <v>149</v>
      </c>
      <c r="AC39" s="19" t="s">
        <v>150</v>
      </c>
      <c r="AD39" s="19" t="s">
        <v>151</v>
      </c>
      <c r="AE39" s="19" t="s">
        <v>152</v>
      </c>
      <c r="AF39" s="19" t="s">
        <v>153</v>
      </c>
      <c r="AG39" s="19" t="s">
        <v>154</v>
      </c>
      <c r="AH39" s="19" t="s">
        <v>155</v>
      </c>
      <c r="AI39" s="19" t="s">
        <v>156</v>
      </c>
      <c r="AJ39" s="19" t="s">
        <v>157</v>
      </c>
      <c r="AK39" s="21" t="s">
        <v>158</v>
      </c>
      <c r="AL39" s="21" t="s">
        <v>159</v>
      </c>
      <c r="AM39" s="21" t="s">
        <v>160</v>
      </c>
      <c r="AN39" s="21" t="s">
        <v>161</v>
      </c>
      <c r="AO39" s="21" t="s">
        <v>162</v>
      </c>
      <c r="AP39" s="21" t="s">
        <v>163</v>
      </c>
      <c r="AQ39" s="21" t="s">
        <v>164</v>
      </c>
      <c r="AR39" s="21" t="s">
        <v>165</v>
      </c>
      <c r="AS39" s="22" t="s">
        <v>166</v>
      </c>
      <c r="AT39" s="19" t="s">
        <v>167</v>
      </c>
      <c r="AU39" s="19" t="s">
        <v>168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171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117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T43" s="19" t="s">
        <v>141</v>
      </c>
      <c r="U43" s="19" t="s">
        <v>142</v>
      </c>
      <c r="V43" s="20" t="s">
        <v>143</v>
      </c>
      <c r="W43" s="19" t="s">
        <v>144</v>
      </c>
      <c r="X43" s="19" t="s">
        <v>145</v>
      </c>
      <c r="Y43" s="19" t="s">
        <v>146</v>
      </c>
      <c r="Z43" s="19" t="s">
        <v>147</v>
      </c>
      <c r="AA43" s="19" t="s">
        <v>148</v>
      </c>
      <c r="AB43" s="19" t="s">
        <v>149</v>
      </c>
      <c r="AC43" s="19" t="s">
        <v>150</v>
      </c>
      <c r="AD43" s="19" t="s">
        <v>151</v>
      </c>
      <c r="AE43" s="19" t="s">
        <v>152</v>
      </c>
      <c r="AF43" s="19" t="s">
        <v>153</v>
      </c>
      <c r="AG43" s="19" t="s">
        <v>154</v>
      </c>
      <c r="AH43" s="19" t="s">
        <v>155</v>
      </c>
      <c r="AI43" s="19" t="s">
        <v>156</v>
      </c>
      <c r="AJ43" s="19" t="s">
        <v>157</v>
      </c>
      <c r="AK43" s="21" t="s">
        <v>158</v>
      </c>
      <c r="AL43" s="21" t="s">
        <v>159</v>
      </c>
      <c r="AM43" s="21" t="s">
        <v>160</v>
      </c>
      <c r="AN43" s="21" t="s">
        <v>161</v>
      </c>
      <c r="AO43" s="21" t="s">
        <v>162</v>
      </c>
      <c r="AP43" s="21" t="s">
        <v>163</v>
      </c>
      <c r="AQ43" s="21" t="s">
        <v>164</v>
      </c>
      <c r="AR43" s="21" t="s">
        <v>165</v>
      </c>
      <c r="AS43" s="22" t="s">
        <v>166</v>
      </c>
      <c r="AT43" s="19" t="s">
        <v>167</v>
      </c>
      <c r="AU43" s="19" t="s">
        <v>168</v>
      </c>
    </row>
    <row r="44" ht="15" spans="1:60 16333:16345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  <c r="T45" s="31" t="s">
        <v>171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173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173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173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173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173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173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173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172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174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174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174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174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174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174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174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172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134</v>
      </c>
      <c r="F3" s="7" t="s">
        <v>18</v>
      </c>
      <c r="G3" s="54" t="s">
        <v>19</v>
      </c>
      <c r="H3" s="6">
        <v>3</v>
      </c>
      <c r="I3" s="1" t="s">
        <v>135</v>
      </c>
      <c r="J3" s="8">
        <f>I3+H3</f>
        <v>189</v>
      </c>
      <c r="K3" s="1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136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136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136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136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136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136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136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305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175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171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173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173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173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173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173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173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173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174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174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174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174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174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174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174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134</v>
      </c>
      <c r="F3" s="7" t="s">
        <v>18</v>
      </c>
      <c r="G3" s="54" t="s">
        <v>19</v>
      </c>
      <c r="H3" s="6">
        <v>3</v>
      </c>
      <c r="I3" s="1" t="s">
        <v>135</v>
      </c>
      <c r="J3" s="8">
        <f>I3+H3</f>
        <v>189</v>
      </c>
      <c r="K3" s="1" t="s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136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136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136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136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136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136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136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305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133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170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171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173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173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173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173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173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173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173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174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174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174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174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174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174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174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118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118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116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172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109</v>
      </c>
      <c r="L62" s="9">
        <f>L63/H3</f>
        <v>720</v>
      </c>
    </row>
    <row r="63" spans="1:18">
      <c r="K63" s="9" t="s">
        <v>120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tabSelected="1" zoomScale="60" zoomScaleNormal="60" topLeftCell="A12" workbookViewId="0">
      <selection activeCell="H11" sqref="H11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3.4285714285714"/>
    <col min="24" max="24" customWidth="true" style="1" width="15.4285714285714"/>
    <col min="25" max="25" customWidth="true" style="1" width="24.7142857142857"/>
    <col min="26" max="26" customWidth="true" style="1" width="16.8571428571429"/>
    <col min="27" max="27" customWidth="true" style="1" width="10.5714285714286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176</v>
      </c>
      <c r="F3" s="7" t="s">
        <v>18</v>
      </c>
      <c r="G3" s="54" t="s">
        <v>19</v>
      </c>
      <c r="H3" s="6">
        <v>3</v>
      </c>
      <c r="I3" t="s" s="1">
        <v>186</v>
      </c>
      <c r="J3" s="8">
        <f>I3+H3</f>
        <v>267</v>
      </c>
      <c r="K3" t="s" s="1">
        <v>187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193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193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194</v>
      </c>
      <c r="I13" t="s" s="1">
        <v>74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t="s" s="1">
        <v>194</v>
      </c>
      <c r="I14" t="s" s="1">
        <v>74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t="s" s="1">
        <v>194</v>
      </c>
      <c r="I15" t="s" s="1">
        <v>74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t="s" s="1">
        <v>194</v>
      </c>
      <c r="I16" t="s" s="1">
        <v>74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30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t="s" s="1">
        <v>194</v>
      </c>
      <c r="I17" t="s" s="1">
        <v>74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30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t="s" s="1">
        <v>191</v>
      </c>
      <c r="I18" t="s" s="1">
        <v>132</v>
      </c>
      <c r="J18" s="8">
        <f t="shared" si="0"/>
        <v>998773</v>
      </c>
      <c r="K18" s="8">
        <v>1</v>
      </c>
      <c r="L18" s="8">
        <f>H3</f>
        <v>3</v>
      </c>
      <c r="M18" s="8"/>
      <c r="AD18" s="1" t="s">
        <v>181</v>
      </c>
    </row>
    <row r="19" spans="1:30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t="s" s="1">
        <v>191</v>
      </c>
      <c r="I19" t="s" s="1">
        <v>132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30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t="s" s="1">
        <v>191</v>
      </c>
      <c r="I20" t="s" s="1">
        <v>132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30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t="s" s="1">
        <v>191</v>
      </c>
      <c r="I21" t="s" s="1">
        <v>132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30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t="s" s="1">
        <v>191</v>
      </c>
      <c r="I22" t="s" s="1">
        <v>132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30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t="s" s="1">
        <v>191</v>
      </c>
      <c r="I23" t="s" s="1">
        <v>132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30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t="s" s="1">
        <v>191</v>
      </c>
      <c r="I24" t="s" s="1">
        <v>132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30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t="s" s="1">
        <v>192</v>
      </c>
      <c r="I25" t="s" s="1">
        <v>126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30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t="s" s="1">
        <v>192</v>
      </c>
      <c r="I26" t="s" s="1">
        <v>126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30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t="s" s="1">
        <v>192</v>
      </c>
      <c r="I27" t="s" s="1">
        <v>126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30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t="s" s="1">
        <v>192</v>
      </c>
      <c r="I28" t="s" s="1">
        <v>126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30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t="s" s="1">
        <v>192</v>
      </c>
      <c r="I29" t="s" s="1">
        <v>126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30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t="s" s="1">
        <v>192</v>
      </c>
      <c r="I30" t="s" s="1">
        <v>126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30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t="s" s="1">
        <v>192</v>
      </c>
      <c r="I31" t="s" s="1">
        <v>126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30">
      <c r="A32" s="14"/>
      <c r="B32" s="14"/>
      <c r="C32" s="14"/>
      <c r="D32" s="14"/>
      <c r="E32" s="14"/>
      <c r="F32" s="14"/>
      <c r="G32" s="14"/>
      <c r="H32" s="1"/>
      <c r="I32" s="1"/>
      <c r="J32" s="14"/>
      <c r="K32" s="14"/>
      <c r="L32" s="15"/>
      <c r="M32" s="13"/>
      <c r="N32" s="13"/>
      <c r="O32" s="13"/>
      <c r="P32" s="13"/>
      <c r="Q32" s="13"/>
      <c r="R32" s="13"/>
      <c r="T32" s="1" t="s">
        <v>181</v>
      </c>
      <c r="U32" s="1" t="s">
        <v>138</v>
      </c>
      <c r="V32" s="16">
        <v>1</v>
      </c>
    </row>
    <row r="33" ht="15" spans="1:60 16305:16356">
      <c r="A33" s="3" t="s">
        <v>139</v>
      </c>
      <c r="B33" s="3"/>
      <c r="C33" s="3"/>
      <c r="D33" s="3"/>
      <c r="E33" s="3"/>
      <c r="F33" s="3"/>
      <c r="G33" s="3"/>
      <c r="H33" s="1"/>
      <c r="I33" s="1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t="s" s="1">
        <v>193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t="s" s="1">
        <v>193</v>
      </c>
      <c r="P37" s="8">
        <f t="shared" si="3"/>
        <v>998776</v>
      </c>
      <c r="Q37" s="8">
        <f t="shared" si="4"/>
        <v>-3</v>
      </c>
      <c r="R37" s="8">
        <f t="shared" si="5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6">SUM(AG36:AG36)</f>
        <v>75</v>
      </c>
      <c r="AH37" s="32">
        <f t="shared" si="6"/>
        <v>0</v>
      </c>
      <c r="AI37" s="32"/>
      <c r="AJ37" s="32"/>
      <c r="AK37" s="32"/>
      <c r="AL37" s="33">
        <f t="shared" si="6"/>
        <v>6.75</v>
      </c>
      <c r="AM37" s="33">
        <f t="shared" si="6"/>
        <v>6.75</v>
      </c>
      <c r="AN37" s="33">
        <f t="shared" si="6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t="s" s="1">
        <v>194</v>
      </c>
      <c r="P38" s="8">
        <f t="shared" si="3"/>
        <v>998776</v>
      </c>
      <c r="Q38" s="8">
        <f t="shared" si="4"/>
        <v>-3</v>
      </c>
      <c r="R38" s="8">
        <f t="shared" si="5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t="s" s="1">
        <v>194</v>
      </c>
      <c r="P39" s="8">
        <f t="shared" si="3"/>
        <v>998776</v>
      </c>
      <c r="Q39" s="8">
        <f t="shared" si="4"/>
        <v>-3</v>
      </c>
      <c r="R39" s="8">
        <f t="shared" si="5"/>
        <v>3</v>
      </c>
      <c r="T39" s="19" t="s">
        <v>141</v>
      </c>
      <c r="U39" s="19" t="s">
        <v>142</v>
      </c>
      <c r="V39" s="20" t="s">
        <v>143</v>
      </c>
      <c r="W39" s="19" t="s">
        <v>144</v>
      </c>
      <c r="X39" s="19" t="s">
        <v>145</v>
      </c>
      <c r="Y39" s="19" t="s">
        <v>146</v>
      </c>
      <c r="Z39" s="19" t="s">
        <v>147</v>
      </c>
      <c r="AA39" s="19" t="s">
        <v>148</v>
      </c>
      <c r="AB39" s="19" t="s">
        <v>149</v>
      </c>
      <c r="AC39" s="19" t="s">
        <v>150</v>
      </c>
      <c r="AD39" s="19" t="s">
        <v>151</v>
      </c>
      <c r="AE39" s="19" t="s">
        <v>152</v>
      </c>
      <c r="AF39" s="19" t="s">
        <v>153</v>
      </c>
      <c r="AG39" s="19" t="s">
        <v>154</v>
      </c>
      <c r="AH39" s="19" t="s">
        <v>155</v>
      </c>
      <c r="AI39" s="19" t="s">
        <v>156</v>
      </c>
      <c r="AJ39" s="19" t="s">
        <v>157</v>
      </c>
      <c r="AK39" s="21" t="s">
        <v>158</v>
      </c>
      <c r="AL39" s="21" t="s">
        <v>159</v>
      </c>
      <c r="AM39" s="21" t="s">
        <v>160</v>
      </c>
      <c r="AN39" s="21" t="s">
        <v>161</v>
      </c>
      <c r="AO39" s="21" t="s">
        <v>162</v>
      </c>
      <c r="AP39" s="21" t="s">
        <v>163</v>
      </c>
      <c r="AQ39" s="21" t="s">
        <v>164</v>
      </c>
      <c r="AR39" s="21" t="s">
        <v>165</v>
      </c>
      <c r="AS39" s="22" t="s">
        <v>166</v>
      </c>
      <c r="AT39" s="19" t="s">
        <v>167</v>
      </c>
      <c r="AU39" s="19" t="s">
        <v>168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t="s" s="1">
        <v>194</v>
      </c>
      <c r="P40" s="8">
        <f t="shared" si="3"/>
        <v>998776</v>
      </c>
      <c r="Q40" s="8">
        <f t="shared" si="4"/>
        <v>-3</v>
      </c>
      <c r="R40" s="8">
        <f t="shared" si="5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t="s" s="1">
        <v>194</v>
      </c>
      <c r="P41" s="8">
        <f t="shared" si="3"/>
        <v>998776</v>
      </c>
      <c r="Q41" s="8">
        <f t="shared" si="4"/>
        <v>-3</v>
      </c>
      <c r="R41" s="8">
        <f t="shared" si="5"/>
        <v>3</v>
      </c>
      <c r="T41" s="31" t="s">
        <v>171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7">SUM(AG40:AG40)</f>
        <v>75</v>
      </c>
      <c r="AH41" s="32">
        <f t="shared" si="7"/>
        <v>0</v>
      </c>
      <c r="AI41" s="32"/>
      <c r="AJ41" s="32"/>
      <c r="AK41" s="32"/>
      <c r="AL41" s="33">
        <f t="shared" si="7"/>
        <v>6.75</v>
      </c>
      <c r="AM41" s="33">
        <f t="shared" si="7"/>
        <v>6.75</v>
      </c>
      <c r="AN41" s="33">
        <f t="shared" si="7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t="s" s="1">
        <v>194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1"/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t="s" s="1">
        <v>191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t="s" s="1">
        <v>191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t="s" s="1">
        <v>191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t="s" s="1">
        <v>191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t="s" s="1">
        <v>191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t="s" s="1">
        <v>191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t="s" s="1">
        <v>191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1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1"/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1"/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t="s" s="1">
        <v>192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t="s" s="1">
        <v>192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t="s" s="1">
        <v>192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t="s" s="1">
        <v>192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t="s" s="1">
        <v>192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t="s" s="1">
        <v>192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t="s" s="1">
        <v>192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1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1"/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1"/>
      <c r="P66" s="8"/>
      <c r="Q66" s="8"/>
      <c r="R66" s="8"/>
    </row>
    <row r="67">
      <c r="O67" s="1"/>
    </row>
    <row r="68" spans="1:18">
      <c r="K68" s="9" t="s">
        <v>109</v>
      </c>
      <c r="L68" s="9">
        <f>L69/H3</f>
        <v>420</v>
      </c>
      <c r="O68" s="1"/>
    </row>
    <row r="69" spans="1:18">
      <c r="K69" s="9" t="s">
        <v>120</v>
      </c>
      <c r="L69" s="9">
        <f>M65+AG7</f>
        <v>1260</v>
      </c>
      <c r="O69" s="1"/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A25" workbookViewId="0">
      <selection activeCell="M3" sqref="M3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176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277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175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174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174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174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174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174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174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174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A6" workbookViewId="0">
      <selection activeCell="I36" sqref="I36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176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277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175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174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174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174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174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174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174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174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184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305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173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172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174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174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174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174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174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174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174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172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7" sqref="E17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184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277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174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174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174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174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174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174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174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6" sqref="E16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184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277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174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174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174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174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174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174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174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305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173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172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174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174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174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174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174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174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174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172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277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174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174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174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174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174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174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174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169</v>
      </c>
      <c r="I11" s="8" t="s">
        <v>137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169</v>
      </c>
      <c r="I12" s="8" t="s">
        <v>137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169</v>
      </c>
      <c r="I13" s="8" t="s">
        <v>137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169</v>
      </c>
      <c r="I14" s="8" t="s">
        <v>137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169</v>
      </c>
      <c r="I15" s="8" t="s">
        <v>137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169</v>
      </c>
      <c r="I16" s="8" t="s">
        <v>137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169</v>
      </c>
      <c r="I17" s="8" t="s">
        <v>137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137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137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137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137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137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137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137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137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137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137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137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137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137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137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138</v>
      </c>
      <c r="V32" s="16">
        <v>1</v>
      </c>
    </row>
    <row r="33" ht="15" spans="1:60 16277:16356">
      <c r="A33" s="3" t="s">
        <v>139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140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141</v>
      </c>
      <c r="U35" s="19" t="s">
        <v>142</v>
      </c>
      <c r="V35" s="20" t="s">
        <v>143</v>
      </c>
      <c r="W35" s="19" t="s">
        <v>144</v>
      </c>
      <c r="X35" s="19" t="s">
        <v>145</v>
      </c>
      <c r="Y35" s="19" t="s">
        <v>146</v>
      </c>
      <c r="Z35" s="19" t="s">
        <v>147</v>
      </c>
      <c r="AA35" s="19" t="s">
        <v>148</v>
      </c>
      <c r="AB35" s="19" t="s">
        <v>149</v>
      </c>
      <c r="AC35" s="19" t="s">
        <v>150</v>
      </c>
      <c r="AD35" s="19" t="s">
        <v>151</v>
      </c>
      <c r="AE35" s="19" t="s">
        <v>152</v>
      </c>
      <c r="AF35" s="19" t="s">
        <v>153</v>
      </c>
      <c r="AG35" s="19" t="s">
        <v>154</v>
      </c>
      <c r="AH35" s="19" t="s">
        <v>155</v>
      </c>
      <c r="AI35" s="19" t="s">
        <v>156</v>
      </c>
      <c r="AJ35" s="19" t="s">
        <v>157</v>
      </c>
      <c r="AK35" s="21" t="s">
        <v>158</v>
      </c>
      <c r="AL35" s="21" t="s">
        <v>159</v>
      </c>
      <c r="AM35" s="21" t="s">
        <v>160</v>
      </c>
      <c r="AN35" s="21" t="s">
        <v>161</v>
      </c>
      <c r="AO35" s="21" t="s">
        <v>162</v>
      </c>
      <c r="AP35" s="21" t="s">
        <v>163</v>
      </c>
      <c r="AQ35" s="21" t="s">
        <v>164</v>
      </c>
      <c r="AR35" s="21" t="s">
        <v>165</v>
      </c>
      <c r="AS35" s="22" t="s">
        <v>166</v>
      </c>
      <c r="AT35" s="19" t="s">
        <v>167</v>
      </c>
      <c r="AU35" s="19" t="s">
        <v>168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170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171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172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174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174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174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174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174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174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174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172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2026-09-24T10:52:01Z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