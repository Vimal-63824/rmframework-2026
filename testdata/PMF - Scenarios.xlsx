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 firstSheet="5" activeTab="7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<sst xmlns="http://schemas.openxmlformats.org/spreadsheetml/2006/main" count="6969" uniqueCount="194">
  <si>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</si>
  <si>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</si>
  <si>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</si>
  <si>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</si>
  <si>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</si>
  <si>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</si>
  <si>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</si>
  <si>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</si>
  <si>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</si>
  <si>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</si>
  <si>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</si>
  <si>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</si>
  <si>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</si>
  <si>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</si>
  <si>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</si>
  <si>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</si>
  <si>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</si>
  <si>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</si>
  <si>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</si>
  <si>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</si>
  <si>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333</t>
  </si>
  <si>
    <t>120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</si>
  <si>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</si>
  <si>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</si>
  <si>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</si>
  <si>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</si>
  <si>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</si>
  <si>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</si>
  <si>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</si>
  <si>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</si>
  <si>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</si>
  <si>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</si>
  <si>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</si>
  <si>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</si>
  <si>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</si>
  <si>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</si>
  <si>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</si>
  <si>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</si>
  <si>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</si>
  <si>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</si>
  <si>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</si>
  <si>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</si>
  <si>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</si>
  <si>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</si>
  <si>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</si>
  <si>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</si>
  <si>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</si>
  <si>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</si>
  <si>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</si>
  <si>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</si>
  <si>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</si>
  <si>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</si>
  <si>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</si>
  <si>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</si>
  <si>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</si>
  <si>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</si>
  <si>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</si>
  <si>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</si>
  <si>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</si>
  <si>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</si>
  <si>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</si>
  <si>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</si>
  <si>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</si>
  <si>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</si>
  <si>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</si>
  <si>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</si>
  <si>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</si>
  <si>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</si>
  <si>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</si>
  <si>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998082</t>
  </si>
  <si>
    <t>23</t>
  </si>
  <si>
    <t>GWL-FIFO-SER-BATCH-10001(RM)</t>
  </si>
  <si>
    <t>GWL-LOT-FIFO-LOT-10001(RM)</t>
  </si>
  <si>
    <t>998113</t>
  </si>
  <si>
    <t>21</t>
  </si>
  <si>
    <t>GWL-NA-FIFO-BATCH-10001(RM)</t>
  </si>
  <si>
    <t>GWL-LOT-MAC-10001(RM)</t>
  </si>
  <si>
    <t>GWL-SER-MAC-10001(RM)</t>
  </si>
  <si>
    <t>GWL-NA-MAC-10001(RM)</t>
  </si>
  <si>
    <t>GWL-FIFO-LOT-BATCH-10002(RM)</t>
  </si>
  <si>
    <t>99784</t>
  </si>
  <si>
    <t>30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</si>
  <si>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</si>
  <si>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</si>
  <si>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</si>
  <si>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</si>
  <si>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</si>
  <si>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</si>
  <si>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</si>
  <si>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99802</t>
  </si>
  <si>
    <t>15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</si>
  <si>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</si>
  <si>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</si>
  <si>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</si>
  <si>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</si>
  <si>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</si>
  <si>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</si>
  <si>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</si>
  <si>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</si>
  <si>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</si>
  <si>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</si>
  <si>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</si>
  <si>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</si>
  <si>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</si>
  <si>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</si>
  <si>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</si>
  <si>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</si>
  <si>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</si>
  <si>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</si>
  <si>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</si>
  <si>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</si>
  <si>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</si>
  <si>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</si>
  <si>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</si>
  <si>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</si>
  <si>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</si>
  <si>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</si>
  <si>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</si>
  <si>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SFG</t>
  </si>
  <si>
    <t>Process - 3</t>
  </si>
  <si>
    <t>Overall Cost</t>
  </si>
  <si>
    <t>998079</t>
  </si>
  <si>
    <t>998110</t>
  </si>
  <si>
    <t>33</t>
  </si>
  <si>
    <t>Process - 2 &amp; 3</t>
  </si>
  <si>
    <t>336</t>
  </si>
  <si>
    <t>420</t>
  </si>
  <si>
    <t>998076</t>
  </si>
  <si>
    <t>998107</t>
  </si>
  <si>
    <t>99781</t>
  </si>
  <si>
    <t>99799</t>
  </si>
  <si>
    <t>Process - 1, 2 &amp; 3</t>
  </si>
  <si>
    <t>BOM-2627-0000125</t>
  </si>
  <si>
    <t>208</t>
  </si>
  <si>
    <t>998448</t>
  </si>
  <si>
    <t>18</t>
  </si>
  <si>
    <t>3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</si>
  <si>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</si>
  <si>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</si>
  <si>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</si>
  <si>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</si>
  <si>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</si>
  <si>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</si>
  <si>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</si>
  <si>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</si>
  <si>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</si>
  <si>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</si>
  <si>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</si>
  <si>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</si>
  <si>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</si>
  <si>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</si>
  <si>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</si>
  <si>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</si>
  <si>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</si>
  <si>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</si>
  <si>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</si>
  <si>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</si>
  <si>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</si>
  <si>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</si>
  <si>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</si>
  <si>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</si>
  <si>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</si>
  <si>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</si>
  <si>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</si>
  <si>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</si>
  <si>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</si>
  <si>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</si>
  <si>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</si>
  <si>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998779</t>
  </si>
  <si>
    <t>000</t>
  </si>
  <si>
    <t>Total</t>
  </si>
  <si>
    <t xml:space="preserve"> &lt;- Target SF Code</t>
  </si>
  <si>
    <t>998776</t>
  </si>
  <si>
    <t>998773</t>
  </si>
  <si>
    <t>Process - 2&amp; 3</t>
  </si>
  <si>
    <t>BOM-2627-0000126</t>
  </si>
  <si>
    <t>342</t>
  </si>
  <si>
    <t>998046</t>
  </si>
  <si>
    <t>998077</t>
  </si>
  <si>
    <t>99775</t>
  </si>
  <si>
    <t>99793</t>
  </si>
  <si>
    <t>Overall</t>
  </si>
  <si>
    <t>998025</t>
  </si>
  <si>
    <t>998056</t>
  </si>
  <si>
    <t>99769</t>
  </si>
  <si>
    <t>186</t>
  </si>
  <si>
    <t>998067</t>
  </si>
  <si>
    <t>998098</t>
  </si>
  <si>
    <t>99778</t>
  </si>
  <si>
    <t>99796</t>
  </si>
  <si>
    <t>BOM-2627-0000127</t>
  </si>
  <si>
    <t>99790</t>
  </si>
  <si>
    <t>99805</t>
  </si>
  <si>
    <t>BOM-2627-0000128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</si>
</sst>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0" fontId="5" fillId="0" borderId="0" xfId="0" applyFont="1" applyFill="1" applyAlignment="1"/>
    <xf numFmtId="0" fontId="3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/>
    <xf numFmtId="181" fontId="10" fillId="0" borderId="0" xfId="0" applyNumberFormat="1" applyFont="1" applyFill="1" applyBorder="1" applyAlignment="1"/>
    <xf numFmtId="1" fontId="10" fillId="0" borderId="0" xfId="0" applyNumberFormat="1" applyFont="1" applyFill="1" applyBorder="1" applyAlignment="1"/>
    <xf numFmtId="0" fontId="10" fillId="0" borderId="0" xfId="0" applyNumberFormat="1" applyFont="1" applyFill="1" applyBorder="1" applyAlignment="1" applyProtection="1"/>
    <xf numFmtId="10" fontId="10" fillId="0" borderId="0" xfId="0" applyNumberFormat="1" applyFont="1" applyFill="1" applyBorder="1" applyAlignment="1"/>
    <xf numFmtId="0" fontId="8" fillId="0" borderId="0" xfId="0" applyNumberFormat="1" applyFont="1" applyFill="1" applyBorder="1" applyAlignment="1"/>
    <xf numFmtId="0" fontId="8" fillId="0" borderId="0" xfId="0" applyFont="1" applyFill="1" applyBorder="1" applyAlignment="1">
      <alignment horizontal="center"/>
    </xf>
    <xf numFmtId="2" fontId="8" fillId="0" borderId="0" xfId="0" applyNumberFormat="1" applyFont="1" applyFill="1" applyBorder="1" applyAlignment="1"/>
    <xf numFmtId="0" fontId="1" fillId="0" borderId="0" xfId="0" applyNumberFormat="1" applyFont="1" applyFill="1" applyAlignment="1"/>
    <xf numFmtId="0" fontId="8" fillId="0" borderId="0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9" fillId="3" borderId="1" xfId="0" applyNumberFormat="1" applyFont="1" applyFill="1" applyBorder="1" applyAlignment="1">
      <alignment horizontal="center"/>
    </xf>
    <xf numFmtId="0" fontId="8" fillId="4" borderId="1" xfId="0" applyNumberFormat="1" applyFont="1" applyFill="1" applyBorder="1" applyAlignment="1">
      <alignment horizontal="center" vertical="center"/>
    </xf>
    <xf numFmtId="0" fontId="8" fillId="4" borderId="1" xfId="0" applyNumberFormat="1" applyFont="1" applyFill="1" applyBorder="1" applyAlignment="1">
      <alignment horizontal="lef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8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/>
    <xf numFmtId="0" fontId="10" fillId="0" borderId="1" xfId="0" applyNumberFormat="1" applyFont="1" applyFill="1" applyBorder="1" applyAlignment="1"/>
    <xf numFmtId="0" fontId="10" fillId="7" borderId="1" xfId="0" applyNumberFormat="1" applyFont="1" applyFill="1" applyBorder="1" applyAlignment="1"/>
    <xf numFmtId="0" fontId="8" fillId="8" borderId="1" xfId="0" applyNumberFormat="1" applyFont="1" applyFill="1" applyBorder="1" applyAlignment="1">
      <alignment horizontal="center"/>
    </xf>
    <xf numFmtId="0" fontId="8" fillId="8" borderId="1" xfId="0" applyNumberFormat="1" applyFont="1" applyFill="1" applyBorder="1" applyAlignment="1"/>
    <xf numFmtId="0" fontId="8" fillId="6" borderId="1" xfId="0" applyNumberFormat="1" applyFont="1" applyFill="1" applyBorder="1" applyAlignment="1"/>
    <xf numFmtId="0" fontId="5" fillId="0" borderId="0" xfId="0" applyNumberFormat="1" applyFont="1" applyFill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E56" workbookViewId="0">
      <selection activeCell="I28" sqref="I28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68"/>
  </cols>
  <sheetData>
    <row r="1" spans="1:33 16370:1637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1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68"/>
      <c r="XEQ2" s="68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72" t="s">
        <v>17</v>
      </c>
      <c r="F3" s="72" t="s">
        <v>18</v>
      </c>
      <c r="G3" s="79" t="s">
        <v>19</v>
      </c>
      <c r="H3" s="6">
        <v>3</v>
      </c>
      <c r="I3" s="1" t="s">
        <v>20</v>
      </c>
      <c r="J3" s="8">
        <f>I3+H3</f>
        <v>255</v>
      </c>
      <c r="K3" s="1" t="s">
        <v>21</v>
      </c>
      <c r="L3" s="8">
        <f>(L68)</f>
        <v>420</v>
      </c>
      <c r="M3" s="9">
        <f>L68</f>
        <v>420</v>
      </c>
      <c r="XEP3" s="68"/>
      <c r="XEQ3" s="68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73" t="s">
        <v>49</v>
      </c>
      <c r="G6" s="8" t="s">
        <v>50</v>
      </c>
      <c r="H6" s="73" t="s">
        <v>51</v>
      </c>
      <c r="I6" s="73" t="s">
        <v>52</v>
      </c>
      <c r="J6" s="73" t="s">
        <v>51</v>
      </c>
      <c r="K6" s="73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73" t="s">
        <v>49</v>
      </c>
      <c r="G7" s="8" t="s">
        <v>50</v>
      </c>
      <c r="H7" s="73" t="s">
        <v>51</v>
      </c>
      <c r="I7" s="73" t="s">
        <v>52</v>
      </c>
      <c r="J7" s="73" t="s">
        <v>51</v>
      </c>
      <c r="K7" s="73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73" t="s">
        <v>49</v>
      </c>
      <c r="G8" s="8" t="s">
        <v>50</v>
      </c>
      <c r="H8" s="73" t="s">
        <v>51</v>
      </c>
      <c r="I8" s="73" t="s">
        <v>52</v>
      </c>
      <c r="J8" s="73" t="s">
        <v>51</v>
      </c>
      <c r="K8" s="73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>H11-I11</f>
        <v>998329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>H12-I12</f>
        <v>998370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73</v>
      </c>
      <c r="I13" s="1" t="s">
        <v>74</v>
      </c>
      <c r="J13" s="8">
        <f>H13-I13</f>
        <v>998401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73</v>
      </c>
      <c r="I14" s="1" t="s">
        <v>74</v>
      </c>
      <c r="J14" s="8">
        <f>H14-I14</f>
        <v>998401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73</v>
      </c>
      <c r="I15" s="1" t="s">
        <v>74</v>
      </c>
      <c r="J15" s="8">
        <f t="shared" ref="J12:J31" si="0">H15-I15</f>
        <v>998401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73</v>
      </c>
      <c r="I16" s="1" t="s">
        <v>74</v>
      </c>
      <c r="J16" s="8">
        <f t="shared" si="0"/>
        <v>998401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73</v>
      </c>
      <c r="I17" s="1" t="s">
        <v>74</v>
      </c>
      <c r="J17" s="8">
        <f t="shared" si="0"/>
        <v>998401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80</v>
      </c>
      <c r="I18" s="1" t="s">
        <v>81</v>
      </c>
      <c r="J18" s="8">
        <f t="shared" si="0"/>
        <v>99928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80</v>
      </c>
      <c r="I19" s="1" t="s">
        <v>81</v>
      </c>
      <c r="J19" s="8">
        <f t="shared" si="0"/>
        <v>99928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80</v>
      </c>
      <c r="I20" s="1" t="s">
        <v>81</v>
      </c>
      <c r="J20" s="8">
        <f t="shared" si="0"/>
        <v>99928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80</v>
      </c>
      <c r="I21" s="1" t="s">
        <v>81</v>
      </c>
      <c r="J21" s="8">
        <f t="shared" si="0"/>
        <v>99928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80</v>
      </c>
      <c r="I22" s="1" t="s">
        <v>81</v>
      </c>
      <c r="J22" s="8">
        <f t="shared" si="0"/>
        <v>99928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80</v>
      </c>
      <c r="I23" s="1" t="s">
        <v>81</v>
      </c>
      <c r="J23" s="8">
        <f t="shared" si="0"/>
        <v>99928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80</v>
      </c>
      <c r="I24" s="1" t="s">
        <v>81</v>
      </c>
      <c r="J24" s="8">
        <f t="shared" si="0"/>
        <v>99928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89</v>
      </c>
      <c r="I25" s="1" t="s">
        <v>90</v>
      </c>
      <c r="J25" s="8">
        <f t="shared" si="0"/>
        <v>99931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89</v>
      </c>
      <c r="I26" s="1" t="s">
        <v>90</v>
      </c>
      <c r="J26" s="8">
        <f t="shared" si="0"/>
        <v>99931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89</v>
      </c>
      <c r="I27" s="1" t="s">
        <v>90</v>
      </c>
      <c r="J27" s="8">
        <f t="shared" si="0"/>
        <v>99931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89</v>
      </c>
      <c r="I28" s="1" t="s">
        <v>90</v>
      </c>
      <c r="J28" s="8">
        <f t="shared" si="0"/>
        <v>99931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89</v>
      </c>
      <c r="I29" s="1" t="s">
        <v>90</v>
      </c>
      <c r="J29" s="8">
        <f t="shared" si="0"/>
        <v>99931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89</v>
      </c>
      <c r="I30" s="1" t="s">
        <v>90</v>
      </c>
      <c r="J30" s="8">
        <f t="shared" si="0"/>
        <v>99931</v>
      </c>
      <c r="K30" s="8">
        <v>1</v>
      </c>
      <c r="L30" s="8">
        <f>H3</f>
        <v>3</v>
      </c>
      <c r="M30" s="13"/>
    </row>
    <row r="31" spans="1:18">
      <c r="A31" s="74">
        <v>3</v>
      </c>
      <c r="B31" s="74">
        <v>7</v>
      </c>
      <c r="C31" s="74" t="s">
        <v>56</v>
      </c>
      <c r="D31" s="74" t="s">
        <v>57</v>
      </c>
      <c r="E31" s="12" t="s">
        <v>96</v>
      </c>
      <c r="F31" s="74" t="s">
        <v>14</v>
      </c>
      <c r="G31" s="74" t="s">
        <v>68</v>
      </c>
      <c r="H31" s="1" t="s">
        <v>89</v>
      </c>
      <c r="I31" s="1" t="s">
        <v>90</v>
      </c>
      <c r="J31" s="74">
        <f t="shared" si="0"/>
        <v>99931</v>
      </c>
      <c r="K31" s="74">
        <v>1</v>
      </c>
      <c r="L31" s="74">
        <f>H3</f>
        <v>3</v>
      </c>
      <c r="M31" s="13"/>
    </row>
    <row r="32" spans="1:18">
      <c r="A32" s="74"/>
      <c r="B32" s="74"/>
      <c r="C32" s="74"/>
      <c r="D32" s="74"/>
      <c r="E32" s="74"/>
      <c r="F32" s="74"/>
      <c r="G32" s="74"/>
      <c r="J32" s="74"/>
      <c r="K32" s="74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75" t="s">
        <v>98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7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73" t="s">
        <v>67</v>
      </c>
      <c r="F36" s="8" t="s">
        <v>14</v>
      </c>
      <c r="G36" s="8" t="s">
        <v>68</v>
      </c>
      <c r="H36" s="73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69</v>
      </c>
      <c r="P36" s="8">
        <f>O36-I36</f>
        <v>998349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73" t="s">
        <v>71</v>
      </c>
      <c r="F37" s="8" t="s">
        <v>14</v>
      </c>
      <c r="G37" s="8" t="s">
        <v>68</v>
      </c>
      <c r="H37" s="73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2">K37</f>
        <v>3</v>
      </c>
      <c r="O37" s="1" t="s">
        <v>69</v>
      </c>
      <c r="P37" s="8">
        <f t="shared" ref="P37:P42" si="3">O37-I37</f>
        <v>998349</v>
      </c>
      <c r="Q37" s="8">
        <f t="shared" ref="Q37:Q42" si="4">-I37</f>
        <v>-3</v>
      </c>
      <c r="R37" s="8">
        <f t="shared" ref="R37:R42" si="5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73" t="s">
        <v>72</v>
      </c>
      <c r="F38" s="8" t="s">
        <v>14</v>
      </c>
      <c r="G38" s="8" t="s">
        <v>68</v>
      </c>
      <c r="H38" s="73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2"/>
        <v>3</v>
      </c>
      <c r="O38" s="1" t="s">
        <v>73</v>
      </c>
      <c r="P38" s="8">
        <f t="shared" si="3"/>
        <v>998380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73" t="s">
        <v>75</v>
      </c>
      <c r="F39" s="8" t="s">
        <v>14</v>
      </c>
      <c r="G39" s="8" t="s">
        <v>68</v>
      </c>
      <c r="H39" s="73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2"/>
        <v>3</v>
      </c>
      <c r="O39" s="1" t="s">
        <v>73</v>
      </c>
      <c r="P39" s="8">
        <f t="shared" si="3"/>
        <v>998380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73" t="s">
        <v>76</v>
      </c>
      <c r="F40" s="8" t="s">
        <v>14</v>
      </c>
      <c r="G40" s="8" t="s">
        <v>68</v>
      </c>
      <c r="H40" s="73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2"/>
        <v>3</v>
      </c>
      <c r="O40" s="1" t="s">
        <v>73</v>
      </c>
      <c r="P40" s="8">
        <f t="shared" si="3"/>
        <v>998380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73" t="s">
        <v>77</v>
      </c>
      <c r="F41" s="8" t="s">
        <v>14</v>
      </c>
      <c r="G41" s="8" t="s">
        <v>68</v>
      </c>
      <c r="H41" s="73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2"/>
        <v>3</v>
      </c>
      <c r="O41" s="1" t="s">
        <v>73</v>
      </c>
      <c r="P41" s="8">
        <f t="shared" si="3"/>
        <v>998380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73" t="s">
        <v>78</v>
      </c>
      <c r="F42" s="8" t="s">
        <v>14</v>
      </c>
      <c r="G42" s="8" t="s">
        <v>68</v>
      </c>
      <c r="H42" s="73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2"/>
        <v>3</v>
      </c>
      <c r="O42" s="1" t="s">
        <v>73</v>
      </c>
      <c r="P42" s="8">
        <f t="shared" si="3"/>
        <v>998380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78"/>
      <c r="F43" s="36"/>
      <c r="G43" s="36"/>
      <c r="H43" s="78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73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6">L46*K46</f>
        <v>60</v>
      </c>
      <c r="N46" s="8">
        <f>K46</f>
        <v>3</v>
      </c>
      <c r="O46" s="1" t="s">
        <v>80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73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2" si="7">K47</f>
        <v>3</v>
      </c>
      <c r="O47" s="1" t="s">
        <v>80</v>
      </c>
      <c r="P47" s="8">
        <f t="shared" ref="P47:P52" si="8">O47-I47</f>
        <v>-3</v>
      </c>
      <c r="Q47" s="8">
        <f t="shared" ref="Q47:Q52" si="9">-I47</f>
        <v>-3</v>
      </c>
      <c r="R47" s="8">
        <f t="shared" ref="R47:R52" si="10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73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7"/>
        <v>3</v>
      </c>
      <c r="O48" s="1" t="s">
        <v>80</v>
      </c>
      <c r="P48" s="8">
        <f t="shared" si="8"/>
        <v>-3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73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7"/>
        <v>3</v>
      </c>
      <c r="O49" s="1" t="s">
        <v>80</v>
      </c>
      <c r="P49" s="8">
        <f t="shared" si="8"/>
        <v>-3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73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7"/>
        <v>3</v>
      </c>
      <c r="O50" s="1" t="s">
        <v>80</v>
      </c>
      <c r="P50" s="8">
        <f t="shared" si="8"/>
        <v>-3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73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7"/>
        <v>3</v>
      </c>
      <c r="O51" s="1" t="s">
        <v>80</v>
      </c>
      <c r="P51" s="8">
        <f t="shared" si="8"/>
        <v>-3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73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7"/>
        <v>3</v>
      </c>
      <c r="O52" s="1" t="s">
        <v>80</v>
      </c>
      <c r="P52" s="8">
        <f t="shared" si="8"/>
        <v>-3</v>
      </c>
      <c r="Q52" s="8">
        <f t="shared" si="9"/>
        <v>-3</v>
      </c>
      <c r="R52" s="8">
        <f t="shared" si="10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2" t="s">
        <v>18</v>
      </c>
      <c r="F53" s="8" t="s">
        <v>14</v>
      </c>
      <c r="G53" s="8" t="s">
        <v>52</v>
      </c>
      <c r="H53" s="73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6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78"/>
      <c r="G54" s="36"/>
      <c r="H54" s="78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73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K57</f>
        <v>3</v>
      </c>
      <c r="O57" s="1" t="s">
        <v>89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73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1">K58</f>
        <v>3</v>
      </c>
      <c r="O58" s="1" t="s">
        <v>89</v>
      </c>
      <c r="P58" s="8">
        <f t="shared" ref="P58:P63" si="12">O58-I58</f>
        <v>-3</v>
      </c>
      <c r="Q58" s="8">
        <f t="shared" ref="Q58:Q63" si="13">-I58</f>
        <v>-3</v>
      </c>
      <c r="R58" s="8">
        <f t="shared" ref="R58:R63" si="14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73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5">L59*K59</f>
        <v>60</v>
      </c>
      <c r="N59" s="8">
        <f t="shared" si="11"/>
        <v>3</v>
      </c>
      <c r="O59" s="1" t="s">
        <v>89</v>
      </c>
      <c r="P59" s="8">
        <f t="shared" si="12"/>
        <v>-3</v>
      </c>
      <c r="Q59" s="8">
        <f t="shared" si="13"/>
        <v>-3</v>
      </c>
      <c r="R59" s="8">
        <f t="shared" si="14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73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>
        <f t="shared" si="11"/>
        <v>3</v>
      </c>
      <c r="O60" s="1" t="s">
        <v>89</v>
      </c>
      <c r="P60" s="8">
        <f t="shared" si="12"/>
        <v>-3</v>
      </c>
      <c r="Q60" s="8">
        <f t="shared" si="13"/>
        <v>-3</v>
      </c>
      <c r="R60" s="8">
        <f t="shared" si="14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73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>
        <f t="shared" si="11"/>
        <v>3</v>
      </c>
      <c r="O61" s="1" t="s">
        <v>89</v>
      </c>
      <c r="P61" s="8">
        <f t="shared" si="12"/>
        <v>-3</v>
      </c>
      <c r="Q61" s="8">
        <f t="shared" si="13"/>
        <v>-3</v>
      </c>
      <c r="R61" s="8">
        <f t="shared" si="14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73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>
        <f t="shared" si="11"/>
        <v>3</v>
      </c>
      <c r="O62" s="1" t="s">
        <v>89</v>
      </c>
      <c r="P62" s="8">
        <f t="shared" si="12"/>
        <v>-3</v>
      </c>
      <c r="Q62" s="8">
        <f t="shared" si="13"/>
        <v>-3</v>
      </c>
      <c r="R62" s="8">
        <f t="shared" si="14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73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>
        <f t="shared" si="11"/>
        <v>3</v>
      </c>
      <c r="O63" s="1" t="s">
        <v>89</v>
      </c>
      <c r="P63" s="8">
        <f t="shared" si="12"/>
        <v>-3</v>
      </c>
      <c r="Q63" s="8">
        <f t="shared" si="13"/>
        <v>-3</v>
      </c>
      <c r="R63" s="8">
        <f t="shared" si="14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2" t="s">
        <v>18</v>
      </c>
      <c r="F64" s="8" t="s">
        <v>14</v>
      </c>
      <c r="G64" s="8" t="s">
        <v>52</v>
      </c>
      <c r="H64" s="73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78"/>
      <c r="G65" s="36"/>
      <c r="H65" s="78" t="s">
        <v>52</v>
      </c>
      <c r="I65" s="78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5"/>
  <sheetViews>
    <sheetView zoomScale="61" zoomScaleNormal="61" topLeftCell="G41" workbookViewId="0">
      <selection activeCell="A4" sqref="A4:L4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68"/>
  </cols>
  <sheetData>
    <row r="1" spans="1:33 16370:1637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1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68"/>
      <c r="XEQ2" s="68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72" t="s">
        <v>17</v>
      </c>
      <c r="F3" s="72" t="s">
        <v>18</v>
      </c>
      <c r="G3" s="79" t="s">
        <v>19</v>
      </c>
      <c r="H3" s="6">
        <v>3</v>
      </c>
      <c r="I3" s="1" t="s">
        <v>20</v>
      </c>
      <c r="J3" s="8">
        <f>I3+H3</f>
        <v>189</v>
      </c>
      <c r="K3" s="1" t="s">
        <v>21</v>
      </c>
      <c r="L3" s="8">
        <f>(L64)</f>
        <v>420</v>
      </c>
      <c r="M3" s="9">
        <f>L64</f>
        <v>420</v>
      </c>
      <c r="XEP3" s="68"/>
      <c r="XEQ3" s="68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73" t="s">
        <v>49</v>
      </c>
      <c r="G6" s="8" t="s">
        <v>50</v>
      </c>
      <c r="H6" s="73" t="s">
        <v>51</v>
      </c>
      <c r="I6" s="73" t="s">
        <v>52</v>
      </c>
      <c r="J6" s="73" t="s">
        <v>51</v>
      </c>
      <c r="K6" s="73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73" t="s">
        <v>49</v>
      </c>
      <c r="G7" s="8" t="s">
        <v>50</v>
      </c>
      <c r="H7" s="73" t="s">
        <v>51</v>
      </c>
      <c r="I7" s="73" t="s">
        <v>52</v>
      </c>
      <c r="J7" s="73" t="s">
        <v>51</v>
      </c>
      <c r="K7" s="73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73" t="s">
        <v>49</v>
      </c>
      <c r="G8" s="8" t="s">
        <v>50</v>
      </c>
      <c r="H8" s="73" t="s">
        <v>51</v>
      </c>
      <c r="I8" s="73" t="s">
        <v>52</v>
      </c>
      <c r="J8" s="73" t="s">
        <v>51</v>
      </c>
      <c r="K8" s="73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121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121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122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122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122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122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122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80</v>
      </c>
      <c r="I18" s="1" t="s">
        <v>123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80</v>
      </c>
      <c r="I19" s="1" t="s">
        <v>123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80</v>
      </c>
      <c r="I20" s="1" t="s">
        <v>123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80</v>
      </c>
      <c r="I21" s="1" t="s">
        <v>123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80</v>
      </c>
      <c r="I22" s="1" t="s">
        <v>123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80</v>
      </c>
      <c r="I23" s="1" t="s">
        <v>123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80</v>
      </c>
      <c r="I24" s="1" t="s">
        <v>123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89</v>
      </c>
      <c r="I25" s="1" t="s">
        <v>90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89</v>
      </c>
      <c r="I26" s="1" t="s">
        <v>90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89</v>
      </c>
      <c r="I27" s="1" t="s">
        <v>90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89</v>
      </c>
      <c r="I28" s="1" t="s">
        <v>90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89</v>
      </c>
      <c r="I29" s="1" t="s">
        <v>90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89</v>
      </c>
      <c r="I30" s="1" t="s">
        <v>90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74">
        <v>3</v>
      </c>
      <c r="B31" s="74">
        <v>7</v>
      </c>
      <c r="C31" s="74" t="s">
        <v>56</v>
      </c>
      <c r="D31" s="74" t="s">
        <v>57</v>
      </c>
      <c r="E31" s="12" t="s">
        <v>96</v>
      </c>
      <c r="F31" s="74" t="s">
        <v>14</v>
      </c>
      <c r="G31" s="74" t="s">
        <v>68</v>
      </c>
      <c r="H31" s="1" t="s">
        <v>89</v>
      </c>
      <c r="I31" s="1" t="s">
        <v>90</v>
      </c>
      <c r="J31" s="74">
        <f t="shared" si="0"/>
        <v>998770</v>
      </c>
      <c r="K31" s="74">
        <v>1</v>
      </c>
      <c r="L31" s="74">
        <f>H3</f>
        <v>3</v>
      </c>
      <c r="M31" s="13"/>
    </row>
    <row r="32" spans="1:18">
      <c r="A32" s="74"/>
      <c r="B32" s="74"/>
      <c r="C32" s="74"/>
      <c r="D32" s="74"/>
      <c r="E32" s="74"/>
      <c r="F32" s="74"/>
      <c r="G32" s="74"/>
      <c r="J32" s="74"/>
      <c r="K32" s="74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75" t="s">
        <v>98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7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73" t="s">
        <v>67</v>
      </c>
      <c r="F36" s="8" t="s">
        <v>14</v>
      </c>
      <c r="G36" s="8" t="s">
        <v>68</v>
      </c>
      <c r="H36" s="73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121</v>
      </c>
      <c r="P36" s="8">
        <f t="shared" ref="P36:P42" si="2">O36-I36</f>
        <v>998346</v>
      </c>
      <c r="Q36" s="8">
        <f t="shared" ref="Q36:Q42" si="3">-I36</f>
        <v>-3</v>
      </c>
      <c r="R36" s="8">
        <f t="shared" ref="R36:R42" si="4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73" t="s">
        <v>71</v>
      </c>
      <c r="F37" s="8" t="s">
        <v>14</v>
      </c>
      <c r="G37" s="8" t="s">
        <v>68</v>
      </c>
      <c r="H37" s="73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5">K37</f>
        <v>3</v>
      </c>
      <c r="O37" s="1" t="s">
        <v>121</v>
      </c>
      <c r="P37" s="8">
        <f t="shared" si="2"/>
        <v>998346</v>
      </c>
      <c r="Q37" s="8">
        <f t="shared" si="3"/>
        <v>-3</v>
      </c>
      <c r="R37" s="8">
        <f t="shared" si="4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73" t="s">
        <v>72</v>
      </c>
      <c r="F38" s="8" t="s">
        <v>14</v>
      </c>
      <c r="G38" s="8" t="s">
        <v>68</v>
      </c>
      <c r="H38" s="73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5"/>
        <v>3</v>
      </c>
      <c r="O38" s="1" t="s">
        <v>122</v>
      </c>
      <c r="P38" s="8">
        <f t="shared" si="2"/>
        <v>998377</v>
      </c>
      <c r="Q38" s="8">
        <f t="shared" si="3"/>
        <v>-3</v>
      </c>
      <c r="R38" s="8">
        <f t="shared" si="4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73" t="s">
        <v>75</v>
      </c>
      <c r="F39" s="8" t="s">
        <v>14</v>
      </c>
      <c r="G39" s="8" t="s">
        <v>68</v>
      </c>
      <c r="H39" s="73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5"/>
        <v>3</v>
      </c>
      <c r="O39" s="1" t="s">
        <v>122</v>
      </c>
      <c r="P39" s="8">
        <f t="shared" si="2"/>
        <v>998377</v>
      </c>
      <c r="Q39" s="8">
        <f t="shared" si="3"/>
        <v>-3</v>
      </c>
      <c r="R39" s="8">
        <f t="shared" si="4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73" t="s">
        <v>76</v>
      </c>
      <c r="F40" s="8" t="s">
        <v>14</v>
      </c>
      <c r="G40" s="8" t="s">
        <v>68</v>
      </c>
      <c r="H40" s="73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5"/>
        <v>3</v>
      </c>
      <c r="O40" s="1" t="s">
        <v>122</v>
      </c>
      <c r="P40" s="8">
        <f t="shared" si="2"/>
        <v>998377</v>
      </c>
      <c r="Q40" s="8">
        <f t="shared" si="3"/>
        <v>-3</v>
      </c>
      <c r="R40" s="8">
        <f t="shared" si="4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73" t="s">
        <v>77</v>
      </c>
      <c r="F41" s="8" t="s">
        <v>14</v>
      </c>
      <c r="G41" s="8" t="s">
        <v>68</v>
      </c>
      <c r="H41" s="73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5"/>
        <v>3</v>
      </c>
      <c r="O41" s="1" t="s">
        <v>122</v>
      </c>
      <c r="P41" s="8">
        <f t="shared" si="2"/>
        <v>998377</v>
      </c>
      <c r="Q41" s="8">
        <f t="shared" si="3"/>
        <v>-3</v>
      </c>
      <c r="R41" s="8">
        <f t="shared" si="4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73" t="s">
        <v>78</v>
      </c>
      <c r="F42" s="8" t="s">
        <v>14</v>
      </c>
      <c r="G42" s="8" t="s">
        <v>68</v>
      </c>
      <c r="H42" s="73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5"/>
        <v>3</v>
      </c>
      <c r="O42" s="1" t="s">
        <v>122</v>
      </c>
      <c r="P42" s="8">
        <f t="shared" si="2"/>
        <v>998377</v>
      </c>
      <c r="Q42" s="8">
        <f t="shared" si="3"/>
        <v>-3</v>
      </c>
      <c r="R42" s="8">
        <f t="shared" si="4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78"/>
      <c r="F43" s="36"/>
      <c r="G43" s="36"/>
      <c r="H43" s="78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124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73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6">L46*K46</f>
        <v>60</v>
      </c>
      <c r="N46" s="8">
        <f>K46</f>
        <v>3</v>
      </c>
      <c r="O46" s="1" t="s">
        <v>80</v>
      </c>
      <c r="P46" s="8">
        <f>O46-I46</f>
        <v>99922</v>
      </c>
      <c r="Q46" s="8">
        <f t="shared" ref="Q46:Q52" si="7">-I46</f>
        <v>-3</v>
      </c>
      <c r="R46" s="8">
        <f t="shared" ref="R46:R52" si="8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73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9" si="9">K47</f>
        <v>3</v>
      </c>
      <c r="O47" s="1" t="s">
        <v>80</v>
      </c>
      <c r="P47" s="8">
        <f t="shared" ref="P47:P59" si="10">O47-I47</f>
        <v>99922</v>
      </c>
      <c r="Q47" s="8">
        <f t="shared" si="7"/>
        <v>-3</v>
      </c>
      <c r="R47" s="8">
        <f t="shared" si="8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73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9"/>
        <v>3</v>
      </c>
      <c r="O48" s="1" t="s">
        <v>80</v>
      </c>
      <c r="P48" s="8">
        <f t="shared" si="10"/>
        <v>99922</v>
      </c>
      <c r="Q48" s="8">
        <f t="shared" si="7"/>
        <v>-3</v>
      </c>
      <c r="R48" s="8">
        <f t="shared" si="8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73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9"/>
        <v>3</v>
      </c>
      <c r="O49" s="1" t="s">
        <v>80</v>
      </c>
      <c r="P49" s="8">
        <f t="shared" si="10"/>
        <v>99922</v>
      </c>
      <c r="Q49" s="8">
        <f t="shared" si="7"/>
        <v>-3</v>
      </c>
      <c r="R49" s="8">
        <f t="shared" si="8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73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9"/>
        <v>3</v>
      </c>
      <c r="O50" s="1" t="s">
        <v>80</v>
      </c>
      <c r="P50" s="8">
        <f t="shared" si="10"/>
        <v>99922</v>
      </c>
      <c r="Q50" s="8">
        <f t="shared" si="7"/>
        <v>-3</v>
      </c>
      <c r="R50" s="8">
        <f t="shared" si="8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73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9"/>
        <v>3</v>
      </c>
      <c r="O51" s="1" t="s">
        <v>80</v>
      </c>
      <c r="P51" s="8">
        <f t="shared" si="10"/>
        <v>99922</v>
      </c>
      <c r="Q51" s="8">
        <f t="shared" si="7"/>
        <v>-3</v>
      </c>
      <c r="R51" s="8">
        <f t="shared" si="8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73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9"/>
        <v>3</v>
      </c>
      <c r="O52" s="1" t="s">
        <v>80</v>
      </c>
      <c r="P52" s="8">
        <f t="shared" si="10"/>
        <v>99922</v>
      </c>
      <c r="Q52" s="8">
        <f t="shared" si="7"/>
        <v>-3</v>
      </c>
      <c r="R52" s="8">
        <f t="shared" si="8"/>
        <v>3</v>
      </c>
    </row>
    <row r="53" spans="1:18">
      <c r="A53" s="8">
        <v>3</v>
      </c>
      <c r="B53" s="8">
        <v>8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73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1">L53*K53</f>
        <v>60</v>
      </c>
      <c r="N53" s="8">
        <f t="shared" si="9"/>
        <v>3</v>
      </c>
      <c r="O53" s="1" t="s">
        <v>89</v>
      </c>
      <c r="P53" s="8">
        <f t="shared" si="10"/>
        <v>99925</v>
      </c>
      <c r="Q53" s="8">
        <f t="shared" ref="Q53:Q59" si="12">-I53</f>
        <v>-3</v>
      </c>
      <c r="R53" s="8">
        <f t="shared" ref="R53:R59" si="13">I53</f>
        <v>3</v>
      </c>
    </row>
    <row r="54" spans="1:18">
      <c r="A54" s="8">
        <v>3</v>
      </c>
      <c r="B54" s="8">
        <v>9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73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1"/>
        <v>60</v>
      </c>
      <c r="N54" s="8">
        <f t="shared" si="9"/>
        <v>3</v>
      </c>
      <c r="O54" s="1" t="s">
        <v>89</v>
      </c>
      <c r="P54" s="8">
        <f t="shared" si="10"/>
        <v>99925</v>
      </c>
      <c r="Q54" s="8">
        <f t="shared" si="12"/>
        <v>-3</v>
      </c>
      <c r="R54" s="8">
        <f t="shared" si="13"/>
        <v>3</v>
      </c>
    </row>
    <row r="55" spans="1:18">
      <c r="A55" s="8">
        <v>3</v>
      </c>
      <c r="B55" s="8">
        <v>10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73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1"/>
        <v>60</v>
      </c>
      <c r="N55" s="8">
        <f t="shared" si="9"/>
        <v>3</v>
      </c>
      <c r="O55" s="1" t="s">
        <v>89</v>
      </c>
      <c r="P55" s="8">
        <f t="shared" si="10"/>
        <v>99925</v>
      </c>
      <c r="Q55" s="8">
        <f t="shared" si="12"/>
        <v>-3</v>
      </c>
      <c r="R55" s="8">
        <f t="shared" si="13"/>
        <v>3</v>
      </c>
    </row>
    <row r="56" spans="1:18">
      <c r="A56" s="8">
        <v>3</v>
      </c>
      <c r="B56" s="8">
        <v>11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73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1"/>
        <v>60</v>
      </c>
      <c r="N56" s="8">
        <f t="shared" si="9"/>
        <v>3</v>
      </c>
      <c r="O56" s="1" t="s">
        <v>89</v>
      </c>
      <c r="P56" s="8">
        <f t="shared" si="10"/>
        <v>99925</v>
      </c>
      <c r="Q56" s="8">
        <f t="shared" si="12"/>
        <v>-3</v>
      </c>
      <c r="R56" s="8">
        <f t="shared" si="13"/>
        <v>3</v>
      </c>
    </row>
    <row r="57" spans="1:18">
      <c r="A57" s="8">
        <v>3</v>
      </c>
      <c r="B57" s="8">
        <v>12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73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1"/>
        <v>60</v>
      </c>
      <c r="N57" s="8">
        <f t="shared" si="9"/>
        <v>3</v>
      </c>
      <c r="O57" s="1" t="s">
        <v>89</v>
      </c>
      <c r="P57" s="8">
        <f t="shared" si="10"/>
        <v>99925</v>
      </c>
      <c r="Q57" s="8">
        <f t="shared" si="12"/>
        <v>-3</v>
      </c>
      <c r="R57" s="8">
        <f t="shared" si="13"/>
        <v>3</v>
      </c>
    </row>
    <row r="58" spans="1:18">
      <c r="A58" s="8">
        <v>3</v>
      </c>
      <c r="B58" s="8">
        <v>13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73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1"/>
        <v>60</v>
      </c>
      <c r="N58" s="8">
        <f t="shared" si="9"/>
        <v>3</v>
      </c>
      <c r="O58" s="1" t="s">
        <v>89</v>
      </c>
      <c r="P58" s="8">
        <f t="shared" si="10"/>
        <v>99925</v>
      </c>
      <c r="Q58" s="8">
        <f t="shared" si="12"/>
        <v>-3</v>
      </c>
      <c r="R58" s="8">
        <f t="shared" si="13"/>
        <v>3</v>
      </c>
    </row>
    <row r="59" spans="1:18">
      <c r="A59" s="8">
        <v>3</v>
      </c>
      <c r="B59" s="8">
        <v>14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73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1"/>
        <v>60</v>
      </c>
      <c r="N59" s="8">
        <f t="shared" si="9"/>
        <v>3</v>
      </c>
      <c r="O59" s="1" t="s">
        <v>89</v>
      </c>
      <c r="P59" s="8">
        <f t="shared" si="10"/>
        <v>99925</v>
      </c>
      <c r="Q59" s="8">
        <f t="shared" si="12"/>
        <v>-3</v>
      </c>
      <c r="R59" s="8">
        <f t="shared" si="13"/>
        <v>3</v>
      </c>
    </row>
    <row r="60" spans="1:18">
      <c r="A60" s="8" t="s">
        <v>118</v>
      </c>
      <c r="B60" s="8"/>
      <c r="C60" s="8" t="s">
        <v>54</v>
      </c>
      <c r="D60" s="8" t="s">
        <v>55</v>
      </c>
      <c r="E60" s="72" t="s">
        <v>18</v>
      </c>
      <c r="F60" s="8" t="s">
        <v>14</v>
      </c>
      <c r="G60" s="8" t="s">
        <v>52</v>
      </c>
      <c r="H60" s="73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1"/>
        <v>420</v>
      </c>
      <c r="N60" s="8"/>
      <c r="P60" s="8"/>
      <c r="Q60" s="8"/>
      <c r="R60" s="8"/>
    </row>
    <row r="61" spans="1:18">
      <c r="A61" s="36" t="s">
        <v>116</v>
      </c>
      <c r="B61" s="36">
        <v>1</v>
      </c>
      <c r="C61" s="36" t="s">
        <v>54</v>
      </c>
      <c r="D61" s="36"/>
      <c r="E61" s="36"/>
      <c r="F61" s="78"/>
      <c r="G61" s="36"/>
      <c r="H61" s="78" t="s">
        <v>52</v>
      </c>
      <c r="I61" s="36">
        <f>H3</f>
        <v>3</v>
      </c>
      <c r="J61" s="36">
        <f>H3</f>
        <v>3</v>
      </c>
      <c r="K61" s="36">
        <f>H3</f>
        <v>3</v>
      </c>
      <c r="L61" s="36">
        <f>SUM(L46:L60)</f>
        <v>420</v>
      </c>
      <c r="M61" s="38">
        <f>SUM(M46:M60)</f>
        <v>1260</v>
      </c>
      <c r="N61" s="38">
        <v>111</v>
      </c>
      <c r="P61" s="36"/>
      <c r="Q61" s="36"/>
      <c r="R61" s="36"/>
    </row>
    <row r="62" spans="1:18">
      <c r="A62" s="8"/>
      <c r="B62" s="8"/>
      <c r="C62" s="8"/>
      <c r="D62" s="8"/>
      <c r="E62" s="8"/>
      <c r="F62" s="8"/>
      <c r="G62" s="8"/>
      <c r="H62" s="8"/>
      <c r="J62" s="8"/>
      <c r="K62" s="8"/>
      <c r="L62" s="8"/>
      <c r="M62" s="8"/>
      <c r="N62" s="8"/>
      <c r="P62" s="8"/>
      <c r="Q62" s="8"/>
      <c r="R62" s="8"/>
    </row>
    <row r="64" spans="1:18">
      <c r="K64" s="9" t="s">
        <v>109</v>
      </c>
      <c r="L64" s="9">
        <f>L65/H3</f>
        <v>420</v>
      </c>
    </row>
    <row r="65" spans="11:12">
      <c r="K65" s="9" t="s">
        <v>120</v>
      </c>
      <c r="L65" s="9">
        <f>M61+AG7</f>
        <v>1260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1"/>
  <sheetViews>
    <sheetView zoomScale="70" zoomScaleNormal="70" workbookViewId="0">
      <selection activeCell="L3" sqref="L3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68"/>
  </cols>
  <sheetData>
    <row r="1" spans="1:33 16370:1637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1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68"/>
      <c r="XEQ2" s="68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72" t="s">
        <v>17</v>
      </c>
      <c r="F3" s="72" t="s">
        <v>18</v>
      </c>
      <c r="G3" s="79" t="s">
        <v>19</v>
      </c>
      <c r="H3" s="6">
        <v>3</v>
      </c>
      <c r="I3" s="1" t="s">
        <v>125</v>
      </c>
      <c r="J3" s="8">
        <f>I3+H3</f>
        <v>189</v>
      </c>
      <c r="K3" s="1" t="s">
        <v>126</v>
      </c>
      <c r="L3" s="8">
        <f>(K3+L60)/2</f>
        <v>420</v>
      </c>
      <c r="M3" s="9">
        <f>L60</f>
        <v>420</v>
      </c>
      <c r="XEP3" s="68"/>
      <c r="XEQ3" s="68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73" t="s">
        <v>49</v>
      </c>
      <c r="G6" s="8" t="s">
        <v>50</v>
      </c>
      <c r="H6" s="73" t="s">
        <v>51</v>
      </c>
      <c r="I6" s="73" t="s">
        <v>52</v>
      </c>
      <c r="J6" s="73" t="s">
        <v>51</v>
      </c>
      <c r="K6" s="73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73" t="s">
        <v>49</v>
      </c>
      <c r="G7" s="8" t="s">
        <v>50</v>
      </c>
      <c r="H7" s="73" t="s">
        <v>51</v>
      </c>
      <c r="I7" s="73" t="s">
        <v>52</v>
      </c>
      <c r="J7" s="73" t="s">
        <v>51</v>
      </c>
      <c r="K7" s="73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73" t="s">
        <v>49</v>
      </c>
      <c r="G8" s="8" t="s">
        <v>50</v>
      </c>
      <c r="H8" s="73" t="s">
        <v>51</v>
      </c>
      <c r="I8" s="73" t="s">
        <v>52</v>
      </c>
      <c r="J8" s="73" t="s">
        <v>51</v>
      </c>
      <c r="K8" s="73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127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127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128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128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128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128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128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129</v>
      </c>
      <c r="I18" s="1" t="s">
        <v>81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129</v>
      </c>
      <c r="I19" s="1" t="s">
        <v>81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129</v>
      </c>
      <c r="I20" s="1" t="s">
        <v>81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129</v>
      </c>
      <c r="I21" s="1" t="s">
        <v>81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129</v>
      </c>
      <c r="I22" s="1" t="s">
        <v>81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129</v>
      </c>
      <c r="I23" s="1" t="s">
        <v>81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129</v>
      </c>
      <c r="I24" s="1" t="s">
        <v>81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130</v>
      </c>
      <c r="I25" s="1" t="s">
        <v>90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130</v>
      </c>
      <c r="I26" s="1" t="s">
        <v>90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130</v>
      </c>
      <c r="I27" s="1" t="s">
        <v>90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130</v>
      </c>
      <c r="I28" s="1" t="s">
        <v>90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130</v>
      </c>
      <c r="I29" s="1" t="s">
        <v>90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130</v>
      </c>
      <c r="I30" s="1" t="s">
        <v>90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74">
        <v>3</v>
      </c>
      <c r="B31" s="74">
        <v>7</v>
      </c>
      <c r="C31" s="74" t="s">
        <v>56</v>
      </c>
      <c r="D31" s="74" t="s">
        <v>57</v>
      </c>
      <c r="E31" s="12" t="s">
        <v>96</v>
      </c>
      <c r="F31" s="74" t="s">
        <v>14</v>
      </c>
      <c r="G31" s="74" t="s">
        <v>68</v>
      </c>
      <c r="H31" s="1" t="s">
        <v>130</v>
      </c>
      <c r="I31" s="1" t="s">
        <v>90</v>
      </c>
      <c r="J31" s="74">
        <f t="shared" si="0"/>
        <v>998770</v>
      </c>
      <c r="K31" s="74">
        <v>1</v>
      </c>
      <c r="L31" s="74">
        <f>H3</f>
        <v>3</v>
      </c>
      <c r="M31" s="13"/>
    </row>
    <row r="32" spans="1:18">
      <c r="A32" s="74"/>
      <c r="B32" s="74"/>
      <c r="C32" s="74"/>
      <c r="D32" s="74"/>
      <c r="E32" s="74"/>
      <c r="F32" s="74"/>
      <c r="G32" s="74"/>
      <c r="J32" s="74"/>
      <c r="K32" s="74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75" t="s">
        <v>131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7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73" t="s">
        <v>67</v>
      </c>
      <c r="F36" s="8" t="s">
        <v>14</v>
      </c>
      <c r="G36" s="8" t="s">
        <v>68</v>
      </c>
      <c r="H36" s="73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127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73" t="s">
        <v>71</v>
      </c>
      <c r="F37" s="8" t="s">
        <v>14</v>
      </c>
      <c r="G37" s="8" t="s">
        <v>68</v>
      </c>
      <c r="H37" s="73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127</v>
      </c>
      <c r="P37" s="8">
        <f t="shared" si="3"/>
        <v>998776</v>
      </c>
      <c r="Q37" s="8">
        <f t="shared" si="4"/>
        <v>-3</v>
      </c>
      <c r="R37" s="8">
        <f t="shared" si="5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73" t="s">
        <v>72</v>
      </c>
      <c r="F38" s="8" t="s">
        <v>14</v>
      </c>
      <c r="G38" s="8" t="s">
        <v>68</v>
      </c>
      <c r="H38" s="73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128</v>
      </c>
      <c r="P38" s="8">
        <f t="shared" si="3"/>
        <v>998776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73" t="s">
        <v>75</v>
      </c>
      <c r="F39" s="8" t="s">
        <v>14</v>
      </c>
      <c r="G39" s="8" t="s">
        <v>68</v>
      </c>
      <c r="H39" s="73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128</v>
      </c>
      <c r="P39" s="8">
        <f t="shared" si="3"/>
        <v>998776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73" t="s">
        <v>76</v>
      </c>
      <c r="F40" s="8" t="s">
        <v>14</v>
      </c>
      <c r="G40" s="8" t="s">
        <v>68</v>
      </c>
      <c r="H40" s="73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128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73" t="s">
        <v>77</v>
      </c>
      <c r="F41" s="8" t="s">
        <v>14</v>
      </c>
      <c r="G41" s="8" t="s">
        <v>68</v>
      </c>
      <c r="H41" s="73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128</v>
      </c>
      <c r="P41" s="8">
        <f t="shared" si="3"/>
        <v>998776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73" t="s">
        <v>78</v>
      </c>
      <c r="F42" s="8" t="s">
        <v>14</v>
      </c>
      <c r="G42" s="8" t="s">
        <v>68</v>
      </c>
      <c r="H42" s="73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128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18">
      <c r="A43" s="8">
        <v>2</v>
      </c>
      <c r="B43" s="8">
        <v>8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73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6">L43*K43</f>
        <v>60</v>
      </c>
      <c r="N43" s="8" t="str">
        <f t="shared" ref="N43:N56" si="7">I18</f>
        <v>3</v>
      </c>
      <c r="O43" s="1" t="s">
        <v>129</v>
      </c>
      <c r="P43" s="8">
        <f t="shared" ref="P43:P56" si="8">O43-I43</f>
        <v>998773</v>
      </c>
      <c r="Q43" s="8">
        <f t="shared" ref="Q43:Q56" si="9">-I43</f>
        <v>-3</v>
      </c>
      <c r="R43" s="8">
        <f t="shared" ref="R43:R56" si="10">I43</f>
        <v>3</v>
      </c>
    </row>
    <row r="44" spans="1:18">
      <c r="A44" s="8">
        <v>2</v>
      </c>
      <c r="B44" s="8">
        <v>9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73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6"/>
        <v>60</v>
      </c>
      <c r="N44" s="8" t="str">
        <f t="shared" si="7"/>
        <v>3</v>
      </c>
      <c r="O44" s="1" t="s">
        <v>129</v>
      </c>
      <c r="P44" s="8">
        <f t="shared" si="8"/>
        <v>998773</v>
      </c>
      <c r="Q44" s="8">
        <f t="shared" si="9"/>
        <v>-3</v>
      </c>
      <c r="R44" s="8">
        <f t="shared" si="10"/>
        <v>3</v>
      </c>
    </row>
    <row r="45" spans="1:18">
      <c r="A45" s="8">
        <v>2</v>
      </c>
      <c r="B45" s="8">
        <v>10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73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6"/>
        <v>60</v>
      </c>
      <c r="N45" s="8" t="str">
        <f t="shared" si="7"/>
        <v>3</v>
      </c>
      <c r="O45" s="1" t="s">
        <v>129</v>
      </c>
      <c r="P45" s="8">
        <f t="shared" si="8"/>
        <v>998773</v>
      </c>
      <c r="Q45" s="8">
        <f t="shared" si="9"/>
        <v>-3</v>
      </c>
      <c r="R45" s="8">
        <f t="shared" si="10"/>
        <v>3</v>
      </c>
    </row>
    <row r="46" spans="1:18">
      <c r="A46" s="8">
        <v>2</v>
      </c>
      <c r="B46" s="8">
        <v>11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73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6"/>
        <v>60</v>
      </c>
      <c r="N46" s="8" t="str">
        <f t="shared" si="7"/>
        <v>3</v>
      </c>
      <c r="O46" s="1" t="s">
        <v>129</v>
      </c>
      <c r="P46" s="8">
        <f t="shared" si="8"/>
        <v>998773</v>
      </c>
      <c r="Q46" s="8">
        <f t="shared" si="9"/>
        <v>-3</v>
      </c>
      <c r="R46" s="8">
        <f t="shared" si="10"/>
        <v>3</v>
      </c>
    </row>
    <row r="47" spans="1:18">
      <c r="A47" s="8">
        <v>2</v>
      </c>
      <c r="B47" s="8">
        <v>12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73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s="1" t="s">
        <v>129</v>
      </c>
      <c r="P47" s="8">
        <f t="shared" si="8"/>
        <v>998773</v>
      </c>
      <c r="Q47" s="8">
        <f t="shared" si="9"/>
        <v>-3</v>
      </c>
      <c r="R47" s="8">
        <f t="shared" si="10"/>
        <v>3</v>
      </c>
    </row>
    <row r="48" spans="1:18">
      <c r="A48" s="8">
        <v>2</v>
      </c>
      <c r="B48" s="8">
        <v>13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73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s="1" t="s">
        <v>129</v>
      </c>
      <c r="P48" s="8">
        <f t="shared" si="8"/>
        <v>998773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14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73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s="1" t="s">
        <v>129</v>
      </c>
      <c r="P49" s="8">
        <f t="shared" si="8"/>
        <v>998773</v>
      </c>
      <c r="Q49" s="8">
        <f t="shared" si="9"/>
        <v>-3</v>
      </c>
      <c r="R49" s="8">
        <f t="shared" si="10"/>
        <v>3</v>
      </c>
    </row>
    <row r="50" spans="1:18">
      <c r="A50" s="8">
        <v>3</v>
      </c>
      <c r="B50" s="8">
        <v>15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73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s="1" t="s">
        <v>130</v>
      </c>
      <c r="P50" s="8">
        <f t="shared" si="8"/>
        <v>998770</v>
      </c>
      <c r="Q50" s="8">
        <f t="shared" si="9"/>
        <v>-3</v>
      </c>
      <c r="R50" s="8">
        <f t="shared" si="10"/>
        <v>3</v>
      </c>
    </row>
    <row r="51" spans="1:18">
      <c r="A51" s="8">
        <v>3</v>
      </c>
      <c r="B51" s="8">
        <v>16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73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s="1" t="s">
        <v>130</v>
      </c>
      <c r="P51" s="8">
        <f t="shared" si="8"/>
        <v>998770</v>
      </c>
      <c r="Q51" s="8">
        <f t="shared" si="9"/>
        <v>-3</v>
      </c>
      <c r="R51" s="8">
        <f t="shared" si="10"/>
        <v>3</v>
      </c>
    </row>
    <row r="52" spans="1:18">
      <c r="A52" s="8">
        <v>3</v>
      </c>
      <c r="B52" s="8">
        <v>17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73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s="1" t="s">
        <v>130</v>
      </c>
      <c r="P52" s="8">
        <f t="shared" si="8"/>
        <v>998770</v>
      </c>
      <c r="Q52" s="8">
        <f t="shared" si="9"/>
        <v>-3</v>
      </c>
      <c r="R52" s="8">
        <f t="shared" si="10"/>
        <v>3</v>
      </c>
    </row>
    <row r="53" spans="1:18">
      <c r="A53" s="8">
        <v>3</v>
      </c>
      <c r="B53" s="8">
        <v>18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73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s="1" t="s">
        <v>130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18">
      <c r="A54" s="8">
        <v>3</v>
      </c>
      <c r="B54" s="8">
        <v>19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73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s="1" t="s">
        <v>130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18">
      <c r="A55" s="8">
        <v>3</v>
      </c>
      <c r="B55" s="8">
        <v>20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73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s="1" t="s">
        <v>130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18">
      <c r="A56" s="8">
        <v>3</v>
      </c>
      <c r="B56" s="8">
        <v>21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73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s="1" t="s">
        <v>130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18">
      <c r="A57" s="36" t="s">
        <v>116</v>
      </c>
      <c r="B57" s="36">
        <v>1</v>
      </c>
      <c r="C57" s="36" t="s">
        <v>46</v>
      </c>
      <c r="D57" s="36"/>
      <c r="E57" s="36"/>
      <c r="F57" s="78"/>
      <c r="G57" s="36"/>
      <c r="H57" s="78" t="s">
        <v>52</v>
      </c>
      <c r="I57" s="78">
        <v>3</v>
      </c>
      <c r="J57" s="36">
        <v>3</v>
      </c>
      <c r="K57" s="36">
        <f>H3</f>
        <v>3</v>
      </c>
      <c r="L57" s="36">
        <f>SUM(L36:L56)</f>
        <v>420</v>
      </c>
      <c r="M57" s="38">
        <f>SUM(M36:M56)</f>
        <v>1260</v>
      </c>
      <c r="N57" s="38">
        <v>111</v>
      </c>
      <c r="P57" s="36"/>
      <c r="Q57" s="36"/>
      <c r="R57" s="36"/>
    </row>
    <row r="58" spans="1:1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P58" s="8"/>
      <c r="Q58" s="8"/>
      <c r="R58" s="8"/>
    </row>
    <row r="60" spans="1:18">
      <c r="K60" s="9" t="s">
        <v>109</v>
      </c>
      <c r="L60" s="9">
        <f>L61/H3</f>
        <v>420</v>
      </c>
    </row>
    <row r="61" spans="1:18">
      <c r="K61" s="9" t="s">
        <v>120</v>
      </c>
      <c r="L61" s="9">
        <f>M57+AG7</f>
        <v>1260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3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132</v>
      </c>
      <c r="F3" s="7" t="s">
        <v>18</v>
      </c>
      <c r="G3" s="79" t="s">
        <v>19</v>
      </c>
      <c r="H3" s="6">
        <v>3</v>
      </c>
      <c r="I3" s="1" t="s">
        <v>133</v>
      </c>
      <c r="J3" s="8">
        <f>I3+H3</f>
        <v>189</v>
      </c>
      <c r="K3" s="1" t="s">
        <v>126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134</v>
      </c>
      <c r="I11" s="1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134</v>
      </c>
      <c r="I12" s="1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134</v>
      </c>
      <c r="I13" s="1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134</v>
      </c>
      <c r="I14" s="1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134</v>
      </c>
      <c r="I15" s="1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134</v>
      </c>
      <c r="I16" s="1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134</v>
      </c>
      <c r="I17" s="1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33:16345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AV36" s="17"/>
      <c r="AW36" s="51"/>
      <c r="AX36" s="51"/>
      <c r="AY36" s="51"/>
      <c r="AZ36" s="51"/>
      <c r="BA36" s="5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140</v>
      </c>
      <c r="U39" s="19" t="s">
        <v>141</v>
      </c>
      <c r="V39" s="20" t="s">
        <v>142</v>
      </c>
      <c r="W39" s="19" t="s">
        <v>143</v>
      </c>
      <c r="X39" s="19" t="s">
        <v>144</v>
      </c>
      <c r="Y39" s="19" t="s">
        <v>145</v>
      </c>
      <c r="Z39" s="19" t="s">
        <v>146</v>
      </c>
      <c r="AA39" s="19" t="s">
        <v>147</v>
      </c>
      <c r="AB39" s="19" t="s">
        <v>148</v>
      </c>
      <c r="AC39" s="19" t="s">
        <v>149</v>
      </c>
      <c r="AD39" s="19" t="s">
        <v>150</v>
      </c>
      <c r="AE39" s="19" t="s">
        <v>151</v>
      </c>
      <c r="AF39" s="19" t="s">
        <v>152</v>
      </c>
      <c r="AG39" s="19" t="s">
        <v>153</v>
      </c>
      <c r="AH39" s="19" t="s">
        <v>154</v>
      </c>
      <c r="AI39" s="19" t="s">
        <v>155</v>
      </c>
      <c r="AJ39" s="19" t="s">
        <v>156</v>
      </c>
      <c r="AK39" s="21" t="s">
        <v>157</v>
      </c>
      <c r="AL39" s="21" t="s">
        <v>158</v>
      </c>
      <c r="AM39" s="21" t="s">
        <v>159</v>
      </c>
      <c r="AN39" s="21" t="s">
        <v>160</v>
      </c>
      <c r="AO39" s="21" t="s">
        <v>161</v>
      </c>
      <c r="AP39" s="21" t="s">
        <v>162</v>
      </c>
      <c r="AQ39" s="21" t="s">
        <v>163</v>
      </c>
      <c r="AR39" s="21" t="s">
        <v>164</v>
      </c>
      <c r="AS39" s="22" t="s">
        <v>165</v>
      </c>
      <c r="AT39" s="19" t="s">
        <v>166</v>
      </c>
      <c r="AU39" s="19" t="s">
        <v>167</v>
      </c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170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117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T43" s="19" t="s">
        <v>140</v>
      </c>
      <c r="U43" s="19" t="s">
        <v>141</v>
      </c>
      <c r="V43" s="20" t="s">
        <v>142</v>
      </c>
      <c r="W43" s="19" t="s">
        <v>143</v>
      </c>
      <c r="X43" s="19" t="s">
        <v>144</v>
      </c>
      <c r="Y43" s="19" t="s">
        <v>145</v>
      </c>
      <c r="Z43" s="19" t="s">
        <v>146</v>
      </c>
      <c r="AA43" s="19" t="s">
        <v>147</v>
      </c>
      <c r="AB43" s="19" t="s">
        <v>148</v>
      </c>
      <c r="AC43" s="19" t="s">
        <v>149</v>
      </c>
      <c r="AD43" s="19" t="s">
        <v>150</v>
      </c>
      <c r="AE43" s="19" t="s">
        <v>151</v>
      </c>
      <c r="AF43" s="19" t="s">
        <v>152</v>
      </c>
      <c r="AG43" s="19" t="s">
        <v>153</v>
      </c>
      <c r="AH43" s="19" t="s">
        <v>154</v>
      </c>
      <c r="AI43" s="19" t="s">
        <v>155</v>
      </c>
      <c r="AJ43" s="19" t="s">
        <v>156</v>
      </c>
      <c r="AK43" s="21" t="s">
        <v>157</v>
      </c>
      <c r="AL43" s="21" t="s">
        <v>158</v>
      </c>
      <c r="AM43" s="21" t="s">
        <v>159</v>
      </c>
      <c r="AN43" s="21" t="s">
        <v>160</v>
      </c>
      <c r="AO43" s="21" t="s">
        <v>161</v>
      </c>
      <c r="AP43" s="21" t="s">
        <v>162</v>
      </c>
      <c r="AQ43" s="21" t="s">
        <v>163</v>
      </c>
      <c r="AR43" s="21" t="s">
        <v>164</v>
      </c>
      <c r="AS43" s="22" t="s">
        <v>165</v>
      </c>
      <c r="AT43" s="19" t="s">
        <v>166</v>
      </c>
      <c r="AU43" s="19" t="s">
        <v>167</v>
      </c>
    </row>
    <row r="44" ht="15" spans="1:60 16333:16345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  <c r="T45" s="31" t="s">
        <v>170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172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172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172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172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172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172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172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171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173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173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173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173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173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173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173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132</v>
      </c>
      <c r="F3" s="7" t="s">
        <v>18</v>
      </c>
      <c r="G3" s="79" t="s">
        <v>19</v>
      </c>
      <c r="H3" s="6">
        <v>3</v>
      </c>
      <c r="I3" s="1" t="s">
        <v>133</v>
      </c>
      <c r="J3" s="8">
        <f>I3+H3</f>
        <v>189</v>
      </c>
      <c r="K3" s="1" t="s">
        <v>126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134</v>
      </c>
      <c r="I11" s="1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134</v>
      </c>
      <c r="I12" s="1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134</v>
      </c>
      <c r="I13" s="1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134</v>
      </c>
      <c r="I14" s="1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134</v>
      </c>
      <c r="I15" s="1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134</v>
      </c>
      <c r="I16" s="1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134</v>
      </c>
      <c r="I17" s="1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AV36" s="17"/>
      <c r="AW36" s="51"/>
      <c r="AX36" s="51"/>
      <c r="AY36" s="51"/>
      <c r="AZ36" s="51"/>
      <c r="BA36" s="5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174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170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172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172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172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172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172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172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172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173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173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173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173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173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173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173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topLeftCell="S1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132</v>
      </c>
      <c r="F3" s="7" t="s">
        <v>18</v>
      </c>
      <c r="G3" s="79" t="s">
        <v>19</v>
      </c>
      <c r="H3" s="6">
        <v>3</v>
      </c>
      <c r="I3" s="1" t="s">
        <v>133</v>
      </c>
      <c r="J3" s="8">
        <f>I3+H3</f>
        <v>189</v>
      </c>
      <c r="K3" s="1" t="s">
        <v>126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134</v>
      </c>
      <c r="I11" s="1" t="s">
        <v>135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134</v>
      </c>
      <c r="I12" s="1" t="s">
        <v>135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134</v>
      </c>
      <c r="I13" s="1" t="s">
        <v>135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134</v>
      </c>
      <c r="I14" s="1" t="s">
        <v>135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134</v>
      </c>
      <c r="I15" s="1" t="s">
        <v>135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134</v>
      </c>
      <c r="I16" s="1" t="s">
        <v>135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134</v>
      </c>
      <c r="I17" s="1" t="s">
        <v>135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131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80" t="s">
        <v>169</v>
      </c>
      <c r="AU36" s="30">
        <v>100</v>
      </c>
      <c r="AV36" s="17"/>
      <c r="AW36" s="51"/>
      <c r="AX36" s="51"/>
      <c r="AY36" s="51"/>
      <c r="AZ36" s="51"/>
      <c r="BA36" s="5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170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172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172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172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172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172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172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172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173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173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173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173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173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173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173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118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118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171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109</v>
      </c>
      <c r="L62" s="9">
        <f>L63/H3</f>
        <v>720</v>
      </c>
    </row>
    <row r="63" spans="1:18">
      <c r="K63" s="9" t="s">
        <v>120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7"/>
  <sheetViews>
    <sheetView zoomScale="80" zoomScaleNormal="80" topLeftCell="U26" workbookViewId="0">
      <selection activeCell="T47" sqref="T47:AC47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3.4285714285714" style="1" customWidth="1"/>
    <col min="24" max="24" width="15.4285714285714" style="1" customWidth="1"/>
    <col min="25" max="25" width="24.7142857142857" style="1" customWidth="1"/>
    <col min="26" max="26" width="16.8571428571429" style="1" customWidth="1"/>
    <col min="27" max="27" width="10.5714285714286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21.8285714285714" style="1" customWidth="1"/>
    <col min="36" max="36" width="20.6095238095238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79" t="s">
        <v>19</v>
      </c>
      <c r="H3" s="6">
        <v>3</v>
      </c>
      <c r="I3" s="1" t="s">
        <v>176</v>
      </c>
      <c r="J3" s="8">
        <f>I3+H3</f>
        <v>267</v>
      </c>
      <c r="K3" s="1" t="s">
        <v>126</v>
      </c>
      <c r="L3" s="8">
        <f>L66</f>
        <v>180</v>
      </c>
      <c r="M3" s="9">
        <f>L66</f>
        <v>180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177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177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178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178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178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178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178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179</v>
      </c>
      <c r="I18" s="1" t="s">
        <v>81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179</v>
      </c>
      <c r="I19" s="1" t="s">
        <v>81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179</v>
      </c>
      <c r="I20" s="1" t="s">
        <v>81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179</v>
      </c>
      <c r="I21" s="1" t="s">
        <v>81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179</v>
      </c>
      <c r="I22" s="1" t="s">
        <v>81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179</v>
      </c>
      <c r="I23" s="1" t="s">
        <v>81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179</v>
      </c>
      <c r="I24" s="1" t="s">
        <v>81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180</v>
      </c>
      <c r="I25" s="1" t="s">
        <v>90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180</v>
      </c>
      <c r="I26" s="1" t="s">
        <v>90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180</v>
      </c>
      <c r="I27" s="1" t="s">
        <v>90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180</v>
      </c>
      <c r="I28" s="1" t="s">
        <v>90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180</v>
      </c>
      <c r="I29" s="1" t="s">
        <v>90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180</v>
      </c>
      <c r="I30" s="1" t="s">
        <v>90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18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1" t="s">
        <v>180</v>
      </c>
      <c r="I31" s="1" t="s">
        <v>90</v>
      </c>
      <c r="J31" s="8">
        <f t="shared" si="0"/>
        <v>998770</v>
      </c>
      <c r="K31" s="8">
        <v>1</v>
      </c>
      <c r="L31" s="8">
        <f>H3</f>
        <v>3</v>
      </c>
      <c r="M31" s="8"/>
    </row>
    <row r="32" spans="1:18">
      <c r="A32" s="14"/>
      <c r="B32" s="14"/>
      <c r="C32" s="14"/>
      <c r="D32" s="14"/>
      <c r="E32" s="14"/>
      <c r="F32" s="14"/>
      <c r="G32" s="14"/>
      <c r="J32" s="14"/>
      <c r="K32" s="14"/>
      <c r="L32" s="15"/>
      <c r="M32" s="13"/>
      <c r="N32" s="13"/>
      <c r="O32" s="13"/>
      <c r="P32" s="13"/>
      <c r="Q32" s="13"/>
      <c r="R32" s="13"/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>L36*I36</f>
        <v>60</v>
      </c>
      <c r="N36" s="8" t="str">
        <f t="shared" ref="N36:N42" si="1">I11</f>
        <v>3</v>
      </c>
      <c r="O36" s="1" t="s">
        <v>177</v>
      </c>
      <c r="P36" s="8">
        <f t="shared" ref="P36:P42" si="2">O36-I36</f>
        <v>998776</v>
      </c>
      <c r="Q36" s="8">
        <f t="shared" ref="Q36:Q42" si="3">-I36</f>
        <v>-3</v>
      </c>
      <c r="R36" s="8">
        <f t="shared" ref="R36:R42" si="4">I36</f>
        <v>3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ref="M37:M42" si="5">L37*I37</f>
        <v>60</v>
      </c>
      <c r="N37" s="8" t="str">
        <f t="shared" si="1"/>
        <v>3</v>
      </c>
      <c r="O37" s="1" t="s">
        <v>177</v>
      </c>
      <c r="P37" s="8">
        <f t="shared" si="2"/>
        <v>998776</v>
      </c>
      <c r="Q37" s="8">
        <f t="shared" si="3"/>
        <v>-3</v>
      </c>
      <c r="R37" s="8">
        <f t="shared" si="4"/>
        <v>3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5"/>
        <v>60</v>
      </c>
      <c r="N38" s="8" t="str">
        <f t="shared" si="1"/>
        <v>3</v>
      </c>
      <c r="O38" s="1" t="s">
        <v>178</v>
      </c>
      <c r="P38" s="8">
        <f t="shared" si="2"/>
        <v>998776</v>
      </c>
      <c r="Q38" s="8">
        <f t="shared" si="3"/>
        <v>-3</v>
      </c>
      <c r="R38" s="8">
        <f t="shared" si="4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5"/>
        <v>60</v>
      </c>
      <c r="N39" s="8" t="str">
        <f t="shared" si="1"/>
        <v>3</v>
      </c>
      <c r="O39" s="1" t="s">
        <v>178</v>
      </c>
      <c r="P39" s="8">
        <f t="shared" si="2"/>
        <v>998776</v>
      </c>
      <c r="Q39" s="8">
        <f t="shared" si="3"/>
        <v>-3</v>
      </c>
      <c r="R39" s="8">
        <f t="shared" si="4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5"/>
        <v>60</v>
      </c>
      <c r="N40" s="8" t="str">
        <f t="shared" si="1"/>
        <v>3</v>
      </c>
      <c r="O40" s="1" t="s">
        <v>178</v>
      </c>
      <c r="P40" s="8">
        <f t="shared" si="2"/>
        <v>998776</v>
      </c>
      <c r="Q40" s="8">
        <f t="shared" si="3"/>
        <v>-3</v>
      </c>
      <c r="R40" s="8">
        <f t="shared" si="4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5"/>
        <v>60</v>
      </c>
      <c r="N41" s="8" t="str">
        <f t="shared" si="1"/>
        <v>3</v>
      </c>
      <c r="O41" s="1" t="s">
        <v>178</v>
      </c>
      <c r="P41" s="8">
        <f t="shared" si="2"/>
        <v>998776</v>
      </c>
      <c r="Q41" s="8">
        <f t="shared" si="3"/>
        <v>-3</v>
      </c>
      <c r="R41" s="8">
        <f t="shared" si="4"/>
        <v>3</v>
      </c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</row>
    <row r="42" ht="15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5"/>
        <v>60</v>
      </c>
      <c r="N42" s="8" t="str">
        <f t="shared" si="1"/>
        <v>3</v>
      </c>
      <c r="O42" s="1" t="s">
        <v>178</v>
      </c>
      <c r="P42" s="8">
        <f t="shared" si="2"/>
        <v>998776</v>
      </c>
      <c r="Q42" s="8">
        <f t="shared" si="3"/>
        <v>-3</v>
      </c>
      <c r="R42" s="8">
        <f t="shared" si="4"/>
        <v>3</v>
      </c>
      <c r="T42" s="52"/>
      <c r="U42" s="52" t="s">
        <v>137</v>
      </c>
      <c r="V42" s="53">
        <v>1</v>
      </c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  <c r="T43" s="54" t="s">
        <v>139</v>
      </c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  <c r="T44" s="55" t="s">
        <v>117</v>
      </c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</row>
    <row r="45" ht="1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  <c r="T45" s="56" t="s">
        <v>140</v>
      </c>
      <c r="U45" s="56" t="s">
        <v>141</v>
      </c>
      <c r="V45" s="57" t="s">
        <v>142</v>
      </c>
      <c r="W45" s="56" t="s">
        <v>143</v>
      </c>
      <c r="X45" s="56" t="s">
        <v>144</v>
      </c>
      <c r="Y45" s="56" t="s">
        <v>145</v>
      </c>
      <c r="Z45" s="56" t="s">
        <v>146</v>
      </c>
      <c r="AA45" s="56" t="s">
        <v>147</v>
      </c>
      <c r="AB45" s="56" t="s">
        <v>148</v>
      </c>
      <c r="AC45" s="56" t="s">
        <v>149</v>
      </c>
      <c r="AD45" s="56" t="s">
        <v>150</v>
      </c>
      <c r="AE45" s="56" t="s">
        <v>151</v>
      </c>
      <c r="AF45" s="56" t="s">
        <v>152</v>
      </c>
      <c r="AG45" s="56" t="s">
        <v>153</v>
      </c>
      <c r="AH45" s="56" t="s">
        <v>154</v>
      </c>
      <c r="AI45" s="56" t="s">
        <v>155</v>
      </c>
      <c r="AJ45" s="56" t="s">
        <v>156</v>
      </c>
      <c r="AK45" s="58" t="s">
        <v>157</v>
      </c>
      <c r="AL45" s="58" t="s">
        <v>158</v>
      </c>
      <c r="AM45" s="58" t="s">
        <v>159</v>
      </c>
      <c r="AN45" s="58" t="s">
        <v>160</v>
      </c>
      <c r="AO45" s="58" t="s">
        <v>161</v>
      </c>
      <c r="AP45" s="58" t="s">
        <v>162</v>
      </c>
      <c r="AQ45" s="58" t="s">
        <v>163</v>
      </c>
      <c r="AR45" s="58" t="s">
        <v>164</v>
      </c>
      <c r="AS45" s="59" t="s">
        <v>165</v>
      </c>
      <c r="AT45" s="56" t="s">
        <v>166</v>
      </c>
      <c r="AU45" s="56" t="s">
        <v>167</v>
      </c>
    </row>
    <row r="46" ht="15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>L46*I46</f>
        <v>60</v>
      </c>
      <c r="N46" s="8" t="str">
        <f>I18</f>
        <v>30</v>
      </c>
      <c r="O46" s="1" t="s">
        <v>179</v>
      </c>
      <c r="P46" s="8">
        <f t="shared" ref="P46:P52" si="6">O46-I46</f>
        <v>998773</v>
      </c>
      <c r="Q46" s="8">
        <f t="shared" ref="Q46:Q52" si="7">-I46</f>
        <v>-3</v>
      </c>
      <c r="R46" s="8">
        <f t="shared" ref="R46:R52" si="8">I46</f>
        <v>3</v>
      </c>
      <c r="T46" s="60" t="s">
        <v>54</v>
      </c>
      <c r="U46" s="61" t="str">
        <f>F3</f>
        <v>GWL-FIFO-LOT-BATCH-10001(FG)</v>
      </c>
      <c r="V46" s="61" t="str">
        <f>U46</f>
        <v>GWL-FIFO-LOT-BATCH-10001(FG)</v>
      </c>
      <c r="W46" s="61" t="s">
        <v>14</v>
      </c>
      <c r="X46" s="61" t="s">
        <v>14</v>
      </c>
      <c r="Y46" s="61">
        <f>H3</f>
        <v>3</v>
      </c>
      <c r="Z46" s="61">
        <f>K15</f>
        <v>1</v>
      </c>
      <c r="AA46" s="61"/>
      <c r="AB46" s="61">
        <v>1</v>
      </c>
      <c r="AC46" s="61">
        <v>20</v>
      </c>
      <c r="AD46" s="61">
        <v>1</v>
      </c>
      <c r="AE46" s="61">
        <f>ROUND(Y46*AD46/AB46,3)</f>
        <v>3</v>
      </c>
      <c r="AF46" s="62">
        <f>AE46*(AC46/Y46)</f>
        <v>20</v>
      </c>
      <c r="AG46" s="61">
        <f>AE46*AF46</f>
        <v>60</v>
      </c>
      <c r="AH46" s="61"/>
      <c r="AI46" s="61">
        <v>88363222</v>
      </c>
      <c r="AJ46" s="61">
        <v>88363221</v>
      </c>
      <c r="AK46" s="28">
        <v>18</v>
      </c>
      <c r="AL46" s="61">
        <f>IF(OR(V42=1,V42=4),ROUND(((((AF46*AE46)*AK46)/100)/2),2),0)</f>
        <v>5.4</v>
      </c>
      <c r="AM46" s="61">
        <f>IF(V42=1,ROUND(((((AF46*AE46)*AK46)/100)/2),2),0)</f>
        <v>5.4</v>
      </c>
      <c r="AN46" s="61">
        <f>IF(V42=2,ROUND((((AE46*AF46)*AK46)/100),2),0)</f>
        <v>0</v>
      </c>
      <c r="AO46" s="61">
        <f>IF(V42=3,ROUND((((AE46*AF46)*AK46)/100),2),0)</f>
        <v>0</v>
      </c>
      <c r="AP46" s="61">
        <f>SUM(AL46:AN46)</f>
        <v>10.8</v>
      </c>
      <c r="AQ46" s="61">
        <v>0</v>
      </c>
      <c r="AR46" s="61">
        <f>AG46*AQ46</f>
        <v>0</v>
      </c>
      <c r="AS46" s="61">
        <f>AG46+AP46</f>
        <v>70.8</v>
      </c>
      <c r="AT46" s="30">
        <v>100</v>
      </c>
      <c r="AU46" s="30">
        <v>110</v>
      </c>
    </row>
    <row r="47" ht="15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ref="M47:M53" si="9">L47*I47</f>
        <v>60</v>
      </c>
      <c r="N47" s="8" t="str">
        <f t="shared" ref="N46:N52" si="10">I19</f>
        <v>3</v>
      </c>
      <c r="O47" s="1" t="s">
        <v>179</v>
      </c>
      <c r="P47" s="8">
        <f t="shared" si="6"/>
        <v>998773</v>
      </c>
      <c r="Q47" s="8">
        <f t="shared" si="7"/>
        <v>-3</v>
      </c>
      <c r="R47" s="8">
        <f t="shared" si="8"/>
        <v>3</v>
      </c>
      <c r="T47" s="63" t="s">
        <v>170</v>
      </c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>
        <f>H3</f>
        <v>3</v>
      </c>
      <c r="AF47" s="63">
        <f>AF46</f>
        <v>20</v>
      </c>
      <c r="AG47" s="64">
        <f t="shared" ref="AG47:AN47" si="11">SUM(AG46:AG46)</f>
        <v>60</v>
      </c>
      <c r="AH47" s="64">
        <f t="shared" si="11"/>
        <v>0</v>
      </c>
      <c r="AI47" s="64"/>
      <c r="AJ47" s="64"/>
      <c r="AK47" s="64"/>
      <c r="AL47" s="64">
        <f t="shared" si="11"/>
        <v>5.4</v>
      </c>
      <c r="AM47" s="64">
        <f t="shared" si="11"/>
        <v>5.4</v>
      </c>
      <c r="AN47" s="64">
        <f t="shared" si="11"/>
        <v>0</v>
      </c>
      <c r="AO47" s="64">
        <f>AO46</f>
        <v>0</v>
      </c>
      <c r="AP47" s="64">
        <f>SUM(AP46)</f>
        <v>10.8</v>
      </c>
      <c r="AQ47" s="64"/>
      <c r="AR47" s="64"/>
      <c r="AS47" s="65">
        <f>SUM(AS46:AS46)</f>
        <v>70.8</v>
      </c>
      <c r="AT47" s="64"/>
      <c r="AU47" s="64"/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1" t="s">
        <v>179</v>
      </c>
      <c r="P48" s="8">
        <f t="shared" si="6"/>
        <v>998773</v>
      </c>
      <c r="Q48" s="8">
        <f t="shared" si="7"/>
        <v>-3</v>
      </c>
      <c r="R48" s="8">
        <f t="shared" si="8"/>
        <v>3</v>
      </c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</row>
    <row r="49" spans="1:47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1" t="s">
        <v>179</v>
      </c>
      <c r="P49" s="8">
        <f t="shared" si="6"/>
        <v>998773</v>
      </c>
      <c r="Q49" s="8">
        <f t="shared" si="7"/>
        <v>-3</v>
      </c>
      <c r="R49" s="8">
        <f t="shared" si="8"/>
        <v>3</v>
      </c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</row>
    <row r="50" spans="1:47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1" t="s">
        <v>179</v>
      </c>
      <c r="P50" s="8">
        <f t="shared" si="6"/>
        <v>998773</v>
      </c>
      <c r="Q50" s="8">
        <f t="shared" si="7"/>
        <v>-3</v>
      </c>
      <c r="R50" s="8">
        <f t="shared" si="8"/>
        <v>3</v>
      </c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</row>
    <row r="51" spans="1:47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1" t="s">
        <v>179</v>
      </c>
      <c r="P51" s="8">
        <f t="shared" si="6"/>
        <v>998773</v>
      </c>
      <c r="Q51" s="8">
        <f t="shared" si="7"/>
        <v>-3</v>
      </c>
      <c r="R51" s="8">
        <f t="shared" si="8"/>
        <v>3</v>
      </c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</row>
    <row r="52" spans="1:47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1" t="s">
        <v>179</v>
      </c>
      <c r="P52" s="8">
        <f t="shared" si="6"/>
        <v>998773</v>
      </c>
      <c r="Q52" s="8">
        <f t="shared" si="7"/>
        <v>-3</v>
      </c>
      <c r="R52" s="8">
        <f t="shared" si="8"/>
        <v>3</v>
      </c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</row>
    <row r="53" spans="1:47">
      <c r="A53" s="36" t="s">
        <v>116</v>
      </c>
      <c r="B53" s="36">
        <v>1</v>
      </c>
      <c r="C53" s="36" t="s">
        <v>46</v>
      </c>
      <c r="D53" s="36"/>
      <c r="E53" s="36"/>
      <c r="F53" s="37"/>
      <c r="G53" s="36"/>
      <c r="H53" s="37" t="s">
        <v>52</v>
      </c>
      <c r="I53" s="36">
        <v>3</v>
      </c>
      <c r="J53" s="36">
        <v>3</v>
      </c>
      <c r="K53" s="36">
        <v>3</v>
      </c>
      <c r="L53" s="36">
        <f>SUM(L46:L52)</f>
        <v>140</v>
      </c>
      <c r="M53" s="8">
        <f t="shared" si="9"/>
        <v>420</v>
      </c>
      <c r="N53" s="38">
        <v>110</v>
      </c>
      <c r="P53" s="36"/>
      <c r="Q53" s="36"/>
      <c r="R53" s="36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</row>
    <row r="54" spans="1:47">
      <c r="A54" s="18" t="s">
        <v>119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P54" s="18"/>
      <c r="Q54" s="18"/>
      <c r="R54" s="18"/>
      <c r="T54" s="55" t="s">
        <v>119</v>
      </c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</row>
    <row r="55" ht="15" spans="1:47">
      <c r="A55" s="5" t="s">
        <v>99</v>
      </c>
      <c r="B55" s="4" t="s">
        <v>100</v>
      </c>
      <c r="C55" s="4" t="s">
        <v>101</v>
      </c>
      <c r="D55" s="4" t="s">
        <v>102</v>
      </c>
      <c r="E55" s="4" t="s">
        <v>103</v>
      </c>
      <c r="F55" s="4" t="s">
        <v>60</v>
      </c>
      <c r="G55" s="4" t="s">
        <v>104</v>
      </c>
      <c r="H55" s="4" t="s">
        <v>105</v>
      </c>
      <c r="I55" s="4" t="s">
        <v>106</v>
      </c>
      <c r="J55" s="4" t="s">
        <v>107</v>
      </c>
      <c r="K55" s="4" t="s">
        <v>108</v>
      </c>
      <c r="L55" s="4" t="s">
        <v>109</v>
      </c>
      <c r="M55" s="4" t="s">
        <v>110</v>
      </c>
      <c r="N55" s="5" t="s">
        <v>111</v>
      </c>
      <c r="P55" s="5" t="s">
        <v>113</v>
      </c>
      <c r="Q55" s="5" t="s">
        <v>114</v>
      </c>
      <c r="R55" s="5" t="s">
        <v>115</v>
      </c>
      <c r="T55" s="56" t="s">
        <v>140</v>
      </c>
      <c r="U55" s="56" t="s">
        <v>141</v>
      </c>
      <c r="V55" s="57" t="s">
        <v>142</v>
      </c>
      <c r="W55" s="56" t="s">
        <v>143</v>
      </c>
      <c r="X55" s="56" t="s">
        <v>144</v>
      </c>
      <c r="Y55" s="56" t="s">
        <v>145</v>
      </c>
      <c r="Z55" s="56" t="s">
        <v>146</v>
      </c>
      <c r="AA55" s="56" t="s">
        <v>147</v>
      </c>
      <c r="AB55" s="56" t="s">
        <v>148</v>
      </c>
      <c r="AC55" s="56" t="s">
        <v>149</v>
      </c>
      <c r="AD55" s="56" t="s">
        <v>150</v>
      </c>
      <c r="AE55" s="56" t="s">
        <v>151</v>
      </c>
      <c r="AF55" s="56" t="s">
        <v>152</v>
      </c>
      <c r="AG55" s="56" t="s">
        <v>153</v>
      </c>
      <c r="AH55" s="56" t="s">
        <v>154</v>
      </c>
      <c r="AI55" s="56" t="s">
        <v>155</v>
      </c>
      <c r="AJ55" s="56" t="s">
        <v>156</v>
      </c>
      <c r="AK55" s="58" t="s">
        <v>157</v>
      </c>
      <c r="AL55" s="58" t="s">
        <v>158</v>
      </c>
      <c r="AM55" s="58" t="s">
        <v>159</v>
      </c>
      <c r="AN55" s="58" t="s">
        <v>160</v>
      </c>
      <c r="AO55" s="58" t="s">
        <v>161</v>
      </c>
      <c r="AP55" s="58" t="s">
        <v>162</v>
      </c>
      <c r="AQ55" s="58" t="s">
        <v>163</v>
      </c>
      <c r="AR55" s="58" t="s">
        <v>164</v>
      </c>
      <c r="AS55" s="59" t="s">
        <v>165</v>
      </c>
      <c r="AT55" s="56" t="s">
        <v>166</v>
      </c>
      <c r="AU55" s="56" t="s">
        <v>167</v>
      </c>
    </row>
    <row r="56" ht="15" spans="1:47">
      <c r="A56" s="8">
        <v>3</v>
      </c>
      <c r="B56" s="8">
        <v>1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>L56*I56</f>
        <v>60</v>
      </c>
      <c r="N56" s="8" t="str">
        <f t="shared" ref="N56:N62" si="12">I25</f>
        <v>3</v>
      </c>
      <c r="O56" s="1" t="s">
        <v>180</v>
      </c>
      <c r="P56" s="8">
        <f t="shared" ref="P56:P62" si="13">O56-I56</f>
        <v>998770</v>
      </c>
      <c r="Q56" s="8">
        <f t="shared" ref="Q56:Q62" si="14">-I56</f>
        <v>-3</v>
      </c>
      <c r="R56" s="8">
        <f t="shared" ref="R56:R62" si="15">I56</f>
        <v>3</v>
      </c>
      <c r="T56" s="60" t="s">
        <v>56</v>
      </c>
      <c r="U56" s="61" t="str">
        <f>F3</f>
        <v>GWL-FIFO-LOT-BATCH-10001(FG)</v>
      </c>
      <c r="V56" s="61" t="str">
        <f>U56</f>
        <v>GWL-FIFO-LOT-BATCH-10001(FG)</v>
      </c>
      <c r="W56" s="61" t="s">
        <v>14</v>
      </c>
      <c r="X56" s="61" t="s">
        <v>14</v>
      </c>
      <c r="Y56" s="61">
        <f>H3</f>
        <v>3</v>
      </c>
      <c r="Z56" s="61">
        <f>K19</f>
        <v>1</v>
      </c>
      <c r="AA56" s="61"/>
      <c r="AB56" s="61">
        <v>1</v>
      </c>
      <c r="AC56" s="61">
        <v>20</v>
      </c>
      <c r="AD56" s="61">
        <v>1</v>
      </c>
      <c r="AE56" s="61">
        <f>ROUND(Y56*AD56/AB56,3)</f>
        <v>3</v>
      </c>
      <c r="AF56" s="62">
        <f>AE56*(AC56/Y56)</f>
        <v>20</v>
      </c>
      <c r="AG56" s="61">
        <f>AE56*AF56</f>
        <v>60</v>
      </c>
      <c r="AH56" s="61"/>
      <c r="AI56" s="61">
        <v>88363222</v>
      </c>
      <c r="AJ56" s="61">
        <v>88363221</v>
      </c>
      <c r="AK56" s="28">
        <v>18</v>
      </c>
      <c r="AL56" s="61">
        <f>IF(OR(V42=1,V42=4),ROUND(((((AF56*AE56)*AK56)/100)/2),2),0)</f>
        <v>5.4</v>
      </c>
      <c r="AM56" s="61">
        <f>IF(V42=1,ROUND(((((AF56*AE56)*AK56)/100)/2),2),0)</f>
        <v>5.4</v>
      </c>
      <c r="AN56" s="61">
        <f>IF(V42=2,ROUND((((AE56*AF56)*AK56)/100),2),0)</f>
        <v>0</v>
      </c>
      <c r="AO56" s="61">
        <f>IF(V42=3,ROUND((((AE56*AF56)*AK56)/100),2),0)</f>
        <v>0</v>
      </c>
      <c r="AP56" s="61">
        <f>SUM(AL56:AN56)</f>
        <v>10.8</v>
      </c>
      <c r="AQ56" s="61">
        <v>0</v>
      </c>
      <c r="AR56" s="61">
        <f>AG56*AQ56</f>
        <v>0</v>
      </c>
      <c r="AS56" s="61">
        <f>AG56+AP56</f>
        <v>70.8</v>
      </c>
      <c r="AT56" s="30">
        <f>AU46</f>
        <v>110</v>
      </c>
      <c r="AU56" s="30">
        <v>111</v>
      </c>
    </row>
    <row r="57" ht="15" spans="1:47">
      <c r="A57" s="8">
        <v>3</v>
      </c>
      <c r="B57" s="8">
        <v>2</v>
      </c>
      <c r="C57" s="8" t="s">
        <v>56</v>
      </c>
      <c r="D57" s="8" t="s">
        <v>57</v>
      </c>
      <c r="E57" s="12" t="s">
        <v>91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3" si="16">L57*I57</f>
        <v>60</v>
      </c>
      <c r="N57" s="8" t="str">
        <f t="shared" si="12"/>
        <v>3</v>
      </c>
      <c r="O57" s="1" t="s">
        <v>180</v>
      </c>
      <c r="P57" s="8">
        <f t="shared" si="13"/>
        <v>998770</v>
      </c>
      <c r="Q57" s="8">
        <f t="shared" si="14"/>
        <v>-3</v>
      </c>
      <c r="R57" s="8">
        <f t="shared" si="15"/>
        <v>3</v>
      </c>
      <c r="T57" s="63" t="s">
        <v>170</v>
      </c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>
        <f>H3</f>
        <v>3</v>
      </c>
      <c r="AF57" s="63">
        <f>AF56</f>
        <v>20</v>
      </c>
      <c r="AG57" s="64">
        <f t="shared" ref="AG57:AN57" si="17">SUM(AG56:AG56)</f>
        <v>60</v>
      </c>
      <c r="AH57" s="64">
        <f t="shared" si="17"/>
        <v>0</v>
      </c>
      <c r="AI57" s="64"/>
      <c r="AJ57" s="64"/>
      <c r="AK57" s="64"/>
      <c r="AL57" s="64">
        <f t="shared" si="17"/>
        <v>5.4</v>
      </c>
      <c r="AM57" s="64">
        <f t="shared" si="17"/>
        <v>5.4</v>
      </c>
      <c r="AN57" s="64">
        <f t="shared" si="17"/>
        <v>0</v>
      </c>
      <c r="AO57" s="64">
        <f>AO56</f>
        <v>0</v>
      </c>
      <c r="AP57" s="64">
        <f>SUM(AP56:AP56)</f>
        <v>10.8</v>
      </c>
      <c r="AQ57" s="64"/>
      <c r="AR57" s="64"/>
      <c r="AS57" s="65">
        <f>SUM(AS56:AS56)</f>
        <v>70.8</v>
      </c>
      <c r="AT57" s="64"/>
      <c r="AU57" s="64"/>
    </row>
    <row r="58" spans="1:47">
      <c r="A58" s="8">
        <v>3</v>
      </c>
      <c r="B58" s="8">
        <v>3</v>
      </c>
      <c r="C58" s="8" t="s">
        <v>56</v>
      </c>
      <c r="D58" s="8" t="s">
        <v>57</v>
      </c>
      <c r="E58" s="12" t="s">
        <v>92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6"/>
        <v>60</v>
      </c>
      <c r="N58" s="8" t="str">
        <f t="shared" si="12"/>
        <v>3</v>
      </c>
      <c r="O58" s="1" t="s">
        <v>180</v>
      </c>
      <c r="P58" s="8">
        <f t="shared" si="13"/>
        <v>998770</v>
      </c>
      <c r="Q58" s="8">
        <f t="shared" si="14"/>
        <v>-3</v>
      </c>
      <c r="R58" s="8">
        <f t="shared" si="15"/>
        <v>3</v>
      </c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66" t="s">
        <v>181</v>
      </c>
      <c r="AF58" s="66">
        <f>AF56+AF46</f>
        <v>40</v>
      </c>
      <c r="AG58" s="66">
        <f>AG57+AG47</f>
        <v>120</v>
      </c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</row>
    <row r="59" spans="1:47">
      <c r="A59" s="8">
        <v>3</v>
      </c>
      <c r="B59" s="8">
        <v>4</v>
      </c>
      <c r="C59" s="8" t="s">
        <v>56</v>
      </c>
      <c r="D59" s="8" t="s">
        <v>57</v>
      </c>
      <c r="E59" s="12" t="s">
        <v>93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6"/>
        <v>60</v>
      </c>
      <c r="N59" s="8" t="str">
        <f t="shared" si="12"/>
        <v>3</v>
      </c>
      <c r="O59" s="1" t="s">
        <v>180</v>
      </c>
      <c r="P59" s="8">
        <f t="shared" si="13"/>
        <v>998770</v>
      </c>
      <c r="Q59" s="8">
        <f t="shared" si="14"/>
        <v>-3</v>
      </c>
      <c r="R59" s="8">
        <f t="shared" si="15"/>
        <v>3</v>
      </c>
    </row>
    <row r="60" spans="1:47">
      <c r="A60" s="8">
        <v>3</v>
      </c>
      <c r="B60" s="8">
        <v>5</v>
      </c>
      <c r="C60" s="8" t="s">
        <v>56</v>
      </c>
      <c r="D60" s="8" t="s">
        <v>57</v>
      </c>
      <c r="E60" s="12" t="s">
        <v>94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6"/>
        <v>60</v>
      </c>
      <c r="N60" s="8" t="str">
        <f t="shared" si="12"/>
        <v>3</v>
      </c>
      <c r="O60" s="1" t="s">
        <v>180</v>
      </c>
      <c r="P60" s="8">
        <f t="shared" si="13"/>
        <v>998770</v>
      </c>
      <c r="Q60" s="8">
        <f t="shared" si="14"/>
        <v>-3</v>
      </c>
      <c r="R60" s="8">
        <f t="shared" si="15"/>
        <v>3</v>
      </c>
    </row>
    <row r="61" spans="1:47">
      <c r="A61" s="8">
        <v>3</v>
      </c>
      <c r="B61" s="8">
        <v>6</v>
      </c>
      <c r="C61" s="8" t="s">
        <v>56</v>
      </c>
      <c r="D61" s="8" t="s">
        <v>57</v>
      </c>
      <c r="E61" s="12" t="s">
        <v>95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6"/>
        <v>60</v>
      </c>
      <c r="N61" s="8" t="str">
        <f t="shared" si="12"/>
        <v>3</v>
      </c>
      <c r="O61" s="1" t="s">
        <v>180</v>
      </c>
      <c r="P61" s="8">
        <f t="shared" si="13"/>
        <v>998770</v>
      </c>
      <c r="Q61" s="8">
        <f t="shared" si="14"/>
        <v>-3</v>
      </c>
      <c r="R61" s="8">
        <f t="shared" si="15"/>
        <v>3</v>
      </c>
    </row>
    <row r="62" spans="1:47">
      <c r="A62" s="8">
        <v>3</v>
      </c>
      <c r="B62" s="8">
        <v>7</v>
      </c>
      <c r="C62" s="8" t="s">
        <v>56</v>
      </c>
      <c r="D62" s="8" t="s">
        <v>57</v>
      </c>
      <c r="E62" s="12" t="s">
        <v>96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6"/>
        <v>60</v>
      </c>
      <c r="N62" s="8" t="str">
        <f t="shared" si="12"/>
        <v>3</v>
      </c>
      <c r="O62" s="1" t="s">
        <v>180</v>
      </c>
      <c r="P62" s="8">
        <f t="shared" si="13"/>
        <v>998770</v>
      </c>
      <c r="Q62" s="8">
        <f t="shared" si="14"/>
        <v>-3</v>
      </c>
      <c r="R62" s="8">
        <f t="shared" si="15"/>
        <v>3</v>
      </c>
    </row>
    <row r="63" spans="1:47">
      <c r="A63" s="36" t="s">
        <v>116</v>
      </c>
      <c r="B63" s="36">
        <v>1</v>
      </c>
      <c r="C63" s="36" t="s">
        <v>56</v>
      </c>
      <c r="D63" s="36"/>
      <c r="E63" s="36"/>
      <c r="F63" s="37"/>
      <c r="G63" s="36"/>
      <c r="H63" s="37" t="s">
        <v>52</v>
      </c>
      <c r="I63" s="37">
        <v>3</v>
      </c>
      <c r="J63" s="36">
        <v>3</v>
      </c>
      <c r="K63" s="36"/>
      <c r="L63" s="36">
        <v>20</v>
      </c>
      <c r="M63" s="8">
        <f t="shared" si="16"/>
        <v>60</v>
      </c>
      <c r="N63" s="38">
        <v>111</v>
      </c>
      <c r="P63" s="36"/>
      <c r="Q63" s="36"/>
      <c r="R63" s="36"/>
    </row>
    <row r="64" spans="1:47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P64" s="8"/>
      <c r="Q64" s="8"/>
      <c r="R64" s="8"/>
    </row>
    <row r="66" spans="11:12">
      <c r="K66" s="9" t="s">
        <v>109</v>
      </c>
      <c r="L66" s="9">
        <f>L67</f>
        <v>180</v>
      </c>
    </row>
    <row r="67" spans="11:12">
      <c r="K67" s="9" t="s">
        <v>120</v>
      </c>
      <c r="L67" s="9">
        <f>L43+AF58</f>
        <v>180</v>
      </c>
    </row>
  </sheetData>
  <mergeCells count="12">
    <mergeCell ref="A1:M1"/>
    <mergeCell ref="A4:L4"/>
    <mergeCell ref="A9:L9"/>
    <mergeCell ref="A33:R33"/>
    <mergeCell ref="A34:R34"/>
    <mergeCell ref="T43:AU43"/>
    <mergeCell ref="A44:R44"/>
    <mergeCell ref="T44:AU44"/>
    <mergeCell ref="T47:AC47"/>
    <mergeCell ref="A54:R54"/>
    <mergeCell ref="T54:AU54"/>
    <mergeCell ref="T57:AC5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5"/>
  <sheetViews>
    <sheetView tabSelected="1" zoomScale="70" zoomScaleNormal="70" topLeftCell="AC25" workbookViewId="0">
      <selection activeCell="AP45" sqref="AP45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79" t="s">
        <v>19</v>
      </c>
      <c r="H3" s="6">
        <v>3</v>
      </c>
      <c r="I3" s="1" t="s">
        <v>176</v>
      </c>
      <c r="J3" s="8">
        <f>I3+H3</f>
        <v>189</v>
      </c>
      <c r="K3" s="1">
        <v>420</v>
      </c>
      <c r="L3" s="8">
        <f>(K3+L64)/2</f>
        <v>300</v>
      </c>
      <c r="M3" s="9">
        <f>L64</f>
        <v>180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182</v>
      </c>
      <c r="I11" s="1" t="s">
        <v>70</v>
      </c>
      <c r="J11" s="8">
        <f>H11-I11</f>
        <v>998008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182</v>
      </c>
      <c r="I12" s="1" t="s">
        <v>70</v>
      </c>
      <c r="J12" s="8">
        <f t="shared" ref="J11:J31" si="0">H12-I12</f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183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183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183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183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47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183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47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184</v>
      </c>
      <c r="I18" s="1" t="s">
        <v>81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47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184</v>
      </c>
      <c r="I19" s="1" t="s">
        <v>81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47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184</v>
      </c>
      <c r="I20" s="1" t="s">
        <v>81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47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184</v>
      </c>
      <c r="I21" s="1" t="s">
        <v>81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47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184</v>
      </c>
      <c r="I22" s="1" t="s">
        <v>81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47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184</v>
      </c>
      <c r="I23" s="1" t="s">
        <v>81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47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184</v>
      </c>
      <c r="I24" s="1" t="s">
        <v>81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47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180</v>
      </c>
      <c r="I25" s="1" t="s">
        <v>90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47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180</v>
      </c>
      <c r="I26" s="1" t="s">
        <v>90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47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180</v>
      </c>
      <c r="I27" s="1" t="s">
        <v>90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47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180</v>
      </c>
      <c r="I28" s="1" t="s">
        <v>90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47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180</v>
      </c>
      <c r="I29" s="1" t="s">
        <v>90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47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180</v>
      </c>
      <c r="I30" s="1" t="s">
        <v>90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47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1" t="s">
        <v>180</v>
      </c>
      <c r="I31" s="1" t="s">
        <v>90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47">
      <c r="A32" s="14"/>
      <c r="B32" s="14"/>
      <c r="C32" s="14"/>
      <c r="D32" s="14"/>
      <c r="E32" s="14"/>
      <c r="F32" s="14"/>
      <c r="G32" s="14"/>
      <c r="J32" s="14"/>
      <c r="K32" s="14"/>
      <c r="L32" s="15"/>
      <c r="M32" s="13"/>
      <c r="N32" s="13"/>
      <c r="O32" s="13"/>
      <c r="P32" s="13"/>
      <c r="Q32" s="13"/>
      <c r="R32" s="13"/>
      <c r="T32" s="13"/>
      <c r="U32" s="13"/>
      <c r="V32" s="16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3"/>
      <c r="U35" s="44"/>
      <c r="V35" s="44"/>
      <c r="W35" s="44"/>
      <c r="X35" s="44"/>
      <c r="Y35" s="40"/>
      <c r="Z35" s="40"/>
      <c r="AA35" s="40"/>
      <c r="AB35" s="39"/>
      <c r="AC35" s="39"/>
      <c r="AD35" s="39"/>
      <c r="AE35" s="40"/>
      <c r="AF35" s="45"/>
      <c r="AG35" s="39"/>
      <c r="AH35" s="39"/>
      <c r="AI35" s="46"/>
      <c r="AJ35" s="46"/>
      <c r="AK35" s="47"/>
      <c r="AL35" s="39"/>
      <c r="AM35" s="39"/>
      <c r="AN35" s="39"/>
      <c r="AO35" s="39"/>
      <c r="AP35" s="39"/>
      <c r="AQ35" s="48"/>
      <c r="AR35" s="39"/>
      <c r="AS35" s="39"/>
      <c r="AT35" s="49"/>
      <c r="AU35" s="49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182</v>
      </c>
      <c r="P36" s="8">
        <f t="shared" ref="P36:P42" si="3">O36-I36</f>
        <v>-3</v>
      </c>
      <c r="Q36" s="8">
        <f t="shared" ref="Q36:Q42" si="4">-I36</f>
        <v>-3</v>
      </c>
      <c r="R36" s="8">
        <f t="shared" ref="R36:R42" si="5">I36</f>
        <v>3</v>
      </c>
      <c r="T36" s="13"/>
      <c r="U36" s="44"/>
      <c r="V36" s="44"/>
      <c r="W36" s="44"/>
      <c r="X36" s="44"/>
      <c r="Y36" s="40"/>
      <c r="Z36" s="40"/>
      <c r="AA36" s="40"/>
      <c r="AB36" s="39"/>
      <c r="AC36" s="39"/>
      <c r="AD36" s="39"/>
      <c r="AE36" s="40"/>
      <c r="AF36" s="45"/>
      <c r="AG36" s="39"/>
      <c r="AH36" s="39"/>
      <c r="AI36" s="46"/>
      <c r="AJ36" s="46"/>
      <c r="AK36" s="47"/>
      <c r="AL36" s="39"/>
      <c r="AM36" s="39"/>
      <c r="AN36" s="39"/>
      <c r="AO36" s="39"/>
      <c r="AP36" s="39"/>
      <c r="AQ36" s="48"/>
      <c r="AR36" s="39"/>
      <c r="AS36" s="39"/>
      <c r="AT36" s="49"/>
      <c r="AU36" s="49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182</v>
      </c>
      <c r="P37" s="8">
        <f t="shared" si="3"/>
        <v>-3</v>
      </c>
      <c r="Q37" s="8">
        <f t="shared" si="4"/>
        <v>-3</v>
      </c>
      <c r="R37" s="8">
        <f t="shared" si="5"/>
        <v>3</v>
      </c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17"/>
      <c r="AH37" s="17"/>
      <c r="AI37" s="17"/>
      <c r="AJ37" s="17"/>
      <c r="AK37" s="17"/>
      <c r="AL37" s="51"/>
      <c r="AM37" s="51"/>
      <c r="AN37" s="51"/>
      <c r="AO37" s="51"/>
      <c r="AP37" s="51"/>
      <c r="AQ37" s="51"/>
      <c r="AR37" s="51"/>
      <c r="AS37" s="17"/>
      <c r="AT37" s="17"/>
      <c r="AU37" s="17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183</v>
      </c>
      <c r="P38" s="8">
        <f t="shared" si="3"/>
        <v>-3</v>
      </c>
      <c r="Q38" s="8">
        <f t="shared" si="4"/>
        <v>-3</v>
      </c>
      <c r="R38" s="8">
        <f t="shared" si="5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183</v>
      </c>
      <c r="P39" s="8">
        <f t="shared" si="3"/>
        <v>-3</v>
      </c>
      <c r="Q39" s="8">
        <f t="shared" si="4"/>
        <v>-3</v>
      </c>
      <c r="R39" s="8">
        <f t="shared" si="5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183</v>
      </c>
      <c r="P40" s="8">
        <f t="shared" si="3"/>
        <v>-3</v>
      </c>
      <c r="Q40" s="8">
        <f t="shared" si="4"/>
        <v>-3</v>
      </c>
      <c r="R40" s="8">
        <f t="shared" si="5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183</v>
      </c>
      <c r="P41" s="8">
        <f t="shared" si="3"/>
        <v>-3</v>
      </c>
      <c r="Q41" s="8">
        <f t="shared" si="4"/>
        <v>-3</v>
      </c>
      <c r="R41" s="8">
        <f t="shared" si="5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ht="15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183</v>
      </c>
      <c r="P42" s="8">
        <f t="shared" si="3"/>
        <v>-3</v>
      </c>
      <c r="Q42" s="8">
        <f t="shared" si="4"/>
        <v>-3</v>
      </c>
      <c r="R42" s="8">
        <f t="shared" si="5"/>
        <v>3</v>
      </c>
      <c r="T42" s="52"/>
      <c r="U42" s="52" t="s">
        <v>137</v>
      </c>
      <c r="V42" s="53">
        <v>1</v>
      </c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  <c r="T43" s="54" t="s">
        <v>139</v>
      </c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  <c r="T44" s="55" t="s">
        <v>117</v>
      </c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</row>
    <row r="45" ht="1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  <c r="T45" s="56" t="s">
        <v>140</v>
      </c>
      <c r="U45" s="56" t="s">
        <v>141</v>
      </c>
      <c r="V45" s="57" t="s">
        <v>142</v>
      </c>
      <c r="W45" s="56" t="s">
        <v>143</v>
      </c>
      <c r="X45" s="56" t="s">
        <v>144</v>
      </c>
      <c r="Y45" s="56" t="s">
        <v>145</v>
      </c>
      <c r="Z45" s="56" t="s">
        <v>146</v>
      </c>
      <c r="AA45" s="56" t="s">
        <v>147</v>
      </c>
      <c r="AB45" s="56" t="s">
        <v>148</v>
      </c>
      <c r="AC45" s="56" t="s">
        <v>149</v>
      </c>
      <c r="AD45" s="56" t="s">
        <v>150</v>
      </c>
      <c r="AE45" s="56" t="s">
        <v>151</v>
      </c>
      <c r="AF45" s="56" t="s">
        <v>152</v>
      </c>
      <c r="AG45" s="56" t="s">
        <v>153</v>
      </c>
      <c r="AH45" s="56" t="s">
        <v>154</v>
      </c>
      <c r="AI45" s="56" t="s">
        <v>155</v>
      </c>
      <c r="AJ45" s="56" t="s">
        <v>156</v>
      </c>
      <c r="AK45" s="58" t="s">
        <v>157</v>
      </c>
      <c r="AL45" s="58" t="s">
        <v>158</v>
      </c>
      <c r="AM45" s="58" t="s">
        <v>159</v>
      </c>
      <c r="AN45" s="58" t="s">
        <v>160</v>
      </c>
      <c r="AO45" s="58" t="s">
        <v>161</v>
      </c>
      <c r="AP45" s="58" t="s">
        <v>162</v>
      </c>
      <c r="AQ45" s="58" t="s">
        <v>163</v>
      </c>
      <c r="AR45" s="58" t="s">
        <v>164</v>
      </c>
      <c r="AS45" s="59" t="s">
        <v>165</v>
      </c>
      <c r="AT45" s="56" t="s">
        <v>166</v>
      </c>
      <c r="AU45" s="56" t="s">
        <v>167</v>
      </c>
    </row>
    <row r="46" ht="15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6">L46*K46</f>
        <v>60</v>
      </c>
      <c r="N46" s="8" t="str">
        <f t="shared" ref="N46:N59" si="7">I18</f>
        <v>3</v>
      </c>
      <c r="O46" s="1" t="s">
        <v>184</v>
      </c>
      <c r="P46" s="8">
        <f t="shared" ref="P46:P59" si="8">O46-I46</f>
        <v>998773</v>
      </c>
      <c r="Q46" s="8">
        <f t="shared" ref="Q46:Q59" si="9">-I46</f>
        <v>-3</v>
      </c>
      <c r="R46" s="8">
        <f t="shared" ref="R46:R59" si="10">I46</f>
        <v>3</v>
      </c>
      <c r="T46" s="60" t="s">
        <v>54</v>
      </c>
      <c r="U46" s="61" t="str">
        <f>F3</f>
        <v>GWL-FIFO-LOT-BATCH-10001(FG)</v>
      </c>
      <c r="V46" s="61" t="str">
        <f>U46</f>
        <v>GWL-FIFO-LOT-BATCH-10001(FG)</v>
      </c>
      <c r="W46" s="61" t="s">
        <v>14</v>
      </c>
      <c r="X46" s="61" t="s">
        <v>14</v>
      </c>
      <c r="Y46" s="61">
        <f>H3</f>
        <v>3</v>
      </c>
      <c r="Z46" s="61">
        <f>K15</f>
        <v>1</v>
      </c>
      <c r="AA46" s="61"/>
      <c r="AB46" s="61">
        <v>1</v>
      </c>
      <c r="AC46" s="61">
        <v>20</v>
      </c>
      <c r="AD46" s="61">
        <v>1</v>
      </c>
      <c r="AE46" s="61">
        <f>ROUND(Y46*AD46/AB46,3)</f>
        <v>3</v>
      </c>
      <c r="AF46" s="62">
        <f>AE46*(AC46/Y46)</f>
        <v>20</v>
      </c>
      <c r="AG46" s="61">
        <f>AE46*AF46</f>
        <v>60</v>
      </c>
      <c r="AH46" s="61"/>
      <c r="AI46" s="61">
        <v>88363222</v>
      </c>
      <c r="AJ46" s="61">
        <v>88363221</v>
      </c>
      <c r="AK46" s="28">
        <v>18</v>
      </c>
      <c r="AL46" s="61">
        <f>IF(OR(V42=1,V42=4),ROUND(((((AF46*AE46)*AK46)/100)/2),2),0)</f>
        <v>5.4</v>
      </c>
      <c r="AM46" s="61">
        <f>IF(V42=1,ROUND(((((AF46*AE46)*AK46)/100)/2),2),0)</f>
        <v>5.4</v>
      </c>
      <c r="AN46" s="61">
        <f>IF(V42=2,ROUND((((AE46*AF46)*AK46)/100),2),0)</f>
        <v>0</v>
      </c>
      <c r="AO46" s="61">
        <f>IF(V42=3,ROUND((((AE46*AF46)*AK46)/100),2),0)</f>
        <v>0</v>
      </c>
      <c r="AP46" s="61">
        <f>SUM(AL46:AN46)</f>
        <v>10.8</v>
      </c>
      <c r="AQ46" s="61">
        <v>0</v>
      </c>
      <c r="AR46" s="61">
        <f>AG46*AQ46</f>
        <v>0</v>
      </c>
      <c r="AS46" s="61">
        <f>AG46+AP46</f>
        <v>70.8</v>
      </c>
      <c r="AT46" s="30">
        <v>100</v>
      </c>
      <c r="AU46" s="30">
        <v>110</v>
      </c>
    </row>
    <row r="47" ht="15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s="1" t="s">
        <v>184</v>
      </c>
      <c r="P47" s="8">
        <f t="shared" si="8"/>
        <v>998773</v>
      </c>
      <c r="Q47" s="8">
        <f t="shared" si="9"/>
        <v>-3</v>
      </c>
      <c r="R47" s="8">
        <f t="shared" si="10"/>
        <v>3</v>
      </c>
      <c r="T47" s="60" t="s">
        <v>56</v>
      </c>
      <c r="U47" s="61" t="s">
        <v>18</v>
      </c>
      <c r="V47" s="61" t="s">
        <v>18</v>
      </c>
      <c r="W47" s="61" t="s">
        <v>14</v>
      </c>
      <c r="X47" s="61" t="s">
        <v>14</v>
      </c>
      <c r="Y47" s="61">
        <f>H3</f>
        <v>3</v>
      </c>
      <c r="Z47" s="61">
        <f>K15</f>
        <v>1</v>
      </c>
      <c r="AA47" s="61"/>
      <c r="AB47" s="61">
        <v>1</v>
      </c>
      <c r="AC47" s="61">
        <v>20</v>
      </c>
      <c r="AD47" s="61">
        <v>1</v>
      </c>
      <c r="AE47" s="61">
        <f>ROUND(Y47*AD47/AB47,3)</f>
        <v>3</v>
      </c>
      <c r="AF47" s="62">
        <f>AE47*(AC47/Y47)</f>
        <v>20</v>
      </c>
      <c r="AG47" s="61">
        <f>AE47*AF47</f>
        <v>60</v>
      </c>
      <c r="AH47" s="61"/>
      <c r="AI47" s="61">
        <v>88363222</v>
      </c>
      <c r="AJ47" s="61">
        <v>88363221</v>
      </c>
      <c r="AK47" s="28">
        <v>18</v>
      </c>
      <c r="AL47" s="61">
        <f>IF(OR(V42=1,V42=4),ROUND(((((AF47*AE47)*AK47)/100)/2),2),0)</f>
        <v>5.4</v>
      </c>
      <c r="AM47" s="61">
        <f>IF(V42=1,ROUND(((((AF47*AE47)*AK47)/100)/2),2),0)</f>
        <v>5.4</v>
      </c>
      <c r="AN47" s="61">
        <f>IF(V42=2,ROUND((((AE47*AF47)*AK47)/100),2),0)</f>
        <v>0</v>
      </c>
      <c r="AO47" s="61">
        <f>IF(V42=3,ROUND((((AE47*AF47)*AK47)/100),2),0)</f>
        <v>0</v>
      </c>
      <c r="AP47" s="61">
        <f>SUM(AL47:AN47)</f>
        <v>10.8</v>
      </c>
      <c r="AQ47" s="61">
        <v>0</v>
      </c>
      <c r="AR47" s="61">
        <f>AG47*AQ47</f>
        <v>0</v>
      </c>
      <c r="AS47" s="61">
        <f>AG47+AP47</f>
        <v>70.8</v>
      </c>
      <c r="AT47" s="30">
        <v>110</v>
      </c>
      <c r="AU47" s="30">
        <v>111</v>
      </c>
    </row>
    <row r="48" ht="15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s="1" t="s">
        <v>184</v>
      </c>
      <c r="P48" s="8">
        <f t="shared" si="8"/>
        <v>998773</v>
      </c>
      <c r="Q48" s="8">
        <f t="shared" si="9"/>
        <v>-3</v>
      </c>
      <c r="R48" s="8">
        <f t="shared" si="10"/>
        <v>3</v>
      </c>
      <c r="T48" s="63" t="s">
        <v>170</v>
      </c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>
        <f>H3</f>
        <v>3</v>
      </c>
      <c r="AF48" s="66">
        <f>AF47+AF46</f>
        <v>40</v>
      </c>
      <c r="AG48" s="64">
        <f>SUM(AG46:AG47)</f>
        <v>120</v>
      </c>
      <c r="AH48" s="64">
        <f>SUM(AH46:AH46)</f>
        <v>0</v>
      </c>
      <c r="AI48" s="64"/>
      <c r="AJ48" s="64"/>
      <c r="AK48" s="64"/>
      <c r="AL48" s="64">
        <f>SUM(AL46:AL46)</f>
        <v>5.4</v>
      </c>
      <c r="AM48" s="64">
        <f>SUM(AM46:AM46)</f>
        <v>5.4</v>
      </c>
      <c r="AN48" s="64">
        <f>SUM(AN46:AN46)</f>
        <v>0</v>
      </c>
      <c r="AO48" s="64">
        <f>AO46</f>
        <v>0</v>
      </c>
      <c r="AP48" s="64">
        <f>SUM(AP46:AP47)</f>
        <v>21.6</v>
      </c>
      <c r="AQ48" s="64"/>
      <c r="AR48" s="64"/>
      <c r="AS48" s="65">
        <f>SUM(AS46:AS47)</f>
        <v>141.6</v>
      </c>
      <c r="AT48" s="64"/>
      <c r="AU48" s="64"/>
    </row>
    <row r="49" spans="1:33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s="1" t="s">
        <v>184</v>
      </c>
      <c r="P49" s="8">
        <f t="shared" si="8"/>
        <v>998773</v>
      </c>
      <c r="Q49" s="8">
        <f t="shared" si="9"/>
        <v>-3</v>
      </c>
      <c r="R49" s="8">
        <f t="shared" si="10"/>
        <v>3</v>
      </c>
      <c r="AE49" s="66"/>
      <c r="AG49" s="66"/>
    </row>
    <row r="50" spans="1:33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s="1" t="s">
        <v>184</v>
      </c>
      <c r="P50" s="8">
        <f t="shared" si="8"/>
        <v>998773</v>
      </c>
      <c r="Q50" s="8">
        <f t="shared" si="9"/>
        <v>-3</v>
      </c>
      <c r="R50" s="8">
        <f t="shared" si="10"/>
        <v>3</v>
      </c>
    </row>
    <row r="51" spans="1:33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s="1" t="s">
        <v>184</v>
      </c>
      <c r="P51" s="8">
        <f t="shared" si="8"/>
        <v>998773</v>
      </c>
      <c r="Q51" s="8">
        <f t="shared" si="9"/>
        <v>-3</v>
      </c>
      <c r="R51" s="8">
        <f t="shared" si="10"/>
        <v>3</v>
      </c>
    </row>
    <row r="52" spans="1:33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s="1" t="s">
        <v>184</v>
      </c>
      <c r="P52" s="8">
        <f t="shared" si="8"/>
        <v>998773</v>
      </c>
      <c r="Q52" s="8">
        <f t="shared" si="9"/>
        <v>-3</v>
      </c>
      <c r="R52" s="8">
        <f t="shared" si="10"/>
        <v>3</v>
      </c>
    </row>
    <row r="53" spans="1:33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s="1" t="s">
        <v>180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33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s="1" t="s">
        <v>180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33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s="1" t="s">
        <v>180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33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s="1" t="s">
        <v>180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33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6"/>
        <v>60</v>
      </c>
      <c r="N57" s="8" t="str">
        <f t="shared" si="7"/>
        <v>3</v>
      </c>
      <c r="O57" s="1" t="s">
        <v>180</v>
      </c>
      <c r="P57" s="8">
        <f t="shared" si="8"/>
        <v>998770</v>
      </c>
      <c r="Q57" s="8">
        <f t="shared" si="9"/>
        <v>-3</v>
      </c>
      <c r="R57" s="8">
        <f t="shared" si="10"/>
        <v>3</v>
      </c>
    </row>
    <row r="58" spans="1:33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6"/>
        <v>60</v>
      </c>
      <c r="N58" s="8" t="str">
        <f t="shared" si="7"/>
        <v>3</v>
      </c>
      <c r="O58" s="1" t="s">
        <v>180</v>
      </c>
      <c r="P58" s="8">
        <f t="shared" si="8"/>
        <v>998770</v>
      </c>
      <c r="Q58" s="8">
        <f t="shared" si="9"/>
        <v>-3</v>
      </c>
      <c r="R58" s="8">
        <f t="shared" si="10"/>
        <v>3</v>
      </c>
    </row>
    <row r="59" spans="1:33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6"/>
        <v>60</v>
      </c>
      <c r="N59" s="8" t="str">
        <f t="shared" si="7"/>
        <v>3</v>
      </c>
      <c r="O59" s="1" t="s">
        <v>180</v>
      </c>
      <c r="P59" s="8">
        <f t="shared" si="8"/>
        <v>998770</v>
      </c>
      <c r="Q59" s="8">
        <f t="shared" si="9"/>
        <v>-3</v>
      </c>
      <c r="R59" s="8">
        <f t="shared" si="10"/>
        <v>3</v>
      </c>
    </row>
    <row r="60" spans="1:33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6"/>
        <v>420</v>
      </c>
      <c r="N60" s="8"/>
      <c r="P60" s="8"/>
      <c r="Q60" s="8"/>
      <c r="R60" s="8"/>
    </row>
    <row r="61" spans="1:33">
      <c r="A61" s="36" t="s">
        <v>116</v>
      </c>
      <c r="B61" s="36">
        <v>1</v>
      </c>
      <c r="C61" s="36" t="s">
        <v>56</v>
      </c>
      <c r="D61" s="36"/>
      <c r="E61" s="36"/>
      <c r="F61" s="37"/>
      <c r="G61" s="36"/>
      <c r="H61" s="37" t="s">
        <v>52</v>
      </c>
      <c r="I61" s="37">
        <v>3</v>
      </c>
      <c r="J61" s="36">
        <v>3</v>
      </c>
      <c r="K61" s="36"/>
      <c r="L61" s="36">
        <f>SUM(L46:L60)</f>
        <v>420</v>
      </c>
      <c r="M61" s="38">
        <f>SUM(M46:M60)</f>
        <v>1260</v>
      </c>
      <c r="N61" s="38">
        <v>111</v>
      </c>
      <c r="P61" s="36"/>
      <c r="Q61" s="36"/>
      <c r="R61" s="36"/>
    </row>
    <row r="62" spans="1:3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P62" s="8"/>
      <c r="Q62" s="8"/>
      <c r="R62" s="8"/>
    </row>
    <row r="64" spans="1:33">
      <c r="K64" s="9" t="s">
        <v>109</v>
      </c>
      <c r="L64" s="9">
        <f>L65/H3</f>
        <v>180</v>
      </c>
    </row>
    <row r="65" spans="11:12">
      <c r="K65" s="9" t="s">
        <v>120</v>
      </c>
      <c r="L65" s="9">
        <f>M43+AG48</f>
        <v>540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43:AU43"/>
    <mergeCell ref="A44:R44"/>
    <mergeCell ref="T44:AU44"/>
    <mergeCell ref="T48:AC4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5"/>
  <sheetViews>
    <sheetView zoomScale="60" zoomScaleNormal="60" topLeftCell="U26" workbookViewId="0">
      <selection activeCell="AD47" sqref="AD47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7" width="11.6666666666667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(K3+L64)/2</f>
        <v>420</v>
      </c>
      <c r="M3" s="9">
        <f>L64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1" t="s">
        <v>70</v>
      </c>
      <c r="J11" s="8">
        <f t="shared" ref="J11:J31" si="0">H11-I11</f>
        <v>998756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1" t="s">
        <v>70</v>
      </c>
      <c r="J12" s="8">
        <f t="shared" si="0"/>
        <v>998756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1" t="s">
        <v>74</v>
      </c>
      <c r="J13" s="8">
        <f t="shared" si="0"/>
        <v>998758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1" t="s">
        <v>74</v>
      </c>
      <c r="J14" s="8">
        <f t="shared" si="0"/>
        <v>998758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1" t="s">
        <v>74</v>
      </c>
      <c r="J15" s="8">
        <f t="shared" si="0"/>
        <v>998758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1" t="s">
        <v>74</v>
      </c>
      <c r="J16" s="8">
        <f t="shared" si="0"/>
        <v>998758</v>
      </c>
      <c r="K16" s="8">
        <v>1</v>
      </c>
      <c r="L16" s="8">
        <f>H3</f>
        <v>3</v>
      </c>
      <c r="M16" s="8"/>
    </row>
    <row r="17" spans="1:47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1" t="s">
        <v>74</v>
      </c>
      <c r="J17" s="8">
        <f t="shared" si="0"/>
        <v>998758</v>
      </c>
      <c r="K17" s="8">
        <v>1</v>
      </c>
      <c r="L17" s="8">
        <f>H3</f>
        <v>3</v>
      </c>
      <c r="M17" s="8"/>
    </row>
    <row r="18" spans="1:47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/>
      <c r="I18" s="8" t="s">
        <v>136</v>
      </c>
      <c r="J18" s="8">
        <f t="shared" si="0"/>
        <v>-3</v>
      </c>
      <c r="K18" s="8">
        <v>1</v>
      </c>
      <c r="L18" s="8">
        <f>H3</f>
        <v>3</v>
      </c>
      <c r="M18" s="8"/>
    </row>
    <row r="19" spans="1:47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/>
      <c r="I19" s="8" t="s">
        <v>136</v>
      </c>
      <c r="J19" s="8">
        <f t="shared" si="0"/>
        <v>-3</v>
      </c>
      <c r="K19" s="8">
        <v>1</v>
      </c>
      <c r="L19" s="8">
        <f>H3</f>
        <v>3</v>
      </c>
      <c r="M19" s="8"/>
    </row>
    <row r="20" spans="1:47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/>
      <c r="I20" s="8" t="s">
        <v>136</v>
      </c>
      <c r="J20" s="8">
        <f t="shared" si="0"/>
        <v>-3</v>
      </c>
      <c r="K20" s="8">
        <v>1</v>
      </c>
      <c r="L20" s="8">
        <f>H3</f>
        <v>3</v>
      </c>
      <c r="M20" s="8"/>
    </row>
    <row r="21" spans="1:47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/>
      <c r="I21" s="8" t="s">
        <v>136</v>
      </c>
      <c r="J21" s="8">
        <f t="shared" si="0"/>
        <v>-3</v>
      </c>
      <c r="K21" s="8">
        <v>1</v>
      </c>
      <c r="L21" s="8">
        <f>H3</f>
        <v>3</v>
      </c>
      <c r="M21" s="8"/>
    </row>
    <row r="22" spans="1:47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/>
      <c r="I22" s="8" t="s">
        <v>136</v>
      </c>
      <c r="J22" s="8">
        <f t="shared" si="0"/>
        <v>-3</v>
      </c>
      <c r="K22" s="8">
        <v>1</v>
      </c>
      <c r="L22" s="8">
        <f>H3</f>
        <v>3</v>
      </c>
      <c r="M22" s="8"/>
    </row>
    <row r="23" spans="1:47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/>
      <c r="I23" s="8" t="s">
        <v>136</v>
      </c>
      <c r="J23" s="8">
        <f t="shared" si="0"/>
        <v>-3</v>
      </c>
      <c r="K23" s="8">
        <v>1</v>
      </c>
      <c r="L23" s="8">
        <f>H3</f>
        <v>3</v>
      </c>
      <c r="M23" s="8"/>
    </row>
    <row r="24" spans="1:47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/>
      <c r="I24" s="8" t="s">
        <v>136</v>
      </c>
      <c r="J24" s="8">
        <f t="shared" si="0"/>
        <v>-3</v>
      </c>
      <c r="K24" s="8">
        <v>1</v>
      </c>
      <c r="L24" s="8">
        <f>H3</f>
        <v>3</v>
      </c>
      <c r="M24" s="8"/>
    </row>
    <row r="25" spans="1:47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/>
      <c r="I25" s="8" t="s">
        <v>136</v>
      </c>
      <c r="J25" s="8">
        <f t="shared" si="0"/>
        <v>-3</v>
      </c>
      <c r="K25" s="8">
        <v>1</v>
      </c>
      <c r="L25" s="8">
        <f>H3</f>
        <v>3</v>
      </c>
      <c r="M25" s="8"/>
    </row>
    <row r="26" spans="1:47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/>
      <c r="I26" s="8" t="s">
        <v>136</v>
      </c>
      <c r="J26" s="8">
        <f t="shared" si="0"/>
        <v>-3</v>
      </c>
      <c r="K26" s="8">
        <v>1</v>
      </c>
      <c r="L26" s="8">
        <f>H3</f>
        <v>3</v>
      </c>
      <c r="M26" s="8"/>
    </row>
    <row r="27" spans="1:47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/>
      <c r="I27" s="8" t="s">
        <v>136</v>
      </c>
      <c r="J27" s="8">
        <f t="shared" si="0"/>
        <v>-3</v>
      </c>
      <c r="K27" s="8">
        <v>1</v>
      </c>
      <c r="L27" s="8">
        <f>H3</f>
        <v>3</v>
      </c>
      <c r="M27" s="8"/>
    </row>
    <row r="28" spans="1:47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/>
      <c r="I28" s="8" t="s">
        <v>136</v>
      </c>
      <c r="J28" s="8">
        <f t="shared" si="0"/>
        <v>-3</v>
      </c>
      <c r="K28" s="8">
        <v>1</v>
      </c>
      <c r="L28" s="8">
        <f>H3</f>
        <v>3</v>
      </c>
      <c r="M28" s="8"/>
    </row>
    <row r="29" spans="1:47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/>
      <c r="I29" s="8" t="s">
        <v>136</v>
      </c>
      <c r="J29" s="8">
        <f t="shared" si="0"/>
        <v>-3</v>
      </c>
      <c r="K29" s="8">
        <v>1</v>
      </c>
      <c r="L29" s="8">
        <f>H3</f>
        <v>3</v>
      </c>
      <c r="M29" s="8"/>
    </row>
    <row r="30" spans="1:47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/>
      <c r="I30" s="8" t="s">
        <v>136</v>
      </c>
      <c r="J30" s="8">
        <f t="shared" si="0"/>
        <v>-3</v>
      </c>
      <c r="K30" s="8">
        <v>1</v>
      </c>
      <c r="L30" s="8">
        <f>H3</f>
        <v>3</v>
      </c>
      <c r="M30" s="8"/>
    </row>
    <row r="31" spans="1:47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/>
      <c r="I31" s="8" t="s">
        <v>136</v>
      </c>
      <c r="J31" s="8">
        <f t="shared" si="0"/>
        <v>-3</v>
      </c>
      <c r="K31" s="8">
        <v>1</v>
      </c>
      <c r="L31" s="8">
        <f>H3</f>
        <v>3</v>
      </c>
      <c r="M31" s="8"/>
    </row>
    <row r="32" ht="15" spans="1:47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T32" s="13"/>
      <c r="U32" s="13"/>
      <c r="V32" s="16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3"/>
      <c r="U35" s="44"/>
      <c r="V35" s="44"/>
      <c r="W35" s="44"/>
      <c r="X35" s="44"/>
      <c r="Y35" s="40"/>
      <c r="Z35" s="40"/>
      <c r="AA35" s="40"/>
      <c r="AB35" s="39"/>
      <c r="AC35" s="39"/>
      <c r="AD35" s="39"/>
      <c r="AE35" s="40"/>
      <c r="AF35" s="45"/>
      <c r="AG35" s="39"/>
      <c r="AH35" s="39"/>
      <c r="AI35" s="46"/>
      <c r="AJ35" s="46"/>
      <c r="AK35" s="47"/>
      <c r="AL35" s="39"/>
      <c r="AM35" s="39"/>
      <c r="AN35" s="39"/>
      <c r="AO35" s="39"/>
      <c r="AP35" s="39"/>
      <c r="AQ35" s="48"/>
      <c r="AR35" s="39"/>
      <c r="AS35" s="39"/>
      <c r="AT35" s="49"/>
      <c r="AU35" s="49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186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  <c r="T36" s="13"/>
      <c r="U36" s="44"/>
      <c r="V36" s="44"/>
      <c r="W36" s="44"/>
      <c r="X36" s="44"/>
      <c r="Y36" s="40"/>
      <c r="Z36" s="40"/>
      <c r="AA36" s="40"/>
      <c r="AB36" s="39"/>
      <c r="AC36" s="39"/>
      <c r="AD36" s="39"/>
      <c r="AE36" s="40"/>
      <c r="AF36" s="45"/>
      <c r="AG36" s="39"/>
      <c r="AH36" s="39"/>
      <c r="AI36" s="46"/>
      <c r="AJ36" s="46"/>
      <c r="AK36" s="47"/>
      <c r="AL36" s="39"/>
      <c r="AM36" s="39"/>
      <c r="AN36" s="39"/>
      <c r="AO36" s="39"/>
      <c r="AP36" s="39"/>
      <c r="AQ36" s="48"/>
      <c r="AR36" s="39"/>
      <c r="AS36" s="39"/>
      <c r="AT36" s="49"/>
      <c r="AU36" s="49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186</v>
      </c>
      <c r="P37" s="8">
        <f t="shared" si="3"/>
        <v>998776</v>
      </c>
      <c r="Q37" s="8">
        <f t="shared" si="4"/>
        <v>-3</v>
      </c>
      <c r="R37" s="8">
        <f t="shared" si="5"/>
        <v>3</v>
      </c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17"/>
      <c r="AH37" s="17"/>
      <c r="AI37" s="17"/>
      <c r="AJ37" s="17"/>
      <c r="AK37" s="17"/>
      <c r="AL37" s="51"/>
      <c r="AM37" s="51"/>
      <c r="AN37" s="51"/>
      <c r="AO37" s="51"/>
      <c r="AP37" s="51"/>
      <c r="AQ37" s="51"/>
      <c r="AR37" s="51"/>
      <c r="AS37" s="17"/>
      <c r="AT37" s="17"/>
      <c r="AU37" s="17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187</v>
      </c>
      <c r="P38" s="8">
        <f t="shared" si="3"/>
        <v>998776</v>
      </c>
      <c r="Q38" s="8">
        <f t="shared" si="4"/>
        <v>-3</v>
      </c>
      <c r="R38" s="8">
        <f t="shared" si="5"/>
        <v>3</v>
      </c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187</v>
      </c>
      <c r="P39" s="8">
        <f t="shared" si="3"/>
        <v>998776</v>
      </c>
      <c r="Q39" s="8">
        <f t="shared" si="4"/>
        <v>-3</v>
      </c>
      <c r="R39" s="8">
        <f t="shared" si="5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187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187</v>
      </c>
      <c r="P41" s="8">
        <f t="shared" si="3"/>
        <v>998776</v>
      </c>
      <c r="Q41" s="8">
        <f t="shared" si="4"/>
        <v>-3</v>
      </c>
      <c r="R41" s="8">
        <f t="shared" si="5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ht="15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187</v>
      </c>
      <c r="P42" s="8">
        <f t="shared" si="3"/>
        <v>998776</v>
      </c>
      <c r="Q42" s="8">
        <f t="shared" si="4"/>
        <v>-3</v>
      </c>
      <c r="R42" s="8">
        <f t="shared" si="5"/>
        <v>3</v>
      </c>
      <c r="T42" s="52"/>
      <c r="U42" s="52" t="s">
        <v>137</v>
      </c>
      <c r="V42" s="53">
        <v>1</v>
      </c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  <c r="T43" s="54" t="s">
        <v>139</v>
      </c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  <c r="T44" s="55" t="s">
        <v>117</v>
      </c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</row>
    <row r="45" ht="1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  <c r="T45" s="56" t="s">
        <v>140</v>
      </c>
      <c r="U45" s="56" t="s">
        <v>141</v>
      </c>
      <c r="V45" s="57" t="s">
        <v>142</v>
      </c>
      <c r="W45" s="56" t="s">
        <v>143</v>
      </c>
      <c r="X45" s="56" t="s">
        <v>144</v>
      </c>
      <c r="Y45" s="56" t="s">
        <v>145</v>
      </c>
      <c r="Z45" s="56" t="s">
        <v>146</v>
      </c>
      <c r="AA45" s="56" t="s">
        <v>147</v>
      </c>
      <c r="AB45" s="56" t="s">
        <v>148</v>
      </c>
      <c r="AC45" s="56" t="s">
        <v>149</v>
      </c>
      <c r="AD45" s="56" t="s">
        <v>150</v>
      </c>
      <c r="AE45" s="56" t="s">
        <v>151</v>
      </c>
      <c r="AF45" s="56" t="s">
        <v>152</v>
      </c>
      <c r="AG45" s="56" t="s">
        <v>153</v>
      </c>
      <c r="AH45" s="56" t="s">
        <v>154</v>
      </c>
      <c r="AI45" s="56" t="s">
        <v>155</v>
      </c>
      <c r="AJ45" s="56" t="s">
        <v>156</v>
      </c>
      <c r="AK45" s="58" t="s">
        <v>157</v>
      </c>
      <c r="AL45" s="58" t="s">
        <v>158</v>
      </c>
      <c r="AM45" s="58" t="s">
        <v>159</v>
      </c>
      <c r="AN45" s="58" t="s">
        <v>160</v>
      </c>
      <c r="AO45" s="58" t="s">
        <v>161</v>
      </c>
      <c r="AP45" s="58" t="s">
        <v>162</v>
      </c>
      <c r="AQ45" s="58" t="s">
        <v>163</v>
      </c>
      <c r="AR45" s="58" t="s">
        <v>164</v>
      </c>
      <c r="AS45" s="59" t="s">
        <v>165</v>
      </c>
      <c r="AT45" s="56" t="s">
        <v>166</v>
      </c>
      <c r="AU45" s="56" t="s">
        <v>167</v>
      </c>
    </row>
    <row r="46" ht="15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6">L46*K46</f>
        <v>60</v>
      </c>
      <c r="N46" s="8" t="str">
        <f t="shared" ref="N46:N59" si="7">I18</f>
        <v>3</v>
      </c>
      <c r="O46" s="1" t="s">
        <v>188</v>
      </c>
      <c r="P46" s="8">
        <f t="shared" ref="P46:P59" si="8">O46-I46</f>
        <v>998773</v>
      </c>
      <c r="Q46" s="8">
        <f t="shared" ref="Q46:Q59" si="9">-I46</f>
        <v>-3</v>
      </c>
      <c r="R46" s="8">
        <f t="shared" ref="R46:R59" si="10">I46</f>
        <v>3</v>
      </c>
      <c r="T46" s="60" t="s">
        <v>54</v>
      </c>
      <c r="U46" s="61" t="str">
        <f>F3</f>
        <v>GWL-FIFO-LOT-BATCH-10001(FG)</v>
      </c>
      <c r="V46" s="61" t="str">
        <f>U46</f>
        <v>GWL-FIFO-LOT-BATCH-10001(FG)</v>
      </c>
      <c r="W46" s="61" t="s">
        <v>14</v>
      </c>
      <c r="X46" s="61" t="s">
        <v>14</v>
      </c>
      <c r="Y46" s="61">
        <f>H3</f>
        <v>3</v>
      </c>
      <c r="Z46" s="61">
        <f>K15</f>
        <v>1</v>
      </c>
      <c r="AA46" s="61"/>
      <c r="AB46" s="61">
        <v>1</v>
      </c>
      <c r="AC46" s="61">
        <v>20</v>
      </c>
      <c r="AD46" s="61">
        <v>1</v>
      </c>
      <c r="AE46" s="61">
        <f>ROUND(Y46*AD46/AB46,3)</f>
        <v>3</v>
      </c>
      <c r="AF46" s="62">
        <f>AE46*(AC46/Y46)</f>
        <v>20</v>
      </c>
      <c r="AG46" s="61">
        <f>AE46*AF46</f>
        <v>60</v>
      </c>
      <c r="AH46" s="61"/>
      <c r="AI46" s="61">
        <v>88363222</v>
      </c>
      <c r="AJ46" s="61">
        <v>88363221</v>
      </c>
      <c r="AK46" s="28">
        <v>18</v>
      </c>
      <c r="AL46" s="61">
        <f>IF(OR(V42=1,V42=4),ROUND(((((AF46*AE46)*AK46)/100)/2),2),0)</f>
        <v>5.4</v>
      </c>
      <c r="AM46" s="61">
        <f>IF(V42=1,ROUND(((((AF46*AE46)*AK46)/100)/2),2),0)</f>
        <v>5.4</v>
      </c>
      <c r="AN46" s="61">
        <f>IF(V42=2,ROUND((((AE46*AF46)*AK46)/100),2),0)</f>
        <v>0</v>
      </c>
      <c r="AO46" s="61">
        <f>IF(V42=3,ROUND((((AE46*AF46)*AK46)/100),2),0)</f>
        <v>0</v>
      </c>
      <c r="AP46" s="61">
        <f>SUM(AL46:AN46)</f>
        <v>10.8</v>
      </c>
      <c r="AQ46" s="61">
        <v>0</v>
      </c>
      <c r="AR46" s="61">
        <f>AG46*AQ46</f>
        <v>0</v>
      </c>
      <c r="AS46" s="61">
        <f>AG46+AP46</f>
        <v>70.8</v>
      </c>
      <c r="AT46" s="30">
        <v>100</v>
      </c>
      <c r="AU46" s="30">
        <v>110</v>
      </c>
    </row>
    <row r="47" ht="15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s="1" t="s">
        <v>188</v>
      </c>
      <c r="P47" s="8">
        <f t="shared" si="8"/>
        <v>998773</v>
      </c>
      <c r="Q47" s="8">
        <f t="shared" si="9"/>
        <v>-3</v>
      </c>
      <c r="R47" s="8">
        <f t="shared" si="10"/>
        <v>3</v>
      </c>
      <c r="T47" s="60" t="s">
        <v>56</v>
      </c>
      <c r="U47" s="61" t="s">
        <v>18</v>
      </c>
      <c r="V47" s="61" t="s">
        <v>18</v>
      </c>
      <c r="W47" s="61" t="s">
        <v>14</v>
      </c>
      <c r="X47" s="61" t="s">
        <v>14</v>
      </c>
      <c r="Y47" s="61">
        <f>H3</f>
        <v>3</v>
      </c>
      <c r="Z47" s="61">
        <f>K15</f>
        <v>1</v>
      </c>
      <c r="AA47" s="61"/>
      <c r="AB47" s="61">
        <v>1</v>
      </c>
      <c r="AC47" s="61">
        <v>20</v>
      </c>
      <c r="AD47" s="61">
        <v>1</v>
      </c>
      <c r="AE47" s="61">
        <f>ROUND(Y47*AD47/AB47,3)</f>
        <v>3</v>
      </c>
      <c r="AF47" s="62">
        <f>AE47*(AC47/Y47)</f>
        <v>20</v>
      </c>
      <c r="AG47" s="61">
        <f>AE47*AF47</f>
        <v>60</v>
      </c>
      <c r="AH47" s="61"/>
      <c r="AI47" s="61">
        <v>88363222</v>
      </c>
      <c r="AJ47" s="61">
        <v>88363221</v>
      </c>
      <c r="AK47" s="28">
        <v>18</v>
      </c>
      <c r="AL47" s="61">
        <f>IF(OR(V42=1,V42=4),ROUND(((((AF47*AE47)*AK47)/100)/2),2),0)</f>
        <v>5.4</v>
      </c>
      <c r="AM47" s="61">
        <f>IF(V42=1,ROUND(((((AF47*AE47)*AK47)/100)/2),2),0)</f>
        <v>5.4</v>
      </c>
      <c r="AN47" s="61">
        <f>IF(V42=2,ROUND((((AE47*AF47)*AK47)/100),2),0)</f>
        <v>0</v>
      </c>
      <c r="AO47" s="61">
        <f>IF(V42=3,ROUND((((AE47*AF47)*AK47)/100),2),0)</f>
        <v>0</v>
      </c>
      <c r="AP47" s="61">
        <f>SUM(AL47:AN47)</f>
        <v>10.8</v>
      </c>
      <c r="AQ47" s="61">
        <v>0</v>
      </c>
      <c r="AR47" s="61">
        <f>AG47*AQ47</f>
        <v>0</v>
      </c>
      <c r="AS47" s="61">
        <f>AG47+AP47</f>
        <v>70.8</v>
      </c>
      <c r="AT47" s="30">
        <v>110</v>
      </c>
      <c r="AU47" s="30">
        <v>111</v>
      </c>
    </row>
    <row r="48" ht="15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s="1" t="s">
        <v>188</v>
      </c>
      <c r="P48" s="8">
        <f t="shared" si="8"/>
        <v>998773</v>
      </c>
      <c r="Q48" s="8">
        <f t="shared" si="9"/>
        <v>-3</v>
      </c>
      <c r="R48" s="8">
        <f t="shared" si="10"/>
        <v>3</v>
      </c>
      <c r="T48" s="63" t="s">
        <v>170</v>
      </c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>
        <f>H3</f>
        <v>3</v>
      </c>
      <c r="AF48" s="63">
        <f>AF46+AF47</f>
        <v>40</v>
      </c>
      <c r="AG48" s="64">
        <f>SUM(AG46:AG47)</f>
        <v>120</v>
      </c>
      <c r="AH48" s="64">
        <f t="shared" ref="AH48:AN48" si="11">SUM(AH46:AH46)</f>
        <v>0</v>
      </c>
      <c r="AI48" s="64"/>
      <c r="AJ48" s="64"/>
      <c r="AK48" s="64"/>
      <c r="AL48" s="64">
        <f t="shared" si="11"/>
        <v>5.4</v>
      </c>
      <c r="AM48" s="64">
        <f t="shared" si="11"/>
        <v>5.4</v>
      </c>
      <c r="AN48" s="64">
        <f t="shared" si="11"/>
        <v>0</v>
      </c>
      <c r="AO48" s="64">
        <f>AO46</f>
        <v>0</v>
      </c>
      <c r="AP48" s="64">
        <f>SUM(AP46:AP47)</f>
        <v>21.6</v>
      </c>
      <c r="AQ48" s="64"/>
      <c r="AR48" s="64"/>
      <c r="AS48" s="65">
        <f>SUM(AS46:AS47)</f>
        <v>141.6</v>
      </c>
      <c r="AT48" s="64"/>
      <c r="AU48" s="64"/>
    </row>
    <row r="49" spans="1:33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s="1" t="s">
        <v>188</v>
      </c>
      <c r="P49" s="8">
        <f t="shared" si="8"/>
        <v>998773</v>
      </c>
      <c r="Q49" s="8">
        <f t="shared" si="9"/>
        <v>-3</v>
      </c>
      <c r="R49" s="8">
        <f t="shared" si="10"/>
        <v>3</v>
      </c>
      <c r="AE49" s="66" t="s">
        <v>181</v>
      </c>
      <c r="AF49" s="66">
        <f>AF47+AF46</f>
        <v>40</v>
      </c>
      <c r="AG49" s="66">
        <f>AG48</f>
        <v>120</v>
      </c>
    </row>
    <row r="50" spans="1:33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s="1" t="s">
        <v>188</v>
      </c>
      <c r="P50" s="8">
        <f t="shared" si="8"/>
        <v>998773</v>
      </c>
      <c r="Q50" s="8">
        <f t="shared" si="9"/>
        <v>-3</v>
      </c>
      <c r="R50" s="8">
        <f t="shared" si="10"/>
        <v>3</v>
      </c>
    </row>
    <row r="51" spans="1:33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s="1" t="s">
        <v>188</v>
      </c>
      <c r="P51" s="8">
        <f t="shared" si="8"/>
        <v>998773</v>
      </c>
      <c r="Q51" s="8">
        <f t="shared" si="9"/>
        <v>-3</v>
      </c>
      <c r="R51" s="8">
        <f t="shared" si="10"/>
        <v>3</v>
      </c>
    </row>
    <row r="52" spans="1:33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s="1" t="s">
        <v>188</v>
      </c>
      <c r="P52" s="8">
        <f t="shared" si="8"/>
        <v>998773</v>
      </c>
      <c r="Q52" s="8">
        <f t="shared" si="9"/>
        <v>-3</v>
      </c>
      <c r="R52" s="8">
        <f t="shared" si="10"/>
        <v>3</v>
      </c>
    </row>
    <row r="53" spans="1:33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s="1" t="s">
        <v>189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33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s="1" t="s">
        <v>189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33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s="1" t="s">
        <v>189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33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s="1" t="s">
        <v>189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33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6"/>
        <v>60</v>
      </c>
      <c r="N57" s="8" t="str">
        <f t="shared" si="7"/>
        <v>3</v>
      </c>
      <c r="O57" s="1" t="s">
        <v>189</v>
      </c>
      <c r="P57" s="8">
        <f t="shared" si="8"/>
        <v>998770</v>
      </c>
      <c r="Q57" s="8">
        <f t="shared" si="9"/>
        <v>-3</v>
      </c>
      <c r="R57" s="8">
        <f t="shared" si="10"/>
        <v>3</v>
      </c>
    </row>
    <row r="58" spans="1:33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6"/>
        <v>60</v>
      </c>
      <c r="N58" s="8" t="str">
        <f t="shared" si="7"/>
        <v>3</v>
      </c>
      <c r="O58" s="1" t="s">
        <v>189</v>
      </c>
      <c r="P58" s="8">
        <f t="shared" si="8"/>
        <v>998770</v>
      </c>
      <c r="Q58" s="8">
        <f t="shared" si="9"/>
        <v>-3</v>
      </c>
      <c r="R58" s="8">
        <f t="shared" si="10"/>
        <v>3</v>
      </c>
    </row>
    <row r="59" spans="1:33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6"/>
        <v>60</v>
      </c>
      <c r="N59" s="8" t="str">
        <f t="shared" si="7"/>
        <v>3</v>
      </c>
      <c r="O59" s="1" t="s">
        <v>189</v>
      </c>
      <c r="P59" s="8">
        <f t="shared" si="8"/>
        <v>998770</v>
      </c>
      <c r="Q59" s="8">
        <f t="shared" si="9"/>
        <v>-3</v>
      </c>
      <c r="R59" s="8">
        <f t="shared" si="10"/>
        <v>3</v>
      </c>
    </row>
    <row r="60" spans="1:33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6"/>
        <v>420</v>
      </c>
      <c r="N60" s="8"/>
      <c r="P60" s="8"/>
      <c r="Q60" s="8"/>
      <c r="R60" s="8"/>
    </row>
    <row r="61" spans="1:33">
      <c r="A61" s="36" t="s">
        <v>116</v>
      </c>
      <c r="B61" s="36">
        <v>1</v>
      </c>
      <c r="C61" s="36" t="s">
        <v>56</v>
      </c>
      <c r="D61" s="36"/>
      <c r="E61" s="36"/>
      <c r="F61" s="37"/>
      <c r="G61" s="36"/>
      <c r="H61" s="37" t="s">
        <v>52</v>
      </c>
      <c r="I61" s="37">
        <v>3</v>
      </c>
      <c r="J61" s="36">
        <v>3</v>
      </c>
      <c r="K61" s="36"/>
      <c r="L61" s="36">
        <f>SUM(L46:L60)</f>
        <v>420</v>
      </c>
      <c r="M61" s="38">
        <f>SUM(M46:M60)</f>
        <v>1260</v>
      </c>
      <c r="N61" s="38">
        <v>111</v>
      </c>
      <c r="P61" s="36"/>
      <c r="Q61" s="36"/>
      <c r="R61" s="36"/>
    </row>
    <row r="62" spans="1:3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P62" s="8"/>
      <c r="Q62" s="8"/>
      <c r="R62" s="8"/>
    </row>
    <row r="64" spans="1:33">
      <c r="K64" s="9" t="s">
        <v>109</v>
      </c>
      <c r="L64" s="9">
        <f>L65/H3</f>
        <v>420</v>
      </c>
    </row>
    <row r="65" spans="11:12">
      <c r="K65" s="9" t="s">
        <v>120</v>
      </c>
      <c r="L65" s="9">
        <f>M61+AG7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43:AU43"/>
    <mergeCell ref="A44:R44"/>
    <mergeCell ref="T44:AU44"/>
    <mergeCell ref="T48:A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80" zoomScaleNormal="80" topLeftCell="H18" workbookViewId="0">
      <selection activeCell="N28" sqref="N28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10.5714285714286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6.24761904761905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190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(K3+AG37+L68)/2</f>
        <v>450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123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1" t="s">
        <v>123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1" t="s">
        <v>123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1" t="s">
        <v>123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1" t="s">
        <v>123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1" t="s">
        <v>123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1" t="s">
        <v>123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2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20</v>
      </c>
      <c r="AD36" s="25">
        <v>1</v>
      </c>
      <c r="AE36" s="24">
        <f>ROUND(Y36*AD36/AB36,3)</f>
        <v>3</v>
      </c>
      <c r="AF36" s="26">
        <f>AE36*(AC36/Y36)</f>
        <v>20</v>
      </c>
      <c r="AG36" s="25">
        <f>AE36*AF36</f>
        <v>60</v>
      </c>
      <c r="AH36" s="25"/>
      <c r="AI36" s="27">
        <v>88363222</v>
      </c>
      <c r="AJ36" s="27">
        <v>88363221</v>
      </c>
      <c r="AK36" s="28">
        <v>18</v>
      </c>
      <c r="AL36" s="25">
        <f>IF(OR(V322=1,V32=4),ROUND(((((AF36*AE36)*AK36)/100)/2),2),0)</f>
        <v>0</v>
      </c>
      <c r="AM36" s="25">
        <f>IF(V32=1,ROUND(((((AF36*AE36)*AK36)/100)/2),2),0)</f>
        <v>0</v>
      </c>
      <c r="AN36" s="25">
        <f>IF(V32=2,ROUND((((AE36*AF36)*AK36)/100),2),0)</f>
        <v>10.8</v>
      </c>
      <c r="AO36" s="25">
        <f>IF(V32=3,ROUND((((AE36*AF36)*AK36)/100),2),0)</f>
        <v>0</v>
      </c>
      <c r="AP36" s="25">
        <f>SUM(AL36:AN36)</f>
        <v>10.8</v>
      </c>
      <c r="AQ36" s="29">
        <v>0</v>
      </c>
      <c r="AR36" s="25">
        <f>AG36*AQ36</f>
        <v>0</v>
      </c>
      <c r="AS36" s="25">
        <f>AG36+AP36</f>
        <v>70.8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60</v>
      </c>
      <c r="AH37" s="32">
        <f t="shared" si="7"/>
        <v>0</v>
      </c>
      <c r="AI37" s="32"/>
      <c r="AJ37" s="32"/>
      <c r="AK37" s="32"/>
      <c r="AL37" s="33">
        <f t="shared" si="7"/>
        <v>0</v>
      </c>
      <c r="AM37" s="33">
        <f t="shared" si="7"/>
        <v>0</v>
      </c>
      <c r="AN37" s="33">
        <f t="shared" si="7"/>
        <v>10.8</v>
      </c>
      <c r="AO37" s="34">
        <f>AO36</f>
        <v>0</v>
      </c>
      <c r="AP37" s="32">
        <f>SUM(AP36:AP36)</f>
        <v>10.8</v>
      </c>
      <c r="AQ37" s="32"/>
      <c r="AR37" s="32"/>
      <c r="AS37" s="35">
        <f>SUM(AS36:AS36)</f>
        <v>70.8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AF38" s="1" t="s">
        <v>120</v>
      </c>
      <c r="AG38" s="41">
        <f>AG37</f>
        <v>60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1" t="s">
        <v>191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1" t="s">
        <v>191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1" t="s">
        <v>191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1" t="s">
        <v>191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1" t="s">
        <v>191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1" t="s">
        <v>191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1" t="s">
        <v>191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1" t="s">
        <v>192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1" t="s">
        <v>192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1" t="s">
        <v>192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1" t="s">
        <v>192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1" t="s">
        <v>192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1" t="s">
        <v>192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1" t="s">
        <v>192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5"/>
  <sheetViews>
    <sheetView zoomScale="70" zoomScaleNormal="70" topLeftCell="A33" workbookViewId="0">
      <selection activeCell="G63" sqref="G63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190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(K3+L64)/2</f>
        <v>420</v>
      </c>
      <c r="M3" s="9">
        <f>L64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36" t="s">
        <v>116</v>
      </c>
      <c r="B61" s="36">
        <v>1</v>
      </c>
      <c r="C61" s="36" t="s">
        <v>56</v>
      </c>
      <c r="D61" s="36"/>
      <c r="E61" s="36"/>
      <c r="F61" s="37"/>
      <c r="G61" s="36"/>
      <c r="H61" s="37" t="s">
        <v>52</v>
      </c>
      <c r="I61" s="37">
        <v>3</v>
      </c>
      <c r="J61" s="36">
        <v>3</v>
      </c>
      <c r="K61" s="36"/>
      <c r="L61" s="36">
        <f>SUM(L46:L60)</f>
        <v>420</v>
      </c>
      <c r="M61" s="38">
        <f>SUM(M46:M60)</f>
        <v>1260</v>
      </c>
      <c r="N61" s="38">
        <v>111</v>
      </c>
      <c r="O61" s="36" t="s">
        <v>171</v>
      </c>
      <c r="P61" s="36"/>
      <c r="Q61" s="36"/>
      <c r="R61" s="36"/>
    </row>
    <row r="62" spans="1:18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4" spans="1:18">
      <c r="K64" s="9" t="s">
        <v>109</v>
      </c>
      <c r="L64" s="9">
        <f>L65/H3</f>
        <v>420</v>
      </c>
    </row>
    <row r="65" spans="11:12">
      <c r="K65" s="9" t="s">
        <v>120</v>
      </c>
      <c r="L65" s="9">
        <f>M61+AG7</f>
        <v>1260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4"/>
  <sheetViews>
    <sheetView zoomScale="60" zoomScaleNormal="60" topLeftCell="H29" workbookViewId="0">
      <selection activeCell="T56" sqref="T56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190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(K3+L63)/2</f>
        <v>350</v>
      </c>
      <c r="M3" s="9">
        <f>L63</f>
        <v>280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36" t="s">
        <v>116</v>
      </c>
      <c r="B60" s="36">
        <v>1</v>
      </c>
      <c r="C60" s="36" t="s">
        <v>56</v>
      </c>
      <c r="D60" s="36"/>
      <c r="E60" s="36"/>
      <c r="F60" s="37"/>
      <c r="G60" s="36"/>
      <c r="H60" s="37" t="s">
        <v>52</v>
      </c>
      <c r="I60" s="37">
        <v>3</v>
      </c>
      <c r="J60" s="36">
        <v>3</v>
      </c>
      <c r="K60" s="36"/>
      <c r="L60" s="36">
        <f>SUM(L46:L59)</f>
        <v>280</v>
      </c>
      <c r="M60" s="38">
        <f>SUM(M46:M59)</f>
        <v>840</v>
      </c>
      <c r="N60" s="38">
        <v>111</v>
      </c>
      <c r="O60" s="36" t="s">
        <v>171</v>
      </c>
      <c r="P60" s="36"/>
      <c r="Q60" s="36"/>
      <c r="R60" s="36"/>
    </row>
    <row r="61" spans="1:18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3" spans="1:18">
      <c r="K63" s="9" t="s">
        <v>109</v>
      </c>
      <c r="L63" s="9">
        <f>L64/H3</f>
        <v>280</v>
      </c>
    </row>
    <row r="64" spans="1:18">
      <c r="K64" s="9" t="s">
        <v>120</v>
      </c>
      <c r="L64" s="9">
        <f>M60+AG7</f>
        <v>840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193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172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171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173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173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173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173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173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173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173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H35" sqref="H35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193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Y4" workbookViewId="0">
      <selection activeCell="T37" sqref="T37:AC37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193</v>
      </c>
      <c r="F3" s="7" t="s">
        <v>18</v>
      </c>
      <c r="G3" s="79" t="s">
        <v>19</v>
      </c>
      <c r="H3" s="6">
        <v>3</v>
      </c>
      <c r="I3" s="8" t="s">
        <v>185</v>
      </c>
      <c r="J3" s="8">
        <f>I3+H3</f>
        <v>189</v>
      </c>
      <c r="K3" s="8" t="s">
        <v>126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80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2026-02-26T06:42:00Z</dcterms:created>
  <dcterms:modified xsi:type="dcterms:W3CDTF">2026-09-29T13:41:38Z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