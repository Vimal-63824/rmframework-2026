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020" activeTab="2"/>
  </bookViews>
  <sheets>
    <sheet name="ProdOrder-Single(Inside)" sheetId="5" r:id="rId1"/>
    <sheet name="ProdOrder-Multiple(Inside)" sheetId="6" r:id="rId2"/>
    <sheet name="ProdOrder-Item(Inside)" sheetId="7" r:id="rId3"/>
    <sheet name="ProdOrder-Single(Outside)" sheetId="9" r:id="rId4"/>
    <sheet name="ProdOrder-Multiple(Outside)" sheetId="8" r:id="rId5"/>
    <sheet name="ProdOrder-Item(Outside)" sheetId="10" r:id="rId6"/>
    <sheet name="ProdOrder-Single(FIRO)" sheetId="11" r:id="rId7"/>
    <sheet name="ProdOrder-Multiple(FIRO)" sheetId="12" r:id="rId8"/>
    <sheet name="ProdOrder-Item(FIRO)" sheetId="13" r:id="rId9"/>
    <sheet name="ProdOrder-Single(FORI)" sheetId="14" r:id="rId10"/>
    <sheet name="ProdOrder-Multiple(FORI)" sheetId="16" r:id="rId11"/>
    <sheet name="ProdOrder-Item(FORI)" sheetId="17" r:id="rId12"/>
    <sheet name="ProdOrder-Single(FORB)" sheetId="18" r:id="rId13"/>
    <sheet name="ProdOrder-Multiple(FORB)" sheetId="19" r:id="rId14"/>
    <sheet name="ProdOrder-Item(FORB)" sheetId="2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<sst xmlns="http://schemas.openxmlformats.org/spreadsheetml/2006/main" count="7221" uniqueCount="190">
  <si>
    <t>Production Order - All Inside</t>
  </si>
  <si>
    <t>FGUOM</t>
  </si>
  <si>
    <t>Unit</t>
  </si>
  <si>
    <t>OrderType</t>
  </si>
  <si>
    <t>BomType</t>
  </si>
  <si>
    <t>BOM No</t>
  </si>
  <si>
    <t>FG - Item</t>
  </si>
  <si>
    <t>Shift</t>
  </si>
  <si>
    <t>Order Quantity</t>
  </si>
  <si>
    <t>Before FG Stock</t>
  </si>
  <si>
    <t>After FG Stock</t>
  </si>
  <si>
    <t>Before FG Cost</t>
  </si>
  <si>
    <t>After FG Cost</t>
  </si>
  <si>
    <t>BOM Cost</t>
  </si>
  <si>
    <t>NOS</t>
  </si>
  <si>
    <t>U1</t>
  </si>
  <si>
    <t>Manufacturing</t>
  </si>
  <si>
    <t>BOM-2627-0000070</t>
  </si>
  <si>
    <t>GWL-FIFO-LOT-BATCH-10001(FG)</t>
  </si>
  <si>
    <t>0001</t>
  </si>
  <si>
    <t>249</t>
  </si>
  <si>
    <t>420</t>
  </si>
  <si>
    <t>Routing</t>
  </si>
  <si>
    <t>Resources</t>
  </si>
  <si>
    <t>Seq.No</t>
  </si>
  <si>
    <t>Oprn No</t>
  </si>
  <si>
    <t>ProcessID</t>
  </si>
  <si>
    <t>ProcessDesc</t>
  </si>
  <si>
    <t>Type</t>
  </si>
  <si>
    <t>WorkCenter</t>
  </si>
  <si>
    <t>LocId</t>
  </si>
  <si>
    <t>ConsWH ID</t>
  </si>
  <si>
    <t>ConsWH Desc</t>
  </si>
  <si>
    <t>ReceiptWH ID</t>
  </si>
  <si>
    <t>ReceiptWH Desc</t>
  </si>
  <si>
    <t>TSA Flag</t>
  </si>
  <si>
    <t>Cons No</t>
  </si>
  <si>
    <t>Resource</t>
  </si>
  <si>
    <t>Hrs</t>
  </si>
  <si>
    <t>Min</t>
  </si>
  <si>
    <t>Sec</t>
  </si>
  <si>
    <t>Cost</t>
  </si>
  <si>
    <t>Hrs(cost)</t>
  </si>
  <si>
    <t>Min(Cost)</t>
  </si>
  <si>
    <t>Sec (cost)</t>
  </si>
  <si>
    <t>Total Cost</t>
  </si>
  <si>
    <t>GWL001</t>
  </si>
  <si>
    <t>GWLPROCESS-01</t>
  </si>
  <si>
    <t>Inside</t>
  </si>
  <si>
    <t>GWL AUTOMATION AREA</t>
  </si>
  <si>
    <t>L0001</t>
  </si>
  <si>
    <t>WIP WH</t>
  </si>
  <si>
    <t>WORK IN PROGRESS WAREHOUSE</t>
  </si>
  <si>
    <t>N</t>
  </si>
  <si>
    <t>GWL002</t>
  </si>
  <si>
    <t>GWLPROCESS-02</t>
  </si>
  <si>
    <t>GWL003</t>
  </si>
  <si>
    <t>GWLPROCESS-03</t>
  </si>
  <si>
    <t>Raw Material</t>
  </si>
  <si>
    <t>RawMaterial</t>
  </si>
  <si>
    <t>UOM</t>
  </si>
  <si>
    <t>SourceWH</t>
  </si>
  <si>
    <t>Stock Qty</t>
  </si>
  <si>
    <t>Alloc Qty</t>
  </si>
  <si>
    <t>Stock Balance</t>
  </si>
  <si>
    <t>BOM Qtny</t>
  </si>
  <si>
    <t>Req Quantity</t>
  </si>
  <si>
    <t>GWL-FIFO-LOT-BATCH-10001(RM)</t>
  </si>
  <si>
    <t>RAW MATERIAL WAREHOUSE</t>
  </si>
  <si>
    <t>998304</t>
  </si>
  <si>
    <t>23</t>
  </si>
  <si>
    <t>GWL-FIFO-SER-BATCH-10001(RM)</t>
  </si>
  <si>
    <t>GWL-LOT-FIFO-LOT-10001(RM)</t>
  </si>
  <si>
    <t>998335</t>
  </si>
  <si>
    <t>21</t>
  </si>
  <si>
    <t>GWL-NA-FIFO-BATCH-10001(RM)</t>
  </si>
  <si>
    <t>GWL-LOT-MAC-10001(RM)</t>
  </si>
  <si>
    <t>GWL-SER-MAC-10001(RM)</t>
  </si>
  <si>
    <t>GWL-NA-MAC-10001(RM)</t>
  </si>
  <si>
    <t>GWL-FIFO-LOT-BATCH-10002(RM)</t>
  </si>
  <si>
    <t>99910</t>
  </si>
  <si>
    <t>33</t>
  </si>
  <si>
    <t>GWL-FIFO-SER-BATCH-10002(RM)</t>
  </si>
  <si>
    <t>GWL-LOT-FIFO-LOT-10002(RM)</t>
  </si>
  <si>
    <t>GWL-NA-FIFO-BATCH-10002(RM)</t>
  </si>
  <si>
    <t>GWL-LOT-MAC-10002(RM)</t>
  </si>
  <si>
    <t>GWL-SER-MAC-10002(RM)</t>
  </si>
  <si>
    <t>GWL-NA-MAC-10002(RM)</t>
  </si>
  <si>
    <t>GWL-FIFO-LOT-BATCH-10003(RM)</t>
  </si>
  <si>
    <t>99913</t>
  </si>
  <si>
    <t>15</t>
  </si>
  <si>
    <t>GWL-FIFO-SER-BATCH-10003(RM)</t>
  </si>
  <si>
    <t>GWL-LOT-FIFO-LOT-10003(RM)</t>
  </si>
  <si>
    <t>GWL-NA-FIFO-BATCH-10003(RM)</t>
  </si>
  <si>
    <t>GWL-LOT-MAC-10003(RM)</t>
  </si>
  <si>
    <t>GWL-SER-MAC-10003(RM)</t>
  </si>
  <si>
    <t>GWL-NA-MAC-10003(RM)</t>
  </si>
  <si>
    <t>Material Request &amp; Material Issuance Voucher &amp; Completion</t>
  </si>
  <si>
    <t>Process - 1</t>
  </si>
  <si>
    <t>SeqNo</t>
  </si>
  <si>
    <t>Line No</t>
  </si>
  <si>
    <t>Process ID</t>
  </si>
  <si>
    <t>Process Desc</t>
  </si>
  <si>
    <t>RM Name</t>
  </si>
  <si>
    <t>Source WH</t>
  </si>
  <si>
    <t>Receiver WH</t>
  </si>
  <si>
    <t>Issuance Qty</t>
  </si>
  <si>
    <t>Stck Iss Qty</t>
  </si>
  <si>
    <t>Rqst Qnty</t>
  </si>
  <si>
    <t>Unit Cost</t>
  </si>
  <si>
    <t>Line Amt</t>
  </si>
  <si>
    <t>Stock Alloc Qty</t>
  </si>
  <si>
    <t>Before Lot Quantity</t>
  </si>
  <si>
    <t>After Lot Quantity</t>
  </si>
  <si>
    <t>Stock Trans QOH</t>
  </si>
  <si>
    <t>Stock Trans SIT</t>
  </si>
  <si>
    <t>Completion</t>
  </si>
  <si>
    <t>Process - 2</t>
  </si>
  <si>
    <t>SFG</t>
  </si>
  <si>
    <t>Process - 3</t>
  </si>
  <si>
    <t>Overall Cost</t>
  </si>
  <si>
    <t>998301</t>
  </si>
  <si>
    <t>998332</t>
  </si>
  <si>
    <t>99907</t>
  </si>
  <si>
    <t>Process - 2 &amp; 3</t>
  </si>
  <si>
    <t>252</t>
  </si>
  <si>
    <t>998298</t>
  </si>
  <si>
    <t>998329</t>
  </si>
  <si>
    <t>99904</t>
  </si>
  <si>
    <t>30</t>
  </si>
  <si>
    <t>Process - 1, 2 &amp; 3</t>
  </si>
  <si>
    <t>BOM-2627-0000125</t>
  </si>
  <si>
    <t>208</t>
  </si>
  <si>
    <t>998448</t>
  </si>
  <si>
    <t>18</t>
  </si>
  <si>
    <t>3</t>
  </si>
  <si>
    <t>Tax Calculations</t>
  </si>
  <si>
    <t>Material Request &amp; Material Issuance Voucher</t>
  </si>
  <si>
    <t>SCO &amp; GRN SCO</t>
  </si>
  <si>
    <t>Process</t>
  </si>
  <si>
    <t>Item</t>
  </si>
  <si>
    <t>Item Desc.</t>
  </si>
  <si>
    <t>ITEM. UOM</t>
  </si>
  <si>
    <t>Process UOM</t>
  </si>
  <si>
    <t>Order Qty (SCO UOM)</t>
  </si>
  <si>
    <t>BOM Reqd Qty</t>
  </si>
  <si>
    <t>Cons Qty</t>
  </si>
  <si>
    <t>Batch Qty</t>
  </si>
  <si>
    <t>Batch Cost</t>
  </si>
  <si>
    <t>Conv. Factor</t>
  </si>
  <si>
    <t>Proc.Qty</t>
  </si>
  <si>
    <t>LineUnit Cost</t>
  </si>
  <si>
    <t>Gross Amt.(ASSBL)</t>
  </si>
  <si>
    <t>Pur. Val.</t>
  </si>
  <si>
    <t>HSN Code</t>
  </si>
  <si>
    <t>SAC code</t>
  </si>
  <si>
    <t>Tax Rate (SAC)</t>
  </si>
  <si>
    <t>CGST</t>
  </si>
  <si>
    <t>SGST</t>
  </si>
  <si>
    <t>IGST</t>
  </si>
  <si>
    <t>UTGST</t>
  </si>
  <si>
    <t>Tax amt</t>
  </si>
  <si>
    <t>CESS %</t>
  </si>
  <si>
    <t>CESS AMT</t>
  </si>
  <si>
    <t>Net Amt</t>
  </si>
  <si>
    <t>Current Process SF code</t>
  </si>
  <si>
    <t>Target Process SF code</t>
  </si>
  <si>
    <t>998779</t>
  </si>
  <si>
    <t>000</t>
  </si>
  <si>
    <t>Total</t>
  </si>
  <si>
    <t xml:space="preserve"> &lt;- Target SF Code</t>
  </si>
  <si>
    <t>998776</t>
  </si>
  <si>
    <t>998773</t>
  </si>
  <si>
    <t>Process - 2&amp; 3</t>
  </si>
  <si>
    <t>BOM-2627-0000126</t>
  </si>
  <si>
    <t>186</t>
  </si>
  <si>
    <t>BOM-2627-0000127</t>
  </si>
  <si>
    <t>BOM-2627-0000128</t>
  </si>
  <si>
    <t>998295</t>
  </si>
  <si>
    <t>20</t>
  </si>
  <si>
    <t>998326</t>
  </si>
  <si>
    <t>99901</t>
  </si>
  <si>
    <t>255</t>
  </si>
  <si>
    <t>998292</t>
  </si>
  <si>
    <t>998323</t>
  </si>
  <si>
    <t>99898</t>
  </si>
  <si>
    <t>258</t>
  </si>
  <si>
    <t>998289</t>
  </si>
  <si>
    <t>998320</t>
  </si>
  <si>
    <t>99895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</si>
</sst>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000"/>
    <numFmt numFmtId="182" formatCode="0.00_);[Red]\(0.00\)"/>
  </numFmts>
  <fonts count="30">
    <font>
      <sz val="11"/>
      <color theme="1"/>
      <name val="Calibri"/>
      <charset val="134"/>
      <scheme val="minor"/>
    </font>
    <font>
      <sz val="11"/>
      <color rgb="FF000000"/>
      <name val="Cambria"/>
      <charset val="134"/>
    </font>
    <font>
      <sz val="11"/>
      <color theme="1"/>
      <name val="Cambria"/>
      <charset val="134"/>
    </font>
    <font>
      <b/>
      <i/>
      <u/>
      <sz val="11"/>
      <color rgb="FF000000"/>
      <name val="Cambria"/>
      <charset val="134"/>
    </font>
    <font>
      <b/>
      <sz val="11"/>
      <name val="Cambria"/>
      <charset val="134"/>
    </font>
    <font>
      <b/>
      <sz val="11"/>
      <color rgb="FF000000"/>
      <name val="Cambria"/>
      <charset val="134"/>
    </font>
    <font>
      <sz val="11"/>
      <name val="Cambria"/>
      <charset val="134"/>
    </font>
    <font>
      <sz val="11"/>
      <color rgb="FF1F1F1F"/>
      <name val="Cambria"/>
      <charset val="134"/>
    </font>
    <font>
      <b/>
      <sz val="11"/>
      <color theme="1"/>
      <name val="Calibri Light"/>
      <charset val="134"/>
      <scheme val="major"/>
    </font>
    <font>
      <b/>
      <i/>
      <sz val="11"/>
      <color rgb="FF000000"/>
      <name val="Cambria"/>
      <charset val="134"/>
    </font>
    <font>
      <sz val="11"/>
      <color theme="1"/>
      <name val="Calibri Light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14" applyNumberFormat="0" applyAlignment="0" applyProtection="0">
      <alignment vertical="center"/>
    </xf>
    <xf numFmtId="0" fontId="20" fillId="12" borderId="15" applyNumberFormat="0" applyAlignment="0" applyProtection="0">
      <alignment vertical="center"/>
    </xf>
    <xf numFmtId="0" fontId="21" fillId="12" borderId="14" applyNumberFormat="0" applyAlignment="0" applyProtection="0">
      <alignment vertical="center"/>
    </xf>
    <xf numFmtId="0" fontId="22" fillId="13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/>
    </xf>
    <xf numFmtId="0" fontId="4" fillId="3" borderId="1" xfId="0" applyFont="1" applyFill="1" applyBorder="1" applyAlignment="1"/>
    <xf numFmtId="0" fontId="5" fillId="3" borderId="1" xfId="0" applyFont="1" applyFill="1" applyBorder="1" applyAlignment="1"/>
    <xf numFmtId="0" fontId="6" fillId="0" borderId="1" xfId="0" applyFont="1" applyFill="1" applyBorder="1" applyAlignment="1"/>
    <xf numFmtId="0" fontId="6" fillId="0" borderId="1" xfId="0" applyFont="1" applyBorder="1" applyAlignment="1">
      <alignment vertical="center"/>
    </xf>
    <xf numFmtId="0" fontId="1" fillId="0" borderId="1" xfId="0" applyFont="1" applyFill="1" applyBorder="1" applyAlignment="1"/>
    <xf numFmtId="0" fontId="5" fillId="0" borderId="1" xfId="0" applyFont="1" applyFill="1" applyBorder="1" applyAlignment="1"/>
    <xf numFmtId="0" fontId="3" fillId="0" borderId="0" xfId="0" applyFont="1" applyFill="1" applyBorder="1" applyAlignment="1"/>
    <xf numFmtId="0" fontId="5" fillId="0" borderId="0" xfId="0" applyFont="1" applyFill="1" applyBorder="1" applyAlignment="1"/>
    <xf numFmtId="0" fontId="7" fillId="0" borderId="1" xfId="0" applyFont="1" applyBorder="1" applyAlignment="1">
      <alignment vertical="center"/>
    </xf>
    <xf numFmtId="0" fontId="1" fillId="0" borderId="0" xfId="0" applyFont="1" applyFill="1" applyBorder="1" applyAlignment="1"/>
    <xf numFmtId="0" fontId="1" fillId="0" borderId="2" xfId="0" applyFont="1" applyFill="1" applyBorder="1" applyAlignment="1"/>
    <xf numFmtId="0" fontId="1" fillId="0" borderId="3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/>
    <xf numFmtId="0" fontId="9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/>
    <xf numFmtId="180" fontId="10" fillId="0" borderId="1" xfId="0" applyNumberFormat="1" applyFont="1" applyFill="1" applyBorder="1" applyAlignment="1"/>
    <xf numFmtId="2" fontId="10" fillId="0" borderId="1" xfId="0" applyNumberFormat="1" applyFont="1" applyFill="1" applyBorder="1" applyAlignment="1"/>
    <xf numFmtId="181" fontId="10" fillId="7" borderId="1" xfId="0" applyNumberFormat="1" applyFont="1" applyFill="1" applyBorder="1" applyAlignment="1"/>
    <xf numFmtId="1" fontId="10" fillId="0" borderId="1" xfId="0" applyNumberFormat="1" applyFont="1" applyFill="1" applyBorder="1" applyAlignment="1"/>
    <xf numFmtId="0" fontId="10" fillId="0" borderId="1" xfId="0" applyNumberFormat="1" applyFont="1" applyFill="1" applyBorder="1" applyAlignment="1" applyProtection="1"/>
    <xf numFmtId="10" fontId="10" fillId="0" borderId="1" xfId="0" applyNumberFormat="1" applyFont="1" applyFill="1" applyBorder="1" applyAlignment="1"/>
    <xf numFmtId="0" fontId="8" fillId="0" borderId="1" xfId="0" applyNumberFormat="1" applyFont="1" applyFill="1" applyBorder="1" applyAlignment="1"/>
    <xf numFmtId="0" fontId="8" fillId="8" borderId="1" xfId="0" applyFont="1" applyFill="1" applyBorder="1" applyAlignment="1">
      <alignment horizontal="center"/>
    </xf>
    <xf numFmtId="0" fontId="8" fillId="8" borderId="1" xfId="0" applyFont="1" applyFill="1" applyBorder="1" applyAlignment="1"/>
    <xf numFmtId="2" fontId="8" fillId="8" borderId="1" xfId="0" applyNumberFormat="1" applyFont="1" applyFill="1" applyBorder="1" applyAlignment="1"/>
    <xf numFmtId="182" fontId="8" fillId="8" borderId="1" xfId="0" applyNumberFormat="1" applyFont="1" applyFill="1" applyBorder="1" applyAlignment="1"/>
    <xf numFmtId="0" fontId="8" fillId="6" borderId="1" xfId="0" applyFont="1" applyFill="1" applyBorder="1" applyAlignment="1"/>
    <xf numFmtId="0" fontId="1" fillId="9" borderId="1" xfId="0" applyFont="1" applyFill="1" applyBorder="1" applyAlignment="1"/>
    <xf numFmtId="0" fontId="7" fillId="9" borderId="1" xfId="0" applyFont="1" applyFill="1" applyBorder="1" applyAlignment="1">
      <alignment vertical="center"/>
    </xf>
    <xf numFmtId="0" fontId="5" fillId="9" borderId="1" xfId="0" applyFont="1" applyFill="1" applyBorder="1" applyAlignment="1"/>
    <xf numFmtId="2" fontId="10" fillId="0" borderId="0" xfId="0" applyNumberFormat="1" applyFont="1" applyFill="1" applyBorder="1" applyAlignment="1"/>
    <xf numFmtId="180" fontId="10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10" fillId="0" borderId="0" xfId="0" applyFont="1" applyFill="1" applyAlignment="1"/>
    <xf numFmtId="0" fontId="2" fillId="0" borderId="0" xfId="0" applyFont="1">
      <alignment vertic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1" fillId="0" borderId="7" xfId="0" applyFont="1" applyFill="1" applyBorder="1" applyAlignment="1"/>
    <xf numFmtId="0" fontId="9" fillId="3" borderId="8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7" fillId="9" borderId="1" xfId="0" applyFont="1" applyFill="1" applyBorder="1">
      <alignment vertical="center"/>
    </xf>
    <xf numFmtId="0" fontId="6" fillId="0" borderId="1" xfId="0" applyFont="1" applyFill="1" applyBorder="1" applyAlignment="1" quotePrefix="1"/>
    <xf numFmtId="0" fontId="8" fillId="0" borderId="1" xfId="0" applyNumberFormat="1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theme/theme1.xml" Type="http://schemas.openxmlformats.org/officeDocument/2006/relationships/theme"/><Relationship Id="rId17" Target="sharedStrings.xml" Type="http://schemas.openxmlformats.org/officeDocument/2006/relationships/sharedStrings"/><Relationship Id="rId18" Target="styles.xml" Type="http://schemas.openxmlformats.org/officeDocument/2006/relationships/style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9"/>
  <sheetViews>
    <sheetView zoomScale="61" zoomScaleNormal="61" topLeftCell="A34" workbookViewId="0">
      <selection activeCell="I65" sqref="I65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t="s" s="1">
        <v>125</v>
      </c>
      <c r="J3" s="8">
        <f>I3+H3</f>
        <v>231</v>
      </c>
      <c r="K3" t="s" s="1">
        <v>21</v>
      </c>
      <c r="L3" s="8">
        <f>(K3+L68)/2</f>
        <v>420</v>
      </c>
      <c r="M3" s="9">
        <f>L68</f>
        <v>420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178</v>
      </c>
      <c r="I11" t="s" s="1">
        <v>70</v>
      </c>
      <c r="J11" s="8">
        <f>H11-I11</f>
        <v>998329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178</v>
      </c>
      <c r="I12" t="s" s="1">
        <v>70</v>
      </c>
      <c r="J12" s="8">
        <f>H12-I12</f>
        <v>998370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180</v>
      </c>
      <c r="I13" t="s" s="1">
        <v>74</v>
      </c>
      <c r="J13" s="8">
        <f>H13-I13</f>
        <v>998401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t="s" s="1">
        <v>180</v>
      </c>
      <c r="I14" t="s" s="1">
        <v>74</v>
      </c>
      <c r="J14" s="8">
        <f>H14-I14</f>
        <v>998401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t="s" s="1">
        <v>180</v>
      </c>
      <c r="I15" t="s" s="1">
        <v>74</v>
      </c>
      <c r="J15" s="8">
        <f t="shared" ref="J12:J31" si="0">H15-I15</f>
        <v>998401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t="s" s="1">
        <v>180</v>
      </c>
      <c r="I16" t="s" s="1">
        <v>74</v>
      </c>
      <c r="J16" s="8">
        <f t="shared" si="0"/>
        <v>998401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t="s" s="1">
        <v>180</v>
      </c>
      <c r="I17" t="s" s="1">
        <v>74</v>
      </c>
      <c r="J17" s="8">
        <f t="shared" si="0"/>
        <v>998401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t="s" s="1">
        <v>181</v>
      </c>
      <c r="I18" t="s" s="1">
        <v>81</v>
      </c>
      <c r="J18" s="8">
        <f t="shared" si="0"/>
        <v>99928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t="s" s="1">
        <v>181</v>
      </c>
      <c r="I19" t="s" s="1">
        <v>81</v>
      </c>
      <c r="J19" s="8">
        <f t="shared" si="0"/>
        <v>99928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t="s" s="1">
        <v>181</v>
      </c>
      <c r="I20" t="s" s="1">
        <v>81</v>
      </c>
      <c r="J20" s="8">
        <f t="shared" si="0"/>
        <v>99928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t="s" s="1">
        <v>181</v>
      </c>
      <c r="I21" t="s" s="1">
        <v>81</v>
      </c>
      <c r="J21" s="8">
        <f t="shared" si="0"/>
        <v>99928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t="s" s="1">
        <v>181</v>
      </c>
      <c r="I22" t="s" s="1">
        <v>81</v>
      </c>
      <c r="J22" s="8">
        <f t="shared" si="0"/>
        <v>99928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t="s" s="1">
        <v>181</v>
      </c>
      <c r="I23" t="s" s="1">
        <v>81</v>
      </c>
      <c r="J23" s="8">
        <f t="shared" si="0"/>
        <v>99928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t="s" s="1">
        <v>181</v>
      </c>
      <c r="I24" t="s" s="1">
        <v>81</v>
      </c>
      <c r="J24" s="8">
        <f t="shared" si="0"/>
        <v>99928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t="s" s="1">
        <v>123</v>
      </c>
      <c r="I25" t="s" s="1">
        <v>134</v>
      </c>
      <c r="J25" s="8">
        <f t="shared" si="0"/>
        <v>99931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t="s" s="1">
        <v>123</v>
      </c>
      <c r="I26" t="s" s="1">
        <v>134</v>
      </c>
      <c r="J26" s="8">
        <f t="shared" si="0"/>
        <v>99931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t="s" s="1">
        <v>123</v>
      </c>
      <c r="I27" t="s" s="1">
        <v>134</v>
      </c>
      <c r="J27" s="8">
        <f t="shared" si="0"/>
        <v>99931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t="s" s="1">
        <v>123</v>
      </c>
      <c r="I28" t="s" s="1">
        <v>134</v>
      </c>
      <c r="J28" s="8">
        <f t="shared" si="0"/>
        <v>99931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t="s" s="1">
        <v>123</v>
      </c>
      <c r="I29" t="s" s="1">
        <v>134</v>
      </c>
      <c r="J29" s="8">
        <f t="shared" si="0"/>
        <v>99931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t="s" s="1">
        <v>123</v>
      </c>
      <c r="I30" t="s" s="1">
        <v>134</v>
      </c>
      <c r="J30" s="8">
        <f t="shared" si="0"/>
        <v>99931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96</v>
      </c>
      <c r="F31" s="49" t="s">
        <v>14</v>
      </c>
      <c r="G31" s="49" t="s">
        <v>68</v>
      </c>
      <c r="H31" t="s" s="1">
        <v>123</v>
      </c>
      <c r="I31" t="s" s="1">
        <v>134</v>
      </c>
      <c r="J31" s="49">
        <f t="shared" si="0"/>
        <v>99931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1"/>
      <c r="I32" s="1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H33" s="1"/>
      <c r="I33" s="1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98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>
        <f>K36</f>
        <v>3</v>
      </c>
      <c r="O36" t="s" s="1">
        <v>178</v>
      </c>
      <c r="P36" s="8">
        <f>O36-I36</f>
        <v>998349</v>
      </c>
      <c r="Q36" s="8">
        <f>-I36</f>
        <v>-3</v>
      </c>
      <c r="R36" s="8">
        <f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>
        <f t="shared" ref="N37:N42" si="2">K37</f>
        <v>3</v>
      </c>
      <c r="O37" t="s" s="1">
        <v>178</v>
      </c>
      <c r="P37" s="8">
        <f t="shared" ref="P37:P42" si="3">O37-I37</f>
        <v>998349</v>
      </c>
      <c r="Q37" s="8">
        <f t="shared" ref="Q37:Q42" si="4">-I37</f>
        <v>-3</v>
      </c>
      <c r="R37" s="8">
        <f t="shared" ref="R37:R42" si="5">I37</f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>
        <f t="shared" si="2"/>
        <v>3</v>
      </c>
      <c r="O38" t="s" s="1">
        <v>180</v>
      </c>
      <c r="P38" s="8">
        <f t="shared" si="3"/>
        <v>998380</v>
      </c>
      <c r="Q38" s="8">
        <f t="shared" si="4"/>
        <v>-3</v>
      </c>
      <c r="R38" s="8">
        <f t="shared" si="5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75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>
        <f t="shared" si="2"/>
        <v>3</v>
      </c>
      <c r="O39" t="s" s="1">
        <v>180</v>
      </c>
      <c r="P39" s="8">
        <f t="shared" si="3"/>
        <v>998380</v>
      </c>
      <c r="Q39" s="8">
        <f t="shared" si="4"/>
        <v>-3</v>
      </c>
      <c r="R39" s="8">
        <f t="shared" si="5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76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>
        <f t="shared" si="2"/>
        <v>3</v>
      </c>
      <c r="O40" t="s" s="1">
        <v>180</v>
      </c>
      <c r="P40" s="8">
        <f t="shared" si="3"/>
        <v>998380</v>
      </c>
      <c r="Q40" s="8">
        <f t="shared" si="4"/>
        <v>-3</v>
      </c>
      <c r="R40" s="8">
        <f t="shared" si="5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77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>
        <f t="shared" si="2"/>
        <v>3</v>
      </c>
      <c r="O41" t="s" s="1">
        <v>180</v>
      </c>
      <c r="P41" s="8">
        <f t="shared" si="3"/>
        <v>998380</v>
      </c>
      <c r="Q41" s="8">
        <f t="shared" si="4"/>
        <v>-3</v>
      </c>
      <c r="R41" s="8">
        <f t="shared" si="5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78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>
        <f t="shared" si="2"/>
        <v>3</v>
      </c>
      <c r="O42" t="s" s="1">
        <v>180</v>
      </c>
      <c r="P42" s="8">
        <f t="shared" si="3"/>
        <v>998380</v>
      </c>
      <c r="Q42" s="8">
        <f t="shared" si="4"/>
        <v>-3</v>
      </c>
      <c r="R42" s="8">
        <f t="shared" si="5"/>
        <v>3</v>
      </c>
    </row>
    <row r="43" spans="1:18">
      <c r="A43" s="36" t="s">
        <v>116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1"/>
      <c r="P43" s="36"/>
      <c r="Q43" s="36"/>
      <c r="R43" s="36"/>
    </row>
    <row r="44" spans="1:18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"/>
      <c r="P44" s="18"/>
      <c r="Q44" s="18"/>
      <c r="R44" s="18"/>
    </row>
    <row r="45" spans="1:18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1"/>
      <c r="P45" s="5" t="s">
        <v>113</v>
      </c>
      <c r="Q45" s="5" t="s">
        <v>114</v>
      </c>
      <c r="R45" s="5" t="s">
        <v>115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4" si="6">L46*K46</f>
        <v>60</v>
      </c>
      <c r="N46" s="8">
        <f>K46</f>
        <v>3</v>
      </c>
      <c r="O46" t="s" s="1">
        <v>181</v>
      </c>
      <c r="P46" s="8">
        <f>O46-I46</f>
        <v>-3</v>
      </c>
      <c r="Q46" s="8">
        <f>-I46</f>
        <v>-3</v>
      </c>
      <c r="R46" s="8">
        <f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>
        <f t="shared" ref="N47:N52" si="7">K47</f>
        <v>3</v>
      </c>
      <c r="O47" t="s" s="1">
        <v>181</v>
      </c>
      <c r="P47" s="8">
        <f t="shared" ref="P47:P52" si="8">O47-I47</f>
        <v>-3</v>
      </c>
      <c r="Q47" s="8">
        <f t="shared" ref="Q47:Q52" si="9">-I47</f>
        <v>-3</v>
      </c>
      <c r="R47" s="8">
        <f t="shared" ref="R47:R52" si="10">I47</f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>
        <f t="shared" si="7"/>
        <v>3</v>
      </c>
      <c r="O48" t="s" s="1">
        <v>181</v>
      </c>
      <c r="P48" s="8">
        <f t="shared" si="8"/>
        <v>-3</v>
      </c>
      <c r="Q48" s="8">
        <f t="shared" si="9"/>
        <v>-3</v>
      </c>
      <c r="R48" s="8">
        <f t="shared" si="10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>
        <f t="shared" si="7"/>
        <v>3</v>
      </c>
      <c r="O49" t="s" s="1">
        <v>181</v>
      </c>
      <c r="P49" s="8">
        <f t="shared" si="8"/>
        <v>-3</v>
      </c>
      <c r="Q49" s="8">
        <f t="shared" si="9"/>
        <v>-3</v>
      </c>
      <c r="R49" s="8">
        <f t="shared" si="10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>
        <f t="shared" si="7"/>
        <v>3</v>
      </c>
      <c r="O50" t="s" s="1">
        <v>181</v>
      </c>
      <c r="P50" s="8">
        <f t="shared" si="8"/>
        <v>-3</v>
      </c>
      <c r="Q50" s="8">
        <f t="shared" si="9"/>
        <v>-3</v>
      </c>
      <c r="R50" s="8">
        <f t="shared" si="10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>
        <f t="shared" si="7"/>
        <v>3</v>
      </c>
      <c r="O51" t="s" s="1">
        <v>181</v>
      </c>
      <c r="P51" s="8">
        <f t="shared" si="8"/>
        <v>-3</v>
      </c>
      <c r="Q51" s="8">
        <f t="shared" si="9"/>
        <v>-3</v>
      </c>
      <c r="R51" s="8">
        <f t="shared" si="10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>
        <f t="shared" si="7"/>
        <v>3</v>
      </c>
      <c r="O52" t="s" s="1">
        <v>181</v>
      </c>
      <c r="P52" s="8">
        <f t="shared" si="8"/>
        <v>-3</v>
      </c>
      <c r="Q52" s="8">
        <f t="shared" si="9"/>
        <v>-3</v>
      </c>
      <c r="R52" s="8">
        <f t="shared" si="10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47" t="s">
        <v>18</v>
      </c>
      <c r="F53" s="8" t="s">
        <v>14</v>
      </c>
      <c r="G53" s="8" t="s">
        <v>52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6"/>
        <v>420</v>
      </c>
      <c r="N53" s="8"/>
      <c r="O53" s="1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53"/>
      <c r="G54" s="36"/>
      <c r="H54" s="53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1"/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1"/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>L57*K57</f>
        <v>60</v>
      </c>
      <c r="N57" s="8">
        <f>K57</f>
        <v>3</v>
      </c>
      <c r="O57" t="s" s="1">
        <v>123</v>
      </c>
      <c r="P57" s="8">
        <f>O57-I57</f>
        <v>-3</v>
      </c>
      <c r="Q57" s="8">
        <f>-I57</f>
        <v>-3</v>
      </c>
      <c r="R57" s="8">
        <f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>L58*K58</f>
        <v>60</v>
      </c>
      <c r="N58" s="8">
        <f t="shared" ref="N58:N63" si="11">K58</f>
        <v>3</v>
      </c>
      <c r="O58" t="s" s="1">
        <v>123</v>
      </c>
      <c r="P58" s="8">
        <f t="shared" ref="P58:P63" si="12">O58-I58</f>
        <v>-3</v>
      </c>
      <c r="Q58" s="8">
        <f t="shared" ref="Q58:Q63" si="13">-I58</f>
        <v>-3</v>
      </c>
      <c r="R58" s="8">
        <f t="shared" ref="R58:R63" si="14">I58</f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ref="M59:M64" si="15">L59*K59</f>
        <v>60</v>
      </c>
      <c r="N59" s="8">
        <f t="shared" si="11"/>
        <v>3</v>
      </c>
      <c r="O59" t="s" s="1">
        <v>123</v>
      </c>
      <c r="P59" s="8">
        <f t="shared" si="12"/>
        <v>-3</v>
      </c>
      <c r="Q59" s="8">
        <f t="shared" si="13"/>
        <v>-3</v>
      </c>
      <c r="R59" s="8">
        <f t="shared" si="14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>
        <f t="shared" si="11"/>
        <v>3</v>
      </c>
      <c r="O60" t="s" s="1">
        <v>123</v>
      </c>
      <c r="P60" s="8">
        <f t="shared" si="12"/>
        <v>-3</v>
      </c>
      <c r="Q60" s="8">
        <f t="shared" si="13"/>
        <v>-3</v>
      </c>
      <c r="R60" s="8">
        <f t="shared" si="14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48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>
        <f t="shared" si="11"/>
        <v>3</v>
      </c>
      <c r="O61" t="s" s="1">
        <v>123</v>
      </c>
      <c r="P61" s="8">
        <f t="shared" si="12"/>
        <v>-3</v>
      </c>
      <c r="Q61" s="8">
        <f t="shared" si="13"/>
        <v>-3</v>
      </c>
      <c r="R61" s="8">
        <f t="shared" si="14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48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>
        <f t="shared" si="11"/>
        <v>3</v>
      </c>
      <c r="O62" t="s" s="1">
        <v>123</v>
      </c>
      <c r="P62" s="8">
        <f t="shared" si="12"/>
        <v>-3</v>
      </c>
      <c r="Q62" s="8">
        <f t="shared" si="13"/>
        <v>-3</v>
      </c>
      <c r="R62" s="8">
        <f t="shared" si="14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48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>
        <f t="shared" si="11"/>
        <v>3</v>
      </c>
      <c r="O63" t="s" s="1">
        <v>123</v>
      </c>
      <c r="P63" s="8">
        <f t="shared" si="12"/>
        <v>-3</v>
      </c>
      <c r="Q63" s="8">
        <f t="shared" si="13"/>
        <v>-3</v>
      </c>
      <c r="R63" s="8">
        <f t="shared" si="14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47" t="s">
        <v>18</v>
      </c>
      <c r="F64" s="8" t="s">
        <v>14</v>
      </c>
      <c r="G64" s="8" t="s">
        <v>52</v>
      </c>
      <c r="H64" s="48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O64" s="1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53"/>
      <c r="G65" s="36"/>
      <c r="H65" s="53" t="s">
        <v>52</v>
      </c>
      <c r="I65" s="53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1"/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1"/>
      <c r="P66" s="8"/>
      <c r="Q66" s="8"/>
      <c r="R66" s="8"/>
    </row>
    <row r="67">
      <c r="O67" s="1"/>
    </row>
    <row r="68" spans="1:18">
      <c r="K68" s="9" t="s">
        <v>109</v>
      </c>
      <c r="L68" s="9">
        <f>L69/H3</f>
        <v>420</v>
      </c>
      <c r="O68" s="1"/>
    </row>
    <row r="69" spans="1:18">
      <c r="K69" s="9" t="s">
        <v>120</v>
      </c>
      <c r="L69" s="9">
        <f>M65+AG7</f>
        <v>1260</v>
      </c>
      <c r="O69" s="1"/>
    </row>
  </sheetData>
  <mergeCells count="8">
    <mergeCell ref="A1:M1"/>
    <mergeCell ref="A4:L4"/>
    <mergeCell ref="V4:AG4"/>
    <mergeCell ref="A9:L9"/>
    <mergeCell ref="A33:R33"/>
    <mergeCell ref="A34:R34"/>
    <mergeCell ref="A44:R44"/>
    <mergeCell ref="A55:R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5"/>
  <sheetViews>
    <sheetView zoomScale="61" zoomScaleNormal="61" topLeftCell="A28" workbookViewId="0">
      <selection activeCell="G42" sqref="G42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t="s" s="1">
        <v>182</v>
      </c>
      <c r="J3" s="8">
        <f>I3+H3</f>
        <v>189</v>
      </c>
      <c r="K3" t="s" s="1">
        <v>21</v>
      </c>
      <c r="L3" s="8">
        <f>(K3+L64)/2</f>
        <v>420</v>
      </c>
      <c r="M3" s="9">
        <f>L64</f>
        <v>420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183</v>
      </c>
      <c r="I11" t="s" s="1">
        <v>70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183</v>
      </c>
      <c r="I12" t="s" s="1">
        <v>70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184</v>
      </c>
      <c r="I13" t="s" s="1">
        <v>74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t="s" s="1">
        <v>184</v>
      </c>
      <c r="I14" t="s" s="1">
        <v>74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t="s" s="1">
        <v>184</v>
      </c>
      <c r="I15" t="s" s="1">
        <v>74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t="s" s="1">
        <v>184</v>
      </c>
      <c r="I16" t="s" s="1">
        <v>74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t="s" s="1">
        <v>184</v>
      </c>
      <c r="I17" t="s" s="1">
        <v>74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t="s" s="1">
        <v>185</v>
      </c>
      <c r="I18" t="s" s="1">
        <v>81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t="s" s="1">
        <v>185</v>
      </c>
      <c r="I19" t="s" s="1">
        <v>81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t="s" s="1">
        <v>185</v>
      </c>
      <c r="I20" t="s" s="1">
        <v>81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t="s" s="1">
        <v>185</v>
      </c>
      <c r="I21" t="s" s="1">
        <v>81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t="s" s="1">
        <v>185</v>
      </c>
      <c r="I22" t="s" s="1">
        <v>81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t="s" s="1">
        <v>185</v>
      </c>
      <c r="I23" t="s" s="1">
        <v>81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t="s" s="1">
        <v>185</v>
      </c>
      <c r="I24" t="s" s="1">
        <v>81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t="s" s="1">
        <v>128</v>
      </c>
      <c r="I25" t="s" s="1">
        <v>90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t="s" s="1">
        <v>128</v>
      </c>
      <c r="I26" t="s" s="1">
        <v>90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t="s" s="1">
        <v>128</v>
      </c>
      <c r="I27" t="s" s="1">
        <v>90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t="s" s="1">
        <v>128</v>
      </c>
      <c r="I28" t="s" s="1">
        <v>90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t="s" s="1">
        <v>128</v>
      </c>
      <c r="I29" t="s" s="1">
        <v>90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t="s" s="1">
        <v>128</v>
      </c>
      <c r="I30" t="s" s="1">
        <v>90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96</v>
      </c>
      <c r="F31" s="49" t="s">
        <v>14</v>
      </c>
      <c r="G31" s="49" t="s">
        <v>68</v>
      </c>
      <c r="H31" t="s" s="1">
        <v>128</v>
      </c>
      <c r="I31" t="s" s="1">
        <v>90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1"/>
      <c r="I32" s="1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H33" s="1"/>
      <c r="I33" s="1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98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>
        <f>K36</f>
        <v>3</v>
      </c>
      <c r="O36" t="s" s="1">
        <v>183</v>
      </c>
      <c r="P36" s="8">
        <f t="shared" ref="P36:P42" si="2">O36-I36</f>
        <v>998346</v>
      </c>
      <c r="Q36" s="8">
        <f t="shared" ref="Q36:Q42" si="3">-I36</f>
        <v>-3</v>
      </c>
      <c r="R36" s="8">
        <f t="shared" ref="R36:R42" si="4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>
        <f t="shared" ref="N37:N42" si="5">K37</f>
        <v>3</v>
      </c>
      <c r="O37" t="s" s="1">
        <v>183</v>
      </c>
      <c r="P37" s="8">
        <f t="shared" si="2"/>
        <v>998346</v>
      </c>
      <c r="Q37" s="8">
        <f t="shared" si="3"/>
        <v>-3</v>
      </c>
      <c r="R37" s="8">
        <f t="shared" si="4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>
        <f t="shared" si="5"/>
        <v>3</v>
      </c>
      <c r="O38" t="s" s="1">
        <v>184</v>
      </c>
      <c r="P38" s="8">
        <f t="shared" si="2"/>
        <v>998377</v>
      </c>
      <c r="Q38" s="8">
        <f t="shared" si="3"/>
        <v>-3</v>
      </c>
      <c r="R38" s="8">
        <f t="shared" si="4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75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>
        <f t="shared" si="5"/>
        <v>3</v>
      </c>
      <c r="O39" t="s" s="1">
        <v>184</v>
      </c>
      <c r="P39" s="8">
        <f t="shared" si="2"/>
        <v>998377</v>
      </c>
      <c r="Q39" s="8">
        <f t="shared" si="3"/>
        <v>-3</v>
      </c>
      <c r="R39" s="8">
        <f t="shared" si="4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76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>
        <f t="shared" si="5"/>
        <v>3</v>
      </c>
      <c r="O40" t="s" s="1">
        <v>184</v>
      </c>
      <c r="P40" s="8">
        <f t="shared" si="2"/>
        <v>998377</v>
      </c>
      <c r="Q40" s="8">
        <f t="shared" si="3"/>
        <v>-3</v>
      </c>
      <c r="R40" s="8">
        <f t="shared" si="4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77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>
        <f t="shared" si="5"/>
        <v>3</v>
      </c>
      <c r="O41" t="s" s="1">
        <v>184</v>
      </c>
      <c r="P41" s="8">
        <f t="shared" si="2"/>
        <v>998377</v>
      </c>
      <c r="Q41" s="8">
        <f t="shared" si="3"/>
        <v>-3</v>
      </c>
      <c r="R41" s="8">
        <f t="shared" si="4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78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>
        <f t="shared" si="5"/>
        <v>3</v>
      </c>
      <c r="O42" t="s" s="1">
        <v>184</v>
      </c>
      <c r="P42" s="8">
        <f t="shared" si="2"/>
        <v>998377</v>
      </c>
      <c r="Q42" s="8">
        <f t="shared" si="3"/>
        <v>-3</v>
      </c>
      <c r="R42" s="8">
        <f t="shared" si="4"/>
        <v>3</v>
      </c>
    </row>
    <row r="43" spans="1:18">
      <c r="A43" s="36" t="s">
        <v>116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1"/>
      <c r="P43" s="36"/>
      <c r="Q43" s="36"/>
      <c r="R43" s="36"/>
    </row>
    <row r="44" spans="1:18">
      <c r="A44" s="18" t="s">
        <v>124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"/>
      <c r="P44" s="18"/>
      <c r="Q44" s="18"/>
      <c r="R44" s="18"/>
    </row>
    <row r="45" spans="1:18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1"/>
      <c r="P45" s="5" t="s">
        <v>113</v>
      </c>
      <c r="Q45" s="5" t="s">
        <v>114</v>
      </c>
      <c r="R45" s="5" t="s">
        <v>115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6">L46*K46</f>
        <v>60</v>
      </c>
      <c r="N46" s="8">
        <f>K46</f>
        <v>3</v>
      </c>
      <c r="O46" t="s" s="1">
        <v>185</v>
      </c>
      <c r="P46" s="8">
        <f>O46-I46</f>
        <v>99922</v>
      </c>
      <c r="Q46" s="8">
        <f t="shared" ref="Q46:Q52" si="7">-I46</f>
        <v>-3</v>
      </c>
      <c r="R46" s="8">
        <f t="shared" ref="R46:R52" si="8"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>
        <f t="shared" ref="N47:N59" si="9">K47</f>
        <v>3</v>
      </c>
      <c r="O47" t="s" s="1">
        <v>185</v>
      </c>
      <c r="P47" s="8">
        <f t="shared" ref="P47:P59" si="10">O47-I47</f>
        <v>99922</v>
      </c>
      <c r="Q47" s="8">
        <f t="shared" si="7"/>
        <v>-3</v>
      </c>
      <c r="R47" s="8">
        <f t="shared" si="8"/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>
        <f t="shared" si="9"/>
        <v>3</v>
      </c>
      <c r="O48" t="s" s="1">
        <v>185</v>
      </c>
      <c r="P48" s="8">
        <f t="shared" si="10"/>
        <v>99922</v>
      </c>
      <c r="Q48" s="8">
        <f t="shared" si="7"/>
        <v>-3</v>
      </c>
      <c r="R48" s="8">
        <f t="shared" si="8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>
        <f t="shared" si="9"/>
        <v>3</v>
      </c>
      <c r="O49" t="s" s="1">
        <v>185</v>
      </c>
      <c r="P49" s="8">
        <f t="shared" si="10"/>
        <v>99922</v>
      </c>
      <c r="Q49" s="8">
        <f t="shared" si="7"/>
        <v>-3</v>
      </c>
      <c r="R49" s="8">
        <f t="shared" si="8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>
        <f t="shared" si="9"/>
        <v>3</v>
      </c>
      <c r="O50" t="s" s="1">
        <v>185</v>
      </c>
      <c r="P50" s="8">
        <f t="shared" si="10"/>
        <v>99922</v>
      </c>
      <c r="Q50" s="8">
        <f t="shared" si="7"/>
        <v>-3</v>
      </c>
      <c r="R50" s="8">
        <f t="shared" si="8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>
        <f t="shared" si="9"/>
        <v>3</v>
      </c>
      <c r="O51" t="s" s="1">
        <v>185</v>
      </c>
      <c r="P51" s="8">
        <f t="shared" si="10"/>
        <v>99922</v>
      </c>
      <c r="Q51" s="8">
        <f t="shared" si="7"/>
        <v>-3</v>
      </c>
      <c r="R51" s="8">
        <f t="shared" si="8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>
        <f t="shared" si="9"/>
        <v>3</v>
      </c>
      <c r="O52" t="s" s="1">
        <v>185</v>
      </c>
      <c r="P52" s="8">
        <f t="shared" si="10"/>
        <v>99922</v>
      </c>
      <c r="Q52" s="8">
        <f t="shared" si="7"/>
        <v>-3</v>
      </c>
      <c r="R52" s="8">
        <f t="shared" si="8"/>
        <v>3</v>
      </c>
    </row>
    <row r="53" spans="1:18">
      <c r="A53" s="8">
        <v>3</v>
      </c>
      <c r="B53" s="8">
        <v>8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1">L53*K53</f>
        <v>60</v>
      </c>
      <c r="N53" s="8">
        <f t="shared" si="9"/>
        <v>3</v>
      </c>
      <c r="O53" t="s" s="1">
        <v>128</v>
      </c>
      <c r="P53" s="8">
        <f t="shared" si="10"/>
        <v>99925</v>
      </c>
      <c r="Q53" s="8">
        <f t="shared" ref="Q53:Q59" si="12">-I53</f>
        <v>-3</v>
      </c>
      <c r="R53" s="8">
        <f t="shared" ref="R53:R59" si="13">I53</f>
        <v>3</v>
      </c>
    </row>
    <row r="54" spans="1:18">
      <c r="A54" s="8">
        <v>3</v>
      </c>
      <c r="B54" s="8">
        <v>9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1"/>
        <v>60</v>
      </c>
      <c r="N54" s="8">
        <f t="shared" si="9"/>
        <v>3</v>
      </c>
      <c r="O54" t="s" s="1">
        <v>128</v>
      </c>
      <c r="P54" s="8">
        <f t="shared" si="10"/>
        <v>99925</v>
      </c>
      <c r="Q54" s="8">
        <f t="shared" si="12"/>
        <v>-3</v>
      </c>
      <c r="R54" s="8">
        <f t="shared" si="13"/>
        <v>3</v>
      </c>
    </row>
    <row r="55" spans="1:18">
      <c r="A55" s="8">
        <v>3</v>
      </c>
      <c r="B55" s="8">
        <v>10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1"/>
        <v>60</v>
      </c>
      <c r="N55" s="8">
        <f t="shared" si="9"/>
        <v>3</v>
      </c>
      <c r="O55" t="s" s="1">
        <v>128</v>
      </c>
      <c r="P55" s="8">
        <f t="shared" si="10"/>
        <v>99925</v>
      </c>
      <c r="Q55" s="8">
        <f t="shared" si="12"/>
        <v>-3</v>
      </c>
      <c r="R55" s="8">
        <f t="shared" si="13"/>
        <v>3</v>
      </c>
    </row>
    <row r="56" spans="1:18">
      <c r="A56" s="8">
        <v>3</v>
      </c>
      <c r="B56" s="8">
        <v>11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1"/>
        <v>60</v>
      </c>
      <c r="N56" s="8">
        <f t="shared" si="9"/>
        <v>3</v>
      </c>
      <c r="O56" t="s" s="1">
        <v>128</v>
      </c>
      <c r="P56" s="8">
        <f t="shared" si="10"/>
        <v>99925</v>
      </c>
      <c r="Q56" s="8">
        <f t="shared" si="12"/>
        <v>-3</v>
      </c>
      <c r="R56" s="8">
        <f t="shared" si="13"/>
        <v>3</v>
      </c>
    </row>
    <row r="57" spans="1:18">
      <c r="A57" s="8">
        <v>3</v>
      </c>
      <c r="B57" s="8">
        <v>12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1"/>
        <v>60</v>
      </c>
      <c r="N57" s="8">
        <f t="shared" si="9"/>
        <v>3</v>
      </c>
      <c r="O57" t="s" s="1">
        <v>128</v>
      </c>
      <c r="P57" s="8">
        <f t="shared" si="10"/>
        <v>99925</v>
      </c>
      <c r="Q57" s="8">
        <f t="shared" si="12"/>
        <v>-3</v>
      </c>
      <c r="R57" s="8">
        <f t="shared" si="13"/>
        <v>3</v>
      </c>
    </row>
    <row r="58" spans="1:18">
      <c r="A58" s="8">
        <v>3</v>
      </c>
      <c r="B58" s="8">
        <v>13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1"/>
        <v>60</v>
      </c>
      <c r="N58" s="8">
        <f t="shared" si="9"/>
        <v>3</v>
      </c>
      <c r="O58" t="s" s="1">
        <v>128</v>
      </c>
      <c r="P58" s="8">
        <f t="shared" si="10"/>
        <v>99925</v>
      </c>
      <c r="Q58" s="8">
        <f t="shared" si="12"/>
        <v>-3</v>
      </c>
      <c r="R58" s="8">
        <f t="shared" si="13"/>
        <v>3</v>
      </c>
    </row>
    <row r="59" spans="1:18">
      <c r="A59" s="8">
        <v>3</v>
      </c>
      <c r="B59" s="8">
        <v>14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1"/>
        <v>60</v>
      </c>
      <c r="N59" s="8">
        <f t="shared" si="9"/>
        <v>3</v>
      </c>
      <c r="O59" t="s" s="1">
        <v>128</v>
      </c>
      <c r="P59" s="8">
        <f t="shared" si="10"/>
        <v>99925</v>
      </c>
      <c r="Q59" s="8">
        <f t="shared" si="12"/>
        <v>-3</v>
      </c>
      <c r="R59" s="8">
        <f t="shared" si="13"/>
        <v>3</v>
      </c>
    </row>
    <row r="60" spans="1:18">
      <c r="A60" s="8" t="s">
        <v>118</v>
      </c>
      <c r="B60" s="8"/>
      <c r="C60" s="8" t="s">
        <v>54</v>
      </c>
      <c r="D60" s="8" t="s">
        <v>55</v>
      </c>
      <c r="E60" s="47" t="s">
        <v>18</v>
      </c>
      <c r="F60" s="8" t="s">
        <v>14</v>
      </c>
      <c r="G60" s="8" t="s">
        <v>52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11"/>
        <v>420</v>
      </c>
      <c r="N60" s="8"/>
      <c r="O60" s="1"/>
      <c r="P60" s="8"/>
      <c r="Q60" s="8"/>
      <c r="R60" s="8"/>
    </row>
    <row r="61" spans="1:18">
      <c r="A61" s="36" t="s">
        <v>116</v>
      </c>
      <c r="B61" s="36">
        <v>1</v>
      </c>
      <c r="C61" s="36" t="s">
        <v>54</v>
      </c>
      <c r="D61" s="36"/>
      <c r="E61" s="36"/>
      <c r="F61" s="53"/>
      <c r="G61" s="36"/>
      <c r="H61" s="53" t="s">
        <v>52</v>
      </c>
      <c r="I61" s="36">
        <f>H3</f>
        <v>3</v>
      </c>
      <c r="J61" s="36">
        <f>H3</f>
        <v>3</v>
      </c>
      <c r="K61" s="36">
        <f>H3</f>
        <v>3</v>
      </c>
      <c r="L61" s="36">
        <f>SUM(L46:L60)</f>
        <v>420</v>
      </c>
      <c r="M61" s="38">
        <f>SUM(M46:M60)</f>
        <v>1260</v>
      </c>
      <c r="N61" s="38">
        <v>111</v>
      </c>
      <c r="O61" s="1"/>
      <c r="P61" s="36"/>
      <c r="Q61" s="36"/>
      <c r="R61" s="36"/>
    </row>
    <row r="62" spans="1:18">
      <c r="A62" s="8"/>
      <c r="B62" s="8"/>
      <c r="C62" s="8"/>
      <c r="D62" s="8"/>
      <c r="E62" s="8"/>
      <c r="F62" s="8"/>
      <c r="G62" s="8"/>
      <c r="H62" s="8"/>
      <c r="J62" s="8"/>
      <c r="K62" s="8"/>
      <c r="L62" s="8"/>
      <c r="M62" s="8"/>
      <c r="N62" s="8"/>
      <c r="O62" s="1"/>
      <c r="P62" s="8"/>
      <c r="Q62" s="8"/>
      <c r="R62" s="8"/>
    </row>
    <row r="63">
      <c r="O63" s="1"/>
    </row>
    <row r="64" spans="1:18">
      <c r="K64" s="9" t="s">
        <v>109</v>
      </c>
      <c r="L64" s="9">
        <f>L65/H3</f>
        <v>420</v>
      </c>
      <c r="O64" s="1"/>
    </row>
    <row r="65" spans="11:12">
      <c r="K65" s="9" t="s">
        <v>120</v>
      </c>
      <c r="L65" s="9">
        <f>M61+AG7</f>
        <v>1260</v>
      </c>
      <c r="O65" s="1"/>
    </row>
  </sheetData>
  <mergeCells count="7">
    <mergeCell ref="A1:M1"/>
    <mergeCell ref="A4:L4"/>
    <mergeCell ref="V4:AG4"/>
    <mergeCell ref="A9:L9"/>
    <mergeCell ref="A33:R33"/>
    <mergeCell ref="A34:R34"/>
    <mergeCell ref="A44:R4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2"/>
  <sheetViews>
    <sheetView tabSelected="1" zoomScale="61" zoomScaleNormal="61" topLeftCell="A27" workbookViewId="0">
      <selection activeCell="E53" sqref="E53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t="s" s="1">
        <v>186</v>
      </c>
      <c r="J3" s="8">
        <f>I3+H3</f>
        <v>189</v>
      </c>
      <c r="K3" t="s" s="1">
        <v>21</v>
      </c>
      <c r="L3" s="8">
        <f>(K3+L61)/2</f>
        <v>560</v>
      </c>
      <c r="M3" s="9">
        <f>L61</f>
        <v>700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187</v>
      </c>
      <c r="I11" t="s" s="1">
        <v>70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187</v>
      </c>
      <c r="I12" t="s" s="1">
        <v>70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188</v>
      </c>
      <c r="I13" t="s" s="1">
        <v>74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t="s" s="1">
        <v>188</v>
      </c>
      <c r="I14" t="s" s="1">
        <v>74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t="s" s="1">
        <v>188</v>
      </c>
      <c r="I15" t="s" s="1">
        <v>74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t="s" s="1">
        <v>188</v>
      </c>
      <c r="I16" t="s" s="1">
        <v>74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t="s" s="1">
        <v>188</v>
      </c>
      <c r="I17" t="s" s="1">
        <v>74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t="s" s="1">
        <v>189</v>
      </c>
      <c r="I18" t="s" s="1">
        <v>129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t="s" s="1">
        <v>189</v>
      </c>
      <c r="I19" t="s" s="1">
        <v>129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t="s" s="1">
        <v>189</v>
      </c>
      <c r="I20" t="s" s="1">
        <v>129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t="s" s="1">
        <v>189</v>
      </c>
      <c r="I21" t="s" s="1">
        <v>129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t="s" s="1">
        <v>189</v>
      </c>
      <c r="I22" t="s" s="1">
        <v>129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t="s" s="1">
        <v>189</v>
      </c>
      <c r="I23" t="s" s="1">
        <v>129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t="s" s="1">
        <v>189</v>
      </c>
      <c r="I24" t="s" s="1">
        <v>129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t="s" s="1">
        <v>181</v>
      </c>
      <c r="I25" t="s" s="1">
        <v>90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t="s" s="1">
        <v>181</v>
      </c>
      <c r="I26" t="s" s="1">
        <v>90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t="s" s="1">
        <v>181</v>
      </c>
      <c r="I27" t="s" s="1">
        <v>90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t="s" s="1">
        <v>181</v>
      </c>
      <c r="I28" t="s" s="1">
        <v>90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t="s" s="1">
        <v>181</v>
      </c>
      <c r="I29" t="s" s="1">
        <v>90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t="s" s="1">
        <v>181</v>
      </c>
      <c r="I30" t="s" s="1">
        <v>90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96</v>
      </c>
      <c r="F31" s="49" t="s">
        <v>14</v>
      </c>
      <c r="G31" s="49" t="s">
        <v>68</v>
      </c>
      <c r="H31" t="s" s="1">
        <v>181</v>
      </c>
      <c r="I31" t="s" s="1">
        <v>90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1"/>
      <c r="I32" s="1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H33" s="1"/>
      <c r="I33" s="1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130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 t="str">
        <f t="shared" ref="N36:N42" si="2">I11</f>
        <v>3</v>
      </c>
      <c r="O36" t="s" s="1">
        <v>187</v>
      </c>
      <c r="P36" s="8">
        <f t="shared" ref="P36:P42" si="3">O36-I36</f>
        <v>998776</v>
      </c>
      <c r="Q36" s="8">
        <f t="shared" ref="Q36:Q42" si="4">-I36</f>
        <v>-3</v>
      </c>
      <c r="R36" s="8">
        <f t="shared" ref="R36:R42" si="5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 t="str">
        <f t="shared" si="2"/>
        <v>3</v>
      </c>
      <c r="O37" t="s" s="1">
        <v>187</v>
      </c>
      <c r="P37" s="8">
        <f t="shared" si="3"/>
        <v>998776</v>
      </c>
      <c r="Q37" s="8">
        <f t="shared" si="4"/>
        <v>-3</v>
      </c>
      <c r="R37" s="8">
        <f t="shared" si="5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 t="str">
        <f t="shared" si="2"/>
        <v>3</v>
      </c>
      <c r="O38" t="s" s="1">
        <v>188</v>
      </c>
      <c r="P38" s="8">
        <f t="shared" si="3"/>
        <v>998776</v>
      </c>
      <c r="Q38" s="8">
        <f t="shared" si="4"/>
        <v>-3</v>
      </c>
      <c r="R38" s="8">
        <f t="shared" si="5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75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 t="str">
        <f t="shared" si="2"/>
        <v>3</v>
      </c>
      <c r="O39" t="s" s="1">
        <v>188</v>
      </c>
      <c r="P39" s="8">
        <f t="shared" si="3"/>
        <v>998776</v>
      </c>
      <c r="Q39" s="8">
        <f t="shared" si="4"/>
        <v>-3</v>
      </c>
      <c r="R39" s="8">
        <f t="shared" si="5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76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 t="str">
        <f t="shared" si="2"/>
        <v>3</v>
      </c>
      <c r="O40" t="s" s="1">
        <v>188</v>
      </c>
      <c r="P40" s="8">
        <f t="shared" si="3"/>
        <v>998776</v>
      </c>
      <c r="Q40" s="8">
        <f t="shared" si="4"/>
        <v>-3</v>
      </c>
      <c r="R40" s="8">
        <f t="shared" si="5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77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 t="str">
        <f t="shared" si="2"/>
        <v>3</v>
      </c>
      <c r="O41" t="s" s="1">
        <v>188</v>
      </c>
      <c r="P41" s="8">
        <f t="shared" si="3"/>
        <v>998776</v>
      </c>
      <c r="Q41" s="8">
        <f t="shared" si="4"/>
        <v>-3</v>
      </c>
      <c r="R41" s="8">
        <f t="shared" si="5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78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 t="str">
        <f t="shared" si="2"/>
        <v>3</v>
      </c>
      <c r="O42" t="s" s="1">
        <v>188</v>
      </c>
      <c r="P42" s="8">
        <f t="shared" si="3"/>
        <v>998776</v>
      </c>
      <c r="Q42" s="8">
        <f t="shared" si="4"/>
        <v>-3</v>
      </c>
      <c r="R42" s="8">
        <f t="shared" si="5"/>
        <v>3</v>
      </c>
    </row>
    <row r="43" spans="1:18">
      <c r="A43" s="8">
        <v>2</v>
      </c>
      <c r="B43" s="8">
        <v>8</v>
      </c>
      <c r="C43" s="8" t="s">
        <v>54</v>
      </c>
      <c r="D43" s="8" t="s">
        <v>55</v>
      </c>
      <c r="E43" s="12" t="s">
        <v>79</v>
      </c>
      <c r="F43" s="8" t="s">
        <v>14</v>
      </c>
      <c r="G43" s="8" t="s">
        <v>68</v>
      </c>
      <c r="H43" s="48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6">L43*K43</f>
        <v>60</v>
      </c>
      <c r="N43" s="8" t="str">
        <f t="shared" ref="N43:N56" si="7">I18</f>
        <v>3</v>
      </c>
      <c r="O43" t="s" s="1">
        <v>189</v>
      </c>
      <c r="P43" s="8">
        <f t="shared" ref="P43:P56" si="8">O43-I43</f>
        <v>998773</v>
      </c>
      <c r="Q43" s="8">
        <f t="shared" ref="Q43:Q56" si="9">-I43</f>
        <v>-3</v>
      </c>
      <c r="R43" s="8">
        <f t="shared" ref="R43:R56" si="10">I43</f>
        <v>3</v>
      </c>
    </row>
    <row r="44" spans="1:18">
      <c r="A44" s="8">
        <v>2</v>
      </c>
      <c r="B44" s="8">
        <v>9</v>
      </c>
      <c r="C44" s="8" t="s">
        <v>54</v>
      </c>
      <c r="D44" s="8" t="s">
        <v>55</v>
      </c>
      <c r="E44" s="12" t="s">
        <v>82</v>
      </c>
      <c r="F44" s="8" t="s">
        <v>14</v>
      </c>
      <c r="G44" s="8" t="s">
        <v>68</v>
      </c>
      <c r="H44" s="48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6"/>
        <v>60</v>
      </c>
      <c r="N44" s="8" t="str">
        <f t="shared" si="7"/>
        <v>3</v>
      </c>
      <c r="O44" t="s" s="1">
        <v>189</v>
      </c>
      <c r="P44" s="8">
        <f t="shared" si="8"/>
        <v>998773</v>
      </c>
      <c r="Q44" s="8">
        <f t="shared" si="9"/>
        <v>-3</v>
      </c>
      <c r="R44" s="8">
        <f t="shared" si="10"/>
        <v>3</v>
      </c>
    </row>
    <row r="45" spans="1:18">
      <c r="A45" s="8">
        <v>2</v>
      </c>
      <c r="B45" s="8">
        <v>10</v>
      </c>
      <c r="C45" s="8" t="s">
        <v>54</v>
      </c>
      <c r="D45" s="8" t="s">
        <v>55</v>
      </c>
      <c r="E45" s="12" t="s">
        <v>83</v>
      </c>
      <c r="F45" s="8" t="s">
        <v>14</v>
      </c>
      <c r="G45" s="8" t="s">
        <v>68</v>
      </c>
      <c r="H45" s="48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6"/>
        <v>60</v>
      </c>
      <c r="N45" s="8" t="str">
        <f t="shared" si="7"/>
        <v>3</v>
      </c>
      <c r="O45" t="s" s="1">
        <v>189</v>
      </c>
      <c r="P45" s="8">
        <f t="shared" si="8"/>
        <v>998773</v>
      </c>
      <c r="Q45" s="8">
        <f t="shared" si="9"/>
        <v>-3</v>
      </c>
      <c r="R45" s="8">
        <f t="shared" si="10"/>
        <v>3</v>
      </c>
    </row>
    <row r="46" spans="1:18">
      <c r="A46" s="8">
        <v>2</v>
      </c>
      <c r="B46" s="8">
        <v>11</v>
      </c>
      <c r="C46" s="8" t="s">
        <v>54</v>
      </c>
      <c r="D46" s="8" t="s">
        <v>55</v>
      </c>
      <c r="E46" s="12" t="s">
        <v>84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6"/>
        <v>60</v>
      </c>
      <c r="N46" s="8" t="str">
        <f t="shared" si="7"/>
        <v>3</v>
      </c>
      <c r="O46" t="s" s="1">
        <v>189</v>
      </c>
      <c r="P46" s="8">
        <f t="shared" si="8"/>
        <v>998773</v>
      </c>
      <c r="Q46" s="8">
        <f t="shared" si="9"/>
        <v>-3</v>
      </c>
      <c r="R46" s="8">
        <f t="shared" si="10"/>
        <v>3</v>
      </c>
    </row>
    <row r="47" spans="1:18">
      <c r="A47" s="8">
        <v>2</v>
      </c>
      <c r="B47" s="8">
        <v>12</v>
      </c>
      <c r="C47" s="8" t="s">
        <v>54</v>
      </c>
      <c r="D47" s="8" t="s">
        <v>55</v>
      </c>
      <c r="E47" s="12" t="s">
        <v>85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 t="str">
        <f t="shared" si="7"/>
        <v>3</v>
      </c>
      <c r="O47" t="s" s="1">
        <v>189</v>
      </c>
      <c r="P47" s="8">
        <f t="shared" si="8"/>
        <v>998773</v>
      </c>
      <c r="Q47" s="8">
        <f t="shared" si="9"/>
        <v>-3</v>
      </c>
      <c r="R47" s="8">
        <f t="shared" si="10"/>
        <v>3</v>
      </c>
    </row>
    <row r="48" spans="1:18">
      <c r="A48" s="8">
        <v>2</v>
      </c>
      <c r="B48" s="8">
        <v>13</v>
      </c>
      <c r="C48" s="8" t="s">
        <v>54</v>
      </c>
      <c r="D48" s="8" t="s">
        <v>55</v>
      </c>
      <c r="E48" s="12" t="s">
        <v>86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 t="str">
        <f t="shared" si="7"/>
        <v>3</v>
      </c>
      <c r="O48" t="s" s="1">
        <v>189</v>
      </c>
      <c r="P48" s="8">
        <f t="shared" si="8"/>
        <v>998773</v>
      </c>
      <c r="Q48" s="8">
        <f t="shared" si="9"/>
        <v>-3</v>
      </c>
      <c r="R48" s="8">
        <f t="shared" si="10"/>
        <v>3</v>
      </c>
    </row>
    <row r="49" spans="1:18">
      <c r="A49" s="8">
        <v>2</v>
      </c>
      <c r="B49" s="8">
        <v>14</v>
      </c>
      <c r="C49" s="8" t="s">
        <v>54</v>
      </c>
      <c r="D49" s="8" t="s">
        <v>55</v>
      </c>
      <c r="E49" s="12" t="s">
        <v>87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 t="str">
        <f t="shared" si="7"/>
        <v>3</v>
      </c>
      <c r="O49" t="s" s="1">
        <v>189</v>
      </c>
      <c r="P49" s="8">
        <f t="shared" si="8"/>
        <v>998773</v>
      </c>
      <c r="Q49" s="8">
        <f t="shared" si="9"/>
        <v>-3</v>
      </c>
      <c r="R49" s="8">
        <f t="shared" si="10"/>
        <v>3</v>
      </c>
    </row>
    <row r="50" spans="1:18">
      <c r="A50" s="8">
        <v>3</v>
      </c>
      <c r="B50" s="8">
        <v>15</v>
      </c>
      <c r="C50" s="8" t="s">
        <v>56</v>
      </c>
      <c r="D50" s="8" t="s">
        <v>57</v>
      </c>
      <c r="E50" s="12" t="s">
        <v>88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 t="str">
        <f t="shared" si="7"/>
        <v>3</v>
      </c>
      <c r="O50" t="s" s="1">
        <v>181</v>
      </c>
      <c r="P50" s="8">
        <f t="shared" si="8"/>
        <v>998770</v>
      </c>
      <c r="Q50" s="8">
        <f t="shared" si="9"/>
        <v>-3</v>
      </c>
      <c r="R50" s="8">
        <f t="shared" si="10"/>
        <v>3</v>
      </c>
    </row>
    <row r="51" spans="1:18">
      <c r="A51" s="8">
        <v>3</v>
      </c>
      <c r="B51" s="8">
        <v>16</v>
      </c>
      <c r="C51" s="8" t="s">
        <v>56</v>
      </c>
      <c r="D51" s="8" t="s">
        <v>57</v>
      </c>
      <c r="E51" s="12" t="s">
        <v>91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 t="str">
        <f t="shared" si="7"/>
        <v>3</v>
      </c>
      <c r="O51" t="s" s="1">
        <v>181</v>
      </c>
      <c r="P51" s="8">
        <f t="shared" si="8"/>
        <v>998770</v>
      </c>
      <c r="Q51" s="8">
        <f t="shared" si="9"/>
        <v>-3</v>
      </c>
      <c r="R51" s="8">
        <f t="shared" si="10"/>
        <v>3</v>
      </c>
    </row>
    <row r="52" spans="1:18">
      <c r="A52" s="8">
        <v>3</v>
      </c>
      <c r="B52" s="8">
        <v>17</v>
      </c>
      <c r="C52" s="8" t="s">
        <v>56</v>
      </c>
      <c r="D52" s="8" t="s">
        <v>57</v>
      </c>
      <c r="E52" s="12" t="s">
        <v>92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 t="str">
        <f t="shared" si="7"/>
        <v>3</v>
      </c>
      <c r="O52" t="s" s="1">
        <v>181</v>
      </c>
      <c r="P52" s="8">
        <f t="shared" si="8"/>
        <v>998770</v>
      </c>
      <c r="Q52" s="8">
        <f t="shared" si="9"/>
        <v>-3</v>
      </c>
      <c r="R52" s="8">
        <f t="shared" si="10"/>
        <v>3</v>
      </c>
    </row>
    <row r="53" spans="1:18">
      <c r="A53" s="8">
        <v>3</v>
      </c>
      <c r="B53" s="8">
        <v>18</v>
      </c>
      <c r="C53" s="8" t="s">
        <v>56</v>
      </c>
      <c r="D53" s="8" t="s">
        <v>57</v>
      </c>
      <c r="E53" s="12" t="s">
        <v>93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6"/>
        <v>60</v>
      </c>
      <c r="N53" s="8" t="str">
        <f t="shared" si="7"/>
        <v>3</v>
      </c>
      <c r="O53" t="s" s="1">
        <v>181</v>
      </c>
      <c r="P53" s="8">
        <f t="shared" si="8"/>
        <v>998770</v>
      </c>
      <c r="Q53" s="8">
        <f t="shared" si="9"/>
        <v>-3</v>
      </c>
      <c r="R53" s="8">
        <f t="shared" si="10"/>
        <v>3</v>
      </c>
    </row>
    <row r="54" spans="1:18">
      <c r="A54" s="8">
        <v>3</v>
      </c>
      <c r="B54" s="8">
        <v>19</v>
      </c>
      <c r="C54" s="8" t="s">
        <v>56</v>
      </c>
      <c r="D54" s="8" t="s">
        <v>57</v>
      </c>
      <c r="E54" s="12" t="s">
        <v>94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6"/>
        <v>60</v>
      </c>
      <c r="N54" s="8" t="str">
        <f t="shared" si="7"/>
        <v>3</v>
      </c>
      <c r="O54" t="s" s="1">
        <v>181</v>
      </c>
      <c r="P54" s="8">
        <f t="shared" si="8"/>
        <v>998770</v>
      </c>
      <c r="Q54" s="8">
        <f t="shared" si="9"/>
        <v>-3</v>
      </c>
      <c r="R54" s="8">
        <f t="shared" si="10"/>
        <v>3</v>
      </c>
    </row>
    <row r="55" spans="1:18">
      <c r="A55" s="8">
        <v>3</v>
      </c>
      <c r="B55" s="8">
        <v>20</v>
      </c>
      <c r="C55" s="8" t="s">
        <v>56</v>
      </c>
      <c r="D55" s="8" t="s">
        <v>57</v>
      </c>
      <c r="E55" s="12" t="s">
        <v>95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6"/>
        <v>60</v>
      </c>
      <c r="N55" s="8" t="str">
        <f t="shared" si="7"/>
        <v>3</v>
      </c>
      <c r="O55" t="s" s="1">
        <v>181</v>
      </c>
      <c r="P55" s="8">
        <f t="shared" si="8"/>
        <v>998770</v>
      </c>
      <c r="Q55" s="8">
        <f t="shared" si="9"/>
        <v>-3</v>
      </c>
      <c r="R55" s="8">
        <f t="shared" si="10"/>
        <v>3</v>
      </c>
    </row>
    <row r="56" spans="1:18">
      <c r="A56" s="8">
        <v>3</v>
      </c>
      <c r="B56" s="8">
        <v>21</v>
      </c>
      <c r="C56" s="8" t="s">
        <v>56</v>
      </c>
      <c r="D56" s="8" t="s">
        <v>57</v>
      </c>
      <c r="E56" s="12" t="s">
        <v>96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6"/>
        <v>60</v>
      </c>
      <c r="N56" s="8" t="str">
        <f t="shared" si="7"/>
        <v>3</v>
      </c>
      <c r="O56" t="s" s="1">
        <v>181</v>
      </c>
      <c r="P56" s="8">
        <f t="shared" si="8"/>
        <v>998770</v>
      </c>
      <c r="Q56" s="8">
        <f t="shared" si="9"/>
        <v>-3</v>
      </c>
      <c r="R56" s="8">
        <f t="shared" si="10"/>
        <v>3</v>
      </c>
    </row>
    <row r="57" spans="1:18">
      <c r="A57" s="8" t="s">
        <v>118</v>
      </c>
      <c r="B57" s="8"/>
      <c r="C57" s="8" t="s">
        <v>54</v>
      </c>
      <c r="D57" s="8" t="s">
        <v>55</v>
      </c>
      <c r="E57" s="47" t="s">
        <v>18</v>
      </c>
      <c r="F57" s="8" t="s">
        <v>14</v>
      </c>
      <c r="G57" s="8" t="s">
        <v>52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280</v>
      </c>
      <c r="M57" s="8">
        <f t="shared" si="6"/>
        <v>840</v>
      </c>
      <c r="N57" s="8"/>
      <c r="O57" s="1"/>
      <c r="P57" s="8"/>
      <c r="Q57" s="8"/>
      <c r="R57" s="8"/>
    </row>
    <row r="58" spans="1:18">
      <c r="A58" s="36" t="s">
        <v>116</v>
      </c>
      <c r="B58" s="36">
        <v>1</v>
      </c>
      <c r="C58" s="36" t="s">
        <v>46</v>
      </c>
      <c r="D58" s="36"/>
      <c r="E58" s="36"/>
      <c r="F58" s="53"/>
      <c r="G58" s="36"/>
      <c r="H58" s="53" t="s">
        <v>52</v>
      </c>
      <c r="I58" s="53">
        <v>3</v>
      </c>
      <c r="J58" s="36">
        <v>3</v>
      </c>
      <c r="K58" s="36">
        <f>H3</f>
        <v>3</v>
      </c>
      <c r="L58" s="36">
        <f>SUM(L36:L57)</f>
        <v>700</v>
      </c>
      <c r="M58" s="38">
        <f>SUM(M36:M57)</f>
        <v>2100</v>
      </c>
      <c r="N58" s="38">
        <v>111</v>
      </c>
      <c r="O58" s="1"/>
      <c r="P58" s="36"/>
      <c r="Q58" s="36"/>
      <c r="R58" s="36"/>
    </row>
    <row r="59" spans="1:18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1"/>
      <c r="P59" s="8"/>
      <c r="Q59" s="8"/>
      <c r="R59" s="8"/>
    </row>
    <row r="60">
      <c r="O60" s="1"/>
    </row>
    <row r="61" spans="1:18">
      <c r="K61" s="9" t="s">
        <v>109</v>
      </c>
      <c r="L61" s="9">
        <f>L62/H3</f>
        <v>700</v>
      </c>
      <c r="O61" s="1"/>
    </row>
    <row r="62" spans="1:18">
      <c r="K62" s="9" t="s">
        <v>120</v>
      </c>
      <c r="L62" s="9">
        <f>M58+AG7</f>
        <v>2100</v>
      </c>
      <c r="O62" s="1"/>
    </row>
  </sheetData>
  <mergeCells count="6">
    <mergeCell ref="A1:M1"/>
    <mergeCell ref="A4:L4"/>
    <mergeCell ref="V4:AG4"/>
    <mergeCell ref="A9:L9"/>
    <mergeCell ref="A33:R33"/>
    <mergeCell ref="A34:R3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4" sqref="E14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131</v>
      </c>
      <c r="F3" s="7" t="s">
        <v>18</v>
      </c>
      <c r="G3" s="54" t="s">
        <v>19</v>
      </c>
      <c r="H3" s="6">
        <v>3</v>
      </c>
      <c r="I3" s="1" t="s">
        <v>132</v>
      </c>
      <c r="J3" s="8">
        <f>I3+H3</f>
        <v>189</v>
      </c>
      <c r="K3" s="1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133</v>
      </c>
      <c r="I11" s="1" t="s">
        <v>134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133</v>
      </c>
      <c r="I12" s="1" t="s">
        <v>134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133</v>
      </c>
      <c r="I13" s="1" t="s">
        <v>134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133</v>
      </c>
      <c r="I14" s="1" t="s">
        <v>134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133</v>
      </c>
      <c r="I15" s="1" t="s">
        <v>134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133</v>
      </c>
      <c r="I16" s="1" t="s">
        <v>134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133</v>
      </c>
      <c r="I17" s="1" t="s">
        <v>134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135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135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135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75</v>
      </c>
      <c r="F21" s="8" t="s">
        <v>14</v>
      </c>
      <c r="G21" s="8" t="s">
        <v>68</v>
      </c>
      <c r="H21" s="8">
        <f t="shared" si="1"/>
        <v>998776</v>
      </c>
      <c r="I21" s="8" t="s">
        <v>135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76</v>
      </c>
      <c r="F22" s="8" t="s">
        <v>14</v>
      </c>
      <c r="G22" s="8" t="s">
        <v>68</v>
      </c>
      <c r="H22" s="8">
        <f t="shared" si="1"/>
        <v>998776</v>
      </c>
      <c r="I22" s="8" t="s">
        <v>135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77</v>
      </c>
      <c r="F23" s="8" t="s">
        <v>14</v>
      </c>
      <c r="G23" s="8" t="s">
        <v>68</v>
      </c>
      <c r="H23" s="8">
        <f t="shared" si="1"/>
        <v>998776</v>
      </c>
      <c r="I23" s="8" t="s">
        <v>135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78</v>
      </c>
      <c r="F24" s="8" t="s">
        <v>14</v>
      </c>
      <c r="G24" s="8" t="s">
        <v>68</v>
      </c>
      <c r="H24" s="8">
        <f t="shared" si="1"/>
        <v>998776</v>
      </c>
      <c r="I24" s="8" t="s">
        <v>135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135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135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135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75</v>
      </c>
      <c r="F28" s="8" t="s">
        <v>14</v>
      </c>
      <c r="G28" s="8" t="s">
        <v>68</v>
      </c>
      <c r="H28" s="8">
        <f t="shared" si="1"/>
        <v>998773</v>
      </c>
      <c r="I28" s="8" t="s">
        <v>135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76</v>
      </c>
      <c r="F29" s="8" t="s">
        <v>14</v>
      </c>
      <c r="G29" s="8" t="s">
        <v>68</v>
      </c>
      <c r="H29" s="8">
        <f t="shared" si="1"/>
        <v>998773</v>
      </c>
      <c r="I29" s="8" t="s">
        <v>135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77</v>
      </c>
      <c r="F30" s="8" t="s">
        <v>14</v>
      </c>
      <c r="G30" s="8" t="s">
        <v>68</v>
      </c>
      <c r="H30" s="8">
        <f t="shared" si="1"/>
        <v>998773</v>
      </c>
      <c r="I30" s="8" t="s">
        <v>135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78</v>
      </c>
      <c r="F31" s="8" t="s">
        <v>14</v>
      </c>
      <c r="G31" s="8" t="s">
        <v>68</v>
      </c>
      <c r="H31" s="8">
        <f t="shared" si="1"/>
        <v>998773</v>
      </c>
      <c r="I31" s="8" t="s">
        <v>135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136</v>
      </c>
      <c r="V32" s="16">
        <v>1</v>
      </c>
    </row>
    <row r="33" ht="15" spans="1:60 16333:16345">
      <c r="A33" s="3" t="s">
        <v>137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33:16345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33:16345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139</v>
      </c>
      <c r="U35" s="19" t="s">
        <v>140</v>
      </c>
      <c r="V35" s="20" t="s">
        <v>141</v>
      </c>
      <c r="W35" s="19" t="s">
        <v>142</v>
      </c>
      <c r="X35" s="19" t="s">
        <v>143</v>
      </c>
      <c r="Y35" s="19" t="s">
        <v>144</v>
      </c>
      <c r="Z35" s="19" t="s">
        <v>145</v>
      </c>
      <c r="AA35" s="19" t="s">
        <v>146</v>
      </c>
      <c r="AB35" s="19" t="s">
        <v>147</v>
      </c>
      <c r="AC35" s="19" t="s">
        <v>148</v>
      </c>
      <c r="AD35" s="19" t="s">
        <v>149</v>
      </c>
      <c r="AE35" s="19" t="s">
        <v>150</v>
      </c>
      <c r="AF35" s="19" t="s">
        <v>151</v>
      </c>
      <c r="AG35" s="19" t="s">
        <v>152</v>
      </c>
      <c r="AH35" s="19" t="s">
        <v>153</v>
      </c>
      <c r="AI35" s="19" t="s">
        <v>154</v>
      </c>
      <c r="AJ35" s="19" t="s">
        <v>155</v>
      </c>
      <c r="AK35" s="21" t="s">
        <v>156</v>
      </c>
      <c r="AL35" s="21" t="s">
        <v>157</v>
      </c>
      <c r="AM35" s="21" t="s">
        <v>158</v>
      </c>
      <c r="AN35" s="21" t="s">
        <v>159</v>
      </c>
      <c r="AO35" s="21" t="s">
        <v>160</v>
      </c>
      <c r="AP35" s="21" t="s">
        <v>161</v>
      </c>
      <c r="AQ35" s="21" t="s">
        <v>162</v>
      </c>
      <c r="AR35" s="21" t="s">
        <v>163</v>
      </c>
      <c r="AS35" s="22" t="s">
        <v>164</v>
      </c>
      <c r="AT35" s="19" t="s">
        <v>165</v>
      </c>
      <c r="AU35" s="19" t="s">
        <v>166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33:16345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168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33:16345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167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169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</row>
    <row r="38" spans="1:60 16333:16345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167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117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</row>
    <row r="39" ht="15" spans="1:60 16333:16345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167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139</v>
      </c>
      <c r="U39" s="19" t="s">
        <v>140</v>
      </c>
      <c r="V39" s="20" t="s">
        <v>141</v>
      </c>
      <c r="W39" s="19" t="s">
        <v>142</v>
      </c>
      <c r="X39" s="19" t="s">
        <v>143</v>
      </c>
      <c r="Y39" s="19" t="s">
        <v>144</v>
      </c>
      <c r="Z39" s="19" t="s">
        <v>145</v>
      </c>
      <c r="AA39" s="19" t="s">
        <v>146</v>
      </c>
      <c r="AB39" s="19" t="s">
        <v>147</v>
      </c>
      <c r="AC39" s="19" t="s">
        <v>148</v>
      </c>
      <c r="AD39" s="19" t="s">
        <v>149</v>
      </c>
      <c r="AE39" s="19" t="s">
        <v>150</v>
      </c>
      <c r="AF39" s="19" t="s">
        <v>151</v>
      </c>
      <c r="AG39" s="19" t="s">
        <v>152</v>
      </c>
      <c r="AH39" s="19" t="s">
        <v>153</v>
      </c>
      <c r="AI39" s="19" t="s">
        <v>154</v>
      </c>
      <c r="AJ39" s="19" t="s">
        <v>155</v>
      </c>
      <c r="AK39" s="21" t="s">
        <v>156</v>
      </c>
      <c r="AL39" s="21" t="s">
        <v>157</v>
      </c>
      <c r="AM39" s="21" t="s">
        <v>158</v>
      </c>
      <c r="AN39" s="21" t="s">
        <v>159</v>
      </c>
      <c r="AO39" s="21" t="s">
        <v>160</v>
      </c>
      <c r="AP39" s="21" t="s">
        <v>161</v>
      </c>
      <c r="AQ39" s="21" t="s">
        <v>162</v>
      </c>
      <c r="AR39" s="21" t="s">
        <v>163</v>
      </c>
      <c r="AS39" s="22" t="s">
        <v>164</v>
      </c>
      <c r="AT39" s="19" t="s">
        <v>165</v>
      </c>
      <c r="AU39" s="19" t="s">
        <v>166</v>
      </c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</row>
    <row r="40" ht="15" spans="1:60 16333:16345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167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54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K15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100</v>
      </c>
      <c r="AU40" s="30">
        <v>110</v>
      </c>
    </row>
    <row r="41" ht="15" spans="1:60 16333:16345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167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169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33:16345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167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T42" s="18" t="s">
        <v>117</v>
      </c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</row>
    <row r="43" ht="15" spans="1:60 16333:16345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170</v>
      </c>
      <c r="P43" s="36"/>
      <c r="Q43" s="36"/>
      <c r="R43" s="36"/>
      <c r="T43" s="19" t="s">
        <v>139</v>
      </c>
      <c r="U43" s="19" t="s">
        <v>140</v>
      </c>
      <c r="V43" s="20" t="s">
        <v>141</v>
      </c>
      <c r="W43" s="19" t="s">
        <v>142</v>
      </c>
      <c r="X43" s="19" t="s">
        <v>143</v>
      </c>
      <c r="Y43" s="19" t="s">
        <v>144</v>
      </c>
      <c r="Z43" s="19" t="s">
        <v>145</v>
      </c>
      <c r="AA43" s="19" t="s">
        <v>146</v>
      </c>
      <c r="AB43" s="19" t="s">
        <v>147</v>
      </c>
      <c r="AC43" s="19" t="s">
        <v>148</v>
      </c>
      <c r="AD43" s="19" t="s">
        <v>149</v>
      </c>
      <c r="AE43" s="19" t="s">
        <v>150</v>
      </c>
      <c r="AF43" s="19" t="s">
        <v>151</v>
      </c>
      <c r="AG43" s="19" t="s">
        <v>152</v>
      </c>
      <c r="AH43" s="19" t="s">
        <v>153</v>
      </c>
      <c r="AI43" s="19" t="s">
        <v>154</v>
      </c>
      <c r="AJ43" s="19" t="s">
        <v>155</v>
      </c>
      <c r="AK43" s="21" t="s">
        <v>156</v>
      </c>
      <c r="AL43" s="21" t="s">
        <v>157</v>
      </c>
      <c r="AM43" s="21" t="s">
        <v>158</v>
      </c>
      <c r="AN43" s="21" t="s">
        <v>159</v>
      </c>
      <c r="AO43" s="21" t="s">
        <v>160</v>
      </c>
      <c r="AP43" s="21" t="s">
        <v>161</v>
      </c>
      <c r="AQ43" s="21" t="s">
        <v>162</v>
      </c>
      <c r="AR43" s="21" t="s">
        <v>163</v>
      </c>
      <c r="AS43" s="22" t="s">
        <v>164</v>
      </c>
      <c r="AT43" s="19" t="s">
        <v>165</v>
      </c>
      <c r="AU43" s="19" t="s">
        <v>166</v>
      </c>
    </row>
    <row r="44" ht="15" spans="1:60 16333:16345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T44" s="8" t="s">
        <v>56</v>
      </c>
      <c r="U44" s="23" t="str">
        <f>F3</f>
        <v>GWL-FIFO-LOT-BATCH-10001(FG)</v>
      </c>
      <c r="V44" s="23" t="str">
        <f>U44</f>
        <v>GWL-FIFO-LOT-BATCH-10001(FG)</v>
      </c>
      <c r="W44" s="23" t="s">
        <v>14</v>
      </c>
      <c r="X44" s="23" t="s">
        <v>14</v>
      </c>
      <c r="Y44" s="24">
        <f>H3</f>
        <v>3</v>
      </c>
      <c r="Z44" s="24">
        <f>K19</f>
        <v>1</v>
      </c>
      <c r="AA44" s="24"/>
      <c r="AB44" s="25">
        <v>1</v>
      </c>
      <c r="AC44" s="25">
        <v>25</v>
      </c>
      <c r="AD44" s="25">
        <v>1</v>
      </c>
      <c r="AE44" s="24">
        <f>ROUND(Y44*AD44/AB44,3)</f>
        <v>3</v>
      </c>
      <c r="AF44" s="26">
        <f>AE44*(AC44/Y44)</f>
        <v>25</v>
      </c>
      <c r="AG44" s="25">
        <f>AE44*AF44</f>
        <v>75</v>
      </c>
      <c r="AH44" s="25"/>
      <c r="AI44" s="27"/>
      <c r="AJ44" s="27"/>
      <c r="AK44" s="28">
        <v>18</v>
      </c>
      <c r="AL44" s="25">
        <f>IF(OR(V32=1,V32=4),ROUND(((((AF44*AE44)*AK44)/100)/2),2),0)</f>
        <v>6.75</v>
      </c>
      <c r="AM44" s="25">
        <f>IF(V32=1,ROUND(((((AF44*AE44)*AK44)/100)/2),2),0)</f>
        <v>6.75</v>
      </c>
      <c r="AN44" s="25">
        <f>IF(V32=2,ROUND((((AE44*AF44)*AK44)/100),2),0)</f>
        <v>0</v>
      </c>
      <c r="AO44" s="25">
        <f>IF(V32=3,ROUND((((AE44*AF44)*AK44)/100),2),0)</f>
        <v>0</v>
      </c>
      <c r="AP44" s="25">
        <f>SUM(AL44:AN44)</f>
        <v>13.5</v>
      </c>
      <c r="AQ44" s="29">
        <v>0</v>
      </c>
      <c r="AR44" s="25">
        <f>AG44*AQ44</f>
        <v>0</v>
      </c>
      <c r="AS44" s="25">
        <f>AG44+AP44</f>
        <v>88.5</v>
      </c>
      <c r="AT44" s="30">
        <f>AU40</f>
        <v>110</v>
      </c>
      <c r="AU44" s="30">
        <v>111</v>
      </c>
    </row>
    <row r="45" ht="15" spans="1:60 16333:16345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  <c r="T45" s="31" t="s">
        <v>169</v>
      </c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2">
        <f t="shared" ref="AG45:AN45" si="9">SUM(AG44:AG44)</f>
        <v>75</v>
      </c>
      <c r="AH45" s="32">
        <f t="shared" si="9"/>
        <v>0</v>
      </c>
      <c r="AI45" s="32"/>
      <c r="AJ45" s="32"/>
      <c r="AK45" s="32"/>
      <c r="AL45" s="33">
        <f t="shared" si="9"/>
        <v>6.75</v>
      </c>
      <c r="AM45" s="33">
        <f t="shared" si="9"/>
        <v>6.75</v>
      </c>
      <c r="AN45" s="33">
        <f t="shared" si="9"/>
        <v>0</v>
      </c>
      <c r="AO45" s="34">
        <f>AO44</f>
        <v>0</v>
      </c>
      <c r="AP45" s="32">
        <f>SUM(AP44:AP44)</f>
        <v>13.5</v>
      </c>
      <c r="AQ45" s="32"/>
      <c r="AR45" s="32"/>
      <c r="AS45" s="35">
        <f>SUM(AS44:AS44)</f>
        <v>88.5</v>
      </c>
      <c r="AT45" s="32"/>
      <c r="AU45" s="32"/>
    </row>
    <row r="46" spans="1:60 16333:16345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171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33:16345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171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33:16345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171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171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171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171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171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10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170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5">L57*K57</f>
        <v>60</v>
      </c>
      <c r="N57" s="8" t="str">
        <f t="shared" ref="N57:N63" si="16">I25</f>
        <v>3</v>
      </c>
      <c r="O57" s="8" t="s">
        <v>172</v>
      </c>
      <c r="P57" s="8">
        <f t="shared" ref="P57:P63" si="17">O57-I57</f>
        <v>998770</v>
      </c>
      <c r="Q57" s="8">
        <f t="shared" ref="Q57:Q63" si="18">-I57</f>
        <v>-3</v>
      </c>
      <c r="R57" s="8">
        <f t="shared" ref="R57:R63" si="19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172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172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 t="str">
        <f t="shared" si="16"/>
        <v>3</v>
      </c>
      <c r="O60" s="8" t="s">
        <v>172</v>
      </c>
      <c r="P60" s="8">
        <f t="shared" si="17"/>
        <v>998770</v>
      </c>
      <c r="Q60" s="8">
        <f t="shared" si="18"/>
        <v>-3</v>
      </c>
      <c r="R60" s="8">
        <f t="shared" si="19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 t="str">
        <f t="shared" si="16"/>
        <v>3</v>
      </c>
      <c r="O61" s="8" t="s">
        <v>172</v>
      </c>
      <c r="P61" s="8">
        <f t="shared" si="17"/>
        <v>998770</v>
      </c>
      <c r="Q61" s="8">
        <f t="shared" si="18"/>
        <v>-3</v>
      </c>
      <c r="R61" s="8">
        <f t="shared" si="19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 t="str">
        <f t="shared" si="16"/>
        <v>3</v>
      </c>
      <c r="O62" s="8" t="s">
        <v>172</v>
      </c>
      <c r="P62" s="8">
        <f t="shared" si="17"/>
        <v>998770</v>
      </c>
      <c r="Q62" s="8">
        <f t="shared" si="18"/>
        <v>-3</v>
      </c>
      <c r="R62" s="8">
        <f t="shared" si="19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 t="str">
        <f t="shared" si="16"/>
        <v>3</v>
      </c>
      <c r="O63" s="8" t="s">
        <v>172</v>
      </c>
      <c r="P63" s="8">
        <f t="shared" si="17"/>
        <v>998770</v>
      </c>
      <c r="Q63" s="8">
        <f t="shared" si="18"/>
        <v>-3</v>
      </c>
      <c r="R63" s="8">
        <f t="shared" si="19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170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4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T42:AU42"/>
    <mergeCell ref="A44:R44"/>
    <mergeCell ref="T45:AC45"/>
    <mergeCell ref="A55:R5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5" sqref="E15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131</v>
      </c>
      <c r="F3" s="7" t="s">
        <v>18</v>
      </c>
      <c r="G3" s="54" t="s">
        <v>19</v>
      </c>
      <c r="H3" s="6">
        <v>3</v>
      </c>
      <c r="I3" s="1" t="s">
        <v>132</v>
      </c>
      <c r="J3" s="8">
        <f>I3+H3</f>
        <v>189</v>
      </c>
      <c r="K3" s="1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133</v>
      </c>
      <c r="I11" s="1" t="s">
        <v>134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133</v>
      </c>
      <c r="I12" s="1" t="s">
        <v>134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133</v>
      </c>
      <c r="I13" s="1" t="s">
        <v>134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133</v>
      </c>
      <c r="I14" s="1" t="s">
        <v>134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133</v>
      </c>
      <c r="I15" s="1" t="s">
        <v>134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133</v>
      </c>
      <c r="I16" s="1" t="s">
        <v>134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133</v>
      </c>
      <c r="I17" s="1" t="s">
        <v>134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135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135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135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135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135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135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135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135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135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135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135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135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135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135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136</v>
      </c>
      <c r="V32" s="16">
        <v>1</v>
      </c>
    </row>
    <row r="33" ht="15" spans="1:60 16305:16356">
      <c r="A33" s="3" t="s">
        <v>137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139</v>
      </c>
      <c r="U35" s="19" t="s">
        <v>140</v>
      </c>
      <c r="V35" s="20" t="s">
        <v>141</v>
      </c>
      <c r="W35" s="19" t="s">
        <v>142</v>
      </c>
      <c r="X35" s="19" t="s">
        <v>143</v>
      </c>
      <c r="Y35" s="19" t="s">
        <v>144</v>
      </c>
      <c r="Z35" s="19" t="s">
        <v>145</v>
      </c>
      <c r="AA35" s="19" t="s">
        <v>146</v>
      </c>
      <c r="AB35" s="19" t="s">
        <v>147</v>
      </c>
      <c r="AC35" s="19" t="s">
        <v>148</v>
      </c>
      <c r="AD35" s="19" t="s">
        <v>149</v>
      </c>
      <c r="AE35" s="19" t="s">
        <v>150</v>
      </c>
      <c r="AF35" s="19" t="s">
        <v>151</v>
      </c>
      <c r="AG35" s="19" t="s">
        <v>152</v>
      </c>
      <c r="AH35" s="19" t="s">
        <v>153</v>
      </c>
      <c r="AI35" s="19" t="s">
        <v>154</v>
      </c>
      <c r="AJ35" s="19" t="s">
        <v>155</v>
      </c>
      <c r="AK35" s="21" t="s">
        <v>156</v>
      </c>
      <c r="AL35" s="21" t="s">
        <v>157</v>
      </c>
      <c r="AM35" s="21" t="s">
        <v>158</v>
      </c>
      <c r="AN35" s="21" t="s">
        <v>159</v>
      </c>
      <c r="AO35" s="21" t="s">
        <v>160</v>
      </c>
      <c r="AP35" s="21" t="s">
        <v>161</v>
      </c>
      <c r="AQ35" s="21" t="s">
        <v>162</v>
      </c>
      <c r="AR35" s="21" t="s">
        <v>163</v>
      </c>
      <c r="AS35" s="22" t="s">
        <v>164</v>
      </c>
      <c r="AT35" s="19" t="s">
        <v>165</v>
      </c>
      <c r="AU35" s="19" t="s">
        <v>166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168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167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169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 t="shared" ref="AP37:AS37" si="8">SUM(AP36:AP36)</f>
        <v>13.5</v>
      </c>
      <c r="AQ37" s="32">
        <f t="shared" si="8"/>
        <v>0</v>
      </c>
      <c r="AR37" s="32">
        <f t="shared" si="8"/>
        <v>0</v>
      </c>
      <c r="AS37" s="35">
        <f t="shared" si="8"/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167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173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167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8" t="s">
        <v>54</v>
      </c>
      <c r="U39" s="23" t="str">
        <f>F3</f>
        <v>GWL-FIFO-LOT-BATCH-10001(FG)</v>
      </c>
      <c r="V39" s="23" t="str">
        <f>U39</f>
        <v>GWL-FIFO-LOT-BATCH-10001(FG)</v>
      </c>
      <c r="W39" s="23" t="s">
        <v>14</v>
      </c>
      <c r="X39" s="23" t="s">
        <v>14</v>
      </c>
      <c r="Y39" s="24">
        <f>H3</f>
        <v>3</v>
      </c>
      <c r="Z39" s="24">
        <f>K15</f>
        <v>1</v>
      </c>
      <c r="AA39" s="24"/>
      <c r="AB39" s="25">
        <v>1</v>
      </c>
      <c r="AC39" s="25">
        <v>25</v>
      </c>
      <c r="AD39" s="25">
        <v>1</v>
      </c>
      <c r="AE39" s="24">
        <f>ROUND(Y39*AD39/AB39,3)</f>
        <v>3</v>
      </c>
      <c r="AF39" s="26">
        <f>AE39*(AC39/Y39)</f>
        <v>25</v>
      </c>
      <c r="AG39" s="25">
        <f>AE39*AF39</f>
        <v>75</v>
      </c>
      <c r="AH39" s="25"/>
      <c r="AI39" s="27"/>
      <c r="AJ39" s="27"/>
      <c r="AK39" s="28">
        <v>18</v>
      </c>
      <c r="AL39" s="25">
        <f>IF(OR(V32=1,V32=4),ROUND(((((AF39*AE39)*AK39)/100)/2),2),0)</f>
        <v>6.75</v>
      </c>
      <c r="AM39" s="25">
        <f>IF(V32=1,ROUND(((((AF39*AE39)*AK39)/100)/2),2),0)</f>
        <v>6.75</v>
      </c>
      <c r="AN39" s="25">
        <f>IF(V32=2,ROUND((((AE39*AF39)*AK39)/100),2),0)</f>
        <v>0</v>
      </c>
      <c r="AO39" s="25">
        <f>IF(V32=3,ROUND((((AE39*AF39)*AK39)/100),2),0)</f>
        <v>0</v>
      </c>
      <c r="AP39" s="25">
        <f>SUM(AL39:AN39)</f>
        <v>13.5</v>
      </c>
      <c r="AQ39" s="29">
        <v>0</v>
      </c>
      <c r="AR39" s="25">
        <f>AG39*AQ39</f>
        <v>0</v>
      </c>
      <c r="AS39" s="25">
        <f>AG39+AP39</f>
        <v>88.5</v>
      </c>
      <c r="AT39" s="30">
        <f>AU36</f>
        <v>100</v>
      </c>
      <c r="AU39" s="30">
        <v>110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167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AU39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167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169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>SUM(AG40:AG40)</f>
        <v>75</v>
      </c>
      <c r="AH41" s="32">
        <f>SUM(AH40:AH40)</f>
        <v>0</v>
      </c>
      <c r="AI41" s="32"/>
      <c r="AJ41" s="32"/>
      <c r="AK41" s="32"/>
      <c r="AL41" s="33">
        <f t="shared" ref="AL41:AS41" si="9">SUM(AL39:AL40)</f>
        <v>13.5</v>
      </c>
      <c r="AM41" s="33">
        <f t="shared" si="9"/>
        <v>13.5</v>
      </c>
      <c r="AN41" s="33">
        <f t="shared" si="9"/>
        <v>0</v>
      </c>
      <c r="AO41" s="33">
        <f t="shared" si="9"/>
        <v>0</v>
      </c>
      <c r="AP41" s="33">
        <f t="shared" si="9"/>
        <v>27</v>
      </c>
      <c r="AQ41" s="33">
        <f t="shared" si="9"/>
        <v>0</v>
      </c>
      <c r="AR41" s="33">
        <f t="shared" si="9"/>
        <v>0</v>
      </c>
      <c r="AS41" s="35">
        <f t="shared" si="9"/>
        <v>177</v>
      </c>
      <c r="AT41" s="32"/>
      <c r="AU41" s="3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167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170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305:16356">
      <c r="A44" s="18" t="s">
        <v>173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171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171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171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171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171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171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171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5">L53*K53</f>
        <v>60</v>
      </c>
      <c r="N53" s="8" t="str">
        <f t="shared" ref="N53:N59" si="16">I25</f>
        <v>3</v>
      </c>
      <c r="O53" s="8" t="s">
        <v>172</v>
      </c>
      <c r="P53" s="8">
        <f t="shared" ref="P53:P59" si="17">O53-I53</f>
        <v>998770</v>
      </c>
      <c r="Q53" s="8">
        <f t="shared" ref="Q53:Q59" si="18">-I53</f>
        <v>-3</v>
      </c>
      <c r="R53" s="8">
        <f t="shared" ref="R53:R59" si="19">I53</f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5"/>
        <v>60</v>
      </c>
      <c r="N54" s="8" t="str">
        <f t="shared" si="16"/>
        <v>3</v>
      </c>
      <c r="O54" s="8" t="s">
        <v>172</v>
      </c>
      <c r="P54" s="8">
        <f t="shared" si="17"/>
        <v>998770</v>
      </c>
      <c r="Q54" s="8">
        <f t="shared" si="18"/>
        <v>-3</v>
      </c>
      <c r="R54" s="8">
        <f t="shared" si="19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5"/>
        <v>60</v>
      </c>
      <c r="N55" s="8" t="str">
        <f t="shared" si="16"/>
        <v>3</v>
      </c>
      <c r="O55" s="8" t="s">
        <v>172</v>
      </c>
      <c r="P55" s="8">
        <f t="shared" si="17"/>
        <v>998770</v>
      </c>
      <c r="Q55" s="8">
        <f t="shared" si="18"/>
        <v>-3</v>
      </c>
      <c r="R55" s="8">
        <f t="shared" si="19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5"/>
        <v>60</v>
      </c>
      <c r="N56" s="8" t="str">
        <f t="shared" si="16"/>
        <v>3</v>
      </c>
      <c r="O56" s="8" t="s">
        <v>172</v>
      </c>
      <c r="P56" s="8">
        <f t="shared" si="17"/>
        <v>998770</v>
      </c>
      <c r="Q56" s="8">
        <f t="shared" si="18"/>
        <v>-3</v>
      </c>
      <c r="R56" s="8">
        <f t="shared" si="19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5"/>
        <v>60</v>
      </c>
      <c r="N57" s="8" t="str">
        <f t="shared" si="16"/>
        <v>3</v>
      </c>
      <c r="O57" s="8" t="s">
        <v>172</v>
      </c>
      <c r="P57" s="8">
        <f t="shared" si="17"/>
        <v>998770</v>
      </c>
      <c r="Q57" s="8">
        <f t="shared" si="18"/>
        <v>-3</v>
      </c>
      <c r="R57" s="8">
        <f t="shared" si="19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172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172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15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15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170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11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3"/>
  <sheetViews>
    <sheetView zoomScale="60" zoomScaleNormal="60" workbookViewId="0">
      <selection activeCell="E15" sqref="E15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131</v>
      </c>
      <c r="F3" s="7" t="s">
        <v>18</v>
      </c>
      <c r="G3" s="54" t="s">
        <v>19</v>
      </c>
      <c r="H3" s="6">
        <v>3</v>
      </c>
      <c r="I3" s="1" t="s">
        <v>132</v>
      </c>
      <c r="J3" s="8">
        <f>I3+H3</f>
        <v>189</v>
      </c>
      <c r="K3" s="1" t="s">
        <v>21</v>
      </c>
      <c r="L3" s="8">
        <f>(K3+L62)/2</f>
        <v>570</v>
      </c>
      <c r="M3" s="9">
        <f>L62</f>
        <v>720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133</v>
      </c>
      <c r="I11" s="1" t="s">
        <v>134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133</v>
      </c>
      <c r="I12" s="1" t="s">
        <v>134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133</v>
      </c>
      <c r="I13" s="1" t="s">
        <v>134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133</v>
      </c>
      <c r="I14" s="1" t="s">
        <v>134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133</v>
      </c>
      <c r="I15" s="1" t="s">
        <v>134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133</v>
      </c>
      <c r="I16" s="1" t="s">
        <v>134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133</v>
      </c>
      <c r="I17" s="1" t="s">
        <v>134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135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135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135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135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135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135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135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135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135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135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135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135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135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135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136</v>
      </c>
      <c r="V32" s="16">
        <v>1</v>
      </c>
    </row>
    <row r="33" ht="15" spans="1:60 16305:16356">
      <c r="A33" s="3" t="s">
        <v>137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130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139</v>
      </c>
      <c r="U35" s="19" t="s">
        <v>140</v>
      </c>
      <c r="V35" s="20" t="s">
        <v>141</v>
      </c>
      <c r="W35" s="19" t="s">
        <v>142</v>
      </c>
      <c r="X35" s="19" t="s">
        <v>143</v>
      </c>
      <c r="Y35" s="19" t="s">
        <v>144</v>
      </c>
      <c r="Z35" s="19" t="s">
        <v>145</v>
      </c>
      <c r="AA35" s="19" t="s">
        <v>146</v>
      </c>
      <c r="AB35" s="19" t="s">
        <v>147</v>
      </c>
      <c r="AC35" s="19" t="s">
        <v>148</v>
      </c>
      <c r="AD35" s="19" t="s">
        <v>149</v>
      </c>
      <c r="AE35" s="19" t="s">
        <v>150</v>
      </c>
      <c r="AF35" s="19" t="s">
        <v>151</v>
      </c>
      <c r="AG35" s="19" t="s">
        <v>152</v>
      </c>
      <c r="AH35" s="19" t="s">
        <v>153</v>
      </c>
      <c r="AI35" s="19" t="s">
        <v>154</v>
      </c>
      <c r="AJ35" s="19" t="s">
        <v>155</v>
      </c>
      <c r="AK35" s="21" t="s">
        <v>156</v>
      </c>
      <c r="AL35" s="21" t="s">
        <v>157</v>
      </c>
      <c r="AM35" s="21" t="s">
        <v>158</v>
      </c>
      <c r="AN35" s="21" t="s">
        <v>159</v>
      </c>
      <c r="AO35" s="21" t="s">
        <v>160</v>
      </c>
      <c r="AP35" s="21" t="s">
        <v>161</v>
      </c>
      <c r="AQ35" s="21" t="s">
        <v>162</v>
      </c>
      <c r="AR35" s="21" t="s">
        <v>163</v>
      </c>
      <c r="AS35" s="22" t="s">
        <v>164</v>
      </c>
      <c r="AT35" s="19" t="s">
        <v>165</v>
      </c>
      <c r="AU35" s="19" t="s">
        <v>166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 t="shared" ref="V36:V38" si="7"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 t="shared" ref="Z36:Z38" si="8">K11</f>
        <v>1</v>
      </c>
      <c r="AA36" s="24"/>
      <c r="AB36" s="25">
        <v>1</v>
      </c>
      <c r="AC36" s="25">
        <v>25</v>
      </c>
      <c r="AD36" s="25">
        <v>1</v>
      </c>
      <c r="AE36" s="24">
        <f t="shared" ref="AE36:AE38" si="9">ROUND(Y36*AD36/AB36,3)</f>
        <v>3</v>
      </c>
      <c r="AF36" s="26">
        <f t="shared" ref="AF36:AF38" si="10">AE36*(AC36/Y36)</f>
        <v>25</v>
      </c>
      <c r="AG36" s="25">
        <f t="shared" ref="AG36:AG38" si="11"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 t="shared" ref="AP36:AP38" si="12">SUM(AL36:AN36)</f>
        <v>13.5</v>
      </c>
      <c r="AQ36" s="29">
        <v>0</v>
      </c>
      <c r="AR36" s="25">
        <f t="shared" ref="AR36:AR38" si="13">AG36*AQ36</f>
        <v>0</v>
      </c>
      <c r="AS36" s="25">
        <f t="shared" ref="AS36:AS38" si="14">AG36+AP36</f>
        <v>88.5</v>
      </c>
      <c r="AT36" s="55" t="s">
        <v>168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167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8" t="s">
        <v>54</v>
      </c>
      <c r="U37" s="23" t="str">
        <f>F3</f>
        <v>GWL-FIFO-LOT-BATCH-10001(FG)</v>
      </c>
      <c r="V37" s="23" t="str">
        <f t="shared" si="7"/>
        <v>GWL-FIFO-LOT-BATCH-10001(FG)</v>
      </c>
      <c r="W37" s="23" t="s">
        <v>14</v>
      </c>
      <c r="X37" s="23" t="s">
        <v>14</v>
      </c>
      <c r="Y37" s="24">
        <f>H3</f>
        <v>3</v>
      </c>
      <c r="Z37" s="24">
        <f>K11</f>
        <v>1</v>
      </c>
      <c r="AA37" s="24"/>
      <c r="AB37" s="25">
        <v>1</v>
      </c>
      <c r="AC37" s="25">
        <v>25</v>
      </c>
      <c r="AD37" s="25">
        <v>1</v>
      </c>
      <c r="AE37" s="24">
        <f t="shared" si="9"/>
        <v>3</v>
      </c>
      <c r="AF37" s="26">
        <f t="shared" si="10"/>
        <v>25</v>
      </c>
      <c r="AG37" s="25">
        <f t="shared" si="11"/>
        <v>75</v>
      </c>
      <c r="AH37" s="25"/>
      <c r="AI37" s="27"/>
      <c r="AJ37" s="27"/>
      <c r="AK37" s="28">
        <v>18</v>
      </c>
      <c r="AL37" s="25">
        <f>IF(OR(V32=1,V32=4),ROUND(((((AF37*AE37)*AK37)/100)/2),2),0)</f>
        <v>6.75</v>
      </c>
      <c r="AM37" s="25">
        <f>IF(V32=1,ROUND(((((AF37*AE37)*AK37)/100)/2),2),0)</f>
        <v>6.75</v>
      </c>
      <c r="AN37" s="25">
        <f>IF(V32=2,ROUND((((AE37*AF37)*AK37)/100),2),0)</f>
        <v>0</v>
      </c>
      <c r="AO37" s="25">
        <f>IF(V32=3,ROUND((((AE37*AF37)*AK37)/100),2),0)</f>
        <v>0</v>
      </c>
      <c r="AP37" s="25">
        <f t="shared" si="12"/>
        <v>13.5</v>
      </c>
      <c r="AQ37" s="29">
        <v>0</v>
      </c>
      <c r="AR37" s="25">
        <f t="shared" si="13"/>
        <v>0</v>
      </c>
      <c r="AS37" s="25">
        <f t="shared" si="14"/>
        <v>88.5</v>
      </c>
      <c r="AT37" s="30">
        <f>AU36</f>
        <v>100</v>
      </c>
      <c r="AU37" s="30">
        <v>110</v>
      </c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ht="15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167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8" t="s">
        <v>56</v>
      </c>
      <c r="U38" s="23" t="str">
        <f>F3</f>
        <v>GWL-FIFO-LOT-BATCH-10001(FG)</v>
      </c>
      <c r="V38" s="23" t="str">
        <f t="shared" si="7"/>
        <v>GWL-FIFO-LOT-BATCH-10001(FG)</v>
      </c>
      <c r="W38" s="23" t="s">
        <v>14</v>
      </c>
      <c r="X38" s="23" t="s">
        <v>14</v>
      </c>
      <c r="Y38" s="24">
        <f>H3</f>
        <v>3</v>
      </c>
      <c r="Z38" s="24">
        <f>K11</f>
        <v>1</v>
      </c>
      <c r="AA38" s="24"/>
      <c r="AB38" s="25">
        <v>1</v>
      </c>
      <c r="AC38" s="25">
        <v>25</v>
      </c>
      <c r="AD38" s="25">
        <v>1</v>
      </c>
      <c r="AE38" s="24">
        <f t="shared" si="9"/>
        <v>3</v>
      </c>
      <c r="AF38" s="26">
        <f t="shared" si="10"/>
        <v>25</v>
      </c>
      <c r="AG38" s="25">
        <f t="shared" si="11"/>
        <v>75</v>
      </c>
      <c r="AH38" s="25"/>
      <c r="AI38" s="27"/>
      <c r="AJ38" s="27"/>
      <c r="AK38" s="28">
        <v>18</v>
      </c>
      <c r="AL38" s="25">
        <f>IF(OR(V32=1,V32=4),ROUND(((((AF38*AE38)*AK38)/100)/2),2),0)</f>
        <v>6.75</v>
      </c>
      <c r="AM38" s="25">
        <f>IF(V32=1,ROUND(((((AF38*AE38)*AK38)/100)/2),2),0)</f>
        <v>6.75</v>
      </c>
      <c r="AN38" s="25">
        <f>IF(V32=2,ROUND((((AE38*AF38)*AK38)/100),2),0)</f>
        <v>0</v>
      </c>
      <c r="AO38" s="25">
        <f>IF(V32=3,ROUND((((AE38*AF38)*AK38)/100),2),0)</f>
        <v>0</v>
      </c>
      <c r="AP38" s="25">
        <f t="shared" si="12"/>
        <v>13.5</v>
      </c>
      <c r="AQ38" s="29">
        <v>0</v>
      </c>
      <c r="AR38" s="25">
        <f t="shared" si="13"/>
        <v>0</v>
      </c>
      <c r="AS38" s="25">
        <f t="shared" si="14"/>
        <v>88.5</v>
      </c>
      <c r="AT38" s="30">
        <f>AU37</f>
        <v>110</v>
      </c>
      <c r="AU38" s="30">
        <v>111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167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31" t="s">
        <v>169</v>
      </c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2">
        <f>SUM(AE36:AE38)</f>
        <v>9</v>
      </c>
      <c r="AF39" s="31"/>
      <c r="AG39" s="32">
        <f>SUM(AG36:AG38)</f>
        <v>225</v>
      </c>
      <c r="AH39" s="32">
        <f>SUM(AH35:AH35)</f>
        <v>0</v>
      </c>
      <c r="AI39" s="32"/>
      <c r="AJ39" s="32"/>
      <c r="AK39" s="32"/>
      <c r="AL39" s="32">
        <f t="shared" ref="AL39:AS39" si="15">SUM(AL36:AL38)</f>
        <v>20.25</v>
      </c>
      <c r="AM39" s="32">
        <f t="shared" si="15"/>
        <v>20.25</v>
      </c>
      <c r="AN39" s="32">
        <f t="shared" si="15"/>
        <v>0</v>
      </c>
      <c r="AO39" s="32">
        <f t="shared" si="15"/>
        <v>0</v>
      </c>
      <c r="AP39" s="32">
        <f t="shared" si="15"/>
        <v>40.5</v>
      </c>
      <c r="AQ39" s="32">
        <f t="shared" si="15"/>
        <v>0</v>
      </c>
      <c r="AR39" s="32">
        <f t="shared" si="15"/>
        <v>0</v>
      </c>
      <c r="AS39" s="32">
        <f t="shared" si="15"/>
        <v>265.5</v>
      </c>
      <c r="AT39" s="32"/>
      <c r="AU39" s="32">
        <f>SUM(AU36:AU38)</f>
        <v>321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167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167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167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8">
        <v>2</v>
      </c>
      <c r="B43" s="8">
        <v>1</v>
      </c>
      <c r="C43" s="8" t="s">
        <v>54</v>
      </c>
      <c r="D43" s="8" t="s">
        <v>55</v>
      </c>
      <c r="E43" s="12" t="s">
        <v>79</v>
      </c>
      <c r="F43" s="8" t="s">
        <v>14</v>
      </c>
      <c r="G43" s="8" t="s">
        <v>68</v>
      </c>
      <c r="H43" s="12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16">L43*K43</f>
        <v>60</v>
      </c>
      <c r="N43" s="8" t="str">
        <f t="shared" ref="N43:N56" si="17">I18</f>
        <v>3</v>
      </c>
      <c r="O43" s="8" t="s">
        <v>171</v>
      </c>
      <c r="P43" s="8">
        <f t="shared" ref="P43:P56" si="18">O43-I43</f>
        <v>998773</v>
      </c>
      <c r="Q43" s="8">
        <f t="shared" ref="Q43:Q56" si="19">-I43</f>
        <v>-3</v>
      </c>
      <c r="R43" s="8">
        <f t="shared" ref="R43:R56" si="20">I43</f>
        <v>3</v>
      </c>
    </row>
    <row r="44" spans="1:60 16305:16356">
      <c r="A44" s="8">
        <v>2</v>
      </c>
      <c r="B44" s="8">
        <v>2</v>
      </c>
      <c r="C44" s="8" t="s">
        <v>54</v>
      </c>
      <c r="D44" s="8" t="s">
        <v>55</v>
      </c>
      <c r="E44" s="12" t="s">
        <v>82</v>
      </c>
      <c r="F44" s="8" t="s">
        <v>14</v>
      </c>
      <c r="G44" s="8" t="s">
        <v>68</v>
      </c>
      <c r="H44" s="12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16"/>
        <v>60</v>
      </c>
      <c r="N44" s="8" t="str">
        <f t="shared" si="17"/>
        <v>3</v>
      </c>
      <c r="O44" s="8" t="s">
        <v>171</v>
      </c>
      <c r="P44" s="8">
        <f t="shared" si="18"/>
        <v>998773</v>
      </c>
      <c r="Q44" s="8">
        <f t="shared" si="19"/>
        <v>-3</v>
      </c>
      <c r="R44" s="8">
        <f t="shared" si="20"/>
        <v>3</v>
      </c>
    </row>
    <row r="45" spans="1:60 16305:16356">
      <c r="A45" s="8">
        <v>2</v>
      </c>
      <c r="B45" s="8">
        <v>3</v>
      </c>
      <c r="C45" s="8" t="s">
        <v>54</v>
      </c>
      <c r="D45" s="8" t="s">
        <v>55</v>
      </c>
      <c r="E45" s="12" t="s">
        <v>83</v>
      </c>
      <c r="F45" s="8" t="s">
        <v>14</v>
      </c>
      <c r="G45" s="8" t="s">
        <v>68</v>
      </c>
      <c r="H45" s="12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16"/>
        <v>60</v>
      </c>
      <c r="N45" s="8" t="str">
        <f t="shared" si="17"/>
        <v>3</v>
      </c>
      <c r="O45" s="8" t="s">
        <v>171</v>
      </c>
      <c r="P45" s="8">
        <f t="shared" si="18"/>
        <v>998773</v>
      </c>
      <c r="Q45" s="8">
        <f t="shared" si="19"/>
        <v>-3</v>
      </c>
      <c r="R45" s="8">
        <f t="shared" si="20"/>
        <v>3</v>
      </c>
    </row>
    <row r="46" spans="1:60 16305:16356">
      <c r="A46" s="8">
        <v>2</v>
      </c>
      <c r="B46" s="8">
        <v>4</v>
      </c>
      <c r="C46" s="8" t="s">
        <v>54</v>
      </c>
      <c r="D46" s="8" t="s">
        <v>55</v>
      </c>
      <c r="E46" s="12" t="s">
        <v>84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16"/>
        <v>60</v>
      </c>
      <c r="N46" s="8" t="str">
        <f t="shared" si="17"/>
        <v>3</v>
      </c>
      <c r="O46" s="8" t="s">
        <v>171</v>
      </c>
      <c r="P46" s="8">
        <f t="shared" si="18"/>
        <v>998773</v>
      </c>
      <c r="Q46" s="8">
        <f t="shared" si="19"/>
        <v>-3</v>
      </c>
      <c r="R46" s="8">
        <f t="shared" si="20"/>
        <v>3</v>
      </c>
    </row>
    <row r="47" spans="1:60 16305:16356">
      <c r="A47" s="8">
        <v>2</v>
      </c>
      <c r="B47" s="8">
        <v>5</v>
      </c>
      <c r="C47" s="8" t="s">
        <v>54</v>
      </c>
      <c r="D47" s="8" t="s">
        <v>55</v>
      </c>
      <c r="E47" s="12" t="s">
        <v>85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6"/>
        <v>60</v>
      </c>
      <c r="N47" s="8" t="str">
        <f t="shared" si="17"/>
        <v>3</v>
      </c>
      <c r="O47" s="8" t="s">
        <v>171</v>
      </c>
      <c r="P47" s="8">
        <f t="shared" si="18"/>
        <v>998773</v>
      </c>
      <c r="Q47" s="8">
        <f t="shared" si="19"/>
        <v>-3</v>
      </c>
      <c r="R47" s="8">
        <f t="shared" si="20"/>
        <v>3</v>
      </c>
    </row>
    <row r="48" spans="1:60 16305:16356">
      <c r="A48" s="8">
        <v>2</v>
      </c>
      <c r="B48" s="8">
        <v>6</v>
      </c>
      <c r="C48" s="8" t="s">
        <v>54</v>
      </c>
      <c r="D48" s="8" t="s">
        <v>55</v>
      </c>
      <c r="E48" s="12" t="s">
        <v>86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6"/>
        <v>60</v>
      </c>
      <c r="N48" s="8" t="str">
        <f t="shared" si="17"/>
        <v>3</v>
      </c>
      <c r="O48" s="8" t="s">
        <v>171</v>
      </c>
      <c r="P48" s="8">
        <f t="shared" si="18"/>
        <v>998773</v>
      </c>
      <c r="Q48" s="8">
        <f t="shared" si="19"/>
        <v>-3</v>
      </c>
      <c r="R48" s="8">
        <f t="shared" si="20"/>
        <v>3</v>
      </c>
    </row>
    <row r="49" spans="1:18">
      <c r="A49" s="8">
        <v>2</v>
      </c>
      <c r="B49" s="8">
        <v>7</v>
      </c>
      <c r="C49" s="8" t="s">
        <v>54</v>
      </c>
      <c r="D49" s="8" t="s">
        <v>55</v>
      </c>
      <c r="E49" s="12" t="s">
        <v>87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6"/>
        <v>60</v>
      </c>
      <c r="N49" s="8" t="str">
        <f t="shared" si="17"/>
        <v>3</v>
      </c>
      <c r="O49" s="8" t="s">
        <v>171</v>
      </c>
      <c r="P49" s="8">
        <f t="shared" si="18"/>
        <v>998773</v>
      </c>
      <c r="Q49" s="8">
        <f t="shared" si="19"/>
        <v>-3</v>
      </c>
      <c r="R49" s="8">
        <f t="shared" si="20"/>
        <v>3</v>
      </c>
    </row>
    <row r="50" spans="1:18">
      <c r="A50" s="8">
        <v>3</v>
      </c>
      <c r="B50" s="8">
        <v>1</v>
      </c>
      <c r="C50" s="8" t="s">
        <v>56</v>
      </c>
      <c r="D50" s="8" t="s">
        <v>57</v>
      </c>
      <c r="E50" s="12" t="s">
        <v>88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6"/>
        <v>60</v>
      </c>
      <c r="N50" s="8" t="str">
        <f t="shared" si="17"/>
        <v>3</v>
      </c>
      <c r="O50" s="8" t="s">
        <v>172</v>
      </c>
      <c r="P50" s="8">
        <f t="shared" si="18"/>
        <v>998770</v>
      </c>
      <c r="Q50" s="8">
        <f t="shared" si="19"/>
        <v>-3</v>
      </c>
      <c r="R50" s="8">
        <f t="shared" si="20"/>
        <v>3</v>
      </c>
    </row>
    <row r="51" spans="1:18">
      <c r="A51" s="8">
        <v>3</v>
      </c>
      <c r="B51" s="8">
        <v>2</v>
      </c>
      <c r="C51" s="8" t="s">
        <v>56</v>
      </c>
      <c r="D51" s="8" t="s">
        <v>57</v>
      </c>
      <c r="E51" s="12" t="s">
        <v>91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6"/>
        <v>60</v>
      </c>
      <c r="N51" s="8" t="str">
        <f t="shared" si="17"/>
        <v>3</v>
      </c>
      <c r="O51" s="8" t="s">
        <v>172</v>
      </c>
      <c r="P51" s="8">
        <f t="shared" si="18"/>
        <v>998770</v>
      </c>
      <c r="Q51" s="8">
        <f t="shared" si="19"/>
        <v>-3</v>
      </c>
      <c r="R51" s="8">
        <f t="shared" si="20"/>
        <v>3</v>
      </c>
    </row>
    <row r="52" spans="1:18">
      <c r="A52" s="8">
        <v>3</v>
      </c>
      <c r="B52" s="8">
        <v>3</v>
      </c>
      <c r="C52" s="8" t="s">
        <v>56</v>
      </c>
      <c r="D52" s="8" t="s">
        <v>57</v>
      </c>
      <c r="E52" s="12" t="s">
        <v>92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6"/>
        <v>60</v>
      </c>
      <c r="N52" s="8" t="str">
        <f t="shared" si="17"/>
        <v>3</v>
      </c>
      <c r="O52" s="8" t="s">
        <v>172</v>
      </c>
      <c r="P52" s="8">
        <f t="shared" si="18"/>
        <v>998770</v>
      </c>
      <c r="Q52" s="8">
        <f t="shared" si="19"/>
        <v>-3</v>
      </c>
      <c r="R52" s="8">
        <f t="shared" si="20"/>
        <v>3</v>
      </c>
    </row>
    <row r="53" spans="1:18">
      <c r="A53" s="8">
        <v>3</v>
      </c>
      <c r="B53" s="8">
        <v>4</v>
      </c>
      <c r="C53" s="8" t="s">
        <v>56</v>
      </c>
      <c r="D53" s="8" t="s">
        <v>57</v>
      </c>
      <c r="E53" s="12" t="s">
        <v>93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16"/>
        <v>60</v>
      </c>
      <c r="N53" s="8" t="str">
        <f t="shared" si="17"/>
        <v>3</v>
      </c>
      <c r="O53" s="8" t="s">
        <v>172</v>
      </c>
      <c r="P53" s="8">
        <f t="shared" si="18"/>
        <v>998770</v>
      </c>
      <c r="Q53" s="8">
        <f t="shared" si="19"/>
        <v>-3</v>
      </c>
      <c r="R53" s="8">
        <f t="shared" si="20"/>
        <v>3</v>
      </c>
    </row>
    <row r="54" spans="1:18">
      <c r="A54" s="8">
        <v>3</v>
      </c>
      <c r="B54" s="8">
        <v>5</v>
      </c>
      <c r="C54" s="8" t="s">
        <v>56</v>
      </c>
      <c r="D54" s="8" t="s">
        <v>57</v>
      </c>
      <c r="E54" s="12" t="s">
        <v>94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6"/>
        <v>60</v>
      </c>
      <c r="N54" s="8" t="str">
        <f t="shared" si="17"/>
        <v>3</v>
      </c>
      <c r="O54" s="8" t="s">
        <v>172</v>
      </c>
      <c r="P54" s="8">
        <f t="shared" si="18"/>
        <v>998770</v>
      </c>
      <c r="Q54" s="8">
        <f t="shared" si="19"/>
        <v>-3</v>
      </c>
      <c r="R54" s="8">
        <f t="shared" si="20"/>
        <v>3</v>
      </c>
    </row>
    <row r="55" spans="1:18">
      <c r="A55" s="8">
        <v>3</v>
      </c>
      <c r="B55" s="8">
        <v>6</v>
      </c>
      <c r="C55" s="8" t="s">
        <v>56</v>
      </c>
      <c r="D55" s="8" t="s">
        <v>57</v>
      </c>
      <c r="E55" s="12" t="s">
        <v>95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6"/>
        <v>60</v>
      </c>
      <c r="N55" s="8" t="str">
        <f t="shared" si="17"/>
        <v>3</v>
      </c>
      <c r="O55" s="8" t="s">
        <v>172</v>
      </c>
      <c r="P55" s="8">
        <f t="shared" si="18"/>
        <v>998770</v>
      </c>
      <c r="Q55" s="8">
        <f t="shared" si="19"/>
        <v>-3</v>
      </c>
      <c r="R55" s="8">
        <f t="shared" si="20"/>
        <v>3</v>
      </c>
    </row>
    <row r="56" spans="1:18">
      <c r="A56" s="8">
        <v>3</v>
      </c>
      <c r="B56" s="8">
        <v>7</v>
      </c>
      <c r="C56" s="8" t="s">
        <v>56</v>
      </c>
      <c r="D56" s="8" t="s">
        <v>57</v>
      </c>
      <c r="E56" s="12" t="s">
        <v>96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6"/>
        <v>60</v>
      </c>
      <c r="N56" s="8" t="str">
        <f t="shared" si="17"/>
        <v>3</v>
      </c>
      <c r="O56" s="8" t="s">
        <v>172</v>
      </c>
      <c r="P56" s="8">
        <f t="shared" si="18"/>
        <v>998770</v>
      </c>
      <c r="Q56" s="8">
        <f t="shared" si="19"/>
        <v>-3</v>
      </c>
      <c r="R56" s="8">
        <f t="shared" si="20"/>
        <v>3</v>
      </c>
    </row>
    <row r="57" spans="1:18">
      <c r="A57" s="8" t="s">
        <v>118</v>
      </c>
      <c r="B57" s="8"/>
      <c r="C57" s="8" t="s">
        <v>46</v>
      </c>
      <c r="D57" s="8" t="s">
        <v>47</v>
      </c>
      <c r="E57" s="7" t="s">
        <v>18</v>
      </c>
      <c r="F57" s="8" t="s">
        <v>14</v>
      </c>
      <c r="G57" s="8" t="s">
        <v>52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6"/>
        <v>60</v>
      </c>
      <c r="N57" s="8"/>
      <c r="O57" s="8"/>
      <c r="P57" s="8"/>
      <c r="Q57" s="8"/>
      <c r="R57" s="8"/>
    </row>
    <row r="58" spans="1:18">
      <c r="A58" s="8" t="s">
        <v>118</v>
      </c>
      <c r="B58" s="8"/>
      <c r="C58" s="8" t="s">
        <v>54</v>
      </c>
      <c r="D58" s="8" t="s">
        <v>55</v>
      </c>
      <c r="E58" s="7" t="s">
        <v>18</v>
      </c>
      <c r="F58" s="8" t="s">
        <v>14</v>
      </c>
      <c r="G58" s="8" t="s">
        <v>52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280</v>
      </c>
      <c r="M58" s="8">
        <f t="shared" si="16"/>
        <v>840</v>
      </c>
      <c r="N58" s="8"/>
      <c r="O58" s="8"/>
      <c r="P58" s="8"/>
      <c r="Q58" s="8"/>
      <c r="R58" s="8"/>
    </row>
    <row r="59" spans="1:18">
      <c r="A59" s="36" t="s">
        <v>116</v>
      </c>
      <c r="B59" s="36">
        <v>1</v>
      </c>
      <c r="C59" s="36" t="s">
        <v>56</v>
      </c>
      <c r="D59" s="36"/>
      <c r="E59" s="36"/>
      <c r="F59" s="37"/>
      <c r="G59" s="36"/>
      <c r="H59" s="37" t="s">
        <v>52</v>
      </c>
      <c r="I59" s="37">
        <v>3</v>
      </c>
      <c r="J59" s="36">
        <v>3</v>
      </c>
      <c r="K59" s="36"/>
      <c r="L59" s="36">
        <f>SUM(L36:L58)</f>
        <v>720</v>
      </c>
      <c r="M59" s="38">
        <f>SUM(M36:M58)</f>
        <v>2160</v>
      </c>
      <c r="N59" s="38">
        <v>111</v>
      </c>
      <c r="O59" s="36" t="s">
        <v>170</v>
      </c>
      <c r="P59" s="36"/>
      <c r="Q59" s="36"/>
      <c r="R59" s="36"/>
    </row>
    <row r="60" spans="1:18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2" spans="1:18">
      <c r="K62" s="9" t="s">
        <v>109</v>
      </c>
      <c r="L62" s="9">
        <f>L63/H3</f>
        <v>720</v>
      </c>
    </row>
    <row r="63" spans="1:18">
      <c r="K63" s="9" t="s">
        <v>120</v>
      </c>
      <c r="L63" s="9">
        <f>M59+AG7</f>
        <v>2160</v>
      </c>
    </row>
  </sheetData>
  <mergeCells count="8">
    <mergeCell ref="A1:M1"/>
    <mergeCell ref="A4:L4"/>
    <mergeCell ref="A9:L9"/>
    <mergeCell ref="A33:R33"/>
    <mergeCell ref="T33:AU33"/>
    <mergeCell ref="A34:R34"/>
    <mergeCell ref="T34:AU34"/>
    <mergeCell ref="T39:AC3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3" sqref="E13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174</v>
      </c>
      <c r="F3" s="7" t="s">
        <v>18</v>
      </c>
      <c r="G3" s="54" t="s">
        <v>19</v>
      </c>
      <c r="H3" s="6">
        <v>3</v>
      </c>
      <c r="I3" s="8" t="s">
        <v>175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167</v>
      </c>
      <c r="I11" s="8" t="s">
        <v>135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167</v>
      </c>
      <c r="I12" s="8" t="s">
        <v>135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167</v>
      </c>
      <c r="I13" s="8" t="s">
        <v>135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167</v>
      </c>
      <c r="I14" s="8" t="s">
        <v>135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167</v>
      </c>
      <c r="I15" s="8" t="s">
        <v>135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167</v>
      </c>
      <c r="I16" s="8" t="s">
        <v>135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167</v>
      </c>
      <c r="I17" s="8" t="s">
        <v>135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135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135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135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75</v>
      </c>
      <c r="F21" s="8" t="s">
        <v>14</v>
      </c>
      <c r="G21" s="8" t="s">
        <v>68</v>
      </c>
      <c r="H21" s="8">
        <f t="shared" si="1"/>
        <v>998776</v>
      </c>
      <c r="I21" s="8" t="s">
        <v>135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76</v>
      </c>
      <c r="F22" s="8" t="s">
        <v>14</v>
      </c>
      <c r="G22" s="8" t="s">
        <v>68</v>
      </c>
      <c r="H22" s="8">
        <f t="shared" si="1"/>
        <v>998776</v>
      </c>
      <c r="I22" s="8" t="s">
        <v>135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77</v>
      </c>
      <c r="F23" s="8" t="s">
        <v>14</v>
      </c>
      <c r="G23" s="8" t="s">
        <v>68</v>
      </c>
      <c r="H23" s="8">
        <f t="shared" si="1"/>
        <v>998776</v>
      </c>
      <c r="I23" s="8" t="s">
        <v>135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78</v>
      </c>
      <c r="F24" s="8" t="s">
        <v>14</v>
      </c>
      <c r="G24" s="8" t="s">
        <v>68</v>
      </c>
      <c r="H24" s="8">
        <f t="shared" si="1"/>
        <v>998776</v>
      </c>
      <c r="I24" s="8" t="s">
        <v>135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135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135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135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75</v>
      </c>
      <c r="F28" s="8" t="s">
        <v>14</v>
      </c>
      <c r="G28" s="8" t="s">
        <v>68</v>
      </c>
      <c r="H28" s="8">
        <f t="shared" si="1"/>
        <v>998773</v>
      </c>
      <c r="I28" s="8" t="s">
        <v>135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76</v>
      </c>
      <c r="F29" s="8" t="s">
        <v>14</v>
      </c>
      <c r="G29" s="8" t="s">
        <v>68</v>
      </c>
      <c r="H29" s="8">
        <f t="shared" si="1"/>
        <v>998773</v>
      </c>
      <c r="I29" s="8" t="s">
        <v>135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77</v>
      </c>
      <c r="F30" s="8" t="s">
        <v>14</v>
      </c>
      <c r="G30" s="8" t="s">
        <v>68</v>
      </c>
      <c r="H30" s="8">
        <f t="shared" si="1"/>
        <v>998773</v>
      </c>
      <c r="I30" s="8" t="s">
        <v>135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78</v>
      </c>
      <c r="F31" s="8" t="s">
        <v>14</v>
      </c>
      <c r="G31" s="8" t="s">
        <v>68</v>
      </c>
      <c r="H31" s="8">
        <f t="shared" si="1"/>
        <v>998773</v>
      </c>
      <c r="I31" s="8" t="s">
        <v>135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136</v>
      </c>
      <c r="V32" s="16">
        <v>1</v>
      </c>
    </row>
    <row r="33" ht="15" spans="1:60 16305:16356">
      <c r="A33" s="3" t="s">
        <v>137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139</v>
      </c>
      <c r="U35" s="19" t="s">
        <v>140</v>
      </c>
      <c r="V35" s="20" t="s">
        <v>141</v>
      </c>
      <c r="W35" s="19" t="s">
        <v>142</v>
      </c>
      <c r="X35" s="19" t="s">
        <v>143</v>
      </c>
      <c r="Y35" s="19" t="s">
        <v>144</v>
      </c>
      <c r="Z35" s="19" t="s">
        <v>145</v>
      </c>
      <c r="AA35" s="19" t="s">
        <v>146</v>
      </c>
      <c r="AB35" s="19" t="s">
        <v>147</v>
      </c>
      <c r="AC35" s="19" t="s">
        <v>148</v>
      </c>
      <c r="AD35" s="19" t="s">
        <v>149</v>
      </c>
      <c r="AE35" s="19" t="s">
        <v>150</v>
      </c>
      <c r="AF35" s="19" t="s">
        <v>151</v>
      </c>
      <c r="AG35" s="19" t="s">
        <v>152</v>
      </c>
      <c r="AH35" s="19" t="s">
        <v>153</v>
      </c>
      <c r="AI35" s="19" t="s">
        <v>154</v>
      </c>
      <c r="AJ35" s="19" t="s">
        <v>155</v>
      </c>
      <c r="AK35" s="21" t="s">
        <v>156</v>
      </c>
      <c r="AL35" s="21" t="s">
        <v>157</v>
      </c>
      <c r="AM35" s="21" t="s">
        <v>158</v>
      </c>
      <c r="AN35" s="21" t="s">
        <v>159</v>
      </c>
      <c r="AO35" s="21" t="s">
        <v>160</v>
      </c>
      <c r="AP35" s="21" t="s">
        <v>161</v>
      </c>
      <c r="AQ35" s="21" t="s">
        <v>162</v>
      </c>
      <c r="AR35" s="21" t="s">
        <v>163</v>
      </c>
      <c r="AS35" s="22" t="s">
        <v>164</v>
      </c>
      <c r="AT35" s="19" t="s">
        <v>165</v>
      </c>
      <c r="AU35" s="19" t="s">
        <v>166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54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v>100</v>
      </c>
      <c r="AU36" s="30">
        <v>110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167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169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167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117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167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139</v>
      </c>
      <c r="U39" s="19" t="s">
        <v>140</v>
      </c>
      <c r="V39" s="20" t="s">
        <v>141</v>
      </c>
      <c r="W39" s="19" t="s">
        <v>142</v>
      </c>
      <c r="X39" s="19" t="s">
        <v>143</v>
      </c>
      <c r="Y39" s="19" t="s">
        <v>144</v>
      </c>
      <c r="Z39" s="19" t="s">
        <v>145</v>
      </c>
      <c r="AA39" s="19" t="s">
        <v>146</v>
      </c>
      <c r="AB39" s="19" t="s">
        <v>147</v>
      </c>
      <c r="AC39" s="19" t="s">
        <v>148</v>
      </c>
      <c r="AD39" s="19" t="s">
        <v>149</v>
      </c>
      <c r="AE39" s="19" t="s">
        <v>150</v>
      </c>
      <c r="AF39" s="19" t="s">
        <v>151</v>
      </c>
      <c r="AG39" s="19" t="s">
        <v>152</v>
      </c>
      <c r="AH39" s="19" t="s">
        <v>153</v>
      </c>
      <c r="AI39" s="19" t="s">
        <v>154</v>
      </c>
      <c r="AJ39" s="19" t="s">
        <v>155</v>
      </c>
      <c r="AK39" s="21" t="s">
        <v>156</v>
      </c>
      <c r="AL39" s="21" t="s">
        <v>157</v>
      </c>
      <c r="AM39" s="21" t="s">
        <v>158</v>
      </c>
      <c r="AN39" s="21" t="s">
        <v>159</v>
      </c>
      <c r="AO39" s="21" t="s">
        <v>160</v>
      </c>
      <c r="AP39" s="21" t="s">
        <v>161</v>
      </c>
      <c r="AQ39" s="21" t="s">
        <v>162</v>
      </c>
      <c r="AR39" s="21" t="s">
        <v>163</v>
      </c>
      <c r="AS39" s="22" t="s">
        <v>164</v>
      </c>
      <c r="AT39" s="19" t="s">
        <v>165</v>
      </c>
      <c r="AU39" s="19" t="s">
        <v>166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167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167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169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167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170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9">L46*K46</f>
        <v>60</v>
      </c>
      <c r="N46" s="8" t="str">
        <f t="shared" ref="N46:N52" si="10">I18</f>
        <v>3</v>
      </c>
      <c r="O46" s="8" t="s">
        <v>171</v>
      </c>
      <c r="P46" s="8">
        <f t="shared" ref="P46:P52" si="11">O46-I46</f>
        <v>998773</v>
      </c>
      <c r="Q46" s="8">
        <f t="shared" ref="Q46:Q52" si="12">-I46</f>
        <v>-3</v>
      </c>
      <c r="R46" s="8">
        <f t="shared" ref="R46:R52" si="13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9"/>
        <v>60</v>
      </c>
      <c r="N47" s="8" t="str">
        <f t="shared" si="10"/>
        <v>3</v>
      </c>
      <c r="O47" s="8" t="s">
        <v>171</v>
      </c>
      <c r="P47" s="8">
        <f t="shared" si="11"/>
        <v>998773</v>
      </c>
      <c r="Q47" s="8">
        <f t="shared" si="12"/>
        <v>-3</v>
      </c>
      <c r="R47" s="8">
        <f t="shared" si="13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9"/>
        <v>60</v>
      </c>
      <c r="N48" s="8" t="str">
        <f t="shared" si="10"/>
        <v>3</v>
      </c>
      <c r="O48" s="8" t="s">
        <v>171</v>
      </c>
      <c r="P48" s="8">
        <f t="shared" si="11"/>
        <v>998773</v>
      </c>
      <c r="Q48" s="8">
        <f t="shared" si="12"/>
        <v>-3</v>
      </c>
      <c r="R48" s="8">
        <f t="shared" si="13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9"/>
        <v>60</v>
      </c>
      <c r="N49" s="8" t="str">
        <f t="shared" si="10"/>
        <v>3</v>
      </c>
      <c r="O49" s="8" t="s">
        <v>171</v>
      </c>
      <c r="P49" s="8">
        <f t="shared" si="11"/>
        <v>998773</v>
      </c>
      <c r="Q49" s="8">
        <f t="shared" si="12"/>
        <v>-3</v>
      </c>
      <c r="R49" s="8">
        <f t="shared" si="13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9"/>
        <v>60</v>
      </c>
      <c r="N50" s="8" t="str">
        <f t="shared" si="10"/>
        <v>3</v>
      </c>
      <c r="O50" s="8" t="s">
        <v>171</v>
      </c>
      <c r="P50" s="8">
        <f t="shared" si="11"/>
        <v>998773</v>
      </c>
      <c r="Q50" s="8">
        <f t="shared" si="12"/>
        <v>-3</v>
      </c>
      <c r="R50" s="8">
        <f t="shared" si="13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9"/>
        <v>60</v>
      </c>
      <c r="N51" s="8" t="str">
        <f t="shared" si="10"/>
        <v>3</v>
      </c>
      <c r="O51" s="8" t="s">
        <v>171</v>
      </c>
      <c r="P51" s="8">
        <f t="shared" si="11"/>
        <v>998773</v>
      </c>
      <c r="Q51" s="8">
        <f t="shared" si="12"/>
        <v>-3</v>
      </c>
      <c r="R51" s="8">
        <f t="shared" si="13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9"/>
        <v>60</v>
      </c>
      <c r="N52" s="8" t="str">
        <f t="shared" si="10"/>
        <v>3</v>
      </c>
      <c r="O52" s="8" t="s">
        <v>171</v>
      </c>
      <c r="P52" s="8">
        <f t="shared" si="11"/>
        <v>998773</v>
      </c>
      <c r="Q52" s="8">
        <f t="shared" si="12"/>
        <v>-3</v>
      </c>
      <c r="R52" s="8">
        <f t="shared" si="13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9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170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4">L57*K57</f>
        <v>60</v>
      </c>
      <c r="N57" s="8" t="str">
        <f t="shared" ref="N57:N63" si="15">I25</f>
        <v>3</v>
      </c>
      <c r="O57" s="8" t="s">
        <v>172</v>
      </c>
      <c r="P57" s="8">
        <f t="shared" ref="P57:P63" si="16">O57-I57</f>
        <v>998770</v>
      </c>
      <c r="Q57" s="8">
        <f t="shared" ref="Q57:Q63" si="17">-I57</f>
        <v>-3</v>
      </c>
      <c r="R57" s="8">
        <f t="shared" ref="R57:R63" si="18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4"/>
        <v>60</v>
      </c>
      <c r="N58" s="8" t="str">
        <f t="shared" si="15"/>
        <v>3</v>
      </c>
      <c r="O58" s="8" t="s">
        <v>172</v>
      </c>
      <c r="P58" s="8">
        <f t="shared" si="16"/>
        <v>998770</v>
      </c>
      <c r="Q58" s="8">
        <f t="shared" si="17"/>
        <v>-3</v>
      </c>
      <c r="R58" s="8">
        <f t="shared" si="18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4"/>
        <v>60</v>
      </c>
      <c r="N59" s="8" t="str">
        <f t="shared" si="15"/>
        <v>3</v>
      </c>
      <c r="O59" s="8" t="s">
        <v>172</v>
      </c>
      <c r="P59" s="8">
        <f t="shared" si="16"/>
        <v>998770</v>
      </c>
      <c r="Q59" s="8">
        <f t="shared" si="17"/>
        <v>-3</v>
      </c>
      <c r="R59" s="8">
        <f t="shared" si="18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4"/>
        <v>60</v>
      </c>
      <c r="N60" s="8" t="str">
        <f t="shared" si="15"/>
        <v>3</v>
      </c>
      <c r="O60" s="8" t="s">
        <v>172</v>
      </c>
      <c r="P60" s="8">
        <f t="shared" si="16"/>
        <v>998770</v>
      </c>
      <c r="Q60" s="8">
        <f t="shared" si="17"/>
        <v>-3</v>
      </c>
      <c r="R60" s="8">
        <f t="shared" si="18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4"/>
        <v>60</v>
      </c>
      <c r="N61" s="8" t="str">
        <f t="shared" si="15"/>
        <v>3</v>
      </c>
      <c r="O61" s="8" t="s">
        <v>172</v>
      </c>
      <c r="P61" s="8">
        <f t="shared" si="16"/>
        <v>998770</v>
      </c>
      <c r="Q61" s="8">
        <f t="shared" si="17"/>
        <v>-3</v>
      </c>
      <c r="R61" s="8">
        <f t="shared" si="18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4"/>
        <v>60</v>
      </c>
      <c r="N62" s="8" t="str">
        <f t="shared" si="15"/>
        <v>3</v>
      </c>
      <c r="O62" s="8" t="s">
        <v>172</v>
      </c>
      <c r="P62" s="8">
        <f t="shared" si="16"/>
        <v>998770</v>
      </c>
      <c r="Q62" s="8">
        <f t="shared" si="17"/>
        <v>-3</v>
      </c>
      <c r="R62" s="8">
        <f t="shared" si="18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4"/>
        <v>60</v>
      </c>
      <c r="N63" s="8" t="str">
        <f t="shared" si="15"/>
        <v>3</v>
      </c>
      <c r="O63" s="8" t="s">
        <v>172</v>
      </c>
      <c r="P63" s="8">
        <f t="shared" si="16"/>
        <v>998770</v>
      </c>
      <c r="Q63" s="8">
        <f t="shared" si="17"/>
        <v>-3</v>
      </c>
      <c r="R63" s="8">
        <f t="shared" si="18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4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170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2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  <mergeCell ref="A55:R5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174</v>
      </c>
      <c r="F3" s="7" t="s">
        <v>18</v>
      </c>
      <c r="G3" s="54" t="s">
        <v>19</v>
      </c>
      <c r="H3" s="6">
        <v>3</v>
      </c>
      <c r="I3" s="8" t="s">
        <v>175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167</v>
      </c>
      <c r="I11" s="8" t="s">
        <v>135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167</v>
      </c>
      <c r="I12" s="8" t="s">
        <v>135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167</v>
      </c>
      <c r="I13" s="8" t="s">
        <v>135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167</v>
      </c>
      <c r="I14" s="8" t="s">
        <v>135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167</v>
      </c>
      <c r="I15" s="8" t="s">
        <v>135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167</v>
      </c>
      <c r="I16" s="8" t="s">
        <v>135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167</v>
      </c>
      <c r="I17" s="8" t="s">
        <v>135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135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135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135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135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135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135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135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135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135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135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135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135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135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135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136</v>
      </c>
      <c r="V32" s="16">
        <v>1</v>
      </c>
    </row>
    <row r="33" ht="15" spans="1:60 16277:16356">
      <c r="A33" s="3" t="s">
        <v>137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173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167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169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167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167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167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167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167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170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171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171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171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171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171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171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171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172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172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172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172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172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172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172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170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4" sqref="E14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174</v>
      </c>
      <c r="F3" s="7" t="s">
        <v>18</v>
      </c>
      <c r="G3" s="54" t="s">
        <v>19</v>
      </c>
      <c r="H3" s="6">
        <v>3</v>
      </c>
      <c r="I3" s="8" t="s">
        <v>175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167</v>
      </c>
      <c r="I11" s="8" t="s">
        <v>135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167</v>
      </c>
      <c r="I12" s="8" t="s">
        <v>135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167</v>
      </c>
      <c r="I13" s="8" t="s">
        <v>135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167</v>
      </c>
      <c r="I14" s="8" t="s">
        <v>135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167</v>
      </c>
      <c r="I15" s="8" t="s">
        <v>135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167</v>
      </c>
      <c r="I16" s="8" t="s">
        <v>135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167</v>
      </c>
      <c r="I17" s="8" t="s">
        <v>135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135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135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135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135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135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135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135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135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135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135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135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135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135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135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136</v>
      </c>
      <c r="V32" s="16">
        <v>1</v>
      </c>
    </row>
    <row r="33" ht="15" spans="1:60 16277:16356">
      <c r="A33" s="3" t="s">
        <v>137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173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167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169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167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167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167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167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167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170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171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171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171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171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171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171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171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172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172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172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172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172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172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172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170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9" sqref="E19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176</v>
      </c>
      <c r="F3" s="7" t="s">
        <v>18</v>
      </c>
      <c r="G3" s="54" t="s">
        <v>19</v>
      </c>
      <c r="H3" s="6">
        <v>3</v>
      </c>
      <c r="I3" s="8" t="s">
        <v>175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167</v>
      </c>
      <c r="I11" s="8" t="s">
        <v>135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167</v>
      </c>
      <c r="I12" s="8" t="s">
        <v>135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167</v>
      </c>
      <c r="I13" s="8" t="s">
        <v>135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167</v>
      </c>
      <c r="I14" s="8" t="s">
        <v>135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167</v>
      </c>
      <c r="I15" s="8" t="s">
        <v>135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167</v>
      </c>
      <c r="I16" s="8" t="s">
        <v>135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167</v>
      </c>
      <c r="I17" s="8" t="s">
        <v>135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135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135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135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75</v>
      </c>
      <c r="F21" s="8" t="s">
        <v>14</v>
      </c>
      <c r="G21" s="8" t="s">
        <v>68</v>
      </c>
      <c r="H21" s="8">
        <f t="shared" si="1"/>
        <v>998776</v>
      </c>
      <c r="I21" s="8" t="s">
        <v>135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76</v>
      </c>
      <c r="F22" s="8" t="s">
        <v>14</v>
      </c>
      <c r="G22" s="8" t="s">
        <v>68</v>
      </c>
      <c r="H22" s="8">
        <f t="shared" si="1"/>
        <v>998776</v>
      </c>
      <c r="I22" s="8" t="s">
        <v>135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77</v>
      </c>
      <c r="F23" s="8" t="s">
        <v>14</v>
      </c>
      <c r="G23" s="8" t="s">
        <v>68</v>
      </c>
      <c r="H23" s="8">
        <f t="shared" si="1"/>
        <v>998776</v>
      </c>
      <c r="I23" s="8" t="s">
        <v>135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78</v>
      </c>
      <c r="F24" s="8" t="s">
        <v>14</v>
      </c>
      <c r="G24" s="8" t="s">
        <v>68</v>
      </c>
      <c r="H24" s="8">
        <f t="shared" si="1"/>
        <v>998776</v>
      </c>
      <c r="I24" s="8" t="s">
        <v>135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135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135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135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75</v>
      </c>
      <c r="F28" s="8" t="s">
        <v>14</v>
      </c>
      <c r="G28" s="8" t="s">
        <v>68</v>
      </c>
      <c r="H28" s="8">
        <f t="shared" si="1"/>
        <v>998773</v>
      </c>
      <c r="I28" s="8" t="s">
        <v>135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76</v>
      </c>
      <c r="F29" s="8" t="s">
        <v>14</v>
      </c>
      <c r="G29" s="8" t="s">
        <v>68</v>
      </c>
      <c r="H29" s="8">
        <f t="shared" si="1"/>
        <v>998773</v>
      </c>
      <c r="I29" s="8" t="s">
        <v>135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77</v>
      </c>
      <c r="F30" s="8" t="s">
        <v>14</v>
      </c>
      <c r="G30" s="8" t="s">
        <v>68</v>
      </c>
      <c r="H30" s="8">
        <f t="shared" si="1"/>
        <v>998773</v>
      </c>
      <c r="I30" s="8" t="s">
        <v>135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78</v>
      </c>
      <c r="F31" s="8" t="s">
        <v>14</v>
      </c>
      <c r="G31" s="8" t="s">
        <v>68</v>
      </c>
      <c r="H31" s="8">
        <f t="shared" si="1"/>
        <v>998773</v>
      </c>
      <c r="I31" s="8" t="s">
        <v>135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136</v>
      </c>
      <c r="V32" s="16">
        <v>1</v>
      </c>
    </row>
    <row r="33" ht="15" spans="1:60 16305:16356">
      <c r="A33" s="3" t="s">
        <v>137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139</v>
      </c>
      <c r="U35" s="19" t="s">
        <v>140</v>
      </c>
      <c r="V35" s="20" t="s">
        <v>141</v>
      </c>
      <c r="W35" s="19" t="s">
        <v>142</v>
      </c>
      <c r="X35" s="19" t="s">
        <v>143</v>
      </c>
      <c r="Y35" s="19" t="s">
        <v>144</v>
      </c>
      <c r="Z35" s="19" t="s">
        <v>145</v>
      </c>
      <c r="AA35" s="19" t="s">
        <v>146</v>
      </c>
      <c r="AB35" s="19" t="s">
        <v>147</v>
      </c>
      <c r="AC35" s="19" t="s">
        <v>148</v>
      </c>
      <c r="AD35" s="19" t="s">
        <v>149</v>
      </c>
      <c r="AE35" s="19" t="s">
        <v>150</v>
      </c>
      <c r="AF35" s="19" t="s">
        <v>151</v>
      </c>
      <c r="AG35" s="19" t="s">
        <v>152</v>
      </c>
      <c r="AH35" s="19" t="s">
        <v>153</v>
      </c>
      <c r="AI35" s="19" t="s">
        <v>154</v>
      </c>
      <c r="AJ35" s="19" t="s">
        <v>155</v>
      </c>
      <c r="AK35" s="21" t="s">
        <v>156</v>
      </c>
      <c r="AL35" s="21" t="s">
        <v>157</v>
      </c>
      <c r="AM35" s="21" t="s">
        <v>158</v>
      </c>
      <c r="AN35" s="21" t="s">
        <v>159</v>
      </c>
      <c r="AO35" s="21" t="s">
        <v>160</v>
      </c>
      <c r="AP35" s="21" t="s">
        <v>161</v>
      </c>
      <c r="AQ35" s="21" t="s">
        <v>162</v>
      </c>
      <c r="AR35" s="21" t="s">
        <v>163</v>
      </c>
      <c r="AS35" s="22" t="s">
        <v>164</v>
      </c>
      <c r="AT35" s="19" t="s">
        <v>165</v>
      </c>
      <c r="AU35" s="19" t="s">
        <v>166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168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167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169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167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167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167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167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167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170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171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171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171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171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171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171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171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170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172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172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172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172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172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172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172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170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7" sqref="E17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176</v>
      </c>
      <c r="F3" s="7" t="s">
        <v>18</v>
      </c>
      <c r="G3" s="54" t="s">
        <v>19</v>
      </c>
      <c r="H3" s="6">
        <v>3</v>
      </c>
      <c r="I3" s="8" t="s">
        <v>175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167</v>
      </c>
      <c r="I11" s="8" t="s">
        <v>135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167</v>
      </c>
      <c r="I12" s="8" t="s">
        <v>135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167</v>
      </c>
      <c r="I13" s="8" t="s">
        <v>135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167</v>
      </c>
      <c r="I14" s="8" t="s">
        <v>135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167</v>
      </c>
      <c r="I15" s="8" t="s">
        <v>135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167</v>
      </c>
      <c r="I16" s="8" t="s">
        <v>135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167</v>
      </c>
      <c r="I17" s="8" t="s">
        <v>135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135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135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135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135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135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135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135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135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135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135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135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135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135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135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136</v>
      </c>
      <c r="V32" s="16">
        <v>1</v>
      </c>
    </row>
    <row r="33" ht="15" spans="1:60 16277:16356">
      <c r="A33" s="3" t="s">
        <v>137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139</v>
      </c>
      <c r="U35" s="19" t="s">
        <v>140</v>
      </c>
      <c r="V35" s="20" t="s">
        <v>141</v>
      </c>
      <c r="W35" s="19" t="s">
        <v>142</v>
      </c>
      <c r="X35" s="19" t="s">
        <v>143</v>
      </c>
      <c r="Y35" s="19" t="s">
        <v>144</v>
      </c>
      <c r="Z35" s="19" t="s">
        <v>145</v>
      </c>
      <c r="AA35" s="19" t="s">
        <v>146</v>
      </c>
      <c r="AB35" s="19" t="s">
        <v>147</v>
      </c>
      <c r="AC35" s="19" t="s">
        <v>148</v>
      </c>
      <c r="AD35" s="19" t="s">
        <v>149</v>
      </c>
      <c r="AE35" s="19" t="s">
        <v>150</v>
      </c>
      <c r="AF35" s="19" t="s">
        <v>151</v>
      </c>
      <c r="AG35" s="19" t="s">
        <v>152</v>
      </c>
      <c r="AH35" s="19" t="s">
        <v>153</v>
      </c>
      <c r="AI35" s="19" t="s">
        <v>154</v>
      </c>
      <c r="AJ35" s="19" t="s">
        <v>155</v>
      </c>
      <c r="AK35" s="21" t="s">
        <v>156</v>
      </c>
      <c r="AL35" s="21" t="s">
        <v>157</v>
      </c>
      <c r="AM35" s="21" t="s">
        <v>158</v>
      </c>
      <c r="AN35" s="21" t="s">
        <v>159</v>
      </c>
      <c r="AO35" s="21" t="s">
        <v>160</v>
      </c>
      <c r="AP35" s="21" t="s">
        <v>161</v>
      </c>
      <c r="AQ35" s="21" t="s">
        <v>162</v>
      </c>
      <c r="AR35" s="21" t="s">
        <v>163</v>
      </c>
      <c r="AS35" s="22" t="s">
        <v>164</v>
      </c>
      <c r="AT35" s="19" t="s">
        <v>165</v>
      </c>
      <c r="AU35" s="19" t="s">
        <v>166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168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167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169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167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167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167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167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167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170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171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171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171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171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171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171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171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172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172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172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172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172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172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172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170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6" sqref="E16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176</v>
      </c>
      <c r="F3" s="7" t="s">
        <v>18</v>
      </c>
      <c r="G3" s="54" t="s">
        <v>19</v>
      </c>
      <c r="H3" s="6">
        <v>3</v>
      </c>
      <c r="I3" s="8" t="s">
        <v>175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167</v>
      </c>
      <c r="I11" s="8" t="s">
        <v>135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167</v>
      </c>
      <c r="I12" s="8" t="s">
        <v>135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167</v>
      </c>
      <c r="I13" s="8" t="s">
        <v>135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167</v>
      </c>
      <c r="I14" s="8" t="s">
        <v>135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167</v>
      </c>
      <c r="I15" s="8" t="s">
        <v>135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167</v>
      </c>
      <c r="I16" s="8" t="s">
        <v>135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167</v>
      </c>
      <c r="I17" s="8" t="s">
        <v>135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135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135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135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135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135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135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135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135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135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135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135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135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135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135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136</v>
      </c>
      <c r="V32" s="16">
        <v>1</v>
      </c>
    </row>
    <row r="33" ht="15" spans="1:60 16277:16356">
      <c r="A33" s="3" t="s">
        <v>137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139</v>
      </c>
      <c r="U35" s="19" t="s">
        <v>140</v>
      </c>
      <c r="V35" s="20" t="s">
        <v>141</v>
      </c>
      <c r="W35" s="19" t="s">
        <v>142</v>
      </c>
      <c r="X35" s="19" t="s">
        <v>143</v>
      </c>
      <c r="Y35" s="19" t="s">
        <v>144</v>
      </c>
      <c r="Z35" s="19" t="s">
        <v>145</v>
      </c>
      <c r="AA35" s="19" t="s">
        <v>146</v>
      </c>
      <c r="AB35" s="19" t="s">
        <v>147</v>
      </c>
      <c r="AC35" s="19" t="s">
        <v>148</v>
      </c>
      <c r="AD35" s="19" t="s">
        <v>149</v>
      </c>
      <c r="AE35" s="19" t="s">
        <v>150</v>
      </c>
      <c r="AF35" s="19" t="s">
        <v>151</v>
      </c>
      <c r="AG35" s="19" t="s">
        <v>152</v>
      </c>
      <c r="AH35" s="19" t="s">
        <v>153</v>
      </c>
      <c r="AI35" s="19" t="s">
        <v>154</v>
      </c>
      <c r="AJ35" s="19" t="s">
        <v>155</v>
      </c>
      <c r="AK35" s="21" t="s">
        <v>156</v>
      </c>
      <c r="AL35" s="21" t="s">
        <v>157</v>
      </c>
      <c r="AM35" s="21" t="s">
        <v>158</v>
      </c>
      <c r="AN35" s="21" t="s">
        <v>159</v>
      </c>
      <c r="AO35" s="21" t="s">
        <v>160</v>
      </c>
      <c r="AP35" s="21" t="s">
        <v>161</v>
      </c>
      <c r="AQ35" s="21" t="s">
        <v>162</v>
      </c>
      <c r="AR35" s="21" t="s">
        <v>163</v>
      </c>
      <c r="AS35" s="22" t="s">
        <v>164</v>
      </c>
      <c r="AT35" s="19" t="s">
        <v>165</v>
      </c>
      <c r="AU35" s="19" t="s">
        <v>166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168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167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169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167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167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167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167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167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170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171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171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171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171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171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171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171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172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172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172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172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172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172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172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170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177</v>
      </c>
      <c r="F3" s="7" t="s">
        <v>18</v>
      </c>
      <c r="G3" s="54" t="s">
        <v>19</v>
      </c>
      <c r="H3" s="6">
        <v>3</v>
      </c>
      <c r="I3" s="8" t="s">
        <v>175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167</v>
      </c>
      <c r="I11" s="8" t="s">
        <v>135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167</v>
      </c>
      <c r="I12" s="8" t="s">
        <v>135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167</v>
      </c>
      <c r="I13" s="8" t="s">
        <v>135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167</v>
      </c>
      <c r="I14" s="8" t="s">
        <v>135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167</v>
      </c>
      <c r="I15" s="8" t="s">
        <v>135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167</v>
      </c>
      <c r="I16" s="8" t="s">
        <v>135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167</v>
      </c>
      <c r="I17" s="8" t="s">
        <v>135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135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135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135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75</v>
      </c>
      <c r="F21" s="8" t="s">
        <v>14</v>
      </c>
      <c r="G21" s="8" t="s">
        <v>68</v>
      </c>
      <c r="H21" s="8">
        <f t="shared" si="1"/>
        <v>998776</v>
      </c>
      <c r="I21" s="8" t="s">
        <v>135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76</v>
      </c>
      <c r="F22" s="8" t="s">
        <v>14</v>
      </c>
      <c r="G22" s="8" t="s">
        <v>68</v>
      </c>
      <c r="H22" s="8">
        <f t="shared" si="1"/>
        <v>998776</v>
      </c>
      <c r="I22" s="8" t="s">
        <v>135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77</v>
      </c>
      <c r="F23" s="8" t="s">
        <v>14</v>
      </c>
      <c r="G23" s="8" t="s">
        <v>68</v>
      </c>
      <c r="H23" s="8">
        <f t="shared" si="1"/>
        <v>998776</v>
      </c>
      <c r="I23" s="8" t="s">
        <v>135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78</v>
      </c>
      <c r="F24" s="8" t="s">
        <v>14</v>
      </c>
      <c r="G24" s="8" t="s">
        <v>68</v>
      </c>
      <c r="H24" s="8">
        <f t="shared" si="1"/>
        <v>998776</v>
      </c>
      <c r="I24" s="8" t="s">
        <v>135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135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135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135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75</v>
      </c>
      <c r="F28" s="8" t="s">
        <v>14</v>
      </c>
      <c r="G28" s="8" t="s">
        <v>68</v>
      </c>
      <c r="H28" s="8">
        <f t="shared" si="1"/>
        <v>998773</v>
      </c>
      <c r="I28" s="8" t="s">
        <v>135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76</v>
      </c>
      <c r="F29" s="8" t="s">
        <v>14</v>
      </c>
      <c r="G29" s="8" t="s">
        <v>68</v>
      </c>
      <c r="H29" s="8">
        <f t="shared" si="1"/>
        <v>998773</v>
      </c>
      <c r="I29" s="8" t="s">
        <v>135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77</v>
      </c>
      <c r="F30" s="8" t="s">
        <v>14</v>
      </c>
      <c r="G30" s="8" t="s">
        <v>68</v>
      </c>
      <c r="H30" s="8">
        <f t="shared" si="1"/>
        <v>998773</v>
      </c>
      <c r="I30" s="8" t="s">
        <v>135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78</v>
      </c>
      <c r="F31" s="8" t="s">
        <v>14</v>
      </c>
      <c r="G31" s="8" t="s">
        <v>68</v>
      </c>
      <c r="H31" s="8">
        <f t="shared" si="1"/>
        <v>998773</v>
      </c>
      <c r="I31" s="8" t="s">
        <v>135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136</v>
      </c>
      <c r="V32" s="16">
        <v>1</v>
      </c>
    </row>
    <row r="33" ht="15" spans="1:60 16305:16356">
      <c r="A33" s="3" t="s">
        <v>137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139</v>
      </c>
      <c r="U35" s="19" t="s">
        <v>140</v>
      </c>
      <c r="V35" s="20" t="s">
        <v>141</v>
      </c>
      <c r="W35" s="19" t="s">
        <v>142</v>
      </c>
      <c r="X35" s="19" t="s">
        <v>143</v>
      </c>
      <c r="Y35" s="19" t="s">
        <v>144</v>
      </c>
      <c r="Z35" s="19" t="s">
        <v>145</v>
      </c>
      <c r="AA35" s="19" t="s">
        <v>146</v>
      </c>
      <c r="AB35" s="19" t="s">
        <v>147</v>
      </c>
      <c r="AC35" s="19" t="s">
        <v>148</v>
      </c>
      <c r="AD35" s="19" t="s">
        <v>149</v>
      </c>
      <c r="AE35" s="19" t="s">
        <v>150</v>
      </c>
      <c r="AF35" s="19" t="s">
        <v>151</v>
      </c>
      <c r="AG35" s="19" t="s">
        <v>152</v>
      </c>
      <c r="AH35" s="19" t="s">
        <v>153</v>
      </c>
      <c r="AI35" s="19" t="s">
        <v>154</v>
      </c>
      <c r="AJ35" s="19" t="s">
        <v>155</v>
      </c>
      <c r="AK35" s="21" t="s">
        <v>156</v>
      </c>
      <c r="AL35" s="21" t="s">
        <v>157</v>
      </c>
      <c r="AM35" s="21" t="s">
        <v>158</v>
      </c>
      <c r="AN35" s="21" t="s">
        <v>159</v>
      </c>
      <c r="AO35" s="21" t="s">
        <v>160</v>
      </c>
      <c r="AP35" s="21" t="s">
        <v>161</v>
      </c>
      <c r="AQ35" s="21" t="s">
        <v>162</v>
      </c>
      <c r="AR35" s="21" t="s">
        <v>163</v>
      </c>
      <c r="AS35" s="22" t="s">
        <v>164</v>
      </c>
      <c r="AT35" s="19" t="s">
        <v>165</v>
      </c>
      <c r="AU35" s="19" t="s">
        <v>166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168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167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169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167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167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167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167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167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170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171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171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171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171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171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171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171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170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172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172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172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172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172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172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172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170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9" sqref="E19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177</v>
      </c>
      <c r="F3" s="7" t="s">
        <v>18</v>
      </c>
      <c r="G3" s="54" t="s">
        <v>19</v>
      </c>
      <c r="H3" s="6">
        <v>3</v>
      </c>
      <c r="I3" s="8" t="s">
        <v>175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167</v>
      </c>
      <c r="I11" s="8" t="s">
        <v>135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167</v>
      </c>
      <c r="I12" s="8" t="s">
        <v>135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167</v>
      </c>
      <c r="I13" s="8" t="s">
        <v>135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167</v>
      </c>
      <c r="I14" s="8" t="s">
        <v>135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167</v>
      </c>
      <c r="I15" s="8" t="s">
        <v>135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167</v>
      </c>
      <c r="I16" s="8" t="s">
        <v>135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167</v>
      </c>
      <c r="I17" s="8" t="s">
        <v>135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135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135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135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135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135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135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135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135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135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135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135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135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135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135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136</v>
      </c>
      <c r="V32" s="16">
        <v>1</v>
      </c>
    </row>
    <row r="33" ht="15" spans="1:60 16277:16356">
      <c r="A33" s="3" t="s">
        <v>137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139</v>
      </c>
      <c r="U35" s="19" t="s">
        <v>140</v>
      </c>
      <c r="V35" s="20" t="s">
        <v>141</v>
      </c>
      <c r="W35" s="19" t="s">
        <v>142</v>
      </c>
      <c r="X35" s="19" t="s">
        <v>143</v>
      </c>
      <c r="Y35" s="19" t="s">
        <v>144</v>
      </c>
      <c r="Z35" s="19" t="s">
        <v>145</v>
      </c>
      <c r="AA35" s="19" t="s">
        <v>146</v>
      </c>
      <c r="AB35" s="19" t="s">
        <v>147</v>
      </c>
      <c r="AC35" s="19" t="s">
        <v>148</v>
      </c>
      <c r="AD35" s="19" t="s">
        <v>149</v>
      </c>
      <c r="AE35" s="19" t="s">
        <v>150</v>
      </c>
      <c r="AF35" s="19" t="s">
        <v>151</v>
      </c>
      <c r="AG35" s="19" t="s">
        <v>152</v>
      </c>
      <c r="AH35" s="19" t="s">
        <v>153</v>
      </c>
      <c r="AI35" s="19" t="s">
        <v>154</v>
      </c>
      <c r="AJ35" s="19" t="s">
        <v>155</v>
      </c>
      <c r="AK35" s="21" t="s">
        <v>156</v>
      </c>
      <c r="AL35" s="21" t="s">
        <v>157</v>
      </c>
      <c r="AM35" s="21" t="s">
        <v>158</v>
      </c>
      <c r="AN35" s="21" t="s">
        <v>159</v>
      </c>
      <c r="AO35" s="21" t="s">
        <v>160</v>
      </c>
      <c r="AP35" s="21" t="s">
        <v>161</v>
      </c>
      <c r="AQ35" s="21" t="s">
        <v>162</v>
      </c>
      <c r="AR35" s="21" t="s">
        <v>163</v>
      </c>
      <c r="AS35" s="22" t="s">
        <v>164</v>
      </c>
      <c r="AT35" s="19" t="s">
        <v>165</v>
      </c>
      <c r="AU35" s="19" t="s">
        <v>166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168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167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169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167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167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167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167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167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170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171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171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171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171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171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171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171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172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172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172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172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172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172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172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170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177</v>
      </c>
      <c r="F3" s="7" t="s">
        <v>18</v>
      </c>
      <c r="G3" s="54" t="s">
        <v>19</v>
      </c>
      <c r="H3" s="6">
        <v>3</v>
      </c>
      <c r="I3" s="8" t="s">
        <v>175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167</v>
      </c>
      <c r="I11" s="8" t="s">
        <v>135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167</v>
      </c>
      <c r="I12" s="8" t="s">
        <v>135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167</v>
      </c>
      <c r="I13" s="8" t="s">
        <v>135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167</v>
      </c>
      <c r="I14" s="8" t="s">
        <v>135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167</v>
      </c>
      <c r="I15" s="8" t="s">
        <v>135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167</v>
      </c>
      <c r="I16" s="8" t="s">
        <v>135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167</v>
      </c>
      <c r="I17" s="8" t="s">
        <v>135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135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135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135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135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135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135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135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135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135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135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135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135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135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135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136</v>
      </c>
      <c r="V32" s="16">
        <v>1</v>
      </c>
    </row>
    <row r="33" ht="15" spans="1:60 16277:16356">
      <c r="A33" s="3" t="s">
        <v>137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139</v>
      </c>
      <c r="U35" s="19" t="s">
        <v>140</v>
      </c>
      <c r="V35" s="20" t="s">
        <v>141</v>
      </c>
      <c r="W35" s="19" t="s">
        <v>142</v>
      </c>
      <c r="X35" s="19" t="s">
        <v>143</v>
      </c>
      <c r="Y35" s="19" t="s">
        <v>144</v>
      </c>
      <c r="Z35" s="19" t="s">
        <v>145</v>
      </c>
      <c r="AA35" s="19" t="s">
        <v>146</v>
      </c>
      <c r="AB35" s="19" t="s">
        <v>147</v>
      </c>
      <c r="AC35" s="19" t="s">
        <v>148</v>
      </c>
      <c r="AD35" s="19" t="s">
        <v>149</v>
      </c>
      <c r="AE35" s="19" t="s">
        <v>150</v>
      </c>
      <c r="AF35" s="19" t="s">
        <v>151</v>
      </c>
      <c r="AG35" s="19" t="s">
        <v>152</v>
      </c>
      <c r="AH35" s="19" t="s">
        <v>153</v>
      </c>
      <c r="AI35" s="19" t="s">
        <v>154</v>
      </c>
      <c r="AJ35" s="19" t="s">
        <v>155</v>
      </c>
      <c r="AK35" s="21" t="s">
        <v>156</v>
      </c>
      <c r="AL35" s="21" t="s">
        <v>157</v>
      </c>
      <c r="AM35" s="21" t="s">
        <v>158</v>
      </c>
      <c r="AN35" s="21" t="s">
        <v>159</v>
      </c>
      <c r="AO35" s="21" t="s">
        <v>160</v>
      </c>
      <c r="AP35" s="21" t="s">
        <v>161</v>
      </c>
      <c r="AQ35" s="21" t="s">
        <v>162</v>
      </c>
      <c r="AR35" s="21" t="s">
        <v>163</v>
      </c>
      <c r="AS35" s="22" t="s">
        <v>164</v>
      </c>
      <c r="AT35" s="19" t="s">
        <v>165</v>
      </c>
      <c r="AU35" s="19" t="s">
        <v>166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168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167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169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167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167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167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167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167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170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171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171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171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171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171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171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171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172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172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172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172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172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172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172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170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ProdOrder-Single(Inside)</vt:lpstr>
      <vt:lpstr>ProdOrder-Multiple(Inside)</vt:lpstr>
      <vt:lpstr>ProdOrder-Item(Inside)</vt:lpstr>
      <vt:lpstr>ProdOrder-Single(Outside)</vt:lpstr>
      <vt:lpstr>ProdOrder-Multiple(Outside)</vt:lpstr>
      <vt:lpstr>ProdOrder-Item(Outside)</vt:lpstr>
      <vt:lpstr>ProdOrder-Single(FIRO)</vt:lpstr>
      <vt:lpstr>ProdOrder-Multiple(FIRO)</vt:lpstr>
      <vt:lpstr>ProdOrder-Item(FIRO)</vt:lpstr>
      <vt:lpstr>ProdOrder-Single(FORI)</vt:lpstr>
      <vt:lpstr>ProdOrder-Multiple(FORI)</vt:lpstr>
      <vt:lpstr>ProdOrder-Item(FORI)</vt:lpstr>
      <vt:lpstr>ProdOrder-Single(FORB)</vt:lpstr>
      <vt:lpstr>ProdOrder-Multiple(FORB)</vt:lpstr>
      <vt:lpstr>ProdOrder-Item(FORB)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2026-02-26T06:42:00Z</dcterms:created>
  <cp:lastModifiedBy>Administrator</cp:lastModifiedBy>
  <dcterms:modified xsi:type="dcterms:W3CDTF">2026-09-23T13:36:16Z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CCA82DF1BD1944F4BD79724D585741A4_13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