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<sst xmlns="http://schemas.openxmlformats.org/spreadsheetml/2006/main" count="6930" uniqueCount="154">
  <si>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</si>
  <si>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</si>
  <si>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</si>
  <si>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</si>
  <si>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</si>
  <si>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</si>
  <si>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</si>
  <si>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</si>
  <si>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</si>
  <si>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</si>
  <si>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</si>
  <si>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</si>
  <si>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</si>
  <si>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</si>
  <si>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</si>
  <si>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</si>
  <si>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</si>
  <si>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BOM-2526-0001156</t>
  </si>
  <si>
    <t>GWL-FIFO-LOT-BATCH-10001(FG)</t>
  </si>
  <si>
    <t>0001</t>
  </si>
  <si>
    <t>186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</si>
  <si>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</si>
  <si>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</si>
  <si>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</si>
  <si>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</si>
  <si>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</si>
  <si>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</si>
  <si>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</si>
  <si>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</si>
  <si>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</si>
  <si>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</si>
  <si>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</si>
  <si>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</si>
  <si>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</si>
  <si>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</si>
  <si>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</si>
  <si>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</si>
  <si>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</si>
  <si>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</si>
  <si>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</si>
  <si>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</si>
  <si>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</si>
  <si>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</si>
  <si>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</si>
  <si>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</si>
  <si>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</si>
  <si>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</si>
  <si>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</si>
  <si>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</si>
  <si>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</si>
  <si>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</si>
  <si>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</si>
  <si>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</si>
  <si>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</si>
  <si>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</si>
  <si>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</si>
  <si>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</si>
  <si>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</si>
  <si>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</si>
  <si>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</si>
  <si>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</si>
  <si>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</si>
  <si>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</si>
  <si>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</si>
  <si>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</si>
  <si>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</si>
  <si>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</si>
  <si>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</si>
  <si>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</si>
  <si>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998779</t>
  </si>
  <si>
    <t>3</t>
  </si>
  <si>
    <t>GWL-FIFO-SER-BATCH-10001(RM)</t>
  </si>
  <si>
    <t>GWL-LOT-FIFO-LOT-10001(RM)</t>
  </si>
  <si>
    <t>GWL-NA-FIFO-BATCH-10001(RM)</t>
  </si>
  <si>
    <t>GWL-LOT-MAC-10001(RM)</t>
  </si>
  <si>
    <t>GWL-SER-MAC-10001(RM)</t>
  </si>
  <si>
    <t>GWL-NA-MAC-10001(RM)</t>
  </si>
  <si>
    <t>GWL-FIFO-LOT-BATCH-10002(RM)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</si>
  <si>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</si>
  <si>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</si>
  <si>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</si>
  <si>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</si>
  <si>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</si>
  <si>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</si>
  <si>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</si>
  <si>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</si>
  <si>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</si>
  <si>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</si>
  <si>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</si>
  <si>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</si>
  <si>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</si>
  <si>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</si>
  <si>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</si>
  <si>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</si>
  <si>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</si>
  <si>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</si>
  <si>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</si>
  <si>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</si>
  <si>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</si>
  <si>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</si>
  <si>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</si>
  <si>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</si>
  <si>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</si>
  <si>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</si>
  <si>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</si>
  <si>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</si>
  <si>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</si>
  <si>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</si>
  <si>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</si>
  <si>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</si>
  <si>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</si>
  <si>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 xml:space="preserve"> &lt;- Target SF Code</t>
  </si>
  <si>
    <t>Process - 2</t>
  </si>
  <si>
    <t>998776</t>
  </si>
  <si>
    <t>SFG</t>
  </si>
  <si>
    <t>Process - 3</t>
  </si>
  <si>
    <t>998773</t>
  </si>
  <si>
    <t>Overall Cost</t>
  </si>
  <si>
    <t>Process - 2 &amp; 3</t>
  </si>
  <si>
    <t>Process - 1, 2 &amp; 3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</si>
  <si>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</si>
  <si>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</si>
  <si>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</si>
  <si>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</si>
  <si>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</si>
  <si>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</si>
  <si>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</si>
  <si>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</si>
  <si>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</si>
  <si>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</si>
  <si>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</si>
  <si>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</si>
  <si>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</si>
  <si>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</si>
  <si>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</si>
  <si>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</si>
  <si>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</si>
  <si>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</si>
  <si>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</si>
  <si>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</si>
  <si>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</si>
  <si>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</si>
  <si>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</si>
  <si>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</si>
  <si>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</si>
  <si>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</si>
  <si>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</si>
  <si>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</si>
  <si>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</si>
  <si>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</si>
  <si>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</si>
  <si>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000</t>
  </si>
  <si>
    <t>Total</t>
  </si>
  <si>
    <t>Process - 2&amp; 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</si>
</sst>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tabSelected="1" zoomScale="61" zoomScaleNormal="61" workbookViewId="0">
      <selection activeCell="I49" sqref="I49"/>
    </sheetView>
  </sheetViews>
  <sheetFormatPr defaultColWidth="9" defaultRowHeight="14"/>
  <cols>
    <col min="1" max="1" width="12.1454545454545" style="1" customWidth="1"/>
    <col min="2" max="2" width="11.8181818181818" style="1" customWidth="1"/>
    <col min="3" max="3" width="17.2727272727273" style="1" customWidth="1"/>
    <col min="4" max="5" width="34.4545454545455" style="1" customWidth="1"/>
    <col min="6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6.1818181818182" style="1" customWidth="1"/>
    <col min="14" max="14" width="19.3636363636364" style="1" customWidth="1"/>
    <col min="15" max="15" width="19.6363636363636" style="1" customWidth="1"/>
    <col min="16" max="16" width="15.9090909090909" style="1" customWidth="1"/>
    <col min="17" max="17" width="21.1818181818182" style="1" customWidth="1"/>
    <col min="18" max="18" width="16.2818181818182" style="1" customWidth="1"/>
    <col min="19" max="21" width="19.6363636363636" style="1" customWidth="1"/>
    <col min="22" max="16371" width="9.13636363636364" style="1"/>
    <col min="16372" max="16384" width="9" style="43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20</v>
      </c>
      <c r="J3" s="8">
        <f>I3+H3</f>
        <v>186</v>
      </c>
      <c r="K3" s="1" t="s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>H11-I11</f>
        <v>998833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>H12-I12</f>
        <v>998908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69</v>
      </c>
      <c r="I13" s="1" t="s">
        <v>70</v>
      </c>
      <c r="J13" s="8">
        <f>H13-I13</f>
        <v>998908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1" t="s">
        <v>69</v>
      </c>
      <c r="I14" s="1" t="s">
        <v>70</v>
      </c>
      <c r="J14" s="8">
        <f>H14-I14</f>
        <v>998908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1" t="s">
        <v>69</v>
      </c>
      <c r="I15" s="1" t="s">
        <v>70</v>
      </c>
      <c r="J15" s="8">
        <f t="shared" ref="J12:J31" si="0">H15-I15</f>
        <v>998833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1" t="s">
        <v>69</v>
      </c>
      <c r="I16" s="1" t="s">
        <v>70</v>
      </c>
      <c r="J16" s="8">
        <f t="shared" si="0"/>
        <v>998833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1" t="s">
        <v>69</v>
      </c>
      <c r="I17" s="1" t="s">
        <v>70</v>
      </c>
      <c r="J17" s="8">
        <f t="shared" si="0"/>
        <v>998833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>J11</f>
        <v>998833</v>
      </c>
      <c r="I18" s="1" t="s">
        <v>70</v>
      </c>
      <c r="J18" s="8">
        <f t="shared" si="0"/>
        <v>998833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ref="H19:H25" si="1">J12</f>
        <v>998908</v>
      </c>
      <c r="I19" s="1" t="s">
        <v>70</v>
      </c>
      <c r="J19" s="8">
        <f t="shared" si="0"/>
        <v>998908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998908</v>
      </c>
      <c r="I20" s="1" t="s">
        <v>70</v>
      </c>
      <c r="J20" s="8">
        <f t="shared" si="0"/>
        <v>998908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998908</v>
      </c>
      <c r="I21" s="1" t="s">
        <v>70</v>
      </c>
      <c r="J21" s="8">
        <f t="shared" si="0"/>
        <v>998908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998833</v>
      </c>
      <c r="I22" s="1" t="s">
        <v>70</v>
      </c>
      <c r="J22" s="8">
        <f t="shared" si="0"/>
        <v>998833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998833</v>
      </c>
      <c r="I23" s="1" t="s">
        <v>70</v>
      </c>
      <c r="J23" s="8">
        <f t="shared" si="0"/>
        <v>998833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998833</v>
      </c>
      <c r="I24" s="1" t="s">
        <v>70</v>
      </c>
      <c r="J24" s="8">
        <f t="shared" si="0"/>
        <v>998833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998833</v>
      </c>
      <c r="I25" s="1" t="s">
        <v>70</v>
      </c>
      <c r="J25" s="8">
        <f t="shared" si="0"/>
        <v>998833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ref="H26:H31" si="2">J19</f>
        <v>998908</v>
      </c>
      <c r="I26" s="1" t="s">
        <v>70</v>
      </c>
      <c r="J26" s="8">
        <f t="shared" si="0"/>
        <v>998908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2"/>
        <v>998908</v>
      </c>
      <c r="I27" s="1" t="s">
        <v>70</v>
      </c>
      <c r="J27" s="8">
        <f t="shared" si="0"/>
        <v>998908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2"/>
        <v>998908</v>
      </c>
      <c r="I28" s="1" t="s">
        <v>70</v>
      </c>
      <c r="J28" s="8">
        <f t="shared" si="0"/>
        <v>998908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2"/>
        <v>998833</v>
      </c>
      <c r="I29" s="1" t="s">
        <v>70</v>
      </c>
      <c r="J29" s="8">
        <f t="shared" si="0"/>
        <v>998833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2"/>
        <v>998833</v>
      </c>
      <c r="I30" s="1" t="s">
        <v>70</v>
      </c>
      <c r="J30" s="8">
        <f t="shared" si="0"/>
        <v>998833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90</v>
      </c>
      <c r="F31" s="49" t="s">
        <v>14</v>
      </c>
      <c r="G31" s="49" t="s">
        <v>68</v>
      </c>
      <c r="H31" s="8">
        <f t="shared" si="2"/>
        <v>998833</v>
      </c>
      <c r="I31" s="1" t="s">
        <v>70</v>
      </c>
      <c r="J31" s="49">
        <f t="shared" si="0"/>
        <v>998833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92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3">L36*K36</f>
        <v>60</v>
      </c>
      <c r="N36" s="8" t="str">
        <f t="shared" ref="N36:N42" si="4">I11</f>
        <v>3</v>
      </c>
      <c r="O36" s="1" t="s">
        <v>69</v>
      </c>
      <c r="P36" s="8">
        <f>O36-I36</f>
        <v>-3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3"/>
        <v>60</v>
      </c>
      <c r="N37" s="8" t="str">
        <f t="shared" si="4"/>
        <v>3</v>
      </c>
      <c r="O37" s="1" t="s">
        <v>69</v>
      </c>
      <c r="P37" s="8">
        <f t="shared" ref="P37:P42" si="5">O37-I37</f>
        <v>-3</v>
      </c>
      <c r="Q37" s="8">
        <f t="shared" ref="Q37:Q42" si="6">-I37</f>
        <v>-3</v>
      </c>
      <c r="R37" s="8">
        <f t="shared" ref="R37:R42" si="7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3"/>
        <v>60</v>
      </c>
      <c r="N38" s="8" t="str">
        <f t="shared" si="4"/>
        <v>3</v>
      </c>
      <c r="O38" s="1" t="s">
        <v>69</v>
      </c>
      <c r="P38" s="8">
        <f t="shared" si="5"/>
        <v>-3</v>
      </c>
      <c r="Q38" s="8">
        <f t="shared" si="6"/>
        <v>-3</v>
      </c>
      <c r="R38" s="8">
        <f t="shared" si="7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3"/>
        <v>60</v>
      </c>
      <c r="N39" s="8" t="str">
        <f t="shared" si="4"/>
        <v>3</v>
      </c>
      <c r="O39" s="1" t="s">
        <v>69</v>
      </c>
      <c r="P39" s="8">
        <f t="shared" si="5"/>
        <v>-3</v>
      </c>
      <c r="Q39" s="8">
        <f t="shared" si="6"/>
        <v>-3</v>
      </c>
      <c r="R39" s="8">
        <f t="shared" si="7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3"/>
        <v>60</v>
      </c>
      <c r="N40" s="8" t="str">
        <f t="shared" si="4"/>
        <v>3</v>
      </c>
      <c r="O40" s="1" t="s">
        <v>69</v>
      </c>
      <c r="P40" s="8">
        <f t="shared" si="5"/>
        <v>-3</v>
      </c>
      <c r="Q40" s="8">
        <f t="shared" si="6"/>
        <v>-3</v>
      </c>
      <c r="R40" s="8">
        <f t="shared" si="7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3"/>
        <v>60</v>
      </c>
      <c r="N41" s="8" t="str">
        <f t="shared" si="4"/>
        <v>3</v>
      </c>
      <c r="O41" s="1" t="s">
        <v>69</v>
      </c>
      <c r="P41" s="8">
        <f t="shared" si="5"/>
        <v>-3</v>
      </c>
      <c r="Q41" s="8">
        <f t="shared" si="6"/>
        <v>-3</v>
      </c>
      <c r="R41" s="8">
        <f t="shared" si="7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3"/>
        <v>60</v>
      </c>
      <c r="N42" s="8" t="str">
        <f t="shared" si="4"/>
        <v>3</v>
      </c>
      <c r="O42" s="1" t="s">
        <v>69</v>
      </c>
      <c r="P42" s="8">
        <f t="shared" si="5"/>
        <v>-3</v>
      </c>
      <c r="Q42" s="8">
        <f t="shared" si="6"/>
        <v>-3</v>
      </c>
      <c r="R42" s="8">
        <f t="shared" si="7"/>
        <v>3</v>
      </c>
    </row>
    <row r="43" spans="1:18">
      <c r="A43" s="36" t="s">
        <v>110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</row>
    <row r="44" spans="1:18">
      <c r="A44" s="18" t="s">
        <v>112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18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8">L46*K46</f>
        <v>60</v>
      </c>
      <c r="N46" s="8" t="str">
        <f>I18</f>
        <v>3</v>
      </c>
      <c r="O46" s="1" t="s">
        <v>113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ref="N47:N52" si="9">I19</f>
        <v>3</v>
      </c>
      <c r="O47" s="1" t="s">
        <v>113</v>
      </c>
      <c r="P47" s="8">
        <f t="shared" ref="P47:P52" si="10">O47-I47</f>
        <v>-3</v>
      </c>
      <c r="Q47" s="8">
        <f t="shared" ref="Q47:Q52" si="11">-I47</f>
        <v>-3</v>
      </c>
      <c r="R47" s="8">
        <f t="shared" ref="R47:R52" si="12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1" t="s">
        <v>113</v>
      </c>
      <c r="P48" s="8">
        <f t="shared" si="10"/>
        <v>-3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1" t="s">
        <v>113</v>
      </c>
      <c r="P49" s="8">
        <f t="shared" si="10"/>
        <v>-3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1" t="s">
        <v>113</v>
      </c>
      <c r="P50" s="8">
        <f t="shared" si="10"/>
        <v>-3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1" t="s">
        <v>113</v>
      </c>
      <c r="P51" s="8">
        <f t="shared" si="10"/>
        <v>-3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1" t="s">
        <v>113</v>
      </c>
      <c r="P52" s="8">
        <f t="shared" si="10"/>
        <v>-3</v>
      </c>
      <c r="Q52" s="8">
        <f t="shared" si="11"/>
        <v>-3</v>
      </c>
      <c r="R52" s="8">
        <f t="shared" si="12"/>
        <v>3</v>
      </c>
    </row>
    <row r="53" spans="1:18">
      <c r="A53" s="8" t="s">
        <v>114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110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111</v>
      </c>
      <c r="P54" s="36"/>
      <c r="Q54" s="36"/>
      <c r="R54" s="36"/>
    </row>
    <row r="55" spans="1:18">
      <c r="A55" s="18" t="s">
        <v>115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93</v>
      </c>
      <c r="B56" s="4" t="s">
        <v>94</v>
      </c>
      <c r="C56" s="4" t="s">
        <v>95</v>
      </c>
      <c r="D56" s="4" t="s">
        <v>96</v>
      </c>
      <c r="E56" s="4" t="s">
        <v>97</v>
      </c>
      <c r="F56" s="4" t="s">
        <v>60</v>
      </c>
      <c r="G56" s="4" t="s">
        <v>98</v>
      </c>
      <c r="H56" s="4" t="s">
        <v>99</v>
      </c>
      <c r="I56" s="4" t="s">
        <v>100</v>
      </c>
      <c r="J56" s="4" t="s">
        <v>101</v>
      </c>
      <c r="K56" s="4" t="s">
        <v>102</v>
      </c>
      <c r="L56" s="4" t="s">
        <v>103</v>
      </c>
      <c r="M56" s="4" t="s">
        <v>104</v>
      </c>
      <c r="N56" s="5" t="s">
        <v>105</v>
      </c>
      <c r="O56" s="5" t="s">
        <v>106</v>
      </c>
      <c r="P56" s="5" t="s">
        <v>107</v>
      </c>
      <c r="Q56" s="5" t="s">
        <v>108</v>
      </c>
      <c r="R56" s="5" t="s">
        <v>109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84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I25</f>
        <v>0</v>
      </c>
      <c r="O57" s="1" t="s">
        <v>116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85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3">I26</f>
        <v>0</v>
      </c>
      <c r="O58" s="1" t="s">
        <v>116</v>
      </c>
      <c r="P58" s="8">
        <f t="shared" ref="P58:P63" si="14">O58-I58</f>
        <v>-3</v>
      </c>
      <c r="Q58" s="8">
        <f t="shared" ref="Q58:Q63" si="15">-I58</f>
        <v>-3</v>
      </c>
      <c r="R58" s="8">
        <f t="shared" ref="R58:R63" si="16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86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7">L59*K59</f>
        <v>60</v>
      </c>
      <c r="N59" s="8">
        <f t="shared" si="13"/>
        <v>0</v>
      </c>
      <c r="O59" s="1" t="s">
        <v>116</v>
      </c>
      <c r="P59" s="8">
        <f t="shared" si="14"/>
        <v>-3</v>
      </c>
      <c r="Q59" s="8">
        <f t="shared" si="15"/>
        <v>-3</v>
      </c>
      <c r="R59" s="8">
        <f t="shared" si="16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87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7"/>
        <v>60</v>
      </c>
      <c r="N60" s="8">
        <f t="shared" si="13"/>
        <v>0</v>
      </c>
      <c r="O60" s="1" t="s">
        <v>116</v>
      </c>
      <c r="P60" s="8">
        <f t="shared" si="14"/>
        <v>-3</v>
      </c>
      <c r="Q60" s="8">
        <f t="shared" si="15"/>
        <v>-3</v>
      </c>
      <c r="R60" s="8">
        <f t="shared" si="16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88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7"/>
        <v>60</v>
      </c>
      <c r="N61" s="8">
        <f t="shared" si="13"/>
        <v>0</v>
      </c>
      <c r="O61" s="1" t="s">
        <v>116</v>
      </c>
      <c r="P61" s="8">
        <f t="shared" si="14"/>
        <v>-3</v>
      </c>
      <c r="Q61" s="8">
        <f t="shared" si="15"/>
        <v>-3</v>
      </c>
      <c r="R61" s="8">
        <f t="shared" si="16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89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7"/>
        <v>60</v>
      </c>
      <c r="N62" s="8">
        <f t="shared" si="13"/>
        <v>0</v>
      </c>
      <c r="O62" s="1" t="s">
        <v>116</v>
      </c>
      <c r="P62" s="8">
        <f t="shared" si="14"/>
        <v>-3</v>
      </c>
      <c r="Q62" s="8">
        <f t="shared" si="15"/>
        <v>-3</v>
      </c>
      <c r="R62" s="8">
        <f t="shared" si="16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90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7"/>
        <v>60</v>
      </c>
      <c r="N63" s="8">
        <f t="shared" si="13"/>
        <v>0</v>
      </c>
      <c r="O63" s="1" t="s">
        <v>116</v>
      </c>
      <c r="P63" s="8">
        <f t="shared" si="14"/>
        <v>-3</v>
      </c>
      <c r="Q63" s="8">
        <f t="shared" si="15"/>
        <v>-3</v>
      </c>
      <c r="R63" s="8">
        <f t="shared" si="16"/>
        <v>3</v>
      </c>
    </row>
    <row r="64" spans="1:18">
      <c r="A64" s="8" t="s">
        <v>114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7"/>
        <v>840</v>
      </c>
      <c r="N64" s="8"/>
      <c r="O64" s="8"/>
      <c r="P64" s="8"/>
      <c r="Q64" s="8"/>
      <c r="R64" s="8"/>
    </row>
    <row r="65" spans="1:18">
      <c r="A65" s="36" t="s">
        <v>110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103</v>
      </c>
      <c r="L68" s="9">
        <f>L69/H3</f>
        <v>420</v>
      </c>
    </row>
    <row r="69" spans="1:18">
      <c r="K69" s="9" t="s">
        <v>117</v>
      </c>
      <c r="L69" s="9">
        <f>M65+AG7</f>
        <v>1260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6"/>
  <sheetViews>
    <sheetView zoomScale="61" zoomScaleNormal="61" workbookViewId="0">
      <selection activeCell="E11" sqref="E11:E31"/>
    </sheetView>
  </sheetViews>
  <sheetFormatPr defaultColWidth="9" defaultRowHeight="14"/>
  <cols>
    <col min="1" max="1" width="12.1454545454545" style="1" customWidth="1"/>
    <col min="2" max="2" width="11.8181818181818" style="1" customWidth="1"/>
    <col min="3" max="3" width="17.2727272727273" style="1" customWidth="1"/>
    <col min="4" max="5" width="34.4545454545455" style="1" customWidth="1"/>
    <col min="6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6.1818181818182" style="1" customWidth="1"/>
    <col min="14" max="14" width="19.3636363636364" style="1" customWidth="1"/>
    <col min="15" max="15" width="19.6363636363636" style="1" customWidth="1"/>
    <col min="16" max="16" width="15.9090909090909" style="1" customWidth="1"/>
    <col min="17" max="17" width="21.1818181818182" style="1" customWidth="1"/>
    <col min="18" max="18" width="16.2818181818182" style="1" customWidth="1"/>
    <col min="19" max="21" width="19.6363636363636" style="1" customWidth="1"/>
    <col min="22" max="16371" width="9.13636363636364" style="1"/>
    <col min="16372" max="16384" width="9" style="43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20</v>
      </c>
      <c r="J3" s="8">
        <f>I3+H3</f>
        <v>189</v>
      </c>
      <c r="K3" s="1" t="s">
        <v>21</v>
      </c>
      <c r="L3" s="8">
        <f>(K3+L65)/2</f>
        <v>560</v>
      </c>
      <c r="M3" s="9">
        <f>L65</f>
        <v>700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69</v>
      </c>
      <c r="I13" s="1" t="s">
        <v>70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1" t="s">
        <v>69</v>
      </c>
      <c r="I14" s="1" t="s">
        <v>70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1" t="s">
        <v>69</v>
      </c>
      <c r="I15" s="1" t="s">
        <v>70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1" t="s">
        <v>69</v>
      </c>
      <c r="I16" s="1" t="s">
        <v>70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1" t="s">
        <v>69</v>
      </c>
      <c r="I17" s="1" t="s">
        <v>70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70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1" t="s">
        <v>70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1" t="s">
        <v>70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1" t="s">
        <v>70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1" t="s">
        <v>70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1" t="s">
        <v>70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1" t="s">
        <v>70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1" t="s">
        <v>70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1" t="s">
        <v>70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1" t="s">
        <v>70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1" t="s">
        <v>70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1" t="s">
        <v>70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1" t="s">
        <v>70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90</v>
      </c>
      <c r="F31" s="49" t="s">
        <v>14</v>
      </c>
      <c r="G31" s="49" t="s">
        <v>68</v>
      </c>
      <c r="H31" s="8">
        <f t="shared" si="1"/>
        <v>998773</v>
      </c>
      <c r="I31" s="1" t="s">
        <v>70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92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1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1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1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1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1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1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1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36" t="s">
        <v>110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</row>
    <row r="44" spans="1:18">
      <c r="A44" s="18" t="s">
        <v>118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18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7">L46*K46</f>
        <v>60</v>
      </c>
      <c r="N46" s="8" t="str">
        <f t="shared" ref="N46:N52" si="8">I18</f>
        <v>3</v>
      </c>
      <c r="O46" s="1" t="s">
        <v>113</v>
      </c>
      <c r="P46" s="8">
        <f t="shared" ref="P46:P52" si="9">O46-I46</f>
        <v>998773</v>
      </c>
      <c r="Q46" s="8">
        <f t="shared" ref="Q46:Q52" si="10">-I46</f>
        <v>-3</v>
      </c>
      <c r="R46" s="8">
        <f t="shared" ref="R46:R52" si="11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s="1" t="s">
        <v>113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s="1" t="s">
        <v>113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s="1" t="s">
        <v>113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s="1" t="s">
        <v>113</v>
      </c>
      <c r="P50" s="8">
        <f t="shared" si="9"/>
        <v>998773</v>
      </c>
      <c r="Q50" s="8">
        <f t="shared" si="10"/>
        <v>-3</v>
      </c>
      <c r="R50" s="8">
        <f t="shared" si="11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s="1" t="s">
        <v>113</v>
      </c>
      <c r="P51" s="8">
        <f t="shared" si="9"/>
        <v>998773</v>
      </c>
      <c r="Q51" s="8">
        <f t="shared" si="10"/>
        <v>-3</v>
      </c>
      <c r="R51" s="8">
        <f t="shared" si="11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s="1" t="s">
        <v>113</v>
      </c>
      <c r="P52" s="8">
        <f t="shared" si="9"/>
        <v>998773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2">L53*K53</f>
        <v>60</v>
      </c>
      <c r="N53" s="8" t="str">
        <f t="shared" ref="N53:N59" si="13">I25</f>
        <v>3</v>
      </c>
      <c r="O53" s="1" t="s">
        <v>116</v>
      </c>
      <c r="P53" s="8">
        <f t="shared" ref="P53:P59" si="14">O53-I53</f>
        <v>998770</v>
      </c>
      <c r="Q53" s="8">
        <f t="shared" ref="Q53:Q59" si="15">-I53</f>
        <v>-3</v>
      </c>
      <c r="R53" s="8">
        <f t="shared" ref="R53:R59" si="16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2"/>
        <v>60</v>
      </c>
      <c r="N54" s="8" t="str">
        <f t="shared" si="13"/>
        <v>3</v>
      </c>
      <c r="O54" s="1" t="s">
        <v>116</v>
      </c>
      <c r="P54" s="8">
        <f t="shared" si="14"/>
        <v>998770</v>
      </c>
      <c r="Q54" s="8">
        <f t="shared" si="15"/>
        <v>-3</v>
      </c>
      <c r="R54" s="8">
        <f t="shared" si="16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2"/>
        <v>60</v>
      </c>
      <c r="N55" s="8" t="str">
        <f t="shared" si="13"/>
        <v>3</v>
      </c>
      <c r="O55" s="1" t="s">
        <v>116</v>
      </c>
      <c r="P55" s="8">
        <f t="shared" si="14"/>
        <v>998770</v>
      </c>
      <c r="Q55" s="8">
        <f t="shared" si="15"/>
        <v>-3</v>
      </c>
      <c r="R55" s="8">
        <f t="shared" si="16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2"/>
        <v>60</v>
      </c>
      <c r="N56" s="8" t="str">
        <f t="shared" si="13"/>
        <v>3</v>
      </c>
      <c r="O56" s="1" t="s">
        <v>116</v>
      </c>
      <c r="P56" s="8">
        <f t="shared" si="14"/>
        <v>998770</v>
      </c>
      <c r="Q56" s="8">
        <f t="shared" si="15"/>
        <v>-3</v>
      </c>
      <c r="R56" s="8">
        <f t="shared" si="16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2"/>
        <v>60</v>
      </c>
      <c r="N57" s="8" t="str">
        <f t="shared" si="13"/>
        <v>3</v>
      </c>
      <c r="O57" s="1" t="s">
        <v>116</v>
      </c>
      <c r="P57" s="8">
        <f t="shared" si="14"/>
        <v>998770</v>
      </c>
      <c r="Q57" s="8">
        <f t="shared" si="15"/>
        <v>-3</v>
      </c>
      <c r="R57" s="8">
        <f t="shared" si="16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2"/>
        <v>60</v>
      </c>
      <c r="N58" s="8" t="str">
        <f t="shared" si="13"/>
        <v>3</v>
      </c>
      <c r="O58" s="1" t="s">
        <v>116</v>
      </c>
      <c r="P58" s="8">
        <f t="shared" si="14"/>
        <v>998770</v>
      </c>
      <c r="Q58" s="8">
        <f t="shared" si="15"/>
        <v>-3</v>
      </c>
      <c r="R58" s="8">
        <f t="shared" si="16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2"/>
        <v>60</v>
      </c>
      <c r="N59" s="8" t="str">
        <f t="shared" si="13"/>
        <v>3</v>
      </c>
      <c r="O59" s="1" t="s">
        <v>116</v>
      </c>
      <c r="P59" s="8">
        <f t="shared" si="14"/>
        <v>998770</v>
      </c>
      <c r="Q59" s="8">
        <f t="shared" si="15"/>
        <v>-3</v>
      </c>
      <c r="R59" s="8">
        <f t="shared" si="16"/>
        <v>3</v>
      </c>
    </row>
    <row r="60" spans="1:18">
      <c r="A60" s="8" t="s">
        <v>114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280</v>
      </c>
      <c r="M60" s="8">
        <f t="shared" si="12"/>
        <v>840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46</v>
      </c>
      <c r="D61" s="8" t="s">
        <v>47</v>
      </c>
      <c r="E61" s="47" t="s">
        <v>18</v>
      </c>
      <c r="F61" s="8" t="s">
        <v>14</v>
      </c>
      <c r="G61" s="8" t="s">
        <v>52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140</v>
      </c>
      <c r="M61" s="8">
        <f t="shared" si="12"/>
        <v>420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53"/>
      <c r="G62" s="36"/>
      <c r="H62" s="53" t="s">
        <v>52</v>
      </c>
      <c r="I62" s="53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3"/>
  <sheetViews>
    <sheetView zoomScale="61" zoomScaleNormal="61" topLeftCell="A44" workbookViewId="0">
      <selection activeCell="E25" sqref="E25"/>
    </sheetView>
  </sheetViews>
  <sheetFormatPr defaultColWidth="9" defaultRowHeight="14"/>
  <cols>
    <col min="1" max="1" width="12.1454545454545" style="1" customWidth="1"/>
    <col min="2" max="2" width="11.8181818181818" style="1" customWidth="1"/>
    <col min="3" max="3" width="17.2727272727273" style="1" customWidth="1"/>
    <col min="4" max="5" width="34.4545454545455" style="1" customWidth="1"/>
    <col min="6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6.1818181818182" style="1" customWidth="1"/>
    <col min="14" max="14" width="19.3636363636364" style="1" customWidth="1"/>
    <col min="15" max="15" width="19.6363636363636" style="1" customWidth="1"/>
    <col min="16" max="16" width="15.9090909090909" style="1" customWidth="1"/>
    <col min="17" max="17" width="21.1818181818182" style="1" customWidth="1"/>
    <col min="18" max="18" width="16.2818181818182" style="1" customWidth="1"/>
    <col min="19" max="21" width="19.6363636363636" style="1" customWidth="1"/>
    <col min="22" max="16371" width="9.13636363636364" style="1"/>
    <col min="16372" max="16384" width="9" style="43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20</v>
      </c>
      <c r="J3" s="8">
        <f>I3+H3</f>
        <v>189</v>
      </c>
      <c r="K3" s="1" t="s">
        <v>21</v>
      </c>
      <c r="L3" s="8">
        <f>(K3+L62)/2</f>
        <v>630</v>
      </c>
      <c r="M3" s="9">
        <f>L62</f>
        <v>840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69</v>
      </c>
      <c r="I13" s="1" t="s">
        <v>70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1" t="s">
        <v>69</v>
      </c>
      <c r="I14" s="1" t="s">
        <v>70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1" t="s">
        <v>69</v>
      </c>
      <c r="I15" s="1" t="s">
        <v>70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1" t="s">
        <v>69</v>
      </c>
      <c r="I16" s="1" t="s">
        <v>70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1" t="s">
        <v>69</v>
      </c>
      <c r="I17" s="1" t="s">
        <v>70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70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1" t="s">
        <v>70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1" t="s">
        <v>70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1" t="s">
        <v>70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1" t="s">
        <v>70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1" t="s">
        <v>70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1" t="s">
        <v>70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1" t="s">
        <v>70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1" t="s">
        <v>70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1" t="s">
        <v>70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1" t="s">
        <v>70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1" t="s">
        <v>70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1" t="s">
        <v>70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90</v>
      </c>
      <c r="F31" s="49" t="s">
        <v>14</v>
      </c>
      <c r="G31" s="49" t="s">
        <v>68</v>
      </c>
      <c r="H31" s="8">
        <f t="shared" si="1"/>
        <v>998773</v>
      </c>
      <c r="I31" s="1" t="s">
        <v>70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119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1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1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1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1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1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1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1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8">
        <v>2</v>
      </c>
      <c r="B43" s="8">
        <v>1</v>
      </c>
      <c r="C43" s="8" t="s">
        <v>54</v>
      </c>
      <c r="D43" s="8" t="s">
        <v>55</v>
      </c>
      <c r="E43" s="12" t="s">
        <v>77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7">L43*K43</f>
        <v>60</v>
      </c>
      <c r="N43" s="8" t="str">
        <f t="shared" ref="N43:N56" si="8">I18</f>
        <v>3</v>
      </c>
      <c r="O43" s="1" t="s">
        <v>113</v>
      </c>
      <c r="P43" s="8">
        <f t="shared" ref="P43:P56" si="9">O43-I43</f>
        <v>998773</v>
      </c>
      <c r="Q43" s="8">
        <f t="shared" ref="Q43:Q56" si="10">-I43</f>
        <v>-3</v>
      </c>
      <c r="R43" s="8">
        <f t="shared" ref="R43:R56" si="11">I43</f>
        <v>3</v>
      </c>
    </row>
    <row r="44" spans="1:18">
      <c r="A44" s="8">
        <v>2</v>
      </c>
      <c r="B44" s="8">
        <v>2</v>
      </c>
      <c r="C44" s="8" t="s">
        <v>54</v>
      </c>
      <c r="D44" s="8" t="s">
        <v>55</v>
      </c>
      <c r="E44" s="12" t="s">
        <v>78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7"/>
        <v>60</v>
      </c>
      <c r="N44" s="8" t="str">
        <f t="shared" si="8"/>
        <v>3</v>
      </c>
      <c r="O44" s="1" t="s">
        <v>113</v>
      </c>
      <c r="P44" s="8">
        <f t="shared" si="9"/>
        <v>998773</v>
      </c>
      <c r="Q44" s="8">
        <f t="shared" si="10"/>
        <v>-3</v>
      </c>
      <c r="R44" s="8">
        <f t="shared" si="11"/>
        <v>3</v>
      </c>
    </row>
    <row r="45" spans="1:18">
      <c r="A45" s="8">
        <v>2</v>
      </c>
      <c r="B45" s="8">
        <v>3</v>
      </c>
      <c r="C45" s="8" t="s">
        <v>54</v>
      </c>
      <c r="D45" s="8" t="s">
        <v>55</v>
      </c>
      <c r="E45" s="12" t="s">
        <v>79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7"/>
        <v>60</v>
      </c>
      <c r="N45" s="8" t="str">
        <f t="shared" si="8"/>
        <v>3</v>
      </c>
      <c r="O45" s="1" t="s">
        <v>113</v>
      </c>
      <c r="P45" s="8">
        <f t="shared" si="9"/>
        <v>998773</v>
      </c>
      <c r="Q45" s="8">
        <f t="shared" si="10"/>
        <v>-3</v>
      </c>
      <c r="R45" s="8">
        <f t="shared" si="11"/>
        <v>3</v>
      </c>
    </row>
    <row r="46" spans="1:18">
      <c r="A46" s="8">
        <v>2</v>
      </c>
      <c r="B46" s="8">
        <v>4</v>
      </c>
      <c r="C46" s="8" t="s">
        <v>54</v>
      </c>
      <c r="D46" s="8" t="s">
        <v>55</v>
      </c>
      <c r="E46" s="12" t="s">
        <v>80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7"/>
        <v>60</v>
      </c>
      <c r="N46" s="8" t="str">
        <f t="shared" si="8"/>
        <v>3</v>
      </c>
      <c r="O46" s="1" t="s">
        <v>113</v>
      </c>
      <c r="P46" s="8">
        <f t="shared" si="9"/>
        <v>998773</v>
      </c>
      <c r="Q46" s="8">
        <f t="shared" si="10"/>
        <v>-3</v>
      </c>
      <c r="R46" s="8">
        <f t="shared" si="11"/>
        <v>3</v>
      </c>
    </row>
    <row r="47" spans="1:18">
      <c r="A47" s="8">
        <v>2</v>
      </c>
      <c r="B47" s="8">
        <v>5</v>
      </c>
      <c r="C47" s="8" t="s">
        <v>54</v>
      </c>
      <c r="D47" s="8" t="s">
        <v>55</v>
      </c>
      <c r="E47" s="12" t="s">
        <v>81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s="1" t="s">
        <v>113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6</v>
      </c>
      <c r="C48" s="8" t="s">
        <v>54</v>
      </c>
      <c r="D48" s="8" t="s">
        <v>55</v>
      </c>
      <c r="E48" s="12" t="s">
        <v>82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s="1" t="s">
        <v>113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83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s="1" t="s">
        <v>113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84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s="1" t="s">
        <v>116</v>
      </c>
      <c r="P50" s="8">
        <f t="shared" si="9"/>
        <v>998770</v>
      </c>
      <c r="Q50" s="8">
        <f t="shared" si="10"/>
        <v>-3</v>
      </c>
      <c r="R50" s="8">
        <f t="shared" si="11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85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s="1" t="s">
        <v>116</v>
      </c>
      <c r="P51" s="8">
        <f t="shared" si="9"/>
        <v>998770</v>
      </c>
      <c r="Q51" s="8">
        <f t="shared" si="10"/>
        <v>-3</v>
      </c>
      <c r="R51" s="8">
        <f t="shared" si="11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86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s="1" t="s">
        <v>116</v>
      </c>
      <c r="P52" s="8">
        <f t="shared" si="9"/>
        <v>998770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87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7"/>
        <v>60</v>
      </c>
      <c r="N53" s="8" t="str">
        <f t="shared" si="8"/>
        <v>3</v>
      </c>
      <c r="O53" s="1" t="s">
        <v>116</v>
      </c>
      <c r="P53" s="8">
        <f t="shared" si="9"/>
        <v>998770</v>
      </c>
      <c r="Q53" s="8">
        <f t="shared" si="10"/>
        <v>-3</v>
      </c>
      <c r="R53" s="8">
        <f t="shared" si="11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88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7"/>
        <v>60</v>
      </c>
      <c r="N54" s="8" t="str">
        <f t="shared" si="8"/>
        <v>3</v>
      </c>
      <c r="O54" s="1" t="s">
        <v>116</v>
      </c>
      <c r="P54" s="8">
        <f t="shared" si="9"/>
        <v>998770</v>
      </c>
      <c r="Q54" s="8">
        <f t="shared" si="10"/>
        <v>-3</v>
      </c>
      <c r="R54" s="8">
        <f t="shared" si="11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89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7"/>
        <v>60</v>
      </c>
      <c r="N55" s="8" t="str">
        <f t="shared" si="8"/>
        <v>3</v>
      </c>
      <c r="O55" s="1" t="s">
        <v>116</v>
      </c>
      <c r="P55" s="8">
        <f t="shared" si="9"/>
        <v>998770</v>
      </c>
      <c r="Q55" s="8">
        <f t="shared" si="10"/>
        <v>-3</v>
      </c>
      <c r="R55" s="8">
        <f t="shared" si="11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90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7"/>
        <v>60</v>
      </c>
      <c r="N56" s="8" t="str">
        <f t="shared" si="8"/>
        <v>3</v>
      </c>
      <c r="O56" s="1" t="s">
        <v>116</v>
      </c>
      <c r="P56" s="8">
        <f t="shared" si="9"/>
        <v>998770</v>
      </c>
      <c r="Q56" s="8">
        <f t="shared" si="10"/>
        <v>-3</v>
      </c>
      <c r="R56" s="8">
        <f t="shared" si="11"/>
        <v>3</v>
      </c>
    </row>
    <row r="57" spans="1:18">
      <c r="A57" s="8" t="s">
        <v>114</v>
      </c>
      <c r="B57" s="8"/>
      <c r="C57" s="8" t="s">
        <v>54</v>
      </c>
      <c r="D57" s="8" t="s">
        <v>55</v>
      </c>
      <c r="E57" s="47" t="s">
        <v>18</v>
      </c>
      <c r="F57" s="8" t="s">
        <v>14</v>
      </c>
      <c r="G57" s="8" t="s">
        <v>52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280</v>
      </c>
      <c r="M57" s="8">
        <f t="shared" si="7"/>
        <v>840</v>
      </c>
      <c r="N57" s="8"/>
      <c r="O57" s="8"/>
      <c r="P57" s="8"/>
      <c r="Q57" s="8"/>
      <c r="R57" s="8"/>
    </row>
    <row r="58" spans="1:18">
      <c r="A58" s="8" t="s">
        <v>114</v>
      </c>
      <c r="B58" s="8"/>
      <c r="C58" s="8" t="s">
        <v>46</v>
      </c>
      <c r="D58" s="8" t="s">
        <v>47</v>
      </c>
      <c r="E58" s="47" t="s">
        <v>18</v>
      </c>
      <c r="F58" s="8" t="s">
        <v>14</v>
      </c>
      <c r="G58" s="8" t="s">
        <v>52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140</v>
      </c>
      <c r="M58" s="8">
        <f t="shared" si="7"/>
        <v>420</v>
      </c>
      <c r="N58" s="8"/>
      <c r="O58" s="8"/>
      <c r="P58" s="8"/>
      <c r="Q58" s="8"/>
      <c r="R58" s="8"/>
    </row>
    <row r="59" spans="1:18">
      <c r="A59" s="36" t="s">
        <v>110</v>
      </c>
      <c r="B59" s="36">
        <v>1</v>
      </c>
      <c r="C59" s="36" t="s">
        <v>56</v>
      </c>
      <c r="D59" s="36"/>
      <c r="E59" s="36"/>
      <c r="F59" s="53"/>
      <c r="G59" s="36"/>
      <c r="H59" s="53" t="s">
        <v>52</v>
      </c>
      <c r="I59" s="53">
        <v>3</v>
      </c>
      <c r="J59" s="36">
        <v>3</v>
      </c>
      <c r="K59" s="36"/>
      <c r="L59" s="36">
        <f>SUM(L36:L58)</f>
        <v>840</v>
      </c>
      <c r="M59" s="38">
        <f>SUM(M36:M58)</f>
        <v>2520</v>
      </c>
      <c r="N59" s="38">
        <v>111</v>
      </c>
      <c r="O59" s="36" t="s">
        <v>111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103</v>
      </c>
      <c r="L62" s="9">
        <f>L63/H3</f>
        <v>840</v>
      </c>
    </row>
    <row r="63" spans="1:18">
      <c r="K63" s="9" t="s">
        <v>117</v>
      </c>
      <c r="L63" s="9">
        <f>M59+AG7</f>
        <v>2520</v>
      </c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Z17" workbookViewId="0">
      <selection activeCell="AT52" sqref="AT52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333:16345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4.5" spans="1:60 16333:16345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4.5" spans="1:60 16333:16345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4.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4.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112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4.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123</v>
      </c>
      <c r="U39" s="19" t="s">
        <v>124</v>
      </c>
      <c r="V39" s="20" t="s">
        <v>125</v>
      </c>
      <c r="W39" s="19" t="s">
        <v>126</v>
      </c>
      <c r="X39" s="19" t="s">
        <v>127</v>
      </c>
      <c r="Y39" s="19" t="s">
        <v>128</v>
      </c>
      <c r="Z39" s="19" t="s">
        <v>129</v>
      </c>
      <c r="AA39" s="19" t="s">
        <v>130</v>
      </c>
      <c r="AB39" s="19" t="s">
        <v>131</v>
      </c>
      <c r="AC39" s="19" t="s">
        <v>132</v>
      </c>
      <c r="AD39" s="19" t="s">
        <v>133</v>
      </c>
      <c r="AE39" s="19" t="s">
        <v>134</v>
      </c>
      <c r="AF39" s="19" t="s">
        <v>135</v>
      </c>
      <c r="AG39" s="19" t="s">
        <v>136</v>
      </c>
      <c r="AH39" s="19" t="s">
        <v>137</v>
      </c>
      <c r="AI39" s="19" t="s">
        <v>138</v>
      </c>
      <c r="AJ39" s="19" t="s">
        <v>139</v>
      </c>
      <c r="AK39" s="21" t="s">
        <v>140</v>
      </c>
      <c r="AL39" s="21" t="s">
        <v>141</v>
      </c>
      <c r="AM39" s="21" t="s">
        <v>142</v>
      </c>
      <c r="AN39" s="21" t="s">
        <v>143</v>
      </c>
      <c r="AO39" s="21" t="s">
        <v>144</v>
      </c>
      <c r="AP39" s="21" t="s">
        <v>145</v>
      </c>
      <c r="AQ39" s="21" t="s">
        <v>146</v>
      </c>
      <c r="AR39" s="21" t="s">
        <v>147</v>
      </c>
      <c r="AS39" s="22" t="s">
        <v>148</v>
      </c>
      <c r="AT39" s="19" t="s">
        <v>149</v>
      </c>
      <c r="AU39" s="19" t="s">
        <v>150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4.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4.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152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112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4.5" spans="1:60 16333:16345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T43" s="19" t="s">
        <v>123</v>
      </c>
      <c r="U43" s="19" t="s">
        <v>124</v>
      </c>
      <c r="V43" s="20" t="s">
        <v>125</v>
      </c>
      <c r="W43" s="19" t="s">
        <v>126</v>
      </c>
      <c r="X43" s="19" t="s">
        <v>127</v>
      </c>
      <c r="Y43" s="19" t="s">
        <v>128</v>
      </c>
      <c r="Z43" s="19" t="s">
        <v>129</v>
      </c>
      <c r="AA43" s="19" t="s">
        <v>130</v>
      </c>
      <c r="AB43" s="19" t="s">
        <v>131</v>
      </c>
      <c r="AC43" s="19" t="s">
        <v>132</v>
      </c>
      <c r="AD43" s="19" t="s">
        <v>133</v>
      </c>
      <c r="AE43" s="19" t="s">
        <v>134</v>
      </c>
      <c r="AF43" s="19" t="s">
        <v>135</v>
      </c>
      <c r="AG43" s="19" t="s">
        <v>136</v>
      </c>
      <c r="AH43" s="19" t="s">
        <v>137</v>
      </c>
      <c r="AI43" s="19" t="s">
        <v>138</v>
      </c>
      <c r="AJ43" s="19" t="s">
        <v>139</v>
      </c>
      <c r="AK43" s="21" t="s">
        <v>140</v>
      </c>
      <c r="AL43" s="21" t="s">
        <v>141</v>
      </c>
      <c r="AM43" s="21" t="s">
        <v>142</v>
      </c>
      <c r="AN43" s="21" t="s">
        <v>143</v>
      </c>
      <c r="AO43" s="21" t="s">
        <v>144</v>
      </c>
      <c r="AP43" s="21" t="s">
        <v>145</v>
      </c>
      <c r="AQ43" s="21" t="s">
        <v>146</v>
      </c>
      <c r="AR43" s="21" t="s">
        <v>147</v>
      </c>
      <c r="AS43" s="22" t="s">
        <v>148</v>
      </c>
      <c r="AT43" s="19" t="s">
        <v>149</v>
      </c>
      <c r="AU43" s="19" t="s">
        <v>150</v>
      </c>
    </row>
    <row r="44" ht="14.5" spans="1:60 16333:16345">
      <c r="A44" s="18" t="s">
        <v>112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4.5" spans="1:60 16333:16345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  <c r="T45" s="31" t="s">
        <v>152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113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113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113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113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113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113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113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114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110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111</v>
      </c>
      <c r="P54" s="36"/>
      <c r="Q54" s="36"/>
      <c r="R54" s="36"/>
    </row>
    <row r="55" spans="1:18">
      <c r="A55" s="18" t="s">
        <v>115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93</v>
      </c>
      <c r="B56" s="4" t="s">
        <v>94</v>
      </c>
      <c r="C56" s="4" t="s">
        <v>95</v>
      </c>
      <c r="D56" s="4" t="s">
        <v>96</v>
      </c>
      <c r="E56" s="4" t="s">
        <v>97</v>
      </c>
      <c r="F56" s="4" t="s">
        <v>60</v>
      </c>
      <c r="G56" s="4" t="s">
        <v>98</v>
      </c>
      <c r="H56" s="4" t="s">
        <v>99</v>
      </c>
      <c r="I56" s="4" t="s">
        <v>100</v>
      </c>
      <c r="J56" s="4" t="s">
        <v>101</v>
      </c>
      <c r="K56" s="4" t="s">
        <v>102</v>
      </c>
      <c r="L56" s="4" t="s">
        <v>103</v>
      </c>
      <c r="M56" s="4" t="s">
        <v>104</v>
      </c>
      <c r="N56" s="5" t="s">
        <v>105</v>
      </c>
      <c r="O56" s="5" t="s">
        <v>106</v>
      </c>
      <c r="P56" s="5" t="s">
        <v>107</v>
      </c>
      <c r="Q56" s="5" t="s">
        <v>108</v>
      </c>
      <c r="R56" s="5" t="s">
        <v>109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116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116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116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87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116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88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116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89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116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90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116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114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110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103</v>
      </c>
      <c r="L68" s="9">
        <f>L69/H3</f>
        <v>420</v>
      </c>
    </row>
    <row r="69" spans="1:18">
      <c r="K69" s="9" t="s">
        <v>117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Z30" workbookViewId="0">
      <selection activeCell="AF61" sqref="AF61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305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4.5" spans="1:60 16305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4.5" spans="1:60 16305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4.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4.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R37" si="8">SUM(AP36:AP36)</f>
        <v>13.5</v>
      </c>
      <c r="AQ37" s="32">
        <f t="shared" si="8"/>
        <v>0</v>
      </c>
      <c r="AR37" s="32">
        <f t="shared" si="8"/>
        <v>0</v>
      </c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153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4.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4.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4.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152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R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>SUM(AS39:AS40)</f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113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113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113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113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113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113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113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0" si="15">L53*K53</f>
        <v>60</v>
      </c>
      <c r="N53" s="8" t="str">
        <f t="shared" ref="N53:N59" si="16">I25</f>
        <v>3</v>
      </c>
      <c r="O53" s="8" t="s">
        <v>116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116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116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116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116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116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116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>L61*K61</f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G17" sqref="G17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305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4.5" spans="1:60 16305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119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4.5" spans="1:60 16305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4.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151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4.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4.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4.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152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77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113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78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113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79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113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80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113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81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113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82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113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83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113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84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116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85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116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86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116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87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116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88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116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89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116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90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116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114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114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110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111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103</v>
      </c>
      <c r="L62" s="9">
        <f>L63/H3</f>
        <v>720</v>
      </c>
    </row>
    <row r="63" spans="1:18">
      <c r="K63" s="9" t="s">
        <v>117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A25" workbookViewId="0">
      <selection activeCell="X25" sqref="X25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305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4.5" spans="1:60 16305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4.5" spans="1:60 16305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4.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112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4.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123</v>
      </c>
      <c r="U39" s="19" t="s">
        <v>124</v>
      </c>
      <c r="V39" s="20" t="s">
        <v>125</v>
      </c>
      <c r="W39" s="19" t="s">
        <v>126</v>
      </c>
      <c r="X39" s="19" t="s">
        <v>127</v>
      </c>
      <c r="Y39" s="19" t="s">
        <v>128</v>
      </c>
      <c r="Z39" s="19" t="s">
        <v>129</v>
      </c>
      <c r="AA39" s="19" t="s">
        <v>130</v>
      </c>
      <c r="AB39" s="19" t="s">
        <v>131</v>
      </c>
      <c r="AC39" s="19" t="s">
        <v>132</v>
      </c>
      <c r="AD39" s="19" t="s">
        <v>133</v>
      </c>
      <c r="AE39" s="19" t="s">
        <v>134</v>
      </c>
      <c r="AF39" s="19" t="s">
        <v>135</v>
      </c>
      <c r="AG39" s="19" t="s">
        <v>136</v>
      </c>
      <c r="AH39" s="19" t="s">
        <v>137</v>
      </c>
      <c r="AI39" s="19" t="s">
        <v>138</v>
      </c>
      <c r="AJ39" s="19" t="s">
        <v>139</v>
      </c>
      <c r="AK39" s="21" t="s">
        <v>140</v>
      </c>
      <c r="AL39" s="21" t="s">
        <v>141</v>
      </c>
      <c r="AM39" s="21" t="s">
        <v>142</v>
      </c>
      <c r="AN39" s="21" t="s">
        <v>143</v>
      </c>
      <c r="AO39" s="21" t="s">
        <v>144</v>
      </c>
      <c r="AP39" s="21" t="s">
        <v>145</v>
      </c>
      <c r="AQ39" s="21" t="s">
        <v>146</v>
      </c>
      <c r="AR39" s="21" t="s">
        <v>147</v>
      </c>
      <c r="AS39" s="22" t="s">
        <v>148</v>
      </c>
      <c r="AT39" s="19" t="s">
        <v>149</v>
      </c>
      <c r="AU39" s="19" t="s">
        <v>150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4.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4.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152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</row>
    <row r="44" spans="1:60 16305:16356">
      <c r="A44" s="18" t="s">
        <v>112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9">L46*K46</f>
        <v>60</v>
      </c>
      <c r="N46" s="8" t="str">
        <f t="shared" ref="N46:N52" si="10">I18</f>
        <v>3</v>
      </c>
      <c r="O46" s="8" t="s">
        <v>113</v>
      </c>
      <c r="P46" s="8">
        <f t="shared" ref="P46:P52" si="11">O46-I46</f>
        <v>998773</v>
      </c>
      <c r="Q46" s="8">
        <f t="shared" ref="Q46:Q52" si="12">-I46</f>
        <v>-3</v>
      </c>
      <c r="R46" s="8">
        <f t="shared" ref="R46:R52" si="13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9"/>
        <v>60</v>
      </c>
      <c r="N47" s="8" t="str">
        <f t="shared" si="10"/>
        <v>3</v>
      </c>
      <c r="O47" s="8" t="s">
        <v>113</v>
      </c>
      <c r="P47" s="8">
        <f t="shared" si="11"/>
        <v>998773</v>
      </c>
      <c r="Q47" s="8">
        <f t="shared" si="12"/>
        <v>-3</v>
      </c>
      <c r="R47" s="8">
        <f t="shared" si="13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9"/>
        <v>60</v>
      </c>
      <c r="N48" s="8" t="str">
        <f t="shared" si="10"/>
        <v>3</v>
      </c>
      <c r="O48" s="8" t="s">
        <v>113</v>
      </c>
      <c r="P48" s="8">
        <f t="shared" si="11"/>
        <v>998773</v>
      </c>
      <c r="Q48" s="8">
        <f t="shared" si="12"/>
        <v>-3</v>
      </c>
      <c r="R48" s="8">
        <f t="shared" si="13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9"/>
        <v>60</v>
      </c>
      <c r="N49" s="8" t="str">
        <f t="shared" si="10"/>
        <v>3</v>
      </c>
      <c r="O49" s="8" t="s">
        <v>113</v>
      </c>
      <c r="P49" s="8">
        <f t="shared" si="11"/>
        <v>998773</v>
      </c>
      <c r="Q49" s="8">
        <f t="shared" si="12"/>
        <v>-3</v>
      </c>
      <c r="R49" s="8">
        <f t="shared" si="13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9"/>
        <v>60</v>
      </c>
      <c r="N50" s="8" t="str">
        <f t="shared" si="10"/>
        <v>3</v>
      </c>
      <c r="O50" s="8" t="s">
        <v>113</v>
      </c>
      <c r="P50" s="8">
        <f t="shared" si="11"/>
        <v>998773</v>
      </c>
      <c r="Q50" s="8">
        <f t="shared" si="12"/>
        <v>-3</v>
      </c>
      <c r="R50" s="8">
        <f t="shared" si="13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9"/>
        <v>60</v>
      </c>
      <c r="N51" s="8" t="str">
        <f t="shared" si="10"/>
        <v>3</v>
      </c>
      <c r="O51" s="8" t="s">
        <v>113</v>
      </c>
      <c r="P51" s="8">
        <f t="shared" si="11"/>
        <v>998773</v>
      </c>
      <c r="Q51" s="8">
        <f t="shared" si="12"/>
        <v>-3</v>
      </c>
      <c r="R51" s="8">
        <f t="shared" si="13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9"/>
        <v>60</v>
      </c>
      <c r="N52" s="8" t="str">
        <f t="shared" si="10"/>
        <v>3</v>
      </c>
      <c r="O52" s="8" t="s">
        <v>113</v>
      </c>
      <c r="P52" s="8">
        <f t="shared" si="11"/>
        <v>998773</v>
      </c>
      <c r="Q52" s="8">
        <f t="shared" si="12"/>
        <v>-3</v>
      </c>
      <c r="R52" s="8">
        <f t="shared" si="13"/>
        <v>3</v>
      </c>
    </row>
    <row r="53" spans="1:18">
      <c r="A53" s="8" t="s">
        <v>114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9"/>
        <v>420</v>
      </c>
      <c r="N53" s="8"/>
      <c r="O53" s="8"/>
      <c r="P53" s="8"/>
      <c r="Q53" s="8"/>
      <c r="R53" s="8"/>
    </row>
    <row r="54" spans="1:18">
      <c r="A54" s="36" t="s">
        <v>110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111</v>
      </c>
      <c r="P54" s="36"/>
      <c r="Q54" s="36"/>
      <c r="R54" s="36"/>
    </row>
    <row r="55" spans="1:18">
      <c r="A55" s="18" t="s">
        <v>115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93</v>
      </c>
      <c r="B56" s="4" t="s">
        <v>94</v>
      </c>
      <c r="C56" s="4" t="s">
        <v>95</v>
      </c>
      <c r="D56" s="4" t="s">
        <v>96</v>
      </c>
      <c r="E56" s="4" t="s">
        <v>97</v>
      </c>
      <c r="F56" s="4" t="s">
        <v>60</v>
      </c>
      <c r="G56" s="4" t="s">
        <v>98</v>
      </c>
      <c r="H56" s="4" t="s">
        <v>99</v>
      </c>
      <c r="I56" s="4" t="s">
        <v>100</v>
      </c>
      <c r="J56" s="4" t="s">
        <v>101</v>
      </c>
      <c r="K56" s="4" t="s">
        <v>102</v>
      </c>
      <c r="L56" s="4" t="s">
        <v>103</v>
      </c>
      <c r="M56" s="4" t="s">
        <v>104</v>
      </c>
      <c r="N56" s="5" t="s">
        <v>105</v>
      </c>
      <c r="O56" s="5" t="s">
        <v>106</v>
      </c>
      <c r="P56" s="5" t="s">
        <v>107</v>
      </c>
      <c r="Q56" s="5" t="s">
        <v>108</v>
      </c>
      <c r="R56" s="5" t="s">
        <v>109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4">L57*K57</f>
        <v>60</v>
      </c>
      <c r="N57" s="8" t="str">
        <f t="shared" ref="N57:N63" si="15">I25</f>
        <v>3</v>
      </c>
      <c r="O57" s="8" t="s">
        <v>116</v>
      </c>
      <c r="P57" s="8">
        <f t="shared" ref="P57:P63" si="16">O57-I57</f>
        <v>998770</v>
      </c>
      <c r="Q57" s="8">
        <f t="shared" ref="Q57:Q63" si="17">-I57</f>
        <v>-3</v>
      </c>
      <c r="R57" s="8">
        <f t="shared" ref="R57:R63" si="18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4"/>
        <v>60</v>
      </c>
      <c r="N58" s="8" t="str">
        <f t="shared" si="15"/>
        <v>3</v>
      </c>
      <c r="O58" s="8" t="s">
        <v>116</v>
      </c>
      <c r="P58" s="8">
        <f t="shared" si="16"/>
        <v>998770</v>
      </c>
      <c r="Q58" s="8">
        <f t="shared" si="17"/>
        <v>-3</v>
      </c>
      <c r="R58" s="8">
        <f t="shared" si="18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4"/>
        <v>60</v>
      </c>
      <c r="N59" s="8" t="str">
        <f t="shared" si="15"/>
        <v>3</v>
      </c>
      <c r="O59" s="8" t="s">
        <v>116</v>
      </c>
      <c r="P59" s="8">
        <f t="shared" si="16"/>
        <v>998770</v>
      </c>
      <c r="Q59" s="8">
        <f t="shared" si="17"/>
        <v>-3</v>
      </c>
      <c r="R59" s="8">
        <f t="shared" si="18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87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4"/>
        <v>60</v>
      </c>
      <c r="N60" s="8" t="str">
        <f t="shared" si="15"/>
        <v>3</v>
      </c>
      <c r="O60" s="8" t="s">
        <v>116</v>
      </c>
      <c r="P60" s="8">
        <f t="shared" si="16"/>
        <v>998770</v>
      </c>
      <c r="Q60" s="8">
        <f t="shared" si="17"/>
        <v>-3</v>
      </c>
      <c r="R60" s="8">
        <f t="shared" si="18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88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4"/>
        <v>60</v>
      </c>
      <c r="N61" s="8" t="str">
        <f t="shared" si="15"/>
        <v>3</v>
      </c>
      <c r="O61" s="8" t="s">
        <v>116</v>
      </c>
      <c r="P61" s="8">
        <f t="shared" si="16"/>
        <v>998770</v>
      </c>
      <c r="Q61" s="8">
        <f t="shared" si="17"/>
        <v>-3</v>
      </c>
      <c r="R61" s="8">
        <f t="shared" si="18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89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4"/>
        <v>60</v>
      </c>
      <c r="N62" s="8" t="str">
        <f t="shared" si="15"/>
        <v>3</v>
      </c>
      <c r="O62" s="8" t="s">
        <v>116</v>
      </c>
      <c r="P62" s="8">
        <f t="shared" si="16"/>
        <v>998770</v>
      </c>
      <c r="Q62" s="8">
        <f t="shared" si="17"/>
        <v>-3</v>
      </c>
      <c r="R62" s="8">
        <f t="shared" si="18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90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4"/>
        <v>60</v>
      </c>
      <c r="N63" s="8" t="str">
        <f t="shared" si="15"/>
        <v>3</v>
      </c>
      <c r="O63" s="8" t="s">
        <v>116</v>
      </c>
      <c r="P63" s="8">
        <f t="shared" si="16"/>
        <v>998770</v>
      </c>
      <c r="Q63" s="8">
        <f t="shared" si="17"/>
        <v>-3</v>
      </c>
      <c r="R63" s="8">
        <f t="shared" si="18"/>
        <v>3</v>
      </c>
    </row>
    <row r="64" spans="1:18">
      <c r="A64" s="8" t="s">
        <v>114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4"/>
        <v>840</v>
      </c>
      <c r="N64" s="8"/>
      <c r="O64" s="8"/>
      <c r="P64" s="8"/>
      <c r="Q64" s="8"/>
      <c r="R64" s="8"/>
    </row>
    <row r="65" spans="1:18">
      <c r="A65" s="36" t="s">
        <v>110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103</v>
      </c>
      <c r="L68" s="9">
        <f>L69/H3</f>
        <v>420</v>
      </c>
    </row>
    <row r="69" spans="1:18">
      <c r="K69" s="9" t="s">
        <v>117</v>
      </c>
      <c r="L69" s="9">
        <f>M65+AG7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A23" workbookViewId="0">
      <selection activeCell="I48" sqref="I48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277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153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4.5" spans="1:60 16277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4.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116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116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116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116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116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116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116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F25" workbookViewId="0">
      <selection activeCell="R45" sqref="R45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277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153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4.5" spans="1:60 16277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4.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116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116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116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116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116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116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116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AD13" workbookViewId="0">
      <selection activeCell="T32" sqref="T32:AU37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305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4.5" spans="1:60 16305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4.5" spans="1:60 16305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4.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</row>
    <row r="44" spans="1:60 16305:16356">
      <c r="A44" s="18" t="s">
        <v>112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113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114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110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111</v>
      </c>
      <c r="P54" s="36"/>
      <c r="Q54" s="36"/>
      <c r="R54" s="36"/>
    </row>
    <row r="55" spans="1:18">
      <c r="A55" s="18" t="s">
        <v>115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93</v>
      </c>
      <c r="B56" s="4" t="s">
        <v>94</v>
      </c>
      <c r="C56" s="4" t="s">
        <v>95</v>
      </c>
      <c r="D56" s="4" t="s">
        <v>96</v>
      </c>
      <c r="E56" s="4" t="s">
        <v>97</v>
      </c>
      <c r="F56" s="4" t="s">
        <v>60</v>
      </c>
      <c r="G56" s="4" t="s">
        <v>98</v>
      </c>
      <c r="H56" s="4" t="s">
        <v>99</v>
      </c>
      <c r="I56" s="4" t="s">
        <v>100</v>
      </c>
      <c r="J56" s="4" t="s">
        <v>101</v>
      </c>
      <c r="K56" s="4" t="s">
        <v>102</v>
      </c>
      <c r="L56" s="4" t="s">
        <v>103</v>
      </c>
      <c r="M56" s="4" t="s">
        <v>104</v>
      </c>
      <c r="N56" s="5" t="s">
        <v>105</v>
      </c>
      <c r="O56" s="5" t="s">
        <v>106</v>
      </c>
      <c r="P56" s="5" t="s">
        <v>107</v>
      </c>
      <c r="Q56" s="5" t="s">
        <v>108</v>
      </c>
      <c r="R56" s="5" t="s">
        <v>109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116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116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116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87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116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88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116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89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116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90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116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114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110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103</v>
      </c>
      <c r="L68" s="9">
        <f>L69/H3</f>
        <v>420</v>
      </c>
    </row>
    <row r="69" spans="1:18">
      <c r="K69" s="9" t="s">
        <v>117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Z23" workbookViewId="0">
      <selection activeCell="T32" sqref="T32:AU37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277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4.5" spans="1:60 16277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4.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116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116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116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116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116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116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116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A28" workbookViewId="0">
      <selection activeCell="V49" sqref="V49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277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4.5" spans="1:60 16277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4.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116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116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116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116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116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116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116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AD13" workbookViewId="0">
      <selection activeCell="T32" sqref="T32:AU37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305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4.5" spans="1:60 16305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4.5" spans="1:60 16305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4.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</row>
    <row r="44" spans="1:60 16305:16356">
      <c r="A44" s="18" t="s">
        <v>112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113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114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110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111</v>
      </c>
      <c r="P54" s="36"/>
      <c r="Q54" s="36"/>
      <c r="R54" s="36"/>
    </row>
    <row r="55" spans="1:18">
      <c r="A55" s="18" t="s">
        <v>115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93</v>
      </c>
      <c r="B56" s="4" t="s">
        <v>94</v>
      </c>
      <c r="C56" s="4" t="s">
        <v>95</v>
      </c>
      <c r="D56" s="4" t="s">
        <v>96</v>
      </c>
      <c r="E56" s="4" t="s">
        <v>97</v>
      </c>
      <c r="F56" s="4" t="s">
        <v>60</v>
      </c>
      <c r="G56" s="4" t="s">
        <v>98</v>
      </c>
      <c r="H56" s="4" t="s">
        <v>99</v>
      </c>
      <c r="I56" s="4" t="s">
        <v>100</v>
      </c>
      <c r="J56" s="4" t="s">
        <v>101</v>
      </c>
      <c r="K56" s="4" t="s">
        <v>102</v>
      </c>
      <c r="L56" s="4" t="s">
        <v>103</v>
      </c>
      <c r="M56" s="4" t="s">
        <v>104</v>
      </c>
      <c r="N56" s="5" t="s">
        <v>105</v>
      </c>
      <c r="O56" s="5" t="s">
        <v>106</v>
      </c>
      <c r="P56" s="5" t="s">
        <v>107</v>
      </c>
      <c r="Q56" s="5" t="s">
        <v>108</v>
      </c>
      <c r="R56" s="5" t="s">
        <v>109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116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116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116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87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116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88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116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89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116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90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116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114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110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103</v>
      </c>
      <c r="L68" s="9">
        <f>L69/H3</f>
        <v>420</v>
      </c>
    </row>
    <row r="69" spans="1:18">
      <c r="K69" s="9" t="s">
        <v>117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Z23" workbookViewId="0">
      <selection activeCell="T32" sqref="T32:AU37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277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4.5" spans="1:60 16277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4.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116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116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116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116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116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116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116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A61" workbookViewId="0">
      <selection activeCell="H72" sqref="H72"/>
    </sheetView>
  </sheetViews>
  <sheetFormatPr defaultColWidth="9" defaultRowHeight="14"/>
  <cols>
    <col min="1" max="1" width="11.5454545454545" style="1" customWidth="1"/>
    <col min="2" max="2" width="9.36363636363636" style="1" customWidth="1"/>
    <col min="3" max="3" width="14.6363636363636" style="1" customWidth="1"/>
    <col min="4" max="4" width="17.2727272727273" style="1" customWidth="1"/>
    <col min="5" max="5" width="34.4545454545455" style="1" customWidth="1"/>
    <col min="6" max="6" width="33.7272727272727" style="1" customWidth="1"/>
    <col min="7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0.6363636363636" style="1" customWidth="1"/>
    <col min="14" max="14" width="16.1818181818182" style="1" customWidth="1"/>
    <col min="15" max="15" width="21.0909090909091" style="1" customWidth="1"/>
    <col min="16" max="16" width="19.3636363636364" style="1" customWidth="1"/>
    <col min="17" max="17" width="18.0909090909091" style="1" customWidth="1"/>
    <col min="18" max="18" width="16.8181818181818" style="1" customWidth="1"/>
    <col min="19" max="19" width="19.6363636363636" style="1" customWidth="1"/>
    <col min="20" max="20" width="8.90909090909091" style="1" customWidth="1"/>
    <col min="21" max="22" width="30.9090909090909" style="1" customWidth="1"/>
    <col min="23" max="23" width="12" style="1" customWidth="1"/>
    <col min="24" max="24" width="13.9090909090909" style="1" customWidth="1"/>
    <col min="25" max="25" width="22.5454545454545" style="1" customWidth="1"/>
    <col min="26" max="26" width="15.2727272727273" style="1" customWidth="1"/>
    <col min="27" max="27" width="9.54545454545454" style="1" customWidth="1"/>
    <col min="28" max="28" width="10.2727272727273" style="1" customWidth="1"/>
    <col min="29" max="29" width="11.0909090909091" style="1" customWidth="1"/>
    <col min="30" max="30" width="12.9090909090909" style="1" customWidth="1"/>
    <col min="31" max="31" width="9.18181818181818" style="1" customWidth="1"/>
    <col min="32" max="32" width="13.8181818181818" style="1" customWidth="1"/>
    <col min="33" max="33" width="19" style="1" customWidth="1"/>
    <col min="34" max="34" width="8.90909090909091" style="1" customWidth="1"/>
    <col min="35" max="35" width="10.3636363636364" style="1" customWidth="1"/>
    <col min="36" max="36" width="9.63636363636364" style="1" customWidth="1"/>
    <col min="37" max="37" width="15.0909090909091" style="1" customWidth="1"/>
    <col min="38" max="38" width="6.18181818181818" style="1" customWidth="1"/>
    <col min="39" max="39" width="6" style="1" customWidth="1"/>
    <col min="40" max="40" width="5.54545454545455" style="1" customWidth="1"/>
    <col min="41" max="42" width="8.45454545454546" style="1" customWidth="1"/>
    <col min="43" max="43" width="7.90909090909091" style="1" customWidth="1"/>
    <col min="44" max="44" width="10.5454545454545" style="1" customWidth="1"/>
    <col min="45" max="45" width="8.81818181818182" style="1" customWidth="1"/>
    <col min="46" max="46" width="22.2727272727273" style="1" customWidth="1"/>
    <col min="47" max="47" width="21.1818181818182" style="1" customWidth="1"/>
    <col min="48" max="16372" width="9.13636363636364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</v>
      </c>
      <c r="F3" s="7" t="s">
        <v>18</v>
      </c>
      <c r="G3" s="54" t="s">
        <v>19</v>
      </c>
      <c r="H3" s="6">
        <v>3</v>
      </c>
      <c r="I3" s="8" t="s">
        <v>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69</v>
      </c>
      <c r="I11" s="8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69</v>
      </c>
      <c r="I12" s="8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69</v>
      </c>
      <c r="I13" s="8" t="s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69</v>
      </c>
      <c r="I14" s="8" t="s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69</v>
      </c>
      <c r="I15" s="8" t="s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69</v>
      </c>
      <c r="I16" s="8" t="s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69</v>
      </c>
      <c r="I17" s="8" t="s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70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78</v>
      </c>
      <c r="F19" s="8" t="s">
        <v>14</v>
      </c>
      <c r="G19" s="8" t="s">
        <v>68</v>
      </c>
      <c r="H19" s="8">
        <f t="shared" si="1"/>
        <v>998776</v>
      </c>
      <c r="I19" s="8" t="s">
        <v>70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79</v>
      </c>
      <c r="F20" s="8" t="s">
        <v>14</v>
      </c>
      <c r="G20" s="8" t="s">
        <v>68</v>
      </c>
      <c r="H20" s="8">
        <f t="shared" si="1"/>
        <v>998776</v>
      </c>
      <c r="I20" s="8" t="s">
        <v>70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80</v>
      </c>
      <c r="F21" s="8" t="s">
        <v>14</v>
      </c>
      <c r="G21" s="8" t="s">
        <v>68</v>
      </c>
      <c r="H21" s="8">
        <f t="shared" si="1"/>
        <v>998776</v>
      </c>
      <c r="I21" s="8" t="s">
        <v>70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81</v>
      </c>
      <c r="F22" s="8" t="s">
        <v>14</v>
      </c>
      <c r="G22" s="8" t="s">
        <v>68</v>
      </c>
      <c r="H22" s="8">
        <f t="shared" si="1"/>
        <v>998776</v>
      </c>
      <c r="I22" s="8" t="s">
        <v>70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82</v>
      </c>
      <c r="F23" s="8" t="s">
        <v>14</v>
      </c>
      <c r="G23" s="8" t="s">
        <v>68</v>
      </c>
      <c r="H23" s="8">
        <f t="shared" si="1"/>
        <v>998776</v>
      </c>
      <c r="I23" s="8" t="s">
        <v>70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83</v>
      </c>
      <c r="F24" s="8" t="s">
        <v>14</v>
      </c>
      <c r="G24" s="8" t="s">
        <v>68</v>
      </c>
      <c r="H24" s="8">
        <f t="shared" si="1"/>
        <v>998776</v>
      </c>
      <c r="I24" s="8" t="s">
        <v>70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84</v>
      </c>
      <c r="F25" s="8" t="s">
        <v>14</v>
      </c>
      <c r="G25" s="8" t="s">
        <v>68</v>
      </c>
      <c r="H25" s="8">
        <f t="shared" si="1"/>
        <v>998773</v>
      </c>
      <c r="I25" s="8" t="s">
        <v>70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85</v>
      </c>
      <c r="F26" s="8" t="s">
        <v>14</v>
      </c>
      <c r="G26" s="8" t="s">
        <v>68</v>
      </c>
      <c r="H26" s="8">
        <f t="shared" si="1"/>
        <v>998773</v>
      </c>
      <c r="I26" s="8" t="s">
        <v>70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86</v>
      </c>
      <c r="F27" s="8" t="s">
        <v>14</v>
      </c>
      <c r="G27" s="8" t="s">
        <v>68</v>
      </c>
      <c r="H27" s="8">
        <f t="shared" si="1"/>
        <v>998773</v>
      </c>
      <c r="I27" s="8" t="s">
        <v>70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87</v>
      </c>
      <c r="F28" s="8" t="s">
        <v>14</v>
      </c>
      <c r="G28" s="8" t="s">
        <v>68</v>
      </c>
      <c r="H28" s="8">
        <f t="shared" si="1"/>
        <v>998773</v>
      </c>
      <c r="I28" s="8" t="s">
        <v>70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88</v>
      </c>
      <c r="F29" s="8" t="s">
        <v>14</v>
      </c>
      <c r="G29" s="8" t="s">
        <v>68</v>
      </c>
      <c r="H29" s="8">
        <f t="shared" si="1"/>
        <v>998773</v>
      </c>
      <c r="I29" s="8" t="s">
        <v>70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89</v>
      </c>
      <c r="F30" s="8" t="s">
        <v>14</v>
      </c>
      <c r="G30" s="8" t="s">
        <v>68</v>
      </c>
      <c r="H30" s="8">
        <f t="shared" si="1"/>
        <v>998773</v>
      </c>
      <c r="I30" s="8" t="s">
        <v>70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90</v>
      </c>
      <c r="F31" s="8" t="s">
        <v>14</v>
      </c>
      <c r="G31" s="8" t="s">
        <v>68</v>
      </c>
      <c r="H31" s="8">
        <f t="shared" si="1"/>
        <v>998773</v>
      </c>
      <c r="I31" s="8" t="s">
        <v>70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4.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120</v>
      </c>
      <c r="V32" s="16">
        <v>1</v>
      </c>
    </row>
    <row r="33" ht="14.5" spans="1:60 16277:16356">
      <c r="A33" s="3" t="s">
        <v>121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122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4.5" spans="1:60 16277:16356">
      <c r="A35" s="5" t="s">
        <v>93</v>
      </c>
      <c r="B35" s="5" t="s">
        <v>94</v>
      </c>
      <c r="C35" s="5" t="s">
        <v>95</v>
      </c>
      <c r="D35" s="5" t="s">
        <v>96</v>
      </c>
      <c r="E35" s="5" t="s">
        <v>97</v>
      </c>
      <c r="F35" s="5" t="s">
        <v>60</v>
      </c>
      <c r="G35" s="5" t="s">
        <v>98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103</v>
      </c>
      <c r="M35" s="5" t="s">
        <v>104</v>
      </c>
      <c r="N35" s="5" t="s">
        <v>105</v>
      </c>
      <c r="O35" s="5" t="s">
        <v>106</v>
      </c>
      <c r="P35" s="5" t="s">
        <v>107</v>
      </c>
      <c r="Q35" s="5" t="s">
        <v>108</v>
      </c>
      <c r="R35" s="5" t="s">
        <v>109</v>
      </c>
      <c r="T35" s="19" t="s">
        <v>123</v>
      </c>
      <c r="U35" s="19" t="s">
        <v>124</v>
      </c>
      <c r="V35" s="20" t="s">
        <v>125</v>
      </c>
      <c r="W35" s="19" t="s">
        <v>126</v>
      </c>
      <c r="X35" s="19" t="s">
        <v>127</v>
      </c>
      <c r="Y35" s="19" t="s">
        <v>128</v>
      </c>
      <c r="Z35" s="19" t="s">
        <v>129</v>
      </c>
      <c r="AA35" s="19" t="s">
        <v>130</v>
      </c>
      <c r="AB35" s="19" t="s">
        <v>131</v>
      </c>
      <c r="AC35" s="19" t="s">
        <v>132</v>
      </c>
      <c r="AD35" s="19" t="s">
        <v>133</v>
      </c>
      <c r="AE35" s="19" t="s">
        <v>134</v>
      </c>
      <c r="AF35" s="19" t="s">
        <v>135</v>
      </c>
      <c r="AG35" s="19" t="s">
        <v>136</v>
      </c>
      <c r="AH35" s="19" t="s">
        <v>137</v>
      </c>
      <c r="AI35" s="19" t="s">
        <v>138</v>
      </c>
      <c r="AJ35" s="19" t="s">
        <v>139</v>
      </c>
      <c r="AK35" s="21" t="s">
        <v>140</v>
      </c>
      <c r="AL35" s="21" t="s">
        <v>141</v>
      </c>
      <c r="AM35" s="21" t="s">
        <v>142</v>
      </c>
      <c r="AN35" s="21" t="s">
        <v>143</v>
      </c>
      <c r="AO35" s="21" t="s">
        <v>144</v>
      </c>
      <c r="AP35" s="21" t="s">
        <v>145</v>
      </c>
      <c r="AQ35" s="21" t="s">
        <v>146</v>
      </c>
      <c r="AR35" s="21" t="s">
        <v>147</v>
      </c>
      <c r="AS35" s="22" t="s">
        <v>148</v>
      </c>
      <c r="AT35" s="19" t="s">
        <v>149</v>
      </c>
      <c r="AU35" s="19" t="s">
        <v>150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4.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69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151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4.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69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152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69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69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69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69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69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110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93</v>
      </c>
      <c r="B45" s="4" t="s">
        <v>94</v>
      </c>
      <c r="C45" s="4" t="s">
        <v>95</v>
      </c>
      <c r="D45" s="4" t="s">
        <v>96</v>
      </c>
      <c r="E45" s="4" t="s">
        <v>97</v>
      </c>
      <c r="F45" s="4" t="s">
        <v>60</v>
      </c>
      <c r="G45" s="4" t="s">
        <v>98</v>
      </c>
      <c r="H45" s="4" t="s">
        <v>99</v>
      </c>
      <c r="I45" s="4" t="s">
        <v>100</v>
      </c>
      <c r="J45" s="4" t="s">
        <v>101</v>
      </c>
      <c r="K45" s="4" t="s">
        <v>102</v>
      </c>
      <c r="L45" s="4" t="s">
        <v>103</v>
      </c>
      <c r="M45" s="4" t="s">
        <v>104</v>
      </c>
      <c r="N45" s="5" t="s">
        <v>105</v>
      </c>
      <c r="O45" s="5" t="s">
        <v>106</v>
      </c>
      <c r="P45" s="5" t="s">
        <v>107</v>
      </c>
      <c r="Q45" s="5" t="s">
        <v>108</v>
      </c>
      <c r="R45" s="5" t="s">
        <v>109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113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78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113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79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113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80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113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81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113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82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113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83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113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84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116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85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116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86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116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87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116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116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89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116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90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116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114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114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110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103</v>
      </c>
      <c r="L65" s="9">
        <f>L66/H3</f>
        <v>700</v>
      </c>
    </row>
    <row r="66" spans="11:12">
      <c r="K66" s="9" t="s">
        <v>117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Sakthi R</cp:lastModifiedBy>
  <dcterms:created xsi:type="dcterms:W3CDTF">2026-02-26T06:42:00Z</dcterms:created>
  <dcterms:modified xsi:type="dcterms:W3CDTF">2026-04-16T07:45:22Z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