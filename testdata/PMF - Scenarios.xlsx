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 firstSheet="11" activeTab="14"/>
  </bookViews>
  <sheets>
    <sheet name="ProdOrder-Single(Inside)" sheetId="5" r:id="rId1"/>
    <sheet name="ProdOrder-Multiple(Inside)" sheetId="6" r:id="rId2"/>
    <sheet name="ProdOrder-Item(Inside)" sheetId="7" r:id="rId3"/>
    <sheet name="ProdOrder-Single(Outside)" sheetId="9" r:id="rId4"/>
    <sheet name="ProdOrder-Multiple(Outside)" sheetId="8" r:id="rId5"/>
    <sheet name="ProdOrder-Item(Outside)" sheetId="10" r:id="rId6"/>
    <sheet name="ProdOrder-Single(FIRO)" sheetId="11" r:id="rId7"/>
    <sheet name="ProdOrder-Multiple(FIRO)" sheetId="12" r:id="rId8"/>
    <sheet name="ProdOrder-Item(FIRO)" sheetId="13" r:id="rId9"/>
    <sheet name="ProdOrder-Single(FORI)" sheetId="14" r:id="rId10"/>
    <sheet name="ProdOrder-Multiple(FORI)" sheetId="16" r:id="rId11"/>
    <sheet name="ProdOrder-Item(FORI)" sheetId="17" r:id="rId12"/>
    <sheet name="ProdOrder-Single(FORB)" sheetId="18" r:id="rId13"/>
    <sheet name="ProdOrder-Multiple(FORB)" sheetId="19" r:id="rId14"/>
    <sheet name="ProdOrder-Item(FORB)" sheetId="20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<sst xmlns="http://schemas.openxmlformats.org/spreadsheetml/2006/main" count="8458" uniqueCount="200">
  <si>
    <t>Production Order - All Inside</t>
  </si>
  <si>
    <t>FGUOM</t>
  </si>
  <si>
    <t>Unit</t>
  </si>
  <si>
    <t>OrderType</t>
  </si>
  <si>
    <t>BomType</t>
  </si>
  <si>
    <t>BOM No</t>
  </si>
  <si>
    <t>FG - Item</t>
  </si>
  <si>
    <t>Shift</t>
  </si>
  <si>
    <t>Order Quantity</t>
  </si>
  <si>
    <t>Before FG Stock</t>
  </si>
  <si>
    <t>After FG Stock</t>
  </si>
  <si>
    <t>Before FG Cost</t>
  </si>
  <si>
    <t>After FG Cost</t>
  </si>
  <si>
    <t>BOM Cost</t>
  </si>
  <si>
    <t>NOS</t>
  </si>
  <si>
    <t>U1</t>
  </si>
  <si>
    <t>Manufacturing</t>
  </si>
  <si>
    <t>BOM-2627-0000070</t>
  </si>
  <si>
    <t>GWL-FIFO-LOT-BATCH-10001(FG)</t>
  </si>
  <si>
    <t>0001</t>
  </si>
  <si>
    <t>195</t>
  </si>
  <si>
    <t>420</t>
  </si>
  <si>
    <t>Routing</t>
  </si>
  <si>
    <t>Resources</t>
  </si>
  <si>
    <t>Seq.No</t>
  </si>
  <si>
    <t>Oprn No</t>
  </si>
  <si>
    <t>ProcessID</t>
  </si>
  <si>
    <t>ProcessDesc</t>
  </si>
  <si>
    <t>Type</t>
  </si>
  <si>
    <t>WorkCenter</t>
  </si>
  <si>
    <t>LocId</t>
  </si>
  <si>
    <t>ConsWH ID</t>
  </si>
  <si>
    <t>ConsWH Desc</t>
  </si>
  <si>
    <t>ReceiptWH ID</t>
  </si>
  <si>
    <t>ReceiptWH Desc</t>
  </si>
  <si>
    <t>TSA Flag</t>
  </si>
  <si>
    <t>Cons No</t>
  </si>
  <si>
    <t>Resource</t>
  </si>
  <si>
    <t>Hrs</t>
  </si>
  <si>
    <t>Min</t>
  </si>
  <si>
    <t>Sec</t>
  </si>
  <si>
    <t>Cost</t>
  </si>
  <si>
    <t>Hrs(cost)</t>
  </si>
  <si>
    <t>Min(Cost)</t>
  </si>
  <si>
    <t>Sec (cost)</t>
  </si>
  <si>
    <t>Total Cost</t>
  </si>
  <si>
    <t>GWL001</t>
  </si>
  <si>
    <t>GWLPROCESS-01</t>
  </si>
  <si>
    <t>Inside</t>
  </si>
  <si>
    <t>GWL AUTOMATION AREA</t>
  </si>
  <si>
    <t>L0001</t>
  </si>
  <si>
    <t>WIP WH</t>
  </si>
  <si>
    <t>WORK IN PROGRESS WAREHOUSE</t>
  </si>
  <si>
    <t>N</t>
  </si>
  <si>
    <t>GWL002</t>
  </si>
  <si>
    <t>GWLPROCESS-02</t>
  </si>
  <si>
    <t>GWL003</t>
  </si>
  <si>
    <t>GWLPROCESS-03</t>
  </si>
  <si>
    <t>Raw Material</t>
  </si>
  <si>
    <t>RawMaterial</t>
  </si>
  <si>
    <t>UOM</t>
  </si>
  <si>
    <t>SourceWH</t>
  </si>
  <si>
    <t>Stock Qty</t>
  </si>
  <si>
    <t>Alloc Qty</t>
  </si>
  <si>
    <t>Stock Balance</t>
  </si>
  <si>
    <t>BOM Qtny</t>
  </si>
  <si>
    <t>Req Quantity</t>
  </si>
  <si>
    <t>GWL-FIFO-LOT-BATCH-10001(RM)</t>
  </si>
  <si>
    <t>RAW MATERIAL WAREHOUSE</t>
  </si>
  <si>
    <t>998594</t>
  </si>
  <si>
    <t>0</t>
  </si>
  <si>
    <t>GWL-FIFO-SER-BATCH-10001(RM)</t>
  </si>
  <si>
    <t>GWL-LOT-FIFO-LOT-10001(RM)</t>
  </si>
  <si>
    <t>GWL-NA-FIFO-BATCH-10001(RM)</t>
  </si>
  <si>
    <t>GWL-LOT-MAC-10001(RM)</t>
  </si>
  <si>
    <t>GWL-SER-MAC-10001(RM)</t>
  </si>
  <si>
    <t>GWL-NA-MAC-10001(RM)</t>
  </si>
  <si>
    <t>GWL-FIFO-LOT-BATCH-10002(RM)</t>
  </si>
  <si>
    <t>3</t>
  </si>
  <si>
    <t>GWL-FIFO-SER-BATCH-10002(RM)</t>
  </si>
  <si>
    <t>GWL-LOT-FIFO-LOT-10002(RM)</t>
  </si>
  <si>
    <t>GWL-NA-FIFO-BATCH-10002(RM)</t>
  </si>
  <si>
    <t>GWL-LOT-MAC-10002(RM)</t>
  </si>
  <si>
    <t>GWL-SER-MAC-10002(RM)</t>
  </si>
  <si>
    <t>GWL-NA-MAC-10002(RM)</t>
  </si>
  <si>
    <t>GWL-FIFO-LOT-BATCH-10003(RM)</t>
  </si>
  <si>
    <t>GWL-FIFO-SER-BATCH-10003(RM)</t>
  </si>
  <si>
    <t>GWL-LOT-FIFO-LOT-10003(RM)</t>
  </si>
  <si>
    <t>GWL-NA-FIFO-BATCH-10003(RM)</t>
  </si>
  <si>
    <t>GWL-LOT-MAC-10003(RM)</t>
  </si>
  <si>
    <t>GWL-SER-MAC-10003(RM)</t>
  </si>
  <si>
    <t>GWL-NA-MAC-10003(RM)</t>
  </si>
  <si>
    <t>Material Request &amp; Material Issuance Voucher &amp; Completion</t>
  </si>
  <si>
    <t>Process - 1</t>
  </si>
  <si>
    <t>SeqNo</t>
  </si>
  <si>
    <t>Line No</t>
  </si>
  <si>
    <t>Process ID</t>
  </si>
  <si>
    <t>Process Desc</t>
  </si>
  <si>
    <t>RM Name</t>
  </si>
  <si>
    <t>Source WH</t>
  </si>
  <si>
    <t>Receiver WH</t>
  </si>
  <si>
    <t>Issuance Qty</t>
  </si>
  <si>
    <t>Stck Iss Qty</t>
  </si>
  <si>
    <t>Rqst Qnty</t>
  </si>
  <si>
    <t>Unit Cost</t>
  </si>
  <si>
    <t>Line Amt</t>
  </si>
  <si>
    <t>Stock Alloc Qty</t>
  </si>
  <si>
    <t>Before Lot Quantity</t>
  </si>
  <si>
    <t>After Lot Quantity</t>
  </si>
  <si>
    <t>Stock Trans QOH</t>
  </si>
  <si>
    <t>Stock Trans SIT</t>
  </si>
  <si>
    <t>998779</t>
  </si>
  <si>
    <t>Completion</t>
  </si>
  <si>
    <t xml:space="preserve"> &lt;- Target SF Code</t>
  </si>
  <si>
    <t>Process - 2</t>
  </si>
  <si>
    <t>998776</t>
  </si>
  <si>
    <t>SFG</t>
  </si>
  <si>
    <t>Process - 3</t>
  </si>
  <si>
    <t>998773</t>
  </si>
  <si>
    <t>Overall Cost</t>
  </si>
  <si>
    <t>186</t>
  </si>
  <si>
    <t>Process - 2 &amp; 3</t>
  </si>
  <si>
    <t>Process - 1, 2 &amp; 3</t>
  </si>
  <si>
    <t>BOM-2627-0000125</t>
  </si>
  <si>
    <t>Tax Calculations</t>
  </si>
  <si>
    <t>Material Request &amp; Material Issuance Voucher</t>
  </si>
  <si>
    <t>SCO &amp; GRN SCO</t>
  </si>
  <si>
    <t>Process</t>
  </si>
  <si>
    <t>Item</t>
  </si>
  <si>
    <t>Item Desc.</t>
  </si>
  <si>
    <t>ITEM. UOM</t>
  </si>
  <si>
    <t>Process UOM</t>
  </si>
  <si>
    <t>Order Qty (SCO UOM)</t>
  </si>
  <si>
    <t>BOM Reqd Qty</t>
  </si>
  <si>
    <t>Cons Qty</t>
  </si>
  <si>
    <t>Batch Qty</t>
  </si>
  <si>
    <t>Batch Cost</t>
  </si>
  <si>
    <t>Conv. Factor</t>
  </si>
  <si>
    <t>Proc.Qty</t>
  </si>
  <si>
    <t>LineUnit Cost</t>
  </si>
  <si>
    <t>Gross Amt.(ASSBL)</t>
  </si>
  <si>
    <t>Pur. Val.</t>
  </si>
  <si>
    <t>HSN Code</t>
  </si>
  <si>
    <t>SAC code</t>
  </si>
  <si>
    <t>Tax Rate (SAC)</t>
  </si>
  <si>
    <t>CGST</t>
  </si>
  <si>
    <t>SGST</t>
  </si>
  <si>
    <t>IGST</t>
  </si>
  <si>
    <t>UTGST</t>
  </si>
  <si>
    <t>Tax amt</t>
  </si>
  <si>
    <t>CESS %</t>
  </si>
  <si>
    <t>CESS AMT</t>
  </si>
  <si>
    <t>Net Amt</t>
  </si>
  <si>
    <t>Current Process SF code</t>
  </si>
  <si>
    <t>Target Process SF code</t>
  </si>
  <si>
    <t>000</t>
  </si>
  <si>
    <t>Total</t>
  </si>
  <si>
    <t>Process - 2&amp; 3</t>
  </si>
  <si>
    <t>BOM-2627-0000126</t>
  </si>
  <si>
    <t>BOM-2627-0000127</t>
  </si>
  <si>
    <t>BOM-2627-0000128</t>
  </si>
  <si>
    <t>998591</t>
  </si>
  <si>
    <t>99997</t>
  </si>
  <si>
    <t>100000</t>
  </si>
  <si>
    <t>198</t>
  </si>
  <si>
    <t>998588</t>
  </si>
  <si>
    <t>998585</t>
  </si>
  <si>
    <t>998582</t>
  </si>
  <si>
    <t>998579</t>
  </si>
  <si>
    <t>998576</t>
  </si>
  <si>
    <t>99994</t>
  </si>
  <si>
    <t>998573</t>
  </si>
  <si>
    <t>998570</t>
  </si>
  <si>
    <t>998567</t>
  </si>
  <si>
    <t>998564</t>
  </si>
  <si>
    <t>998561</t>
  </si>
  <si>
    <t>99991</t>
  </si>
  <si>
    <t>998558</t>
  </si>
  <si>
    <t>998555</t>
  </si>
  <si>
    <t>998552</t>
  </si>
  <si>
    <t>998549</t>
  </si>
  <si>
    <t>998546</t>
  </si>
  <si>
    <t>99988</t>
  </si>
  <si>
    <t>998543</t>
  </si>
  <si>
    <t>99985</t>
  </si>
  <si>
    <t>998540</t>
  </si>
  <si>
    <t>998537</t>
  </si>
  <si>
    <t>998534</t>
  </si>
  <si>
    <t>998531</t>
  </si>
  <si>
    <t>998528</t>
  </si>
  <si>
    <t>99982</t>
  </si>
  <si>
    <t>998525</t>
  </si>
  <si>
    <t>99979</t>
  </si>
  <si>
    <t>998522</t>
  </si>
  <si>
    <t>998519</t>
  </si>
  <si>
    <t>998516</t>
  </si>
  <si>
    <t>998513</t>
  </si>
  <si>
    <t>998510</t>
  </si>
  <si>
    <t>99976</t>
  </si>
  <si>
    <t>998507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</si>
</sst>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"/>
    <numFmt numFmtId="181" formatCode="0.00000"/>
    <numFmt numFmtId="182" formatCode="0.00_);[Red]\(0.00\)"/>
  </numFmts>
  <fonts count="30">
    <font>
      <sz val="11"/>
      <color theme="1"/>
      <name val="Calibri"/>
      <charset val="134"/>
      <scheme val="minor"/>
    </font>
    <font>
      <sz val="11"/>
      <color rgb="FF000000"/>
      <name val="Cambria"/>
      <charset val="134"/>
    </font>
    <font>
      <sz val="11"/>
      <color theme="1"/>
      <name val="Cambria"/>
      <charset val="134"/>
    </font>
    <font>
      <b/>
      <i/>
      <u/>
      <sz val="11"/>
      <color rgb="FF000000"/>
      <name val="Cambria"/>
      <charset val="134"/>
    </font>
    <font>
      <b/>
      <sz val="11"/>
      <name val="Cambria"/>
      <charset val="134"/>
    </font>
    <font>
      <b/>
      <sz val="11"/>
      <color rgb="FF000000"/>
      <name val="Cambria"/>
      <charset val="134"/>
    </font>
    <font>
      <sz val="11"/>
      <name val="Cambria"/>
      <charset val="134"/>
    </font>
    <font>
      <sz val="11"/>
      <color rgb="FF1F1F1F"/>
      <name val="Cambria"/>
      <charset val="134"/>
    </font>
    <font>
      <b/>
      <sz val="11"/>
      <color theme="1"/>
      <name val="Calibri Light"/>
      <charset val="134"/>
      <scheme val="major"/>
    </font>
    <font>
      <b/>
      <i/>
      <sz val="11"/>
      <color rgb="FF000000"/>
      <name val="Cambria"/>
      <charset val="134"/>
    </font>
    <font>
      <sz val="11"/>
      <color theme="1"/>
      <name val="Calibri Light"/>
      <charset val="134"/>
      <scheme val="maj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0" borderId="1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1" borderId="14" applyNumberFormat="0" applyAlignment="0" applyProtection="0">
      <alignment vertical="center"/>
    </xf>
    <xf numFmtId="0" fontId="20" fillId="12" borderId="15" applyNumberFormat="0" applyAlignment="0" applyProtection="0">
      <alignment vertical="center"/>
    </xf>
    <xf numFmtId="0" fontId="21" fillId="12" borderId="14" applyNumberFormat="0" applyAlignment="0" applyProtection="0">
      <alignment vertical="center"/>
    </xf>
    <xf numFmtId="0" fontId="22" fillId="13" borderId="16" applyNumberFormat="0" applyAlignment="0" applyProtection="0">
      <alignment vertical="center"/>
    </xf>
    <xf numFmtId="0" fontId="23" fillId="0" borderId="17" applyNumberFormat="0" applyFill="0" applyAlignment="0" applyProtection="0">
      <alignment vertical="center"/>
    </xf>
    <xf numFmtId="0" fontId="24" fillId="0" borderId="18" applyNumberFormat="0" applyFill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5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4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1" fillId="0" borderId="0" xfId="0" applyFont="1" applyFill="1" applyAlignment="1"/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/>
    </xf>
    <xf numFmtId="0" fontId="4" fillId="3" borderId="1" xfId="0" applyFont="1" applyFill="1" applyBorder="1" applyAlignment="1"/>
    <xf numFmtId="0" fontId="5" fillId="3" borderId="1" xfId="0" applyFont="1" applyFill="1" applyBorder="1" applyAlignment="1"/>
    <xf numFmtId="0" fontId="6" fillId="0" borderId="1" xfId="0" applyFont="1" applyFill="1" applyBorder="1" applyAlignment="1"/>
    <xf numFmtId="0" fontId="6" fillId="0" borderId="1" xfId="0" applyFont="1" applyBorder="1" applyAlignment="1">
      <alignment vertical="center"/>
    </xf>
    <xf numFmtId="0" fontId="1" fillId="0" borderId="1" xfId="0" applyFont="1" applyFill="1" applyBorder="1" applyAlignment="1"/>
    <xf numFmtId="0" fontId="5" fillId="0" borderId="1" xfId="0" applyFont="1" applyFill="1" applyBorder="1" applyAlignment="1"/>
    <xf numFmtId="0" fontId="3" fillId="0" borderId="0" xfId="0" applyFont="1" applyFill="1" applyBorder="1" applyAlignment="1"/>
    <xf numFmtId="0" fontId="5" fillId="0" borderId="0" xfId="0" applyFont="1" applyFill="1" applyBorder="1" applyAlignment="1"/>
    <xf numFmtId="0" fontId="7" fillId="0" borderId="1" xfId="0" applyFont="1" applyBorder="1" applyAlignment="1">
      <alignment vertical="center"/>
    </xf>
    <xf numFmtId="0" fontId="1" fillId="0" borderId="0" xfId="0" applyFont="1" applyFill="1" applyBorder="1" applyAlignment="1"/>
    <xf numFmtId="0" fontId="1" fillId="0" borderId="2" xfId="0" applyFont="1" applyFill="1" applyBorder="1" applyAlignment="1"/>
    <xf numFmtId="0" fontId="1" fillId="0" borderId="3" xfId="0" applyFont="1" applyFill="1" applyBorder="1" applyAlignment="1"/>
    <xf numFmtId="0" fontId="8" fillId="0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/>
    <xf numFmtId="0" fontId="9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/>
    <xf numFmtId="180" fontId="10" fillId="0" borderId="1" xfId="0" applyNumberFormat="1" applyFont="1" applyFill="1" applyBorder="1" applyAlignment="1"/>
    <xf numFmtId="2" fontId="10" fillId="0" borderId="1" xfId="0" applyNumberFormat="1" applyFont="1" applyFill="1" applyBorder="1" applyAlignment="1"/>
    <xf numFmtId="181" fontId="10" fillId="7" borderId="1" xfId="0" applyNumberFormat="1" applyFont="1" applyFill="1" applyBorder="1" applyAlignment="1"/>
    <xf numFmtId="1" fontId="10" fillId="0" borderId="1" xfId="0" applyNumberFormat="1" applyFont="1" applyFill="1" applyBorder="1" applyAlignment="1"/>
    <xf numFmtId="0" fontId="10" fillId="0" borderId="1" xfId="0" applyNumberFormat="1" applyFont="1" applyFill="1" applyBorder="1" applyAlignment="1" applyProtection="1"/>
    <xf numFmtId="10" fontId="10" fillId="0" borderId="1" xfId="0" applyNumberFormat="1" applyFont="1" applyFill="1" applyBorder="1" applyAlignment="1"/>
    <xf numFmtId="0" fontId="8" fillId="0" borderId="1" xfId="0" applyNumberFormat="1" applyFont="1" applyFill="1" applyBorder="1" applyAlignment="1"/>
    <xf numFmtId="0" fontId="8" fillId="8" borderId="1" xfId="0" applyFont="1" applyFill="1" applyBorder="1" applyAlignment="1">
      <alignment horizontal="center"/>
    </xf>
    <xf numFmtId="0" fontId="8" fillId="8" borderId="1" xfId="0" applyFont="1" applyFill="1" applyBorder="1" applyAlignment="1"/>
    <xf numFmtId="2" fontId="8" fillId="8" borderId="1" xfId="0" applyNumberFormat="1" applyFont="1" applyFill="1" applyBorder="1" applyAlignment="1"/>
    <xf numFmtId="182" fontId="8" fillId="8" borderId="1" xfId="0" applyNumberFormat="1" applyFont="1" applyFill="1" applyBorder="1" applyAlignment="1"/>
    <xf numFmtId="0" fontId="8" fillId="6" borderId="1" xfId="0" applyFont="1" applyFill="1" applyBorder="1" applyAlignment="1"/>
    <xf numFmtId="0" fontId="1" fillId="9" borderId="1" xfId="0" applyFont="1" applyFill="1" applyBorder="1" applyAlignment="1"/>
    <xf numFmtId="0" fontId="7" fillId="9" borderId="1" xfId="0" applyFont="1" applyFill="1" applyBorder="1" applyAlignment="1">
      <alignment vertical="center"/>
    </xf>
    <xf numFmtId="0" fontId="5" fillId="9" borderId="1" xfId="0" applyFont="1" applyFill="1" applyBorder="1" applyAlignment="1"/>
    <xf numFmtId="2" fontId="10" fillId="0" borderId="0" xfId="0" applyNumberFormat="1" applyFont="1" applyFill="1" applyBorder="1" applyAlignment="1"/>
    <xf numFmtId="180" fontId="10" fillId="0" borderId="0" xfId="0" applyNumberFormat="1" applyFont="1" applyFill="1" applyBorder="1" applyAlignment="1"/>
    <xf numFmtId="2" fontId="8" fillId="0" borderId="0" xfId="0" applyNumberFormat="1" applyFont="1" applyFill="1" applyBorder="1" applyAlignment="1"/>
    <xf numFmtId="0" fontId="10" fillId="0" borderId="0" xfId="0" applyFont="1" applyFill="1" applyAlignment="1"/>
    <xf numFmtId="0" fontId="2" fillId="0" borderId="0" xfId="0" applyFont="1">
      <alignment vertic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6" fillId="0" borderId="1" xfId="0" applyFont="1" applyBorder="1">
      <alignment vertical="center"/>
    </xf>
    <xf numFmtId="0" fontId="7" fillId="0" borderId="1" xfId="0" applyFont="1" applyBorder="1">
      <alignment vertical="center"/>
    </xf>
    <xf numFmtId="0" fontId="1" fillId="0" borderId="7" xfId="0" applyFont="1" applyFill="1" applyBorder="1" applyAlignment="1"/>
    <xf numFmtId="0" fontId="9" fillId="3" borderId="8" xfId="0" applyFont="1" applyFill="1" applyBorder="1" applyAlignment="1">
      <alignment horizontal="center"/>
    </xf>
    <xf numFmtId="0" fontId="9" fillId="3" borderId="9" xfId="0" applyFont="1" applyFill="1" applyBorder="1" applyAlignment="1">
      <alignment horizontal="center"/>
    </xf>
    <xf numFmtId="0" fontId="9" fillId="3" borderId="10" xfId="0" applyFont="1" applyFill="1" applyBorder="1" applyAlignment="1">
      <alignment horizontal="center"/>
    </xf>
    <xf numFmtId="0" fontId="7" fillId="9" borderId="1" xfId="0" applyFont="1" applyFill="1" applyBorder="1">
      <alignment vertical="center"/>
    </xf>
    <xf numFmtId="0" fontId="6" fillId="0" borderId="1" xfId="0" applyFont="1" applyFill="1" applyBorder="1" applyAlignment="1" quotePrefix="1"/>
    <xf numFmtId="0" fontId="8" fillId="0" borderId="1" xfId="0" applyNumberFormat="1" applyFont="1" applyFill="1" applyBorder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theme/theme1.xml" Type="http://schemas.openxmlformats.org/officeDocument/2006/relationships/theme"/><Relationship Id="rId17" Target="sharedStrings.xml" Type="http://schemas.openxmlformats.org/officeDocument/2006/relationships/sharedStrings"/><Relationship Id="rId18" Target="styles.xml" Type="http://schemas.openxmlformats.org/officeDocument/2006/relationships/style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Q69"/>
  <sheetViews>
    <sheetView zoomScale="61" zoomScaleNormal="61" workbookViewId="0">
      <selection activeCell="E6" sqref="E6"/>
    </sheetView>
  </sheetViews>
  <sheetFormatPr defaultColWidth="9" defaultRowHeight="14.25"/>
  <cols>
    <col min="1" max="1" customWidth="true" style="1" width="12.1428571428571"/>
    <col min="2" max="2" customWidth="true" style="1" width="11.8190476190476"/>
    <col min="3" max="3" customWidth="true" style="1" width="17.2761904761905"/>
    <col min="4" max="5" customWidth="true" style="1" width="34.4571428571429"/>
    <col min="6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6.1809523809524"/>
    <col min="14" max="14" customWidth="true" style="1" width="19.3619047619048"/>
    <col min="15" max="15" customWidth="true" style="1" width="19.6380952380952"/>
    <col min="16" max="16" customWidth="true" style="1" width="15.9047619047619"/>
    <col min="17" max="17" customWidth="true" style="1" width="21.1809523809524"/>
    <col min="18" max="18" customWidth="true" style="1" width="16.2857142857143"/>
    <col min="19" max="21" customWidth="true" style="1" width="19.6380952380952"/>
    <col min="22" max="16371" style="1" width="9.13333333333333"/>
    <col min="16372" max="16384" style="43" width="9.0"/>
  </cols>
  <sheetData>
    <row r="1" spans="1:33 16370:16371">
      <c r="A1" s="44" t="s">
        <v>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6"/>
    </row>
    <row r="2" spans="1:33 16370:1637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P2" s="43"/>
      <c r="XEQ2" s="43"/>
    </row>
    <row r="3" spans="1:33 16370:16371">
      <c r="A3" s="6" t="s">
        <v>14</v>
      </c>
      <c r="B3" s="6" t="s">
        <v>15</v>
      </c>
      <c r="C3" s="6" t="s">
        <v>16</v>
      </c>
      <c r="D3" s="6" t="s">
        <v>16</v>
      </c>
      <c r="E3" s="47" t="s">
        <v>17</v>
      </c>
      <c r="F3" s="47" t="s">
        <v>18</v>
      </c>
      <c r="G3" s="54" t="s">
        <v>19</v>
      </c>
      <c r="H3" s="6">
        <v>3</v>
      </c>
      <c r="I3" t="s" s="1">
        <v>164</v>
      </c>
      <c r="J3" s="8">
        <f>I3+H3</f>
        <v>186</v>
      </c>
      <c r="K3" t="s" s="1">
        <v>21</v>
      </c>
      <c r="L3" s="8">
        <f>(K3+L68)/2</f>
        <v>420</v>
      </c>
      <c r="M3" s="9">
        <f>L68</f>
        <v>420</v>
      </c>
      <c r="XEP3" s="43"/>
      <c r="XEQ3" s="43"/>
    </row>
    <row r="4" spans="1:33 16370:16371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13"/>
      <c r="V4" s="3" t="s">
        <v>23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 16370:16371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13"/>
      <c r="V5" s="5" t="s">
        <v>25</v>
      </c>
      <c r="W5" s="5" t="s">
        <v>36</v>
      </c>
      <c r="X5" s="5" t="s">
        <v>26</v>
      </c>
      <c r="Y5" s="5" t="s">
        <v>37</v>
      </c>
      <c r="Z5" s="5" t="s">
        <v>38</v>
      </c>
      <c r="AA5" s="5" t="s">
        <v>39</v>
      </c>
      <c r="AB5" s="5" t="s">
        <v>40</v>
      </c>
      <c r="AC5" s="5" t="s">
        <v>41</v>
      </c>
      <c r="AD5" s="5" t="s">
        <v>42</v>
      </c>
      <c r="AE5" s="5" t="s">
        <v>43</v>
      </c>
      <c r="AF5" s="5" t="s">
        <v>44</v>
      </c>
      <c r="AG5" s="5" t="s">
        <v>45</v>
      </c>
    </row>
    <row r="6" spans="1:33 16370:16371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48" t="s">
        <v>49</v>
      </c>
      <c r="G6" s="8" t="s">
        <v>50</v>
      </c>
      <c r="H6" s="48" t="s">
        <v>51</v>
      </c>
      <c r="I6" s="48" t="s">
        <v>52</v>
      </c>
      <c r="J6" s="48" t="s">
        <v>51</v>
      </c>
      <c r="K6" s="48" t="s">
        <v>52</v>
      </c>
      <c r="L6" s="8" t="s">
        <v>53</v>
      </c>
      <c r="M6" s="13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</row>
    <row r="7" spans="1:33 16370:16371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48" t="s">
        <v>49</v>
      </c>
      <c r="G7" s="8" t="s">
        <v>50</v>
      </c>
      <c r="H7" s="48" t="s">
        <v>51</v>
      </c>
      <c r="I7" s="48" t="s">
        <v>52</v>
      </c>
      <c r="J7" s="48" t="s">
        <v>51</v>
      </c>
      <c r="K7" s="48" t="s">
        <v>52</v>
      </c>
      <c r="L7" s="8" t="s">
        <v>53</v>
      </c>
      <c r="M7" s="13"/>
      <c r="AG7" s="1">
        <f>AG6</f>
        <v>0</v>
      </c>
    </row>
    <row r="8" spans="1:33 16370:16371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48" t="s">
        <v>49</v>
      </c>
      <c r="G8" s="8" t="s">
        <v>50</v>
      </c>
      <c r="H8" s="48" t="s">
        <v>51</v>
      </c>
      <c r="I8" s="48" t="s">
        <v>52</v>
      </c>
      <c r="J8" s="48" t="s">
        <v>51</v>
      </c>
      <c r="K8" s="48" t="s">
        <v>52</v>
      </c>
      <c r="L8" s="8" t="s">
        <v>53</v>
      </c>
      <c r="M8" s="13"/>
    </row>
    <row r="9" spans="1:33 16370:16371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</row>
    <row r="10" spans="1:33 16370:16371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</row>
    <row r="11" spans="1:33 16370:16371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t="s" s="1">
        <v>193</v>
      </c>
      <c r="I11" t="s" s="1">
        <v>78</v>
      </c>
      <c r="J11" s="8">
        <f>H11-I11</f>
        <v>998833</v>
      </c>
      <c r="K11" s="8">
        <v>1</v>
      </c>
      <c r="L11" s="8">
        <f>H3</f>
        <v>3</v>
      </c>
    </row>
    <row r="12" spans="1:33 16370:16371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t="s" s="1">
        <v>193</v>
      </c>
      <c r="I12" t="s" s="1">
        <v>78</v>
      </c>
      <c r="J12" s="8">
        <f>H12-I12</f>
        <v>998908</v>
      </c>
      <c r="K12" s="8">
        <v>1</v>
      </c>
      <c r="L12" s="8">
        <f>H3</f>
        <v>3</v>
      </c>
      <c r="M12" s="13"/>
    </row>
    <row r="13" spans="1:33 16370:16371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t="s" s="1">
        <v>193</v>
      </c>
      <c r="I13" t="s" s="1">
        <v>78</v>
      </c>
      <c r="J13" s="8">
        <f>H13-I13</f>
        <v>998908</v>
      </c>
      <c r="K13" s="8">
        <v>1</v>
      </c>
      <c r="L13" s="8">
        <f>H3</f>
        <v>3</v>
      </c>
      <c r="M13" s="13"/>
    </row>
    <row r="14" spans="1:33 16370:16371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t="s" s="1">
        <v>193</v>
      </c>
      <c r="I14" t="s" s="1">
        <v>78</v>
      </c>
      <c r="J14" s="8">
        <f>H14-I14</f>
        <v>998908</v>
      </c>
      <c r="K14" s="8">
        <v>1</v>
      </c>
      <c r="L14" s="8">
        <f>H3</f>
        <v>3</v>
      </c>
      <c r="M14" s="13"/>
    </row>
    <row r="15" spans="1:33 16370:16371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t="s" s="1">
        <v>193</v>
      </c>
      <c r="I15" t="s" s="1">
        <v>78</v>
      </c>
      <c r="J15" s="8">
        <f t="shared" ref="J12:J31" si="0">H15-I15</f>
        <v>998833</v>
      </c>
      <c r="K15" s="8">
        <v>1</v>
      </c>
      <c r="L15" s="8">
        <f>H3</f>
        <v>3</v>
      </c>
      <c r="M15" s="13"/>
    </row>
    <row r="16" spans="1:33 16370:16371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t="s" s="1">
        <v>193</v>
      </c>
      <c r="I16" t="s" s="1">
        <v>78</v>
      </c>
      <c r="J16" s="8">
        <f t="shared" si="0"/>
        <v>998833</v>
      </c>
      <c r="K16" s="8">
        <v>1</v>
      </c>
      <c r="L16" s="8">
        <f>H3</f>
        <v>3</v>
      </c>
      <c r="M16" s="13"/>
    </row>
    <row r="17" spans="1:18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t="s" s="1">
        <v>193</v>
      </c>
      <c r="I17" t="s" s="1">
        <v>78</v>
      </c>
      <c r="J17" s="8">
        <f t="shared" si="0"/>
        <v>998833</v>
      </c>
      <c r="K17" s="8">
        <v>1</v>
      </c>
      <c r="L17" s="8">
        <f>H3</f>
        <v>3</v>
      </c>
      <c r="M17" s="13"/>
    </row>
    <row r="18" spans="1:18">
      <c r="A18" s="8">
        <v>2</v>
      </c>
      <c r="B18" s="8">
        <v>1</v>
      </c>
      <c r="C18" s="8" t="s">
        <v>54</v>
      </c>
      <c r="D18" s="8" t="s">
        <v>55</v>
      </c>
      <c r="E18" s="12" t="s">
        <v>77</v>
      </c>
      <c r="F18" s="8" t="s">
        <v>14</v>
      </c>
      <c r="G18" s="8" t="s">
        <v>68</v>
      </c>
      <c r="H18" s="8">
        <f>J11</f>
        <v>998833</v>
      </c>
      <c r="I18" t="s" s="1">
        <v>78</v>
      </c>
      <c r="J18" s="8">
        <f t="shared" si="0"/>
        <v>998833</v>
      </c>
      <c r="K18" s="8">
        <v>1</v>
      </c>
      <c r="L18" s="8">
        <f>H3</f>
        <v>3</v>
      </c>
      <c r="M18" s="13"/>
    </row>
    <row r="19" spans="1:18">
      <c r="A19" s="8">
        <v>2</v>
      </c>
      <c r="B19" s="8">
        <v>2</v>
      </c>
      <c r="C19" s="8" t="s">
        <v>54</v>
      </c>
      <c r="D19" s="8" t="s">
        <v>55</v>
      </c>
      <c r="E19" s="12" t="s">
        <v>79</v>
      </c>
      <c r="F19" s="8" t="s">
        <v>14</v>
      </c>
      <c r="G19" s="8" t="s">
        <v>68</v>
      </c>
      <c r="H19" s="8">
        <f t="shared" ref="H19:H25" si="1">J12</f>
        <v>998908</v>
      </c>
      <c r="I19" t="s" s="1">
        <v>78</v>
      </c>
      <c r="J19" s="8">
        <f t="shared" si="0"/>
        <v>998908</v>
      </c>
      <c r="K19" s="8">
        <v>1</v>
      </c>
      <c r="L19" s="8">
        <f>H3</f>
        <v>3</v>
      </c>
      <c r="M19" s="13"/>
    </row>
    <row r="20" spans="1:18">
      <c r="A20" s="8">
        <v>2</v>
      </c>
      <c r="B20" s="8">
        <v>3</v>
      </c>
      <c r="C20" s="8" t="s">
        <v>54</v>
      </c>
      <c r="D20" s="8" t="s">
        <v>55</v>
      </c>
      <c r="E20" s="12" t="s">
        <v>80</v>
      </c>
      <c r="F20" s="8" t="s">
        <v>14</v>
      </c>
      <c r="G20" s="8" t="s">
        <v>68</v>
      </c>
      <c r="H20" s="8">
        <f t="shared" si="1"/>
        <v>998908</v>
      </c>
      <c r="I20" t="s" s="1">
        <v>78</v>
      </c>
      <c r="J20" s="8">
        <f t="shared" si="0"/>
        <v>998908</v>
      </c>
      <c r="K20" s="8">
        <v>1</v>
      </c>
      <c r="L20" s="8">
        <f>H3</f>
        <v>3</v>
      </c>
      <c r="M20" s="13"/>
    </row>
    <row r="21" spans="1:18">
      <c r="A21" s="8">
        <v>2</v>
      </c>
      <c r="B21" s="8">
        <v>4</v>
      </c>
      <c r="C21" s="8" t="s">
        <v>54</v>
      </c>
      <c r="D21" s="8" t="s">
        <v>55</v>
      </c>
      <c r="E21" s="12" t="s">
        <v>81</v>
      </c>
      <c r="F21" s="8" t="s">
        <v>14</v>
      </c>
      <c r="G21" s="8" t="s">
        <v>68</v>
      </c>
      <c r="H21" s="8">
        <f t="shared" si="1"/>
        <v>998908</v>
      </c>
      <c r="I21" t="s" s="1">
        <v>78</v>
      </c>
      <c r="J21" s="8">
        <f t="shared" si="0"/>
        <v>998908</v>
      </c>
      <c r="K21" s="8">
        <v>1</v>
      </c>
      <c r="L21" s="8">
        <f>H3</f>
        <v>3</v>
      </c>
      <c r="M21" s="13"/>
    </row>
    <row r="22" spans="1:18">
      <c r="A22" s="8">
        <v>2</v>
      </c>
      <c r="B22" s="8">
        <v>5</v>
      </c>
      <c r="C22" s="8" t="s">
        <v>54</v>
      </c>
      <c r="D22" s="8" t="s">
        <v>55</v>
      </c>
      <c r="E22" s="12" t="s">
        <v>82</v>
      </c>
      <c r="F22" s="8" t="s">
        <v>14</v>
      </c>
      <c r="G22" s="8" t="s">
        <v>68</v>
      </c>
      <c r="H22" s="8">
        <f t="shared" si="1"/>
        <v>998833</v>
      </c>
      <c r="I22" t="s" s="1">
        <v>78</v>
      </c>
      <c r="J22" s="8">
        <f t="shared" si="0"/>
        <v>998833</v>
      </c>
      <c r="K22" s="8">
        <v>1</v>
      </c>
      <c r="L22" s="8">
        <f>H3</f>
        <v>3</v>
      </c>
      <c r="M22" s="13"/>
    </row>
    <row r="23" spans="1:18">
      <c r="A23" s="8">
        <v>2</v>
      </c>
      <c r="B23" s="8">
        <v>6</v>
      </c>
      <c r="C23" s="8" t="s">
        <v>54</v>
      </c>
      <c r="D23" s="8" t="s">
        <v>55</v>
      </c>
      <c r="E23" s="12" t="s">
        <v>83</v>
      </c>
      <c r="F23" s="8" t="s">
        <v>14</v>
      </c>
      <c r="G23" s="8" t="s">
        <v>68</v>
      </c>
      <c r="H23" s="8">
        <f t="shared" si="1"/>
        <v>998833</v>
      </c>
      <c r="I23" t="s" s="1">
        <v>78</v>
      </c>
      <c r="J23" s="8">
        <f t="shared" si="0"/>
        <v>998833</v>
      </c>
      <c r="K23" s="8">
        <v>1</v>
      </c>
      <c r="L23" s="8">
        <f>H3</f>
        <v>3</v>
      </c>
      <c r="M23" s="13"/>
    </row>
    <row r="24" spans="1:18">
      <c r="A24" s="8">
        <v>2</v>
      </c>
      <c r="B24" s="8">
        <v>7</v>
      </c>
      <c r="C24" s="8" t="s">
        <v>54</v>
      </c>
      <c r="D24" s="8" t="s">
        <v>55</v>
      </c>
      <c r="E24" s="12" t="s">
        <v>84</v>
      </c>
      <c r="F24" s="8" t="s">
        <v>14</v>
      </c>
      <c r="G24" s="8" t="s">
        <v>68</v>
      </c>
      <c r="H24" s="8">
        <f t="shared" si="1"/>
        <v>998833</v>
      </c>
      <c r="I24" t="s" s="1">
        <v>78</v>
      </c>
      <c r="J24" s="8">
        <f t="shared" si="0"/>
        <v>998833</v>
      </c>
      <c r="K24" s="8">
        <v>1</v>
      </c>
      <c r="L24" s="8">
        <f>H3</f>
        <v>3</v>
      </c>
      <c r="M24" s="13"/>
    </row>
    <row r="25" spans="1:18">
      <c r="A25" s="8">
        <v>3</v>
      </c>
      <c r="B25" s="8">
        <v>1</v>
      </c>
      <c r="C25" s="8" t="s">
        <v>56</v>
      </c>
      <c r="D25" s="8" t="s">
        <v>57</v>
      </c>
      <c r="E25" s="12" t="s">
        <v>85</v>
      </c>
      <c r="F25" s="8" t="s">
        <v>14</v>
      </c>
      <c r="G25" s="8" t="s">
        <v>68</v>
      </c>
      <c r="H25" s="8">
        <f t="shared" si="1"/>
        <v>998833</v>
      </c>
      <c r="I25" t="s" s="1">
        <v>78</v>
      </c>
      <c r="J25" s="8">
        <f t="shared" si="0"/>
        <v>998833</v>
      </c>
      <c r="K25" s="8">
        <v>1</v>
      </c>
      <c r="L25" s="8">
        <f>H3</f>
        <v>3</v>
      </c>
      <c r="M25" s="13"/>
    </row>
    <row r="26" spans="1:18">
      <c r="A26" s="8">
        <v>3</v>
      </c>
      <c r="B26" s="8">
        <v>2</v>
      </c>
      <c r="C26" s="8" t="s">
        <v>56</v>
      </c>
      <c r="D26" s="8" t="s">
        <v>57</v>
      </c>
      <c r="E26" s="12" t="s">
        <v>86</v>
      </c>
      <c r="F26" s="8" t="s">
        <v>14</v>
      </c>
      <c r="G26" s="8" t="s">
        <v>68</v>
      </c>
      <c r="H26" s="8">
        <f t="shared" ref="H26:H31" si="2">J19</f>
        <v>998908</v>
      </c>
      <c r="I26" t="s" s="1">
        <v>78</v>
      </c>
      <c r="J26" s="8">
        <f t="shared" si="0"/>
        <v>998908</v>
      </c>
      <c r="K26" s="8">
        <v>1</v>
      </c>
      <c r="L26" s="8">
        <f>H3</f>
        <v>3</v>
      </c>
      <c r="M26" s="13"/>
    </row>
    <row r="27" spans="1:18">
      <c r="A27" s="8">
        <v>3</v>
      </c>
      <c r="B27" s="8">
        <v>3</v>
      </c>
      <c r="C27" s="8" t="s">
        <v>56</v>
      </c>
      <c r="D27" s="8" t="s">
        <v>57</v>
      </c>
      <c r="E27" s="12" t="s">
        <v>87</v>
      </c>
      <c r="F27" s="8" t="s">
        <v>14</v>
      </c>
      <c r="G27" s="8" t="s">
        <v>68</v>
      </c>
      <c r="H27" s="8">
        <f t="shared" si="2"/>
        <v>998908</v>
      </c>
      <c r="I27" t="s" s="1">
        <v>78</v>
      </c>
      <c r="J27" s="8">
        <f t="shared" si="0"/>
        <v>998908</v>
      </c>
      <c r="K27" s="8">
        <v>1</v>
      </c>
      <c r="L27" s="8">
        <f>H3</f>
        <v>3</v>
      </c>
      <c r="M27" s="13"/>
    </row>
    <row r="28" spans="1:18">
      <c r="A28" s="8">
        <v>3</v>
      </c>
      <c r="B28" s="8">
        <v>4</v>
      </c>
      <c r="C28" s="8" t="s">
        <v>56</v>
      </c>
      <c r="D28" s="8" t="s">
        <v>57</v>
      </c>
      <c r="E28" s="12" t="s">
        <v>88</v>
      </c>
      <c r="F28" s="8" t="s">
        <v>14</v>
      </c>
      <c r="G28" s="8" t="s">
        <v>68</v>
      </c>
      <c r="H28" s="8">
        <f t="shared" si="2"/>
        <v>998908</v>
      </c>
      <c r="I28" t="s" s="1">
        <v>78</v>
      </c>
      <c r="J28" s="8">
        <f t="shared" si="0"/>
        <v>998908</v>
      </c>
      <c r="K28" s="8">
        <v>1</v>
      </c>
      <c r="L28" s="8">
        <f>H3</f>
        <v>3</v>
      </c>
      <c r="M28" s="13"/>
    </row>
    <row r="29" spans="1:18">
      <c r="A29" s="8">
        <v>3</v>
      </c>
      <c r="B29" s="8">
        <v>5</v>
      </c>
      <c r="C29" s="8" t="s">
        <v>56</v>
      </c>
      <c r="D29" s="8" t="s">
        <v>57</v>
      </c>
      <c r="E29" s="12" t="s">
        <v>89</v>
      </c>
      <c r="F29" s="8" t="s">
        <v>14</v>
      </c>
      <c r="G29" s="8" t="s">
        <v>68</v>
      </c>
      <c r="H29" s="8">
        <f t="shared" si="2"/>
        <v>998833</v>
      </c>
      <c r="I29" t="s" s="1">
        <v>78</v>
      </c>
      <c r="J29" s="8">
        <f t="shared" si="0"/>
        <v>998833</v>
      </c>
      <c r="K29" s="8">
        <v>1</v>
      </c>
      <c r="L29" s="8">
        <f>H3</f>
        <v>3</v>
      </c>
      <c r="M29" s="13"/>
    </row>
    <row r="30" spans="1:18">
      <c r="A30" s="8">
        <v>3</v>
      </c>
      <c r="B30" s="8">
        <v>6</v>
      </c>
      <c r="C30" s="8" t="s">
        <v>56</v>
      </c>
      <c r="D30" s="8" t="s">
        <v>57</v>
      </c>
      <c r="E30" s="12" t="s">
        <v>90</v>
      </c>
      <c r="F30" s="8" t="s">
        <v>14</v>
      </c>
      <c r="G30" s="8" t="s">
        <v>68</v>
      </c>
      <c r="H30" s="8">
        <f t="shared" si="2"/>
        <v>998833</v>
      </c>
      <c r="I30" t="s" s="1">
        <v>78</v>
      </c>
      <c r="J30" s="8">
        <f t="shared" si="0"/>
        <v>998833</v>
      </c>
      <c r="K30" s="8">
        <v>1</v>
      </c>
      <c r="L30" s="8">
        <f>H3</f>
        <v>3</v>
      </c>
      <c r="M30" s="13"/>
    </row>
    <row r="31" spans="1:18">
      <c r="A31" s="49">
        <v>3</v>
      </c>
      <c r="B31" s="49">
        <v>7</v>
      </c>
      <c r="C31" s="49" t="s">
        <v>56</v>
      </c>
      <c r="D31" s="49" t="s">
        <v>57</v>
      </c>
      <c r="E31" s="12" t="s">
        <v>91</v>
      </c>
      <c r="F31" s="49" t="s">
        <v>14</v>
      </c>
      <c r="G31" s="49" t="s">
        <v>68</v>
      </c>
      <c r="H31" s="8">
        <f t="shared" si="2"/>
        <v>998833</v>
      </c>
      <c r="I31" t="s" s="1">
        <v>78</v>
      </c>
      <c r="J31" s="49">
        <f t="shared" si="0"/>
        <v>998833</v>
      </c>
      <c r="K31" s="49">
        <v>1</v>
      </c>
      <c r="L31" s="49">
        <f>H3</f>
        <v>3</v>
      </c>
      <c r="M31" s="13"/>
    </row>
    <row r="32" spans="1:18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8"/>
      <c r="M32" s="13"/>
      <c r="N32" s="13"/>
      <c r="O32" s="13"/>
      <c r="P32" s="13"/>
      <c r="Q32" s="13"/>
      <c r="R32" s="13"/>
    </row>
    <row r="33" spans="1:18">
      <c r="A33" s="3" t="s">
        <v>92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>
      <c r="A34" s="50" t="s">
        <v>93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2"/>
    </row>
    <row r="35" spans="1:18">
      <c r="A35" s="5" t="s">
        <v>94</v>
      </c>
      <c r="B35" s="5" t="s">
        <v>95</v>
      </c>
      <c r="C35" s="5" t="s">
        <v>96</v>
      </c>
      <c r="D35" s="5" t="s">
        <v>97</v>
      </c>
      <c r="E35" s="5" t="s">
        <v>98</v>
      </c>
      <c r="F35" s="5" t="s">
        <v>60</v>
      </c>
      <c r="G35" s="5" t="s">
        <v>99</v>
      </c>
      <c r="H35" s="5" t="s">
        <v>100</v>
      </c>
      <c r="I35" s="5" t="s">
        <v>101</v>
      </c>
      <c r="J35" s="5" t="s">
        <v>102</v>
      </c>
      <c r="K35" s="5" t="s">
        <v>103</v>
      </c>
      <c r="L35" s="5" t="s">
        <v>104</v>
      </c>
      <c r="M35" s="5" t="s">
        <v>105</v>
      </c>
      <c r="N35" s="5" t="s">
        <v>106</v>
      </c>
      <c r="O35" s="5" t="s">
        <v>107</v>
      </c>
      <c r="P35" s="5" t="s">
        <v>108</v>
      </c>
      <c r="Q35" s="5" t="s">
        <v>109</v>
      </c>
      <c r="R35" s="5" t="s">
        <v>110</v>
      </c>
    </row>
    <row r="36" spans="1:18">
      <c r="A36" s="8">
        <v>1</v>
      </c>
      <c r="B36" s="8">
        <v>1</v>
      </c>
      <c r="C36" s="8" t="s">
        <v>46</v>
      </c>
      <c r="D36" s="8" t="s">
        <v>47</v>
      </c>
      <c r="E36" s="48" t="s">
        <v>67</v>
      </c>
      <c r="F36" s="8" t="s">
        <v>14</v>
      </c>
      <c r="G36" s="8" t="s">
        <v>68</v>
      </c>
      <c r="H36" s="48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3">L36*K36</f>
        <v>60</v>
      </c>
      <c r="N36" s="8" t="str">
        <f t="shared" ref="N36:N42" si="4">I11</f>
        <v>3</v>
      </c>
      <c r="O36" t="s" s="1">
        <v>193</v>
      </c>
      <c r="P36" s="8">
        <f>O36-I36</f>
        <v>-3</v>
      </c>
      <c r="Q36" s="8">
        <f>-I36</f>
        <v>-3</v>
      </c>
      <c r="R36" s="8">
        <f>I36</f>
        <v>3</v>
      </c>
    </row>
    <row r="37" spans="1:18">
      <c r="A37" s="8">
        <v>1</v>
      </c>
      <c r="B37" s="8">
        <v>2</v>
      </c>
      <c r="C37" s="8" t="s">
        <v>46</v>
      </c>
      <c r="D37" s="8" t="s">
        <v>47</v>
      </c>
      <c r="E37" s="48" t="s">
        <v>71</v>
      </c>
      <c r="F37" s="8" t="s">
        <v>14</v>
      </c>
      <c r="G37" s="8" t="s">
        <v>68</v>
      </c>
      <c r="H37" s="48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3"/>
        <v>60</v>
      </c>
      <c r="N37" s="8" t="str">
        <f t="shared" si="4"/>
        <v>3</v>
      </c>
      <c r="O37" t="s" s="1">
        <v>193</v>
      </c>
      <c r="P37" s="8">
        <f t="shared" ref="P37:P42" si="5">O37-I37</f>
        <v>-3</v>
      </c>
      <c r="Q37" s="8">
        <f t="shared" ref="Q37:Q42" si="6">-I37</f>
        <v>-3</v>
      </c>
      <c r="R37" s="8">
        <f t="shared" ref="R37:R42" si="7">I37</f>
        <v>3</v>
      </c>
    </row>
    <row r="38" spans="1:18">
      <c r="A38" s="8">
        <v>1</v>
      </c>
      <c r="B38" s="8">
        <v>3</v>
      </c>
      <c r="C38" s="8" t="s">
        <v>46</v>
      </c>
      <c r="D38" s="8" t="s">
        <v>47</v>
      </c>
      <c r="E38" s="48" t="s">
        <v>72</v>
      </c>
      <c r="F38" s="8" t="s">
        <v>14</v>
      </c>
      <c r="G38" s="8" t="s">
        <v>68</v>
      </c>
      <c r="H38" s="48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3"/>
        <v>60</v>
      </c>
      <c r="N38" s="8" t="str">
        <f t="shared" si="4"/>
        <v>3</v>
      </c>
      <c r="O38" t="s" s="1">
        <v>193</v>
      </c>
      <c r="P38" s="8">
        <f t="shared" si="5"/>
        <v>-3</v>
      </c>
      <c r="Q38" s="8">
        <f t="shared" si="6"/>
        <v>-3</v>
      </c>
      <c r="R38" s="8">
        <f t="shared" si="7"/>
        <v>3</v>
      </c>
    </row>
    <row r="39" spans="1:18">
      <c r="A39" s="8">
        <v>1</v>
      </c>
      <c r="B39" s="8">
        <v>4</v>
      </c>
      <c r="C39" s="8" t="s">
        <v>46</v>
      </c>
      <c r="D39" s="8" t="s">
        <v>47</v>
      </c>
      <c r="E39" s="48" t="s">
        <v>73</v>
      </c>
      <c r="F39" s="8" t="s">
        <v>14</v>
      </c>
      <c r="G39" s="8" t="s">
        <v>68</v>
      </c>
      <c r="H39" s="48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3"/>
        <v>60</v>
      </c>
      <c r="N39" s="8" t="str">
        <f t="shared" si="4"/>
        <v>3</v>
      </c>
      <c r="O39" t="s" s="1">
        <v>193</v>
      </c>
      <c r="P39" s="8">
        <f t="shared" si="5"/>
        <v>-3</v>
      </c>
      <c r="Q39" s="8">
        <f t="shared" si="6"/>
        <v>-3</v>
      </c>
      <c r="R39" s="8">
        <f t="shared" si="7"/>
        <v>3</v>
      </c>
    </row>
    <row r="40" spans="1:18">
      <c r="A40" s="8">
        <v>1</v>
      </c>
      <c r="B40" s="8">
        <v>5</v>
      </c>
      <c r="C40" s="8" t="s">
        <v>46</v>
      </c>
      <c r="D40" s="8" t="s">
        <v>47</v>
      </c>
      <c r="E40" s="48" t="s">
        <v>74</v>
      </c>
      <c r="F40" s="8" t="s">
        <v>14</v>
      </c>
      <c r="G40" s="8" t="s">
        <v>68</v>
      </c>
      <c r="H40" s="48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3"/>
        <v>60</v>
      </c>
      <c r="N40" s="8" t="str">
        <f t="shared" si="4"/>
        <v>3</v>
      </c>
      <c r="O40" t="s" s="1">
        <v>193</v>
      </c>
      <c r="P40" s="8">
        <f t="shared" si="5"/>
        <v>-3</v>
      </c>
      <c r="Q40" s="8">
        <f t="shared" si="6"/>
        <v>-3</v>
      </c>
      <c r="R40" s="8">
        <f t="shared" si="7"/>
        <v>3</v>
      </c>
    </row>
    <row r="41" spans="1:18">
      <c r="A41" s="8">
        <v>1</v>
      </c>
      <c r="B41" s="8">
        <v>6</v>
      </c>
      <c r="C41" s="8" t="s">
        <v>46</v>
      </c>
      <c r="D41" s="8" t="s">
        <v>47</v>
      </c>
      <c r="E41" s="48" t="s">
        <v>75</v>
      </c>
      <c r="F41" s="8" t="s">
        <v>14</v>
      </c>
      <c r="G41" s="8" t="s">
        <v>68</v>
      </c>
      <c r="H41" s="48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3"/>
        <v>60</v>
      </c>
      <c r="N41" s="8" t="str">
        <f t="shared" si="4"/>
        <v>3</v>
      </c>
      <c r="O41" t="s" s="1">
        <v>193</v>
      </c>
      <c r="P41" s="8">
        <f t="shared" si="5"/>
        <v>-3</v>
      </c>
      <c r="Q41" s="8">
        <f t="shared" si="6"/>
        <v>-3</v>
      </c>
      <c r="R41" s="8">
        <f t="shared" si="7"/>
        <v>3</v>
      </c>
    </row>
    <row r="42" spans="1:18">
      <c r="A42" s="8">
        <v>1</v>
      </c>
      <c r="B42" s="8">
        <v>7</v>
      </c>
      <c r="C42" s="8" t="s">
        <v>46</v>
      </c>
      <c r="D42" s="8" t="s">
        <v>47</v>
      </c>
      <c r="E42" s="48" t="s">
        <v>76</v>
      </c>
      <c r="F42" s="8" t="s">
        <v>14</v>
      </c>
      <c r="G42" s="8" t="s">
        <v>68</v>
      </c>
      <c r="H42" s="48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3"/>
        <v>60</v>
      </c>
      <c r="N42" s="8" t="str">
        <f t="shared" si="4"/>
        <v>3</v>
      </c>
      <c r="O42" t="s" s="1">
        <v>193</v>
      </c>
      <c r="P42" s="8">
        <f t="shared" si="5"/>
        <v>-3</v>
      </c>
      <c r="Q42" s="8">
        <f t="shared" si="6"/>
        <v>-3</v>
      </c>
      <c r="R42" s="8">
        <f t="shared" si="7"/>
        <v>3</v>
      </c>
    </row>
    <row r="43" spans="1:18">
      <c r="A43" s="36" t="s">
        <v>112</v>
      </c>
      <c r="B43" s="36">
        <v>1</v>
      </c>
      <c r="C43" s="36" t="s">
        <v>46</v>
      </c>
      <c r="D43" s="36"/>
      <c r="E43" s="53"/>
      <c r="F43" s="36"/>
      <c r="G43" s="36"/>
      <c r="H43" s="53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1"/>
      <c r="P43" s="36"/>
      <c r="Q43" s="36"/>
      <c r="R43" s="36"/>
    </row>
    <row r="44" spans="1:18">
      <c r="A44" s="18" t="s">
        <v>114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"/>
      <c r="P44" s="18"/>
      <c r="Q44" s="18"/>
      <c r="R44" s="18"/>
    </row>
    <row r="45" spans="1:18">
      <c r="A45" s="5" t="s">
        <v>94</v>
      </c>
      <c r="B45" s="4" t="s">
        <v>95</v>
      </c>
      <c r="C45" s="4" t="s">
        <v>96</v>
      </c>
      <c r="D45" s="4" t="s">
        <v>97</v>
      </c>
      <c r="E45" s="4" t="s">
        <v>98</v>
      </c>
      <c r="F45" s="4" t="s">
        <v>60</v>
      </c>
      <c r="G45" s="4" t="s">
        <v>99</v>
      </c>
      <c r="H45" s="4" t="s">
        <v>100</v>
      </c>
      <c r="I45" s="4" t="s">
        <v>101</v>
      </c>
      <c r="J45" s="4" t="s">
        <v>102</v>
      </c>
      <c r="K45" s="4" t="s">
        <v>103</v>
      </c>
      <c r="L45" s="4" t="s">
        <v>104</v>
      </c>
      <c r="M45" s="4" t="s">
        <v>105</v>
      </c>
      <c r="N45" s="5" t="s">
        <v>106</v>
      </c>
      <c r="O45" s="1"/>
      <c r="P45" s="5" t="s">
        <v>108</v>
      </c>
      <c r="Q45" s="5" t="s">
        <v>109</v>
      </c>
      <c r="R45" s="5" t="s">
        <v>110</v>
      </c>
    </row>
    <row r="46" spans="1:18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48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4" si="8">L46*K46</f>
        <v>60</v>
      </c>
      <c r="N46" s="8" t="str">
        <f>I18</f>
        <v>3</v>
      </c>
      <c r="O46" t="s" s="1">
        <v>192</v>
      </c>
      <c r="P46" s="8">
        <f>O46-I46</f>
        <v>-3</v>
      </c>
      <c r="Q46" s="8">
        <f>-I46</f>
        <v>-3</v>
      </c>
      <c r="R46" s="8">
        <f>I46</f>
        <v>3</v>
      </c>
    </row>
    <row r="47" spans="1:18">
      <c r="A47" s="8">
        <v>2</v>
      </c>
      <c r="B47" s="8">
        <v>2</v>
      </c>
      <c r="C47" s="8" t="s">
        <v>54</v>
      </c>
      <c r="D47" s="8" t="s">
        <v>55</v>
      </c>
      <c r="E47" s="12" t="s">
        <v>79</v>
      </c>
      <c r="F47" s="8" t="s">
        <v>14</v>
      </c>
      <c r="G47" s="8" t="s">
        <v>68</v>
      </c>
      <c r="H47" s="48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ref="N47:N52" si="9">I19</f>
        <v>3</v>
      </c>
      <c r="O47" t="s" s="1">
        <v>192</v>
      </c>
      <c r="P47" s="8">
        <f t="shared" ref="P47:P52" si="10">O47-I47</f>
        <v>-3</v>
      </c>
      <c r="Q47" s="8">
        <f t="shared" ref="Q47:Q52" si="11">-I47</f>
        <v>-3</v>
      </c>
      <c r="R47" s="8">
        <f t="shared" ref="R47:R52" si="12">I47</f>
        <v>3</v>
      </c>
    </row>
    <row r="48" spans="1:18">
      <c r="A48" s="8">
        <v>2</v>
      </c>
      <c r="B48" s="8">
        <v>3</v>
      </c>
      <c r="C48" s="8" t="s">
        <v>54</v>
      </c>
      <c r="D48" s="8" t="s">
        <v>55</v>
      </c>
      <c r="E48" s="12" t="s">
        <v>80</v>
      </c>
      <c r="F48" s="8" t="s">
        <v>14</v>
      </c>
      <c r="G48" s="8" t="s">
        <v>68</v>
      </c>
      <c r="H48" s="48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t="s" s="1">
        <v>192</v>
      </c>
      <c r="P48" s="8">
        <f t="shared" si="10"/>
        <v>-3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81</v>
      </c>
      <c r="F49" s="8" t="s">
        <v>14</v>
      </c>
      <c r="G49" s="8" t="s">
        <v>68</v>
      </c>
      <c r="H49" s="48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t="s" s="1">
        <v>192</v>
      </c>
      <c r="P49" s="8">
        <f t="shared" si="10"/>
        <v>-3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82</v>
      </c>
      <c r="F50" s="8" t="s">
        <v>14</v>
      </c>
      <c r="G50" s="8" t="s">
        <v>68</v>
      </c>
      <c r="H50" s="48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t="s" s="1">
        <v>192</v>
      </c>
      <c r="P50" s="8">
        <f t="shared" si="10"/>
        <v>-3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83</v>
      </c>
      <c r="F51" s="8" t="s">
        <v>14</v>
      </c>
      <c r="G51" s="8" t="s">
        <v>68</v>
      </c>
      <c r="H51" s="48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t="s" s="1">
        <v>192</v>
      </c>
      <c r="P51" s="8">
        <f t="shared" si="10"/>
        <v>-3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84</v>
      </c>
      <c r="F52" s="8" t="s">
        <v>14</v>
      </c>
      <c r="G52" s="8" t="s">
        <v>68</v>
      </c>
      <c r="H52" s="48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t="s" s="1">
        <v>192</v>
      </c>
      <c r="P52" s="8">
        <f t="shared" si="10"/>
        <v>-3</v>
      </c>
      <c r="Q52" s="8">
        <f t="shared" si="11"/>
        <v>-3</v>
      </c>
      <c r="R52" s="8">
        <f t="shared" si="12"/>
        <v>3</v>
      </c>
    </row>
    <row r="53" spans="1:18">
      <c r="A53" s="8" t="s">
        <v>116</v>
      </c>
      <c r="B53" s="8"/>
      <c r="C53" s="8" t="s">
        <v>46</v>
      </c>
      <c r="D53" s="8" t="s">
        <v>47</v>
      </c>
      <c r="E53" s="47" t="s">
        <v>18</v>
      </c>
      <c r="F53" s="8" t="s">
        <v>14</v>
      </c>
      <c r="G53" s="8" t="s">
        <v>52</v>
      </c>
      <c r="H53" s="48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8"/>
        <v>420</v>
      </c>
      <c r="N53" s="8"/>
      <c r="O53" s="1"/>
      <c r="P53" s="8"/>
      <c r="Q53" s="8"/>
      <c r="R53" s="8"/>
    </row>
    <row r="54" spans="1:18">
      <c r="A54" s="36" t="s">
        <v>112</v>
      </c>
      <c r="B54" s="36">
        <v>1</v>
      </c>
      <c r="C54" s="36" t="s">
        <v>54</v>
      </c>
      <c r="D54" s="36"/>
      <c r="E54" s="36"/>
      <c r="F54" s="53"/>
      <c r="G54" s="36"/>
      <c r="H54" s="53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O54" s="1"/>
      <c r="P54" s="36"/>
      <c r="Q54" s="36"/>
      <c r="R54" s="36"/>
    </row>
    <row r="55" spans="1:18">
      <c r="A55" s="18" t="s">
        <v>117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"/>
      <c r="P55" s="18"/>
      <c r="Q55" s="18"/>
      <c r="R55" s="18"/>
    </row>
    <row r="56" spans="1:18">
      <c r="A56" s="5" t="s">
        <v>94</v>
      </c>
      <c r="B56" s="4" t="s">
        <v>95</v>
      </c>
      <c r="C56" s="4" t="s">
        <v>96</v>
      </c>
      <c r="D56" s="4" t="s">
        <v>97</v>
      </c>
      <c r="E56" s="4" t="s">
        <v>98</v>
      </c>
      <c r="F56" s="4" t="s">
        <v>60</v>
      </c>
      <c r="G56" s="4" t="s">
        <v>99</v>
      </c>
      <c r="H56" s="4" t="s">
        <v>100</v>
      </c>
      <c r="I56" s="4" t="s">
        <v>101</v>
      </c>
      <c r="J56" s="4" t="s">
        <v>102</v>
      </c>
      <c r="K56" s="4" t="s">
        <v>103</v>
      </c>
      <c r="L56" s="4" t="s">
        <v>104</v>
      </c>
      <c r="M56" s="4" t="s">
        <v>105</v>
      </c>
      <c r="N56" s="5" t="s">
        <v>106</v>
      </c>
      <c r="O56" s="1"/>
      <c r="P56" s="5" t="s">
        <v>108</v>
      </c>
      <c r="Q56" s="5" t="s">
        <v>109</v>
      </c>
      <c r="R56" s="5" t="s">
        <v>110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85</v>
      </c>
      <c r="F57" s="8" t="s">
        <v>14</v>
      </c>
      <c r="G57" s="8" t="s">
        <v>68</v>
      </c>
      <c r="H57" s="48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>L57*K57</f>
        <v>60</v>
      </c>
      <c r="N57" s="8">
        <f>I25</f>
        <v>0</v>
      </c>
      <c r="O57" t="s" s="1">
        <v>190</v>
      </c>
      <c r="P57" s="8">
        <f>O57-I57</f>
        <v>-3</v>
      </c>
      <c r="Q57" s="8">
        <f>-I57</f>
        <v>-3</v>
      </c>
      <c r="R57" s="8">
        <f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86</v>
      </c>
      <c r="F58" s="8" t="s">
        <v>14</v>
      </c>
      <c r="G58" s="8" t="s">
        <v>68</v>
      </c>
      <c r="H58" s="48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>L58*K58</f>
        <v>60</v>
      </c>
      <c r="N58" s="8">
        <f t="shared" ref="N58:N63" si="13">I26</f>
        <v>0</v>
      </c>
      <c r="O58" t="s" s="1">
        <v>190</v>
      </c>
      <c r="P58" s="8">
        <f t="shared" ref="P58:P63" si="14">O58-I58</f>
        <v>-3</v>
      </c>
      <c r="Q58" s="8">
        <f t="shared" ref="Q58:Q63" si="15">-I58</f>
        <v>-3</v>
      </c>
      <c r="R58" s="8">
        <f t="shared" ref="R58:R63" si="16">I58</f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87</v>
      </c>
      <c r="F59" s="8" t="s">
        <v>14</v>
      </c>
      <c r="G59" s="8" t="s">
        <v>68</v>
      </c>
      <c r="H59" s="48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ref="M59:M64" si="17">L59*K59</f>
        <v>60</v>
      </c>
      <c r="N59" s="8">
        <f t="shared" si="13"/>
        <v>0</v>
      </c>
      <c r="O59" t="s" s="1">
        <v>190</v>
      </c>
      <c r="P59" s="8">
        <f t="shared" si="14"/>
        <v>-3</v>
      </c>
      <c r="Q59" s="8">
        <f t="shared" si="15"/>
        <v>-3</v>
      </c>
      <c r="R59" s="8">
        <f t="shared" si="16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88</v>
      </c>
      <c r="F60" s="8" t="s">
        <v>14</v>
      </c>
      <c r="G60" s="8" t="s">
        <v>68</v>
      </c>
      <c r="H60" s="48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7"/>
        <v>60</v>
      </c>
      <c r="N60" s="8">
        <f t="shared" si="13"/>
        <v>0</v>
      </c>
      <c r="O60" t="s" s="1">
        <v>190</v>
      </c>
      <c r="P60" s="8">
        <f t="shared" si="14"/>
        <v>-3</v>
      </c>
      <c r="Q60" s="8">
        <f t="shared" si="15"/>
        <v>-3</v>
      </c>
      <c r="R60" s="8">
        <f t="shared" si="16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89</v>
      </c>
      <c r="F61" s="8" t="s">
        <v>14</v>
      </c>
      <c r="G61" s="8" t="s">
        <v>68</v>
      </c>
      <c r="H61" s="48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7"/>
        <v>60</v>
      </c>
      <c r="N61" s="8">
        <f t="shared" si="13"/>
        <v>0</v>
      </c>
      <c r="O61" t="s" s="1">
        <v>190</v>
      </c>
      <c r="P61" s="8">
        <f t="shared" si="14"/>
        <v>-3</v>
      </c>
      <c r="Q61" s="8">
        <f t="shared" si="15"/>
        <v>-3</v>
      </c>
      <c r="R61" s="8">
        <f t="shared" si="16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90</v>
      </c>
      <c r="F62" s="8" t="s">
        <v>14</v>
      </c>
      <c r="G62" s="8" t="s">
        <v>68</v>
      </c>
      <c r="H62" s="48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7"/>
        <v>60</v>
      </c>
      <c r="N62" s="8">
        <f t="shared" si="13"/>
        <v>0</v>
      </c>
      <c r="O62" t="s" s="1">
        <v>190</v>
      </c>
      <c r="P62" s="8">
        <f t="shared" si="14"/>
        <v>-3</v>
      </c>
      <c r="Q62" s="8">
        <f t="shared" si="15"/>
        <v>-3</v>
      </c>
      <c r="R62" s="8">
        <f t="shared" si="16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91</v>
      </c>
      <c r="F63" s="8" t="s">
        <v>14</v>
      </c>
      <c r="G63" s="8" t="s">
        <v>68</v>
      </c>
      <c r="H63" s="48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7"/>
        <v>60</v>
      </c>
      <c r="N63" s="8">
        <f t="shared" si="13"/>
        <v>0</v>
      </c>
      <c r="O63" t="s" s="1">
        <v>190</v>
      </c>
      <c r="P63" s="8">
        <f t="shared" si="14"/>
        <v>-3</v>
      </c>
      <c r="Q63" s="8">
        <f t="shared" si="15"/>
        <v>-3</v>
      </c>
      <c r="R63" s="8">
        <f t="shared" si="16"/>
        <v>3</v>
      </c>
    </row>
    <row r="64" spans="1:18">
      <c r="A64" s="8" t="s">
        <v>116</v>
      </c>
      <c r="B64" s="8"/>
      <c r="C64" s="8" t="s">
        <v>54</v>
      </c>
      <c r="D64" s="8" t="s">
        <v>55</v>
      </c>
      <c r="E64" s="47" t="s">
        <v>18</v>
      </c>
      <c r="F64" s="8" t="s">
        <v>14</v>
      </c>
      <c r="G64" s="8" t="s">
        <v>52</v>
      </c>
      <c r="H64" s="48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7"/>
        <v>840</v>
      </c>
      <c r="N64" s="8"/>
      <c r="O64" s="1"/>
      <c r="P64" s="8"/>
      <c r="Q64" s="8"/>
      <c r="R64" s="8"/>
    </row>
    <row r="65" spans="1:18">
      <c r="A65" s="36" t="s">
        <v>112</v>
      </c>
      <c r="B65" s="36">
        <v>1</v>
      </c>
      <c r="C65" s="36" t="s">
        <v>56</v>
      </c>
      <c r="D65" s="36"/>
      <c r="E65" s="36"/>
      <c r="F65" s="53"/>
      <c r="G65" s="36"/>
      <c r="H65" s="53" t="s">
        <v>52</v>
      </c>
      <c r="I65" s="53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O65" s="1"/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1"/>
      <c r="P66" s="8"/>
      <c r="Q66" s="8"/>
      <c r="R66" s="8"/>
    </row>
    <row r="67">
      <c r="O67" s="1"/>
    </row>
    <row r="68" spans="1:18">
      <c r="K68" s="9" t="s">
        <v>104</v>
      </c>
      <c r="L68" s="9">
        <f>L69/H3</f>
        <v>420</v>
      </c>
      <c r="O68" s="1"/>
    </row>
    <row r="69" spans="1:18">
      <c r="K69" s="9" t="s">
        <v>119</v>
      </c>
      <c r="L69" s="9">
        <f>M65+AG7</f>
        <v>1260</v>
      </c>
      <c r="O69" s="1"/>
    </row>
  </sheetData>
  <mergeCells count="8">
    <mergeCell ref="A1:M1"/>
    <mergeCell ref="A4:L4"/>
    <mergeCell ref="V4:AG4"/>
    <mergeCell ref="A9:L9"/>
    <mergeCell ref="A33:R33"/>
    <mergeCell ref="A34:R34"/>
    <mergeCell ref="A44:R44"/>
    <mergeCell ref="A55:R5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Q66"/>
  <sheetViews>
    <sheetView zoomScale="61" zoomScaleNormal="61" workbookViewId="0">
      <selection activeCell="E13" sqref="E13"/>
    </sheetView>
  </sheetViews>
  <sheetFormatPr defaultColWidth="9" defaultRowHeight="14.25"/>
  <cols>
    <col min="1" max="1" customWidth="true" style="1" width="12.1428571428571"/>
    <col min="2" max="2" customWidth="true" style="1" width="11.8190476190476"/>
    <col min="3" max="3" customWidth="true" style="1" width="17.2761904761905"/>
    <col min="4" max="5" customWidth="true" style="1" width="34.4571428571429"/>
    <col min="6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6.1809523809524"/>
    <col min="14" max="14" customWidth="true" style="1" width="19.3619047619048"/>
    <col min="15" max="15" customWidth="true" style="1" width="19.6380952380952"/>
    <col min="16" max="16" customWidth="true" style="1" width="15.9047619047619"/>
    <col min="17" max="17" customWidth="true" style="1" width="21.1809523809524"/>
    <col min="18" max="18" customWidth="true" style="1" width="16.2857142857143"/>
    <col min="19" max="21" customWidth="true" style="1" width="19.6380952380952"/>
    <col min="22" max="16371" style="1" width="9.13333333333333"/>
    <col min="16372" max="16384" style="43" width="9.0"/>
  </cols>
  <sheetData>
    <row r="1" spans="1:33 16370:16371">
      <c r="A1" s="44" t="s">
        <v>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6"/>
    </row>
    <row r="2" spans="1:33 16370:1637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P2" s="43"/>
      <c r="XEQ2" s="43"/>
    </row>
    <row r="3" spans="1:33 16370:16371">
      <c r="A3" s="6" t="s">
        <v>14</v>
      </c>
      <c r="B3" s="6" t="s">
        <v>15</v>
      </c>
      <c r="C3" s="6" t="s">
        <v>16</v>
      </c>
      <c r="D3" s="6" t="s">
        <v>16</v>
      </c>
      <c r="E3" s="47" t="s">
        <v>17</v>
      </c>
      <c r="F3" s="47" t="s">
        <v>18</v>
      </c>
      <c r="G3" s="54" t="s">
        <v>19</v>
      </c>
      <c r="H3" s="6">
        <v>3</v>
      </c>
      <c r="I3" t="s" s="1">
        <v>164</v>
      </c>
      <c r="J3" s="8">
        <f>I3+H3</f>
        <v>189</v>
      </c>
      <c r="K3" t="s" s="1">
        <v>21</v>
      </c>
      <c r="L3" s="8">
        <f>(K3+L65)/2</f>
        <v>560</v>
      </c>
      <c r="M3" s="9">
        <f>L65</f>
        <v>700</v>
      </c>
      <c r="XEP3" s="43"/>
      <c r="XEQ3" s="43"/>
    </row>
    <row r="4" spans="1:33 16370:16371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13"/>
      <c r="V4" s="3" t="s">
        <v>23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 16370:16371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13"/>
      <c r="V5" s="5" t="s">
        <v>25</v>
      </c>
      <c r="W5" s="5" t="s">
        <v>36</v>
      </c>
      <c r="X5" s="5" t="s">
        <v>26</v>
      </c>
      <c r="Y5" s="5" t="s">
        <v>37</v>
      </c>
      <c r="Z5" s="5" t="s">
        <v>38</v>
      </c>
      <c r="AA5" s="5" t="s">
        <v>39</v>
      </c>
      <c r="AB5" s="5" t="s">
        <v>40</v>
      </c>
      <c r="AC5" s="5" t="s">
        <v>41</v>
      </c>
      <c r="AD5" s="5" t="s">
        <v>42</v>
      </c>
      <c r="AE5" s="5" t="s">
        <v>43</v>
      </c>
      <c r="AF5" s="5" t="s">
        <v>44</v>
      </c>
      <c r="AG5" s="5" t="s">
        <v>45</v>
      </c>
    </row>
    <row r="6" spans="1:33 16370:16371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48" t="s">
        <v>49</v>
      </c>
      <c r="G6" s="8" t="s">
        <v>50</v>
      </c>
      <c r="H6" s="48" t="s">
        <v>51</v>
      </c>
      <c r="I6" s="48" t="s">
        <v>52</v>
      </c>
      <c r="J6" s="48" t="s">
        <v>51</v>
      </c>
      <c r="K6" s="48" t="s">
        <v>52</v>
      </c>
      <c r="L6" s="8" t="s">
        <v>53</v>
      </c>
      <c r="M6" s="13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</row>
    <row r="7" spans="1:33 16370:16371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48" t="s">
        <v>49</v>
      </c>
      <c r="G7" s="8" t="s">
        <v>50</v>
      </c>
      <c r="H7" s="48" t="s">
        <v>51</v>
      </c>
      <c r="I7" s="48" t="s">
        <v>52</v>
      </c>
      <c r="J7" s="48" t="s">
        <v>51</v>
      </c>
      <c r="K7" s="48" t="s">
        <v>52</v>
      </c>
      <c r="L7" s="8" t="s">
        <v>53</v>
      </c>
      <c r="M7" s="13"/>
      <c r="AG7" s="1">
        <f>AG6</f>
        <v>0</v>
      </c>
    </row>
    <row r="8" spans="1:33 16370:16371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48" t="s">
        <v>49</v>
      </c>
      <c r="G8" s="8" t="s">
        <v>50</v>
      </c>
      <c r="H8" s="48" t="s">
        <v>51</v>
      </c>
      <c r="I8" s="48" t="s">
        <v>52</v>
      </c>
      <c r="J8" s="48" t="s">
        <v>51</v>
      </c>
      <c r="K8" s="48" t="s">
        <v>52</v>
      </c>
      <c r="L8" s="8" t="s">
        <v>53</v>
      </c>
      <c r="M8" s="13"/>
    </row>
    <row r="9" spans="1:33 16370:16371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</row>
    <row r="10" spans="1:33 16370:16371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</row>
    <row r="11" spans="1:33 16370:16371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t="s" s="1">
        <v>195</v>
      </c>
      <c r="I11" t="s" s="1">
        <v>78</v>
      </c>
      <c r="J11" s="8">
        <f t="shared" ref="J11:J31" si="0">H11-I11</f>
        <v>998776</v>
      </c>
      <c r="K11" s="8">
        <v>1</v>
      </c>
      <c r="L11" s="8">
        <f>H3</f>
        <v>3</v>
      </c>
    </row>
    <row r="12" spans="1:33 16370:16371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t="s" s="1">
        <v>195</v>
      </c>
      <c r="I12" t="s" s="1">
        <v>78</v>
      </c>
      <c r="J12" s="8">
        <f t="shared" si="0"/>
        <v>998776</v>
      </c>
      <c r="K12" s="8">
        <v>1</v>
      </c>
      <c r="L12" s="8">
        <f>H3</f>
        <v>3</v>
      </c>
      <c r="M12" s="13"/>
    </row>
    <row r="13" spans="1:33 16370:16371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t="s" s="1">
        <v>195</v>
      </c>
      <c r="I13" t="s" s="1">
        <v>78</v>
      </c>
      <c r="J13" s="8">
        <f t="shared" si="0"/>
        <v>998776</v>
      </c>
      <c r="K13" s="8">
        <v>1</v>
      </c>
      <c r="L13" s="8">
        <f>H3</f>
        <v>3</v>
      </c>
      <c r="M13" s="13"/>
    </row>
    <row r="14" spans="1:33 16370:16371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t="s" s="1">
        <v>195</v>
      </c>
      <c r="I14" t="s" s="1">
        <v>78</v>
      </c>
      <c r="J14" s="8">
        <f t="shared" si="0"/>
        <v>998776</v>
      </c>
      <c r="K14" s="8">
        <v>1</v>
      </c>
      <c r="L14" s="8">
        <f>H3</f>
        <v>3</v>
      </c>
      <c r="M14" s="13"/>
    </row>
    <row r="15" spans="1:33 16370:16371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t="s" s="1">
        <v>195</v>
      </c>
      <c r="I15" t="s" s="1">
        <v>78</v>
      </c>
      <c r="J15" s="8">
        <f t="shared" si="0"/>
        <v>998776</v>
      </c>
      <c r="K15" s="8">
        <v>1</v>
      </c>
      <c r="L15" s="8">
        <f>H3</f>
        <v>3</v>
      </c>
      <c r="M15" s="13"/>
    </row>
    <row r="16" spans="1:33 16370:16371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t="s" s="1">
        <v>195</v>
      </c>
      <c r="I16" t="s" s="1">
        <v>78</v>
      </c>
      <c r="J16" s="8">
        <f t="shared" si="0"/>
        <v>998776</v>
      </c>
      <c r="K16" s="8">
        <v>1</v>
      </c>
      <c r="L16" s="8">
        <f>H3</f>
        <v>3</v>
      </c>
      <c r="M16" s="13"/>
    </row>
    <row r="17" spans="1:18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t="s" s="1">
        <v>195</v>
      </c>
      <c r="I17" t="s" s="1">
        <v>78</v>
      </c>
      <c r="J17" s="8">
        <f t="shared" si="0"/>
        <v>998776</v>
      </c>
      <c r="K17" s="8">
        <v>1</v>
      </c>
      <c r="L17" s="8">
        <f>H3</f>
        <v>3</v>
      </c>
      <c r="M17" s="13"/>
    </row>
    <row r="18" spans="1:18">
      <c r="A18" s="8">
        <v>2</v>
      </c>
      <c r="B18" s="8">
        <v>1</v>
      </c>
      <c r="C18" s="8" t="s">
        <v>54</v>
      </c>
      <c r="D18" s="8" t="s">
        <v>55</v>
      </c>
      <c r="E18" s="12" t="s">
        <v>77</v>
      </c>
      <c r="F18" s="8" t="s">
        <v>14</v>
      </c>
      <c r="G18" s="8" t="s">
        <v>68</v>
      </c>
      <c r="H18" s="8">
        <f t="shared" ref="H18:H31" si="1">J11</f>
        <v>998776</v>
      </c>
      <c r="I18" s="1" t="s">
        <v>78</v>
      </c>
      <c r="J18" s="8">
        <f t="shared" si="0"/>
        <v>998773</v>
      </c>
      <c r="K18" s="8">
        <v>1</v>
      </c>
      <c r="L18" s="8">
        <f>H3</f>
        <v>3</v>
      </c>
      <c r="M18" s="13"/>
    </row>
    <row r="19" spans="1:18">
      <c r="A19" s="8">
        <v>2</v>
      </c>
      <c r="B19" s="8">
        <v>2</v>
      </c>
      <c r="C19" s="8" t="s">
        <v>54</v>
      </c>
      <c r="D19" s="8" t="s">
        <v>55</v>
      </c>
      <c r="E19" s="12" t="s">
        <v>79</v>
      </c>
      <c r="F19" s="8" t="s">
        <v>14</v>
      </c>
      <c r="G19" s="8" t="s">
        <v>68</v>
      </c>
      <c r="H19" s="8">
        <f t="shared" si="1"/>
        <v>998776</v>
      </c>
      <c r="I19" s="1" t="s">
        <v>78</v>
      </c>
      <c r="J19" s="8">
        <f t="shared" si="0"/>
        <v>998773</v>
      </c>
      <c r="K19" s="8">
        <v>1</v>
      </c>
      <c r="L19" s="8">
        <f>H3</f>
        <v>3</v>
      </c>
      <c r="M19" s="13"/>
    </row>
    <row r="20" spans="1:18">
      <c r="A20" s="8">
        <v>2</v>
      </c>
      <c r="B20" s="8">
        <v>3</v>
      </c>
      <c r="C20" s="8" t="s">
        <v>54</v>
      </c>
      <c r="D20" s="8" t="s">
        <v>55</v>
      </c>
      <c r="E20" s="12" t="s">
        <v>80</v>
      </c>
      <c r="F20" s="8" t="s">
        <v>14</v>
      </c>
      <c r="G20" s="8" t="s">
        <v>68</v>
      </c>
      <c r="H20" s="8">
        <f t="shared" si="1"/>
        <v>998776</v>
      </c>
      <c r="I20" s="1" t="s">
        <v>78</v>
      </c>
      <c r="J20" s="8">
        <f t="shared" si="0"/>
        <v>998773</v>
      </c>
      <c r="K20" s="8">
        <v>1</v>
      </c>
      <c r="L20" s="8">
        <f>H3</f>
        <v>3</v>
      </c>
      <c r="M20" s="13"/>
    </row>
    <row r="21" spans="1:18">
      <c r="A21" s="8">
        <v>2</v>
      </c>
      <c r="B21" s="8">
        <v>4</v>
      </c>
      <c r="C21" s="8" t="s">
        <v>54</v>
      </c>
      <c r="D21" s="8" t="s">
        <v>55</v>
      </c>
      <c r="E21" s="12" t="s">
        <v>81</v>
      </c>
      <c r="F21" s="8" t="s">
        <v>14</v>
      </c>
      <c r="G21" s="8" t="s">
        <v>68</v>
      </c>
      <c r="H21" s="8">
        <f t="shared" si="1"/>
        <v>998776</v>
      </c>
      <c r="I21" s="1" t="s">
        <v>78</v>
      </c>
      <c r="J21" s="8">
        <f t="shared" si="0"/>
        <v>998773</v>
      </c>
      <c r="K21" s="8">
        <v>1</v>
      </c>
      <c r="L21" s="8">
        <f>H3</f>
        <v>3</v>
      </c>
      <c r="M21" s="13"/>
    </row>
    <row r="22" spans="1:18">
      <c r="A22" s="8">
        <v>2</v>
      </c>
      <c r="B22" s="8">
        <v>5</v>
      </c>
      <c r="C22" s="8" t="s">
        <v>54</v>
      </c>
      <c r="D22" s="8" t="s">
        <v>55</v>
      </c>
      <c r="E22" s="12" t="s">
        <v>82</v>
      </c>
      <c r="F22" s="8" t="s">
        <v>14</v>
      </c>
      <c r="G22" s="8" t="s">
        <v>68</v>
      </c>
      <c r="H22" s="8">
        <f t="shared" si="1"/>
        <v>998776</v>
      </c>
      <c r="I22" s="1" t="s">
        <v>78</v>
      </c>
      <c r="J22" s="8">
        <f t="shared" si="0"/>
        <v>998773</v>
      </c>
      <c r="K22" s="8">
        <v>1</v>
      </c>
      <c r="L22" s="8">
        <f>H3</f>
        <v>3</v>
      </c>
      <c r="M22" s="13"/>
    </row>
    <row r="23" spans="1:18">
      <c r="A23" s="8">
        <v>2</v>
      </c>
      <c r="B23" s="8">
        <v>6</v>
      </c>
      <c r="C23" s="8" t="s">
        <v>54</v>
      </c>
      <c r="D23" s="8" t="s">
        <v>55</v>
      </c>
      <c r="E23" s="12" t="s">
        <v>83</v>
      </c>
      <c r="F23" s="8" t="s">
        <v>14</v>
      </c>
      <c r="G23" s="8" t="s">
        <v>68</v>
      </c>
      <c r="H23" s="8">
        <f t="shared" si="1"/>
        <v>998776</v>
      </c>
      <c r="I23" s="1" t="s">
        <v>78</v>
      </c>
      <c r="J23" s="8">
        <f t="shared" si="0"/>
        <v>998773</v>
      </c>
      <c r="K23" s="8">
        <v>1</v>
      </c>
      <c r="L23" s="8">
        <f>H3</f>
        <v>3</v>
      </c>
      <c r="M23" s="13"/>
    </row>
    <row r="24" spans="1:18">
      <c r="A24" s="8">
        <v>2</v>
      </c>
      <c r="B24" s="8">
        <v>7</v>
      </c>
      <c r="C24" s="8" t="s">
        <v>54</v>
      </c>
      <c r="D24" s="8" t="s">
        <v>55</v>
      </c>
      <c r="E24" s="12" t="s">
        <v>84</v>
      </c>
      <c r="F24" s="8" t="s">
        <v>14</v>
      </c>
      <c r="G24" s="8" t="s">
        <v>68</v>
      </c>
      <c r="H24" s="8">
        <f t="shared" si="1"/>
        <v>998776</v>
      </c>
      <c r="I24" s="1" t="s">
        <v>78</v>
      </c>
      <c r="J24" s="8">
        <f t="shared" si="0"/>
        <v>998773</v>
      </c>
      <c r="K24" s="8">
        <v>1</v>
      </c>
      <c r="L24" s="8">
        <f>H3</f>
        <v>3</v>
      </c>
      <c r="M24" s="13"/>
    </row>
    <row r="25" spans="1:18">
      <c r="A25" s="8">
        <v>3</v>
      </c>
      <c r="B25" s="8">
        <v>1</v>
      </c>
      <c r="C25" s="8" t="s">
        <v>56</v>
      </c>
      <c r="D25" s="8" t="s">
        <v>57</v>
      </c>
      <c r="E25" s="12" t="s">
        <v>85</v>
      </c>
      <c r="F25" s="8" t="s">
        <v>14</v>
      </c>
      <c r="G25" s="8" t="s">
        <v>68</v>
      </c>
      <c r="H25" s="8">
        <f t="shared" si="1"/>
        <v>998773</v>
      </c>
      <c r="I25" s="1" t="s">
        <v>78</v>
      </c>
      <c r="J25" s="8">
        <f t="shared" si="0"/>
        <v>998770</v>
      </c>
      <c r="K25" s="8">
        <v>1</v>
      </c>
      <c r="L25" s="8">
        <f>H3</f>
        <v>3</v>
      </c>
      <c r="M25" s="13"/>
    </row>
    <row r="26" spans="1:18">
      <c r="A26" s="8">
        <v>3</v>
      </c>
      <c r="B26" s="8">
        <v>2</v>
      </c>
      <c r="C26" s="8" t="s">
        <v>56</v>
      </c>
      <c r="D26" s="8" t="s">
        <v>57</v>
      </c>
      <c r="E26" s="12" t="s">
        <v>86</v>
      </c>
      <c r="F26" s="8" t="s">
        <v>14</v>
      </c>
      <c r="G26" s="8" t="s">
        <v>68</v>
      </c>
      <c r="H26" s="8">
        <f t="shared" si="1"/>
        <v>998773</v>
      </c>
      <c r="I26" s="1" t="s">
        <v>78</v>
      </c>
      <c r="J26" s="8">
        <f t="shared" si="0"/>
        <v>998770</v>
      </c>
      <c r="K26" s="8">
        <v>1</v>
      </c>
      <c r="L26" s="8">
        <f>H3</f>
        <v>3</v>
      </c>
      <c r="M26" s="13"/>
    </row>
    <row r="27" spans="1:18">
      <c r="A27" s="8">
        <v>3</v>
      </c>
      <c r="B27" s="8">
        <v>3</v>
      </c>
      <c r="C27" s="8" t="s">
        <v>56</v>
      </c>
      <c r="D27" s="8" t="s">
        <v>57</v>
      </c>
      <c r="E27" s="12" t="s">
        <v>87</v>
      </c>
      <c r="F27" s="8" t="s">
        <v>14</v>
      </c>
      <c r="G27" s="8" t="s">
        <v>68</v>
      </c>
      <c r="H27" s="8">
        <f t="shared" si="1"/>
        <v>998773</v>
      </c>
      <c r="I27" s="1" t="s">
        <v>78</v>
      </c>
      <c r="J27" s="8">
        <f t="shared" si="0"/>
        <v>998770</v>
      </c>
      <c r="K27" s="8">
        <v>1</v>
      </c>
      <c r="L27" s="8">
        <f>H3</f>
        <v>3</v>
      </c>
      <c r="M27" s="13"/>
    </row>
    <row r="28" spans="1:18">
      <c r="A28" s="8">
        <v>3</v>
      </c>
      <c r="B28" s="8">
        <v>4</v>
      </c>
      <c r="C28" s="8" t="s">
        <v>56</v>
      </c>
      <c r="D28" s="8" t="s">
        <v>57</v>
      </c>
      <c r="E28" s="12" t="s">
        <v>88</v>
      </c>
      <c r="F28" s="8" t="s">
        <v>14</v>
      </c>
      <c r="G28" s="8" t="s">
        <v>68</v>
      </c>
      <c r="H28" s="8">
        <f t="shared" si="1"/>
        <v>998773</v>
      </c>
      <c r="I28" s="1" t="s">
        <v>78</v>
      </c>
      <c r="J28" s="8">
        <f t="shared" si="0"/>
        <v>998770</v>
      </c>
      <c r="K28" s="8">
        <v>1</v>
      </c>
      <c r="L28" s="8">
        <f>H3</f>
        <v>3</v>
      </c>
      <c r="M28" s="13"/>
    </row>
    <row r="29" spans="1:18">
      <c r="A29" s="8">
        <v>3</v>
      </c>
      <c r="B29" s="8">
        <v>5</v>
      </c>
      <c r="C29" s="8" t="s">
        <v>56</v>
      </c>
      <c r="D29" s="8" t="s">
        <v>57</v>
      </c>
      <c r="E29" s="12" t="s">
        <v>89</v>
      </c>
      <c r="F29" s="8" t="s">
        <v>14</v>
      </c>
      <c r="G29" s="8" t="s">
        <v>68</v>
      </c>
      <c r="H29" s="8">
        <f t="shared" si="1"/>
        <v>998773</v>
      </c>
      <c r="I29" s="1" t="s">
        <v>78</v>
      </c>
      <c r="J29" s="8">
        <f t="shared" si="0"/>
        <v>998770</v>
      </c>
      <c r="K29" s="8">
        <v>1</v>
      </c>
      <c r="L29" s="8">
        <f>H3</f>
        <v>3</v>
      </c>
      <c r="M29" s="13"/>
    </row>
    <row r="30" spans="1:18">
      <c r="A30" s="8">
        <v>3</v>
      </c>
      <c r="B30" s="8">
        <v>6</v>
      </c>
      <c r="C30" s="8" t="s">
        <v>56</v>
      </c>
      <c r="D30" s="8" t="s">
        <v>57</v>
      </c>
      <c r="E30" s="12" t="s">
        <v>90</v>
      </c>
      <c r="F30" s="8" t="s">
        <v>14</v>
      </c>
      <c r="G30" s="8" t="s">
        <v>68</v>
      </c>
      <c r="H30" s="8">
        <f t="shared" si="1"/>
        <v>998773</v>
      </c>
      <c r="I30" s="1" t="s">
        <v>78</v>
      </c>
      <c r="J30" s="8">
        <f t="shared" si="0"/>
        <v>998770</v>
      </c>
      <c r="K30" s="8">
        <v>1</v>
      </c>
      <c r="L30" s="8">
        <f>H3</f>
        <v>3</v>
      </c>
      <c r="M30" s="13"/>
    </row>
    <row r="31" spans="1:18">
      <c r="A31" s="49">
        <v>3</v>
      </c>
      <c r="B31" s="49">
        <v>7</v>
      </c>
      <c r="C31" s="49" t="s">
        <v>56</v>
      </c>
      <c r="D31" s="49" t="s">
        <v>57</v>
      </c>
      <c r="E31" s="12" t="s">
        <v>91</v>
      </c>
      <c r="F31" s="49" t="s">
        <v>14</v>
      </c>
      <c r="G31" s="49" t="s">
        <v>68</v>
      </c>
      <c r="H31" s="8">
        <f t="shared" si="1"/>
        <v>998773</v>
      </c>
      <c r="I31" s="1" t="s">
        <v>78</v>
      </c>
      <c r="J31" s="49">
        <f t="shared" si="0"/>
        <v>998770</v>
      </c>
      <c r="K31" s="49">
        <v>1</v>
      </c>
      <c r="L31" s="49">
        <f>H3</f>
        <v>3</v>
      </c>
      <c r="M31" s="13"/>
    </row>
    <row r="32" spans="1:18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8"/>
      <c r="M32" s="13"/>
      <c r="N32" s="13"/>
      <c r="O32" s="13"/>
      <c r="P32" s="13"/>
      <c r="Q32" s="13"/>
      <c r="R32" s="13"/>
    </row>
    <row r="33" spans="1:18">
      <c r="A33" s="3" t="s">
        <v>92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>
      <c r="A34" s="50" t="s">
        <v>93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2"/>
    </row>
    <row r="35" spans="1:18">
      <c r="A35" s="5" t="s">
        <v>94</v>
      </c>
      <c r="B35" s="5" t="s">
        <v>95</v>
      </c>
      <c r="C35" s="5" t="s">
        <v>96</v>
      </c>
      <c r="D35" s="5" t="s">
        <v>97</v>
      </c>
      <c r="E35" s="5" t="s">
        <v>98</v>
      </c>
      <c r="F35" s="5" t="s">
        <v>60</v>
      </c>
      <c r="G35" s="5" t="s">
        <v>99</v>
      </c>
      <c r="H35" s="5" t="s">
        <v>100</v>
      </c>
      <c r="I35" s="5" t="s">
        <v>101</v>
      </c>
      <c r="J35" s="5" t="s">
        <v>102</v>
      </c>
      <c r="K35" s="5" t="s">
        <v>103</v>
      </c>
      <c r="L35" s="5" t="s">
        <v>104</v>
      </c>
      <c r="M35" s="5" t="s">
        <v>105</v>
      </c>
      <c r="N35" s="5" t="s">
        <v>106</v>
      </c>
      <c r="O35" s="5" t="s">
        <v>107</v>
      </c>
      <c r="P35" s="5" t="s">
        <v>108</v>
      </c>
      <c r="Q35" s="5" t="s">
        <v>109</v>
      </c>
      <c r="R35" s="5" t="s">
        <v>110</v>
      </c>
    </row>
    <row r="36" spans="1:18">
      <c r="A36" s="8">
        <v>1</v>
      </c>
      <c r="B36" s="8">
        <v>1</v>
      </c>
      <c r="C36" s="8" t="s">
        <v>46</v>
      </c>
      <c r="D36" s="8" t="s">
        <v>47</v>
      </c>
      <c r="E36" s="48" t="s">
        <v>67</v>
      </c>
      <c r="F36" s="8" t="s">
        <v>14</v>
      </c>
      <c r="G36" s="8" t="s">
        <v>68</v>
      </c>
      <c r="H36" s="48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t="s" s="1">
        <v>195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</row>
    <row r="37" spans="1:18">
      <c r="A37" s="8">
        <v>1</v>
      </c>
      <c r="B37" s="8">
        <v>2</v>
      </c>
      <c r="C37" s="8" t="s">
        <v>46</v>
      </c>
      <c r="D37" s="8" t="s">
        <v>47</v>
      </c>
      <c r="E37" s="48" t="s">
        <v>71</v>
      </c>
      <c r="F37" s="8" t="s">
        <v>14</v>
      </c>
      <c r="G37" s="8" t="s">
        <v>68</v>
      </c>
      <c r="H37" s="48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t="s" s="1">
        <v>195</v>
      </c>
      <c r="P37" s="8">
        <f t="shared" si="4"/>
        <v>998776</v>
      </c>
      <c r="Q37" s="8">
        <f t="shared" si="5"/>
        <v>-3</v>
      </c>
      <c r="R37" s="8">
        <f t="shared" si="6"/>
        <v>3</v>
      </c>
    </row>
    <row r="38" spans="1:18">
      <c r="A38" s="8">
        <v>1</v>
      </c>
      <c r="B38" s="8">
        <v>3</v>
      </c>
      <c r="C38" s="8" t="s">
        <v>46</v>
      </c>
      <c r="D38" s="8" t="s">
        <v>47</v>
      </c>
      <c r="E38" s="48" t="s">
        <v>72</v>
      </c>
      <c r="F38" s="8" t="s">
        <v>14</v>
      </c>
      <c r="G38" s="8" t="s">
        <v>68</v>
      </c>
      <c r="H38" s="48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t="s" s="1">
        <v>195</v>
      </c>
      <c r="P38" s="8">
        <f t="shared" si="4"/>
        <v>998776</v>
      </c>
      <c r="Q38" s="8">
        <f t="shared" si="5"/>
        <v>-3</v>
      </c>
      <c r="R38" s="8">
        <f t="shared" si="6"/>
        <v>3</v>
      </c>
    </row>
    <row r="39" spans="1:18">
      <c r="A39" s="8">
        <v>1</v>
      </c>
      <c r="B39" s="8">
        <v>4</v>
      </c>
      <c r="C39" s="8" t="s">
        <v>46</v>
      </c>
      <c r="D39" s="8" t="s">
        <v>47</v>
      </c>
      <c r="E39" s="48" t="s">
        <v>73</v>
      </c>
      <c r="F39" s="8" t="s">
        <v>14</v>
      </c>
      <c r="G39" s="8" t="s">
        <v>68</v>
      </c>
      <c r="H39" s="48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t="s" s="1">
        <v>195</v>
      </c>
      <c r="P39" s="8">
        <f t="shared" si="4"/>
        <v>998776</v>
      </c>
      <c r="Q39" s="8">
        <f t="shared" si="5"/>
        <v>-3</v>
      </c>
      <c r="R39" s="8">
        <f t="shared" si="6"/>
        <v>3</v>
      </c>
    </row>
    <row r="40" spans="1:18">
      <c r="A40" s="8">
        <v>1</v>
      </c>
      <c r="B40" s="8">
        <v>5</v>
      </c>
      <c r="C40" s="8" t="s">
        <v>46</v>
      </c>
      <c r="D40" s="8" t="s">
        <v>47</v>
      </c>
      <c r="E40" s="48" t="s">
        <v>74</v>
      </c>
      <c r="F40" s="8" t="s">
        <v>14</v>
      </c>
      <c r="G40" s="8" t="s">
        <v>68</v>
      </c>
      <c r="H40" s="48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t="s" s="1">
        <v>195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18">
      <c r="A41" s="8">
        <v>1</v>
      </c>
      <c r="B41" s="8">
        <v>6</v>
      </c>
      <c r="C41" s="8" t="s">
        <v>46</v>
      </c>
      <c r="D41" s="8" t="s">
        <v>47</v>
      </c>
      <c r="E41" s="48" t="s">
        <v>75</v>
      </c>
      <c r="F41" s="8" t="s">
        <v>14</v>
      </c>
      <c r="G41" s="8" t="s">
        <v>68</v>
      </c>
      <c r="H41" s="48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t="s" s="1">
        <v>195</v>
      </c>
      <c r="P41" s="8">
        <f t="shared" si="4"/>
        <v>998776</v>
      </c>
      <c r="Q41" s="8">
        <f t="shared" si="5"/>
        <v>-3</v>
      </c>
      <c r="R41" s="8">
        <f t="shared" si="6"/>
        <v>3</v>
      </c>
    </row>
    <row r="42" spans="1:18">
      <c r="A42" s="8">
        <v>1</v>
      </c>
      <c r="B42" s="8">
        <v>7</v>
      </c>
      <c r="C42" s="8" t="s">
        <v>46</v>
      </c>
      <c r="D42" s="8" t="s">
        <v>47</v>
      </c>
      <c r="E42" s="48" t="s">
        <v>76</v>
      </c>
      <c r="F42" s="8" t="s">
        <v>14</v>
      </c>
      <c r="G42" s="8" t="s">
        <v>68</v>
      </c>
      <c r="H42" s="48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t="s" s="1">
        <v>195</v>
      </c>
      <c r="P42" s="8">
        <f t="shared" si="4"/>
        <v>998776</v>
      </c>
      <c r="Q42" s="8">
        <f t="shared" si="5"/>
        <v>-3</v>
      </c>
      <c r="R42" s="8">
        <f t="shared" si="6"/>
        <v>3</v>
      </c>
    </row>
    <row r="43" spans="1:18">
      <c r="A43" s="36" t="s">
        <v>112</v>
      </c>
      <c r="B43" s="36">
        <v>1</v>
      </c>
      <c r="C43" s="36" t="s">
        <v>46</v>
      </c>
      <c r="D43" s="36"/>
      <c r="E43" s="53"/>
      <c r="F43" s="36"/>
      <c r="G43" s="36"/>
      <c r="H43" s="53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1"/>
      <c r="P43" s="36"/>
      <c r="Q43" s="36"/>
      <c r="R43" s="36"/>
    </row>
    <row r="44" spans="1:18">
      <c r="A44" s="18" t="s">
        <v>121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"/>
      <c r="P44" s="18"/>
      <c r="Q44" s="18"/>
      <c r="R44" s="18"/>
    </row>
    <row r="45" spans="1:18">
      <c r="A45" s="5" t="s">
        <v>94</v>
      </c>
      <c r="B45" s="4" t="s">
        <v>95</v>
      </c>
      <c r="C45" s="4" t="s">
        <v>96</v>
      </c>
      <c r="D45" s="4" t="s">
        <v>97</v>
      </c>
      <c r="E45" s="4" t="s">
        <v>98</v>
      </c>
      <c r="F45" s="4" t="s">
        <v>60</v>
      </c>
      <c r="G45" s="4" t="s">
        <v>99</v>
      </c>
      <c r="H45" s="4" t="s">
        <v>100</v>
      </c>
      <c r="I45" s="4" t="s">
        <v>101</v>
      </c>
      <c r="J45" s="4" t="s">
        <v>102</v>
      </c>
      <c r="K45" s="4" t="s">
        <v>103</v>
      </c>
      <c r="L45" s="4" t="s">
        <v>104</v>
      </c>
      <c r="M45" s="4" t="s">
        <v>105</v>
      </c>
      <c r="N45" s="5" t="s">
        <v>106</v>
      </c>
      <c r="O45" s="1"/>
      <c r="P45" s="5" t="s">
        <v>108</v>
      </c>
      <c r="Q45" s="5" t="s">
        <v>109</v>
      </c>
      <c r="R45" s="5" t="s">
        <v>110</v>
      </c>
    </row>
    <row r="46" spans="1:18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48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7">L46*K46</f>
        <v>60</v>
      </c>
      <c r="N46" s="8" t="str">
        <f t="shared" ref="N46:N52" si="8">I18</f>
        <v>3</v>
      </c>
      <c r="O46" t="s" s="1">
        <v>192</v>
      </c>
      <c r="P46" s="8">
        <f t="shared" ref="P46:P52" si="9">O46-I46</f>
        <v>998773</v>
      </c>
      <c r="Q46" s="8">
        <f t="shared" ref="Q46:Q52" si="10">-I46</f>
        <v>-3</v>
      </c>
      <c r="R46" s="8">
        <f t="shared" ref="R46:R52" si="11">I46</f>
        <v>3</v>
      </c>
    </row>
    <row r="47" spans="1:18">
      <c r="A47" s="8">
        <v>2</v>
      </c>
      <c r="B47" s="8">
        <v>2</v>
      </c>
      <c r="C47" s="8" t="s">
        <v>54</v>
      </c>
      <c r="D47" s="8" t="s">
        <v>55</v>
      </c>
      <c r="E47" s="12" t="s">
        <v>79</v>
      </c>
      <c r="F47" s="8" t="s">
        <v>14</v>
      </c>
      <c r="G47" s="8" t="s">
        <v>68</v>
      </c>
      <c r="H47" s="48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7"/>
        <v>60</v>
      </c>
      <c r="N47" s="8" t="str">
        <f t="shared" si="8"/>
        <v>3</v>
      </c>
      <c r="O47" t="s" s="1">
        <v>192</v>
      </c>
      <c r="P47" s="8">
        <f t="shared" si="9"/>
        <v>998773</v>
      </c>
      <c r="Q47" s="8">
        <f t="shared" si="10"/>
        <v>-3</v>
      </c>
      <c r="R47" s="8">
        <f t="shared" si="11"/>
        <v>3</v>
      </c>
    </row>
    <row r="48" spans="1:18">
      <c r="A48" s="8">
        <v>2</v>
      </c>
      <c r="B48" s="8">
        <v>3</v>
      </c>
      <c r="C48" s="8" t="s">
        <v>54</v>
      </c>
      <c r="D48" s="8" t="s">
        <v>55</v>
      </c>
      <c r="E48" s="12" t="s">
        <v>80</v>
      </c>
      <c r="F48" s="8" t="s">
        <v>14</v>
      </c>
      <c r="G48" s="8" t="s">
        <v>68</v>
      </c>
      <c r="H48" s="48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7"/>
        <v>60</v>
      </c>
      <c r="N48" s="8" t="str">
        <f t="shared" si="8"/>
        <v>3</v>
      </c>
      <c r="O48" t="s" s="1">
        <v>192</v>
      </c>
      <c r="P48" s="8">
        <f t="shared" si="9"/>
        <v>998773</v>
      </c>
      <c r="Q48" s="8">
        <f t="shared" si="10"/>
        <v>-3</v>
      </c>
      <c r="R48" s="8">
        <f t="shared" si="11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81</v>
      </c>
      <c r="F49" s="8" t="s">
        <v>14</v>
      </c>
      <c r="G49" s="8" t="s">
        <v>68</v>
      </c>
      <c r="H49" s="48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7"/>
        <v>60</v>
      </c>
      <c r="N49" s="8" t="str">
        <f t="shared" si="8"/>
        <v>3</v>
      </c>
      <c r="O49" t="s" s="1">
        <v>192</v>
      </c>
      <c r="P49" s="8">
        <f t="shared" si="9"/>
        <v>998773</v>
      </c>
      <c r="Q49" s="8">
        <f t="shared" si="10"/>
        <v>-3</v>
      </c>
      <c r="R49" s="8">
        <f t="shared" si="11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82</v>
      </c>
      <c r="F50" s="8" t="s">
        <v>14</v>
      </c>
      <c r="G50" s="8" t="s">
        <v>68</v>
      </c>
      <c r="H50" s="48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7"/>
        <v>60</v>
      </c>
      <c r="N50" s="8" t="str">
        <f t="shared" si="8"/>
        <v>3</v>
      </c>
      <c r="O50" t="s" s="1">
        <v>192</v>
      </c>
      <c r="P50" s="8">
        <f t="shared" si="9"/>
        <v>998773</v>
      </c>
      <c r="Q50" s="8">
        <f t="shared" si="10"/>
        <v>-3</v>
      </c>
      <c r="R50" s="8">
        <f t="shared" si="11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83</v>
      </c>
      <c r="F51" s="8" t="s">
        <v>14</v>
      </c>
      <c r="G51" s="8" t="s">
        <v>68</v>
      </c>
      <c r="H51" s="48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7"/>
        <v>60</v>
      </c>
      <c r="N51" s="8" t="str">
        <f t="shared" si="8"/>
        <v>3</v>
      </c>
      <c r="O51" t="s" s="1">
        <v>192</v>
      </c>
      <c r="P51" s="8">
        <f t="shared" si="9"/>
        <v>998773</v>
      </c>
      <c r="Q51" s="8">
        <f t="shared" si="10"/>
        <v>-3</v>
      </c>
      <c r="R51" s="8">
        <f t="shared" si="11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84</v>
      </c>
      <c r="F52" s="8" t="s">
        <v>14</v>
      </c>
      <c r="G52" s="8" t="s">
        <v>68</v>
      </c>
      <c r="H52" s="48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7"/>
        <v>60</v>
      </c>
      <c r="N52" s="8" t="str">
        <f t="shared" si="8"/>
        <v>3</v>
      </c>
      <c r="O52" t="s" s="1">
        <v>192</v>
      </c>
      <c r="P52" s="8">
        <f t="shared" si="9"/>
        <v>998773</v>
      </c>
      <c r="Q52" s="8">
        <f t="shared" si="10"/>
        <v>-3</v>
      </c>
      <c r="R52" s="8">
        <f t="shared" si="11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85</v>
      </c>
      <c r="F53" s="8" t="s">
        <v>14</v>
      </c>
      <c r="G53" s="8" t="s">
        <v>68</v>
      </c>
      <c r="H53" s="48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ref="M53:M61" si="12">L53*K53</f>
        <v>60</v>
      </c>
      <c r="N53" s="8" t="str">
        <f t="shared" ref="N53:N59" si="13">I25</f>
        <v>3</v>
      </c>
      <c r="O53" t="s" s="1">
        <v>190</v>
      </c>
      <c r="P53" s="8">
        <f t="shared" ref="P53:P59" si="14">O53-I53</f>
        <v>998770</v>
      </c>
      <c r="Q53" s="8">
        <f t="shared" ref="Q53:Q59" si="15">-I53</f>
        <v>-3</v>
      </c>
      <c r="R53" s="8">
        <f t="shared" ref="R53:R59" si="16">I53</f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86</v>
      </c>
      <c r="F54" s="8" t="s">
        <v>14</v>
      </c>
      <c r="G54" s="8" t="s">
        <v>68</v>
      </c>
      <c r="H54" s="48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12"/>
        <v>60</v>
      </c>
      <c r="N54" s="8" t="str">
        <f t="shared" si="13"/>
        <v>3</v>
      </c>
      <c r="O54" t="s" s="1">
        <v>190</v>
      </c>
      <c r="P54" s="8">
        <f t="shared" si="14"/>
        <v>998770</v>
      </c>
      <c r="Q54" s="8">
        <f t="shared" si="15"/>
        <v>-3</v>
      </c>
      <c r="R54" s="8">
        <f t="shared" si="16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87</v>
      </c>
      <c r="F55" s="8" t="s">
        <v>14</v>
      </c>
      <c r="G55" s="8" t="s">
        <v>68</v>
      </c>
      <c r="H55" s="48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12"/>
        <v>60</v>
      </c>
      <c r="N55" s="8" t="str">
        <f t="shared" si="13"/>
        <v>3</v>
      </c>
      <c r="O55" t="s" s="1">
        <v>190</v>
      </c>
      <c r="P55" s="8">
        <f t="shared" si="14"/>
        <v>998770</v>
      </c>
      <c r="Q55" s="8">
        <f t="shared" si="15"/>
        <v>-3</v>
      </c>
      <c r="R55" s="8">
        <f t="shared" si="16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88</v>
      </c>
      <c r="F56" s="8" t="s">
        <v>14</v>
      </c>
      <c r="G56" s="8" t="s">
        <v>68</v>
      </c>
      <c r="H56" s="48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12"/>
        <v>60</v>
      </c>
      <c r="N56" s="8" t="str">
        <f t="shared" si="13"/>
        <v>3</v>
      </c>
      <c r="O56" t="s" s="1">
        <v>190</v>
      </c>
      <c r="P56" s="8">
        <f t="shared" si="14"/>
        <v>998770</v>
      </c>
      <c r="Q56" s="8">
        <f t="shared" si="15"/>
        <v>-3</v>
      </c>
      <c r="R56" s="8">
        <f t="shared" si="16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89</v>
      </c>
      <c r="F57" s="8" t="s">
        <v>14</v>
      </c>
      <c r="G57" s="8" t="s">
        <v>68</v>
      </c>
      <c r="H57" s="48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12"/>
        <v>60</v>
      </c>
      <c r="N57" s="8" t="str">
        <f t="shared" si="13"/>
        <v>3</v>
      </c>
      <c r="O57" t="s" s="1">
        <v>190</v>
      </c>
      <c r="P57" s="8">
        <f t="shared" si="14"/>
        <v>998770</v>
      </c>
      <c r="Q57" s="8">
        <f t="shared" si="15"/>
        <v>-3</v>
      </c>
      <c r="R57" s="8">
        <f t="shared" si="16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90</v>
      </c>
      <c r="F58" s="8" t="s">
        <v>14</v>
      </c>
      <c r="G58" s="8" t="s">
        <v>68</v>
      </c>
      <c r="H58" s="48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2"/>
        <v>60</v>
      </c>
      <c r="N58" s="8" t="str">
        <f t="shared" si="13"/>
        <v>3</v>
      </c>
      <c r="O58" t="s" s="1">
        <v>190</v>
      </c>
      <c r="P58" s="8">
        <f t="shared" si="14"/>
        <v>998770</v>
      </c>
      <c r="Q58" s="8">
        <f t="shared" si="15"/>
        <v>-3</v>
      </c>
      <c r="R58" s="8">
        <f t="shared" si="16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91</v>
      </c>
      <c r="F59" s="8" t="s">
        <v>14</v>
      </c>
      <c r="G59" s="8" t="s">
        <v>68</v>
      </c>
      <c r="H59" s="48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2"/>
        <v>60</v>
      </c>
      <c r="N59" s="8" t="str">
        <f t="shared" si="13"/>
        <v>3</v>
      </c>
      <c r="O59" t="s" s="1">
        <v>190</v>
      </c>
      <c r="P59" s="8">
        <f t="shared" si="14"/>
        <v>998770</v>
      </c>
      <c r="Q59" s="8">
        <f t="shared" si="15"/>
        <v>-3</v>
      </c>
      <c r="R59" s="8">
        <f t="shared" si="16"/>
        <v>3</v>
      </c>
    </row>
    <row r="60" spans="1:18">
      <c r="A60" s="8" t="s">
        <v>116</v>
      </c>
      <c r="B60" s="8"/>
      <c r="C60" s="8" t="s">
        <v>54</v>
      </c>
      <c r="D60" s="8" t="s">
        <v>55</v>
      </c>
      <c r="E60" s="47" t="s">
        <v>18</v>
      </c>
      <c r="F60" s="8" t="s">
        <v>14</v>
      </c>
      <c r="G60" s="8" t="s">
        <v>52</v>
      </c>
      <c r="H60" s="48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280</v>
      </c>
      <c r="M60" s="8">
        <f t="shared" si="12"/>
        <v>840</v>
      </c>
      <c r="N60" s="8"/>
      <c r="O60" s="1"/>
      <c r="P60" s="8"/>
      <c r="Q60" s="8"/>
      <c r="R60" s="8"/>
    </row>
    <row r="61" spans="1:18">
      <c r="A61" s="8" t="s">
        <v>116</v>
      </c>
      <c r="B61" s="8"/>
      <c r="C61" s="8" t="s">
        <v>46</v>
      </c>
      <c r="D61" s="8" t="s">
        <v>47</v>
      </c>
      <c r="E61" s="47" t="s">
        <v>18</v>
      </c>
      <c r="F61" s="8" t="s">
        <v>14</v>
      </c>
      <c r="G61" s="8" t="s">
        <v>52</v>
      </c>
      <c r="H61" s="48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140</v>
      </c>
      <c r="M61" s="8">
        <f t="shared" si="12"/>
        <v>420</v>
      </c>
      <c r="N61" s="8"/>
      <c r="O61" s="1"/>
      <c r="P61" s="8"/>
      <c r="Q61" s="8"/>
      <c r="R61" s="8"/>
    </row>
    <row r="62" spans="1:18">
      <c r="A62" s="36" t="s">
        <v>112</v>
      </c>
      <c r="B62" s="36">
        <v>1</v>
      </c>
      <c r="C62" s="36" t="s">
        <v>56</v>
      </c>
      <c r="D62" s="36"/>
      <c r="E62" s="36"/>
      <c r="F62" s="53"/>
      <c r="G62" s="36"/>
      <c r="H62" s="53" t="s">
        <v>52</v>
      </c>
      <c r="I62" s="1"/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1"/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1"/>
      <c r="J63" s="8"/>
      <c r="K63" s="8"/>
      <c r="L63" s="8"/>
      <c r="M63" s="8"/>
      <c r="N63" s="8"/>
      <c r="O63" s="1"/>
      <c r="P63" s="8"/>
      <c r="Q63" s="8"/>
      <c r="R63" s="8"/>
    </row>
    <row r="64">
      <c r="I64" s="1"/>
      <c r="O64" s="1"/>
    </row>
    <row r="65" spans="11:12">
      <c r="I65" s="1"/>
      <c r="K65" s="9" t="s">
        <v>104</v>
      </c>
      <c r="L65" s="9">
        <f>L66/H3</f>
        <v>700</v>
      </c>
      <c r="O65" s="1"/>
    </row>
    <row r="66" spans="11:12">
      <c r="I66" s="1"/>
      <c r="K66" s="9" t="s">
        <v>119</v>
      </c>
      <c r="L66" s="9">
        <f>M62+AG7</f>
        <v>2100</v>
      </c>
      <c r="O66" s="1"/>
    </row>
  </sheetData>
  <mergeCells count="7">
    <mergeCell ref="A1:M1"/>
    <mergeCell ref="A4:L4"/>
    <mergeCell ref="V4:AG4"/>
    <mergeCell ref="A9:L9"/>
    <mergeCell ref="A33:R33"/>
    <mergeCell ref="A34:R34"/>
    <mergeCell ref="A44:R4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Q63"/>
  <sheetViews>
    <sheetView zoomScale="61" zoomScaleNormal="61" workbookViewId="0">
      <selection activeCell="E13" sqref="E13"/>
    </sheetView>
  </sheetViews>
  <sheetFormatPr defaultColWidth="9" defaultRowHeight="14.25"/>
  <cols>
    <col min="1" max="1" customWidth="true" style="1" width="12.1428571428571"/>
    <col min="2" max="2" customWidth="true" style="1" width="11.8190476190476"/>
    <col min="3" max="3" customWidth="true" style="1" width="17.2761904761905"/>
    <col min="4" max="5" customWidth="true" style="1" width="34.4571428571429"/>
    <col min="6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6.1809523809524"/>
    <col min="14" max="14" customWidth="true" style="1" width="19.3619047619048"/>
    <col min="15" max="15" customWidth="true" style="1" width="19.6380952380952"/>
    <col min="16" max="16" customWidth="true" style="1" width="15.9047619047619"/>
    <col min="17" max="17" customWidth="true" style="1" width="21.1809523809524"/>
    <col min="18" max="18" customWidth="true" style="1" width="16.2857142857143"/>
    <col min="19" max="21" customWidth="true" style="1" width="19.6380952380952"/>
    <col min="22" max="16371" style="1" width="9.13333333333333"/>
    <col min="16372" max="16384" style="43" width="9.0"/>
  </cols>
  <sheetData>
    <row r="1" spans="1:33 16370:16371">
      <c r="A1" s="44" t="s">
        <v>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6"/>
    </row>
    <row r="2" spans="1:33 16370:1637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P2" s="43"/>
      <c r="XEQ2" s="43"/>
    </row>
    <row r="3" spans="1:33 16370:16371">
      <c r="A3" s="6" t="s">
        <v>14</v>
      </c>
      <c r="B3" s="6" t="s">
        <v>15</v>
      </c>
      <c r="C3" s="6" t="s">
        <v>16</v>
      </c>
      <c r="D3" s="6" t="s">
        <v>16</v>
      </c>
      <c r="E3" s="47" t="s">
        <v>17</v>
      </c>
      <c r="F3" s="47" t="s">
        <v>18</v>
      </c>
      <c r="G3" s="54" t="s">
        <v>19</v>
      </c>
      <c r="H3" s="6">
        <v>3</v>
      </c>
      <c r="I3" t="s" s="1">
        <v>164</v>
      </c>
      <c r="J3" s="8">
        <f>I3+H3</f>
        <v>189</v>
      </c>
      <c r="K3" t="s" s="1">
        <v>21</v>
      </c>
      <c r="L3" s="8">
        <f>(K3+L62)/2</f>
        <v>630</v>
      </c>
      <c r="M3" s="9">
        <f>L62</f>
        <v>840</v>
      </c>
      <c r="XEP3" s="43"/>
      <c r="XEQ3" s="43"/>
    </row>
    <row r="4" spans="1:33 16370:16371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13"/>
      <c r="V4" s="3" t="s">
        <v>23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 16370:16371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13"/>
      <c r="V5" s="5" t="s">
        <v>25</v>
      </c>
      <c r="W5" s="5" t="s">
        <v>36</v>
      </c>
      <c r="X5" s="5" t="s">
        <v>26</v>
      </c>
      <c r="Y5" s="5" t="s">
        <v>37</v>
      </c>
      <c r="Z5" s="5" t="s">
        <v>38</v>
      </c>
      <c r="AA5" s="5" t="s">
        <v>39</v>
      </c>
      <c r="AB5" s="5" t="s">
        <v>40</v>
      </c>
      <c r="AC5" s="5" t="s">
        <v>41</v>
      </c>
      <c r="AD5" s="5" t="s">
        <v>42</v>
      </c>
      <c r="AE5" s="5" t="s">
        <v>43</v>
      </c>
      <c r="AF5" s="5" t="s">
        <v>44</v>
      </c>
      <c r="AG5" s="5" t="s">
        <v>45</v>
      </c>
    </row>
    <row r="6" spans="1:33 16370:16371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48" t="s">
        <v>49</v>
      </c>
      <c r="G6" s="8" t="s">
        <v>50</v>
      </c>
      <c r="H6" s="48" t="s">
        <v>51</v>
      </c>
      <c r="I6" s="48" t="s">
        <v>52</v>
      </c>
      <c r="J6" s="48" t="s">
        <v>51</v>
      </c>
      <c r="K6" s="48" t="s">
        <v>52</v>
      </c>
      <c r="L6" s="8" t="s">
        <v>53</v>
      </c>
      <c r="M6" s="13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</row>
    <row r="7" spans="1:33 16370:16371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48" t="s">
        <v>49</v>
      </c>
      <c r="G7" s="8" t="s">
        <v>50</v>
      </c>
      <c r="H7" s="48" t="s">
        <v>51</v>
      </c>
      <c r="I7" s="48" t="s">
        <v>52</v>
      </c>
      <c r="J7" s="48" t="s">
        <v>51</v>
      </c>
      <c r="K7" s="48" t="s">
        <v>52</v>
      </c>
      <c r="L7" s="8" t="s">
        <v>53</v>
      </c>
      <c r="M7" s="13"/>
      <c r="AG7" s="1">
        <f>AG6</f>
        <v>0</v>
      </c>
    </row>
    <row r="8" spans="1:33 16370:16371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48" t="s">
        <v>49</v>
      </c>
      <c r="G8" s="8" t="s">
        <v>50</v>
      </c>
      <c r="H8" s="48" t="s">
        <v>51</v>
      </c>
      <c r="I8" s="48" t="s">
        <v>52</v>
      </c>
      <c r="J8" s="48" t="s">
        <v>51</v>
      </c>
      <c r="K8" s="48" t="s">
        <v>52</v>
      </c>
      <c r="L8" s="8" t="s">
        <v>53</v>
      </c>
      <c r="M8" s="13"/>
    </row>
    <row r="9" spans="1:33 16370:16371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</row>
    <row r="10" spans="1:33 16370:16371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</row>
    <row r="11" spans="1:33 16370:16371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t="s" s="1">
        <v>197</v>
      </c>
      <c r="I11" t="s" s="1">
        <v>78</v>
      </c>
      <c r="J11" s="8">
        <f t="shared" ref="J11:J31" si="0">H11-I11</f>
        <v>998776</v>
      </c>
      <c r="K11" s="8">
        <v>1</v>
      </c>
      <c r="L11" s="8">
        <f>H3</f>
        <v>3</v>
      </c>
    </row>
    <row r="12" spans="1:33 16370:16371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t="s" s="1">
        <v>197</v>
      </c>
      <c r="I12" t="s" s="1">
        <v>78</v>
      </c>
      <c r="J12" s="8">
        <f t="shared" si="0"/>
        <v>998776</v>
      </c>
      <c r="K12" s="8">
        <v>1</v>
      </c>
      <c r="L12" s="8">
        <f>H3</f>
        <v>3</v>
      </c>
      <c r="M12" s="13"/>
    </row>
    <row r="13" spans="1:33 16370:16371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t="s" s="1">
        <v>197</v>
      </c>
      <c r="I13" t="s" s="1">
        <v>78</v>
      </c>
      <c r="J13" s="8">
        <f t="shared" si="0"/>
        <v>998776</v>
      </c>
      <c r="K13" s="8">
        <v>1</v>
      </c>
      <c r="L13" s="8">
        <f>H3</f>
        <v>3</v>
      </c>
      <c r="M13" s="13"/>
    </row>
    <row r="14" spans="1:33 16370:16371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t="s" s="1">
        <v>197</v>
      </c>
      <c r="I14" t="s" s="1">
        <v>78</v>
      </c>
      <c r="J14" s="8">
        <f t="shared" si="0"/>
        <v>998776</v>
      </c>
      <c r="K14" s="8">
        <v>1</v>
      </c>
      <c r="L14" s="8">
        <f>H3</f>
        <v>3</v>
      </c>
      <c r="M14" s="13"/>
    </row>
    <row r="15" spans="1:33 16370:16371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t="s" s="1">
        <v>197</v>
      </c>
      <c r="I15" t="s" s="1">
        <v>78</v>
      </c>
      <c r="J15" s="8">
        <f t="shared" si="0"/>
        <v>998776</v>
      </c>
      <c r="K15" s="8">
        <v>1</v>
      </c>
      <c r="L15" s="8">
        <f>H3</f>
        <v>3</v>
      </c>
      <c r="M15" s="13"/>
    </row>
    <row r="16" spans="1:33 16370:16371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t="s" s="1">
        <v>197</v>
      </c>
      <c r="I16" t="s" s="1">
        <v>78</v>
      </c>
      <c r="J16" s="8">
        <f t="shared" si="0"/>
        <v>998776</v>
      </c>
      <c r="K16" s="8">
        <v>1</v>
      </c>
      <c r="L16" s="8">
        <f>H3</f>
        <v>3</v>
      </c>
      <c r="M16" s="13"/>
    </row>
    <row r="17" spans="1:18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t="s" s="1">
        <v>197</v>
      </c>
      <c r="I17" t="s" s="1">
        <v>78</v>
      </c>
      <c r="J17" s="8">
        <f t="shared" si="0"/>
        <v>998776</v>
      </c>
      <c r="K17" s="8">
        <v>1</v>
      </c>
      <c r="L17" s="8">
        <f>H3</f>
        <v>3</v>
      </c>
      <c r="M17" s="13"/>
    </row>
    <row r="18" spans="1:18">
      <c r="A18" s="8">
        <v>2</v>
      </c>
      <c r="B18" s="8">
        <v>1</v>
      </c>
      <c r="C18" s="8" t="s">
        <v>54</v>
      </c>
      <c r="D18" s="8" t="s">
        <v>55</v>
      </c>
      <c r="E18" s="12" t="s">
        <v>77</v>
      </c>
      <c r="F18" s="8" t="s">
        <v>14</v>
      </c>
      <c r="G18" s="8" t="s">
        <v>68</v>
      </c>
      <c r="H18" s="8">
        <f t="shared" ref="H18:H31" si="1">J11</f>
        <v>998776</v>
      </c>
      <c r="I18" s="1" t="s">
        <v>78</v>
      </c>
      <c r="J18" s="8">
        <f t="shared" si="0"/>
        <v>998773</v>
      </c>
      <c r="K18" s="8">
        <v>1</v>
      </c>
      <c r="L18" s="8">
        <f>H3</f>
        <v>3</v>
      </c>
      <c r="M18" s="13"/>
    </row>
    <row r="19" spans="1:18">
      <c r="A19" s="8">
        <v>2</v>
      </c>
      <c r="B19" s="8">
        <v>2</v>
      </c>
      <c r="C19" s="8" t="s">
        <v>54</v>
      </c>
      <c r="D19" s="8" t="s">
        <v>55</v>
      </c>
      <c r="E19" s="12" t="s">
        <v>79</v>
      </c>
      <c r="F19" s="8" t="s">
        <v>14</v>
      </c>
      <c r="G19" s="8" t="s">
        <v>68</v>
      </c>
      <c r="H19" s="8">
        <f t="shared" si="1"/>
        <v>998776</v>
      </c>
      <c r="I19" s="1" t="s">
        <v>78</v>
      </c>
      <c r="J19" s="8">
        <f t="shared" si="0"/>
        <v>998773</v>
      </c>
      <c r="K19" s="8">
        <v>1</v>
      </c>
      <c r="L19" s="8">
        <f>H3</f>
        <v>3</v>
      </c>
      <c r="M19" s="13"/>
    </row>
    <row r="20" spans="1:18">
      <c r="A20" s="8">
        <v>2</v>
      </c>
      <c r="B20" s="8">
        <v>3</v>
      </c>
      <c r="C20" s="8" t="s">
        <v>54</v>
      </c>
      <c r="D20" s="8" t="s">
        <v>55</v>
      </c>
      <c r="E20" s="12" t="s">
        <v>80</v>
      </c>
      <c r="F20" s="8" t="s">
        <v>14</v>
      </c>
      <c r="G20" s="8" t="s">
        <v>68</v>
      </c>
      <c r="H20" s="8">
        <f t="shared" si="1"/>
        <v>998776</v>
      </c>
      <c r="I20" s="1" t="s">
        <v>78</v>
      </c>
      <c r="J20" s="8">
        <f t="shared" si="0"/>
        <v>998773</v>
      </c>
      <c r="K20" s="8">
        <v>1</v>
      </c>
      <c r="L20" s="8">
        <f>H3</f>
        <v>3</v>
      </c>
      <c r="M20" s="13"/>
    </row>
    <row r="21" spans="1:18">
      <c r="A21" s="8">
        <v>2</v>
      </c>
      <c r="B21" s="8">
        <v>4</v>
      </c>
      <c r="C21" s="8" t="s">
        <v>54</v>
      </c>
      <c r="D21" s="8" t="s">
        <v>55</v>
      </c>
      <c r="E21" s="12" t="s">
        <v>81</v>
      </c>
      <c r="F21" s="8" t="s">
        <v>14</v>
      </c>
      <c r="G21" s="8" t="s">
        <v>68</v>
      </c>
      <c r="H21" s="8">
        <f t="shared" si="1"/>
        <v>998776</v>
      </c>
      <c r="I21" s="1" t="s">
        <v>78</v>
      </c>
      <c r="J21" s="8">
        <f t="shared" si="0"/>
        <v>998773</v>
      </c>
      <c r="K21" s="8">
        <v>1</v>
      </c>
      <c r="L21" s="8">
        <f>H3</f>
        <v>3</v>
      </c>
      <c r="M21" s="13"/>
    </row>
    <row r="22" spans="1:18">
      <c r="A22" s="8">
        <v>2</v>
      </c>
      <c r="B22" s="8">
        <v>5</v>
      </c>
      <c r="C22" s="8" t="s">
        <v>54</v>
      </c>
      <c r="D22" s="8" t="s">
        <v>55</v>
      </c>
      <c r="E22" s="12" t="s">
        <v>82</v>
      </c>
      <c r="F22" s="8" t="s">
        <v>14</v>
      </c>
      <c r="G22" s="8" t="s">
        <v>68</v>
      </c>
      <c r="H22" s="8">
        <f t="shared" si="1"/>
        <v>998776</v>
      </c>
      <c r="I22" s="1" t="s">
        <v>78</v>
      </c>
      <c r="J22" s="8">
        <f t="shared" si="0"/>
        <v>998773</v>
      </c>
      <c r="K22" s="8">
        <v>1</v>
      </c>
      <c r="L22" s="8">
        <f>H3</f>
        <v>3</v>
      </c>
      <c r="M22" s="13"/>
    </row>
    <row r="23" spans="1:18">
      <c r="A23" s="8">
        <v>2</v>
      </c>
      <c r="B23" s="8">
        <v>6</v>
      </c>
      <c r="C23" s="8" t="s">
        <v>54</v>
      </c>
      <c r="D23" s="8" t="s">
        <v>55</v>
      </c>
      <c r="E23" s="12" t="s">
        <v>83</v>
      </c>
      <c r="F23" s="8" t="s">
        <v>14</v>
      </c>
      <c r="G23" s="8" t="s">
        <v>68</v>
      </c>
      <c r="H23" s="8">
        <f t="shared" si="1"/>
        <v>998776</v>
      </c>
      <c r="I23" s="1" t="s">
        <v>78</v>
      </c>
      <c r="J23" s="8">
        <f t="shared" si="0"/>
        <v>998773</v>
      </c>
      <c r="K23" s="8">
        <v>1</v>
      </c>
      <c r="L23" s="8">
        <f>H3</f>
        <v>3</v>
      </c>
      <c r="M23" s="13"/>
    </row>
    <row r="24" spans="1:18">
      <c r="A24" s="8">
        <v>2</v>
      </c>
      <c r="B24" s="8">
        <v>7</v>
      </c>
      <c r="C24" s="8" t="s">
        <v>54</v>
      </c>
      <c r="D24" s="8" t="s">
        <v>55</v>
      </c>
      <c r="E24" s="12" t="s">
        <v>84</v>
      </c>
      <c r="F24" s="8" t="s">
        <v>14</v>
      </c>
      <c r="G24" s="8" t="s">
        <v>68</v>
      </c>
      <c r="H24" s="8">
        <f t="shared" si="1"/>
        <v>998776</v>
      </c>
      <c r="I24" s="1" t="s">
        <v>78</v>
      </c>
      <c r="J24" s="8">
        <f t="shared" si="0"/>
        <v>998773</v>
      </c>
      <c r="K24" s="8">
        <v>1</v>
      </c>
      <c r="L24" s="8">
        <f>H3</f>
        <v>3</v>
      </c>
      <c r="M24" s="13"/>
    </row>
    <row r="25" spans="1:18">
      <c r="A25" s="8">
        <v>3</v>
      </c>
      <c r="B25" s="8">
        <v>1</v>
      </c>
      <c r="C25" s="8" t="s">
        <v>56</v>
      </c>
      <c r="D25" s="8" t="s">
        <v>57</v>
      </c>
      <c r="E25" s="12" t="s">
        <v>85</v>
      </c>
      <c r="F25" s="8" t="s">
        <v>14</v>
      </c>
      <c r="G25" s="8" t="s">
        <v>68</v>
      </c>
      <c r="H25" s="8">
        <f t="shared" si="1"/>
        <v>998773</v>
      </c>
      <c r="I25" s="1" t="s">
        <v>78</v>
      </c>
      <c r="J25" s="8">
        <f t="shared" si="0"/>
        <v>998770</v>
      </c>
      <c r="K25" s="8">
        <v>1</v>
      </c>
      <c r="L25" s="8">
        <f>H3</f>
        <v>3</v>
      </c>
      <c r="M25" s="13"/>
    </row>
    <row r="26" spans="1:18">
      <c r="A26" s="8">
        <v>3</v>
      </c>
      <c r="B26" s="8">
        <v>2</v>
      </c>
      <c r="C26" s="8" t="s">
        <v>56</v>
      </c>
      <c r="D26" s="8" t="s">
        <v>57</v>
      </c>
      <c r="E26" s="12" t="s">
        <v>86</v>
      </c>
      <c r="F26" s="8" t="s">
        <v>14</v>
      </c>
      <c r="G26" s="8" t="s">
        <v>68</v>
      </c>
      <c r="H26" s="8">
        <f t="shared" si="1"/>
        <v>998773</v>
      </c>
      <c r="I26" s="1" t="s">
        <v>78</v>
      </c>
      <c r="J26" s="8">
        <f t="shared" si="0"/>
        <v>998770</v>
      </c>
      <c r="K26" s="8">
        <v>1</v>
      </c>
      <c r="L26" s="8">
        <f>H3</f>
        <v>3</v>
      </c>
      <c r="M26" s="13"/>
    </row>
    <row r="27" spans="1:18">
      <c r="A27" s="8">
        <v>3</v>
      </c>
      <c r="B27" s="8">
        <v>3</v>
      </c>
      <c r="C27" s="8" t="s">
        <v>56</v>
      </c>
      <c r="D27" s="8" t="s">
        <v>57</v>
      </c>
      <c r="E27" s="12" t="s">
        <v>87</v>
      </c>
      <c r="F27" s="8" t="s">
        <v>14</v>
      </c>
      <c r="G27" s="8" t="s">
        <v>68</v>
      </c>
      <c r="H27" s="8">
        <f t="shared" si="1"/>
        <v>998773</v>
      </c>
      <c r="I27" s="1" t="s">
        <v>78</v>
      </c>
      <c r="J27" s="8">
        <f t="shared" si="0"/>
        <v>998770</v>
      </c>
      <c r="K27" s="8">
        <v>1</v>
      </c>
      <c r="L27" s="8">
        <f>H3</f>
        <v>3</v>
      </c>
      <c r="M27" s="13"/>
    </row>
    <row r="28" spans="1:18">
      <c r="A28" s="8">
        <v>3</v>
      </c>
      <c r="B28" s="8">
        <v>4</v>
      </c>
      <c r="C28" s="8" t="s">
        <v>56</v>
      </c>
      <c r="D28" s="8" t="s">
        <v>57</v>
      </c>
      <c r="E28" s="12" t="s">
        <v>88</v>
      </c>
      <c r="F28" s="8" t="s">
        <v>14</v>
      </c>
      <c r="G28" s="8" t="s">
        <v>68</v>
      </c>
      <c r="H28" s="8">
        <f t="shared" si="1"/>
        <v>998773</v>
      </c>
      <c r="I28" s="1" t="s">
        <v>78</v>
      </c>
      <c r="J28" s="8">
        <f t="shared" si="0"/>
        <v>998770</v>
      </c>
      <c r="K28" s="8">
        <v>1</v>
      </c>
      <c r="L28" s="8">
        <f>H3</f>
        <v>3</v>
      </c>
      <c r="M28" s="13"/>
    </row>
    <row r="29" spans="1:18">
      <c r="A29" s="8">
        <v>3</v>
      </c>
      <c r="B29" s="8">
        <v>5</v>
      </c>
      <c r="C29" s="8" t="s">
        <v>56</v>
      </c>
      <c r="D29" s="8" t="s">
        <v>57</v>
      </c>
      <c r="E29" s="12" t="s">
        <v>89</v>
      </c>
      <c r="F29" s="8" t="s">
        <v>14</v>
      </c>
      <c r="G29" s="8" t="s">
        <v>68</v>
      </c>
      <c r="H29" s="8">
        <f t="shared" si="1"/>
        <v>998773</v>
      </c>
      <c r="I29" s="1" t="s">
        <v>78</v>
      </c>
      <c r="J29" s="8">
        <f t="shared" si="0"/>
        <v>998770</v>
      </c>
      <c r="K29" s="8">
        <v>1</v>
      </c>
      <c r="L29" s="8">
        <f>H3</f>
        <v>3</v>
      </c>
      <c r="M29" s="13"/>
    </row>
    <row r="30" spans="1:18">
      <c r="A30" s="8">
        <v>3</v>
      </c>
      <c r="B30" s="8">
        <v>6</v>
      </c>
      <c r="C30" s="8" t="s">
        <v>56</v>
      </c>
      <c r="D30" s="8" t="s">
        <v>57</v>
      </c>
      <c r="E30" s="12" t="s">
        <v>90</v>
      </c>
      <c r="F30" s="8" t="s">
        <v>14</v>
      </c>
      <c r="G30" s="8" t="s">
        <v>68</v>
      </c>
      <c r="H30" s="8">
        <f t="shared" si="1"/>
        <v>998773</v>
      </c>
      <c r="I30" s="1" t="s">
        <v>78</v>
      </c>
      <c r="J30" s="8">
        <f t="shared" si="0"/>
        <v>998770</v>
      </c>
      <c r="K30" s="8">
        <v>1</v>
      </c>
      <c r="L30" s="8">
        <f>H3</f>
        <v>3</v>
      </c>
      <c r="M30" s="13"/>
    </row>
    <row r="31" spans="1:18">
      <c r="A31" s="49">
        <v>3</v>
      </c>
      <c r="B31" s="49">
        <v>7</v>
      </c>
      <c r="C31" s="49" t="s">
        <v>56</v>
      </c>
      <c r="D31" s="49" t="s">
        <v>57</v>
      </c>
      <c r="E31" s="12" t="s">
        <v>91</v>
      </c>
      <c r="F31" s="49" t="s">
        <v>14</v>
      </c>
      <c r="G31" s="49" t="s">
        <v>68</v>
      </c>
      <c r="H31" s="8">
        <f t="shared" si="1"/>
        <v>998773</v>
      </c>
      <c r="I31" s="1" t="s">
        <v>78</v>
      </c>
      <c r="J31" s="49">
        <f t="shared" si="0"/>
        <v>998770</v>
      </c>
      <c r="K31" s="49">
        <v>1</v>
      </c>
      <c r="L31" s="49">
        <f>H3</f>
        <v>3</v>
      </c>
      <c r="M31" s="13"/>
    </row>
    <row r="32" spans="1:18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8"/>
      <c r="M32" s="13"/>
      <c r="N32" s="13"/>
      <c r="O32" s="13"/>
      <c r="P32" s="13"/>
      <c r="Q32" s="13"/>
      <c r="R32" s="13"/>
    </row>
    <row r="33" spans="1:18">
      <c r="A33" s="3" t="s">
        <v>92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>
      <c r="A34" s="50" t="s">
        <v>122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2"/>
    </row>
    <row r="35" spans="1:18">
      <c r="A35" s="5" t="s">
        <v>94</v>
      </c>
      <c r="B35" s="5" t="s">
        <v>95</v>
      </c>
      <c r="C35" s="5" t="s">
        <v>96</v>
      </c>
      <c r="D35" s="5" t="s">
        <v>97</v>
      </c>
      <c r="E35" s="5" t="s">
        <v>98</v>
      </c>
      <c r="F35" s="5" t="s">
        <v>60</v>
      </c>
      <c r="G35" s="5" t="s">
        <v>99</v>
      </c>
      <c r="H35" s="5" t="s">
        <v>100</v>
      </c>
      <c r="I35" s="5" t="s">
        <v>101</v>
      </c>
      <c r="J35" s="5" t="s">
        <v>102</v>
      </c>
      <c r="K35" s="5" t="s">
        <v>103</v>
      </c>
      <c r="L35" s="5" t="s">
        <v>104</v>
      </c>
      <c r="M35" s="5" t="s">
        <v>105</v>
      </c>
      <c r="N35" s="5" t="s">
        <v>106</v>
      </c>
      <c r="O35" s="5" t="s">
        <v>107</v>
      </c>
      <c r="P35" s="5" t="s">
        <v>108</v>
      </c>
      <c r="Q35" s="5" t="s">
        <v>109</v>
      </c>
      <c r="R35" s="5" t="s">
        <v>110</v>
      </c>
    </row>
    <row r="36" spans="1:18">
      <c r="A36" s="8">
        <v>1</v>
      </c>
      <c r="B36" s="8">
        <v>1</v>
      </c>
      <c r="C36" s="8" t="s">
        <v>46</v>
      </c>
      <c r="D36" s="8" t="s">
        <v>47</v>
      </c>
      <c r="E36" s="48" t="s">
        <v>67</v>
      </c>
      <c r="F36" s="8" t="s">
        <v>14</v>
      </c>
      <c r="G36" s="8" t="s">
        <v>68</v>
      </c>
      <c r="H36" s="48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t="s" s="1">
        <v>197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</row>
    <row r="37" spans="1:18">
      <c r="A37" s="8">
        <v>1</v>
      </c>
      <c r="B37" s="8">
        <v>2</v>
      </c>
      <c r="C37" s="8" t="s">
        <v>46</v>
      </c>
      <c r="D37" s="8" t="s">
        <v>47</v>
      </c>
      <c r="E37" s="48" t="s">
        <v>71</v>
      </c>
      <c r="F37" s="8" t="s">
        <v>14</v>
      </c>
      <c r="G37" s="8" t="s">
        <v>68</v>
      </c>
      <c r="H37" s="48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t="s" s="1">
        <v>197</v>
      </c>
      <c r="P37" s="8">
        <f t="shared" si="4"/>
        <v>998776</v>
      </c>
      <c r="Q37" s="8">
        <f t="shared" si="5"/>
        <v>-3</v>
      </c>
      <c r="R37" s="8">
        <f t="shared" si="6"/>
        <v>3</v>
      </c>
    </row>
    <row r="38" spans="1:18">
      <c r="A38" s="8">
        <v>1</v>
      </c>
      <c r="B38" s="8">
        <v>3</v>
      </c>
      <c r="C38" s="8" t="s">
        <v>46</v>
      </c>
      <c r="D38" s="8" t="s">
        <v>47</v>
      </c>
      <c r="E38" s="48" t="s">
        <v>72</v>
      </c>
      <c r="F38" s="8" t="s">
        <v>14</v>
      </c>
      <c r="G38" s="8" t="s">
        <v>68</v>
      </c>
      <c r="H38" s="48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t="s" s="1">
        <v>197</v>
      </c>
      <c r="P38" s="8">
        <f t="shared" si="4"/>
        <v>998776</v>
      </c>
      <c r="Q38" s="8">
        <f t="shared" si="5"/>
        <v>-3</v>
      </c>
      <c r="R38" s="8">
        <f t="shared" si="6"/>
        <v>3</v>
      </c>
    </row>
    <row r="39" spans="1:18">
      <c r="A39" s="8">
        <v>1</v>
      </c>
      <c r="B39" s="8">
        <v>4</v>
      </c>
      <c r="C39" s="8" t="s">
        <v>46</v>
      </c>
      <c r="D39" s="8" t="s">
        <v>47</v>
      </c>
      <c r="E39" s="48" t="s">
        <v>73</v>
      </c>
      <c r="F39" s="8" t="s">
        <v>14</v>
      </c>
      <c r="G39" s="8" t="s">
        <v>68</v>
      </c>
      <c r="H39" s="48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t="s" s="1">
        <v>197</v>
      </c>
      <c r="P39" s="8">
        <f t="shared" si="4"/>
        <v>998776</v>
      </c>
      <c r="Q39" s="8">
        <f t="shared" si="5"/>
        <v>-3</v>
      </c>
      <c r="R39" s="8">
        <f t="shared" si="6"/>
        <v>3</v>
      </c>
    </row>
    <row r="40" spans="1:18">
      <c r="A40" s="8">
        <v>1</v>
      </c>
      <c r="B40" s="8">
        <v>5</v>
      </c>
      <c r="C40" s="8" t="s">
        <v>46</v>
      </c>
      <c r="D40" s="8" t="s">
        <v>47</v>
      </c>
      <c r="E40" s="48" t="s">
        <v>74</v>
      </c>
      <c r="F40" s="8" t="s">
        <v>14</v>
      </c>
      <c r="G40" s="8" t="s">
        <v>68</v>
      </c>
      <c r="H40" s="48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t="s" s="1">
        <v>197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18">
      <c r="A41" s="8">
        <v>1</v>
      </c>
      <c r="B41" s="8">
        <v>6</v>
      </c>
      <c r="C41" s="8" t="s">
        <v>46</v>
      </c>
      <c r="D41" s="8" t="s">
        <v>47</v>
      </c>
      <c r="E41" s="48" t="s">
        <v>75</v>
      </c>
      <c r="F41" s="8" t="s">
        <v>14</v>
      </c>
      <c r="G41" s="8" t="s">
        <v>68</v>
      </c>
      <c r="H41" s="48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t="s" s="1">
        <v>197</v>
      </c>
      <c r="P41" s="8">
        <f t="shared" si="4"/>
        <v>998776</v>
      </c>
      <c r="Q41" s="8">
        <f t="shared" si="5"/>
        <v>-3</v>
      </c>
      <c r="R41" s="8">
        <f t="shared" si="6"/>
        <v>3</v>
      </c>
    </row>
    <row r="42" spans="1:18">
      <c r="A42" s="8">
        <v>1</v>
      </c>
      <c r="B42" s="8">
        <v>7</v>
      </c>
      <c r="C42" s="8" t="s">
        <v>46</v>
      </c>
      <c r="D42" s="8" t="s">
        <v>47</v>
      </c>
      <c r="E42" s="48" t="s">
        <v>76</v>
      </c>
      <c r="F42" s="8" t="s">
        <v>14</v>
      </c>
      <c r="G42" s="8" t="s">
        <v>68</v>
      </c>
      <c r="H42" s="48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t="s" s="1">
        <v>197</v>
      </c>
      <c r="P42" s="8">
        <f t="shared" si="4"/>
        <v>998776</v>
      </c>
      <c r="Q42" s="8">
        <f t="shared" si="5"/>
        <v>-3</v>
      </c>
      <c r="R42" s="8">
        <f t="shared" si="6"/>
        <v>3</v>
      </c>
    </row>
    <row r="43" spans="1:18">
      <c r="A43" s="8">
        <v>2</v>
      </c>
      <c r="B43" s="8">
        <v>1</v>
      </c>
      <c r="C43" s="8" t="s">
        <v>54</v>
      </c>
      <c r="D43" s="8" t="s">
        <v>55</v>
      </c>
      <c r="E43" s="12" t="s">
        <v>77</v>
      </c>
      <c r="F43" s="8" t="s">
        <v>14</v>
      </c>
      <c r="G43" s="8" t="s">
        <v>68</v>
      </c>
      <c r="H43" s="48" t="s">
        <v>52</v>
      </c>
      <c r="I43" s="8">
        <f>H3</f>
        <v>3</v>
      </c>
      <c r="J43" s="8">
        <f>H3</f>
        <v>3</v>
      </c>
      <c r="K43" s="8">
        <f>H3</f>
        <v>3</v>
      </c>
      <c r="L43" s="8">
        <v>20</v>
      </c>
      <c r="M43" s="8">
        <f t="shared" ref="M43:M58" si="7">L43*K43</f>
        <v>60</v>
      </c>
      <c r="N43" s="8" t="str">
        <f t="shared" ref="N43:N56" si="8">I18</f>
        <v>3</v>
      </c>
      <c r="O43" t="s" s="1">
        <v>198</v>
      </c>
      <c r="P43" s="8">
        <f t="shared" ref="P43:P56" si="9">O43-I43</f>
        <v>998773</v>
      </c>
      <c r="Q43" s="8">
        <f t="shared" ref="Q43:Q56" si="10">-I43</f>
        <v>-3</v>
      </c>
      <c r="R43" s="8">
        <f t="shared" ref="R43:R56" si="11">I43</f>
        <v>3</v>
      </c>
    </row>
    <row r="44" spans="1:18">
      <c r="A44" s="8">
        <v>2</v>
      </c>
      <c r="B44" s="8">
        <v>2</v>
      </c>
      <c r="C44" s="8" t="s">
        <v>54</v>
      </c>
      <c r="D44" s="8" t="s">
        <v>55</v>
      </c>
      <c r="E44" s="12" t="s">
        <v>79</v>
      </c>
      <c r="F44" s="8" t="s">
        <v>14</v>
      </c>
      <c r="G44" s="8" t="s">
        <v>68</v>
      </c>
      <c r="H44" s="48" t="s">
        <v>52</v>
      </c>
      <c r="I44" s="8">
        <f>H3</f>
        <v>3</v>
      </c>
      <c r="J44" s="8">
        <f>H3</f>
        <v>3</v>
      </c>
      <c r="K44" s="8">
        <f>H3</f>
        <v>3</v>
      </c>
      <c r="L44" s="8">
        <v>20</v>
      </c>
      <c r="M44" s="8">
        <f t="shared" si="7"/>
        <v>60</v>
      </c>
      <c r="N44" s="8" t="str">
        <f t="shared" si="8"/>
        <v>3</v>
      </c>
      <c r="O44" t="s" s="1">
        <v>198</v>
      </c>
      <c r="P44" s="8">
        <f t="shared" si="9"/>
        <v>998773</v>
      </c>
      <c r="Q44" s="8">
        <f t="shared" si="10"/>
        <v>-3</v>
      </c>
      <c r="R44" s="8">
        <f t="shared" si="11"/>
        <v>3</v>
      </c>
    </row>
    <row r="45" spans="1:18">
      <c r="A45" s="8">
        <v>2</v>
      </c>
      <c r="B45" s="8">
        <v>3</v>
      </c>
      <c r="C45" s="8" t="s">
        <v>54</v>
      </c>
      <c r="D45" s="8" t="s">
        <v>55</v>
      </c>
      <c r="E45" s="12" t="s">
        <v>80</v>
      </c>
      <c r="F45" s="8" t="s">
        <v>14</v>
      </c>
      <c r="G45" s="8" t="s">
        <v>68</v>
      </c>
      <c r="H45" s="48" t="s">
        <v>52</v>
      </c>
      <c r="I45" s="8">
        <f>H3</f>
        <v>3</v>
      </c>
      <c r="J45" s="8">
        <f>H3</f>
        <v>3</v>
      </c>
      <c r="K45" s="8">
        <f>H3</f>
        <v>3</v>
      </c>
      <c r="L45" s="8">
        <v>20</v>
      </c>
      <c r="M45" s="8">
        <f t="shared" si="7"/>
        <v>60</v>
      </c>
      <c r="N45" s="8" t="str">
        <f t="shared" si="8"/>
        <v>3</v>
      </c>
      <c r="O45" t="s" s="1">
        <v>198</v>
      </c>
      <c r="P45" s="8">
        <f t="shared" si="9"/>
        <v>998773</v>
      </c>
      <c r="Q45" s="8">
        <f t="shared" si="10"/>
        <v>-3</v>
      </c>
      <c r="R45" s="8">
        <f t="shared" si="11"/>
        <v>3</v>
      </c>
    </row>
    <row r="46" spans="1:18">
      <c r="A46" s="8">
        <v>2</v>
      </c>
      <c r="B46" s="8">
        <v>4</v>
      </c>
      <c r="C46" s="8" t="s">
        <v>54</v>
      </c>
      <c r="D46" s="8" t="s">
        <v>55</v>
      </c>
      <c r="E46" s="12" t="s">
        <v>81</v>
      </c>
      <c r="F46" s="8" t="s">
        <v>14</v>
      </c>
      <c r="G46" s="8" t="s">
        <v>68</v>
      </c>
      <c r="H46" s="48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si="7"/>
        <v>60</v>
      </c>
      <c r="N46" s="8" t="str">
        <f t="shared" si="8"/>
        <v>3</v>
      </c>
      <c r="O46" t="s" s="1">
        <v>198</v>
      </c>
      <c r="P46" s="8">
        <f t="shared" si="9"/>
        <v>998773</v>
      </c>
      <c r="Q46" s="8">
        <f t="shared" si="10"/>
        <v>-3</v>
      </c>
      <c r="R46" s="8">
        <f t="shared" si="11"/>
        <v>3</v>
      </c>
    </row>
    <row r="47" spans="1:18">
      <c r="A47" s="8">
        <v>2</v>
      </c>
      <c r="B47" s="8">
        <v>5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48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7"/>
        <v>60</v>
      </c>
      <c r="N47" s="8" t="str">
        <f t="shared" si="8"/>
        <v>3</v>
      </c>
      <c r="O47" t="s" s="1">
        <v>198</v>
      </c>
      <c r="P47" s="8">
        <f t="shared" si="9"/>
        <v>998773</v>
      </c>
      <c r="Q47" s="8">
        <f t="shared" si="10"/>
        <v>-3</v>
      </c>
      <c r="R47" s="8">
        <f t="shared" si="11"/>
        <v>3</v>
      </c>
    </row>
    <row r="48" spans="1:18">
      <c r="A48" s="8">
        <v>2</v>
      </c>
      <c r="B48" s="8">
        <v>6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48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7"/>
        <v>60</v>
      </c>
      <c r="N48" s="8" t="str">
        <f t="shared" si="8"/>
        <v>3</v>
      </c>
      <c r="O48" t="s" s="1">
        <v>198</v>
      </c>
      <c r="P48" s="8">
        <f t="shared" si="9"/>
        <v>998773</v>
      </c>
      <c r="Q48" s="8">
        <f t="shared" si="10"/>
        <v>-3</v>
      </c>
      <c r="R48" s="8">
        <f t="shared" si="11"/>
        <v>3</v>
      </c>
    </row>
    <row r="49" spans="1:18">
      <c r="A49" s="8">
        <v>2</v>
      </c>
      <c r="B49" s="8">
        <v>7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48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7"/>
        <v>60</v>
      </c>
      <c r="N49" s="8" t="str">
        <f t="shared" si="8"/>
        <v>3</v>
      </c>
      <c r="O49" t="s" s="1">
        <v>198</v>
      </c>
      <c r="P49" s="8">
        <f t="shared" si="9"/>
        <v>998773</v>
      </c>
      <c r="Q49" s="8">
        <f t="shared" si="10"/>
        <v>-3</v>
      </c>
      <c r="R49" s="8">
        <f t="shared" si="11"/>
        <v>3</v>
      </c>
    </row>
    <row r="50" spans="1:18">
      <c r="A50" s="8">
        <v>3</v>
      </c>
      <c r="B50" s="8">
        <v>1</v>
      </c>
      <c r="C50" s="8" t="s">
        <v>56</v>
      </c>
      <c r="D50" s="8" t="s">
        <v>57</v>
      </c>
      <c r="E50" s="12" t="s">
        <v>85</v>
      </c>
      <c r="F50" s="8" t="s">
        <v>14</v>
      </c>
      <c r="G50" s="8" t="s">
        <v>68</v>
      </c>
      <c r="H50" s="48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7"/>
        <v>60</v>
      </c>
      <c r="N50" s="8" t="str">
        <f t="shared" si="8"/>
        <v>3</v>
      </c>
      <c r="O50" t="s" s="1">
        <v>192</v>
      </c>
      <c r="P50" s="8">
        <f t="shared" si="9"/>
        <v>998770</v>
      </c>
      <c r="Q50" s="8">
        <f t="shared" si="10"/>
        <v>-3</v>
      </c>
      <c r="R50" s="8">
        <f t="shared" si="11"/>
        <v>3</v>
      </c>
    </row>
    <row r="51" spans="1:18">
      <c r="A51" s="8">
        <v>3</v>
      </c>
      <c r="B51" s="8">
        <v>2</v>
      </c>
      <c r="C51" s="8" t="s">
        <v>56</v>
      </c>
      <c r="D51" s="8" t="s">
        <v>57</v>
      </c>
      <c r="E51" s="12" t="s">
        <v>86</v>
      </c>
      <c r="F51" s="8" t="s">
        <v>14</v>
      </c>
      <c r="G51" s="8" t="s">
        <v>68</v>
      </c>
      <c r="H51" s="48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7"/>
        <v>60</v>
      </c>
      <c r="N51" s="8" t="str">
        <f t="shared" si="8"/>
        <v>3</v>
      </c>
      <c r="O51" t="s" s="1">
        <v>192</v>
      </c>
      <c r="P51" s="8">
        <f t="shared" si="9"/>
        <v>998770</v>
      </c>
      <c r="Q51" s="8">
        <f t="shared" si="10"/>
        <v>-3</v>
      </c>
      <c r="R51" s="8">
        <f t="shared" si="11"/>
        <v>3</v>
      </c>
    </row>
    <row r="52" spans="1:18">
      <c r="A52" s="8">
        <v>3</v>
      </c>
      <c r="B52" s="8">
        <v>3</v>
      </c>
      <c r="C52" s="8" t="s">
        <v>56</v>
      </c>
      <c r="D52" s="8" t="s">
        <v>57</v>
      </c>
      <c r="E52" s="12" t="s">
        <v>87</v>
      </c>
      <c r="F52" s="8" t="s">
        <v>14</v>
      </c>
      <c r="G52" s="8" t="s">
        <v>68</v>
      </c>
      <c r="H52" s="48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7"/>
        <v>60</v>
      </c>
      <c r="N52" s="8" t="str">
        <f t="shared" si="8"/>
        <v>3</v>
      </c>
      <c r="O52" t="s" s="1">
        <v>192</v>
      </c>
      <c r="P52" s="8">
        <f t="shared" si="9"/>
        <v>998770</v>
      </c>
      <c r="Q52" s="8">
        <f t="shared" si="10"/>
        <v>-3</v>
      </c>
      <c r="R52" s="8">
        <f t="shared" si="11"/>
        <v>3</v>
      </c>
    </row>
    <row r="53" spans="1:18">
      <c r="A53" s="8">
        <v>3</v>
      </c>
      <c r="B53" s="8">
        <v>4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48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7"/>
        <v>60</v>
      </c>
      <c r="N53" s="8" t="str">
        <f t="shared" si="8"/>
        <v>3</v>
      </c>
      <c r="O53" t="s" s="1">
        <v>192</v>
      </c>
      <c r="P53" s="8">
        <f t="shared" si="9"/>
        <v>998770</v>
      </c>
      <c r="Q53" s="8">
        <f t="shared" si="10"/>
        <v>-3</v>
      </c>
      <c r="R53" s="8">
        <f t="shared" si="11"/>
        <v>3</v>
      </c>
    </row>
    <row r="54" spans="1:18">
      <c r="A54" s="8">
        <v>3</v>
      </c>
      <c r="B54" s="8">
        <v>5</v>
      </c>
      <c r="C54" s="8" t="s">
        <v>56</v>
      </c>
      <c r="D54" s="8" t="s">
        <v>57</v>
      </c>
      <c r="E54" s="12" t="s">
        <v>89</v>
      </c>
      <c r="F54" s="8" t="s">
        <v>14</v>
      </c>
      <c r="G54" s="8" t="s">
        <v>68</v>
      </c>
      <c r="H54" s="48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7"/>
        <v>60</v>
      </c>
      <c r="N54" s="8" t="str">
        <f t="shared" si="8"/>
        <v>3</v>
      </c>
      <c r="O54" t="s" s="1">
        <v>192</v>
      </c>
      <c r="P54" s="8">
        <f t="shared" si="9"/>
        <v>998770</v>
      </c>
      <c r="Q54" s="8">
        <f t="shared" si="10"/>
        <v>-3</v>
      </c>
      <c r="R54" s="8">
        <f t="shared" si="11"/>
        <v>3</v>
      </c>
    </row>
    <row r="55" spans="1:18">
      <c r="A55" s="8">
        <v>3</v>
      </c>
      <c r="B55" s="8">
        <v>6</v>
      </c>
      <c r="C55" s="8" t="s">
        <v>56</v>
      </c>
      <c r="D55" s="8" t="s">
        <v>57</v>
      </c>
      <c r="E55" s="12" t="s">
        <v>90</v>
      </c>
      <c r="F55" s="8" t="s">
        <v>14</v>
      </c>
      <c r="G55" s="8" t="s">
        <v>68</v>
      </c>
      <c r="H55" s="48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7"/>
        <v>60</v>
      </c>
      <c r="N55" s="8" t="str">
        <f t="shared" si="8"/>
        <v>3</v>
      </c>
      <c r="O55" t="s" s="1">
        <v>192</v>
      </c>
      <c r="P55" s="8">
        <f t="shared" si="9"/>
        <v>998770</v>
      </c>
      <c r="Q55" s="8">
        <f t="shared" si="10"/>
        <v>-3</v>
      </c>
      <c r="R55" s="8">
        <f t="shared" si="11"/>
        <v>3</v>
      </c>
    </row>
    <row r="56" spans="1:18">
      <c r="A56" s="8">
        <v>3</v>
      </c>
      <c r="B56" s="8">
        <v>7</v>
      </c>
      <c r="C56" s="8" t="s">
        <v>56</v>
      </c>
      <c r="D56" s="8" t="s">
        <v>57</v>
      </c>
      <c r="E56" s="12" t="s">
        <v>91</v>
      </c>
      <c r="F56" s="8" t="s">
        <v>14</v>
      </c>
      <c r="G56" s="8" t="s">
        <v>68</v>
      </c>
      <c r="H56" s="48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7"/>
        <v>60</v>
      </c>
      <c r="N56" s="8" t="str">
        <f t="shared" si="8"/>
        <v>3</v>
      </c>
      <c r="O56" t="s" s="1">
        <v>192</v>
      </c>
      <c r="P56" s="8">
        <f t="shared" si="9"/>
        <v>998770</v>
      </c>
      <c r="Q56" s="8">
        <f t="shared" si="10"/>
        <v>-3</v>
      </c>
      <c r="R56" s="8">
        <f t="shared" si="11"/>
        <v>3</v>
      </c>
    </row>
    <row r="57" spans="1:18">
      <c r="A57" s="8" t="s">
        <v>116</v>
      </c>
      <c r="B57" s="8"/>
      <c r="C57" s="8" t="s">
        <v>54</v>
      </c>
      <c r="D57" s="8" t="s">
        <v>55</v>
      </c>
      <c r="E57" s="47" t="s">
        <v>18</v>
      </c>
      <c r="F57" s="8" t="s">
        <v>14</v>
      </c>
      <c r="G57" s="8" t="s">
        <v>52</v>
      </c>
      <c r="H57" s="48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280</v>
      </c>
      <c r="M57" s="8">
        <f t="shared" si="7"/>
        <v>840</v>
      </c>
      <c r="N57" s="8"/>
      <c r="O57" s="1"/>
      <c r="P57" s="8"/>
      <c r="Q57" s="8"/>
      <c r="R57" s="8"/>
    </row>
    <row r="58" spans="1:18">
      <c r="A58" s="8" t="s">
        <v>116</v>
      </c>
      <c r="B58" s="8"/>
      <c r="C58" s="8" t="s">
        <v>46</v>
      </c>
      <c r="D58" s="8" t="s">
        <v>47</v>
      </c>
      <c r="E58" s="47" t="s">
        <v>18</v>
      </c>
      <c r="F58" s="8" t="s">
        <v>14</v>
      </c>
      <c r="G58" s="8" t="s">
        <v>52</v>
      </c>
      <c r="H58" s="48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140</v>
      </c>
      <c r="M58" s="8">
        <f t="shared" si="7"/>
        <v>420</v>
      </c>
      <c r="N58" s="8"/>
      <c r="O58" s="1"/>
      <c r="P58" s="8"/>
      <c r="Q58" s="8"/>
      <c r="R58" s="8"/>
    </row>
    <row r="59" spans="1:18">
      <c r="A59" s="36" t="s">
        <v>112</v>
      </c>
      <c r="B59" s="36">
        <v>1</v>
      </c>
      <c r="C59" s="36" t="s">
        <v>56</v>
      </c>
      <c r="D59" s="36"/>
      <c r="E59" s="36"/>
      <c r="F59" s="53"/>
      <c r="G59" s="36"/>
      <c r="H59" s="53" t="s">
        <v>52</v>
      </c>
      <c r="I59" s="53">
        <v>3</v>
      </c>
      <c r="J59" s="36">
        <v>3</v>
      </c>
      <c r="K59" s="36"/>
      <c r="L59" s="36">
        <f>SUM(L36:L58)</f>
        <v>840</v>
      </c>
      <c r="M59" s="38">
        <f>SUM(M36:M58)</f>
        <v>2520</v>
      </c>
      <c r="N59" s="38">
        <v>111</v>
      </c>
      <c r="O59" s="1"/>
      <c r="P59" s="36"/>
      <c r="Q59" s="36"/>
      <c r="R59" s="36"/>
    </row>
    <row r="60" spans="1:18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1"/>
      <c r="P60" s="8"/>
      <c r="Q60" s="8"/>
      <c r="R60" s="8"/>
    </row>
    <row r="61">
      <c r="O61" s="1"/>
    </row>
    <row r="62" spans="1:18">
      <c r="K62" s="9" t="s">
        <v>104</v>
      </c>
      <c r="L62" s="9">
        <f>L63/H3</f>
        <v>840</v>
      </c>
      <c r="O62" s="1"/>
    </row>
    <row r="63" spans="1:18">
      <c r="K63" s="9" t="s">
        <v>119</v>
      </c>
      <c r="L63" s="9">
        <f>M59+AG7</f>
        <v>2520</v>
      </c>
      <c r="O63" s="1"/>
    </row>
  </sheetData>
  <mergeCells count="6">
    <mergeCell ref="A1:M1"/>
    <mergeCell ref="A4:L4"/>
    <mergeCell ref="V4:AG4"/>
    <mergeCell ref="A9:L9"/>
    <mergeCell ref="A33:R33"/>
    <mergeCell ref="A34:R3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9"/>
  <sheetViews>
    <sheetView zoomScale="60" zoomScaleNormal="60" topLeftCell="C1" workbookViewId="0">
      <selection activeCell="E14" sqref="E14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123</v>
      </c>
      <c r="F3" s="7" t="s">
        <v>18</v>
      </c>
      <c r="G3" s="54" t="s">
        <v>19</v>
      </c>
      <c r="H3" s="6">
        <v>3</v>
      </c>
      <c r="I3" t="s" s="1">
        <v>164</v>
      </c>
      <c r="J3" s="8">
        <f>I3+H3</f>
        <v>189</v>
      </c>
      <c r="K3" t="s" s="1">
        <v>21</v>
      </c>
      <c r="L3" s="8">
        <f>(K3+L68)/2</f>
        <v>420</v>
      </c>
      <c r="M3" s="9">
        <f>L68</f>
        <v>420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t="s" s="1">
        <v>199</v>
      </c>
      <c r="I11" t="s" s="1">
        <v>70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t="s" s="1">
        <v>199</v>
      </c>
      <c r="I12" t="s" s="1">
        <v>70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t="s" s="1">
        <v>199</v>
      </c>
      <c r="I13" t="s" s="1">
        <v>70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t="s" s="1">
        <v>199</v>
      </c>
      <c r="I14" t="s" s="1">
        <v>70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t="s" s="1">
        <v>199</v>
      </c>
      <c r="I15" t="s" s="1">
        <v>70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t="s" s="1">
        <v>199</v>
      </c>
      <c r="I16" t="s" s="1">
        <v>70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t="s" s="1">
        <v>199</v>
      </c>
      <c r="I17" t="s" s="1">
        <v>70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67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78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71</v>
      </c>
      <c r="F19" s="8" t="s">
        <v>14</v>
      </c>
      <c r="G19" s="8" t="s">
        <v>68</v>
      </c>
      <c r="H19" s="8">
        <f t="shared" si="1"/>
        <v>998776</v>
      </c>
      <c r="I19" s="8" t="s">
        <v>78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72</v>
      </c>
      <c r="F20" s="8" t="s">
        <v>14</v>
      </c>
      <c r="G20" s="8" t="s">
        <v>68</v>
      </c>
      <c r="H20" s="8">
        <f t="shared" si="1"/>
        <v>998776</v>
      </c>
      <c r="I20" s="8" t="s">
        <v>78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73</v>
      </c>
      <c r="F21" s="8" t="s">
        <v>14</v>
      </c>
      <c r="G21" s="8" t="s">
        <v>68</v>
      </c>
      <c r="H21" s="8">
        <f t="shared" si="1"/>
        <v>998776</v>
      </c>
      <c r="I21" s="8" t="s">
        <v>78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74</v>
      </c>
      <c r="F22" s="8" t="s">
        <v>14</v>
      </c>
      <c r="G22" s="8" t="s">
        <v>68</v>
      </c>
      <c r="H22" s="8">
        <f t="shared" si="1"/>
        <v>998776</v>
      </c>
      <c r="I22" s="8" t="s">
        <v>78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75</v>
      </c>
      <c r="F23" s="8" t="s">
        <v>14</v>
      </c>
      <c r="G23" s="8" t="s">
        <v>68</v>
      </c>
      <c r="H23" s="8">
        <f t="shared" si="1"/>
        <v>998776</v>
      </c>
      <c r="I23" s="8" t="s">
        <v>78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76</v>
      </c>
      <c r="F24" s="8" t="s">
        <v>14</v>
      </c>
      <c r="G24" s="8" t="s">
        <v>68</v>
      </c>
      <c r="H24" s="8">
        <f t="shared" si="1"/>
        <v>998776</v>
      </c>
      <c r="I24" s="8" t="s">
        <v>78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67</v>
      </c>
      <c r="F25" s="8" t="s">
        <v>14</v>
      </c>
      <c r="G25" s="8" t="s">
        <v>68</v>
      </c>
      <c r="H25" s="8">
        <f t="shared" si="1"/>
        <v>998773</v>
      </c>
      <c r="I25" s="8" t="s">
        <v>78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71</v>
      </c>
      <c r="F26" s="8" t="s">
        <v>14</v>
      </c>
      <c r="G26" s="8" t="s">
        <v>68</v>
      </c>
      <c r="H26" s="8">
        <f t="shared" si="1"/>
        <v>998773</v>
      </c>
      <c r="I26" s="8" t="s">
        <v>78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72</v>
      </c>
      <c r="F27" s="8" t="s">
        <v>14</v>
      </c>
      <c r="G27" s="8" t="s">
        <v>68</v>
      </c>
      <c r="H27" s="8">
        <f t="shared" si="1"/>
        <v>998773</v>
      </c>
      <c r="I27" s="8" t="s">
        <v>78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73</v>
      </c>
      <c r="F28" s="8" t="s">
        <v>14</v>
      </c>
      <c r="G28" s="8" t="s">
        <v>68</v>
      </c>
      <c r="H28" s="8">
        <f t="shared" si="1"/>
        <v>998773</v>
      </c>
      <c r="I28" s="8" t="s">
        <v>78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74</v>
      </c>
      <c r="F29" s="8" t="s">
        <v>14</v>
      </c>
      <c r="G29" s="8" t="s">
        <v>68</v>
      </c>
      <c r="H29" s="8">
        <f t="shared" si="1"/>
        <v>998773</v>
      </c>
      <c r="I29" s="8" t="s">
        <v>78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75</v>
      </c>
      <c r="F30" s="8" t="s">
        <v>14</v>
      </c>
      <c r="G30" s="8" t="s">
        <v>68</v>
      </c>
      <c r="H30" s="8">
        <f t="shared" si="1"/>
        <v>998773</v>
      </c>
      <c r="I30" s="8" t="s">
        <v>78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76</v>
      </c>
      <c r="F31" s="8" t="s">
        <v>14</v>
      </c>
      <c r="G31" s="8" t="s">
        <v>68</v>
      </c>
      <c r="H31" s="8">
        <f t="shared" si="1"/>
        <v>998773</v>
      </c>
      <c r="I31" s="8" t="s">
        <v>78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124</v>
      </c>
      <c r="V32" s="16">
        <v>1</v>
      </c>
    </row>
    <row r="33" ht="15" spans="1:60 16333:16345">
      <c r="A33" s="3" t="s">
        <v>125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126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33:16345">
      <c r="A34" s="18" t="s">
        <v>93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93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33:16345">
      <c r="A35" s="5" t="s">
        <v>94</v>
      </c>
      <c r="B35" s="5" t="s">
        <v>95</v>
      </c>
      <c r="C35" s="5" t="s">
        <v>96</v>
      </c>
      <c r="D35" s="5" t="s">
        <v>97</v>
      </c>
      <c r="E35" s="5" t="s">
        <v>98</v>
      </c>
      <c r="F35" s="5" t="s">
        <v>60</v>
      </c>
      <c r="G35" s="5" t="s">
        <v>99</v>
      </c>
      <c r="H35" s="5" t="s">
        <v>100</v>
      </c>
      <c r="I35" s="5" t="s">
        <v>101</v>
      </c>
      <c r="J35" s="5" t="s">
        <v>102</v>
      </c>
      <c r="K35" s="5" t="s">
        <v>103</v>
      </c>
      <c r="L35" s="5" t="s">
        <v>104</v>
      </c>
      <c r="M35" s="5" t="s">
        <v>105</v>
      </c>
      <c r="N35" s="5" t="s">
        <v>106</v>
      </c>
      <c r="O35" s="5" t="s">
        <v>107</v>
      </c>
      <c r="P35" s="5" t="s">
        <v>108</v>
      </c>
      <c r="Q35" s="5" t="s">
        <v>109</v>
      </c>
      <c r="R35" s="5" t="s">
        <v>110</v>
      </c>
      <c r="T35" s="19" t="s">
        <v>127</v>
      </c>
      <c r="U35" s="19" t="s">
        <v>128</v>
      </c>
      <c r="V35" s="20" t="s">
        <v>129</v>
      </c>
      <c r="W35" s="19" t="s">
        <v>130</v>
      </c>
      <c r="X35" s="19" t="s">
        <v>131</v>
      </c>
      <c r="Y35" s="19" t="s">
        <v>132</v>
      </c>
      <c r="Z35" s="19" t="s">
        <v>133</v>
      </c>
      <c r="AA35" s="19" t="s">
        <v>134</v>
      </c>
      <c r="AB35" s="19" t="s">
        <v>135</v>
      </c>
      <c r="AC35" s="19" t="s">
        <v>136</v>
      </c>
      <c r="AD35" s="19" t="s">
        <v>137</v>
      </c>
      <c r="AE35" s="19" t="s">
        <v>138</v>
      </c>
      <c r="AF35" s="19" t="s">
        <v>139</v>
      </c>
      <c r="AG35" s="19" t="s">
        <v>140</v>
      </c>
      <c r="AH35" s="19" t="s">
        <v>141</v>
      </c>
      <c r="AI35" s="19" t="s">
        <v>142</v>
      </c>
      <c r="AJ35" s="19" t="s">
        <v>143</v>
      </c>
      <c r="AK35" s="21" t="s">
        <v>144</v>
      </c>
      <c r="AL35" s="21" t="s">
        <v>145</v>
      </c>
      <c r="AM35" s="21" t="s">
        <v>146</v>
      </c>
      <c r="AN35" s="21" t="s">
        <v>147</v>
      </c>
      <c r="AO35" s="21" t="s">
        <v>148</v>
      </c>
      <c r="AP35" s="21" t="s">
        <v>149</v>
      </c>
      <c r="AQ35" s="21" t="s">
        <v>150</v>
      </c>
      <c r="AR35" s="21" t="s">
        <v>151</v>
      </c>
      <c r="AS35" s="22" t="s">
        <v>152</v>
      </c>
      <c r="AT35" s="19" t="s">
        <v>153</v>
      </c>
      <c r="AU35" s="19" t="s">
        <v>154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33:16345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111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K11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155</v>
      </c>
      <c r="AU36" s="30">
        <v>100</v>
      </c>
      <c r="AV36" s="17"/>
      <c r="AW36" s="41"/>
      <c r="AX36" s="41"/>
      <c r="AY36" s="41"/>
      <c r="AZ36" s="41"/>
      <c r="BA36" s="41"/>
      <c r="BB36" s="17"/>
      <c r="BC36" s="17"/>
      <c r="BD36" s="17"/>
      <c r="BE36" s="17"/>
      <c r="BF36" s="17"/>
      <c r="BG36" s="17"/>
      <c r="BH36" s="17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</row>
    <row r="37" ht="15" spans="1:60 16333:16345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111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156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DE37" s="2"/>
      <c r="XDF37" s="2"/>
      <c r="XDG37" s="2"/>
      <c r="XDH37" s="2"/>
      <c r="XDI37" s="2"/>
      <c r="XDJ37" s="2"/>
      <c r="XDK37" s="2"/>
      <c r="XDL37" s="2"/>
      <c r="XDM37" s="2"/>
      <c r="XDN37" s="2"/>
      <c r="XDO37" s="2"/>
      <c r="XDP37" s="2"/>
      <c r="XDQ37" s="2"/>
    </row>
    <row r="38" spans="1:60 16333:16345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111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T38" s="18" t="s">
        <v>114</v>
      </c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</row>
    <row r="39" ht="15" spans="1:60 16333:16345">
      <c r="A39" s="8">
        <v>1</v>
      </c>
      <c r="B39" s="8">
        <v>4</v>
      </c>
      <c r="C39" s="8" t="s">
        <v>46</v>
      </c>
      <c r="D39" s="8" t="s">
        <v>47</v>
      </c>
      <c r="E39" s="12" t="s">
        <v>73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111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T39" s="19" t="s">
        <v>127</v>
      </c>
      <c r="U39" s="19" t="s">
        <v>128</v>
      </c>
      <c r="V39" s="20" t="s">
        <v>129</v>
      </c>
      <c r="W39" s="19" t="s">
        <v>130</v>
      </c>
      <c r="X39" s="19" t="s">
        <v>131</v>
      </c>
      <c r="Y39" s="19" t="s">
        <v>132</v>
      </c>
      <c r="Z39" s="19" t="s">
        <v>133</v>
      </c>
      <c r="AA39" s="19" t="s">
        <v>134</v>
      </c>
      <c r="AB39" s="19" t="s">
        <v>135</v>
      </c>
      <c r="AC39" s="19" t="s">
        <v>136</v>
      </c>
      <c r="AD39" s="19" t="s">
        <v>137</v>
      </c>
      <c r="AE39" s="19" t="s">
        <v>138</v>
      </c>
      <c r="AF39" s="19" t="s">
        <v>139</v>
      </c>
      <c r="AG39" s="19" t="s">
        <v>140</v>
      </c>
      <c r="AH39" s="19" t="s">
        <v>141</v>
      </c>
      <c r="AI39" s="19" t="s">
        <v>142</v>
      </c>
      <c r="AJ39" s="19" t="s">
        <v>143</v>
      </c>
      <c r="AK39" s="21" t="s">
        <v>144</v>
      </c>
      <c r="AL39" s="21" t="s">
        <v>145</v>
      </c>
      <c r="AM39" s="21" t="s">
        <v>146</v>
      </c>
      <c r="AN39" s="21" t="s">
        <v>147</v>
      </c>
      <c r="AO39" s="21" t="s">
        <v>148</v>
      </c>
      <c r="AP39" s="21" t="s">
        <v>149</v>
      </c>
      <c r="AQ39" s="21" t="s">
        <v>150</v>
      </c>
      <c r="AR39" s="21" t="s">
        <v>151</v>
      </c>
      <c r="AS39" s="22" t="s">
        <v>152</v>
      </c>
      <c r="AT39" s="19" t="s">
        <v>153</v>
      </c>
      <c r="AU39" s="19" t="s">
        <v>154</v>
      </c>
      <c r="AV39" s="42"/>
      <c r="AW39" s="42"/>
      <c r="AX39" s="42"/>
      <c r="AY39" s="42"/>
      <c r="AZ39" s="42"/>
      <c r="BA39" s="42"/>
      <c r="BB39" s="42"/>
      <c r="BC39" s="42"/>
      <c r="BD39" s="42"/>
      <c r="BE39" s="42"/>
      <c r="BF39" s="42"/>
      <c r="BG39" s="42"/>
      <c r="BH39" s="42"/>
    </row>
    <row r="40" ht="15" spans="1:60 16333:16345">
      <c r="A40" s="8">
        <v>1</v>
      </c>
      <c r="B40" s="8">
        <v>5</v>
      </c>
      <c r="C40" s="8" t="s">
        <v>46</v>
      </c>
      <c r="D40" s="8" t="s">
        <v>47</v>
      </c>
      <c r="E40" s="12" t="s">
        <v>74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111</v>
      </c>
      <c r="P40" s="8">
        <f t="shared" si="4"/>
        <v>998776</v>
      </c>
      <c r="Q40" s="8">
        <f t="shared" si="5"/>
        <v>-3</v>
      </c>
      <c r="R40" s="8">
        <f t="shared" si="6"/>
        <v>3</v>
      </c>
      <c r="T40" s="8" t="s">
        <v>54</v>
      </c>
      <c r="U40" s="23" t="str">
        <f>F3</f>
        <v>GWL-FIFO-LOT-BATCH-10001(FG)</v>
      </c>
      <c r="V40" s="23" t="str">
        <f>U40</f>
        <v>GWL-FIFO-LOT-BATCH-10001(FG)</v>
      </c>
      <c r="W40" s="23" t="s">
        <v>14</v>
      </c>
      <c r="X40" s="23" t="s">
        <v>14</v>
      </c>
      <c r="Y40" s="24">
        <f>H3</f>
        <v>3</v>
      </c>
      <c r="Z40" s="24">
        <f>K15</f>
        <v>1</v>
      </c>
      <c r="AA40" s="24"/>
      <c r="AB40" s="25">
        <v>1</v>
      </c>
      <c r="AC40" s="25">
        <v>25</v>
      </c>
      <c r="AD40" s="25">
        <v>1</v>
      </c>
      <c r="AE40" s="24">
        <f>ROUND(Y40*AD40/AB40,3)</f>
        <v>3</v>
      </c>
      <c r="AF40" s="26">
        <f>AE40*(AC40/Y40)</f>
        <v>25</v>
      </c>
      <c r="AG40" s="25">
        <f>AE40*AF40</f>
        <v>75</v>
      </c>
      <c r="AH40" s="25"/>
      <c r="AI40" s="27"/>
      <c r="AJ40" s="27"/>
      <c r="AK40" s="28">
        <v>18</v>
      </c>
      <c r="AL40" s="25">
        <f>IF(OR(V32=1,V32=4),ROUND(((((AF40*AE40)*AK40)/100)/2),2),0)</f>
        <v>6.75</v>
      </c>
      <c r="AM40" s="25">
        <f>IF(V32=1,ROUND(((((AF40*AE40)*AK40)/100)/2),2),0)</f>
        <v>6.75</v>
      </c>
      <c r="AN40" s="25">
        <f>IF(V32=2,ROUND((((AE40*AF40)*AK40)/100),2),0)</f>
        <v>0</v>
      </c>
      <c r="AO40" s="25">
        <f>IF(V32=3,ROUND((((AE40*AF40)*AK40)/100),2),0)</f>
        <v>0</v>
      </c>
      <c r="AP40" s="25">
        <f>SUM(AL40:AN40)</f>
        <v>13.5</v>
      </c>
      <c r="AQ40" s="29">
        <v>0</v>
      </c>
      <c r="AR40" s="25">
        <f>AG40*AQ40</f>
        <v>0</v>
      </c>
      <c r="AS40" s="25">
        <f>AG40+AP40</f>
        <v>88.5</v>
      </c>
      <c r="AT40" s="30">
        <f>AU36</f>
        <v>100</v>
      </c>
      <c r="AU40" s="30">
        <v>110</v>
      </c>
    </row>
    <row r="41" ht="15" spans="1:60 16333:16345">
      <c r="A41" s="8">
        <v>1</v>
      </c>
      <c r="B41" s="8">
        <v>6</v>
      </c>
      <c r="C41" s="8" t="s">
        <v>46</v>
      </c>
      <c r="D41" s="8" t="s">
        <v>47</v>
      </c>
      <c r="E41" s="12" t="s">
        <v>75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111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T41" s="31" t="s">
        <v>156</v>
      </c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2">
        <f t="shared" ref="AG41:AN41" si="8">SUM(AG40:AG40)</f>
        <v>75</v>
      </c>
      <c r="AH41" s="32">
        <f t="shared" si="8"/>
        <v>0</v>
      </c>
      <c r="AI41" s="32"/>
      <c r="AJ41" s="32"/>
      <c r="AK41" s="32"/>
      <c r="AL41" s="33">
        <f t="shared" si="8"/>
        <v>6.75</v>
      </c>
      <c r="AM41" s="33">
        <f t="shared" si="8"/>
        <v>6.75</v>
      </c>
      <c r="AN41" s="33">
        <f t="shared" si="8"/>
        <v>0</v>
      </c>
      <c r="AO41" s="34">
        <f>AO40</f>
        <v>0</v>
      </c>
      <c r="AP41" s="32">
        <f>SUM(AP40:AP40)</f>
        <v>13.5</v>
      </c>
      <c r="AQ41" s="32"/>
      <c r="AR41" s="32"/>
      <c r="AS41" s="35">
        <f>SUM(AS40:AS40)</f>
        <v>88.5</v>
      </c>
      <c r="AT41" s="32"/>
      <c r="AU41" s="32"/>
    </row>
    <row r="42" spans="1:60 16333:16345">
      <c r="A42" s="8">
        <v>1</v>
      </c>
      <c r="B42" s="8">
        <v>7</v>
      </c>
      <c r="C42" s="8" t="s">
        <v>46</v>
      </c>
      <c r="D42" s="8" t="s">
        <v>47</v>
      </c>
      <c r="E42" s="12" t="s">
        <v>76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111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T42" s="18" t="s">
        <v>114</v>
      </c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</row>
    <row r="43" ht="15" spans="1:60 16333:16345">
      <c r="A43" s="36" t="s">
        <v>112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113</v>
      </c>
      <c r="P43" s="36"/>
      <c r="Q43" s="36"/>
      <c r="R43" s="36"/>
      <c r="T43" s="19" t="s">
        <v>127</v>
      </c>
      <c r="U43" s="19" t="s">
        <v>128</v>
      </c>
      <c r="V43" s="20" t="s">
        <v>129</v>
      </c>
      <c r="W43" s="19" t="s">
        <v>130</v>
      </c>
      <c r="X43" s="19" t="s">
        <v>131</v>
      </c>
      <c r="Y43" s="19" t="s">
        <v>132</v>
      </c>
      <c r="Z43" s="19" t="s">
        <v>133</v>
      </c>
      <c r="AA43" s="19" t="s">
        <v>134</v>
      </c>
      <c r="AB43" s="19" t="s">
        <v>135</v>
      </c>
      <c r="AC43" s="19" t="s">
        <v>136</v>
      </c>
      <c r="AD43" s="19" t="s">
        <v>137</v>
      </c>
      <c r="AE43" s="19" t="s">
        <v>138</v>
      </c>
      <c r="AF43" s="19" t="s">
        <v>139</v>
      </c>
      <c r="AG43" s="19" t="s">
        <v>140</v>
      </c>
      <c r="AH43" s="19" t="s">
        <v>141</v>
      </c>
      <c r="AI43" s="19" t="s">
        <v>142</v>
      </c>
      <c r="AJ43" s="19" t="s">
        <v>143</v>
      </c>
      <c r="AK43" s="21" t="s">
        <v>144</v>
      </c>
      <c r="AL43" s="21" t="s">
        <v>145</v>
      </c>
      <c r="AM43" s="21" t="s">
        <v>146</v>
      </c>
      <c r="AN43" s="21" t="s">
        <v>147</v>
      </c>
      <c r="AO43" s="21" t="s">
        <v>148</v>
      </c>
      <c r="AP43" s="21" t="s">
        <v>149</v>
      </c>
      <c r="AQ43" s="21" t="s">
        <v>150</v>
      </c>
      <c r="AR43" s="21" t="s">
        <v>151</v>
      </c>
      <c r="AS43" s="22" t="s">
        <v>152</v>
      </c>
      <c r="AT43" s="19" t="s">
        <v>153</v>
      </c>
      <c r="AU43" s="19" t="s">
        <v>154</v>
      </c>
    </row>
    <row r="44" ht="15" spans="1:60 16333:16345">
      <c r="A44" s="18" t="s">
        <v>114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T44" s="8" t="s">
        <v>56</v>
      </c>
      <c r="U44" s="23" t="str">
        <f>F3</f>
        <v>GWL-FIFO-LOT-BATCH-10001(FG)</v>
      </c>
      <c r="V44" s="23" t="str">
        <f>U44</f>
        <v>GWL-FIFO-LOT-BATCH-10001(FG)</v>
      </c>
      <c r="W44" s="23" t="s">
        <v>14</v>
      </c>
      <c r="X44" s="23" t="s">
        <v>14</v>
      </c>
      <c r="Y44" s="24">
        <f>H3</f>
        <v>3</v>
      </c>
      <c r="Z44" s="24">
        <f>K19</f>
        <v>1</v>
      </c>
      <c r="AA44" s="24"/>
      <c r="AB44" s="25">
        <v>1</v>
      </c>
      <c r="AC44" s="25">
        <v>25</v>
      </c>
      <c r="AD44" s="25">
        <v>1</v>
      </c>
      <c r="AE44" s="24">
        <f>ROUND(Y44*AD44/AB44,3)</f>
        <v>3</v>
      </c>
      <c r="AF44" s="26">
        <f>AE44*(AC44/Y44)</f>
        <v>25</v>
      </c>
      <c r="AG44" s="25">
        <f>AE44*AF44</f>
        <v>75</v>
      </c>
      <c r="AH44" s="25"/>
      <c r="AI44" s="27"/>
      <c r="AJ44" s="27"/>
      <c r="AK44" s="28">
        <v>18</v>
      </c>
      <c r="AL44" s="25">
        <f>IF(OR(V32=1,V32=4),ROUND(((((AF44*AE44)*AK44)/100)/2),2),0)</f>
        <v>6.75</v>
      </c>
      <c r="AM44" s="25">
        <f>IF(V32=1,ROUND(((((AF44*AE44)*AK44)/100)/2),2),0)</f>
        <v>6.75</v>
      </c>
      <c r="AN44" s="25">
        <f>IF(V32=2,ROUND((((AE44*AF44)*AK44)/100),2),0)</f>
        <v>0</v>
      </c>
      <c r="AO44" s="25">
        <f>IF(V32=3,ROUND((((AE44*AF44)*AK44)/100),2),0)</f>
        <v>0</v>
      </c>
      <c r="AP44" s="25">
        <f>SUM(AL44:AN44)</f>
        <v>13.5</v>
      </c>
      <c r="AQ44" s="29">
        <v>0</v>
      </c>
      <c r="AR44" s="25">
        <f>AG44*AQ44</f>
        <v>0</v>
      </c>
      <c r="AS44" s="25">
        <f>AG44+AP44</f>
        <v>88.5</v>
      </c>
      <c r="AT44" s="30">
        <f>AU40</f>
        <v>110</v>
      </c>
      <c r="AU44" s="30">
        <v>111</v>
      </c>
    </row>
    <row r="45" ht="15" spans="1:60 16333:16345">
      <c r="A45" s="5" t="s">
        <v>94</v>
      </c>
      <c r="B45" s="4" t="s">
        <v>95</v>
      </c>
      <c r="C45" s="4" t="s">
        <v>96</v>
      </c>
      <c r="D45" s="4" t="s">
        <v>97</v>
      </c>
      <c r="E45" s="4" t="s">
        <v>98</v>
      </c>
      <c r="F45" s="4" t="s">
        <v>60</v>
      </c>
      <c r="G45" s="4" t="s">
        <v>99</v>
      </c>
      <c r="H45" s="4" t="s">
        <v>100</v>
      </c>
      <c r="I45" s="4" t="s">
        <v>101</v>
      </c>
      <c r="J45" s="4" t="s">
        <v>102</v>
      </c>
      <c r="K45" s="4" t="s">
        <v>103</v>
      </c>
      <c r="L45" s="4" t="s">
        <v>104</v>
      </c>
      <c r="M45" s="4" t="s">
        <v>105</v>
      </c>
      <c r="N45" s="5" t="s">
        <v>106</v>
      </c>
      <c r="O45" s="5" t="s">
        <v>107</v>
      </c>
      <c r="P45" s="5" t="s">
        <v>108</v>
      </c>
      <c r="Q45" s="5" t="s">
        <v>109</v>
      </c>
      <c r="R45" s="5" t="s">
        <v>110</v>
      </c>
      <c r="T45" s="31" t="s">
        <v>156</v>
      </c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2">
        <f t="shared" ref="AG45:AN45" si="9">SUM(AG44:AG44)</f>
        <v>75</v>
      </c>
      <c r="AH45" s="32">
        <f t="shared" si="9"/>
        <v>0</v>
      </c>
      <c r="AI45" s="32"/>
      <c r="AJ45" s="32"/>
      <c r="AK45" s="32"/>
      <c r="AL45" s="33">
        <f t="shared" si="9"/>
        <v>6.75</v>
      </c>
      <c r="AM45" s="33">
        <f t="shared" si="9"/>
        <v>6.75</v>
      </c>
      <c r="AN45" s="33">
        <f t="shared" si="9"/>
        <v>0</v>
      </c>
      <c r="AO45" s="34">
        <f>AO44</f>
        <v>0</v>
      </c>
      <c r="AP45" s="32">
        <f>SUM(AP44:AP44)</f>
        <v>13.5</v>
      </c>
      <c r="AQ45" s="32"/>
      <c r="AR45" s="32"/>
      <c r="AS45" s="35">
        <f>SUM(AS44:AS44)</f>
        <v>88.5</v>
      </c>
      <c r="AT45" s="32"/>
      <c r="AU45" s="32"/>
    </row>
    <row r="46" spans="1:60 16333:16345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10">L46*K46</f>
        <v>60</v>
      </c>
      <c r="N46" s="8" t="str">
        <f t="shared" ref="N46:N52" si="11">I18</f>
        <v>3</v>
      </c>
      <c r="O46" s="8" t="s">
        <v>115</v>
      </c>
      <c r="P46" s="8">
        <f t="shared" ref="P46:P52" si="12">O46-I46</f>
        <v>998773</v>
      </c>
      <c r="Q46" s="8">
        <f t="shared" ref="Q46:Q52" si="13">-I46</f>
        <v>-3</v>
      </c>
      <c r="R46" s="8">
        <f t="shared" ref="R46:R52" si="14">I46</f>
        <v>3</v>
      </c>
    </row>
    <row r="47" spans="1:60 16333:16345">
      <c r="A47" s="8">
        <v>2</v>
      </c>
      <c r="B47" s="8">
        <v>2</v>
      </c>
      <c r="C47" s="8" t="s">
        <v>54</v>
      </c>
      <c r="D47" s="8" t="s">
        <v>55</v>
      </c>
      <c r="E47" s="12" t="s">
        <v>79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10"/>
        <v>60</v>
      </c>
      <c r="N47" s="8" t="str">
        <f t="shared" si="11"/>
        <v>3</v>
      </c>
      <c r="O47" s="8" t="s">
        <v>115</v>
      </c>
      <c r="P47" s="8">
        <f t="shared" si="12"/>
        <v>998773</v>
      </c>
      <c r="Q47" s="8">
        <f t="shared" si="13"/>
        <v>-3</v>
      </c>
      <c r="R47" s="8">
        <f t="shared" si="14"/>
        <v>3</v>
      </c>
    </row>
    <row r="48" spans="1:60 16333:16345">
      <c r="A48" s="8">
        <v>2</v>
      </c>
      <c r="B48" s="8">
        <v>3</v>
      </c>
      <c r="C48" s="8" t="s">
        <v>54</v>
      </c>
      <c r="D48" s="8" t="s">
        <v>55</v>
      </c>
      <c r="E48" s="12" t="s">
        <v>80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10"/>
        <v>60</v>
      </c>
      <c r="N48" s="8" t="str">
        <f t="shared" si="11"/>
        <v>3</v>
      </c>
      <c r="O48" s="8" t="s">
        <v>115</v>
      </c>
      <c r="P48" s="8">
        <f t="shared" si="12"/>
        <v>998773</v>
      </c>
      <c r="Q48" s="8">
        <f t="shared" si="13"/>
        <v>-3</v>
      </c>
      <c r="R48" s="8">
        <f t="shared" si="14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81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10"/>
        <v>60</v>
      </c>
      <c r="N49" s="8" t="str">
        <f t="shared" si="11"/>
        <v>3</v>
      </c>
      <c r="O49" s="8" t="s">
        <v>115</v>
      </c>
      <c r="P49" s="8">
        <f t="shared" si="12"/>
        <v>998773</v>
      </c>
      <c r="Q49" s="8">
        <f t="shared" si="13"/>
        <v>-3</v>
      </c>
      <c r="R49" s="8">
        <f t="shared" si="14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82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10"/>
        <v>60</v>
      </c>
      <c r="N50" s="8" t="str">
        <f t="shared" si="11"/>
        <v>3</v>
      </c>
      <c r="O50" s="8" t="s">
        <v>115</v>
      </c>
      <c r="P50" s="8">
        <f t="shared" si="12"/>
        <v>998773</v>
      </c>
      <c r="Q50" s="8">
        <f t="shared" si="13"/>
        <v>-3</v>
      </c>
      <c r="R50" s="8">
        <f t="shared" si="14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83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10"/>
        <v>60</v>
      </c>
      <c r="N51" s="8" t="str">
        <f t="shared" si="11"/>
        <v>3</v>
      </c>
      <c r="O51" s="8" t="s">
        <v>115</v>
      </c>
      <c r="P51" s="8">
        <f t="shared" si="12"/>
        <v>998773</v>
      </c>
      <c r="Q51" s="8">
        <f t="shared" si="13"/>
        <v>-3</v>
      </c>
      <c r="R51" s="8">
        <f t="shared" si="14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84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10"/>
        <v>60</v>
      </c>
      <c r="N52" s="8" t="str">
        <f t="shared" si="11"/>
        <v>3</v>
      </c>
      <c r="O52" s="8" t="s">
        <v>115</v>
      </c>
      <c r="P52" s="8">
        <f t="shared" si="12"/>
        <v>998773</v>
      </c>
      <c r="Q52" s="8">
        <f t="shared" si="13"/>
        <v>-3</v>
      </c>
      <c r="R52" s="8">
        <f t="shared" si="14"/>
        <v>3</v>
      </c>
    </row>
    <row r="53" spans="1:18">
      <c r="A53" s="8" t="s">
        <v>116</v>
      </c>
      <c r="B53" s="8"/>
      <c r="C53" s="8" t="s">
        <v>46</v>
      </c>
      <c r="D53" s="8" t="s">
        <v>47</v>
      </c>
      <c r="E53" s="7" t="s">
        <v>18</v>
      </c>
      <c r="F53" s="8" t="s">
        <v>14</v>
      </c>
      <c r="G53" s="8" t="s">
        <v>52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10"/>
        <v>420</v>
      </c>
      <c r="N53" s="8"/>
      <c r="O53" s="8"/>
      <c r="P53" s="8"/>
      <c r="Q53" s="8"/>
      <c r="R53" s="8"/>
    </row>
    <row r="54" spans="1:18">
      <c r="A54" s="36" t="s">
        <v>112</v>
      </c>
      <c r="B54" s="36">
        <v>1</v>
      </c>
      <c r="C54" s="36" t="s">
        <v>54</v>
      </c>
      <c r="D54" s="36"/>
      <c r="E54" s="36"/>
      <c r="F54" s="37"/>
      <c r="G54" s="36"/>
      <c r="H54" s="37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O54" s="36" t="s">
        <v>113</v>
      </c>
      <c r="P54" s="36"/>
      <c r="Q54" s="36"/>
      <c r="R54" s="36"/>
    </row>
    <row r="55" spans="1:18">
      <c r="A55" s="18" t="s">
        <v>117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</row>
    <row r="56" spans="1:18">
      <c r="A56" s="5" t="s">
        <v>94</v>
      </c>
      <c r="B56" s="4" t="s">
        <v>95</v>
      </c>
      <c r="C56" s="4" t="s">
        <v>96</v>
      </c>
      <c r="D56" s="4" t="s">
        <v>97</v>
      </c>
      <c r="E56" s="4" t="s">
        <v>98</v>
      </c>
      <c r="F56" s="4" t="s">
        <v>60</v>
      </c>
      <c r="G56" s="4" t="s">
        <v>99</v>
      </c>
      <c r="H56" s="4" t="s">
        <v>100</v>
      </c>
      <c r="I56" s="4" t="s">
        <v>101</v>
      </c>
      <c r="J56" s="4" t="s">
        <v>102</v>
      </c>
      <c r="K56" s="4" t="s">
        <v>103</v>
      </c>
      <c r="L56" s="4" t="s">
        <v>104</v>
      </c>
      <c r="M56" s="4" t="s">
        <v>105</v>
      </c>
      <c r="N56" s="5" t="s">
        <v>106</v>
      </c>
      <c r="O56" s="5" t="s">
        <v>107</v>
      </c>
      <c r="P56" s="5" t="s">
        <v>108</v>
      </c>
      <c r="Q56" s="5" t="s">
        <v>109</v>
      </c>
      <c r="R56" s="5" t="s">
        <v>110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85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ref="M57:M64" si="15">L57*K57</f>
        <v>60</v>
      </c>
      <c r="N57" s="8" t="str">
        <f t="shared" ref="N57:N63" si="16">I25</f>
        <v>3</v>
      </c>
      <c r="O57" s="8" t="s">
        <v>118</v>
      </c>
      <c r="P57" s="8">
        <f t="shared" ref="P57:P63" si="17">O57-I57</f>
        <v>998770</v>
      </c>
      <c r="Q57" s="8">
        <f t="shared" ref="Q57:Q63" si="18">-I57</f>
        <v>-3</v>
      </c>
      <c r="R57" s="8">
        <f t="shared" ref="R57:R63" si="19"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86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5"/>
        <v>60</v>
      </c>
      <c r="N58" s="8" t="str">
        <f t="shared" si="16"/>
        <v>3</v>
      </c>
      <c r="O58" s="8" t="s">
        <v>118</v>
      </c>
      <c r="P58" s="8">
        <f t="shared" si="17"/>
        <v>998770</v>
      </c>
      <c r="Q58" s="8">
        <f t="shared" si="18"/>
        <v>-3</v>
      </c>
      <c r="R58" s="8">
        <f t="shared" si="19"/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87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5"/>
        <v>60</v>
      </c>
      <c r="N59" s="8" t="str">
        <f t="shared" si="16"/>
        <v>3</v>
      </c>
      <c r="O59" s="8" t="s">
        <v>118</v>
      </c>
      <c r="P59" s="8">
        <f t="shared" si="17"/>
        <v>998770</v>
      </c>
      <c r="Q59" s="8">
        <f t="shared" si="18"/>
        <v>-3</v>
      </c>
      <c r="R59" s="8">
        <f t="shared" si="19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88</v>
      </c>
      <c r="F60" s="8" t="s">
        <v>14</v>
      </c>
      <c r="G60" s="8" t="s">
        <v>68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5"/>
        <v>60</v>
      </c>
      <c r="N60" s="8" t="str">
        <f t="shared" si="16"/>
        <v>3</v>
      </c>
      <c r="O60" s="8" t="s">
        <v>118</v>
      </c>
      <c r="P60" s="8">
        <f t="shared" si="17"/>
        <v>998770</v>
      </c>
      <c r="Q60" s="8">
        <f t="shared" si="18"/>
        <v>-3</v>
      </c>
      <c r="R60" s="8">
        <f t="shared" si="19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89</v>
      </c>
      <c r="F61" s="8" t="s">
        <v>14</v>
      </c>
      <c r="G61" s="8" t="s">
        <v>68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5"/>
        <v>60</v>
      </c>
      <c r="N61" s="8" t="str">
        <f t="shared" si="16"/>
        <v>3</v>
      </c>
      <c r="O61" s="8" t="s">
        <v>118</v>
      </c>
      <c r="P61" s="8">
        <f t="shared" si="17"/>
        <v>998770</v>
      </c>
      <c r="Q61" s="8">
        <f t="shared" si="18"/>
        <v>-3</v>
      </c>
      <c r="R61" s="8">
        <f t="shared" si="19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90</v>
      </c>
      <c r="F62" s="8" t="s">
        <v>14</v>
      </c>
      <c r="G62" s="8" t="s">
        <v>68</v>
      </c>
      <c r="H62" s="12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5"/>
        <v>60</v>
      </c>
      <c r="N62" s="8" t="str">
        <f t="shared" si="16"/>
        <v>3</v>
      </c>
      <c r="O62" s="8" t="s">
        <v>118</v>
      </c>
      <c r="P62" s="8">
        <f t="shared" si="17"/>
        <v>998770</v>
      </c>
      <c r="Q62" s="8">
        <f t="shared" si="18"/>
        <v>-3</v>
      </c>
      <c r="R62" s="8">
        <f t="shared" si="19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91</v>
      </c>
      <c r="F63" s="8" t="s">
        <v>14</v>
      </c>
      <c r="G63" s="8" t="s">
        <v>68</v>
      </c>
      <c r="H63" s="12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5"/>
        <v>60</v>
      </c>
      <c r="N63" s="8" t="str">
        <f t="shared" si="16"/>
        <v>3</v>
      </c>
      <c r="O63" s="8" t="s">
        <v>118</v>
      </c>
      <c r="P63" s="8">
        <f t="shared" si="17"/>
        <v>998770</v>
      </c>
      <c r="Q63" s="8">
        <f t="shared" si="18"/>
        <v>-3</v>
      </c>
      <c r="R63" s="8">
        <f t="shared" si="19"/>
        <v>3</v>
      </c>
    </row>
    <row r="64" spans="1:18">
      <c r="A64" s="8" t="s">
        <v>116</v>
      </c>
      <c r="B64" s="8"/>
      <c r="C64" s="8" t="s">
        <v>54</v>
      </c>
      <c r="D64" s="8" t="s">
        <v>55</v>
      </c>
      <c r="E64" s="7" t="s">
        <v>18</v>
      </c>
      <c r="F64" s="8" t="s">
        <v>14</v>
      </c>
      <c r="G64" s="8" t="s">
        <v>52</v>
      </c>
      <c r="H64" s="12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5"/>
        <v>840</v>
      </c>
      <c r="N64" s="8"/>
      <c r="O64" s="8"/>
      <c r="P64" s="8"/>
      <c r="Q64" s="8"/>
      <c r="R64" s="8"/>
    </row>
    <row r="65" spans="1:18">
      <c r="A65" s="36" t="s">
        <v>112</v>
      </c>
      <c r="B65" s="36">
        <v>1</v>
      </c>
      <c r="C65" s="36" t="s">
        <v>56</v>
      </c>
      <c r="D65" s="36"/>
      <c r="E65" s="36"/>
      <c r="F65" s="37"/>
      <c r="G65" s="36"/>
      <c r="H65" s="37" t="s">
        <v>52</v>
      </c>
      <c r="I65" s="37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O65" s="36" t="s">
        <v>113</v>
      </c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8" spans="1:18">
      <c r="K68" s="9" t="s">
        <v>104</v>
      </c>
      <c r="L68" s="9">
        <f>L69/H3</f>
        <v>420</v>
      </c>
    </row>
    <row r="69" spans="1:18">
      <c r="K69" s="9" t="s">
        <v>119</v>
      </c>
      <c r="L69" s="9">
        <f>M65+AG7</f>
        <v>1260</v>
      </c>
    </row>
  </sheetData>
  <mergeCells count="14">
    <mergeCell ref="A1:M1"/>
    <mergeCell ref="A4:L4"/>
    <mergeCell ref="A9:L9"/>
    <mergeCell ref="A33:R33"/>
    <mergeCell ref="T33:AU33"/>
    <mergeCell ref="A34:R34"/>
    <mergeCell ref="T34:AU34"/>
    <mergeCell ref="T37:AC37"/>
    <mergeCell ref="T38:AU38"/>
    <mergeCell ref="T41:AC41"/>
    <mergeCell ref="T42:AU42"/>
    <mergeCell ref="A44:R44"/>
    <mergeCell ref="T45:AC45"/>
    <mergeCell ref="A55:R5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workbookViewId="0">
      <selection activeCell="E15" sqref="E15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123</v>
      </c>
      <c r="F3" s="7" t="s">
        <v>18</v>
      </c>
      <c r="G3" s="54" t="s">
        <v>19</v>
      </c>
      <c r="H3" s="6">
        <v>3</v>
      </c>
      <c r="I3" t="s" s="1">
        <v>164</v>
      </c>
      <c r="J3" s="8">
        <f>I3+H3</f>
        <v>189</v>
      </c>
      <c r="K3" t="s" s="1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t="s" s="1">
        <v>199</v>
      </c>
      <c r="I11" t="s" s="1">
        <v>70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t="s" s="1">
        <v>199</v>
      </c>
      <c r="I12" t="s" s="1">
        <v>70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t="s" s="1">
        <v>199</v>
      </c>
      <c r="I13" t="s" s="1">
        <v>70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t="s" s="1">
        <v>199</v>
      </c>
      <c r="I14" t="s" s="1">
        <v>70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t="s" s="1">
        <v>199</v>
      </c>
      <c r="I15" t="s" s="1">
        <v>70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t="s" s="1">
        <v>199</v>
      </c>
      <c r="I16" t="s" s="1">
        <v>70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t="s" s="1">
        <v>199</v>
      </c>
      <c r="I17" t="s" s="1">
        <v>70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78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79</v>
      </c>
      <c r="F19" s="8" t="s">
        <v>14</v>
      </c>
      <c r="G19" s="8" t="s">
        <v>68</v>
      </c>
      <c r="H19" s="8">
        <f t="shared" si="1"/>
        <v>998776</v>
      </c>
      <c r="I19" s="8" t="s">
        <v>78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80</v>
      </c>
      <c r="F20" s="8" t="s">
        <v>14</v>
      </c>
      <c r="G20" s="8" t="s">
        <v>68</v>
      </c>
      <c r="H20" s="8">
        <f t="shared" si="1"/>
        <v>998776</v>
      </c>
      <c r="I20" s="8" t="s">
        <v>78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81</v>
      </c>
      <c r="F21" s="8" t="s">
        <v>14</v>
      </c>
      <c r="G21" s="8" t="s">
        <v>68</v>
      </c>
      <c r="H21" s="8">
        <f t="shared" si="1"/>
        <v>998776</v>
      </c>
      <c r="I21" s="8" t="s">
        <v>78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82</v>
      </c>
      <c r="F22" s="8" t="s">
        <v>14</v>
      </c>
      <c r="G22" s="8" t="s">
        <v>68</v>
      </c>
      <c r="H22" s="8">
        <f t="shared" si="1"/>
        <v>998776</v>
      </c>
      <c r="I22" s="8" t="s">
        <v>78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83</v>
      </c>
      <c r="F23" s="8" t="s">
        <v>14</v>
      </c>
      <c r="G23" s="8" t="s">
        <v>68</v>
      </c>
      <c r="H23" s="8">
        <f t="shared" si="1"/>
        <v>998776</v>
      </c>
      <c r="I23" s="8" t="s">
        <v>78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84</v>
      </c>
      <c r="F24" s="8" t="s">
        <v>14</v>
      </c>
      <c r="G24" s="8" t="s">
        <v>68</v>
      </c>
      <c r="H24" s="8">
        <f t="shared" si="1"/>
        <v>998776</v>
      </c>
      <c r="I24" s="8" t="s">
        <v>78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85</v>
      </c>
      <c r="F25" s="8" t="s">
        <v>14</v>
      </c>
      <c r="G25" s="8" t="s">
        <v>68</v>
      </c>
      <c r="H25" s="8">
        <f t="shared" si="1"/>
        <v>998773</v>
      </c>
      <c r="I25" s="8" t="s">
        <v>78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86</v>
      </c>
      <c r="F26" s="8" t="s">
        <v>14</v>
      </c>
      <c r="G26" s="8" t="s">
        <v>68</v>
      </c>
      <c r="H26" s="8">
        <f t="shared" si="1"/>
        <v>998773</v>
      </c>
      <c r="I26" s="8" t="s">
        <v>78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87</v>
      </c>
      <c r="F27" s="8" t="s">
        <v>14</v>
      </c>
      <c r="G27" s="8" t="s">
        <v>68</v>
      </c>
      <c r="H27" s="8">
        <f t="shared" si="1"/>
        <v>998773</v>
      </c>
      <c r="I27" s="8" t="s">
        <v>78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88</v>
      </c>
      <c r="F28" s="8" t="s">
        <v>14</v>
      </c>
      <c r="G28" s="8" t="s">
        <v>68</v>
      </c>
      <c r="H28" s="8">
        <f t="shared" si="1"/>
        <v>998773</v>
      </c>
      <c r="I28" s="8" t="s">
        <v>78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89</v>
      </c>
      <c r="F29" s="8" t="s">
        <v>14</v>
      </c>
      <c r="G29" s="8" t="s">
        <v>68</v>
      </c>
      <c r="H29" s="8">
        <f t="shared" si="1"/>
        <v>998773</v>
      </c>
      <c r="I29" s="8" t="s">
        <v>78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90</v>
      </c>
      <c r="F30" s="8" t="s">
        <v>14</v>
      </c>
      <c r="G30" s="8" t="s">
        <v>68</v>
      </c>
      <c r="H30" s="8">
        <f t="shared" si="1"/>
        <v>998773</v>
      </c>
      <c r="I30" s="8" t="s">
        <v>78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91</v>
      </c>
      <c r="F31" s="8" t="s">
        <v>14</v>
      </c>
      <c r="G31" s="8" t="s">
        <v>68</v>
      </c>
      <c r="H31" s="8">
        <f t="shared" si="1"/>
        <v>998773</v>
      </c>
      <c r="I31" s="8" t="s">
        <v>78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124</v>
      </c>
      <c r="V32" s="16">
        <v>1</v>
      </c>
    </row>
    <row r="33" ht="15" spans="1:60 16305:16356">
      <c r="A33" s="3" t="s">
        <v>125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126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05:16356">
      <c r="A34" s="18" t="s">
        <v>93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93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05:16356">
      <c r="A35" s="5" t="s">
        <v>94</v>
      </c>
      <c r="B35" s="5" t="s">
        <v>95</v>
      </c>
      <c r="C35" s="5" t="s">
        <v>96</v>
      </c>
      <c r="D35" s="5" t="s">
        <v>97</v>
      </c>
      <c r="E35" s="5" t="s">
        <v>98</v>
      </c>
      <c r="F35" s="5" t="s">
        <v>60</v>
      </c>
      <c r="G35" s="5" t="s">
        <v>99</v>
      </c>
      <c r="H35" s="5" t="s">
        <v>100</v>
      </c>
      <c r="I35" s="5" t="s">
        <v>101</v>
      </c>
      <c r="J35" s="5" t="s">
        <v>102</v>
      </c>
      <c r="K35" s="5" t="s">
        <v>103</v>
      </c>
      <c r="L35" s="5" t="s">
        <v>104</v>
      </c>
      <c r="M35" s="5" t="s">
        <v>105</v>
      </c>
      <c r="N35" s="5" t="s">
        <v>106</v>
      </c>
      <c r="O35" s="5" t="s">
        <v>107</v>
      </c>
      <c r="P35" s="5" t="s">
        <v>108</v>
      </c>
      <c r="Q35" s="5" t="s">
        <v>109</v>
      </c>
      <c r="R35" s="5" t="s">
        <v>110</v>
      </c>
      <c r="T35" s="19" t="s">
        <v>127</v>
      </c>
      <c r="U35" s="19" t="s">
        <v>128</v>
      </c>
      <c r="V35" s="20" t="s">
        <v>129</v>
      </c>
      <c r="W35" s="19" t="s">
        <v>130</v>
      </c>
      <c r="X35" s="19" t="s">
        <v>131</v>
      </c>
      <c r="Y35" s="19" t="s">
        <v>132</v>
      </c>
      <c r="Z35" s="19" t="s">
        <v>133</v>
      </c>
      <c r="AA35" s="19" t="s">
        <v>134</v>
      </c>
      <c r="AB35" s="19" t="s">
        <v>135</v>
      </c>
      <c r="AC35" s="19" t="s">
        <v>136</v>
      </c>
      <c r="AD35" s="19" t="s">
        <v>137</v>
      </c>
      <c r="AE35" s="19" t="s">
        <v>138</v>
      </c>
      <c r="AF35" s="19" t="s">
        <v>139</v>
      </c>
      <c r="AG35" s="19" t="s">
        <v>140</v>
      </c>
      <c r="AH35" s="19" t="s">
        <v>141</v>
      </c>
      <c r="AI35" s="19" t="s">
        <v>142</v>
      </c>
      <c r="AJ35" s="19" t="s">
        <v>143</v>
      </c>
      <c r="AK35" s="21" t="s">
        <v>144</v>
      </c>
      <c r="AL35" s="21" t="s">
        <v>145</v>
      </c>
      <c r="AM35" s="21" t="s">
        <v>146</v>
      </c>
      <c r="AN35" s="21" t="s">
        <v>147</v>
      </c>
      <c r="AO35" s="21" t="s">
        <v>148</v>
      </c>
      <c r="AP35" s="21" t="s">
        <v>149</v>
      </c>
      <c r="AQ35" s="21" t="s">
        <v>150</v>
      </c>
      <c r="AR35" s="21" t="s">
        <v>151</v>
      </c>
      <c r="AS35" s="22" t="s">
        <v>152</v>
      </c>
      <c r="AT35" s="19" t="s">
        <v>153</v>
      </c>
      <c r="AU35" s="19" t="s">
        <v>154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111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K11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155</v>
      </c>
      <c r="AU36" s="30">
        <v>100</v>
      </c>
      <c r="AV36" s="17"/>
      <c r="AW36" s="41"/>
      <c r="AX36" s="41"/>
      <c r="AY36" s="41"/>
      <c r="AZ36" s="41"/>
      <c r="BA36" s="41"/>
      <c r="BB36" s="17"/>
      <c r="BC36" s="17"/>
      <c r="BD36" s="17"/>
      <c r="BE36" s="17"/>
      <c r="BF36" s="17"/>
      <c r="BG36" s="17"/>
      <c r="BH36" s="17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</row>
    <row r="37" ht="1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111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156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 t="shared" ref="AP37:AS37" si="8">SUM(AP36:AP36)</f>
        <v>13.5</v>
      </c>
      <c r="AQ37" s="32">
        <f t="shared" si="8"/>
        <v>0</v>
      </c>
      <c r="AR37" s="32">
        <f t="shared" si="8"/>
        <v>0</v>
      </c>
      <c r="AS37" s="35">
        <f t="shared" si="8"/>
        <v>88.5</v>
      </c>
      <c r="AT37" s="32"/>
      <c r="AU37" s="3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111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T38" s="18" t="s">
        <v>157</v>
      </c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ht="15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73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111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T39" s="8" t="s">
        <v>54</v>
      </c>
      <c r="U39" s="23" t="str">
        <f>F3</f>
        <v>GWL-FIFO-LOT-BATCH-10001(FG)</v>
      </c>
      <c r="V39" s="23" t="str">
        <f>U39</f>
        <v>GWL-FIFO-LOT-BATCH-10001(FG)</v>
      </c>
      <c r="W39" s="23" t="s">
        <v>14</v>
      </c>
      <c r="X39" s="23" t="s">
        <v>14</v>
      </c>
      <c r="Y39" s="24">
        <f>H3</f>
        <v>3</v>
      </c>
      <c r="Z39" s="24">
        <f>K15</f>
        <v>1</v>
      </c>
      <c r="AA39" s="24"/>
      <c r="AB39" s="25">
        <v>1</v>
      </c>
      <c r="AC39" s="25">
        <v>25</v>
      </c>
      <c r="AD39" s="25">
        <v>1</v>
      </c>
      <c r="AE39" s="24">
        <f>ROUND(Y39*AD39/AB39,3)</f>
        <v>3</v>
      </c>
      <c r="AF39" s="26">
        <f>AE39*(AC39/Y39)</f>
        <v>25</v>
      </c>
      <c r="AG39" s="25">
        <f>AE39*AF39</f>
        <v>75</v>
      </c>
      <c r="AH39" s="25"/>
      <c r="AI39" s="27"/>
      <c r="AJ39" s="27"/>
      <c r="AK39" s="28">
        <v>18</v>
      </c>
      <c r="AL39" s="25">
        <f>IF(OR(V32=1,V32=4),ROUND(((((AF39*AE39)*AK39)/100)/2),2),0)</f>
        <v>6.75</v>
      </c>
      <c r="AM39" s="25">
        <f>IF(V32=1,ROUND(((((AF39*AE39)*AK39)/100)/2),2),0)</f>
        <v>6.75</v>
      </c>
      <c r="AN39" s="25">
        <f>IF(V32=2,ROUND((((AE39*AF39)*AK39)/100),2),0)</f>
        <v>0</v>
      </c>
      <c r="AO39" s="25">
        <f>IF(V32=3,ROUND((((AE39*AF39)*AK39)/100),2),0)</f>
        <v>0</v>
      </c>
      <c r="AP39" s="25">
        <f>SUM(AL39:AN39)</f>
        <v>13.5</v>
      </c>
      <c r="AQ39" s="29">
        <v>0</v>
      </c>
      <c r="AR39" s="25">
        <f>AG39*AQ39</f>
        <v>0</v>
      </c>
      <c r="AS39" s="25">
        <f>AG39+AP39</f>
        <v>88.5</v>
      </c>
      <c r="AT39" s="30">
        <f>AU36</f>
        <v>100</v>
      </c>
      <c r="AU39" s="30">
        <v>110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ht="15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74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111</v>
      </c>
      <c r="P40" s="8">
        <f t="shared" si="4"/>
        <v>998776</v>
      </c>
      <c r="Q40" s="8">
        <f t="shared" si="5"/>
        <v>-3</v>
      </c>
      <c r="R40" s="8">
        <f t="shared" si="6"/>
        <v>3</v>
      </c>
      <c r="T40" s="8" t="s">
        <v>56</v>
      </c>
      <c r="U40" s="23" t="str">
        <f>F3</f>
        <v>GWL-FIFO-LOT-BATCH-10001(FG)</v>
      </c>
      <c r="V40" s="23" t="str">
        <f>U40</f>
        <v>GWL-FIFO-LOT-BATCH-10001(FG)</v>
      </c>
      <c r="W40" s="23" t="s">
        <v>14</v>
      </c>
      <c r="X40" s="23" t="s">
        <v>14</v>
      </c>
      <c r="Y40" s="24">
        <f>H3</f>
        <v>3</v>
      </c>
      <c r="Z40" s="24">
        <f>K19</f>
        <v>1</v>
      </c>
      <c r="AA40" s="24"/>
      <c r="AB40" s="25">
        <v>1</v>
      </c>
      <c r="AC40" s="25">
        <v>25</v>
      </c>
      <c r="AD40" s="25">
        <v>1</v>
      </c>
      <c r="AE40" s="24">
        <f>ROUND(Y40*AD40/AB40,3)</f>
        <v>3</v>
      </c>
      <c r="AF40" s="26">
        <f>AE40*(AC40/Y40)</f>
        <v>25</v>
      </c>
      <c r="AG40" s="25">
        <f>AE40*AF40</f>
        <v>75</v>
      </c>
      <c r="AH40" s="25"/>
      <c r="AI40" s="27"/>
      <c r="AJ40" s="27"/>
      <c r="AK40" s="28">
        <v>18</v>
      </c>
      <c r="AL40" s="25">
        <f>IF(OR(V32=1,V32=4),ROUND(((((AF40*AE40)*AK40)/100)/2),2),0)</f>
        <v>6.75</v>
      </c>
      <c r="AM40" s="25">
        <f>IF(V32=1,ROUND(((((AF40*AE40)*AK40)/100)/2),2),0)</f>
        <v>6.75</v>
      </c>
      <c r="AN40" s="25">
        <f>IF(V32=2,ROUND((((AE40*AF40)*AK40)/100),2),0)</f>
        <v>0</v>
      </c>
      <c r="AO40" s="25">
        <f>IF(V32=3,ROUND((((AE40*AF40)*AK40)/100),2),0)</f>
        <v>0</v>
      </c>
      <c r="AP40" s="25">
        <f>SUM(AL40:AN40)</f>
        <v>13.5</v>
      </c>
      <c r="AQ40" s="29">
        <v>0</v>
      </c>
      <c r="AR40" s="25">
        <f>AG40*AQ40</f>
        <v>0</v>
      </c>
      <c r="AS40" s="25">
        <f>AG40+AP40</f>
        <v>88.5</v>
      </c>
      <c r="AT40" s="30">
        <f>AU39</f>
        <v>110</v>
      </c>
      <c r="AU40" s="30">
        <v>111</v>
      </c>
    </row>
    <row r="41" ht="15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75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111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T41" s="31" t="s">
        <v>156</v>
      </c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2">
        <f>SUM(AG40:AG40)</f>
        <v>75</v>
      </c>
      <c r="AH41" s="32">
        <f>SUM(AH40:AH40)</f>
        <v>0</v>
      </c>
      <c r="AI41" s="32"/>
      <c r="AJ41" s="32"/>
      <c r="AK41" s="32"/>
      <c r="AL41" s="33">
        <f t="shared" ref="AL41:AS41" si="9">SUM(AL39:AL40)</f>
        <v>13.5</v>
      </c>
      <c r="AM41" s="33">
        <f t="shared" si="9"/>
        <v>13.5</v>
      </c>
      <c r="AN41" s="33">
        <f t="shared" si="9"/>
        <v>0</v>
      </c>
      <c r="AO41" s="33">
        <f t="shared" si="9"/>
        <v>0</v>
      </c>
      <c r="AP41" s="33">
        <f t="shared" si="9"/>
        <v>27</v>
      </c>
      <c r="AQ41" s="33">
        <f t="shared" si="9"/>
        <v>0</v>
      </c>
      <c r="AR41" s="33">
        <f t="shared" si="9"/>
        <v>0</v>
      </c>
      <c r="AS41" s="35">
        <f t="shared" si="9"/>
        <v>177</v>
      </c>
      <c r="AT41" s="32"/>
      <c r="AU41" s="32"/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76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111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305:16356">
      <c r="A43" s="36" t="s">
        <v>112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113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305:16356">
      <c r="A44" s="18" t="s">
        <v>157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305:16356">
      <c r="A45" s="5" t="s">
        <v>94</v>
      </c>
      <c r="B45" s="4" t="s">
        <v>95</v>
      </c>
      <c r="C45" s="4" t="s">
        <v>96</v>
      </c>
      <c r="D45" s="4" t="s">
        <v>97</v>
      </c>
      <c r="E45" s="4" t="s">
        <v>98</v>
      </c>
      <c r="F45" s="4" t="s">
        <v>60</v>
      </c>
      <c r="G45" s="4" t="s">
        <v>99</v>
      </c>
      <c r="H45" s="4" t="s">
        <v>100</v>
      </c>
      <c r="I45" s="4" t="s">
        <v>101</v>
      </c>
      <c r="J45" s="4" t="s">
        <v>102</v>
      </c>
      <c r="K45" s="4" t="s">
        <v>103</v>
      </c>
      <c r="L45" s="4" t="s">
        <v>104</v>
      </c>
      <c r="M45" s="4" t="s">
        <v>105</v>
      </c>
      <c r="N45" s="5" t="s">
        <v>106</v>
      </c>
      <c r="O45" s="5" t="s">
        <v>107</v>
      </c>
      <c r="P45" s="5" t="s">
        <v>108</v>
      </c>
      <c r="Q45" s="5" t="s">
        <v>109</v>
      </c>
      <c r="R45" s="5" t="s">
        <v>110</v>
      </c>
    </row>
    <row r="46" spans="1:60 16305:16356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10">L46*K46</f>
        <v>60</v>
      </c>
      <c r="N46" s="8" t="str">
        <f t="shared" ref="N46:N52" si="11">I18</f>
        <v>3</v>
      </c>
      <c r="O46" s="8" t="s">
        <v>115</v>
      </c>
      <c r="P46" s="8">
        <f t="shared" ref="P46:P52" si="12">O46-I46</f>
        <v>998773</v>
      </c>
      <c r="Q46" s="8">
        <f t="shared" ref="Q46:Q52" si="13">-I46</f>
        <v>-3</v>
      </c>
      <c r="R46" s="8">
        <f t="shared" ref="R46:R52" si="14">I46</f>
        <v>3</v>
      </c>
    </row>
    <row r="47" spans="1:60 16305:16356">
      <c r="A47" s="8">
        <v>2</v>
      </c>
      <c r="B47" s="8">
        <v>2</v>
      </c>
      <c r="C47" s="8" t="s">
        <v>54</v>
      </c>
      <c r="D47" s="8" t="s">
        <v>55</v>
      </c>
      <c r="E47" s="12" t="s">
        <v>79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10"/>
        <v>60</v>
      </c>
      <c r="N47" s="8" t="str">
        <f t="shared" si="11"/>
        <v>3</v>
      </c>
      <c r="O47" s="8" t="s">
        <v>115</v>
      </c>
      <c r="P47" s="8">
        <f t="shared" si="12"/>
        <v>998773</v>
      </c>
      <c r="Q47" s="8">
        <f t="shared" si="13"/>
        <v>-3</v>
      </c>
      <c r="R47" s="8">
        <f t="shared" si="14"/>
        <v>3</v>
      </c>
    </row>
    <row r="48" spans="1:60 16305:16356">
      <c r="A48" s="8">
        <v>2</v>
      </c>
      <c r="B48" s="8">
        <v>3</v>
      </c>
      <c r="C48" s="8" t="s">
        <v>54</v>
      </c>
      <c r="D48" s="8" t="s">
        <v>55</v>
      </c>
      <c r="E48" s="12" t="s">
        <v>80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10"/>
        <v>60</v>
      </c>
      <c r="N48" s="8" t="str">
        <f t="shared" si="11"/>
        <v>3</v>
      </c>
      <c r="O48" s="8" t="s">
        <v>115</v>
      </c>
      <c r="P48" s="8">
        <f t="shared" si="12"/>
        <v>998773</v>
      </c>
      <c r="Q48" s="8">
        <f t="shared" si="13"/>
        <v>-3</v>
      </c>
      <c r="R48" s="8">
        <f t="shared" si="14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81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10"/>
        <v>60</v>
      </c>
      <c r="N49" s="8" t="str">
        <f t="shared" si="11"/>
        <v>3</v>
      </c>
      <c r="O49" s="8" t="s">
        <v>115</v>
      </c>
      <c r="P49" s="8">
        <f t="shared" si="12"/>
        <v>998773</v>
      </c>
      <c r="Q49" s="8">
        <f t="shared" si="13"/>
        <v>-3</v>
      </c>
      <c r="R49" s="8">
        <f t="shared" si="14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82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10"/>
        <v>60</v>
      </c>
      <c r="N50" s="8" t="str">
        <f t="shared" si="11"/>
        <v>3</v>
      </c>
      <c r="O50" s="8" t="s">
        <v>115</v>
      </c>
      <c r="P50" s="8">
        <f t="shared" si="12"/>
        <v>998773</v>
      </c>
      <c r="Q50" s="8">
        <f t="shared" si="13"/>
        <v>-3</v>
      </c>
      <c r="R50" s="8">
        <f t="shared" si="14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83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10"/>
        <v>60</v>
      </c>
      <c r="N51" s="8" t="str">
        <f t="shared" si="11"/>
        <v>3</v>
      </c>
      <c r="O51" s="8" t="s">
        <v>115</v>
      </c>
      <c r="P51" s="8">
        <f t="shared" si="12"/>
        <v>998773</v>
      </c>
      <c r="Q51" s="8">
        <f t="shared" si="13"/>
        <v>-3</v>
      </c>
      <c r="R51" s="8">
        <f t="shared" si="14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84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10"/>
        <v>60</v>
      </c>
      <c r="N52" s="8" t="str">
        <f t="shared" si="11"/>
        <v>3</v>
      </c>
      <c r="O52" s="8" t="s">
        <v>115</v>
      </c>
      <c r="P52" s="8">
        <f t="shared" si="12"/>
        <v>998773</v>
      </c>
      <c r="Q52" s="8">
        <f t="shared" si="13"/>
        <v>-3</v>
      </c>
      <c r="R52" s="8">
        <f t="shared" si="14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85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ref="M53:M61" si="15">L53*K53</f>
        <v>60</v>
      </c>
      <c r="N53" s="8" t="str">
        <f t="shared" ref="N53:N59" si="16">I25</f>
        <v>3</v>
      </c>
      <c r="O53" s="8" t="s">
        <v>118</v>
      </c>
      <c r="P53" s="8">
        <f t="shared" ref="P53:P59" si="17">O53-I53</f>
        <v>998770</v>
      </c>
      <c r="Q53" s="8">
        <f t="shared" ref="Q53:Q59" si="18">-I53</f>
        <v>-3</v>
      </c>
      <c r="R53" s="8">
        <f t="shared" ref="R53:R59" si="19">I53</f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86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15"/>
        <v>60</v>
      </c>
      <c r="N54" s="8" t="str">
        <f t="shared" si="16"/>
        <v>3</v>
      </c>
      <c r="O54" s="8" t="s">
        <v>118</v>
      </c>
      <c r="P54" s="8">
        <f t="shared" si="17"/>
        <v>998770</v>
      </c>
      <c r="Q54" s="8">
        <f t="shared" si="18"/>
        <v>-3</v>
      </c>
      <c r="R54" s="8">
        <f t="shared" si="19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87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15"/>
        <v>60</v>
      </c>
      <c r="N55" s="8" t="str">
        <f t="shared" si="16"/>
        <v>3</v>
      </c>
      <c r="O55" s="8" t="s">
        <v>118</v>
      </c>
      <c r="P55" s="8">
        <f t="shared" si="17"/>
        <v>998770</v>
      </c>
      <c r="Q55" s="8">
        <f t="shared" si="18"/>
        <v>-3</v>
      </c>
      <c r="R55" s="8">
        <f t="shared" si="19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88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15"/>
        <v>60</v>
      </c>
      <c r="N56" s="8" t="str">
        <f t="shared" si="16"/>
        <v>3</v>
      </c>
      <c r="O56" s="8" t="s">
        <v>118</v>
      </c>
      <c r="P56" s="8">
        <f t="shared" si="17"/>
        <v>998770</v>
      </c>
      <c r="Q56" s="8">
        <f t="shared" si="18"/>
        <v>-3</v>
      </c>
      <c r="R56" s="8">
        <f t="shared" si="19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89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15"/>
        <v>60</v>
      </c>
      <c r="N57" s="8" t="str">
        <f t="shared" si="16"/>
        <v>3</v>
      </c>
      <c r="O57" s="8" t="s">
        <v>118</v>
      </c>
      <c r="P57" s="8">
        <f t="shared" si="17"/>
        <v>998770</v>
      </c>
      <c r="Q57" s="8">
        <f t="shared" si="18"/>
        <v>-3</v>
      </c>
      <c r="R57" s="8">
        <f t="shared" si="19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90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5"/>
        <v>60</v>
      </c>
      <c r="N58" s="8" t="str">
        <f t="shared" si="16"/>
        <v>3</v>
      </c>
      <c r="O58" s="8" t="s">
        <v>118</v>
      </c>
      <c r="P58" s="8">
        <f t="shared" si="17"/>
        <v>998770</v>
      </c>
      <c r="Q58" s="8">
        <f t="shared" si="18"/>
        <v>-3</v>
      </c>
      <c r="R58" s="8">
        <f t="shared" si="19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91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5"/>
        <v>60</v>
      </c>
      <c r="N59" s="8" t="str">
        <f t="shared" si="16"/>
        <v>3</v>
      </c>
      <c r="O59" s="8" t="s">
        <v>118</v>
      </c>
      <c r="P59" s="8">
        <f t="shared" si="17"/>
        <v>998770</v>
      </c>
      <c r="Q59" s="8">
        <f t="shared" si="18"/>
        <v>-3</v>
      </c>
      <c r="R59" s="8">
        <f t="shared" si="19"/>
        <v>3</v>
      </c>
    </row>
    <row r="60" spans="1:18">
      <c r="A60" s="8" t="s">
        <v>116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15"/>
        <v>420</v>
      </c>
      <c r="N60" s="8"/>
      <c r="O60" s="8"/>
      <c r="P60" s="8"/>
      <c r="Q60" s="8"/>
      <c r="R60" s="8"/>
    </row>
    <row r="61" spans="1:18">
      <c r="A61" s="8" t="s">
        <v>116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15"/>
        <v>840</v>
      </c>
      <c r="N61" s="8"/>
      <c r="O61" s="8"/>
      <c r="P61" s="8"/>
      <c r="Q61" s="8"/>
      <c r="R61" s="8"/>
    </row>
    <row r="62" spans="1:18">
      <c r="A62" s="36" t="s">
        <v>112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113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104</v>
      </c>
      <c r="L65" s="9">
        <f>L66/H3</f>
        <v>700</v>
      </c>
    </row>
    <row r="66" spans="11:12">
      <c r="K66" s="9" t="s">
        <v>119</v>
      </c>
      <c r="L66" s="9">
        <f>M62+AG7</f>
        <v>2100</v>
      </c>
    </row>
  </sheetData>
  <mergeCells count="11">
    <mergeCell ref="A1:M1"/>
    <mergeCell ref="A4:L4"/>
    <mergeCell ref="A9:L9"/>
    <mergeCell ref="A33:R33"/>
    <mergeCell ref="T33:AU33"/>
    <mergeCell ref="A34:R34"/>
    <mergeCell ref="T34:AU34"/>
    <mergeCell ref="T37:AC37"/>
    <mergeCell ref="T38:AU38"/>
    <mergeCell ref="T41:AC41"/>
    <mergeCell ref="A44:R44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3"/>
  <sheetViews>
    <sheetView zoomScale="60" zoomScaleNormal="60" workbookViewId="0">
      <selection activeCell="E15" sqref="E15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123</v>
      </c>
      <c r="F3" s="7" t="s">
        <v>18</v>
      </c>
      <c r="G3" s="54" t="s">
        <v>19</v>
      </c>
      <c r="H3" s="6">
        <v>3</v>
      </c>
      <c r="I3" t="s" s="1">
        <v>164</v>
      </c>
      <c r="J3" s="8">
        <f>I3+H3</f>
        <v>189</v>
      </c>
      <c r="K3" t="s" s="1">
        <v>21</v>
      </c>
      <c r="L3" s="8">
        <f>(K3+L62)/2</f>
        <v>570</v>
      </c>
      <c r="M3" s="9">
        <f>L62</f>
        <v>720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t="s" s="1">
        <v>199</v>
      </c>
      <c r="I11" t="s" s="1">
        <v>70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t="s" s="1">
        <v>199</v>
      </c>
      <c r="I12" t="s" s="1">
        <v>70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t="s" s="1">
        <v>199</v>
      </c>
      <c r="I13" t="s" s="1">
        <v>70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t="s" s="1">
        <v>199</v>
      </c>
      <c r="I14" t="s" s="1">
        <v>70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t="s" s="1">
        <v>199</v>
      </c>
      <c r="I15" t="s" s="1">
        <v>70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t="s" s="1">
        <v>199</v>
      </c>
      <c r="I16" t="s" s="1">
        <v>70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t="s" s="1">
        <v>199</v>
      </c>
      <c r="I17" t="s" s="1">
        <v>70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78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79</v>
      </c>
      <c r="F19" s="8" t="s">
        <v>14</v>
      </c>
      <c r="G19" s="8" t="s">
        <v>68</v>
      </c>
      <c r="H19" s="8">
        <f t="shared" si="1"/>
        <v>998776</v>
      </c>
      <c r="I19" s="8" t="s">
        <v>78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80</v>
      </c>
      <c r="F20" s="8" t="s">
        <v>14</v>
      </c>
      <c r="G20" s="8" t="s">
        <v>68</v>
      </c>
      <c r="H20" s="8">
        <f t="shared" si="1"/>
        <v>998776</v>
      </c>
      <c r="I20" s="8" t="s">
        <v>78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81</v>
      </c>
      <c r="F21" s="8" t="s">
        <v>14</v>
      </c>
      <c r="G21" s="8" t="s">
        <v>68</v>
      </c>
      <c r="H21" s="8">
        <f t="shared" si="1"/>
        <v>998776</v>
      </c>
      <c r="I21" s="8" t="s">
        <v>78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82</v>
      </c>
      <c r="F22" s="8" t="s">
        <v>14</v>
      </c>
      <c r="G22" s="8" t="s">
        <v>68</v>
      </c>
      <c r="H22" s="8">
        <f t="shared" si="1"/>
        <v>998776</v>
      </c>
      <c r="I22" s="8" t="s">
        <v>78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83</v>
      </c>
      <c r="F23" s="8" t="s">
        <v>14</v>
      </c>
      <c r="G23" s="8" t="s">
        <v>68</v>
      </c>
      <c r="H23" s="8">
        <f t="shared" si="1"/>
        <v>998776</v>
      </c>
      <c r="I23" s="8" t="s">
        <v>78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84</v>
      </c>
      <c r="F24" s="8" t="s">
        <v>14</v>
      </c>
      <c r="G24" s="8" t="s">
        <v>68</v>
      </c>
      <c r="H24" s="8">
        <f t="shared" si="1"/>
        <v>998776</v>
      </c>
      <c r="I24" s="8" t="s">
        <v>78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85</v>
      </c>
      <c r="F25" s="8" t="s">
        <v>14</v>
      </c>
      <c r="G25" s="8" t="s">
        <v>68</v>
      </c>
      <c r="H25" s="8">
        <f t="shared" si="1"/>
        <v>998773</v>
      </c>
      <c r="I25" s="8" t="s">
        <v>78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86</v>
      </c>
      <c r="F26" s="8" t="s">
        <v>14</v>
      </c>
      <c r="G26" s="8" t="s">
        <v>68</v>
      </c>
      <c r="H26" s="8">
        <f t="shared" si="1"/>
        <v>998773</v>
      </c>
      <c r="I26" s="8" t="s">
        <v>78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87</v>
      </c>
      <c r="F27" s="8" t="s">
        <v>14</v>
      </c>
      <c r="G27" s="8" t="s">
        <v>68</v>
      </c>
      <c r="H27" s="8">
        <f t="shared" si="1"/>
        <v>998773</v>
      </c>
      <c r="I27" s="8" t="s">
        <v>78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88</v>
      </c>
      <c r="F28" s="8" t="s">
        <v>14</v>
      </c>
      <c r="G28" s="8" t="s">
        <v>68</v>
      </c>
      <c r="H28" s="8">
        <f t="shared" si="1"/>
        <v>998773</v>
      </c>
      <c r="I28" s="8" t="s">
        <v>78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89</v>
      </c>
      <c r="F29" s="8" t="s">
        <v>14</v>
      </c>
      <c r="G29" s="8" t="s">
        <v>68</v>
      </c>
      <c r="H29" s="8">
        <f t="shared" si="1"/>
        <v>998773</v>
      </c>
      <c r="I29" s="8" t="s">
        <v>78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90</v>
      </c>
      <c r="F30" s="8" t="s">
        <v>14</v>
      </c>
      <c r="G30" s="8" t="s">
        <v>68</v>
      </c>
      <c r="H30" s="8">
        <f t="shared" si="1"/>
        <v>998773</v>
      </c>
      <c r="I30" s="8" t="s">
        <v>78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91</v>
      </c>
      <c r="F31" s="8" t="s">
        <v>14</v>
      </c>
      <c r="G31" s="8" t="s">
        <v>68</v>
      </c>
      <c r="H31" s="8">
        <f t="shared" si="1"/>
        <v>998773</v>
      </c>
      <c r="I31" s="8" t="s">
        <v>78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124</v>
      </c>
      <c r="V32" s="16">
        <v>1</v>
      </c>
    </row>
    <row r="33" ht="15" spans="1:60 16305:16356">
      <c r="A33" s="3" t="s">
        <v>125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126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05:16356">
      <c r="A34" s="18" t="s">
        <v>93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122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05:16356">
      <c r="A35" s="5" t="s">
        <v>94</v>
      </c>
      <c r="B35" s="5" t="s">
        <v>95</v>
      </c>
      <c r="C35" s="5" t="s">
        <v>96</v>
      </c>
      <c r="D35" s="5" t="s">
        <v>97</v>
      </c>
      <c r="E35" s="5" t="s">
        <v>98</v>
      </c>
      <c r="F35" s="5" t="s">
        <v>60</v>
      </c>
      <c r="G35" s="5" t="s">
        <v>99</v>
      </c>
      <c r="H35" s="5" t="s">
        <v>100</v>
      </c>
      <c r="I35" s="5" t="s">
        <v>101</v>
      </c>
      <c r="J35" s="5" t="s">
        <v>102</v>
      </c>
      <c r="K35" s="5" t="s">
        <v>103</v>
      </c>
      <c r="L35" s="5" t="s">
        <v>104</v>
      </c>
      <c r="M35" s="5" t="s">
        <v>105</v>
      </c>
      <c r="N35" s="5" t="s">
        <v>106</v>
      </c>
      <c r="O35" s="5" t="s">
        <v>107</v>
      </c>
      <c r="P35" s="5" t="s">
        <v>108</v>
      </c>
      <c r="Q35" s="5" t="s">
        <v>109</v>
      </c>
      <c r="R35" s="5" t="s">
        <v>110</v>
      </c>
      <c r="T35" s="19" t="s">
        <v>127</v>
      </c>
      <c r="U35" s="19" t="s">
        <v>128</v>
      </c>
      <c r="V35" s="20" t="s">
        <v>129</v>
      </c>
      <c r="W35" s="19" t="s">
        <v>130</v>
      </c>
      <c r="X35" s="19" t="s">
        <v>131</v>
      </c>
      <c r="Y35" s="19" t="s">
        <v>132</v>
      </c>
      <c r="Z35" s="19" t="s">
        <v>133</v>
      </c>
      <c r="AA35" s="19" t="s">
        <v>134</v>
      </c>
      <c r="AB35" s="19" t="s">
        <v>135</v>
      </c>
      <c r="AC35" s="19" t="s">
        <v>136</v>
      </c>
      <c r="AD35" s="19" t="s">
        <v>137</v>
      </c>
      <c r="AE35" s="19" t="s">
        <v>138</v>
      </c>
      <c r="AF35" s="19" t="s">
        <v>139</v>
      </c>
      <c r="AG35" s="19" t="s">
        <v>140</v>
      </c>
      <c r="AH35" s="19" t="s">
        <v>141</v>
      </c>
      <c r="AI35" s="19" t="s">
        <v>142</v>
      </c>
      <c r="AJ35" s="19" t="s">
        <v>143</v>
      </c>
      <c r="AK35" s="21" t="s">
        <v>144</v>
      </c>
      <c r="AL35" s="21" t="s">
        <v>145</v>
      </c>
      <c r="AM35" s="21" t="s">
        <v>146</v>
      </c>
      <c r="AN35" s="21" t="s">
        <v>147</v>
      </c>
      <c r="AO35" s="21" t="s">
        <v>148</v>
      </c>
      <c r="AP35" s="21" t="s">
        <v>149</v>
      </c>
      <c r="AQ35" s="21" t="s">
        <v>150</v>
      </c>
      <c r="AR35" s="21" t="s">
        <v>151</v>
      </c>
      <c r="AS35" s="22" t="s">
        <v>152</v>
      </c>
      <c r="AT35" s="19" t="s">
        <v>153</v>
      </c>
      <c r="AU35" s="19" t="s">
        <v>154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111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 t="shared" ref="V36:V38" si="7"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 t="shared" ref="Z36:Z38" si="8">K11</f>
        <v>1</v>
      </c>
      <c r="AA36" s="24"/>
      <c r="AB36" s="25">
        <v>1</v>
      </c>
      <c r="AC36" s="25">
        <v>25</v>
      </c>
      <c r="AD36" s="25">
        <v>1</v>
      </c>
      <c r="AE36" s="24">
        <f t="shared" ref="AE36:AE38" si="9">ROUND(Y36*AD36/AB36,3)</f>
        <v>3</v>
      </c>
      <c r="AF36" s="26">
        <f t="shared" ref="AF36:AF38" si="10">AE36*(AC36/Y36)</f>
        <v>25</v>
      </c>
      <c r="AG36" s="25">
        <f t="shared" ref="AG36:AG38" si="11"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 t="shared" ref="AP36:AP38" si="12">SUM(AL36:AN36)</f>
        <v>13.5</v>
      </c>
      <c r="AQ36" s="29">
        <v>0</v>
      </c>
      <c r="AR36" s="25">
        <f t="shared" ref="AR36:AR38" si="13">AG36*AQ36</f>
        <v>0</v>
      </c>
      <c r="AS36" s="25">
        <f t="shared" ref="AS36:AS38" si="14">AG36+AP36</f>
        <v>88.5</v>
      </c>
      <c r="AT36" s="55" t="s">
        <v>155</v>
      </c>
      <c r="AU36" s="30">
        <v>100</v>
      </c>
      <c r="AV36" s="17"/>
      <c r="AW36" s="41"/>
      <c r="AX36" s="41"/>
      <c r="AY36" s="41"/>
      <c r="AZ36" s="41"/>
      <c r="BA36" s="41"/>
      <c r="BB36" s="17"/>
      <c r="BC36" s="17"/>
      <c r="BD36" s="17"/>
      <c r="BE36" s="17"/>
      <c r="BF36" s="17"/>
      <c r="BG36" s="17"/>
      <c r="BH36" s="17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</row>
    <row r="37" ht="1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111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8" t="s">
        <v>54</v>
      </c>
      <c r="U37" s="23" t="str">
        <f>F3</f>
        <v>GWL-FIFO-LOT-BATCH-10001(FG)</v>
      </c>
      <c r="V37" s="23" t="str">
        <f t="shared" si="7"/>
        <v>GWL-FIFO-LOT-BATCH-10001(FG)</v>
      </c>
      <c r="W37" s="23" t="s">
        <v>14</v>
      </c>
      <c r="X37" s="23" t="s">
        <v>14</v>
      </c>
      <c r="Y37" s="24">
        <f>H3</f>
        <v>3</v>
      </c>
      <c r="Z37" s="24">
        <f>K11</f>
        <v>1</v>
      </c>
      <c r="AA37" s="24"/>
      <c r="AB37" s="25">
        <v>1</v>
      </c>
      <c r="AC37" s="25">
        <v>25</v>
      </c>
      <c r="AD37" s="25">
        <v>1</v>
      </c>
      <c r="AE37" s="24">
        <f t="shared" si="9"/>
        <v>3</v>
      </c>
      <c r="AF37" s="26">
        <f t="shared" si="10"/>
        <v>25</v>
      </c>
      <c r="AG37" s="25">
        <f t="shared" si="11"/>
        <v>75</v>
      </c>
      <c r="AH37" s="25"/>
      <c r="AI37" s="27"/>
      <c r="AJ37" s="27"/>
      <c r="AK37" s="28">
        <v>18</v>
      </c>
      <c r="AL37" s="25">
        <f>IF(OR(V32=1,V32=4),ROUND(((((AF37*AE37)*AK37)/100)/2),2),0)</f>
        <v>6.75</v>
      </c>
      <c r="AM37" s="25">
        <f>IF(V32=1,ROUND(((((AF37*AE37)*AK37)/100)/2),2),0)</f>
        <v>6.75</v>
      </c>
      <c r="AN37" s="25">
        <f>IF(V32=2,ROUND((((AE37*AF37)*AK37)/100),2),0)</f>
        <v>0</v>
      </c>
      <c r="AO37" s="25">
        <f>IF(V32=3,ROUND((((AE37*AF37)*AK37)/100),2),0)</f>
        <v>0</v>
      </c>
      <c r="AP37" s="25">
        <f t="shared" si="12"/>
        <v>13.5</v>
      </c>
      <c r="AQ37" s="29">
        <v>0</v>
      </c>
      <c r="AR37" s="25">
        <f t="shared" si="13"/>
        <v>0</v>
      </c>
      <c r="AS37" s="25">
        <f t="shared" si="14"/>
        <v>88.5</v>
      </c>
      <c r="AT37" s="30">
        <f>AU36</f>
        <v>100</v>
      </c>
      <c r="AU37" s="30">
        <v>110</v>
      </c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ht="15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111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T38" s="8" t="s">
        <v>56</v>
      </c>
      <c r="U38" s="23" t="str">
        <f>F3</f>
        <v>GWL-FIFO-LOT-BATCH-10001(FG)</v>
      </c>
      <c r="V38" s="23" t="str">
        <f t="shared" si="7"/>
        <v>GWL-FIFO-LOT-BATCH-10001(FG)</v>
      </c>
      <c r="W38" s="23" t="s">
        <v>14</v>
      </c>
      <c r="X38" s="23" t="s">
        <v>14</v>
      </c>
      <c r="Y38" s="24">
        <f>H3</f>
        <v>3</v>
      </c>
      <c r="Z38" s="24">
        <f>K11</f>
        <v>1</v>
      </c>
      <c r="AA38" s="24"/>
      <c r="AB38" s="25">
        <v>1</v>
      </c>
      <c r="AC38" s="25">
        <v>25</v>
      </c>
      <c r="AD38" s="25">
        <v>1</v>
      </c>
      <c r="AE38" s="24">
        <f t="shared" si="9"/>
        <v>3</v>
      </c>
      <c r="AF38" s="26">
        <f t="shared" si="10"/>
        <v>25</v>
      </c>
      <c r="AG38" s="25">
        <f t="shared" si="11"/>
        <v>75</v>
      </c>
      <c r="AH38" s="25"/>
      <c r="AI38" s="27"/>
      <c r="AJ38" s="27"/>
      <c r="AK38" s="28">
        <v>18</v>
      </c>
      <c r="AL38" s="25">
        <f>IF(OR(V32=1,V32=4),ROUND(((((AF38*AE38)*AK38)/100)/2),2),0)</f>
        <v>6.75</v>
      </c>
      <c r="AM38" s="25">
        <f>IF(V32=1,ROUND(((((AF38*AE38)*AK38)/100)/2),2),0)</f>
        <v>6.75</v>
      </c>
      <c r="AN38" s="25">
        <f>IF(V32=2,ROUND((((AE38*AF38)*AK38)/100),2),0)</f>
        <v>0</v>
      </c>
      <c r="AO38" s="25">
        <f>IF(V32=3,ROUND((((AE38*AF38)*AK38)/100),2),0)</f>
        <v>0</v>
      </c>
      <c r="AP38" s="25">
        <f t="shared" si="12"/>
        <v>13.5</v>
      </c>
      <c r="AQ38" s="29">
        <v>0</v>
      </c>
      <c r="AR38" s="25">
        <f t="shared" si="13"/>
        <v>0</v>
      </c>
      <c r="AS38" s="25">
        <f t="shared" si="14"/>
        <v>88.5</v>
      </c>
      <c r="AT38" s="30">
        <f>AU37</f>
        <v>110</v>
      </c>
      <c r="AU38" s="30">
        <v>111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ht="15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73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111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T39" s="31" t="s">
        <v>156</v>
      </c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2">
        <f>SUM(AE36:AE38)</f>
        <v>9</v>
      </c>
      <c r="AF39" s="31"/>
      <c r="AG39" s="32">
        <f>SUM(AG36:AG38)</f>
        <v>225</v>
      </c>
      <c r="AH39" s="32">
        <f>SUM(AH35:AH35)</f>
        <v>0</v>
      </c>
      <c r="AI39" s="32"/>
      <c r="AJ39" s="32"/>
      <c r="AK39" s="32"/>
      <c r="AL39" s="32">
        <f t="shared" ref="AL39:AS39" si="15">SUM(AL36:AL38)</f>
        <v>20.25</v>
      </c>
      <c r="AM39" s="32">
        <f t="shared" si="15"/>
        <v>20.25</v>
      </c>
      <c r="AN39" s="32">
        <f t="shared" si="15"/>
        <v>0</v>
      </c>
      <c r="AO39" s="32">
        <f t="shared" si="15"/>
        <v>0</v>
      </c>
      <c r="AP39" s="32">
        <f t="shared" si="15"/>
        <v>40.5</v>
      </c>
      <c r="AQ39" s="32">
        <f t="shared" si="15"/>
        <v>0</v>
      </c>
      <c r="AR39" s="32">
        <f t="shared" si="15"/>
        <v>0</v>
      </c>
      <c r="AS39" s="32">
        <f t="shared" si="15"/>
        <v>265.5</v>
      </c>
      <c r="AT39" s="32"/>
      <c r="AU39" s="32">
        <f>SUM(AU36:AU38)</f>
        <v>321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74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111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75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111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76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111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305:16356">
      <c r="A43" s="8">
        <v>2</v>
      </c>
      <c r="B43" s="8">
        <v>1</v>
      </c>
      <c r="C43" s="8" t="s">
        <v>54</v>
      </c>
      <c r="D43" s="8" t="s">
        <v>55</v>
      </c>
      <c r="E43" s="12" t="s">
        <v>77</v>
      </c>
      <c r="F43" s="8" t="s">
        <v>14</v>
      </c>
      <c r="G43" s="8" t="s">
        <v>68</v>
      </c>
      <c r="H43" s="12" t="s">
        <v>52</v>
      </c>
      <c r="I43" s="8">
        <f>H3</f>
        <v>3</v>
      </c>
      <c r="J43" s="8">
        <f>H3</f>
        <v>3</v>
      </c>
      <c r="K43" s="8">
        <f>H3</f>
        <v>3</v>
      </c>
      <c r="L43" s="8">
        <v>20</v>
      </c>
      <c r="M43" s="8">
        <f t="shared" ref="M43:M58" si="16">L43*K43</f>
        <v>60</v>
      </c>
      <c r="N43" s="8" t="str">
        <f t="shared" ref="N43:N56" si="17">I18</f>
        <v>3</v>
      </c>
      <c r="O43" s="8" t="s">
        <v>115</v>
      </c>
      <c r="P43" s="8">
        <f t="shared" ref="P43:P56" si="18">O43-I43</f>
        <v>998773</v>
      </c>
      <c r="Q43" s="8">
        <f t="shared" ref="Q43:Q56" si="19">-I43</f>
        <v>-3</v>
      </c>
      <c r="R43" s="8">
        <f t="shared" ref="R43:R56" si="20">I43</f>
        <v>3</v>
      </c>
    </row>
    <row r="44" spans="1:60 16305:16356">
      <c r="A44" s="8">
        <v>2</v>
      </c>
      <c r="B44" s="8">
        <v>2</v>
      </c>
      <c r="C44" s="8" t="s">
        <v>54</v>
      </c>
      <c r="D44" s="8" t="s">
        <v>55</v>
      </c>
      <c r="E44" s="12" t="s">
        <v>79</v>
      </c>
      <c r="F44" s="8" t="s">
        <v>14</v>
      </c>
      <c r="G44" s="8" t="s">
        <v>68</v>
      </c>
      <c r="H44" s="12" t="s">
        <v>52</v>
      </c>
      <c r="I44" s="8">
        <f>H3</f>
        <v>3</v>
      </c>
      <c r="J44" s="8">
        <f>H3</f>
        <v>3</v>
      </c>
      <c r="K44" s="8">
        <f>H3</f>
        <v>3</v>
      </c>
      <c r="L44" s="8">
        <v>20</v>
      </c>
      <c r="M44" s="8">
        <f t="shared" si="16"/>
        <v>60</v>
      </c>
      <c r="N44" s="8" t="str">
        <f t="shared" si="17"/>
        <v>3</v>
      </c>
      <c r="O44" s="8" t="s">
        <v>115</v>
      </c>
      <c r="P44" s="8">
        <f t="shared" si="18"/>
        <v>998773</v>
      </c>
      <c r="Q44" s="8">
        <f t="shared" si="19"/>
        <v>-3</v>
      </c>
      <c r="R44" s="8">
        <f t="shared" si="20"/>
        <v>3</v>
      </c>
    </row>
    <row r="45" spans="1:60 16305:16356">
      <c r="A45" s="8">
        <v>2</v>
      </c>
      <c r="B45" s="8">
        <v>3</v>
      </c>
      <c r="C45" s="8" t="s">
        <v>54</v>
      </c>
      <c r="D45" s="8" t="s">
        <v>55</v>
      </c>
      <c r="E45" s="12" t="s">
        <v>80</v>
      </c>
      <c r="F45" s="8" t="s">
        <v>14</v>
      </c>
      <c r="G45" s="8" t="s">
        <v>68</v>
      </c>
      <c r="H45" s="12" t="s">
        <v>52</v>
      </c>
      <c r="I45" s="8">
        <f>H3</f>
        <v>3</v>
      </c>
      <c r="J45" s="8">
        <f>H3</f>
        <v>3</v>
      </c>
      <c r="K45" s="8">
        <f>H3</f>
        <v>3</v>
      </c>
      <c r="L45" s="8">
        <v>20</v>
      </c>
      <c r="M45" s="8">
        <f t="shared" si="16"/>
        <v>60</v>
      </c>
      <c r="N45" s="8" t="str">
        <f t="shared" si="17"/>
        <v>3</v>
      </c>
      <c r="O45" s="8" t="s">
        <v>115</v>
      </c>
      <c r="P45" s="8">
        <f t="shared" si="18"/>
        <v>998773</v>
      </c>
      <c r="Q45" s="8">
        <f t="shared" si="19"/>
        <v>-3</v>
      </c>
      <c r="R45" s="8">
        <f t="shared" si="20"/>
        <v>3</v>
      </c>
    </row>
    <row r="46" spans="1:60 16305:16356">
      <c r="A46" s="8">
        <v>2</v>
      </c>
      <c r="B46" s="8">
        <v>4</v>
      </c>
      <c r="C46" s="8" t="s">
        <v>54</v>
      </c>
      <c r="D46" s="8" t="s">
        <v>55</v>
      </c>
      <c r="E46" s="12" t="s">
        <v>81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si="16"/>
        <v>60</v>
      </c>
      <c r="N46" s="8" t="str">
        <f t="shared" si="17"/>
        <v>3</v>
      </c>
      <c r="O46" s="8" t="s">
        <v>115</v>
      </c>
      <c r="P46" s="8">
        <f t="shared" si="18"/>
        <v>998773</v>
      </c>
      <c r="Q46" s="8">
        <f t="shared" si="19"/>
        <v>-3</v>
      </c>
      <c r="R46" s="8">
        <f t="shared" si="20"/>
        <v>3</v>
      </c>
    </row>
    <row r="47" spans="1:60 16305:16356">
      <c r="A47" s="8">
        <v>2</v>
      </c>
      <c r="B47" s="8">
        <v>5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16"/>
        <v>60</v>
      </c>
      <c r="N47" s="8" t="str">
        <f t="shared" si="17"/>
        <v>3</v>
      </c>
      <c r="O47" s="8" t="s">
        <v>115</v>
      </c>
      <c r="P47" s="8">
        <f t="shared" si="18"/>
        <v>998773</v>
      </c>
      <c r="Q47" s="8">
        <f t="shared" si="19"/>
        <v>-3</v>
      </c>
      <c r="R47" s="8">
        <f t="shared" si="20"/>
        <v>3</v>
      </c>
    </row>
    <row r="48" spans="1:60 16305:16356">
      <c r="A48" s="8">
        <v>2</v>
      </c>
      <c r="B48" s="8">
        <v>6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16"/>
        <v>60</v>
      </c>
      <c r="N48" s="8" t="str">
        <f t="shared" si="17"/>
        <v>3</v>
      </c>
      <c r="O48" s="8" t="s">
        <v>115</v>
      </c>
      <c r="P48" s="8">
        <f t="shared" si="18"/>
        <v>998773</v>
      </c>
      <c r="Q48" s="8">
        <f t="shared" si="19"/>
        <v>-3</v>
      </c>
      <c r="R48" s="8">
        <f t="shared" si="20"/>
        <v>3</v>
      </c>
    </row>
    <row r="49" spans="1:18">
      <c r="A49" s="8">
        <v>2</v>
      </c>
      <c r="B49" s="8">
        <v>7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16"/>
        <v>60</v>
      </c>
      <c r="N49" s="8" t="str">
        <f t="shared" si="17"/>
        <v>3</v>
      </c>
      <c r="O49" s="8" t="s">
        <v>115</v>
      </c>
      <c r="P49" s="8">
        <f t="shared" si="18"/>
        <v>998773</v>
      </c>
      <c r="Q49" s="8">
        <f t="shared" si="19"/>
        <v>-3</v>
      </c>
      <c r="R49" s="8">
        <f t="shared" si="20"/>
        <v>3</v>
      </c>
    </row>
    <row r="50" spans="1:18">
      <c r="A50" s="8">
        <v>3</v>
      </c>
      <c r="B50" s="8">
        <v>1</v>
      </c>
      <c r="C50" s="8" t="s">
        <v>56</v>
      </c>
      <c r="D50" s="8" t="s">
        <v>57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16"/>
        <v>60</v>
      </c>
      <c r="N50" s="8" t="str">
        <f t="shared" si="17"/>
        <v>3</v>
      </c>
      <c r="O50" s="8" t="s">
        <v>118</v>
      </c>
      <c r="P50" s="8">
        <f t="shared" si="18"/>
        <v>998770</v>
      </c>
      <c r="Q50" s="8">
        <f t="shared" si="19"/>
        <v>-3</v>
      </c>
      <c r="R50" s="8">
        <f t="shared" si="20"/>
        <v>3</v>
      </c>
    </row>
    <row r="51" spans="1:18">
      <c r="A51" s="8">
        <v>3</v>
      </c>
      <c r="B51" s="8">
        <v>2</v>
      </c>
      <c r="C51" s="8" t="s">
        <v>56</v>
      </c>
      <c r="D51" s="8" t="s">
        <v>57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16"/>
        <v>60</v>
      </c>
      <c r="N51" s="8" t="str">
        <f t="shared" si="17"/>
        <v>3</v>
      </c>
      <c r="O51" s="8" t="s">
        <v>118</v>
      </c>
      <c r="P51" s="8">
        <f t="shared" si="18"/>
        <v>998770</v>
      </c>
      <c r="Q51" s="8">
        <f t="shared" si="19"/>
        <v>-3</v>
      </c>
      <c r="R51" s="8">
        <f t="shared" si="20"/>
        <v>3</v>
      </c>
    </row>
    <row r="52" spans="1:18">
      <c r="A52" s="8">
        <v>3</v>
      </c>
      <c r="B52" s="8">
        <v>3</v>
      </c>
      <c r="C52" s="8" t="s">
        <v>56</v>
      </c>
      <c r="D52" s="8" t="s">
        <v>57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16"/>
        <v>60</v>
      </c>
      <c r="N52" s="8" t="str">
        <f t="shared" si="17"/>
        <v>3</v>
      </c>
      <c r="O52" s="8" t="s">
        <v>118</v>
      </c>
      <c r="P52" s="8">
        <f t="shared" si="18"/>
        <v>998770</v>
      </c>
      <c r="Q52" s="8">
        <f t="shared" si="19"/>
        <v>-3</v>
      </c>
      <c r="R52" s="8">
        <f t="shared" si="20"/>
        <v>3</v>
      </c>
    </row>
    <row r="53" spans="1:18">
      <c r="A53" s="8">
        <v>3</v>
      </c>
      <c r="B53" s="8">
        <v>4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16"/>
        <v>60</v>
      </c>
      <c r="N53" s="8" t="str">
        <f t="shared" si="17"/>
        <v>3</v>
      </c>
      <c r="O53" s="8" t="s">
        <v>118</v>
      </c>
      <c r="P53" s="8">
        <f t="shared" si="18"/>
        <v>998770</v>
      </c>
      <c r="Q53" s="8">
        <f t="shared" si="19"/>
        <v>-3</v>
      </c>
      <c r="R53" s="8">
        <f t="shared" si="20"/>
        <v>3</v>
      </c>
    </row>
    <row r="54" spans="1:18">
      <c r="A54" s="8">
        <v>3</v>
      </c>
      <c r="B54" s="8">
        <v>5</v>
      </c>
      <c r="C54" s="8" t="s">
        <v>56</v>
      </c>
      <c r="D54" s="8" t="s">
        <v>57</v>
      </c>
      <c r="E54" s="12" t="s">
        <v>89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16"/>
        <v>60</v>
      </c>
      <c r="N54" s="8" t="str">
        <f t="shared" si="17"/>
        <v>3</v>
      </c>
      <c r="O54" s="8" t="s">
        <v>118</v>
      </c>
      <c r="P54" s="8">
        <f t="shared" si="18"/>
        <v>998770</v>
      </c>
      <c r="Q54" s="8">
        <f t="shared" si="19"/>
        <v>-3</v>
      </c>
      <c r="R54" s="8">
        <f t="shared" si="20"/>
        <v>3</v>
      </c>
    </row>
    <row r="55" spans="1:18">
      <c r="A55" s="8">
        <v>3</v>
      </c>
      <c r="B55" s="8">
        <v>6</v>
      </c>
      <c r="C55" s="8" t="s">
        <v>56</v>
      </c>
      <c r="D55" s="8" t="s">
        <v>57</v>
      </c>
      <c r="E55" s="12" t="s">
        <v>90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16"/>
        <v>60</v>
      </c>
      <c r="N55" s="8" t="str">
        <f t="shared" si="17"/>
        <v>3</v>
      </c>
      <c r="O55" s="8" t="s">
        <v>118</v>
      </c>
      <c r="P55" s="8">
        <f t="shared" si="18"/>
        <v>998770</v>
      </c>
      <c r="Q55" s="8">
        <f t="shared" si="19"/>
        <v>-3</v>
      </c>
      <c r="R55" s="8">
        <f t="shared" si="20"/>
        <v>3</v>
      </c>
    </row>
    <row r="56" spans="1:18">
      <c r="A56" s="8">
        <v>3</v>
      </c>
      <c r="B56" s="8">
        <v>7</v>
      </c>
      <c r="C56" s="8" t="s">
        <v>56</v>
      </c>
      <c r="D56" s="8" t="s">
        <v>57</v>
      </c>
      <c r="E56" s="12" t="s">
        <v>91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16"/>
        <v>60</v>
      </c>
      <c r="N56" s="8" t="str">
        <f t="shared" si="17"/>
        <v>3</v>
      </c>
      <c r="O56" s="8" t="s">
        <v>118</v>
      </c>
      <c r="P56" s="8">
        <f t="shared" si="18"/>
        <v>998770</v>
      </c>
      <c r="Q56" s="8">
        <f t="shared" si="19"/>
        <v>-3</v>
      </c>
      <c r="R56" s="8">
        <f t="shared" si="20"/>
        <v>3</v>
      </c>
    </row>
    <row r="57" spans="1:18">
      <c r="A57" s="8" t="s">
        <v>116</v>
      </c>
      <c r="B57" s="8"/>
      <c r="C57" s="8" t="s">
        <v>46</v>
      </c>
      <c r="D57" s="8" t="s">
        <v>47</v>
      </c>
      <c r="E57" s="7" t="s">
        <v>18</v>
      </c>
      <c r="F57" s="8" t="s">
        <v>14</v>
      </c>
      <c r="G57" s="8" t="s">
        <v>52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16"/>
        <v>60</v>
      </c>
      <c r="N57" s="8"/>
      <c r="O57" s="8"/>
      <c r="P57" s="8"/>
      <c r="Q57" s="8"/>
      <c r="R57" s="8"/>
    </row>
    <row r="58" spans="1:18">
      <c r="A58" s="8" t="s">
        <v>116</v>
      </c>
      <c r="B58" s="8"/>
      <c r="C58" s="8" t="s">
        <v>54</v>
      </c>
      <c r="D58" s="8" t="s">
        <v>55</v>
      </c>
      <c r="E58" s="7" t="s">
        <v>18</v>
      </c>
      <c r="F58" s="8" t="s">
        <v>14</v>
      </c>
      <c r="G58" s="8" t="s">
        <v>52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280</v>
      </c>
      <c r="M58" s="8">
        <f t="shared" si="16"/>
        <v>840</v>
      </c>
      <c r="N58" s="8"/>
      <c r="O58" s="8"/>
      <c r="P58" s="8"/>
      <c r="Q58" s="8"/>
      <c r="R58" s="8"/>
    </row>
    <row r="59" spans="1:18">
      <c r="A59" s="36" t="s">
        <v>112</v>
      </c>
      <c r="B59" s="36">
        <v>1</v>
      </c>
      <c r="C59" s="36" t="s">
        <v>56</v>
      </c>
      <c r="D59" s="36"/>
      <c r="E59" s="36"/>
      <c r="F59" s="37"/>
      <c r="G59" s="36"/>
      <c r="H59" s="37" t="s">
        <v>52</v>
      </c>
      <c r="I59" s="37">
        <v>3</v>
      </c>
      <c r="J59" s="36">
        <v>3</v>
      </c>
      <c r="K59" s="36"/>
      <c r="L59" s="36">
        <f>SUM(L36:L58)</f>
        <v>720</v>
      </c>
      <c r="M59" s="38">
        <f>SUM(M36:M58)</f>
        <v>2160</v>
      </c>
      <c r="N59" s="38">
        <v>111</v>
      </c>
      <c r="O59" s="36" t="s">
        <v>113</v>
      </c>
      <c r="P59" s="36"/>
      <c r="Q59" s="36"/>
      <c r="R59" s="36"/>
    </row>
    <row r="60" spans="1:18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</row>
    <row r="62" spans="1:18">
      <c r="K62" s="9" t="s">
        <v>104</v>
      </c>
      <c r="L62" s="9">
        <f>L63/H3</f>
        <v>720</v>
      </c>
    </row>
    <row r="63" spans="1:18">
      <c r="K63" s="9" t="s">
        <v>119</v>
      </c>
      <c r="L63" s="9">
        <f>M59+AG7</f>
        <v>2160</v>
      </c>
    </row>
  </sheetData>
  <mergeCells count="8">
    <mergeCell ref="A1:M1"/>
    <mergeCell ref="A4:L4"/>
    <mergeCell ref="A9:L9"/>
    <mergeCell ref="A33:R33"/>
    <mergeCell ref="T33:AU33"/>
    <mergeCell ref="A34:R34"/>
    <mergeCell ref="T34:AU34"/>
    <mergeCell ref="T39:AC39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9"/>
  <sheetViews>
    <sheetView zoomScale="60" zoomScaleNormal="60" workbookViewId="0">
      <selection activeCell="E13" sqref="E13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158</v>
      </c>
      <c r="F3" s="7" t="s">
        <v>18</v>
      </c>
      <c r="G3" s="54" t="s">
        <v>19</v>
      </c>
      <c r="H3" s="6">
        <v>3</v>
      </c>
      <c r="I3" s="8" t="s">
        <v>120</v>
      </c>
      <c r="J3" s="8">
        <f>I3+H3</f>
        <v>189</v>
      </c>
      <c r="K3" s="8" t="s">
        <v>21</v>
      </c>
      <c r="L3" s="8">
        <f>(K3+L68)/2</f>
        <v>420</v>
      </c>
      <c r="M3" s="9">
        <f>L68</f>
        <v>420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111</v>
      </c>
      <c r="I11" s="8" t="s">
        <v>78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111</v>
      </c>
      <c r="I12" s="8" t="s">
        <v>78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111</v>
      </c>
      <c r="I13" s="8" t="s">
        <v>78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s="8" t="s">
        <v>111</v>
      </c>
      <c r="I14" s="8" t="s">
        <v>78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s="8" t="s">
        <v>111</v>
      </c>
      <c r="I15" s="8" t="s">
        <v>78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s="8" t="s">
        <v>111</v>
      </c>
      <c r="I16" s="8" t="s">
        <v>78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s="8" t="s">
        <v>111</v>
      </c>
      <c r="I17" s="8" t="s">
        <v>78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67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78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71</v>
      </c>
      <c r="F19" s="8" t="s">
        <v>14</v>
      </c>
      <c r="G19" s="8" t="s">
        <v>68</v>
      </c>
      <c r="H19" s="8">
        <f t="shared" si="1"/>
        <v>998776</v>
      </c>
      <c r="I19" s="8" t="s">
        <v>78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72</v>
      </c>
      <c r="F20" s="8" t="s">
        <v>14</v>
      </c>
      <c r="G20" s="8" t="s">
        <v>68</v>
      </c>
      <c r="H20" s="8">
        <f t="shared" si="1"/>
        <v>998776</v>
      </c>
      <c r="I20" s="8" t="s">
        <v>78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73</v>
      </c>
      <c r="F21" s="8" t="s">
        <v>14</v>
      </c>
      <c r="G21" s="8" t="s">
        <v>68</v>
      </c>
      <c r="H21" s="8">
        <f t="shared" si="1"/>
        <v>998776</v>
      </c>
      <c r="I21" s="8" t="s">
        <v>78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74</v>
      </c>
      <c r="F22" s="8" t="s">
        <v>14</v>
      </c>
      <c r="G22" s="8" t="s">
        <v>68</v>
      </c>
      <c r="H22" s="8">
        <f t="shared" si="1"/>
        <v>998776</v>
      </c>
      <c r="I22" s="8" t="s">
        <v>78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75</v>
      </c>
      <c r="F23" s="8" t="s">
        <v>14</v>
      </c>
      <c r="G23" s="8" t="s">
        <v>68</v>
      </c>
      <c r="H23" s="8">
        <f t="shared" si="1"/>
        <v>998776</v>
      </c>
      <c r="I23" s="8" t="s">
        <v>78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76</v>
      </c>
      <c r="F24" s="8" t="s">
        <v>14</v>
      </c>
      <c r="G24" s="8" t="s">
        <v>68</v>
      </c>
      <c r="H24" s="8">
        <f t="shared" si="1"/>
        <v>998776</v>
      </c>
      <c r="I24" s="8" t="s">
        <v>78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67</v>
      </c>
      <c r="F25" s="8" t="s">
        <v>14</v>
      </c>
      <c r="G25" s="8" t="s">
        <v>68</v>
      </c>
      <c r="H25" s="8">
        <f t="shared" si="1"/>
        <v>998773</v>
      </c>
      <c r="I25" s="8" t="s">
        <v>78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71</v>
      </c>
      <c r="F26" s="8" t="s">
        <v>14</v>
      </c>
      <c r="G26" s="8" t="s">
        <v>68</v>
      </c>
      <c r="H26" s="8">
        <f t="shared" si="1"/>
        <v>998773</v>
      </c>
      <c r="I26" s="8" t="s">
        <v>78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72</v>
      </c>
      <c r="F27" s="8" t="s">
        <v>14</v>
      </c>
      <c r="G27" s="8" t="s">
        <v>68</v>
      </c>
      <c r="H27" s="8">
        <f t="shared" si="1"/>
        <v>998773</v>
      </c>
      <c r="I27" s="8" t="s">
        <v>78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73</v>
      </c>
      <c r="F28" s="8" t="s">
        <v>14</v>
      </c>
      <c r="G28" s="8" t="s">
        <v>68</v>
      </c>
      <c r="H28" s="8">
        <f t="shared" si="1"/>
        <v>998773</v>
      </c>
      <c r="I28" s="8" t="s">
        <v>78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74</v>
      </c>
      <c r="F29" s="8" t="s">
        <v>14</v>
      </c>
      <c r="G29" s="8" t="s">
        <v>68</v>
      </c>
      <c r="H29" s="8">
        <f t="shared" si="1"/>
        <v>998773</v>
      </c>
      <c r="I29" s="8" t="s">
        <v>78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75</v>
      </c>
      <c r="F30" s="8" t="s">
        <v>14</v>
      </c>
      <c r="G30" s="8" t="s">
        <v>68</v>
      </c>
      <c r="H30" s="8">
        <f t="shared" si="1"/>
        <v>998773</v>
      </c>
      <c r="I30" s="8" t="s">
        <v>78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76</v>
      </c>
      <c r="F31" s="8" t="s">
        <v>14</v>
      </c>
      <c r="G31" s="8" t="s">
        <v>68</v>
      </c>
      <c r="H31" s="8">
        <f t="shared" si="1"/>
        <v>998773</v>
      </c>
      <c r="I31" s="8" t="s">
        <v>78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124</v>
      </c>
      <c r="V32" s="16">
        <v>1</v>
      </c>
    </row>
    <row r="33" ht="15" spans="1:60 16305:16356">
      <c r="A33" s="3" t="s">
        <v>125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126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05:16356">
      <c r="A34" s="18" t="s">
        <v>93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93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05:16356">
      <c r="A35" s="5" t="s">
        <v>94</v>
      </c>
      <c r="B35" s="5" t="s">
        <v>95</v>
      </c>
      <c r="C35" s="5" t="s">
        <v>96</v>
      </c>
      <c r="D35" s="5" t="s">
        <v>97</v>
      </c>
      <c r="E35" s="5" t="s">
        <v>98</v>
      </c>
      <c r="F35" s="5" t="s">
        <v>60</v>
      </c>
      <c r="G35" s="5" t="s">
        <v>99</v>
      </c>
      <c r="H35" s="5" t="s">
        <v>100</v>
      </c>
      <c r="I35" s="5" t="s">
        <v>101</v>
      </c>
      <c r="J35" s="5" t="s">
        <v>102</v>
      </c>
      <c r="K35" s="5" t="s">
        <v>103</v>
      </c>
      <c r="L35" s="5" t="s">
        <v>104</v>
      </c>
      <c r="M35" s="5" t="s">
        <v>105</v>
      </c>
      <c r="N35" s="5" t="s">
        <v>106</v>
      </c>
      <c r="O35" s="5" t="s">
        <v>107</v>
      </c>
      <c r="P35" s="5" t="s">
        <v>108</v>
      </c>
      <c r="Q35" s="5" t="s">
        <v>109</v>
      </c>
      <c r="R35" s="5" t="s">
        <v>110</v>
      </c>
      <c r="T35" s="19" t="s">
        <v>127</v>
      </c>
      <c r="U35" s="19" t="s">
        <v>128</v>
      </c>
      <c r="V35" s="20" t="s">
        <v>129</v>
      </c>
      <c r="W35" s="19" t="s">
        <v>130</v>
      </c>
      <c r="X35" s="19" t="s">
        <v>131</v>
      </c>
      <c r="Y35" s="19" t="s">
        <v>132</v>
      </c>
      <c r="Z35" s="19" t="s">
        <v>133</v>
      </c>
      <c r="AA35" s="19" t="s">
        <v>134</v>
      </c>
      <c r="AB35" s="19" t="s">
        <v>135</v>
      </c>
      <c r="AC35" s="19" t="s">
        <v>136</v>
      </c>
      <c r="AD35" s="19" t="s">
        <v>137</v>
      </c>
      <c r="AE35" s="19" t="s">
        <v>138</v>
      </c>
      <c r="AF35" s="19" t="s">
        <v>139</v>
      </c>
      <c r="AG35" s="19" t="s">
        <v>140</v>
      </c>
      <c r="AH35" s="19" t="s">
        <v>141</v>
      </c>
      <c r="AI35" s="19" t="s">
        <v>142</v>
      </c>
      <c r="AJ35" s="19" t="s">
        <v>143</v>
      </c>
      <c r="AK35" s="21" t="s">
        <v>144</v>
      </c>
      <c r="AL35" s="21" t="s">
        <v>145</v>
      </c>
      <c r="AM35" s="21" t="s">
        <v>146</v>
      </c>
      <c r="AN35" s="21" t="s">
        <v>147</v>
      </c>
      <c r="AO35" s="21" t="s">
        <v>148</v>
      </c>
      <c r="AP35" s="21" t="s">
        <v>149</v>
      </c>
      <c r="AQ35" s="21" t="s">
        <v>150</v>
      </c>
      <c r="AR35" s="21" t="s">
        <v>151</v>
      </c>
      <c r="AS35" s="22" t="s">
        <v>152</v>
      </c>
      <c r="AT35" s="19" t="s">
        <v>153</v>
      </c>
      <c r="AU35" s="19" t="s">
        <v>154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111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54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30">
        <v>100</v>
      </c>
      <c r="AU36" s="30">
        <v>110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111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156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111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T38" s="18" t="s">
        <v>114</v>
      </c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ht="15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73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111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T39" s="19" t="s">
        <v>127</v>
      </c>
      <c r="U39" s="19" t="s">
        <v>128</v>
      </c>
      <c r="V39" s="20" t="s">
        <v>129</v>
      </c>
      <c r="W39" s="19" t="s">
        <v>130</v>
      </c>
      <c r="X39" s="19" t="s">
        <v>131</v>
      </c>
      <c r="Y39" s="19" t="s">
        <v>132</v>
      </c>
      <c r="Z39" s="19" t="s">
        <v>133</v>
      </c>
      <c r="AA39" s="19" t="s">
        <v>134</v>
      </c>
      <c r="AB39" s="19" t="s">
        <v>135</v>
      </c>
      <c r="AC39" s="19" t="s">
        <v>136</v>
      </c>
      <c r="AD39" s="19" t="s">
        <v>137</v>
      </c>
      <c r="AE39" s="19" t="s">
        <v>138</v>
      </c>
      <c r="AF39" s="19" t="s">
        <v>139</v>
      </c>
      <c r="AG39" s="19" t="s">
        <v>140</v>
      </c>
      <c r="AH39" s="19" t="s">
        <v>141</v>
      </c>
      <c r="AI39" s="19" t="s">
        <v>142</v>
      </c>
      <c r="AJ39" s="19" t="s">
        <v>143</v>
      </c>
      <c r="AK39" s="21" t="s">
        <v>144</v>
      </c>
      <c r="AL39" s="21" t="s">
        <v>145</v>
      </c>
      <c r="AM39" s="21" t="s">
        <v>146</v>
      </c>
      <c r="AN39" s="21" t="s">
        <v>147</v>
      </c>
      <c r="AO39" s="21" t="s">
        <v>148</v>
      </c>
      <c r="AP39" s="21" t="s">
        <v>149</v>
      </c>
      <c r="AQ39" s="21" t="s">
        <v>150</v>
      </c>
      <c r="AR39" s="21" t="s">
        <v>151</v>
      </c>
      <c r="AS39" s="22" t="s">
        <v>152</v>
      </c>
      <c r="AT39" s="19" t="s">
        <v>153</v>
      </c>
      <c r="AU39" s="19" t="s">
        <v>154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ht="15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74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111</v>
      </c>
      <c r="P40" s="8">
        <f t="shared" si="4"/>
        <v>998776</v>
      </c>
      <c r="Q40" s="8">
        <f t="shared" si="5"/>
        <v>-3</v>
      </c>
      <c r="R40" s="8">
        <f t="shared" si="6"/>
        <v>3</v>
      </c>
      <c r="T40" s="8" t="s">
        <v>56</v>
      </c>
      <c r="U40" s="23" t="str">
        <f>F3</f>
        <v>GWL-FIFO-LOT-BATCH-10001(FG)</v>
      </c>
      <c r="V40" s="23" t="str">
        <f>U40</f>
        <v>GWL-FIFO-LOT-BATCH-10001(FG)</v>
      </c>
      <c r="W40" s="23" t="s">
        <v>14</v>
      </c>
      <c r="X40" s="23" t="s">
        <v>14</v>
      </c>
      <c r="Y40" s="24">
        <f>H3</f>
        <v>3</v>
      </c>
      <c r="Z40" s="24">
        <f>K19</f>
        <v>1</v>
      </c>
      <c r="AA40" s="24"/>
      <c r="AB40" s="25">
        <v>1</v>
      </c>
      <c r="AC40" s="25">
        <v>25</v>
      </c>
      <c r="AD40" s="25">
        <v>1</v>
      </c>
      <c r="AE40" s="24">
        <f>ROUND(Y40*AD40/AB40,3)</f>
        <v>3</v>
      </c>
      <c r="AF40" s="26">
        <f>AE40*(AC40/Y40)</f>
        <v>25</v>
      </c>
      <c r="AG40" s="25">
        <f>AE40*AF40</f>
        <v>75</v>
      </c>
      <c r="AH40" s="25"/>
      <c r="AI40" s="27"/>
      <c r="AJ40" s="27"/>
      <c r="AK40" s="28">
        <v>18</v>
      </c>
      <c r="AL40" s="25">
        <f>IF(OR(V32=1,V32=4),ROUND(((((AF40*AE40)*AK40)/100)/2),2),0)</f>
        <v>6.75</v>
      </c>
      <c r="AM40" s="25">
        <f>IF(V32=1,ROUND(((((AF40*AE40)*AK40)/100)/2),2),0)</f>
        <v>6.75</v>
      </c>
      <c r="AN40" s="25">
        <f>IF(V32=2,ROUND((((AE40*AF40)*AK40)/100),2),0)</f>
        <v>0</v>
      </c>
      <c r="AO40" s="25">
        <f>IF(V32=3,ROUND((((AE40*AF40)*AK40)/100),2),0)</f>
        <v>0</v>
      </c>
      <c r="AP40" s="25">
        <f>SUM(AL40:AN40)</f>
        <v>13.5</v>
      </c>
      <c r="AQ40" s="29">
        <v>0</v>
      </c>
      <c r="AR40" s="25">
        <f>AG40*AQ40</f>
        <v>0</v>
      </c>
      <c r="AS40" s="25">
        <f>AG40+AP40</f>
        <v>88.5</v>
      </c>
      <c r="AT40" s="30">
        <f>AU36</f>
        <v>110</v>
      </c>
      <c r="AU40" s="30">
        <v>111</v>
      </c>
    </row>
    <row r="41" ht="15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75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111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T41" s="31" t="s">
        <v>156</v>
      </c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2">
        <f t="shared" ref="AG41:AN41" si="8">SUM(AG40:AG40)</f>
        <v>75</v>
      </c>
      <c r="AH41" s="32">
        <f t="shared" si="8"/>
        <v>0</v>
      </c>
      <c r="AI41" s="32"/>
      <c r="AJ41" s="32"/>
      <c r="AK41" s="32"/>
      <c r="AL41" s="33">
        <f t="shared" si="8"/>
        <v>6.75</v>
      </c>
      <c r="AM41" s="33">
        <f t="shared" si="8"/>
        <v>6.75</v>
      </c>
      <c r="AN41" s="33">
        <f t="shared" si="8"/>
        <v>0</v>
      </c>
      <c r="AO41" s="34">
        <f>AO40</f>
        <v>0</v>
      </c>
      <c r="AP41" s="32">
        <f>SUM(AP40:AP40)</f>
        <v>13.5</v>
      </c>
      <c r="AQ41" s="32"/>
      <c r="AR41" s="32"/>
      <c r="AS41" s="35">
        <f>SUM(AS40:AS40)</f>
        <v>88.5</v>
      </c>
      <c r="AT41" s="32"/>
      <c r="AU41" s="3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76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111</v>
      </c>
      <c r="P42" s="8">
        <f t="shared" si="4"/>
        <v>998776</v>
      </c>
      <c r="Q42" s="8">
        <f t="shared" si="5"/>
        <v>-3</v>
      </c>
      <c r="R42" s="8">
        <f t="shared" si="6"/>
        <v>3</v>
      </c>
    </row>
    <row r="43" spans="1:60 16305:16356">
      <c r="A43" s="36" t="s">
        <v>112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113</v>
      </c>
      <c r="P43" s="36"/>
      <c r="Q43" s="36"/>
      <c r="R43" s="36"/>
    </row>
    <row r="44" spans="1:60 16305:16356">
      <c r="A44" s="18" t="s">
        <v>114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305:16356">
      <c r="A45" s="5" t="s">
        <v>94</v>
      </c>
      <c r="B45" s="4" t="s">
        <v>95</v>
      </c>
      <c r="C45" s="4" t="s">
        <v>96</v>
      </c>
      <c r="D45" s="4" t="s">
        <v>97</v>
      </c>
      <c r="E45" s="4" t="s">
        <v>98</v>
      </c>
      <c r="F45" s="4" t="s">
        <v>60</v>
      </c>
      <c r="G45" s="4" t="s">
        <v>99</v>
      </c>
      <c r="H45" s="4" t="s">
        <v>100</v>
      </c>
      <c r="I45" s="4" t="s">
        <v>101</v>
      </c>
      <c r="J45" s="4" t="s">
        <v>102</v>
      </c>
      <c r="K45" s="4" t="s">
        <v>103</v>
      </c>
      <c r="L45" s="4" t="s">
        <v>104</v>
      </c>
      <c r="M45" s="4" t="s">
        <v>105</v>
      </c>
      <c r="N45" s="5" t="s">
        <v>106</v>
      </c>
      <c r="O45" s="5" t="s">
        <v>107</v>
      </c>
      <c r="P45" s="5" t="s">
        <v>108</v>
      </c>
      <c r="Q45" s="5" t="s">
        <v>109</v>
      </c>
      <c r="R45" s="5" t="s">
        <v>110</v>
      </c>
    </row>
    <row r="46" spans="1:60 16305:16356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9">L46*K46</f>
        <v>60</v>
      </c>
      <c r="N46" s="8" t="str">
        <f t="shared" ref="N46:N52" si="10">I18</f>
        <v>3</v>
      </c>
      <c r="O46" s="8" t="s">
        <v>115</v>
      </c>
      <c r="P46" s="8">
        <f t="shared" ref="P46:P52" si="11">O46-I46</f>
        <v>998773</v>
      </c>
      <c r="Q46" s="8">
        <f t="shared" ref="Q46:Q52" si="12">-I46</f>
        <v>-3</v>
      </c>
      <c r="R46" s="8">
        <f t="shared" ref="R46:R52" si="13">I46</f>
        <v>3</v>
      </c>
    </row>
    <row r="47" spans="1:60 16305:16356">
      <c r="A47" s="8">
        <v>2</v>
      </c>
      <c r="B47" s="8">
        <v>2</v>
      </c>
      <c r="C47" s="8" t="s">
        <v>54</v>
      </c>
      <c r="D47" s="8" t="s">
        <v>55</v>
      </c>
      <c r="E47" s="12" t="s">
        <v>79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9"/>
        <v>60</v>
      </c>
      <c r="N47" s="8" t="str">
        <f t="shared" si="10"/>
        <v>3</v>
      </c>
      <c r="O47" s="8" t="s">
        <v>115</v>
      </c>
      <c r="P47" s="8">
        <f t="shared" si="11"/>
        <v>998773</v>
      </c>
      <c r="Q47" s="8">
        <f t="shared" si="12"/>
        <v>-3</v>
      </c>
      <c r="R47" s="8">
        <f t="shared" si="13"/>
        <v>3</v>
      </c>
    </row>
    <row r="48" spans="1:60 16305:16356">
      <c r="A48" s="8">
        <v>2</v>
      </c>
      <c r="B48" s="8">
        <v>3</v>
      </c>
      <c r="C48" s="8" t="s">
        <v>54</v>
      </c>
      <c r="D48" s="8" t="s">
        <v>55</v>
      </c>
      <c r="E48" s="12" t="s">
        <v>80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9"/>
        <v>60</v>
      </c>
      <c r="N48" s="8" t="str">
        <f t="shared" si="10"/>
        <v>3</v>
      </c>
      <c r="O48" s="8" t="s">
        <v>115</v>
      </c>
      <c r="P48" s="8">
        <f t="shared" si="11"/>
        <v>998773</v>
      </c>
      <c r="Q48" s="8">
        <f t="shared" si="12"/>
        <v>-3</v>
      </c>
      <c r="R48" s="8">
        <f t="shared" si="13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81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9"/>
        <v>60</v>
      </c>
      <c r="N49" s="8" t="str">
        <f t="shared" si="10"/>
        <v>3</v>
      </c>
      <c r="O49" s="8" t="s">
        <v>115</v>
      </c>
      <c r="P49" s="8">
        <f t="shared" si="11"/>
        <v>998773</v>
      </c>
      <c r="Q49" s="8">
        <f t="shared" si="12"/>
        <v>-3</v>
      </c>
      <c r="R49" s="8">
        <f t="shared" si="13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82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9"/>
        <v>60</v>
      </c>
      <c r="N50" s="8" t="str">
        <f t="shared" si="10"/>
        <v>3</v>
      </c>
      <c r="O50" s="8" t="s">
        <v>115</v>
      </c>
      <c r="P50" s="8">
        <f t="shared" si="11"/>
        <v>998773</v>
      </c>
      <c r="Q50" s="8">
        <f t="shared" si="12"/>
        <v>-3</v>
      </c>
      <c r="R50" s="8">
        <f t="shared" si="13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83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9"/>
        <v>60</v>
      </c>
      <c r="N51" s="8" t="str">
        <f t="shared" si="10"/>
        <v>3</v>
      </c>
      <c r="O51" s="8" t="s">
        <v>115</v>
      </c>
      <c r="P51" s="8">
        <f t="shared" si="11"/>
        <v>998773</v>
      </c>
      <c r="Q51" s="8">
        <f t="shared" si="12"/>
        <v>-3</v>
      </c>
      <c r="R51" s="8">
        <f t="shared" si="13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84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9"/>
        <v>60</v>
      </c>
      <c r="N52" s="8" t="str">
        <f t="shared" si="10"/>
        <v>3</v>
      </c>
      <c r="O52" s="8" t="s">
        <v>115</v>
      </c>
      <c r="P52" s="8">
        <f t="shared" si="11"/>
        <v>998773</v>
      </c>
      <c r="Q52" s="8">
        <f t="shared" si="12"/>
        <v>-3</v>
      </c>
      <c r="R52" s="8">
        <f t="shared" si="13"/>
        <v>3</v>
      </c>
    </row>
    <row r="53" spans="1:18">
      <c r="A53" s="8" t="s">
        <v>116</v>
      </c>
      <c r="B53" s="8"/>
      <c r="C53" s="8" t="s">
        <v>46</v>
      </c>
      <c r="D53" s="8" t="s">
        <v>47</v>
      </c>
      <c r="E53" s="7" t="s">
        <v>18</v>
      </c>
      <c r="F53" s="8" t="s">
        <v>14</v>
      </c>
      <c r="G53" s="8" t="s">
        <v>52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9"/>
        <v>420</v>
      </c>
      <c r="N53" s="8"/>
      <c r="O53" s="8"/>
      <c r="P53" s="8"/>
      <c r="Q53" s="8"/>
      <c r="R53" s="8"/>
    </row>
    <row r="54" spans="1:18">
      <c r="A54" s="36" t="s">
        <v>112</v>
      </c>
      <c r="B54" s="36">
        <v>1</v>
      </c>
      <c r="C54" s="36" t="s">
        <v>54</v>
      </c>
      <c r="D54" s="36"/>
      <c r="E54" s="36"/>
      <c r="F54" s="37"/>
      <c r="G54" s="36"/>
      <c r="H54" s="37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O54" s="36" t="s">
        <v>113</v>
      </c>
      <c r="P54" s="36"/>
      <c r="Q54" s="36"/>
      <c r="R54" s="36"/>
    </row>
    <row r="55" spans="1:18">
      <c r="A55" s="18" t="s">
        <v>117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</row>
    <row r="56" spans="1:18">
      <c r="A56" s="5" t="s">
        <v>94</v>
      </c>
      <c r="B56" s="4" t="s">
        <v>95</v>
      </c>
      <c r="C56" s="4" t="s">
        <v>96</v>
      </c>
      <c r="D56" s="4" t="s">
        <v>97</v>
      </c>
      <c r="E56" s="4" t="s">
        <v>98</v>
      </c>
      <c r="F56" s="4" t="s">
        <v>60</v>
      </c>
      <c r="G56" s="4" t="s">
        <v>99</v>
      </c>
      <c r="H56" s="4" t="s">
        <v>100</v>
      </c>
      <c r="I56" s="4" t="s">
        <v>101</v>
      </c>
      <c r="J56" s="4" t="s">
        <v>102</v>
      </c>
      <c r="K56" s="4" t="s">
        <v>103</v>
      </c>
      <c r="L56" s="4" t="s">
        <v>104</v>
      </c>
      <c r="M56" s="4" t="s">
        <v>105</v>
      </c>
      <c r="N56" s="5" t="s">
        <v>106</v>
      </c>
      <c r="O56" s="5" t="s">
        <v>107</v>
      </c>
      <c r="P56" s="5" t="s">
        <v>108</v>
      </c>
      <c r="Q56" s="5" t="s">
        <v>109</v>
      </c>
      <c r="R56" s="5" t="s">
        <v>110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85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ref="M57:M64" si="14">L57*K57</f>
        <v>60</v>
      </c>
      <c r="N57" s="8" t="str">
        <f t="shared" ref="N57:N63" si="15">I25</f>
        <v>3</v>
      </c>
      <c r="O57" s="8" t="s">
        <v>118</v>
      </c>
      <c r="P57" s="8">
        <f t="shared" ref="P57:P63" si="16">O57-I57</f>
        <v>998770</v>
      </c>
      <c r="Q57" s="8">
        <f t="shared" ref="Q57:Q63" si="17">-I57</f>
        <v>-3</v>
      </c>
      <c r="R57" s="8">
        <f t="shared" ref="R57:R63" si="18"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86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4"/>
        <v>60</v>
      </c>
      <c r="N58" s="8" t="str">
        <f t="shared" si="15"/>
        <v>3</v>
      </c>
      <c r="O58" s="8" t="s">
        <v>118</v>
      </c>
      <c r="P58" s="8">
        <f t="shared" si="16"/>
        <v>998770</v>
      </c>
      <c r="Q58" s="8">
        <f t="shared" si="17"/>
        <v>-3</v>
      </c>
      <c r="R58" s="8">
        <f t="shared" si="18"/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87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4"/>
        <v>60</v>
      </c>
      <c r="N59" s="8" t="str">
        <f t="shared" si="15"/>
        <v>3</v>
      </c>
      <c r="O59" s="8" t="s">
        <v>118</v>
      </c>
      <c r="P59" s="8">
        <f t="shared" si="16"/>
        <v>998770</v>
      </c>
      <c r="Q59" s="8">
        <f t="shared" si="17"/>
        <v>-3</v>
      </c>
      <c r="R59" s="8">
        <f t="shared" si="18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88</v>
      </c>
      <c r="F60" s="8" t="s">
        <v>14</v>
      </c>
      <c r="G60" s="8" t="s">
        <v>68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4"/>
        <v>60</v>
      </c>
      <c r="N60" s="8" t="str">
        <f t="shared" si="15"/>
        <v>3</v>
      </c>
      <c r="O60" s="8" t="s">
        <v>118</v>
      </c>
      <c r="P60" s="8">
        <f t="shared" si="16"/>
        <v>998770</v>
      </c>
      <c r="Q60" s="8">
        <f t="shared" si="17"/>
        <v>-3</v>
      </c>
      <c r="R60" s="8">
        <f t="shared" si="18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89</v>
      </c>
      <c r="F61" s="8" t="s">
        <v>14</v>
      </c>
      <c r="G61" s="8" t="s">
        <v>68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4"/>
        <v>60</v>
      </c>
      <c r="N61" s="8" t="str">
        <f t="shared" si="15"/>
        <v>3</v>
      </c>
      <c r="O61" s="8" t="s">
        <v>118</v>
      </c>
      <c r="P61" s="8">
        <f t="shared" si="16"/>
        <v>998770</v>
      </c>
      <c r="Q61" s="8">
        <f t="shared" si="17"/>
        <v>-3</v>
      </c>
      <c r="R61" s="8">
        <f t="shared" si="18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90</v>
      </c>
      <c r="F62" s="8" t="s">
        <v>14</v>
      </c>
      <c r="G62" s="8" t="s">
        <v>68</v>
      </c>
      <c r="H62" s="12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4"/>
        <v>60</v>
      </c>
      <c r="N62" s="8" t="str">
        <f t="shared" si="15"/>
        <v>3</v>
      </c>
      <c r="O62" s="8" t="s">
        <v>118</v>
      </c>
      <c r="P62" s="8">
        <f t="shared" si="16"/>
        <v>998770</v>
      </c>
      <c r="Q62" s="8">
        <f t="shared" si="17"/>
        <v>-3</v>
      </c>
      <c r="R62" s="8">
        <f t="shared" si="18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91</v>
      </c>
      <c r="F63" s="8" t="s">
        <v>14</v>
      </c>
      <c r="G63" s="8" t="s">
        <v>68</v>
      </c>
      <c r="H63" s="12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4"/>
        <v>60</v>
      </c>
      <c r="N63" s="8" t="str">
        <f t="shared" si="15"/>
        <v>3</v>
      </c>
      <c r="O63" s="8" t="s">
        <v>118</v>
      </c>
      <c r="P63" s="8">
        <f t="shared" si="16"/>
        <v>998770</v>
      </c>
      <c r="Q63" s="8">
        <f t="shared" si="17"/>
        <v>-3</v>
      </c>
      <c r="R63" s="8">
        <f t="shared" si="18"/>
        <v>3</v>
      </c>
    </row>
    <row r="64" spans="1:18">
      <c r="A64" s="8" t="s">
        <v>116</v>
      </c>
      <c r="B64" s="8"/>
      <c r="C64" s="8" t="s">
        <v>54</v>
      </c>
      <c r="D64" s="8" t="s">
        <v>55</v>
      </c>
      <c r="E64" s="7" t="s">
        <v>18</v>
      </c>
      <c r="F64" s="8" t="s">
        <v>14</v>
      </c>
      <c r="G64" s="8" t="s">
        <v>52</v>
      </c>
      <c r="H64" s="12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4"/>
        <v>840</v>
      </c>
      <c r="N64" s="8"/>
      <c r="O64" s="8"/>
      <c r="P64" s="8"/>
      <c r="Q64" s="8"/>
      <c r="R64" s="8"/>
    </row>
    <row r="65" spans="1:18">
      <c r="A65" s="36" t="s">
        <v>112</v>
      </c>
      <c r="B65" s="36">
        <v>1</v>
      </c>
      <c r="C65" s="36" t="s">
        <v>56</v>
      </c>
      <c r="D65" s="36"/>
      <c r="E65" s="36"/>
      <c r="F65" s="37"/>
      <c r="G65" s="36"/>
      <c r="H65" s="37" t="s">
        <v>52</v>
      </c>
      <c r="I65" s="37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O65" s="36" t="s">
        <v>113</v>
      </c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8" spans="1:18">
      <c r="K68" s="9" t="s">
        <v>104</v>
      </c>
      <c r="L68" s="9">
        <f>L69/H3</f>
        <v>420</v>
      </c>
    </row>
    <row r="69" spans="1:18">
      <c r="K69" s="9" t="s">
        <v>119</v>
      </c>
      <c r="L69" s="9">
        <f>M65+AG7</f>
        <v>1260</v>
      </c>
    </row>
  </sheetData>
  <mergeCells count="12">
    <mergeCell ref="A1:M1"/>
    <mergeCell ref="A4:L4"/>
    <mergeCell ref="A9:L9"/>
    <mergeCell ref="A33:R33"/>
    <mergeCell ref="T33:AU33"/>
    <mergeCell ref="A34:R34"/>
    <mergeCell ref="T34:AU34"/>
    <mergeCell ref="T37:AC37"/>
    <mergeCell ref="T38:AU38"/>
    <mergeCell ref="T41:AC41"/>
    <mergeCell ref="A44:R44"/>
    <mergeCell ref="A55:R55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workbookViewId="0">
      <selection activeCell="E18" sqref="E18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158</v>
      </c>
      <c r="F3" s="7" t="s">
        <v>18</v>
      </c>
      <c r="G3" s="54" t="s">
        <v>19</v>
      </c>
      <c r="H3" s="6">
        <v>3</v>
      </c>
      <c r="I3" s="8" t="s">
        <v>120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111</v>
      </c>
      <c r="I11" s="8" t="s">
        <v>78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111</v>
      </c>
      <c r="I12" s="8" t="s">
        <v>78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111</v>
      </c>
      <c r="I13" s="8" t="s">
        <v>78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s="8" t="s">
        <v>111</v>
      </c>
      <c r="I14" s="8" t="s">
        <v>78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s="8" t="s">
        <v>111</v>
      </c>
      <c r="I15" s="8" t="s">
        <v>78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s="8" t="s">
        <v>111</v>
      </c>
      <c r="I16" s="8" t="s">
        <v>78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s="8" t="s">
        <v>111</v>
      </c>
      <c r="I17" s="8" t="s">
        <v>78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78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79</v>
      </c>
      <c r="F19" s="8" t="s">
        <v>14</v>
      </c>
      <c r="G19" s="8" t="s">
        <v>68</v>
      </c>
      <c r="H19" s="8">
        <f t="shared" si="1"/>
        <v>998776</v>
      </c>
      <c r="I19" s="8" t="s">
        <v>78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80</v>
      </c>
      <c r="F20" s="8" t="s">
        <v>14</v>
      </c>
      <c r="G20" s="8" t="s">
        <v>68</v>
      </c>
      <c r="H20" s="8">
        <f t="shared" si="1"/>
        <v>998776</v>
      </c>
      <c r="I20" s="8" t="s">
        <v>78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81</v>
      </c>
      <c r="F21" s="8" t="s">
        <v>14</v>
      </c>
      <c r="G21" s="8" t="s">
        <v>68</v>
      </c>
      <c r="H21" s="8">
        <f t="shared" si="1"/>
        <v>998776</v>
      </c>
      <c r="I21" s="8" t="s">
        <v>78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82</v>
      </c>
      <c r="F22" s="8" t="s">
        <v>14</v>
      </c>
      <c r="G22" s="8" t="s">
        <v>68</v>
      </c>
      <c r="H22" s="8">
        <f t="shared" si="1"/>
        <v>998776</v>
      </c>
      <c r="I22" s="8" t="s">
        <v>78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83</v>
      </c>
      <c r="F23" s="8" t="s">
        <v>14</v>
      </c>
      <c r="G23" s="8" t="s">
        <v>68</v>
      </c>
      <c r="H23" s="8">
        <f t="shared" si="1"/>
        <v>998776</v>
      </c>
      <c r="I23" s="8" t="s">
        <v>78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84</v>
      </c>
      <c r="F24" s="8" t="s">
        <v>14</v>
      </c>
      <c r="G24" s="8" t="s">
        <v>68</v>
      </c>
      <c r="H24" s="8">
        <f t="shared" si="1"/>
        <v>998776</v>
      </c>
      <c r="I24" s="8" t="s">
        <v>78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85</v>
      </c>
      <c r="F25" s="8" t="s">
        <v>14</v>
      </c>
      <c r="G25" s="8" t="s">
        <v>68</v>
      </c>
      <c r="H25" s="8">
        <f t="shared" si="1"/>
        <v>998773</v>
      </c>
      <c r="I25" s="8" t="s">
        <v>78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86</v>
      </c>
      <c r="F26" s="8" t="s">
        <v>14</v>
      </c>
      <c r="G26" s="8" t="s">
        <v>68</v>
      </c>
      <c r="H26" s="8">
        <f t="shared" si="1"/>
        <v>998773</v>
      </c>
      <c r="I26" s="8" t="s">
        <v>78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87</v>
      </c>
      <c r="F27" s="8" t="s">
        <v>14</v>
      </c>
      <c r="G27" s="8" t="s">
        <v>68</v>
      </c>
      <c r="H27" s="8">
        <f t="shared" si="1"/>
        <v>998773</v>
      </c>
      <c r="I27" s="8" t="s">
        <v>78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88</v>
      </c>
      <c r="F28" s="8" t="s">
        <v>14</v>
      </c>
      <c r="G28" s="8" t="s">
        <v>68</v>
      </c>
      <c r="H28" s="8">
        <f t="shared" si="1"/>
        <v>998773</v>
      </c>
      <c r="I28" s="8" t="s">
        <v>78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89</v>
      </c>
      <c r="F29" s="8" t="s">
        <v>14</v>
      </c>
      <c r="G29" s="8" t="s">
        <v>68</v>
      </c>
      <c r="H29" s="8">
        <f t="shared" si="1"/>
        <v>998773</v>
      </c>
      <c r="I29" s="8" t="s">
        <v>78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90</v>
      </c>
      <c r="F30" s="8" t="s">
        <v>14</v>
      </c>
      <c r="G30" s="8" t="s">
        <v>68</v>
      </c>
      <c r="H30" s="8">
        <f t="shared" si="1"/>
        <v>998773</v>
      </c>
      <c r="I30" s="8" t="s">
        <v>78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91</v>
      </c>
      <c r="F31" s="8" t="s">
        <v>14</v>
      </c>
      <c r="G31" s="8" t="s">
        <v>68</v>
      </c>
      <c r="H31" s="8">
        <f t="shared" si="1"/>
        <v>998773</v>
      </c>
      <c r="I31" s="8" t="s">
        <v>78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124</v>
      </c>
      <c r="V32" s="16">
        <v>1</v>
      </c>
    </row>
    <row r="33" ht="15" spans="1:60 16277:16356">
      <c r="A33" s="3" t="s">
        <v>125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126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93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157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94</v>
      </c>
      <c r="B35" s="5" t="s">
        <v>95</v>
      </c>
      <c r="C35" s="5" t="s">
        <v>96</v>
      </c>
      <c r="D35" s="5" t="s">
        <v>97</v>
      </c>
      <c r="E35" s="5" t="s">
        <v>98</v>
      </c>
      <c r="F35" s="5" t="s">
        <v>60</v>
      </c>
      <c r="G35" s="5" t="s">
        <v>99</v>
      </c>
      <c r="H35" s="5" t="s">
        <v>100</v>
      </c>
      <c r="I35" s="5" t="s">
        <v>101</v>
      </c>
      <c r="J35" s="5" t="s">
        <v>102</v>
      </c>
      <c r="K35" s="5" t="s">
        <v>103</v>
      </c>
      <c r="L35" s="5" t="s">
        <v>104</v>
      </c>
      <c r="M35" s="5" t="s">
        <v>105</v>
      </c>
      <c r="N35" s="5" t="s">
        <v>106</v>
      </c>
      <c r="O35" s="5" t="s">
        <v>107</v>
      </c>
      <c r="P35" s="5" t="s">
        <v>108</v>
      </c>
      <c r="Q35" s="5" t="s">
        <v>109</v>
      </c>
      <c r="R35" s="5" t="s">
        <v>110</v>
      </c>
      <c r="T35" s="8" t="s">
        <v>54</v>
      </c>
      <c r="U35" s="23" t="str">
        <f>F3</f>
        <v>GWL-FIFO-LOT-BATCH-10001(FG)</v>
      </c>
      <c r="V35" s="23" t="str">
        <f>U35</f>
        <v>GWL-FIFO-LOT-BATCH-10001(FG)</v>
      </c>
      <c r="W35" s="23" t="s">
        <v>14</v>
      </c>
      <c r="X35" s="23" t="s">
        <v>14</v>
      </c>
      <c r="Y35" s="24">
        <f>H3</f>
        <v>3</v>
      </c>
      <c r="Z35" s="24">
        <f>K15</f>
        <v>1</v>
      </c>
      <c r="AA35" s="24"/>
      <c r="AB35" s="25">
        <v>1</v>
      </c>
      <c r="AC35" s="25">
        <v>25</v>
      </c>
      <c r="AD35" s="25">
        <v>1</v>
      </c>
      <c r="AE35" s="24">
        <f>ROUND(Y35*AD35/AB35,3)</f>
        <v>3</v>
      </c>
      <c r="AF35" s="26">
        <f>AE35*(AC35/Y35)</f>
        <v>25</v>
      </c>
      <c r="AG35" s="25">
        <f>AE35*AF35</f>
        <v>75</v>
      </c>
      <c r="AH35" s="25"/>
      <c r="AI35" s="27"/>
      <c r="AJ35" s="27"/>
      <c r="AK35" s="28">
        <v>18</v>
      </c>
      <c r="AL35" s="25">
        <f>IF(OR(V32=1,V32=4),ROUND(((((AF35*AE35)*AK35)/100)/2),2),0)</f>
        <v>6.75</v>
      </c>
      <c r="AM35" s="25">
        <f>IF(V32=1,ROUND(((((AF35*AE35)*AK35)/100)/2),2),0)</f>
        <v>6.75</v>
      </c>
      <c r="AN35" s="25">
        <f>IF(V32=2,ROUND((((AE35*AF35)*AK35)/100),2),0)</f>
        <v>0</v>
      </c>
      <c r="AO35" s="25">
        <f>IF(V32=3,ROUND((((AE35*AF35)*AK35)/100),2),0)</f>
        <v>0</v>
      </c>
      <c r="AP35" s="25">
        <f>SUM(AL35:AN35)</f>
        <v>13.5</v>
      </c>
      <c r="AQ35" s="29">
        <v>0</v>
      </c>
      <c r="AR35" s="25">
        <f>AG35*AQ35</f>
        <v>0</v>
      </c>
      <c r="AS35" s="25">
        <f>AG35+AP35</f>
        <v>88.5</v>
      </c>
      <c r="AT35" s="30">
        <v>100</v>
      </c>
      <c r="AU35" s="30">
        <v>110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111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56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K19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30">
        <f>AU35</f>
        <v>110</v>
      </c>
      <c r="AU36" s="30">
        <v>111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111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156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>SUM(AG36:AG36)</f>
        <v>75</v>
      </c>
      <c r="AH37" s="32">
        <f>SUM(AH36:AH36)</f>
        <v>0</v>
      </c>
      <c r="AI37" s="32"/>
      <c r="AJ37" s="32"/>
      <c r="AK37" s="32"/>
      <c r="AL37" s="33">
        <f t="shared" ref="AL37:AS37" si="7">SUM(AL35:AL36)</f>
        <v>13.5</v>
      </c>
      <c r="AM37" s="33">
        <f t="shared" si="7"/>
        <v>13.5</v>
      </c>
      <c r="AN37" s="33">
        <f t="shared" si="7"/>
        <v>0</v>
      </c>
      <c r="AO37" s="33">
        <f t="shared" si="7"/>
        <v>0</v>
      </c>
      <c r="AP37" s="33">
        <f t="shared" si="7"/>
        <v>27</v>
      </c>
      <c r="AQ37" s="33">
        <f t="shared" si="7"/>
        <v>0</v>
      </c>
      <c r="AR37" s="33">
        <f t="shared" si="7"/>
        <v>0</v>
      </c>
      <c r="AS37" s="35">
        <f t="shared" si="7"/>
        <v>177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111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73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111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74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111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75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111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76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111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112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113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157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94</v>
      </c>
      <c r="B45" s="4" t="s">
        <v>95</v>
      </c>
      <c r="C45" s="4" t="s">
        <v>96</v>
      </c>
      <c r="D45" s="4" t="s">
        <v>97</v>
      </c>
      <c r="E45" s="4" t="s">
        <v>98</v>
      </c>
      <c r="F45" s="4" t="s">
        <v>60</v>
      </c>
      <c r="G45" s="4" t="s">
        <v>99</v>
      </c>
      <c r="H45" s="4" t="s">
        <v>100</v>
      </c>
      <c r="I45" s="4" t="s">
        <v>101</v>
      </c>
      <c r="J45" s="4" t="s">
        <v>102</v>
      </c>
      <c r="K45" s="4" t="s">
        <v>103</v>
      </c>
      <c r="L45" s="4" t="s">
        <v>104</v>
      </c>
      <c r="M45" s="4" t="s">
        <v>105</v>
      </c>
      <c r="N45" s="5" t="s">
        <v>106</v>
      </c>
      <c r="O45" s="5" t="s">
        <v>107</v>
      </c>
      <c r="P45" s="5" t="s">
        <v>108</v>
      </c>
      <c r="Q45" s="5" t="s">
        <v>109</v>
      </c>
      <c r="R45" s="5" t="s">
        <v>110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115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79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115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80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115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81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115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82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115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83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115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84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115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85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118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86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118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87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118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88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118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89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118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90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118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91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118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116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116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112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113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104</v>
      </c>
      <c r="L65" s="9">
        <f>L66/H3</f>
        <v>700</v>
      </c>
    </row>
    <row r="66" spans="11:12">
      <c r="K66" s="9" t="s">
        <v>119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workbookViewId="0">
      <selection activeCell="E14" sqref="E14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158</v>
      </c>
      <c r="F3" s="7" t="s">
        <v>18</v>
      </c>
      <c r="G3" s="54" t="s">
        <v>19</v>
      </c>
      <c r="H3" s="6">
        <v>3</v>
      </c>
      <c r="I3" s="8" t="s">
        <v>120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111</v>
      </c>
      <c r="I11" s="8" t="s">
        <v>78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111</v>
      </c>
      <c r="I12" s="8" t="s">
        <v>78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111</v>
      </c>
      <c r="I13" s="8" t="s">
        <v>78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s="8" t="s">
        <v>111</v>
      </c>
      <c r="I14" s="8" t="s">
        <v>78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s="8" t="s">
        <v>111</v>
      </c>
      <c r="I15" s="8" t="s">
        <v>78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s="8" t="s">
        <v>111</v>
      </c>
      <c r="I16" s="8" t="s">
        <v>78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s="8" t="s">
        <v>111</v>
      </c>
      <c r="I17" s="8" t="s">
        <v>78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78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79</v>
      </c>
      <c r="F19" s="8" t="s">
        <v>14</v>
      </c>
      <c r="G19" s="8" t="s">
        <v>68</v>
      </c>
      <c r="H19" s="8">
        <f t="shared" si="1"/>
        <v>998776</v>
      </c>
      <c r="I19" s="8" t="s">
        <v>78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80</v>
      </c>
      <c r="F20" s="8" t="s">
        <v>14</v>
      </c>
      <c r="G20" s="8" t="s">
        <v>68</v>
      </c>
      <c r="H20" s="8">
        <f t="shared" si="1"/>
        <v>998776</v>
      </c>
      <c r="I20" s="8" t="s">
        <v>78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81</v>
      </c>
      <c r="F21" s="8" t="s">
        <v>14</v>
      </c>
      <c r="G21" s="8" t="s">
        <v>68</v>
      </c>
      <c r="H21" s="8">
        <f t="shared" si="1"/>
        <v>998776</v>
      </c>
      <c r="I21" s="8" t="s">
        <v>78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82</v>
      </c>
      <c r="F22" s="8" t="s">
        <v>14</v>
      </c>
      <c r="G22" s="8" t="s">
        <v>68</v>
      </c>
      <c r="H22" s="8">
        <f t="shared" si="1"/>
        <v>998776</v>
      </c>
      <c r="I22" s="8" t="s">
        <v>78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83</v>
      </c>
      <c r="F23" s="8" t="s">
        <v>14</v>
      </c>
      <c r="G23" s="8" t="s">
        <v>68</v>
      </c>
      <c r="H23" s="8">
        <f t="shared" si="1"/>
        <v>998776</v>
      </c>
      <c r="I23" s="8" t="s">
        <v>78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84</v>
      </c>
      <c r="F24" s="8" t="s">
        <v>14</v>
      </c>
      <c r="G24" s="8" t="s">
        <v>68</v>
      </c>
      <c r="H24" s="8">
        <f t="shared" si="1"/>
        <v>998776</v>
      </c>
      <c r="I24" s="8" t="s">
        <v>78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85</v>
      </c>
      <c r="F25" s="8" t="s">
        <v>14</v>
      </c>
      <c r="G25" s="8" t="s">
        <v>68</v>
      </c>
      <c r="H25" s="8">
        <f t="shared" si="1"/>
        <v>998773</v>
      </c>
      <c r="I25" s="8" t="s">
        <v>78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86</v>
      </c>
      <c r="F26" s="8" t="s">
        <v>14</v>
      </c>
      <c r="G26" s="8" t="s">
        <v>68</v>
      </c>
      <c r="H26" s="8">
        <f t="shared" si="1"/>
        <v>998773</v>
      </c>
      <c r="I26" s="8" t="s">
        <v>78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87</v>
      </c>
      <c r="F27" s="8" t="s">
        <v>14</v>
      </c>
      <c r="G27" s="8" t="s">
        <v>68</v>
      </c>
      <c r="H27" s="8">
        <f t="shared" si="1"/>
        <v>998773</v>
      </c>
      <c r="I27" s="8" t="s">
        <v>78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88</v>
      </c>
      <c r="F28" s="8" t="s">
        <v>14</v>
      </c>
      <c r="G28" s="8" t="s">
        <v>68</v>
      </c>
      <c r="H28" s="8">
        <f t="shared" si="1"/>
        <v>998773</v>
      </c>
      <c r="I28" s="8" t="s">
        <v>78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89</v>
      </c>
      <c r="F29" s="8" t="s">
        <v>14</v>
      </c>
      <c r="G29" s="8" t="s">
        <v>68</v>
      </c>
      <c r="H29" s="8">
        <f t="shared" si="1"/>
        <v>998773</v>
      </c>
      <c r="I29" s="8" t="s">
        <v>78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90</v>
      </c>
      <c r="F30" s="8" t="s">
        <v>14</v>
      </c>
      <c r="G30" s="8" t="s">
        <v>68</v>
      </c>
      <c r="H30" s="8">
        <f t="shared" si="1"/>
        <v>998773</v>
      </c>
      <c r="I30" s="8" t="s">
        <v>78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91</v>
      </c>
      <c r="F31" s="8" t="s">
        <v>14</v>
      </c>
      <c r="G31" s="8" t="s">
        <v>68</v>
      </c>
      <c r="H31" s="8">
        <f t="shared" si="1"/>
        <v>998773</v>
      </c>
      <c r="I31" s="8" t="s">
        <v>78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124</v>
      </c>
      <c r="V32" s="16">
        <v>1</v>
      </c>
    </row>
    <row r="33" ht="15" spans="1:60 16277:16356">
      <c r="A33" s="3" t="s">
        <v>125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126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93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157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94</v>
      </c>
      <c r="B35" s="5" t="s">
        <v>95</v>
      </c>
      <c r="C35" s="5" t="s">
        <v>96</v>
      </c>
      <c r="D35" s="5" t="s">
        <v>97</v>
      </c>
      <c r="E35" s="5" t="s">
        <v>98</v>
      </c>
      <c r="F35" s="5" t="s">
        <v>60</v>
      </c>
      <c r="G35" s="5" t="s">
        <v>99</v>
      </c>
      <c r="H35" s="5" t="s">
        <v>100</v>
      </c>
      <c r="I35" s="5" t="s">
        <v>101</v>
      </c>
      <c r="J35" s="5" t="s">
        <v>102</v>
      </c>
      <c r="K35" s="5" t="s">
        <v>103</v>
      </c>
      <c r="L35" s="5" t="s">
        <v>104</v>
      </c>
      <c r="M35" s="5" t="s">
        <v>105</v>
      </c>
      <c r="N35" s="5" t="s">
        <v>106</v>
      </c>
      <c r="O35" s="5" t="s">
        <v>107</v>
      </c>
      <c r="P35" s="5" t="s">
        <v>108</v>
      </c>
      <c r="Q35" s="5" t="s">
        <v>109</v>
      </c>
      <c r="R35" s="5" t="s">
        <v>110</v>
      </c>
      <c r="T35" s="8" t="s">
        <v>54</v>
      </c>
      <c r="U35" s="23" t="str">
        <f>F3</f>
        <v>GWL-FIFO-LOT-BATCH-10001(FG)</v>
      </c>
      <c r="V35" s="23" t="str">
        <f>U35</f>
        <v>GWL-FIFO-LOT-BATCH-10001(FG)</v>
      </c>
      <c r="W35" s="23" t="s">
        <v>14</v>
      </c>
      <c r="X35" s="23" t="s">
        <v>14</v>
      </c>
      <c r="Y35" s="24">
        <f>H3</f>
        <v>3</v>
      </c>
      <c r="Z35" s="24">
        <f>K15</f>
        <v>1</v>
      </c>
      <c r="AA35" s="24"/>
      <c r="AB35" s="25">
        <v>1</v>
      </c>
      <c r="AC35" s="25">
        <v>25</v>
      </c>
      <c r="AD35" s="25">
        <v>1</v>
      </c>
      <c r="AE35" s="24">
        <f>ROUND(Y35*AD35/AB35,3)</f>
        <v>3</v>
      </c>
      <c r="AF35" s="26">
        <f>AE35*(AC35/Y35)</f>
        <v>25</v>
      </c>
      <c r="AG35" s="25">
        <f>AE35*AF35</f>
        <v>75</v>
      </c>
      <c r="AH35" s="25"/>
      <c r="AI35" s="27"/>
      <c r="AJ35" s="27"/>
      <c r="AK35" s="28">
        <v>18</v>
      </c>
      <c r="AL35" s="25">
        <f>IF(OR(V32=1,V32=4),ROUND(((((AF35*AE35)*AK35)/100)/2),2),0)</f>
        <v>6.75</v>
      </c>
      <c r="AM35" s="25">
        <f>IF(V32=1,ROUND(((((AF35*AE35)*AK35)/100)/2),2),0)</f>
        <v>6.75</v>
      </c>
      <c r="AN35" s="25">
        <f>IF(V32=2,ROUND((((AE35*AF35)*AK35)/100),2),0)</f>
        <v>0</v>
      </c>
      <c r="AO35" s="25">
        <f>IF(V32=3,ROUND((((AE35*AF35)*AK35)/100),2),0)</f>
        <v>0</v>
      </c>
      <c r="AP35" s="25">
        <f>SUM(AL35:AN35)</f>
        <v>13.5</v>
      </c>
      <c r="AQ35" s="29">
        <v>0</v>
      </c>
      <c r="AR35" s="25">
        <f>AG35*AQ35</f>
        <v>0</v>
      </c>
      <c r="AS35" s="25">
        <f>AG35+AP35</f>
        <v>88.5</v>
      </c>
      <c r="AT35" s="30">
        <v>100</v>
      </c>
      <c r="AU35" s="30">
        <v>110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111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56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K19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30">
        <f>AU35</f>
        <v>110</v>
      </c>
      <c r="AU36" s="30">
        <v>111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111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156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>SUM(AG36:AG36)</f>
        <v>75</v>
      </c>
      <c r="AH37" s="32">
        <f>SUM(AH36:AH36)</f>
        <v>0</v>
      </c>
      <c r="AI37" s="32"/>
      <c r="AJ37" s="32"/>
      <c r="AK37" s="32"/>
      <c r="AL37" s="33">
        <f t="shared" ref="AL37:AS37" si="7">SUM(AL35:AL36)</f>
        <v>13.5</v>
      </c>
      <c r="AM37" s="33">
        <f t="shared" si="7"/>
        <v>13.5</v>
      </c>
      <c r="AN37" s="33">
        <f t="shared" si="7"/>
        <v>0</v>
      </c>
      <c r="AO37" s="33">
        <f t="shared" si="7"/>
        <v>0</v>
      </c>
      <c r="AP37" s="33">
        <f t="shared" si="7"/>
        <v>27</v>
      </c>
      <c r="AQ37" s="33">
        <f t="shared" si="7"/>
        <v>0</v>
      </c>
      <c r="AR37" s="33">
        <f t="shared" si="7"/>
        <v>0</v>
      </c>
      <c r="AS37" s="35">
        <f t="shared" si="7"/>
        <v>177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111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73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111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74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111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75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111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76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111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112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113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157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94</v>
      </c>
      <c r="B45" s="4" t="s">
        <v>95</v>
      </c>
      <c r="C45" s="4" t="s">
        <v>96</v>
      </c>
      <c r="D45" s="4" t="s">
        <v>97</v>
      </c>
      <c r="E45" s="4" t="s">
        <v>98</v>
      </c>
      <c r="F45" s="4" t="s">
        <v>60</v>
      </c>
      <c r="G45" s="4" t="s">
        <v>99</v>
      </c>
      <c r="H45" s="4" t="s">
        <v>100</v>
      </c>
      <c r="I45" s="4" t="s">
        <v>101</v>
      </c>
      <c r="J45" s="4" t="s">
        <v>102</v>
      </c>
      <c r="K45" s="4" t="s">
        <v>103</v>
      </c>
      <c r="L45" s="4" t="s">
        <v>104</v>
      </c>
      <c r="M45" s="4" t="s">
        <v>105</v>
      </c>
      <c r="N45" s="5" t="s">
        <v>106</v>
      </c>
      <c r="O45" s="5" t="s">
        <v>107</v>
      </c>
      <c r="P45" s="5" t="s">
        <v>108</v>
      </c>
      <c r="Q45" s="5" t="s">
        <v>109</v>
      </c>
      <c r="R45" s="5" t="s">
        <v>110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115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79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115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80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115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81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115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82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115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83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115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84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115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85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118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86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118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87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118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88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118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89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118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90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118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91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118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116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116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112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113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104</v>
      </c>
      <c r="L65" s="9">
        <f>L66/H3</f>
        <v>700</v>
      </c>
    </row>
    <row r="66" spans="11:12">
      <c r="K66" s="9" t="s">
        <v>119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9"/>
  <sheetViews>
    <sheetView zoomScale="60" zoomScaleNormal="60" workbookViewId="0">
      <selection activeCell="E19" sqref="E19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159</v>
      </c>
      <c r="F3" s="7" t="s">
        <v>18</v>
      </c>
      <c r="G3" s="54" t="s">
        <v>19</v>
      </c>
      <c r="H3" s="6">
        <v>3</v>
      </c>
      <c r="I3" s="8" t="s">
        <v>120</v>
      </c>
      <c r="J3" s="8">
        <f>I3+H3</f>
        <v>189</v>
      </c>
      <c r="K3" s="8" t="s">
        <v>21</v>
      </c>
      <c r="L3" s="8">
        <f>(K3+L68)/2</f>
        <v>420</v>
      </c>
      <c r="M3" s="9">
        <f>L68</f>
        <v>420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111</v>
      </c>
      <c r="I11" s="8" t="s">
        <v>78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111</v>
      </c>
      <c r="I12" s="8" t="s">
        <v>78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111</v>
      </c>
      <c r="I13" s="8" t="s">
        <v>78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s="8" t="s">
        <v>111</v>
      </c>
      <c r="I14" s="8" t="s">
        <v>78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s="8" t="s">
        <v>111</v>
      </c>
      <c r="I15" s="8" t="s">
        <v>78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s="8" t="s">
        <v>111</v>
      </c>
      <c r="I16" s="8" t="s">
        <v>78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s="8" t="s">
        <v>111</v>
      </c>
      <c r="I17" s="8" t="s">
        <v>78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67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78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71</v>
      </c>
      <c r="F19" s="8" t="s">
        <v>14</v>
      </c>
      <c r="G19" s="8" t="s">
        <v>68</v>
      </c>
      <c r="H19" s="8">
        <f t="shared" si="1"/>
        <v>998776</v>
      </c>
      <c r="I19" s="8" t="s">
        <v>78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72</v>
      </c>
      <c r="F20" s="8" t="s">
        <v>14</v>
      </c>
      <c r="G20" s="8" t="s">
        <v>68</v>
      </c>
      <c r="H20" s="8">
        <f t="shared" si="1"/>
        <v>998776</v>
      </c>
      <c r="I20" s="8" t="s">
        <v>78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73</v>
      </c>
      <c r="F21" s="8" t="s">
        <v>14</v>
      </c>
      <c r="G21" s="8" t="s">
        <v>68</v>
      </c>
      <c r="H21" s="8">
        <f t="shared" si="1"/>
        <v>998776</v>
      </c>
      <c r="I21" s="8" t="s">
        <v>78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74</v>
      </c>
      <c r="F22" s="8" t="s">
        <v>14</v>
      </c>
      <c r="G22" s="8" t="s">
        <v>68</v>
      </c>
      <c r="H22" s="8">
        <f t="shared" si="1"/>
        <v>998776</v>
      </c>
      <c r="I22" s="8" t="s">
        <v>78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75</v>
      </c>
      <c r="F23" s="8" t="s">
        <v>14</v>
      </c>
      <c r="G23" s="8" t="s">
        <v>68</v>
      </c>
      <c r="H23" s="8">
        <f t="shared" si="1"/>
        <v>998776</v>
      </c>
      <c r="I23" s="8" t="s">
        <v>78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76</v>
      </c>
      <c r="F24" s="8" t="s">
        <v>14</v>
      </c>
      <c r="G24" s="8" t="s">
        <v>68</v>
      </c>
      <c r="H24" s="8">
        <f t="shared" si="1"/>
        <v>998776</v>
      </c>
      <c r="I24" s="8" t="s">
        <v>78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67</v>
      </c>
      <c r="F25" s="8" t="s">
        <v>14</v>
      </c>
      <c r="G25" s="8" t="s">
        <v>68</v>
      </c>
      <c r="H25" s="8">
        <f t="shared" si="1"/>
        <v>998773</v>
      </c>
      <c r="I25" s="8" t="s">
        <v>78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71</v>
      </c>
      <c r="F26" s="8" t="s">
        <v>14</v>
      </c>
      <c r="G26" s="8" t="s">
        <v>68</v>
      </c>
      <c r="H26" s="8">
        <f t="shared" si="1"/>
        <v>998773</v>
      </c>
      <c r="I26" s="8" t="s">
        <v>78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72</v>
      </c>
      <c r="F27" s="8" t="s">
        <v>14</v>
      </c>
      <c r="G27" s="8" t="s">
        <v>68</v>
      </c>
      <c r="H27" s="8">
        <f t="shared" si="1"/>
        <v>998773</v>
      </c>
      <c r="I27" s="8" t="s">
        <v>78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73</v>
      </c>
      <c r="F28" s="8" t="s">
        <v>14</v>
      </c>
      <c r="G28" s="8" t="s">
        <v>68</v>
      </c>
      <c r="H28" s="8">
        <f t="shared" si="1"/>
        <v>998773</v>
      </c>
      <c r="I28" s="8" t="s">
        <v>78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74</v>
      </c>
      <c r="F29" s="8" t="s">
        <v>14</v>
      </c>
      <c r="G29" s="8" t="s">
        <v>68</v>
      </c>
      <c r="H29" s="8">
        <f t="shared" si="1"/>
        <v>998773</v>
      </c>
      <c r="I29" s="8" t="s">
        <v>78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75</v>
      </c>
      <c r="F30" s="8" t="s">
        <v>14</v>
      </c>
      <c r="G30" s="8" t="s">
        <v>68</v>
      </c>
      <c r="H30" s="8">
        <f t="shared" si="1"/>
        <v>998773</v>
      </c>
      <c r="I30" s="8" t="s">
        <v>78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76</v>
      </c>
      <c r="F31" s="8" t="s">
        <v>14</v>
      </c>
      <c r="G31" s="8" t="s">
        <v>68</v>
      </c>
      <c r="H31" s="8">
        <f t="shared" si="1"/>
        <v>998773</v>
      </c>
      <c r="I31" s="8" t="s">
        <v>78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124</v>
      </c>
      <c r="V32" s="16">
        <v>1</v>
      </c>
    </row>
    <row r="33" ht="15" spans="1:60 16305:16356">
      <c r="A33" s="3" t="s">
        <v>125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126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05:16356">
      <c r="A34" s="18" t="s">
        <v>93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93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05:16356">
      <c r="A35" s="5" t="s">
        <v>94</v>
      </c>
      <c r="B35" s="5" t="s">
        <v>95</v>
      </c>
      <c r="C35" s="5" t="s">
        <v>96</v>
      </c>
      <c r="D35" s="5" t="s">
        <v>97</v>
      </c>
      <c r="E35" s="5" t="s">
        <v>98</v>
      </c>
      <c r="F35" s="5" t="s">
        <v>60</v>
      </c>
      <c r="G35" s="5" t="s">
        <v>99</v>
      </c>
      <c r="H35" s="5" t="s">
        <v>100</v>
      </c>
      <c r="I35" s="5" t="s">
        <v>101</v>
      </c>
      <c r="J35" s="5" t="s">
        <v>102</v>
      </c>
      <c r="K35" s="5" t="s">
        <v>103</v>
      </c>
      <c r="L35" s="5" t="s">
        <v>104</v>
      </c>
      <c r="M35" s="5" t="s">
        <v>105</v>
      </c>
      <c r="N35" s="5" t="s">
        <v>106</v>
      </c>
      <c r="O35" s="5" t="s">
        <v>107</v>
      </c>
      <c r="P35" s="5" t="s">
        <v>108</v>
      </c>
      <c r="Q35" s="5" t="s">
        <v>109</v>
      </c>
      <c r="R35" s="5" t="s">
        <v>110</v>
      </c>
      <c r="T35" s="19" t="s">
        <v>127</v>
      </c>
      <c r="U35" s="19" t="s">
        <v>128</v>
      </c>
      <c r="V35" s="20" t="s">
        <v>129</v>
      </c>
      <c r="W35" s="19" t="s">
        <v>130</v>
      </c>
      <c r="X35" s="19" t="s">
        <v>131</v>
      </c>
      <c r="Y35" s="19" t="s">
        <v>132</v>
      </c>
      <c r="Z35" s="19" t="s">
        <v>133</v>
      </c>
      <c r="AA35" s="19" t="s">
        <v>134</v>
      </c>
      <c r="AB35" s="19" t="s">
        <v>135</v>
      </c>
      <c r="AC35" s="19" t="s">
        <v>136</v>
      </c>
      <c r="AD35" s="19" t="s">
        <v>137</v>
      </c>
      <c r="AE35" s="19" t="s">
        <v>138</v>
      </c>
      <c r="AF35" s="19" t="s">
        <v>139</v>
      </c>
      <c r="AG35" s="19" t="s">
        <v>140</v>
      </c>
      <c r="AH35" s="19" t="s">
        <v>141</v>
      </c>
      <c r="AI35" s="19" t="s">
        <v>142</v>
      </c>
      <c r="AJ35" s="19" t="s">
        <v>143</v>
      </c>
      <c r="AK35" s="21" t="s">
        <v>144</v>
      </c>
      <c r="AL35" s="21" t="s">
        <v>145</v>
      </c>
      <c r="AM35" s="21" t="s">
        <v>146</v>
      </c>
      <c r="AN35" s="21" t="s">
        <v>147</v>
      </c>
      <c r="AO35" s="21" t="s">
        <v>148</v>
      </c>
      <c r="AP35" s="21" t="s">
        <v>149</v>
      </c>
      <c r="AQ35" s="21" t="s">
        <v>150</v>
      </c>
      <c r="AR35" s="21" t="s">
        <v>151</v>
      </c>
      <c r="AS35" s="22" t="s">
        <v>152</v>
      </c>
      <c r="AT35" s="19" t="s">
        <v>153</v>
      </c>
      <c r="AU35" s="19" t="s">
        <v>154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111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155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111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156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111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73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111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74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111</v>
      </c>
      <c r="P40" s="8">
        <f t="shared" si="4"/>
        <v>998776</v>
      </c>
      <c r="Q40" s="8">
        <f t="shared" si="5"/>
        <v>-3</v>
      </c>
      <c r="R40" s="8">
        <f t="shared" si="6"/>
        <v>3</v>
      </c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</row>
    <row r="41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75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111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76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111</v>
      </c>
      <c r="P42" s="8">
        <f t="shared" si="4"/>
        <v>998776</v>
      </c>
      <c r="Q42" s="8">
        <f t="shared" si="5"/>
        <v>-3</v>
      </c>
      <c r="R42" s="8">
        <f t="shared" si="6"/>
        <v>3</v>
      </c>
    </row>
    <row r="43" spans="1:60 16305:16356">
      <c r="A43" s="36" t="s">
        <v>112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113</v>
      </c>
      <c r="P43" s="36"/>
      <c r="Q43" s="36"/>
      <c r="R43" s="36"/>
    </row>
    <row r="44" spans="1:60 16305:16356">
      <c r="A44" s="18" t="s">
        <v>114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305:16356">
      <c r="A45" s="5" t="s">
        <v>94</v>
      </c>
      <c r="B45" s="4" t="s">
        <v>95</v>
      </c>
      <c r="C45" s="4" t="s">
        <v>96</v>
      </c>
      <c r="D45" s="4" t="s">
        <v>97</v>
      </c>
      <c r="E45" s="4" t="s">
        <v>98</v>
      </c>
      <c r="F45" s="4" t="s">
        <v>60</v>
      </c>
      <c r="G45" s="4" t="s">
        <v>99</v>
      </c>
      <c r="H45" s="4" t="s">
        <v>100</v>
      </c>
      <c r="I45" s="4" t="s">
        <v>101</v>
      </c>
      <c r="J45" s="4" t="s">
        <v>102</v>
      </c>
      <c r="K45" s="4" t="s">
        <v>103</v>
      </c>
      <c r="L45" s="4" t="s">
        <v>104</v>
      </c>
      <c r="M45" s="4" t="s">
        <v>105</v>
      </c>
      <c r="N45" s="5" t="s">
        <v>106</v>
      </c>
      <c r="O45" s="5" t="s">
        <v>107</v>
      </c>
      <c r="P45" s="5" t="s">
        <v>108</v>
      </c>
      <c r="Q45" s="5" t="s">
        <v>109</v>
      </c>
      <c r="R45" s="5" t="s">
        <v>110</v>
      </c>
    </row>
    <row r="46" spans="1:60 16305:16356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8">L46*K46</f>
        <v>60</v>
      </c>
      <c r="N46" s="8" t="str">
        <f t="shared" ref="N46:N52" si="9">I18</f>
        <v>3</v>
      </c>
      <c r="O46" s="8" t="s">
        <v>115</v>
      </c>
      <c r="P46" s="8">
        <f t="shared" ref="P46:P52" si="10">O46-I46</f>
        <v>998773</v>
      </c>
      <c r="Q46" s="8">
        <f t="shared" ref="Q46:Q52" si="11">-I46</f>
        <v>-3</v>
      </c>
      <c r="R46" s="8">
        <f t="shared" ref="R46:R52" si="12">I46</f>
        <v>3</v>
      </c>
    </row>
    <row r="47" spans="1:60 16305:16356">
      <c r="A47" s="8">
        <v>2</v>
      </c>
      <c r="B47" s="8">
        <v>2</v>
      </c>
      <c r="C47" s="8" t="s">
        <v>54</v>
      </c>
      <c r="D47" s="8" t="s">
        <v>55</v>
      </c>
      <c r="E47" s="12" t="s">
        <v>79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115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305:16356">
      <c r="A48" s="8">
        <v>2</v>
      </c>
      <c r="B48" s="8">
        <v>3</v>
      </c>
      <c r="C48" s="8" t="s">
        <v>54</v>
      </c>
      <c r="D48" s="8" t="s">
        <v>55</v>
      </c>
      <c r="E48" s="12" t="s">
        <v>80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115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81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115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82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115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83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115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84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115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 t="s">
        <v>116</v>
      </c>
      <c r="B53" s="8"/>
      <c r="C53" s="8" t="s">
        <v>46</v>
      </c>
      <c r="D53" s="8" t="s">
        <v>47</v>
      </c>
      <c r="E53" s="7" t="s">
        <v>18</v>
      </c>
      <c r="F53" s="8" t="s">
        <v>14</v>
      </c>
      <c r="G53" s="8" t="s">
        <v>52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8"/>
        <v>420</v>
      </c>
      <c r="N53" s="8"/>
      <c r="O53" s="8"/>
      <c r="P53" s="8"/>
      <c r="Q53" s="8"/>
      <c r="R53" s="8"/>
    </row>
    <row r="54" spans="1:18">
      <c r="A54" s="36" t="s">
        <v>112</v>
      </c>
      <c r="B54" s="36">
        <v>1</v>
      </c>
      <c r="C54" s="36" t="s">
        <v>54</v>
      </c>
      <c r="D54" s="36"/>
      <c r="E54" s="36"/>
      <c r="F54" s="37"/>
      <c r="G54" s="36"/>
      <c r="H54" s="37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O54" s="36" t="s">
        <v>113</v>
      </c>
      <c r="P54" s="36"/>
      <c r="Q54" s="36"/>
      <c r="R54" s="36"/>
    </row>
    <row r="55" spans="1:18">
      <c r="A55" s="18" t="s">
        <v>117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</row>
    <row r="56" spans="1:18">
      <c r="A56" s="5" t="s">
        <v>94</v>
      </c>
      <c r="B56" s="4" t="s">
        <v>95</v>
      </c>
      <c r="C56" s="4" t="s">
        <v>96</v>
      </c>
      <c r="D56" s="4" t="s">
        <v>97</v>
      </c>
      <c r="E56" s="4" t="s">
        <v>98</v>
      </c>
      <c r="F56" s="4" t="s">
        <v>60</v>
      </c>
      <c r="G56" s="4" t="s">
        <v>99</v>
      </c>
      <c r="H56" s="4" t="s">
        <v>100</v>
      </c>
      <c r="I56" s="4" t="s">
        <v>101</v>
      </c>
      <c r="J56" s="4" t="s">
        <v>102</v>
      </c>
      <c r="K56" s="4" t="s">
        <v>103</v>
      </c>
      <c r="L56" s="4" t="s">
        <v>104</v>
      </c>
      <c r="M56" s="4" t="s">
        <v>105</v>
      </c>
      <c r="N56" s="5" t="s">
        <v>106</v>
      </c>
      <c r="O56" s="5" t="s">
        <v>107</v>
      </c>
      <c r="P56" s="5" t="s">
        <v>108</v>
      </c>
      <c r="Q56" s="5" t="s">
        <v>109</v>
      </c>
      <c r="R56" s="5" t="s">
        <v>110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85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ref="M57:M64" si="13">L57*K57</f>
        <v>60</v>
      </c>
      <c r="N57" s="8" t="str">
        <f t="shared" ref="N57:N63" si="14">I25</f>
        <v>3</v>
      </c>
      <c r="O57" s="8" t="s">
        <v>118</v>
      </c>
      <c r="P57" s="8">
        <f t="shared" ref="P57:P63" si="15">O57-I57</f>
        <v>998770</v>
      </c>
      <c r="Q57" s="8">
        <f t="shared" ref="Q57:Q63" si="16">-I57</f>
        <v>-3</v>
      </c>
      <c r="R57" s="8">
        <f t="shared" ref="R57:R63" si="17"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86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3"/>
        <v>60</v>
      </c>
      <c r="N58" s="8" t="str">
        <f t="shared" si="14"/>
        <v>3</v>
      </c>
      <c r="O58" s="8" t="s">
        <v>118</v>
      </c>
      <c r="P58" s="8">
        <f t="shared" si="15"/>
        <v>998770</v>
      </c>
      <c r="Q58" s="8">
        <f t="shared" si="16"/>
        <v>-3</v>
      </c>
      <c r="R58" s="8">
        <f t="shared" si="17"/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87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3"/>
        <v>60</v>
      </c>
      <c r="N59" s="8" t="str">
        <f t="shared" si="14"/>
        <v>3</v>
      </c>
      <c r="O59" s="8" t="s">
        <v>118</v>
      </c>
      <c r="P59" s="8">
        <f t="shared" si="15"/>
        <v>998770</v>
      </c>
      <c r="Q59" s="8">
        <f t="shared" si="16"/>
        <v>-3</v>
      </c>
      <c r="R59" s="8">
        <f t="shared" si="17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88</v>
      </c>
      <c r="F60" s="8" t="s">
        <v>14</v>
      </c>
      <c r="G60" s="8" t="s">
        <v>68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3"/>
        <v>60</v>
      </c>
      <c r="N60" s="8" t="str">
        <f t="shared" si="14"/>
        <v>3</v>
      </c>
      <c r="O60" s="8" t="s">
        <v>118</v>
      </c>
      <c r="P60" s="8">
        <f t="shared" si="15"/>
        <v>998770</v>
      </c>
      <c r="Q60" s="8">
        <f t="shared" si="16"/>
        <v>-3</v>
      </c>
      <c r="R60" s="8">
        <f t="shared" si="17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89</v>
      </c>
      <c r="F61" s="8" t="s">
        <v>14</v>
      </c>
      <c r="G61" s="8" t="s">
        <v>68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3"/>
        <v>60</v>
      </c>
      <c r="N61" s="8" t="str">
        <f t="shared" si="14"/>
        <v>3</v>
      </c>
      <c r="O61" s="8" t="s">
        <v>118</v>
      </c>
      <c r="P61" s="8">
        <f t="shared" si="15"/>
        <v>998770</v>
      </c>
      <c r="Q61" s="8">
        <f t="shared" si="16"/>
        <v>-3</v>
      </c>
      <c r="R61" s="8">
        <f t="shared" si="17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90</v>
      </c>
      <c r="F62" s="8" t="s">
        <v>14</v>
      </c>
      <c r="G62" s="8" t="s">
        <v>68</v>
      </c>
      <c r="H62" s="12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3"/>
        <v>60</v>
      </c>
      <c r="N62" s="8" t="str">
        <f t="shared" si="14"/>
        <v>3</v>
      </c>
      <c r="O62" s="8" t="s">
        <v>118</v>
      </c>
      <c r="P62" s="8">
        <f t="shared" si="15"/>
        <v>998770</v>
      </c>
      <c r="Q62" s="8">
        <f t="shared" si="16"/>
        <v>-3</v>
      </c>
      <c r="R62" s="8">
        <f t="shared" si="17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91</v>
      </c>
      <c r="F63" s="8" t="s">
        <v>14</v>
      </c>
      <c r="G63" s="8" t="s">
        <v>68</v>
      </c>
      <c r="H63" s="12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3"/>
        <v>60</v>
      </c>
      <c r="N63" s="8" t="str">
        <f t="shared" si="14"/>
        <v>3</v>
      </c>
      <c r="O63" s="8" t="s">
        <v>118</v>
      </c>
      <c r="P63" s="8">
        <f t="shared" si="15"/>
        <v>998770</v>
      </c>
      <c r="Q63" s="8">
        <f t="shared" si="16"/>
        <v>-3</v>
      </c>
      <c r="R63" s="8">
        <f t="shared" si="17"/>
        <v>3</v>
      </c>
    </row>
    <row r="64" spans="1:18">
      <c r="A64" s="8" t="s">
        <v>116</v>
      </c>
      <c r="B64" s="8"/>
      <c r="C64" s="8" t="s">
        <v>54</v>
      </c>
      <c r="D64" s="8" t="s">
        <v>55</v>
      </c>
      <c r="E64" s="7" t="s">
        <v>18</v>
      </c>
      <c r="F64" s="8" t="s">
        <v>14</v>
      </c>
      <c r="G64" s="8" t="s">
        <v>52</v>
      </c>
      <c r="H64" s="12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3"/>
        <v>840</v>
      </c>
      <c r="N64" s="8"/>
      <c r="O64" s="8"/>
      <c r="P64" s="8"/>
      <c r="Q64" s="8"/>
      <c r="R64" s="8"/>
    </row>
    <row r="65" spans="1:18">
      <c r="A65" s="36" t="s">
        <v>112</v>
      </c>
      <c r="B65" s="36">
        <v>1</v>
      </c>
      <c r="C65" s="36" t="s">
        <v>56</v>
      </c>
      <c r="D65" s="36"/>
      <c r="E65" s="36"/>
      <c r="F65" s="37"/>
      <c r="G65" s="36"/>
      <c r="H65" s="37" t="s">
        <v>52</v>
      </c>
      <c r="I65" s="37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O65" s="36" t="s">
        <v>113</v>
      </c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8" spans="1:18">
      <c r="K68" s="9" t="s">
        <v>104</v>
      </c>
      <c r="L68" s="9">
        <f>L69/H3</f>
        <v>420</v>
      </c>
    </row>
    <row r="69" spans="1:18">
      <c r="K69" s="9" t="s">
        <v>119</v>
      </c>
      <c r="L69" s="9">
        <f>M65+AG7</f>
        <v>1260</v>
      </c>
    </row>
  </sheetData>
  <mergeCells count="10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  <mergeCell ref="A55:R55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workbookViewId="0">
      <selection activeCell="E17" sqref="E17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159</v>
      </c>
      <c r="F3" s="7" t="s">
        <v>18</v>
      </c>
      <c r="G3" s="54" t="s">
        <v>19</v>
      </c>
      <c r="H3" s="6">
        <v>3</v>
      </c>
      <c r="I3" s="8" t="s">
        <v>120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111</v>
      </c>
      <c r="I11" s="8" t="s">
        <v>78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111</v>
      </c>
      <c r="I12" s="8" t="s">
        <v>78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111</v>
      </c>
      <c r="I13" s="8" t="s">
        <v>78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s="8" t="s">
        <v>111</v>
      </c>
      <c r="I14" s="8" t="s">
        <v>78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s="8" t="s">
        <v>111</v>
      </c>
      <c r="I15" s="8" t="s">
        <v>78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s="8" t="s">
        <v>111</v>
      </c>
      <c r="I16" s="8" t="s">
        <v>78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s="8" t="s">
        <v>111</v>
      </c>
      <c r="I17" s="8" t="s">
        <v>78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78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79</v>
      </c>
      <c r="F19" s="8" t="s">
        <v>14</v>
      </c>
      <c r="G19" s="8" t="s">
        <v>68</v>
      </c>
      <c r="H19" s="8">
        <f t="shared" si="1"/>
        <v>998776</v>
      </c>
      <c r="I19" s="8" t="s">
        <v>78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80</v>
      </c>
      <c r="F20" s="8" t="s">
        <v>14</v>
      </c>
      <c r="G20" s="8" t="s">
        <v>68</v>
      </c>
      <c r="H20" s="8">
        <f t="shared" si="1"/>
        <v>998776</v>
      </c>
      <c r="I20" s="8" t="s">
        <v>78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81</v>
      </c>
      <c r="F21" s="8" t="s">
        <v>14</v>
      </c>
      <c r="G21" s="8" t="s">
        <v>68</v>
      </c>
      <c r="H21" s="8">
        <f t="shared" si="1"/>
        <v>998776</v>
      </c>
      <c r="I21" s="8" t="s">
        <v>78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82</v>
      </c>
      <c r="F22" s="8" t="s">
        <v>14</v>
      </c>
      <c r="G22" s="8" t="s">
        <v>68</v>
      </c>
      <c r="H22" s="8">
        <f t="shared" si="1"/>
        <v>998776</v>
      </c>
      <c r="I22" s="8" t="s">
        <v>78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83</v>
      </c>
      <c r="F23" s="8" t="s">
        <v>14</v>
      </c>
      <c r="G23" s="8" t="s">
        <v>68</v>
      </c>
      <c r="H23" s="8">
        <f t="shared" si="1"/>
        <v>998776</v>
      </c>
      <c r="I23" s="8" t="s">
        <v>78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84</v>
      </c>
      <c r="F24" s="8" t="s">
        <v>14</v>
      </c>
      <c r="G24" s="8" t="s">
        <v>68</v>
      </c>
      <c r="H24" s="8">
        <f t="shared" si="1"/>
        <v>998776</v>
      </c>
      <c r="I24" s="8" t="s">
        <v>78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85</v>
      </c>
      <c r="F25" s="8" t="s">
        <v>14</v>
      </c>
      <c r="G25" s="8" t="s">
        <v>68</v>
      </c>
      <c r="H25" s="8">
        <f t="shared" si="1"/>
        <v>998773</v>
      </c>
      <c r="I25" s="8" t="s">
        <v>78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86</v>
      </c>
      <c r="F26" s="8" t="s">
        <v>14</v>
      </c>
      <c r="G26" s="8" t="s">
        <v>68</v>
      </c>
      <c r="H26" s="8">
        <f t="shared" si="1"/>
        <v>998773</v>
      </c>
      <c r="I26" s="8" t="s">
        <v>78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87</v>
      </c>
      <c r="F27" s="8" t="s">
        <v>14</v>
      </c>
      <c r="G27" s="8" t="s">
        <v>68</v>
      </c>
      <c r="H27" s="8">
        <f t="shared" si="1"/>
        <v>998773</v>
      </c>
      <c r="I27" s="8" t="s">
        <v>78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88</v>
      </c>
      <c r="F28" s="8" t="s">
        <v>14</v>
      </c>
      <c r="G28" s="8" t="s">
        <v>68</v>
      </c>
      <c r="H28" s="8">
        <f t="shared" si="1"/>
        <v>998773</v>
      </c>
      <c r="I28" s="8" t="s">
        <v>78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89</v>
      </c>
      <c r="F29" s="8" t="s">
        <v>14</v>
      </c>
      <c r="G29" s="8" t="s">
        <v>68</v>
      </c>
      <c r="H29" s="8">
        <f t="shared" si="1"/>
        <v>998773</v>
      </c>
      <c r="I29" s="8" t="s">
        <v>78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90</v>
      </c>
      <c r="F30" s="8" t="s">
        <v>14</v>
      </c>
      <c r="G30" s="8" t="s">
        <v>68</v>
      </c>
      <c r="H30" s="8">
        <f t="shared" si="1"/>
        <v>998773</v>
      </c>
      <c r="I30" s="8" t="s">
        <v>78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91</v>
      </c>
      <c r="F31" s="8" t="s">
        <v>14</v>
      </c>
      <c r="G31" s="8" t="s">
        <v>68</v>
      </c>
      <c r="H31" s="8">
        <f t="shared" si="1"/>
        <v>998773</v>
      </c>
      <c r="I31" s="8" t="s">
        <v>78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124</v>
      </c>
      <c r="V32" s="16">
        <v>1</v>
      </c>
    </row>
    <row r="33" ht="15" spans="1:60 16277:16356">
      <c r="A33" s="3" t="s">
        <v>125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126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93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93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94</v>
      </c>
      <c r="B35" s="5" t="s">
        <v>95</v>
      </c>
      <c r="C35" s="5" t="s">
        <v>96</v>
      </c>
      <c r="D35" s="5" t="s">
        <v>97</v>
      </c>
      <c r="E35" s="5" t="s">
        <v>98</v>
      </c>
      <c r="F35" s="5" t="s">
        <v>60</v>
      </c>
      <c r="G35" s="5" t="s">
        <v>99</v>
      </c>
      <c r="H35" s="5" t="s">
        <v>100</v>
      </c>
      <c r="I35" s="5" t="s">
        <v>101</v>
      </c>
      <c r="J35" s="5" t="s">
        <v>102</v>
      </c>
      <c r="K35" s="5" t="s">
        <v>103</v>
      </c>
      <c r="L35" s="5" t="s">
        <v>104</v>
      </c>
      <c r="M35" s="5" t="s">
        <v>105</v>
      </c>
      <c r="N35" s="5" t="s">
        <v>106</v>
      </c>
      <c r="O35" s="5" t="s">
        <v>107</v>
      </c>
      <c r="P35" s="5" t="s">
        <v>108</v>
      </c>
      <c r="Q35" s="5" t="s">
        <v>109</v>
      </c>
      <c r="R35" s="5" t="s">
        <v>110</v>
      </c>
      <c r="T35" s="19" t="s">
        <v>127</v>
      </c>
      <c r="U35" s="19" t="s">
        <v>128</v>
      </c>
      <c r="V35" s="20" t="s">
        <v>129</v>
      </c>
      <c r="W35" s="19" t="s">
        <v>130</v>
      </c>
      <c r="X35" s="19" t="s">
        <v>131</v>
      </c>
      <c r="Y35" s="19" t="s">
        <v>132</v>
      </c>
      <c r="Z35" s="19" t="s">
        <v>133</v>
      </c>
      <c r="AA35" s="19" t="s">
        <v>134</v>
      </c>
      <c r="AB35" s="19" t="s">
        <v>135</v>
      </c>
      <c r="AC35" s="19" t="s">
        <v>136</v>
      </c>
      <c r="AD35" s="19" t="s">
        <v>137</v>
      </c>
      <c r="AE35" s="19" t="s">
        <v>138</v>
      </c>
      <c r="AF35" s="19" t="s">
        <v>139</v>
      </c>
      <c r="AG35" s="19" t="s">
        <v>140</v>
      </c>
      <c r="AH35" s="19" t="s">
        <v>141</v>
      </c>
      <c r="AI35" s="19" t="s">
        <v>142</v>
      </c>
      <c r="AJ35" s="19" t="s">
        <v>143</v>
      </c>
      <c r="AK35" s="21" t="s">
        <v>144</v>
      </c>
      <c r="AL35" s="21" t="s">
        <v>145</v>
      </c>
      <c r="AM35" s="21" t="s">
        <v>146</v>
      </c>
      <c r="AN35" s="21" t="s">
        <v>147</v>
      </c>
      <c r="AO35" s="21" t="s">
        <v>148</v>
      </c>
      <c r="AP35" s="21" t="s">
        <v>149</v>
      </c>
      <c r="AQ35" s="21" t="s">
        <v>150</v>
      </c>
      <c r="AR35" s="21" t="s">
        <v>151</v>
      </c>
      <c r="AS35" s="22" t="s">
        <v>152</v>
      </c>
      <c r="AT35" s="19" t="s">
        <v>153</v>
      </c>
      <c r="AU35" s="19" t="s">
        <v>154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111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155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111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156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111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73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111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74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111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75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111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76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111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112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113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157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94</v>
      </c>
      <c r="B45" s="4" t="s">
        <v>95</v>
      </c>
      <c r="C45" s="4" t="s">
        <v>96</v>
      </c>
      <c r="D45" s="4" t="s">
        <v>97</v>
      </c>
      <c r="E45" s="4" t="s">
        <v>98</v>
      </c>
      <c r="F45" s="4" t="s">
        <v>60</v>
      </c>
      <c r="G45" s="4" t="s">
        <v>99</v>
      </c>
      <c r="H45" s="4" t="s">
        <v>100</v>
      </c>
      <c r="I45" s="4" t="s">
        <v>101</v>
      </c>
      <c r="J45" s="4" t="s">
        <v>102</v>
      </c>
      <c r="K45" s="4" t="s">
        <v>103</v>
      </c>
      <c r="L45" s="4" t="s">
        <v>104</v>
      </c>
      <c r="M45" s="4" t="s">
        <v>105</v>
      </c>
      <c r="N45" s="5" t="s">
        <v>106</v>
      </c>
      <c r="O45" s="5" t="s">
        <v>107</v>
      </c>
      <c r="P45" s="5" t="s">
        <v>108</v>
      </c>
      <c r="Q45" s="5" t="s">
        <v>109</v>
      </c>
      <c r="R45" s="5" t="s">
        <v>110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115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79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115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80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115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81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115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82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115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83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115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84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115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85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118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86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118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87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118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88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118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89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118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90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118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91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118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116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116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112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113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104</v>
      </c>
      <c r="L65" s="9">
        <f>L66/H3</f>
        <v>700</v>
      </c>
    </row>
    <row r="66" spans="11:12">
      <c r="K66" s="9" t="s">
        <v>119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workbookViewId="0">
      <selection activeCell="E16" sqref="E16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159</v>
      </c>
      <c r="F3" s="7" t="s">
        <v>18</v>
      </c>
      <c r="G3" s="54" t="s">
        <v>19</v>
      </c>
      <c r="H3" s="6">
        <v>3</v>
      </c>
      <c r="I3" s="8" t="s">
        <v>120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111</v>
      </c>
      <c r="I11" s="8" t="s">
        <v>78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111</v>
      </c>
      <c r="I12" s="8" t="s">
        <v>78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111</v>
      </c>
      <c r="I13" s="8" t="s">
        <v>78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s="8" t="s">
        <v>111</v>
      </c>
      <c r="I14" s="8" t="s">
        <v>78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s="8" t="s">
        <v>111</v>
      </c>
      <c r="I15" s="8" t="s">
        <v>78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s="8" t="s">
        <v>111</v>
      </c>
      <c r="I16" s="8" t="s">
        <v>78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s="8" t="s">
        <v>111</v>
      </c>
      <c r="I17" s="8" t="s">
        <v>78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78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79</v>
      </c>
      <c r="F19" s="8" t="s">
        <v>14</v>
      </c>
      <c r="G19" s="8" t="s">
        <v>68</v>
      </c>
      <c r="H19" s="8">
        <f t="shared" si="1"/>
        <v>998776</v>
      </c>
      <c r="I19" s="8" t="s">
        <v>78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80</v>
      </c>
      <c r="F20" s="8" t="s">
        <v>14</v>
      </c>
      <c r="G20" s="8" t="s">
        <v>68</v>
      </c>
      <c r="H20" s="8">
        <f t="shared" si="1"/>
        <v>998776</v>
      </c>
      <c r="I20" s="8" t="s">
        <v>78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81</v>
      </c>
      <c r="F21" s="8" t="s">
        <v>14</v>
      </c>
      <c r="G21" s="8" t="s">
        <v>68</v>
      </c>
      <c r="H21" s="8">
        <f t="shared" si="1"/>
        <v>998776</v>
      </c>
      <c r="I21" s="8" t="s">
        <v>78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82</v>
      </c>
      <c r="F22" s="8" t="s">
        <v>14</v>
      </c>
      <c r="G22" s="8" t="s">
        <v>68</v>
      </c>
      <c r="H22" s="8">
        <f t="shared" si="1"/>
        <v>998776</v>
      </c>
      <c r="I22" s="8" t="s">
        <v>78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83</v>
      </c>
      <c r="F23" s="8" t="s">
        <v>14</v>
      </c>
      <c r="G23" s="8" t="s">
        <v>68</v>
      </c>
      <c r="H23" s="8">
        <f t="shared" si="1"/>
        <v>998776</v>
      </c>
      <c r="I23" s="8" t="s">
        <v>78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84</v>
      </c>
      <c r="F24" s="8" t="s">
        <v>14</v>
      </c>
      <c r="G24" s="8" t="s">
        <v>68</v>
      </c>
      <c r="H24" s="8">
        <f t="shared" si="1"/>
        <v>998776</v>
      </c>
      <c r="I24" s="8" t="s">
        <v>78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85</v>
      </c>
      <c r="F25" s="8" t="s">
        <v>14</v>
      </c>
      <c r="G25" s="8" t="s">
        <v>68</v>
      </c>
      <c r="H25" s="8">
        <f t="shared" si="1"/>
        <v>998773</v>
      </c>
      <c r="I25" s="8" t="s">
        <v>78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86</v>
      </c>
      <c r="F26" s="8" t="s">
        <v>14</v>
      </c>
      <c r="G26" s="8" t="s">
        <v>68</v>
      </c>
      <c r="H26" s="8">
        <f t="shared" si="1"/>
        <v>998773</v>
      </c>
      <c r="I26" s="8" t="s">
        <v>78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87</v>
      </c>
      <c r="F27" s="8" t="s">
        <v>14</v>
      </c>
      <c r="G27" s="8" t="s">
        <v>68</v>
      </c>
      <c r="H27" s="8">
        <f t="shared" si="1"/>
        <v>998773</v>
      </c>
      <c r="I27" s="8" t="s">
        <v>78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88</v>
      </c>
      <c r="F28" s="8" t="s">
        <v>14</v>
      </c>
      <c r="G28" s="8" t="s">
        <v>68</v>
      </c>
      <c r="H28" s="8">
        <f t="shared" si="1"/>
        <v>998773</v>
      </c>
      <c r="I28" s="8" t="s">
        <v>78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89</v>
      </c>
      <c r="F29" s="8" t="s">
        <v>14</v>
      </c>
      <c r="G29" s="8" t="s">
        <v>68</v>
      </c>
      <c r="H29" s="8">
        <f t="shared" si="1"/>
        <v>998773</v>
      </c>
      <c r="I29" s="8" t="s">
        <v>78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90</v>
      </c>
      <c r="F30" s="8" t="s">
        <v>14</v>
      </c>
      <c r="G30" s="8" t="s">
        <v>68</v>
      </c>
      <c r="H30" s="8">
        <f t="shared" si="1"/>
        <v>998773</v>
      </c>
      <c r="I30" s="8" t="s">
        <v>78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91</v>
      </c>
      <c r="F31" s="8" t="s">
        <v>14</v>
      </c>
      <c r="G31" s="8" t="s">
        <v>68</v>
      </c>
      <c r="H31" s="8">
        <f t="shared" si="1"/>
        <v>998773</v>
      </c>
      <c r="I31" s="8" t="s">
        <v>78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124</v>
      </c>
      <c r="V32" s="16">
        <v>1</v>
      </c>
    </row>
    <row r="33" ht="15" spans="1:60 16277:16356">
      <c r="A33" s="3" t="s">
        <v>125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126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93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93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94</v>
      </c>
      <c r="B35" s="5" t="s">
        <v>95</v>
      </c>
      <c r="C35" s="5" t="s">
        <v>96</v>
      </c>
      <c r="D35" s="5" t="s">
        <v>97</v>
      </c>
      <c r="E35" s="5" t="s">
        <v>98</v>
      </c>
      <c r="F35" s="5" t="s">
        <v>60</v>
      </c>
      <c r="G35" s="5" t="s">
        <v>99</v>
      </c>
      <c r="H35" s="5" t="s">
        <v>100</v>
      </c>
      <c r="I35" s="5" t="s">
        <v>101</v>
      </c>
      <c r="J35" s="5" t="s">
        <v>102</v>
      </c>
      <c r="K35" s="5" t="s">
        <v>103</v>
      </c>
      <c r="L35" s="5" t="s">
        <v>104</v>
      </c>
      <c r="M35" s="5" t="s">
        <v>105</v>
      </c>
      <c r="N35" s="5" t="s">
        <v>106</v>
      </c>
      <c r="O35" s="5" t="s">
        <v>107</v>
      </c>
      <c r="P35" s="5" t="s">
        <v>108</v>
      </c>
      <c r="Q35" s="5" t="s">
        <v>109</v>
      </c>
      <c r="R35" s="5" t="s">
        <v>110</v>
      </c>
      <c r="T35" s="19" t="s">
        <v>127</v>
      </c>
      <c r="U35" s="19" t="s">
        <v>128</v>
      </c>
      <c r="V35" s="20" t="s">
        <v>129</v>
      </c>
      <c r="W35" s="19" t="s">
        <v>130</v>
      </c>
      <c r="X35" s="19" t="s">
        <v>131</v>
      </c>
      <c r="Y35" s="19" t="s">
        <v>132</v>
      </c>
      <c r="Z35" s="19" t="s">
        <v>133</v>
      </c>
      <c r="AA35" s="19" t="s">
        <v>134</v>
      </c>
      <c r="AB35" s="19" t="s">
        <v>135</v>
      </c>
      <c r="AC35" s="19" t="s">
        <v>136</v>
      </c>
      <c r="AD35" s="19" t="s">
        <v>137</v>
      </c>
      <c r="AE35" s="19" t="s">
        <v>138</v>
      </c>
      <c r="AF35" s="19" t="s">
        <v>139</v>
      </c>
      <c r="AG35" s="19" t="s">
        <v>140</v>
      </c>
      <c r="AH35" s="19" t="s">
        <v>141</v>
      </c>
      <c r="AI35" s="19" t="s">
        <v>142</v>
      </c>
      <c r="AJ35" s="19" t="s">
        <v>143</v>
      </c>
      <c r="AK35" s="21" t="s">
        <v>144</v>
      </c>
      <c r="AL35" s="21" t="s">
        <v>145</v>
      </c>
      <c r="AM35" s="21" t="s">
        <v>146</v>
      </c>
      <c r="AN35" s="21" t="s">
        <v>147</v>
      </c>
      <c r="AO35" s="21" t="s">
        <v>148</v>
      </c>
      <c r="AP35" s="21" t="s">
        <v>149</v>
      </c>
      <c r="AQ35" s="21" t="s">
        <v>150</v>
      </c>
      <c r="AR35" s="21" t="s">
        <v>151</v>
      </c>
      <c r="AS35" s="22" t="s">
        <v>152</v>
      </c>
      <c r="AT35" s="19" t="s">
        <v>153</v>
      </c>
      <c r="AU35" s="19" t="s">
        <v>154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111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155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111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156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111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73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111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74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111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75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111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76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111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112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113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157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94</v>
      </c>
      <c r="B45" s="4" t="s">
        <v>95</v>
      </c>
      <c r="C45" s="4" t="s">
        <v>96</v>
      </c>
      <c r="D45" s="4" t="s">
        <v>97</v>
      </c>
      <c r="E45" s="4" t="s">
        <v>98</v>
      </c>
      <c r="F45" s="4" t="s">
        <v>60</v>
      </c>
      <c r="G45" s="4" t="s">
        <v>99</v>
      </c>
      <c r="H45" s="4" t="s">
        <v>100</v>
      </c>
      <c r="I45" s="4" t="s">
        <v>101</v>
      </c>
      <c r="J45" s="4" t="s">
        <v>102</v>
      </c>
      <c r="K45" s="4" t="s">
        <v>103</v>
      </c>
      <c r="L45" s="4" t="s">
        <v>104</v>
      </c>
      <c r="M45" s="4" t="s">
        <v>105</v>
      </c>
      <c r="N45" s="5" t="s">
        <v>106</v>
      </c>
      <c r="O45" s="5" t="s">
        <v>107</v>
      </c>
      <c r="P45" s="5" t="s">
        <v>108</v>
      </c>
      <c r="Q45" s="5" t="s">
        <v>109</v>
      </c>
      <c r="R45" s="5" t="s">
        <v>110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115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79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115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80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115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81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115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82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115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83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115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84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115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85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118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86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118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87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118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88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118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89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118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90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118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91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118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116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116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112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113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104</v>
      </c>
      <c r="L65" s="9">
        <f>L66/H3</f>
        <v>700</v>
      </c>
    </row>
    <row r="66" spans="11:12">
      <c r="K66" s="9" t="s">
        <v>119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9"/>
  <sheetViews>
    <sheetView zoomScale="60" zoomScaleNormal="60" workbookViewId="0">
      <selection activeCell="E18" sqref="E18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160</v>
      </c>
      <c r="F3" s="7" t="s">
        <v>18</v>
      </c>
      <c r="G3" s="54" t="s">
        <v>19</v>
      </c>
      <c r="H3" s="6">
        <v>3</v>
      </c>
      <c r="I3" s="8" t="s">
        <v>120</v>
      </c>
      <c r="J3" s="8">
        <f>I3+H3</f>
        <v>189</v>
      </c>
      <c r="K3" s="8" t="s">
        <v>21</v>
      </c>
      <c r="L3" s="8">
        <f>(K3+L68)/2</f>
        <v>420</v>
      </c>
      <c r="M3" s="9">
        <f>L68</f>
        <v>420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111</v>
      </c>
      <c r="I11" s="8" t="s">
        <v>78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111</v>
      </c>
      <c r="I12" s="8" t="s">
        <v>78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111</v>
      </c>
      <c r="I13" s="8" t="s">
        <v>78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s="8" t="s">
        <v>111</v>
      </c>
      <c r="I14" s="8" t="s">
        <v>78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s="8" t="s">
        <v>111</v>
      </c>
      <c r="I15" s="8" t="s">
        <v>78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s="8" t="s">
        <v>111</v>
      </c>
      <c r="I16" s="8" t="s">
        <v>78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s="8" t="s">
        <v>111</v>
      </c>
      <c r="I17" s="8" t="s">
        <v>78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67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78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71</v>
      </c>
      <c r="F19" s="8" t="s">
        <v>14</v>
      </c>
      <c r="G19" s="8" t="s">
        <v>68</v>
      </c>
      <c r="H19" s="8">
        <f t="shared" si="1"/>
        <v>998776</v>
      </c>
      <c r="I19" s="8" t="s">
        <v>78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72</v>
      </c>
      <c r="F20" s="8" t="s">
        <v>14</v>
      </c>
      <c r="G20" s="8" t="s">
        <v>68</v>
      </c>
      <c r="H20" s="8">
        <f t="shared" si="1"/>
        <v>998776</v>
      </c>
      <c r="I20" s="8" t="s">
        <v>78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73</v>
      </c>
      <c r="F21" s="8" t="s">
        <v>14</v>
      </c>
      <c r="G21" s="8" t="s">
        <v>68</v>
      </c>
      <c r="H21" s="8">
        <f t="shared" si="1"/>
        <v>998776</v>
      </c>
      <c r="I21" s="8" t="s">
        <v>78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74</v>
      </c>
      <c r="F22" s="8" t="s">
        <v>14</v>
      </c>
      <c r="G22" s="8" t="s">
        <v>68</v>
      </c>
      <c r="H22" s="8">
        <f t="shared" si="1"/>
        <v>998776</v>
      </c>
      <c r="I22" s="8" t="s">
        <v>78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75</v>
      </c>
      <c r="F23" s="8" t="s">
        <v>14</v>
      </c>
      <c r="G23" s="8" t="s">
        <v>68</v>
      </c>
      <c r="H23" s="8">
        <f t="shared" si="1"/>
        <v>998776</v>
      </c>
      <c r="I23" s="8" t="s">
        <v>78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76</v>
      </c>
      <c r="F24" s="8" t="s">
        <v>14</v>
      </c>
      <c r="G24" s="8" t="s">
        <v>68</v>
      </c>
      <c r="H24" s="8">
        <f t="shared" si="1"/>
        <v>998776</v>
      </c>
      <c r="I24" s="8" t="s">
        <v>78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67</v>
      </c>
      <c r="F25" s="8" t="s">
        <v>14</v>
      </c>
      <c r="G25" s="8" t="s">
        <v>68</v>
      </c>
      <c r="H25" s="8">
        <f t="shared" si="1"/>
        <v>998773</v>
      </c>
      <c r="I25" s="8" t="s">
        <v>78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71</v>
      </c>
      <c r="F26" s="8" t="s">
        <v>14</v>
      </c>
      <c r="G26" s="8" t="s">
        <v>68</v>
      </c>
      <c r="H26" s="8">
        <f t="shared" si="1"/>
        <v>998773</v>
      </c>
      <c r="I26" s="8" t="s">
        <v>78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72</v>
      </c>
      <c r="F27" s="8" t="s">
        <v>14</v>
      </c>
      <c r="G27" s="8" t="s">
        <v>68</v>
      </c>
      <c r="H27" s="8">
        <f t="shared" si="1"/>
        <v>998773</v>
      </c>
      <c r="I27" s="8" t="s">
        <v>78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73</v>
      </c>
      <c r="F28" s="8" t="s">
        <v>14</v>
      </c>
      <c r="G28" s="8" t="s">
        <v>68</v>
      </c>
      <c r="H28" s="8">
        <f t="shared" si="1"/>
        <v>998773</v>
      </c>
      <c r="I28" s="8" t="s">
        <v>78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74</v>
      </c>
      <c r="F29" s="8" t="s">
        <v>14</v>
      </c>
      <c r="G29" s="8" t="s">
        <v>68</v>
      </c>
      <c r="H29" s="8">
        <f t="shared" si="1"/>
        <v>998773</v>
      </c>
      <c r="I29" s="8" t="s">
        <v>78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75</v>
      </c>
      <c r="F30" s="8" t="s">
        <v>14</v>
      </c>
      <c r="G30" s="8" t="s">
        <v>68</v>
      </c>
      <c r="H30" s="8">
        <f t="shared" si="1"/>
        <v>998773</v>
      </c>
      <c r="I30" s="8" t="s">
        <v>78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76</v>
      </c>
      <c r="F31" s="8" t="s">
        <v>14</v>
      </c>
      <c r="G31" s="8" t="s">
        <v>68</v>
      </c>
      <c r="H31" s="8">
        <f t="shared" si="1"/>
        <v>998773</v>
      </c>
      <c r="I31" s="8" t="s">
        <v>78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124</v>
      </c>
      <c r="V32" s="16">
        <v>1</v>
      </c>
    </row>
    <row r="33" ht="15" spans="1:60 16305:16356">
      <c r="A33" s="3" t="s">
        <v>125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126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05:16356">
      <c r="A34" s="18" t="s">
        <v>93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93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05:16356">
      <c r="A35" s="5" t="s">
        <v>94</v>
      </c>
      <c r="B35" s="5" t="s">
        <v>95</v>
      </c>
      <c r="C35" s="5" t="s">
        <v>96</v>
      </c>
      <c r="D35" s="5" t="s">
        <v>97</v>
      </c>
      <c r="E35" s="5" t="s">
        <v>98</v>
      </c>
      <c r="F35" s="5" t="s">
        <v>60</v>
      </c>
      <c r="G35" s="5" t="s">
        <v>99</v>
      </c>
      <c r="H35" s="5" t="s">
        <v>100</v>
      </c>
      <c r="I35" s="5" t="s">
        <v>101</v>
      </c>
      <c r="J35" s="5" t="s">
        <v>102</v>
      </c>
      <c r="K35" s="5" t="s">
        <v>103</v>
      </c>
      <c r="L35" s="5" t="s">
        <v>104</v>
      </c>
      <c r="M35" s="5" t="s">
        <v>105</v>
      </c>
      <c r="N35" s="5" t="s">
        <v>106</v>
      </c>
      <c r="O35" s="5" t="s">
        <v>107</v>
      </c>
      <c r="P35" s="5" t="s">
        <v>108</v>
      </c>
      <c r="Q35" s="5" t="s">
        <v>109</v>
      </c>
      <c r="R35" s="5" t="s">
        <v>110</v>
      </c>
      <c r="T35" s="19" t="s">
        <v>127</v>
      </c>
      <c r="U35" s="19" t="s">
        <v>128</v>
      </c>
      <c r="V35" s="20" t="s">
        <v>129</v>
      </c>
      <c r="W35" s="19" t="s">
        <v>130</v>
      </c>
      <c r="X35" s="19" t="s">
        <v>131</v>
      </c>
      <c r="Y35" s="19" t="s">
        <v>132</v>
      </c>
      <c r="Z35" s="19" t="s">
        <v>133</v>
      </c>
      <c r="AA35" s="19" t="s">
        <v>134</v>
      </c>
      <c r="AB35" s="19" t="s">
        <v>135</v>
      </c>
      <c r="AC35" s="19" t="s">
        <v>136</v>
      </c>
      <c r="AD35" s="19" t="s">
        <v>137</v>
      </c>
      <c r="AE35" s="19" t="s">
        <v>138</v>
      </c>
      <c r="AF35" s="19" t="s">
        <v>139</v>
      </c>
      <c r="AG35" s="19" t="s">
        <v>140</v>
      </c>
      <c r="AH35" s="19" t="s">
        <v>141</v>
      </c>
      <c r="AI35" s="19" t="s">
        <v>142</v>
      </c>
      <c r="AJ35" s="19" t="s">
        <v>143</v>
      </c>
      <c r="AK35" s="21" t="s">
        <v>144</v>
      </c>
      <c r="AL35" s="21" t="s">
        <v>145</v>
      </c>
      <c r="AM35" s="21" t="s">
        <v>146</v>
      </c>
      <c r="AN35" s="21" t="s">
        <v>147</v>
      </c>
      <c r="AO35" s="21" t="s">
        <v>148</v>
      </c>
      <c r="AP35" s="21" t="s">
        <v>149</v>
      </c>
      <c r="AQ35" s="21" t="s">
        <v>150</v>
      </c>
      <c r="AR35" s="21" t="s">
        <v>151</v>
      </c>
      <c r="AS35" s="22" t="s">
        <v>152</v>
      </c>
      <c r="AT35" s="19" t="s">
        <v>153</v>
      </c>
      <c r="AU35" s="19" t="s">
        <v>154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111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155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111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156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111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73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111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74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111</v>
      </c>
      <c r="P40" s="8">
        <f t="shared" si="4"/>
        <v>998776</v>
      </c>
      <c r="Q40" s="8">
        <f t="shared" si="5"/>
        <v>-3</v>
      </c>
      <c r="R40" s="8">
        <f t="shared" si="6"/>
        <v>3</v>
      </c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</row>
    <row r="41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75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111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76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111</v>
      </c>
      <c r="P42" s="8">
        <f t="shared" si="4"/>
        <v>998776</v>
      </c>
      <c r="Q42" s="8">
        <f t="shared" si="5"/>
        <v>-3</v>
      </c>
      <c r="R42" s="8">
        <f t="shared" si="6"/>
        <v>3</v>
      </c>
    </row>
    <row r="43" spans="1:60 16305:16356">
      <c r="A43" s="36" t="s">
        <v>112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113</v>
      </c>
      <c r="P43" s="36"/>
      <c r="Q43" s="36"/>
      <c r="R43" s="36"/>
    </row>
    <row r="44" spans="1:60 16305:16356">
      <c r="A44" s="18" t="s">
        <v>114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305:16356">
      <c r="A45" s="5" t="s">
        <v>94</v>
      </c>
      <c r="B45" s="4" t="s">
        <v>95</v>
      </c>
      <c r="C45" s="4" t="s">
        <v>96</v>
      </c>
      <c r="D45" s="4" t="s">
        <v>97</v>
      </c>
      <c r="E45" s="4" t="s">
        <v>98</v>
      </c>
      <c r="F45" s="4" t="s">
        <v>60</v>
      </c>
      <c r="G45" s="4" t="s">
        <v>99</v>
      </c>
      <c r="H45" s="4" t="s">
        <v>100</v>
      </c>
      <c r="I45" s="4" t="s">
        <v>101</v>
      </c>
      <c r="J45" s="4" t="s">
        <v>102</v>
      </c>
      <c r="K45" s="4" t="s">
        <v>103</v>
      </c>
      <c r="L45" s="4" t="s">
        <v>104</v>
      </c>
      <c r="M45" s="4" t="s">
        <v>105</v>
      </c>
      <c r="N45" s="5" t="s">
        <v>106</v>
      </c>
      <c r="O45" s="5" t="s">
        <v>107</v>
      </c>
      <c r="P45" s="5" t="s">
        <v>108</v>
      </c>
      <c r="Q45" s="5" t="s">
        <v>109</v>
      </c>
      <c r="R45" s="5" t="s">
        <v>110</v>
      </c>
    </row>
    <row r="46" spans="1:60 16305:16356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8">L46*K46</f>
        <v>60</v>
      </c>
      <c r="N46" s="8" t="str">
        <f t="shared" ref="N46:N52" si="9">I18</f>
        <v>3</v>
      </c>
      <c r="O46" s="8" t="s">
        <v>115</v>
      </c>
      <c r="P46" s="8">
        <f t="shared" ref="P46:P52" si="10">O46-I46</f>
        <v>998773</v>
      </c>
      <c r="Q46" s="8">
        <f t="shared" ref="Q46:Q52" si="11">-I46</f>
        <v>-3</v>
      </c>
      <c r="R46" s="8">
        <f t="shared" ref="R46:R52" si="12">I46</f>
        <v>3</v>
      </c>
    </row>
    <row r="47" spans="1:60 16305:16356">
      <c r="A47" s="8">
        <v>2</v>
      </c>
      <c r="B47" s="8">
        <v>2</v>
      </c>
      <c r="C47" s="8" t="s">
        <v>54</v>
      </c>
      <c r="D47" s="8" t="s">
        <v>55</v>
      </c>
      <c r="E47" s="12" t="s">
        <v>79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115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305:16356">
      <c r="A48" s="8">
        <v>2</v>
      </c>
      <c r="B48" s="8">
        <v>3</v>
      </c>
      <c r="C48" s="8" t="s">
        <v>54</v>
      </c>
      <c r="D48" s="8" t="s">
        <v>55</v>
      </c>
      <c r="E48" s="12" t="s">
        <v>80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115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81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115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82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115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83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115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84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115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 t="s">
        <v>116</v>
      </c>
      <c r="B53" s="8"/>
      <c r="C53" s="8" t="s">
        <v>46</v>
      </c>
      <c r="D53" s="8" t="s">
        <v>47</v>
      </c>
      <c r="E53" s="7" t="s">
        <v>18</v>
      </c>
      <c r="F53" s="8" t="s">
        <v>14</v>
      </c>
      <c r="G53" s="8" t="s">
        <v>52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8"/>
        <v>420</v>
      </c>
      <c r="N53" s="8"/>
      <c r="O53" s="8"/>
      <c r="P53" s="8"/>
      <c r="Q53" s="8"/>
      <c r="R53" s="8"/>
    </row>
    <row r="54" spans="1:18">
      <c r="A54" s="36" t="s">
        <v>112</v>
      </c>
      <c r="B54" s="36">
        <v>1</v>
      </c>
      <c r="C54" s="36" t="s">
        <v>54</v>
      </c>
      <c r="D54" s="36"/>
      <c r="E54" s="36"/>
      <c r="F54" s="37"/>
      <c r="G54" s="36"/>
      <c r="H54" s="37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O54" s="36" t="s">
        <v>113</v>
      </c>
      <c r="P54" s="36"/>
      <c r="Q54" s="36"/>
      <c r="R54" s="36"/>
    </row>
    <row r="55" spans="1:18">
      <c r="A55" s="18" t="s">
        <v>117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</row>
    <row r="56" spans="1:18">
      <c r="A56" s="5" t="s">
        <v>94</v>
      </c>
      <c r="B56" s="4" t="s">
        <v>95</v>
      </c>
      <c r="C56" s="4" t="s">
        <v>96</v>
      </c>
      <c r="D56" s="4" t="s">
        <v>97</v>
      </c>
      <c r="E56" s="4" t="s">
        <v>98</v>
      </c>
      <c r="F56" s="4" t="s">
        <v>60</v>
      </c>
      <c r="G56" s="4" t="s">
        <v>99</v>
      </c>
      <c r="H56" s="4" t="s">
        <v>100</v>
      </c>
      <c r="I56" s="4" t="s">
        <v>101</v>
      </c>
      <c r="J56" s="4" t="s">
        <v>102</v>
      </c>
      <c r="K56" s="4" t="s">
        <v>103</v>
      </c>
      <c r="L56" s="4" t="s">
        <v>104</v>
      </c>
      <c r="M56" s="4" t="s">
        <v>105</v>
      </c>
      <c r="N56" s="5" t="s">
        <v>106</v>
      </c>
      <c r="O56" s="5" t="s">
        <v>107</v>
      </c>
      <c r="P56" s="5" t="s">
        <v>108</v>
      </c>
      <c r="Q56" s="5" t="s">
        <v>109</v>
      </c>
      <c r="R56" s="5" t="s">
        <v>110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85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ref="M57:M64" si="13">L57*K57</f>
        <v>60</v>
      </c>
      <c r="N57" s="8" t="str">
        <f t="shared" ref="N57:N63" si="14">I25</f>
        <v>3</v>
      </c>
      <c r="O57" s="8" t="s">
        <v>118</v>
      </c>
      <c r="P57" s="8">
        <f t="shared" ref="P57:P63" si="15">O57-I57</f>
        <v>998770</v>
      </c>
      <c r="Q57" s="8">
        <f t="shared" ref="Q57:Q63" si="16">-I57</f>
        <v>-3</v>
      </c>
      <c r="R57" s="8">
        <f t="shared" ref="R57:R63" si="17"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86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3"/>
        <v>60</v>
      </c>
      <c r="N58" s="8" t="str">
        <f t="shared" si="14"/>
        <v>3</v>
      </c>
      <c r="O58" s="8" t="s">
        <v>118</v>
      </c>
      <c r="P58" s="8">
        <f t="shared" si="15"/>
        <v>998770</v>
      </c>
      <c r="Q58" s="8">
        <f t="shared" si="16"/>
        <v>-3</v>
      </c>
      <c r="R58" s="8">
        <f t="shared" si="17"/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87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3"/>
        <v>60</v>
      </c>
      <c r="N59" s="8" t="str">
        <f t="shared" si="14"/>
        <v>3</v>
      </c>
      <c r="O59" s="8" t="s">
        <v>118</v>
      </c>
      <c r="P59" s="8">
        <f t="shared" si="15"/>
        <v>998770</v>
      </c>
      <c r="Q59" s="8">
        <f t="shared" si="16"/>
        <v>-3</v>
      </c>
      <c r="R59" s="8">
        <f t="shared" si="17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88</v>
      </c>
      <c r="F60" s="8" t="s">
        <v>14</v>
      </c>
      <c r="G60" s="8" t="s">
        <v>68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3"/>
        <v>60</v>
      </c>
      <c r="N60" s="8" t="str">
        <f t="shared" si="14"/>
        <v>3</v>
      </c>
      <c r="O60" s="8" t="s">
        <v>118</v>
      </c>
      <c r="P60" s="8">
        <f t="shared" si="15"/>
        <v>998770</v>
      </c>
      <c r="Q60" s="8">
        <f t="shared" si="16"/>
        <v>-3</v>
      </c>
      <c r="R60" s="8">
        <f t="shared" si="17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89</v>
      </c>
      <c r="F61" s="8" t="s">
        <v>14</v>
      </c>
      <c r="G61" s="8" t="s">
        <v>68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3"/>
        <v>60</v>
      </c>
      <c r="N61" s="8" t="str">
        <f t="shared" si="14"/>
        <v>3</v>
      </c>
      <c r="O61" s="8" t="s">
        <v>118</v>
      </c>
      <c r="P61" s="8">
        <f t="shared" si="15"/>
        <v>998770</v>
      </c>
      <c r="Q61" s="8">
        <f t="shared" si="16"/>
        <v>-3</v>
      </c>
      <c r="R61" s="8">
        <f t="shared" si="17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90</v>
      </c>
      <c r="F62" s="8" t="s">
        <v>14</v>
      </c>
      <c r="G62" s="8" t="s">
        <v>68</v>
      </c>
      <c r="H62" s="12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3"/>
        <v>60</v>
      </c>
      <c r="N62" s="8" t="str">
        <f t="shared" si="14"/>
        <v>3</v>
      </c>
      <c r="O62" s="8" t="s">
        <v>118</v>
      </c>
      <c r="P62" s="8">
        <f t="shared" si="15"/>
        <v>998770</v>
      </c>
      <c r="Q62" s="8">
        <f t="shared" si="16"/>
        <v>-3</v>
      </c>
      <c r="R62" s="8">
        <f t="shared" si="17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91</v>
      </c>
      <c r="F63" s="8" t="s">
        <v>14</v>
      </c>
      <c r="G63" s="8" t="s">
        <v>68</v>
      </c>
      <c r="H63" s="12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3"/>
        <v>60</v>
      </c>
      <c r="N63" s="8" t="str">
        <f t="shared" si="14"/>
        <v>3</v>
      </c>
      <c r="O63" s="8" t="s">
        <v>118</v>
      </c>
      <c r="P63" s="8">
        <f t="shared" si="15"/>
        <v>998770</v>
      </c>
      <c r="Q63" s="8">
        <f t="shared" si="16"/>
        <v>-3</v>
      </c>
      <c r="R63" s="8">
        <f t="shared" si="17"/>
        <v>3</v>
      </c>
    </row>
    <row r="64" spans="1:18">
      <c r="A64" s="8" t="s">
        <v>116</v>
      </c>
      <c r="B64" s="8"/>
      <c r="C64" s="8" t="s">
        <v>54</v>
      </c>
      <c r="D64" s="8" t="s">
        <v>55</v>
      </c>
      <c r="E64" s="7" t="s">
        <v>18</v>
      </c>
      <c r="F64" s="8" t="s">
        <v>14</v>
      </c>
      <c r="G64" s="8" t="s">
        <v>52</v>
      </c>
      <c r="H64" s="12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3"/>
        <v>840</v>
      </c>
      <c r="N64" s="8"/>
      <c r="O64" s="8"/>
      <c r="P64" s="8"/>
      <c r="Q64" s="8"/>
      <c r="R64" s="8"/>
    </row>
    <row r="65" spans="1:18">
      <c r="A65" s="36" t="s">
        <v>112</v>
      </c>
      <c r="B65" s="36">
        <v>1</v>
      </c>
      <c r="C65" s="36" t="s">
        <v>56</v>
      </c>
      <c r="D65" s="36"/>
      <c r="E65" s="36"/>
      <c r="F65" s="37"/>
      <c r="G65" s="36"/>
      <c r="H65" s="37" t="s">
        <v>52</v>
      </c>
      <c r="I65" s="37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O65" s="36" t="s">
        <v>113</v>
      </c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8" spans="1:18">
      <c r="K68" s="9" t="s">
        <v>104</v>
      </c>
      <c r="L68" s="9">
        <f>L69/H3</f>
        <v>420</v>
      </c>
    </row>
    <row r="69" spans="1:18">
      <c r="K69" s="9" t="s">
        <v>119</v>
      </c>
      <c r="L69" s="9">
        <f>M65+AG7</f>
        <v>1260</v>
      </c>
    </row>
  </sheetData>
  <mergeCells count="10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  <mergeCell ref="A55:R55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workbookViewId="0">
      <selection activeCell="E19" sqref="E19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160</v>
      </c>
      <c r="F3" s="7" t="s">
        <v>18</v>
      </c>
      <c r="G3" s="54" t="s">
        <v>19</v>
      </c>
      <c r="H3" s="6">
        <v>3</v>
      </c>
      <c r="I3" s="8" t="s">
        <v>120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111</v>
      </c>
      <c r="I11" s="8" t="s">
        <v>78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111</v>
      </c>
      <c r="I12" s="8" t="s">
        <v>78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111</v>
      </c>
      <c r="I13" s="8" t="s">
        <v>78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s="8" t="s">
        <v>111</v>
      </c>
      <c r="I14" s="8" t="s">
        <v>78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s="8" t="s">
        <v>111</v>
      </c>
      <c r="I15" s="8" t="s">
        <v>78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s="8" t="s">
        <v>111</v>
      </c>
      <c r="I16" s="8" t="s">
        <v>78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s="8" t="s">
        <v>111</v>
      </c>
      <c r="I17" s="8" t="s">
        <v>78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78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79</v>
      </c>
      <c r="F19" s="8" t="s">
        <v>14</v>
      </c>
      <c r="G19" s="8" t="s">
        <v>68</v>
      </c>
      <c r="H19" s="8">
        <f t="shared" si="1"/>
        <v>998776</v>
      </c>
      <c r="I19" s="8" t="s">
        <v>78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80</v>
      </c>
      <c r="F20" s="8" t="s">
        <v>14</v>
      </c>
      <c r="G20" s="8" t="s">
        <v>68</v>
      </c>
      <c r="H20" s="8">
        <f t="shared" si="1"/>
        <v>998776</v>
      </c>
      <c r="I20" s="8" t="s">
        <v>78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81</v>
      </c>
      <c r="F21" s="8" t="s">
        <v>14</v>
      </c>
      <c r="G21" s="8" t="s">
        <v>68</v>
      </c>
      <c r="H21" s="8">
        <f t="shared" si="1"/>
        <v>998776</v>
      </c>
      <c r="I21" s="8" t="s">
        <v>78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82</v>
      </c>
      <c r="F22" s="8" t="s">
        <v>14</v>
      </c>
      <c r="G22" s="8" t="s">
        <v>68</v>
      </c>
      <c r="H22" s="8">
        <f t="shared" si="1"/>
        <v>998776</v>
      </c>
      <c r="I22" s="8" t="s">
        <v>78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83</v>
      </c>
      <c r="F23" s="8" t="s">
        <v>14</v>
      </c>
      <c r="G23" s="8" t="s">
        <v>68</v>
      </c>
      <c r="H23" s="8">
        <f t="shared" si="1"/>
        <v>998776</v>
      </c>
      <c r="I23" s="8" t="s">
        <v>78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84</v>
      </c>
      <c r="F24" s="8" t="s">
        <v>14</v>
      </c>
      <c r="G24" s="8" t="s">
        <v>68</v>
      </c>
      <c r="H24" s="8">
        <f t="shared" si="1"/>
        <v>998776</v>
      </c>
      <c r="I24" s="8" t="s">
        <v>78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85</v>
      </c>
      <c r="F25" s="8" t="s">
        <v>14</v>
      </c>
      <c r="G25" s="8" t="s">
        <v>68</v>
      </c>
      <c r="H25" s="8">
        <f t="shared" si="1"/>
        <v>998773</v>
      </c>
      <c r="I25" s="8" t="s">
        <v>78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86</v>
      </c>
      <c r="F26" s="8" t="s">
        <v>14</v>
      </c>
      <c r="G26" s="8" t="s">
        <v>68</v>
      </c>
      <c r="H26" s="8">
        <f t="shared" si="1"/>
        <v>998773</v>
      </c>
      <c r="I26" s="8" t="s">
        <v>78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87</v>
      </c>
      <c r="F27" s="8" t="s">
        <v>14</v>
      </c>
      <c r="G27" s="8" t="s">
        <v>68</v>
      </c>
      <c r="H27" s="8">
        <f t="shared" si="1"/>
        <v>998773</v>
      </c>
      <c r="I27" s="8" t="s">
        <v>78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88</v>
      </c>
      <c r="F28" s="8" t="s">
        <v>14</v>
      </c>
      <c r="G28" s="8" t="s">
        <v>68</v>
      </c>
      <c r="H28" s="8">
        <f t="shared" si="1"/>
        <v>998773</v>
      </c>
      <c r="I28" s="8" t="s">
        <v>78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89</v>
      </c>
      <c r="F29" s="8" t="s">
        <v>14</v>
      </c>
      <c r="G29" s="8" t="s">
        <v>68</v>
      </c>
      <c r="H29" s="8">
        <f t="shared" si="1"/>
        <v>998773</v>
      </c>
      <c r="I29" s="8" t="s">
        <v>78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90</v>
      </c>
      <c r="F30" s="8" t="s">
        <v>14</v>
      </c>
      <c r="G30" s="8" t="s">
        <v>68</v>
      </c>
      <c r="H30" s="8">
        <f t="shared" si="1"/>
        <v>998773</v>
      </c>
      <c r="I30" s="8" t="s">
        <v>78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91</v>
      </c>
      <c r="F31" s="8" t="s">
        <v>14</v>
      </c>
      <c r="G31" s="8" t="s">
        <v>68</v>
      </c>
      <c r="H31" s="8">
        <f t="shared" si="1"/>
        <v>998773</v>
      </c>
      <c r="I31" s="8" t="s">
        <v>78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124</v>
      </c>
      <c r="V32" s="16">
        <v>1</v>
      </c>
    </row>
    <row r="33" ht="15" spans="1:60 16277:16356">
      <c r="A33" s="3" t="s">
        <v>125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126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93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93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94</v>
      </c>
      <c r="B35" s="5" t="s">
        <v>95</v>
      </c>
      <c r="C35" s="5" t="s">
        <v>96</v>
      </c>
      <c r="D35" s="5" t="s">
        <v>97</v>
      </c>
      <c r="E35" s="5" t="s">
        <v>98</v>
      </c>
      <c r="F35" s="5" t="s">
        <v>60</v>
      </c>
      <c r="G35" s="5" t="s">
        <v>99</v>
      </c>
      <c r="H35" s="5" t="s">
        <v>100</v>
      </c>
      <c r="I35" s="5" t="s">
        <v>101</v>
      </c>
      <c r="J35" s="5" t="s">
        <v>102</v>
      </c>
      <c r="K35" s="5" t="s">
        <v>103</v>
      </c>
      <c r="L35" s="5" t="s">
        <v>104</v>
      </c>
      <c r="M35" s="5" t="s">
        <v>105</v>
      </c>
      <c r="N35" s="5" t="s">
        <v>106</v>
      </c>
      <c r="O35" s="5" t="s">
        <v>107</v>
      </c>
      <c r="P35" s="5" t="s">
        <v>108</v>
      </c>
      <c r="Q35" s="5" t="s">
        <v>109</v>
      </c>
      <c r="R35" s="5" t="s">
        <v>110</v>
      </c>
      <c r="T35" s="19" t="s">
        <v>127</v>
      </c>
      <c r="U35" s="19" t="s">
        <v>128</v>
      </c>
      <c r="V35" s="20" t="s">
        <v>129</v>
      </c>
      <c r="W35" s="19" t="s">
        <v>130</v>
      </c>
      <c r="X35" s="19" t="s">
        <v>131</v>
      </c>
      <c r="Y35" s="19" t="s">
        <v>132</v>
      </c>
      <c r="Z35" s="19" t="s">
        <v>133</v>
      </c>
      <c r="AA35" s="19" t="s">
        <v>134</v>
      </c>
      <c r="AB35" s="19" t="s">
        <v>135</v>
      </c>
      <c r="AC35" s="19" t="s">
        <v>136</v>
      </c>
      <c r="AD35" s="19" t="s">
        <v>137</v>
      </c>
      <c r="AE35" s="19" t="s">
        <v>138</v>
      </c>
      <c r="AF35" s="19" t="s">
        <v>139</v>
      </c>
      <c r="AG35" s="19" t="s">
        <v>140</v>
      </c>
      <c r="AH35" s="19" t="s">
        <v>141</v>
      </c>
      <c r="AI35" s="19" t="s">
        <v>142</v>
      </c>
      <c r="AJ35" s="19" t="s">
        <v>143</v>
      </c>
      <c r="AK35" s="21" t="s">
        <v>144</v>
      </c>
      <c r="AL35" s="21" t="s">
        <v>145</v>
      </c>
      <c r="AM35" s="21" t="s">
        <v>146</v>
      </c>
      <c r="AN35" s="21" t="s">
        <v>147</v>
      </c>
      <c r="AO35" s="21" t="s">
        <v>148</v>
      </c>
      <c r="AP35" s="21" t="s">
        <v>149</v>
      </c>
      <c r="AQ35" s="21" t="s">
        <v>150</v>
      </c>
      <c r="AR35" s="21" t="s">
        <v>151</v>
      </c>
      <c r="AS35" s="22" t="s">
        <v>152</v>
      </c>
      <c r="AT35" s="19" t="s">
        <v>153</v>
      </c>
      <c r="AU35" s="19" t="s">
        <v>154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111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155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111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156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111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73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111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74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111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75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111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76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111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112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113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157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94</v>
      </c>
      <c r="B45" s="4" t="s">
        <v>95</v>
      </c>
      <c r="C45" s="4" t="s">
        <v>96</v>
      </c>
      <c r="D45" s="4" t="s">
        <v>97</v>
      </c>
      <c r="E45" s="4" t="s">
        <v>98</v>
      </c>
      <c r="F45" s="4" t="s">
        <v>60</v>
      </c>
      <c r="G45" s="4" t="s">
        <v>99</v>
      </c>
      <c r="H45" s="4" t="s">
        <v>100</v>
      </c>
      <c r="I45" s="4" t="s">
        <v>101</v>
      </c>
      <c r="J45" s="4" t="s">
        <v>102</v>
      </c>
      <c r="K45" s="4" t="s">
        <v>103</v>
      </c>
      <c r="L45" s="4" t="s">
        <v>104</v>
      </c>
      <c r="M45" s="4" t="s">
        <v>105</v>
      </c>
      <c r="N45" s="5" t="s">
        <v>106</v>
      </c>
      <c r="O45" s="5" t="s">
        <v>107</v>
      </c>
      <c r="P45" s="5" t="s">
        <v>108</v>
      </c>
      <c r="Q45" s="5" t="s">
        <v>109</v>
      </c>
      <c r="R45" s="5" t="s">
        <v>110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115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79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115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80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115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81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115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82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115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83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115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84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115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85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118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86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118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87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118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88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118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89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118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90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118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91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118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116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116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112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113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104</v>
      </c>
      <c r="L65" s="9">
        <f>L66/H3</f>
        <v>700</v>
      </c>
    </row>
    <row r="66" spans="11:12">
      <c r="K66" s="9" t="s">
        <v>119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tabSelected="1" zoomScale="60" zoomScaleNormal="60" workbookViewId="0">
      <selection activeCell="E18" sqref="E18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160</v>
      </c>
      <c r="F3" s="7" t="s">
        <v>18</v>
      </c>
      <c r="G3" s="54" t="s">
        <v>19</v>
      </c>
      <c r="H3" s="6">
        <v>3</v>
      </c>
      <c r="I3" s="8" t="s">
        <v>120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111</v>
      </c>
      <c r="I11" s="8" t="s">
        <v>78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111</v>
      </c>
      <c r="I12" s="8" t="s">
        <v>78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111</v>
      </c>
      <c r="I13" s="8" t="s">
        <v>78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s="8" t="s">
        <v>111</v>
      </c>
      <c r="I14" s="8" t="s">
        <v>78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s="8" t="s">
        <v>111</v>
      </c>
      <c r="I15" s="8" t="s">
        <v>78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s="8" t="s">
        <v>111</v>
      </c>
      <c r="I16" s="8" t="s">
        <v>78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s="8" t="s">
        <v>111</v>
      </c>
      <c r="I17" s="8" t="s">
        <v>78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78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79</v>
      </c>
      <c r="F19" s="8" t="s">
        <v>14</v>
      </c>
      <c r="G19" s="8" t="s">
        <v>68</v>
      </c>
      <c r="H19" s="8">
        <f t="shared" si="1"/>
        <v>998776</v>
      </c>
      <c r="I19" s="8" t="s">
        <v>78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80</v>
      </c>
      <c r="F20" s="8" t="s">
        <v>14</v>
      </c>
      <c r="G20" s="8" t="s">
        <v>68</v>
      </c>
      <c r="H20" s="8">
        <f t="shared" si="1"/>
        <v>998776</v>
      </c>
      <c r="I20" s="8" t="s">
        <v>78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81</v>
      </c>
      <c r="F21" s="8" t="s">
        <v>14</v>
      </c>
      <c r="G21" s="8" t="s">
        <v>68</v>
      </c>
      <c r="H21" s="8">
        <f t="shared" si="1"/>
        <v>998776</v>
      </c>
      <c r="I21" s="8" t="s">
        <v>78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82</v>
      </c>
      <c r="F22" s="8" t="s">
        <v>14</v>
      </c>
      <c r="G22" s="8" t="s">
        <v>68</v>
      </c>
      <c r="H22" s="8">
        <f t="shared" si="1"/>
        <v>998776</v>
      </c>
      <c r="I22" s="8" t="s">
        <v>78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83</v>
      </c>
      <c r="F23" s="8" t="s">
        <v>14</v>
      </c>
      <c r="G23" s="8" t="s">
        <v>68</v>
      </c>
      <c r="H23" s="8">
        <f t="shared" si="1"/>
        <v>998776</v>
      </c>
      <c r="I23" s="8" t="s">
        <v>78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84</v>
      </c>
      <c r="F24" s="8" t="s">
        <v>14</v>
      </c>
      <c r="G24" s="8" t="s">
        <v>68</v>
      </c>
      <c r="H24" s="8">
        <f t="shared" si="1"/>
        <v>998776</v>
      </c>
      <c r="I24" s="8" t="s">
        <v>78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85</v>
      </c>
      <c r="F25" s="8" t="s">
        <v>14</v>
      </c>
      <c r="G25" s="8" t="s">
        <v>68</v>
      </c>
      <c r="H25" s="8">
        <f t="shared" si="1"/>
        <v>998773</v>
      </c>
      <c r="I25" s="8" t="s">
        <v>78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86</v>
      </c>
      <c r="F26" s="8" t="s">
        <v>14</v>
      </c>
      <c r="G26" s="8" t="s">
        <v>68</v>
      </c>
      <c r="H26" s="8">
        <f t="shared" si="1"/>
        <v>998773</v>
      </c>
      <c r="I26" s="8" t="s">
        <v>78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87</v>
      </c>
      <c r="F27" s="8" t="s">
        <v>14</v>
      </c>
      <c r="G27" s="8" t="s">
        <v>68</v>
      </c>
      <c r="H27" s="8">
        <f t="shared" si="1"/>
        <v>998773</v>
      </c>
      <c r="I27" s="8" t="s">
        <v>78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88</v>
      </c>
      <c r="F28" s="8" t="s">
        <v>14</v>
      </c>
      <c r="G28" s="8" t="s">
        <v>68</v>
      </c>
      <c r="H28" s="8">
        <f t="shared" si="1"/>
        <v>998773</v>
      </c>
      <c r="I28" s="8" t="s">
        <v>78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89</v>
      </c>
      <c r="F29" s="8" t="s">
        <v>14</v>
      </c>
      <c r="G29" s="8" t="s">
        <v>68</v>
      </c>
      <c r="H29" s="8">
        <f t="shared" si="1"/>
        <v>998773</v>
      </c>
      <c r="I29" s="8" t="s">
        <v>78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90</v>
      </c>
      <c r="F30" s="8" t="s">
        <v>14</v>
      </c>
      <c r="G30" s="8" t="s">
        <v>68</v>
      </c>
      <c r="H30" s="8">
        <f t="shared" si="1"/>
        <v>998773</v>
      </c>
      <c r="I30" s="8" t="s">
        <v>78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91</v>
      </c>
      <c r="F31" s="8" t="s">
        <v>14</v>
      </c>
      <c r="G31" s="8" t="s">
        <v>68</v>
      </c>
      <c r="H31" s="8">
        <f t="shared" si="1"/>
        <v>998773</v>
      </c>
      <c r="I31" s="8" t="s">
        <v>78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124</v>
      </c>
      <c r="V32" s="16">
        <v>1</v>
      </c>
    </row>
    <row r="33" ht="15" spans="1:60 16277:16356">
      <c r="A33" s="3" t="s">
        <v>125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126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93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93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94</v>
      </c>
      <c r="B35" s="5" t="s">
        <v>95</v>
      </c>
      <c r="C35" s="5" t="s">
        <v>96</v>
      </c>
      <c r="D35" s="5" t="s">
        <v>97</v>
      </c>
      <c r="E35" s="5" t="s">
        <v>98</v>
      </c>
      <c r="F35" s="5" t="s">
        <v>60</v>
      </c>
      <c r="G35" s="5" t="s">
        <v>99</v>
      </c>
      <c r="H35" s="5" t="s">
        <v>100</v>
      </c>
      <c r="I35" s="5" t="s">
        <v>101</v>
      </c>
      <c r="J35" s="5" t="s">
        <v>102</v>
      </c>
      <c r="K35" s="5" t="s">
        <v>103</v>
      </c>
      <c r="L35" s="5" t="s">
        <v>104</v>
      </c>
      <c r="M35" s="5" t="s">
        <v>105</v>
      </c>
      <c r="N35" s="5" t="s">
        <v>106</v>
      </c>
      <c r="O35" s="5" t="s">
        <v>107</v>
      </c>
      <c r="P35" s="5" t="s">
        <v>108</v>
      </c>
      <c r="Q35" s="5" t="s">
        <v>109</v>
      </c>
      <c r="R35" s="5" t="s">
        <v>110</v>
      </c>
      <c r="T35" s="19" t="s">
        <v>127</v>
      </c>
      <c r="U35" s="19" t="s">
        <v>128</v>
      </c>
      <c r="V35" s="20" t="s">
        <v>129</v>
      </c>
      <c r="W35" s="19" t="s">
        <v>130</v>
      </c>
      <c r="X35" s="19" t="s">
        <v>131</v>
      </c>
      <c r="Y35" s="19" t="s">
        <v>132</v>
      </c>
      <c r="Z35" s="19" t="s">
        <v>133</v>
      </c>
      <c r="AA35" s="19" t="s">
        <v>134</v>
      </c>
      <c r="AB35" s="19" t="s">
        <v>135</v>
      </c>
      <c r="AC35" s="19" t="s">
        <v>136</v>
      </c>
      <c r="AD35" s="19" t="s">
        <v>137</v>
      </c>
      <c r="AE35" s="19" t="s">
        <v>138</v>
      </c>
      <c r="AF35" s="19" t="s">
        <v>139</v>
      </c>
      <c r="AG35" s="19" t="s">
        <v>140</v>
      </c>
      <c r="AH35" s="19" t="s">
        <v>141</v>
      </c>
      <c r="AI35" s="19" t="s">
        <v>142</v>
      </c>
      <c r="AJ35" s="19" t="s">
        <v>143</v>
      </c>
      <c r="AK35" s="21" t="s">
        <v>144</v>
      </c>
      <c r="AL35" s="21" t="s">
        <v>145</v>
      </c>
      <c r="AM35" s="21" t="s">
        <v>146</v>
      </c>
      <c r="AN35" s="21" t="s">
        <v>147</v>
      </c>
      <c r="AO35" s="21" t="s">
        <v>148</v>
      </c>
      <c r="AP35" s="21" t="s">
        <v>149</v>
      </c>
      <c r="AQ35" s="21" t="s">
        <v>150</v>
      </c>
      <c r="AR35" s="21" t="s">
        <v>151</v>
      </c>
      <c r="AS35" s="22" t="s">
        <v>152</v>
      </c>
      <c r="AT35" s="19" t="s">
        <v>153</v>
      </c>
      <c r="AU35" s="19" t="s">
        <v>154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111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155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111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156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111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73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111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74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111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75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111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76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111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112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113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157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94</v>
      </c>
      <c r="B45" s="4" t="s">
        <v>95</v>
      </c>
      <c r="C45" s="4" t="s">
        <v>96</v>
      </c>
      <c r="D45" s="4" t="s">
        <v>97</v>
      </c>
      <c r="E45" s="4" t="s">
        <v>98</v>
      </c>
      <c r="F45" s="4" t="s">
        <v>60</v>
      </c>
      <c r="G45" s="4" t="s">
        <v>99</v>
      </c>
      <c r="H45" s="4" t="s">
        <v>100</v>
      </c>
      <c r="I45" s="4" t="s">
        <v>101</v>
      </c>
      <c r="J45" s="4" t="s">
        <v>102</v>
      </c>
      <c r="K45" s="4" t="s">
        <v>103</v>
      </c>
      <c r="L45" s="4" t="s">
        <v>104</v>
      </c>
      <c r="M45" s="4" t="s">
        <v>105</v>
      </c>
      <c r="N45" s="5" t="s">
        <v>106</v>
      </c>
      <c r="O45" s="5" t="s">
        <v>107</v>
      </c>
      <c r="P45" s="5" t="s">
        <v>108</v>
      </c>
      <c r="Q45" s="5" t="s">
        <v>109</v>
      </c>
      <c r="R45" s="5" t="s">
        <v>110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115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79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115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80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115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81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115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82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115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83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115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84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115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85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118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86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118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87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118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88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118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89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118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90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118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91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118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116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116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112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113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104</v>
      </c>
      <c r="L65" s="9">
        <f>L66/H3</f>
        <v>700</v>
      </c>
    </row>
    <row r="66" spans="11:12">
      <c r="K66" s="9" t="s">
        <v>119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ProdOrder-Single(Inside)</vt:lpstr>
      <vt:lpstr>ProdOrder-Multiple(Inside)</vt:lpstr>
      <vt:lpstr>ProdOrder-Item(Inside)</vt:lpstr>
      <vt:lpstr>ProdOrder-Single(Outside)</vt:lpstr>
      <vt:lpstr>ProdOrder-Multiple(Outside)</vt:lpstr>
      <vt:lpstr>ProdOrder-Item(Outside)</vt:lpstr>
      <vt:lpstr>ProdOrder-Single(FIRO)</vt:lpstr>
      <vt:lpstr>ProdOrder-Multiple(FIRO)</vt:lpstr>
      <vt:lpstr>ProdOrder-Item(FIRO)</vt:lpstr>
      <vt:lpstr>ProdOrder-Single(FORI)</vt:lpstr>
      <vt:lpstr>ProdOrder-Multiple(FORI)</vt:lpstr>
      <vt:lpstr>ProdOrder-Item(FORI)</vt:lpstr>
      <vt:lpstr>ProdOrder-Single(FORB)</vt:lpstr>
      <vt:lpstr>ProdOrder-Multiple(FORB)</vt:lpstr>
      <vt:lpstr>ProdOrder-Item(FORB)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2026-02-26T06:42:00Z</dcterms:created>
  <cp:lastModifiedBy>Administrator</cp:lastModifiedBy>
  <dcterms:modified xsi:type="dcterms:W3CDTF">2026-05-14T07:50:57Z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CCA82DF1BD1944F4BD79724D585741A4_13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