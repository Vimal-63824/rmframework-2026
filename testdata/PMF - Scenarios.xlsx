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firstSheet="1"/>
  </bookViews>
  <sheets>
    <sheet name="ProdOrder-Single(Inside)" sheetId="5" r:id="rId1"/>
    <sheet name="ProdOrder-Multiple(Inside)" sheetId="6" r:id="rId2"/>
    <sheet name="ProdOrder-Item(Inside)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<sst xmlns="http://schemas.openxmlformats.org/spreadsheetml/2006/main" count="1305" uniqueCount="106">
  <si>
    <t>Production Order - All Inside</t>
  </si>
  <si>
    <t>FGUOM</t>
  </si>
  <si>
    <t>Unit</t>
  </si>
  <si>
    <t>OrderType</t>
  </si>
  <si>
    <t>BomType</t>
  </si>
  <si>
    <t>BOM No</t>
  </si>
  <si>
    <t>FG - Item</t>
  </si>
  <si>
    <t>Shift</t>
  </si>
  <si>
    <t>Order Quantity</t>
  </si>
  <si>
    <t>Before FG Stock</t>
  </si>
  <si>
    <t>After FG Stock</t>
  </si>
  <si>
    <t>Before FG Cost</t>
  </si>
  <si>
    <t>After FG Cost</t>
  </si>
  <si>
    <t>BOM Cost</t>
  </si>
  <si>
    <t>NOS</t>
  </si>
  <si>
    <t>U1</t>
  </si>
  <si>
    <t>Manufacturing</t>
  </si>
  <si>
    <t>BOM-2526-0001156</t>
  </si>
  <si>
    <t>GWL-FIFO-LOT-BATCH-10001(FG)</t>
  </si>
  <si>
    <t>0001</t>
  </si>
  <si>
    <t>186</t>
  </si>
  <si>
    <t>420</t>
  </si>
  <si>
    <t>Routing</t>
  </si>
  <si>
    <t>Resources</t>
  </si>
  <si>
    <t>Seq.No</t>
  </si>
  <si>
    <t>Oprn No</t>
  </si>
  <si>
    <t>ProcessID</t>
  </si>
  <si>
    <t>ProcessDesc</t>
  </si>
  <si>
    <t>Type</t>
  </si>
  <si>
    <t>WorkCenter</t>
  </si>
  <si>
    <t>LocId</t>
  </si>
  <si>
    <t>ConsWH ID</t>
  </si>
  <si>
    <t>ConsWH Desc</t>
  </si>
  <si>
    <t>ReceiptWH ID</t>
  </si>
  <si>
    <t>ReceiptWH Desc</t>
  </si>
  <si>
    <t>TSA Flag</t>
  </si>
  <si>
    <t>Cons No</t>
  </si>
  <si>
    <t>Resource</t>
  </si>
  <si>
    <t>Hrs</t>
  </si>
  <si>
    <t>Min</t>
  </si>
  <si>
    <t>Sec</t>
  </si>
  <si>
    <t>Cost</t>
  </si>
  <si>
    <t>Hrs(cost)</t>
  </si>
  <si>
    <t>Min(Cost)</t>
  </si>
  <si>
    <t>Sec (cost)</t>
  </si>
  <si>
    <t>Total Cost</t>
  </si>
  <si>
    <t>GWL001</t>
  </si>
  <si>
    <t>GWLPROCESS-01</t>
  </si>
  <si>
    <t>Inside</t>
  </si>
  <si>
    <t>GWL AUTOMATION AREA</t>
  </si>
  <si>
    <t>L0001</t>
  </si>
  <si>
    <t>WIP WH</t>
  </si>
  <si>
    <t>WORK IN PROGRESS WAREHOUSE</t>
  </si>
  <si>
    <t>N</t>
  </si>
  <si>
    <t>GWL002</t>
  </si>
  <si>
    <t>GWLPROCESS-02</t>
  </si>
  <si>
    <t>GWL003</t>
  </si>
  <si>
    <t>GWLPROCESS-03</t>
  </si>
  <si>
    <t>Raw Material</t>
  </si>
  <si>
    <t>RawMaterial</t>
  </si>
  <si>
    <t>UOM</t>
  </si>
  <si>
    <t>SourceWH</t>
  </si>
  <si>
    <t>Stock Qty</t>
  </si>
  <si>
    <t>Alloc Qty</t>
  </si>
  <si>
    <t>Stock Balance</t>
  </si>
  <si>
    <t>BOM Qtny</t>
  </si>
  <si>
    <t>Req Quantity</t>
  </si>
  <si>
    <t>GWL-FIFO-LOT-BATCH-10001(RM)</t>
  </si>
  <si>
    <t>RAW MATERIAL WAREHOUSE</t>
  </si>
  <si>
    <t>998779</t>
  </si>
  <si>
    <t>3</t>
  </si>
  <si>
    <t>GWL-FIFO-SER-BATCH-10001(RM)</t>
  </si>
  <si>
    <t>GWL-LOT-FIFO-LOT-10001(RM)</t>
  </si>
  <si>
    <t>GWL-NA-FIFO-BATCH-10001(RM)</t>
  </si>
  <si>
    <t>GWL-LOT-MAC-10001(RM)</t>
  </si>
  <si>
    <t>GWL-SER-MAC-10001(RM)</t>
  </si>
  <si>
    <t>GWL-NA-MAC-10001(RM)</t>
  </si>
  <si>
    <t>Material Request &amp; Material Issuance Voucher &amp; Completion</t>
  </si>
  <si>
    <t>Process - 1</t>
  </si>
  <si>
    <t>SeqNo</t>
  </si>
  <si>
    <t>Line No</t>
  </si>
  <si>
    <t>Process ID</t>
  </si>
  <si>
    <t>Process Desc</t>
  </si>
  <si>
    <t>RM Name</t>
  </si>
  <si>
    <t>Source WH</t>
  </si>
  <si>
    <t>Receiver WH</t>
  </si>
  <si>
    <t>Issuance Qty</t>
  </si>
  <si>
    <t>Stck Iss Qty</t>
  </si>
  <si>
    <t>Rqst Qnty</t>
  </si>
  <si>
    <t>Unit Cost</t>
  </si>
  <si>
    <t>Line Amt</t>
  </si>
  <si>
    <t>Stock Alloc Qty</t>
  </si>
  <si>
    <t>Before Lot Quantity</t>
  </si>
  <si>
    <t>After Lot Quantity</t>
  </si>
  <si>
    <t>Stock Trans QOH</t>
  </si>
  <si>
    <t>Stock Trans SIT</t>
  </si>
  <si>
    <t>Completion</t>
  </si>
  <si>
    <t xml:space="preserve"> &lt;- Target SF Code</t>
  </si>
  <si>
    <t>Process - 2</t>
  </si>
  <si>
    <t>998776</t>
  </si>
  <si>
    <t>SFG</t>
  </si>
  <si>
    <t>Process - 3</t>
  </si>
  <si>
    <t>998773</t>
  </si>
  <si>
    <t>Overall Cost</t>
  </si>
  <si>
    <t>Process - 2 &amp; 3</t>
  </si>
  <si>
    <t>Process - 1, 2 &amp; 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</si>
</sst>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1"/>
      <color theme="1"/>
      <name val="Calibri"/>
      <charset val="134"/>
      <scheme val="minor"/>
    </font>
    <font>
      <sz val="11"/>
      <color rgb="FF000000"/>
      <name val="Cambria"/>
      <charset val="134"/>
    </font>
    <font>
      <sz val="11"/>
      <color theme="1"/>
      <name val="Cambria"/>
      <charset val="134"/>
    </font>
    <font>
      <b/>
      <i/>
      <u/>
      <sz val="11"/>
      <color rgb="FF000000"/>
      <name val="Cambria"/>
      <charset val="134"/>
    </font>
    <font>
      <b/>
      <sz val="11"/>
      <name val="Cambria"/>
      <charset val="134"/>
    </font>
    <font>
      <b/>
      <sz val="11"/>
      <color rgb="FF000000"/>
      <name val="Cambria"/>
      <charset val="134"/>
    </font>
    <font>
      <sz val="11"/>
      <name val="Cambria"/>
      <charset val="134"/>
    </font>
    <font>
      <sz val="11"/>
      <color rgb="FF1F1F1F"/>
      <name val="Cambria"/>
      <charset val="134"/>
    </font>
    <font>
      <b/>
      <i/>
      <sz val="11"/>
      <color rgb="FF000000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7" borderId="12" applyNumberFormat="0" applyAlignment="0" applyProtection="0">
      <alignment vertical="center"/>
    </xf>
    <xf numFmtId="0" fontId="20" fillId="8" borderId="14" applyNumberFormat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3" borderId="4" xfId="0" applyFont="1" applyFill="1" applyBorder="1" applyAlignment="1"/>
    <xf numFmtId="0" fontId="5" fillId="3" borderId="4" xfId="0" applyFont="1" applyFill="1" applyBorder="1" applyAlignment="1"/>
    <xf numFmtId="0" fontId="6" fillId="0" borderId="4" xfId="0" applyFont="1" applyFill="1" applyBorder="1" applyAlignment="1"/>
    <xf numFmtId="0" fontId="6" fillId="0" borderId="4" xfId="0" applyFont="1" applyBorder="1">
      <alignment vertical="center"/>
    </xf>
    <xf numFmtId="0" fontId="1" fillId="0" borderId="4" xfId="0" applyFont="1" applyFill="1" applyBorder="1" applyAlignment="1"/>
    <xf numFmtId="0" fontId="5" fillId="0" borderId="4" xfId="0" applyFont="1" applyFill="1" applyBorder="1" applyAlignment="1"/>
    <xf numFmtId="0" fontId="3" fillId="2" borderId="4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7" fillId="0" borderId="4" xfId="0" applyFont="1" applyBorder="1">
      <alignment vertical="center"/>
    </xf>
    <xf numFmtId="0" fontId="1" fillId="0" borderId="5" xfId="0" applyFont="1" applyFill="1" applyBorder="1" applyAlignment="1"/>
    <xf numFmtId="0" fontId="7" fillId="0" borderId="5" xfId="0" applyFont="1" applyBorder="1">
      <alignment vertical="center"/>
    </xf>
    <xf numFmtId="0" fontId="8" fillId="3" borderId="6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1" fillId="4" borderId="4" xfId="0" applyFont="1" applyFill="1" applyBorder="1" applyAlignment="1"/>
    <xf numFmtId="0" fontId="7" fillId="4" borderId="4" xfId="0" applyFont="1" applyFill="1" applyBorder="1">
      <alignment vertical="center"/>
    </xf>
    <xf numFmtId="0" fontId="5" fillId="4" borderId="4" xfId="0" applyFont="1" applyFill="1" applyBorder="1" applyAlignment="1"/>
    <xf numFmtId="0" fontId="8" fillId="3" borderId="4" xfId="0" applyFont="1" applyFill="1" applyBorder="1" applyAlignment="1">
      <alignment horizontal="center"/>
    </xf>
    <xf numFmtId="0" fontId="6" fillId="0" borderId="4" xfId="0" applyFont="1" applyFill="1" applyBorder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Q69"/>
  <sheetViews>
    <sheetView tabSelected="1" zoomScale="61" zoomScaleNormal="61" topLeftCell="F33" workbookViewId="0">
      <selection activeCell="K60" sqref="K60"/>
    </sheetView>
  </sheetViews>
  <sheetFormatPr defaultColWidth="9" defaultRowHeight="14.25"/>
  <cols>
    <col min="1" max="1" width="12.1428571428571" style="1" customWidth="1"/>
    <col min="2" max="2" width="11.8190476190476" style="1" customWidth="1"/>
    <col min="3" max="3" width="17.2761904761905" style="1" customWidth="1"/>
    <col min="4" max="5" width="34.4571428571429" style="1" customWidth="1"/>
    <col min="6" max="9" width="34.2761904761905" style="1" customWidth="1"/>
    <col min="10" max="10" width="15.3619047619048" style="1" customWidth="1"/>
    <col min="11" max="11" width="34.2761904761905" style="1" customWidth="1"/>
    <col min="12" max="12" width="14.3619047619048" style="1" customWidth="1"/>
    <col min="13" max="13" width="16.1809523809524" style="1" customWidth="1"/>
    <col min="14" max="14" width="19.3619047619048" style="1" customWidth="1"/>
    <col min="15" max="15" width="19.6380952380952" style="1" customWidth="1"/>
    <col min="16" max="16" width="15.9047619047619" style="1" customWidth="1"/>
    <col min="17" max="17" width="21.1809523809524" style="1" customWidth="1"/>
    <col min="18" max="18" width="16.2857142857143" style="1" customWidth="1"/>
    <col min="19" max="21" width="19.6380952380952" style="1" customWidth="1"/>
    <col min="22" max="16371" width="9.13333333333333" style="1"/>
    <col min="16372" max="16384" width="9" style="2"/>
  </cols>
  <sheetData>
    <row r="1" spans="1:33 16370:1637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</row>
    <row r="2" spans="1:33 16370:1637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XEP2" s="2"/>
      <c r="XEQ2" s="2"/>
    </row>
    <row r="3" spans="1:33 16370:16371">
      <c r="A3" s="8" t="s">
        <v>14</v>
      </c>
      <c r="B3" s="8" t="s">
        <v>15</v>
      </c>
      <c r="C3" s="8" t="s">
        <v>16</v>
      </c>
      <c r="D3" s="8" t="s">
        <v>16</v>
      </c>
      <c r="E3" s="9" t="s">
        <v>17</v>
      </c>
      <c r="F3" s="9" t="s">
        <v>18</v>
      </c>
      <c r="G3" s="24" t="s">
        <v>19</v>
      </c>
      <c r="H3" s="8">
        <v>3</v>
      </c>
      <c r="I3" s="1" t="s">
        <v>20</v>
      </c>
      <c r="J3" s="10">
        <f>I3+H3</f>
        <v>186</v>
      </c>
      <c r="K3" s="1" t="s">
        <v>21</v>
      </c>
      <c r="L3" s="10">
        <f>(K3+L68)/2</f>
        <v>420</v>
      </c>
      <c r="M3" s="11">
        <f>L68</f>
        <v>420</v>
      </c>
      <c r="XEP3" s="2"/>
      <c r="XEQ3" s="2"/>
    </row>
    <row r="4" spans="1:33 16370:16371">
      <c r="A4" s="12" t="s">
        <v>22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3"/>
      <c r="V4" s="12" t="s">
        <v>23</v>
      </c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3 16370:16371">
      <c r="A5" s="7" t="s">
        <v>24</v>
      </c>
      <c r="B5" s="7" t="s">
        <v>25</v>
      </c>
      <c r="C5" s="7" t="s">
        <v>26</v>
      </c>
      <c r="D5" s="7" t="s">
        <v>27</v>
      </c>
      <c r="E5" s="7" t="s">
        <v>28</v>
      </c>
      <c r="F5" s="7" t="s">
        <v>29</v>
      </c>
      <c r="G5" s="7" t="s">
        <v>30</v>
      </c>
      <c r="H5" s="7" t="s">
        <v>31</v>
      </c>
      <c r="I5" s="7" t="s">
        <v>32</v>
      </c>
      <c r="J5" s="7" t="s">
        <v>33</v>
      </c>
      <c r="K5" s="7" t="s">
        <v>34</v>
      </c>
      <c r="L5" s="7" t="s">
        <v>35</v>
      </c>
      <c r="M5" s="13"/>
      <c r="V5" s="7" t="s">
        <v>25</v>
      </c>
      <c r="W5" s="7" t="s">
        <v>36</v>
      </c>
      <c r="X5" s="7" t="s">
        <v>26</v>
      </c>
      <c r="Y5" s="7" t="s">
        <v>37</v>
      </c>
      <c r="Z5" s="7" t="s">
        <v>38</v>
      </c>
      <c r="AA5" s="7" t="s">
        <v>39</v>
      </c>
      <c r="AB5" s="7" t="s">
        <v>40</v>
      </c>
      <c r="AC5" s="7" t="s">
        <v>41</v>
      </c>
      <c r="AD5" s="7" t="s">
        <v>42</v>
      </c>
      <c r="AE5" s="7" t="s">
        <v>43</v>
      </c>
      <c r="AF5" s="7" t="s">
        <v>44</v>
      </c>
      <c r="AG5" s="7" t="s">
        <v>45</v>
      </c>
    </row>
    <row r="6" spans="1:33 16370:16371">
      <c r="A6" s="10">
        <v>1</v>
      </c>
      <c r="B6" s="10">
        <v>1</v>
      </c>
      <c r="C6" s="10" t="s">
        <v>46</v>
      </c>
      <c r="D6" s="10" t="s">
        <v>47</v>
      </c>
      <c r="E6" s="10" t="s">
        <v>48</v>
      </c>
      <c r="F6" s="14" t="s">
        <v>49</v>
      </c>
      <c r="G6" s="10" t="s">
        <v>50</v>
      </c>
      <c r="H6" s="14" t="s">
        <v>51</v>
      </c>
      <c r="I6" s="14" t="s">
        <v>52</v>
      </c>
      <c r="J6" s="14" t="s">
        <v>51</v>
      </c>
      <c r="K6" s="14" t="s">
        <v>52</v>
      </c>
      <c r="L6" s="10" t="s">
        <v>53</v>
      </c>
      <c r="M6" s="13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1:33 16370:16371">
      <c r="A7" s="10">
        <v>2</v>
      </c>
      <c r="B7" s="10">
        <v>2</v>
      </c>
      <c r="C7" s="10" t="s">
        <v>54</v>
      </c>
      <c r="D7" s="10" t="s">
        <v>55</v>
      </c>
      <c r="E7" s="10" t="s">
        <v>48</v>
      </c>
      <c r="F7" s="14" t="s">
        <v>49</v>
      </c>
      <c r="G7" s="10" t="s">
        <v>50</v>
      </c>
      <c r="H7" s="14" t="s">
        <v>51</v>
      </c>
      <c r="I7" s="14" t="s">
        <v>52</v>
      </c>
      <c r="J7" s="14" t="s">
        <v>51</v>
      </c>
      <c r="K7" s="14" t="s">
        <v>52</v>
      </c>
      <c r="L7" s="10" t="s">
        <v>53</v>
      </c>
      <c r="M7" s="13"/>
      <c r="AG7" s="1">
        <f>AG6</f>
        <v>0</v>
      </c>
    </row>
    <row r="8" spans="1:33 16370:16371">
      <c r="A8" s="10">
        <v>3</v>
      </c>
      <c r="B8" s="10">
        <v>3</v>
      </c>
      <c r="C8" s="10" t="s">
        <v>56</v>
      </c>
      <c r="D8" s="10" t="s">
        <v>57</v>
      </c>
      <c r="E8" s="10" t="s">
        <v>48</v>
      </c>
      <c r="F8" s="14" t="s">
        <v>49</v>
      </c>
      <c r="G8" s="10" t="s">
        <v>50</v>
      </c>
      <c r="H8" s="14" t="s">
        <v>51</v>
      </c>
      <c r="I8" s="14" t="s">
        <v>52</v>
      </c>
      <c r="J8" s="14" t="s">
        <v>51</v>
      </c>
      <c r="K8" s="14" t="s">
        <v>52</v>
      </c>
      <c r="L8" s="10" t="s">
        <v>53</v>
      </c>
      <c r="M8" s="13"/>
    </row>
    <row r="9" spans="1:33 16370:16371">
      <c r="A9" s="12" t="s">
        <v>58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spans="1:33 16370:16371">
      <c r="A10" s="7" t="s">
        <v>25</v>
      </c>
      <c r="B10" s="7" t="s">
        <v>36</v>
      </c>
      <c r="C10" s="7" t="s">
        <v>26</v>
      </c>
      <c r="D10" s="7" t="s">
        <v>27</v>
      </c>
      <c r="E10" s="7" t="s">
        <v>59</v>
      </c>
      <c r="F10" s="7" t="s">
        <v>60</v>
      </c>
      <c r="G10" s="7" t="s">
        <v>61</v>
      </c>
      <c r="H10" s="7" t="s">
        <v>62</v>
      </c>
      <c r="I10" s="7" t="s">
        <v>63</v>
      </c>
      <c r="J10" s="7" t="s">
        <v>64</v>
      </c>
      <c r="K10" s="7" t="s">
        <v>65</v>
      </c>
      <c r="L10" s="7" t="s">
        <v>66</v>
      </c>
    </row>
    <row r="11" spans="1:33 16370:16371">
      <c r="A11" s="10">
        <v>1</v>
      </c>
      <c r="B11" s="10">
        <v>1</v>
      </c>
      <c r="C11" s="10" t="s">
        <v>46</v>
      </c>
      <c r="D11" s="10" t="s">
        <v>47</v>
      </c>
      <c r="E11" s="14" t="s">
        <v>67</v>
      </c>
      <c r="F11" s="10" t="s">
        <v>14</v>
      </c>
      <c r="G11" s="10" t="s">
        <v>68</v>
      </c>
      <c r="H11" s="1" t="s">
        <v>69</v>
      </c>
      <c r="I11" s="1" t="s">
        <v>70</v>
      </c>
      <c r="J11" s="10">
        <f>H11-I11</f>
        <v>998833</v>
      </c>
      <c r="K11" s="10">
        <v>1</v>
      </c>
      <c r="L11" s="10">
        <f>H3</f>
        <v>3</v>
      </c>
    </row>
    <row r="12" spans="1:33 16370:16371">
      <c r="A12" s="10">
        <v>1</v>
      </c>
      <c r="B12" s="10">
        <v>2</v>
      </c>
      <c r="C12" s="10" t="s">
        <v>46</v>
      </c>
      <c r="D12" s="10" t="s">
        <v>47</v>
      </c>
      <c r="E12" s="14" t="s">
        <v>71</v>
      </c>
      <c r="F12" s="10" t="s">
        <v>14</v>
      </c>
      <c r="G12" s="10" t="s">
        <v>68</v>
      </c>
      <c r="H12" s="1" t="s">
        <v>69</v>
      </c>
      <c r="I12" s="1" t="s">
        <v>70</v>
      </c>
      <c r="J12" s="10">
        <f>H12-I12</f>
        <v>998908</v>
      </c>
      <c r="K12" s="10">
        <v>1</v>
      </c>
      <c r="L12" s="10">
        <f>H3</f>
        <v>3</v>
      </c>
      <c r="M12" s="13"/>
    </row>
    <row r="13" spans="1:33 16370:16371">
      <c r="A13" s="10">
        <v>1</v>
      </c>
      <c r="B13" s="10">
        <v>3</v>
      </c>
      <c r="C13" s="10" t="s">
        <v>46</v>
      </c>
      <c r="D13" s="10" t="s">
        <v>47</v>
      </c>
      <c r="E13" s="14" t="s">
        <v>72</v>
      </c>
      <c r="F13" s="10" t="s">
        <v>14</v>
      </c>
      <c r="G13" s="10" t="s">
        <v>68</v>
      </c>
      <c r="H13" s="1" t="s">
        <v>69</v>
      </c>
      <c r="I13" s="1" t="s">
        <v>70</v>
      </c>
      <c r="J13" s="10">
        <f>H13-I13</f>
        <v>998908</v>
      </c>
      <c r="K13" s="10">
        <v>1</v>
      </c>
      <c r="L13" s="10">
        <f>H3</f>
        <v>3</v>
      </c>
      <c r="M13" s="13"/>
    </row>
    <row r="14" spans="1:33 16370:16371">
      <c r="A14" s="10">
        <v>1</v>
      </c>
      <c r="B14" s="10">
        <v>4</v>
      </c>
      <c r="C14" s="10" t="s">
        <v>46</v>
      </c>
      <c r="D14" s="10" t="s">
        <v>47</v>
      </c>
      <c r="E14" s="14" t="s">
        <v>73</v>
      </c>
      <c r="F14" s="10" t="s">
        <v>14</v>
      </c>
      <c r="G14" s="10" t="s">
        <v>68</v>
      </c>
      <c r="H14" s="1" t="s">
        <v>69</v>
      </c>
      <c r="I14" s="1" t="s">
        <v>70</v>
      </c>
      <c r="J14" s="10">
        <f>H14-I14</f>
        <v>998908</v>
      </c>
      <c r="K14" s="10">
        <v>1</v>
      </c>
      <c r="L14" s="10">
        <f>H3</f>
        <v>3</v>
      </c>
      <c r="M14" s="13"/>
    </row>
    <row r="15" spans="1:33 16370:16371">
      <c r="A15" s="10">
        <v>1</v>
      </c>
      <c r="B15" s="10">
        <v>5</v>
      </c>
      <c r="C15" s="10" t="s">
        <v>46</v>
      </c>
      <c r="D15" s="10" t="s">
        <v>47</v>
      </c>
      <c r="E15" s="14" t="s">
        <v>74</v>
      </c>
      <c r="F15" s="10" t="s">
        <v>14</v>
      </c>
      <c r="G15" s="10" t="s">
        <v>68</v>
      </c>
      <c r="H15" s="1" t="s">
        <v>69</v>
      </c>
      <c r="I15" s="1" t="s">
        <v>70</v>
      </c>
      <c r="J15" s="10">
        <f t="shared" ref="J12:J31" si="0">H15-I15</f>
        <v>998833</v>
      </c>
      <c r="K15" s="10">
        <v>1</v>
      </c>
      <c r="L15" s="10">
        <f>H3</f>
        <v>3</v>
      </c>
      <c r="M15" s="13"/>
    </row>
    <row r="16" spans="1:33 16370:16371">
      <c r="A16" s="10">
        <v>1</v>
      </c>
      <c r="B16" s="10">
        <v>6</v>
      </c>
      <c r="C16" s="10" t="s">
        <v>46</v>
      </c>
      <c r="D16" s="10" t="s">
        <v>47</v>
      </c>
      <c r="E16" s="14" t="s">
        <v>75</v>
      </c>
      <c r="F16" s="10" t="s">
        <v>14</v>
      </c>
      <c r="G16" s="10" t="s">
        <v>68</v>
      </c>
      <c r="H16" s="1" t="s">
        <v>69</v>
      </c>
      <c r="I16" s="1" t="s">
        <v>70</v>
      </c>
      <c r="J16" s="10">
        <f t="shared" si="0"/>
        <v>998833</v>
      </c>
      <c r="K16" s="10">
        <v>1</v>
      </c>
      <c r="L16" s="10">
        <f>H3</f>
        <v>3</v>
      </c>
      <c r="M16" s="13"/>
    </row>
    <row r="17" spans="1:18">
      <c r="A17" s="10">
        <v>1</v>
      </c>
      <c r="B17" s="10">
        <v>7</v>
      </c>
      <c r="C17" s="10" t="s">
        <v>46</v>
      </c>
      <c r="D17" s="10" t="s">
        <v>47</v>
      </c>
      <c r="E17" s="14" t="s">
        <v>76</v>
      </c>
      <c r="F17" s="10" t="s">
        <v>14</v>
      </c>
      <c r="G17" s="10" t="s">
        <v>68</v>
      </c>
      <c r="H17" s="1" t="s">
        <v>69</v>
      </c>
      <c r="I17" s="1" t="s">
        <v>70</v>
      </c>
      <c r="J17" s="10">
        <f t="shared" si="0"/>
        <v>998833</v>
      </c>
      <c r="K17" s="10">
        <v>1</v>
      </c>
      <c r="L17" s="10">
        <f>H3</f>
        <v>3</v>
      </c>
      <c r="M17" s="13"/>
    </row>
    <row r="18" spans="1:18">
      <c r="A18" s="10">
        <v>2</v>
      </c>
      <c r="B18" s="10">
        <v>1</v>
      </c>
      <c r="C18" s="10" t="s">
        <v>54</v>
      </c>
      <c r="D18" s="10" t="s">
        <v>55</v>
      </c>
      <c r="E18" s="14" t="s">
        <v>67</v>
      </c>
      <c r="F18" s="10" t="s">
        <v>14</v>
      </c>
      <c r="G18" s="10" t="s">
        <v>68</v>
      </c>
      <c r="H18" s="10">
        <f>J11</f>
        <v>998833</v>
      </c>
      <c r="I18" s="1" t="s">
        <v>70</v>
      </c>
      <c r="J18" s="10">
        <f t="shared" si="0"/>
        <v>998833</v>
      </c>
      <c r="K18" s="10">
        <v>1</v>
      </c>
      <c r="L18" s="10">
        <f>H3</f>
        <v>3</v>
      </c>
      <c r="M18" s="13"/>
    </row>
    <row r="19" spans="1:18">
      <c r="A19" s="10">
        <v>2</v>
      </c>
      <c r="B19" s="10">
        <v>2</v>
      </c>
      <c r="C19" s="10" t="s">
        <v>54</v>
      </c>
      <c r="D19" s="10" t="s">
        <v>55</v>
      </c>
      <c r="E19" s="14" t="s">
        <v>71</v>
      </c>
      <c r="F19" s="10" t="s">
        <v>14</v>
      </c>
      <c r="G19" s="10" t="s">
        <v>68</v>
      </c>
      <c r="H19" s="10">
        <f t="shared" ref="H19:H25" si="1">J12</f>
        <v>998908</v>
      </c>
      <c r="I19" s="1" t="s">
        <v>70</v>
      </c>
      <c r="J19" s="10">
        <f t="shared" si="0"/>
        <v>998908</v>
      </c>
      <c r="K19" s="10">
        <v>1</v>
      </c>
      <c r="L19" s="10">
        <f>H3</f>
        <v>3</v>
      </c>
      <c r="M19" s="13"/>
    </row>
    <row r="20" spans="1:18">
      <c r="A20" s="10">
        <v>2</v>
      </c>
      <c r="B20" s="10">
        <v>3</v>
      </c>
      <c r="C20" s="10" t="s">
        <v>54</v>
      </c>
      <c r="D20" s="10" t="s">
        <v>55</v>
      </c>
      <c r="E20" s="14" t="s">
        <v>72</v>
      </c>
      <c r="F20" s="10" t="s">
        <v>14</v>
      </c>
      <c r="G20" s="10" t="s">
        <v>68</v>
      </c>
      <c r="H20" s="10">
        <f t="shared" si="1"/>
        <v>998908</v>
      </c>
      <c r="I20" s="1" t="s">
        <v>70</v>
      </c>
      <c r="J20" s="10">
        <f t="shared" si="0"/>
        <v>998908</v>
      </c>
      <c r="K20" s="10">
        <v>1</v>
      </c>
      <c r="L20" s="10">
        <f>H3</f>
        <v>3</v>
      </c>
      <c r="M20" s="13"/>
    </row>
    <row r="21" spans="1:18">
      <c r="A21" s="10">
        <v>2</v>
      </c>
      <c r="B21" s="10">
        <v>4</v>
      </c>
      <c r="C21" s="10" t="s">
        <v>54</v>
      </c>
      <c r="D21" s="10" t="s">
        <v>55</v>
      </c>
      <c r="E21" s="14" t="s">
        <v>73</v>
      </c>
      <c r="F21" s="10" t="s">
        <v>14</v>
      </c>
      <c r="G21" s="10" t="s">
        <v>68</v>
      </c>
      <c r="H21" s="10">
        <f t="shared" si="1"/>
        <v>998908</v>
      </c>
      <c r="I21" s="1" t="s">
        <v>70</v>
      </c>
      <c r="J21" s="10">
        <f t="shared" si="0"/>
        <v>998908</v>
      </c>
      <c r="K21" s="10">
        <v>1</v>
      </c>
      <c r="L21" s="10">
        <f>H3</f>
        <v>3</v>
      </c>
      <c r="M21" s="13"/>
    </row>
    <row r="22" spans="1:18">
      <c r="A22" s="10">
        <v>2</v>
      </c>
      <c r="B22" s="10">
        <v>5</v>
      </c>
      <c r="C22" s="10" t="s">
        <v>54</v>
      </c>
      <c r="D22" s="10" t="s">
        <v>55</v>
      </c>
      <c r="E22" s="14" t="s">
        <v>74</v>
      </c>
      <c r="F22" s="10" t="s">
        <v>14</v>
      </c>
      <c r="G22" s="10" t="s">
        <v>68</v>
      </c>
      <c r="H22" s="10">
        <f t="shared" si="1"/>
        <v>998833</v>
      </c>
      <c r="I22" s="1" t="s">
        <v>70</v>
      </c>
      <c r="J22" s="10">
        <f t="shared" si="0"/>
        <v>998833</v>
      </c>
      <c r="K22" s="10">
        <v>1</v>
      </c>
      <c r="L22" s="10">
        <f>H3</f>
        <v>3</v>
      </c>
      <c r="M22" s="13"/>
    </row>
    <row r="23" spans="1:18">
      <c r="A23" s="10">
        <v>2</v>
      </c>
      <c r="B23" s="10">
        <v>6</v>
      </c>
      <c r="C23" s="10" t="s">
        <v>54</v>
      </c>
      <c r="D23" s="10" t="s">
        <v>55</v>
      </c>
      <c r="E23" s="14" t="s">
        <v>75</v>
      </c>
      <c r="F23" s="10" t="s">
        <v>14</v>
      </c>
      <c r="G23" s="10" t="s">
        <v>68</v>
      </c>
      <c r="H23" s="10">
        <f t="shared" si="1"/>
        <v>998833</v>
      </c>
      <c r="I23" s="1" t="s">
        <v>70</v>
      </c>
      <c r="J23" s="10">
        <f t="shared" si="0"/>
        <v>998833</v>
      </c>
      <c r="K23" s="10">
        <v>1</v>
      </c>
      <c r="L23" s="10">
        <f>H3</f>
        <v>3</v>
      </c>
      <c r="M23" s="13"/>
    </row>
    <row r="24" spans="1:18">
      <c r="A24" s="10">
        <v>2</v>
      </c>
      <c r="B24" s="10">
        <v>7</v>
      </c>
      <c r="C24" s="10" t="s">
        <v>54</v>
      </c>
      <c r="D24" s="10" t="s">
        <v>55</v>
      </c>
      <c r="E24" s="14" t="s">
        <v>76</v>
      </c>
      <c r="F24" s="10" t="s">
        <v>14</v>
      </c>
      <c r="G24" s="10" t="s">
        <v>68</v>
      </c>
      <c r="H24" s="10">
        <f t="shared" si="1"/>
        <v>998833</v>
      </c>
      <c r="I24" s="1" t="s">
        <v>70</v>
      </c>
      <c r="J24" s="10">
        <f t="shared" si="0"/>
        <v>998833</v>
      </c>
      <c r="K24" s="10">
        <v>1</v>
      </c>
      <c r="L24" s="10">
        <f>H3</f>
        <v>3</v>
      </c>
      <c r="M24" s="13"/>
    </row>
    <row r="25" spans="1:18">
      <c r="A25" s="10">
        <v>3</v>
      </c>
      <c r="B25" s="10">
        <v>1</v>
      </c>
      <c r="C25" s="10" t="s">
        <v>56</v>
      </c>
      <c r="D25" s="10" t="s">
        <v>57</v>
      </c>
      <c r="E25" s="14" t="s">
        <v>67</v>
      </c>
      <c r="F25" s="10" t="s">
        <v>14</v>
      </c>
      <c r="G25" s="10" t="s">
        <v>68</v>
      </c>
      <c r="H25" s="10">
        <f t="shared" si="1"/>
        <v>998833</v>
      </c>
      <c r="I25" s="1" t="s">
        <v>70</v>
      </c>
      <c r="J25" s="10">
        <f t="shared" si="0"/>
        <v>998833</v>
      </c>
      <c r="K25" s="10">
        <v>1</v>
      </c>
      <c r="L25" s="10">
        <f>H3</f>
        <v>3</v>
      </c>
      <c r="M25" s="13"/>
    </row>
    <row r="26" spans="1:18">
      <c r="A26" s="10">
        <v>3</v>
      </c>
      <c r="B26" s="10">
        <v>2</v>
      </c>
      <c r="C26" s="10" t="s">
        <v>56</v>
      </c>
      <c r="D26" s="10" t="s">
        <v>57</v>
      </c>
      <c r="E26" s="14" t="s">
        <v>71</v>
      </c>
      <c r="F26" s="10" t="s">
        <v>14</v>
      </c>
      <c r="G26" s="10" t="s">
        <v>68</v>
      </c>
      <c r="H26" s="10">
        <f t="shared" ref="H26:H31" si="2">J19</f>
        <v>998908</v>
      </c>
      <c r="I26" s="1" t="s">
        <v>70</v>
      </c>
      <c r="J26" s="10">
        <f t="shared" si="0"/>
        <v>998908</v>
      </c>
      <c r="K26" s="10">
        <v>1</v>
      </c>
      <c r="L26" s="10">
        <f>H3</f>
        <v>3</v>
      </c>
      <c r="M26" s="13"/>
    </row>
    <row r="27" spans="1:18">
      <c r="A27" s="10">
        <v>3</v>
      </c>
      <c r="B27" s="10">
        <v>3</v>
      </c>
      <c r="C27" s="10" t="s">
        <v>56</v>
      </c>
      <c r="D27" s="10" t="s">
        <v>57</v>
      </c>
      <c r="E27" s="14" t="s">
        <v>72</v>
      </c>
      <c r="F27" s="10" t="s">
        <v>14</v>
      </c>
      <c r="G27" s="10" t="s">
        <v>68</v>
      </c>
      <c r="H27" s="10">
        <f t="shared" si="2"/>
        <v>998908</v>
      </c>
      <c r="I27" s="1" t="s">
        <v>70</v>
      </c>
      <c r="J27" s="10">
        <f t="shared" si="0"/>
        <v>998908</v>
      </c>
      <c r="K27" s="10">
        <v>1</v>
      </c>
      <c r="L27" s="10">
        <f>H3</f>
        <v>3</v>
      </c>
      <c r="M27" s="13"/>
    </row>
    <row r="28" spans="1:18">
      <c r="A28" s="10">
        <v>3</v>
      </c>
      <c r="B28" s="10">
        <v>4</v>
      </c>
      <c r="C28" s="10" t="s">
        <v>56</v>
      </c>
      <c r="D28" s="10" t="s">
        <v>57</v>
      </c>
      <c r="E28" s="14" t="s">
        <v>73</v>
      </c>
      <c r="F28" s="10" t="s">
        <v>14</v>
      </c>
      <c r="G28" s="10" t="s">
        <v>68</v>
      </c>
      <c r="H28" s="10">
        <f t="shared" si="2"/>
        <v>998908</v>
      </c>
      <c r="I28" s="1" t="s">
        <v>70</v>
      </c>
      <c r="J28" s="10">
        <f t="shared" si="0"/>
        <v>998908</v>
      </c>
      <c r="K28" s="10">
        <v>1</v>
      </c>
      <c r="L28" s="10">
        <f>H3</f>
        <v>3</v>
      </c>
      <c r="M28" s="13"/>
    </row>
    <row r="29" spans="1:18">
      <c r="A29" s="10">
        <v>3</v>
      </c>
      <c r="B29" s="10">
        <v>5</v>
      </c>
      <c r="C29" s="10" t="s">
        <v>56</v>
      </c>
      <c r="D29" s="10" t="s">
        <v>57</v>
      </c>
      <c r="E29" s="14" t="s">
        <v>74</v>
      </c>
      <c r="F29" s="10" t="s">
        <v>14</v>
      </c>
      <c r="G29" s="10" t="s">
        <v>68</v>
      </c>
      <c r="H29" s="10">
        <f t="shared" si="2"/>
        <v>998833</v>
      </c>
      <c r="I29" s="1" t="s">
        <v>70</v>
      </c>
      <c r="J29" s="10">
        <f t="shared" si="0"/>
        <v>998833</v>
      </c>
      <c r="K29" s="10">
        <v>1</v>
      </c>
      <c r="L29" s="10">
        <f>H3</f>
        <v>3</v>
      </c>
      <c r="M29" s="13"/>
    </row>
    <row r="30" spans="1:18">
      <c r="A30" s="10">
        <v>3</v>
      </c>
      <c r="B30" s="10">
        <v>6</v>
      </c>
      <c r="C30" s="10" t="s">
        <v>56</v>
      </c>
      <c r="D30" s="10" t="s">
        <v>57</v>
      </c>
      <c r="E30" s="14" t="s">
        <v>75</v>
      </c>
      <c r="F30" s="10" t="s">
        <v>14</v>
      </c>
      <c r="G30" s="10" t="s">
        <v>68</v>
      </c>
      <c r="H30" s="10">
        <f t="shared" si="2"/>
        <v>998833</v>
      </c>
      <c r="I30" s="1" t="s">
        <v>70</v>
      </c>
      <c r="J30" s="10">
        <f t="shared" si="0"/>
        <v>998833</v>
      </c>
      <c r="K30" s="10">
        <v>1</v>
      </c>
      <c r="L30" s="10">
        <f>H3</f>
        <v>3</v>
      </c>
      <c r="M30" s="13"/>
    </row>
    <row r="31" spans="1:18">
      <c r="A31" s="15">
        <v>3</v>
      </c>
      <c r="B31" s="15">
        <v>7</v>
      </c>
      <c r="C31" s="15" t="s">
        <v>56</v>
      </c>
      <c r="D31" s="15" t="s">
        <v>57</v>
      </c>
      <c r="E31" s="16" t="s">
        <v>76</v>
      </c>
      <c r="F31" s="15" t="s">
        <v>14</v>
      </c>
      <c r="G31" s="15" t="s">
        <v>68</v>
      </c>
      <c r="H31" s="10">
        <f t="shared" si="2"/>
        <v>998833</v>
      </c>
      <c r="I31" s="1" t="s">
        <v>70</v>
      </c>
      <c r="J31" s="15">
        <f t="shared" si="0"/>
        <v>998833</v>
      </c>
      <c r="K31" s="15">
        <v>1</v>
      </c>
      <c r="L31" s="15">
        <f>H3</f>
        <v>3</v>
      </c>
      <c r="M31" s="13"/>
    </row>
    <row r="32" spans="1:18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0"/>
      <c r="M32" s="13"/>
      <c r="N32" s="13"/>
      <c r="O32" s="13"/>
      <c r="P32" s="13"/>
      <c r="Q32" s="13"/>
      <c r="R32" s="13"/>
    </row>
    <row r="33" spans="1:18">
      <c r="A33" s="12" t="s">
        <v>77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</row>
    <row r="34" spans="1:18">
      <c r="A34" s="17" t="s">
        <v>78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9"/>
    </row>
    <row r="35" spans="1:18">
      <c r="A35" s="7" t="s">
        <v>79</v>
      </c>
      <c r="B35" s="7" t="s">
        <v>80</v>
      </c>
      <c r="C35" s="7" t="s">
        <v>81</v>
      </c>
      <c r="D35" s="7" t="s">
        <v>82</v>
      </c>
      <c r="E35" s="7" t="s">
        <v>83</v>
      </c>
      <c r="F35" s="7" t="s">
        <v>60</v>
      </c>
      <c r="G35" s="7" t="s">
        <v>84</v>
      </c>
      <c r="H35" s="7" t="s">
        <v>85</v>
      </c>
      <c r="I35" s="7" t="s">
        <v>86</v>
      </c>
      <c r="J35" s="7" t="s">
        <v>87</v>
      </c>
      <c r="K35" s="7" t="s">
        <v>88</v>
      </c>
      <c r="L35" s="7" t="s">
        <v>89</v>
      </c>
      <c r="M35" s="7" t="s">
        <v>90</v>
      </c>
      <c r="N35" s="7" t="s">
        <v>91</v>
      </c>
      <c r="O35" s="7" t="s">
        <v>92</v>
      </c>
      <c r="P35" s="7" t="s">
        <v>93</v>
      </c>
      <c r="Q35" s="7" t="s">
        <v>94</v>
      </c>
      <c r="R35" s="7" t="s">
        <v>95</v>
      </c>
    </row>
    <row r="36" spans="1:18">
      <c r="A36" s="10">
        <v>1</v>
      </c>
      <c r="B36" s="10">
        <v>1</v>
      </c>
      <c r="C36" s="10" t="s">
        <v>46</v>
      </c>
      <c r="D36" s="10" t="s">
        <v>47</v>
      </c>
      <c r="E36" s="14" t="s">
        <v>67</v>
      </c>
      <c r="F36" s="10" t="s">
        <v>14</v>
      </c>
      <c r="G36" s="10" t="s">
        <v>68</v>
      </c>
      <c r="H36" s="14" t="s">
        <v>52</v>
      </c>
      <c r="I36" s="10">
        <f>H3</f>
        <v>3</v>
      </c>
      <c r="J36" s="10">
        <f>H3</f>
        <v>3</v>
      </c>
      <c r="K36" s="10">
        <f>H3</f>
        <v>3</v>
      </c>
      <c r="L36" s="10">
        <v>20</v>
      </c>
      <c r="M36" s="10">
        <f t="shared" ref="M36:M42" si="3">L36*K36</f>
        <v>60</v>
      </c>
      <c r="N36" s="10" t="str">
        <f t="shared" ref="N36:N42" si="4">I11</f>
        <v>3</v>
      </c>
      <c r="O36" s="1" t="s">
        <v>69</v>
      </c>
      <c r="P36" s="10">
        <f>O36-I36</f>
        <v>-3</v>
      </c>
      <c r="Q36" s="10">
        <f>-I36</f>
        <v>-3</v>
      </c>
      <c r="R36" s="10">
        <f>I36</f>
        <v>3</v>
      </c>
    </row>
    <row r="37" spans="1:18">
      <c r="A37" s="10">
        <v>1</v>
      </c>
      <c r="B37" s="10">
        <v>2</v>
      </c>
      <c r="C37" s="10" t="s">
        <v>46</v>
      </c>
      <c r="D37" s="10" t="s">
        <v>47</v>
      </c>
      <c r="E37" s="14" t="s">
        <v>71</v>
      </c>
      <c r="F37" s="10" t="s">
        <v>14</v>
      </c>
      <c r="G37" s="10" t="s">
        <v>68</v>
      </c>
      <c r="H37" s="14" t="s">
        <v>52</v>
      </c>
      <c r="I37" s="10">
        <f>H3</f>
        <v>3</v>
      </c>
      <c r="J37" s="10">
        <f>H3</f>
        <v>3</v>
      </c>
      <c r="K37" s="10">
        <f>H3</f>
        <v>3</v>
      </c>
      <c r="L37" s="10">
        <v>20</v>
      </c>
      <c r="M37" s="10">
        <f t="shared" si="3"/>
        <v>60</v>
      </c>
      <c r="N37" s="10" t="str">
        <f t="shared" si="4"/>
        <v>3</v>
      </c>
      <c r="O37" s="1" t="s">
        <v>69</v>
      </c>
      <c r="P37" s="10">
        <f t="shared" ref="P37:P42" si="5">O37-I37</f>
        <v>-3</v>
      </c>
      <c r="Q37" s="10">
        <f t="shared" ref="Q37:Q42" si="6">-I37</f>
        <v>-3</v>
      </c>
      <c r="R37" s="10">
        <f t="shared" ref="R37:R42" si="7">I37</f>
        <v>3</v>
      </c>
    </row>
    <row r="38" spans="1:18">
      <c r="A38" s="10">
        <v>1</v>
      </c>
      <c r="B38" s="10">
        <v>3</v>
      </c>
      <c r="C38" s="10" t="s">
        <v>46</v>
      </c>
      <c r="D38" s="10" t="s">
        <v>47</v>
      </c>
      <c r="E38" s="14" t="s">
        <v>72</v>
      </c>
      <c r="F38" s="10" t="s">
        <v>14</v>
      </c>
      <c r="G38" s="10" t="s">
        <v>68</v>
      </c>
      <c r="H38" s="14" t="s">
        <v>52</v>
      </c>
      <c r="I38" s="10">
        <f>H3</f>
        <v>3</v>
      </c>
      <c r="J38" s="10">
        <f>H3</f>
        <v>3</v>
      </c>
      <c r="K38" s="10">
        <f>H3</f>
        <v>3</v>
      </c>
      <c r="L38" s="10">
        <v>20</v>
      </c>
      <c r="M38" s="10">
        <f t="shared" si="3"/>
        <v>60</v>
      </c>
      <c r="N38" s="10" t="str">
        <f t="shared" si="4"/>
        <v>3</v>
      </c>
      <c r="O38" s="1" t="s">
        <v>69</v>
      </c>
      <c r="P38" s="10">
        <f t="shared" si="5"/>
        <v>-3</v>
      </c>
      <c r="Q38" s="10">
        <f t="shared" si="6"/>
        <v>-3</v>
      </c>
      <c r="R38" s="10">
        <f t="shared" si="7"/>
        <v>3</v>
      </c>
    </row>
    <row r="39" spans="1:18">
      <c r="A39" s="10">
        <v>1</v>
      </c>
      <c r="B39" s="10">
        <v>4</v>
      </c>
      <c r="C39" s="10" t="s">
        <v>46</v>
      </c>
      <c r="D39" s="10" t="s">
        <v>47</v>
      </c>
      <c r="E39" s="14" t="s">
        <v>73</v>
      </c>
      <c r="F39" s="10" t="s">
        <v>14</v>
      </c>
      <c r="G39" s="10" t="s">
        <v>68</v>
      </c>
      <c r="H39" s="14" t="s">
        <v>52</v>
      </c>
      <c r="I39" s="10">
        <f>H3</f>
        <v>3</v>
      </c>
      <c r="J39" s="10">
        <f>H3</f>
        <v>3</v>
      </c>
      <c r="K39" s="10">
        <f>H3</f>
        <v>3</v>
      </c>
      <c r="L39" s="10">
        <v>20</v>
      </c>
      <c r="M39" s="10">
        <f t="shared" si="3"/>
        <v>60</v>
      </c>
      <c r="N39" s="10" t="str">
        <f t="shared" si="4"/>
        <v>3</v>
      </c>
      <c r="O39" s="1" t="s">
        <v>69</v>
      </c>
      <c r="P39" s="10">
        <f t="shared" si="5"/>
        <v>-3</v>
      </c>
      <c r="Q39" s="10">
        <f t="shared" si="6"/>
        <v>-3</v>
      </c>
      <c r="R39" s="10">
        <f t="shared" si="7"/>
        <v>3</v>
      </c>
    </row>
    <row r="40" spans="1:18">
      <c r="A40" s="10">
        <v>1</v>
      </c>
      <c r="B40" s="10">
        <v>5</v>
      </c>
      <c r="C40" s="10" t="s">
        <v>46</v>
      </c>
      <c r="D40" s="10" t="s">
        <v>47</v>
      </c>
      <c r="E40" s="14" t="s">
        <v>74</v>
      </c>
      <c r="F40" s="10" t="s">
        <v>14</v>
      </c>
      <c r="G40" s="10" t="s">
        <v>68</v>
      </c>
      <c r="H40" s="14" t="s">
        <v>52</v>
      </c>
      <c r="I40" s="10">
        <f>H3</f>
        <v>3</v>
      </c>
      <c r="J40" s="10">
        <f>H3</f>
        <v>3</v>
      </c>
      <c r="K40" s="10">
        <f>H3</f>
        <v>3</v>
      </c>
      <c r="L40" s="10">
        <v>20</v>
      </c>
      <c r="M40" s="10">
        <f t="shared" si="3"/>
        <v>60</v>
      </c>
      <c r="N40" s="10" t="str">
        <f t="shared" si="4"/>
        <v>3</v>
      </c>
      <c r="O40" s="1" t="s">
        <v>69</v>
      </c>
      <c r="P40" s="10">
        <f t="shared" si="5"/>
        <v>-3</v>
      </c>
      <c r="Q40" s="10">
        <f t="shared" si="6"/>
        <v>-3</v>
      </c>
      <c r="R40" s="10">
        <f t="shared" si="7"/>
        <v>3</v>
      </c>
    </row>
    <row r="41" spans="1:18">
      <c r="A41" s="10">
        <v>1</v>
      </c>
      <c r="B41" s="10">
        <v>6</v>
      </c>
      <c r="C41" s="10" t="s">
        <v>46</v>
      </c>
      <c r="D41" s="10" t="s">
        <v>47</v>
      </c>
      <c r="E41" s="14" t="s">
        <v>75</v>
      </c>
      <c r="F41" s="10" t="s">
        <v>14</v>
      </c>
      <c r="G41" s="10" t="s">
        <v>68</v>
      </c>
      <c r="H41" s="14" t="s">
        <v>52</v>
      </c>
      <c r="I41" s="10">
        <f>H3</f>
        <v>3</v>
      </c>
      <c r="J41" s="10">
        <f>H3</f>
        <v>3</v>
      </c>
      <c r="K41" s="10">
        <f>H3</f>
        <v>3</v>
      </c>
      <c r="L41" s="10">
        <v>20</v>
      </c>
      <c r="M41" s="10">
        <f t="shared" si="3"/>
        <v>60</v>
      </c>
      <c r="N41" s="10" t="str">
        <f t="shared" si="4"/>
        <v>3</v>
      </c>
      <c r="O41" s="1" t="s">
        <v>69</v>
      </c>
      <c r="P41" s="10">
        <f t="shared" si="5"/>
        <v>-3</v>
      </c>
      <c r="Q41" s="10">
        <f t="shared" si="6"/>
        <v>-3</v>
      </c>
      <c r="R41" s="10">
        <f t="shared" si="7"/>
        <v>3</v>
      </c>
    </row>
    <row r="42" spans="1:18">
      <c r="A42" s="10">
        <v>1</v>
      </c>
      <c r="B42" s="10">
        <v>7</v>
      </c>
      <c r="C42" s="10" t="s">
        <v>46</v>
      </c>
      <c r="D42" s="10" t="s">
        <v>47</v>
      </c>
      <c r="E42" s="14" t="s">
        <v>76</v>
      </c>
      <c r="F42" s="10" t="s">
        <v>14</v>
      </c>
      <c r="G42" s="10" t="s">
        <v>68</v>
      </c>
      <c r="H42" s="14" t="s">
        <v>52</v>
      </c>
      <c r="I42" s="10">
        <f>H3</f>
        <v>3</v>
      </c>
      <c r="J42" s="10">
        <f>H3</f>
        <v>3</v>
      </c>
      <c r="K42" s="10">
        <f>H3</f>
        <v>3</v>
      </c>
      <c r="L42" s="10">
        <v>20</v>
      </c>
      <c r="M42" s="10">
        <f t="shared" si="3"/>
        <v>60</v>
      </c>
      <c r="N42" s="10" t="str">
        <f t="shared" si="4"/>
        <v>3</v>
      </c>
      <c r="O42" s="1" t="s">
        <v>69</v>
      </c>
      <c r="P42" s="10">
        <f t="shared" si="5"/>
        <v>-3</v>
      </c>
      <c r="Q42" s="10">
        <f t="shared" si="6"/>
        <v>-3</v>
      </c>
      <c r="R42" s="10">
        <f t="shared" si="7"/>
        <v>3</v>
      </c>
    </row>
    <row r="43" spans="1:18">
      <c r="A43" s="20" t="s">
        <v>96</v>
      </c>
      <c r="B43" s="20">
        <v>1</v>
      </c>
      <c r="C43" s="20" t="s">
        <v>46</v>
      </c>
      <c r="D43" s="20"/>
      <c r="E43" s="21"/>
      <c r="F43" s="20"/>
      <c r="G43" s="20"/>
      <c r="H43" s="21" t="s">
        <v>52</v>
      </c>
      <c r="I43" s="20">
        <v>3</v>
      </c>
      <c r="J43" s="20">
        <v>3</v>
      </c>
      <c r="K43" s="20"/>
      <c r="L43" s="22">
        <f>SUM(L36:L42)</f>
        <v>140</v>
      </c>
      <c r="M43" s="22">
        <f>SUM(M36:M42)</f>
        <v>420</v>
      </c>
      <c r="N43" s="22">
        <v>100</v>
      </c>
      <c r="O43" s="22" t="s">
        <v>97</v>
      </c>
      <c r="P43" s="20"/>
      <c r="Q43" s="20"/>
      <c r="R43" s="20"/>
    </row>
    <row r="44" spans="1:18">
      <c r="A44" s="23" t="s">
        <v>98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</row>
    <row r="45" spans="1:18">
      <c r="A45" s="7" t="s">
        <v>79</v>
      </c>
      <c r="B45" s="6" t="s">
        <v>80</v>
      </c>
      <c r="C45" s="6" t="s">
        <v>81</v>
      </c>
      <c r="D45" s="6" t="s">
        <v>82</v>
      </c>
      <c r="E45" s="6" t="s">
        <v>83</v>
      </c>
      <c r="F45" s="6" t="s">
        <v>60</v>
      </c>
      <c r="G45" s="6" t="s">
        <v>84</v>
      </c>
      <c r="H45" s="6" t="s">
        <v>85</v>
      </c>
      <c r="I45" s="6" t="s">
        <v>86</v>
      </c>
      <c r="J45" s="6" t="s">
        <v>87</v>
      </c>
      <c r="K45" s="6" t="s">
        <v>88</v>
      </c>
      <c r="L45" s="6" t="s">
        <v>89</v>
      </c>
      <c r="M45" s="6" t="s">
        <v>90</v>
      </c>
      <c r="N45" s="7" t="s">
        <v>91</v>
      </c>
      <c r="O45" s="7" t="s">
        <v>92</v>
      </c>
      <c r="P45" s="7" t="s">
        <v>93</v>
      </c>
      <c r="Q45" s="7" t="s">
        <v>94</v>
      </c>
      <c r="R45" s="7" t="s">
        <v>95</v>
      </c>
    </row>
    <row r="46" spans="1:18">
      <c r="A46" s="10">
        <v>2</v>
      </c>
      <c r="B46" s="10">
        <v>1</v>
      </c>
      <c r="C46" s="10" t="s">
        <v>54</v>
      </c>
      <c r="D46" s="10" t="s">
        <v>55</v>
      </c>
      <c r="E46" s="14" t="s">
        <v>67</v>
      </c>
      <c r="F46" s="10" t="s">
        <v>14</v>
      </c>
      <c r="G46" s="10" t="s">
        <v>68</v>
      </c>
      <c r="H46" s="14" t="s">
        <v>52</v>
      </c>
      <c r="I46" s="10">
        <f>H3</f>
        <v>3</v>
      </c>
      <c r="J46" s="10">
        <f>H3</f>
        <v>3</v>
      </c>
      <c r="K46" s="10">
        <f>H3</f>
        <v>3</v>
      </c>
      <c r="L46" s="10">
        <v>20</v>
      </c>
      <c r="M46" s="10">
        <f t="shared" ref="M46:M54" si="8">L46*K46</f>
        <v>60</v>
      </c>
      <c r="N46" s="10" t="str">
        <f>I18</f>
        <v>3</v>
      </c>
      <c r="O46" s="1" t="s">
        <v>99</v>
      </c>
      <c r="P46" s="10">
        <f>O46-I46</f>
        <v>-3</v>
      </c>
      <c r="Q46" s="10">
        <f>-I46</f>
        <v>-3</v>
      </c>
      <c r="R46" s="10">
        <f>I46</f>
        <v>3</v>
      </c>
    </row>
    <row r="47" spans="1:18">
      <c r="A47" s="10">
        <v>2</v>
      </c>
      <c r="B47" s="10">
        <v>2</v>
      </c>
      <c r="C47" s="10" t="s">
        <v>54</v>
      </c>
      <c r="D47" s="10" t="s">
        <v>55</v>
      </c>
      <c r="E47" s="14" t="s">
        <v>71</v>
      </c>
      <c r="F47" s="10" t="s">
        <v>14</v>
      </c>
      <c r="G47" s="10" t="s">
        <v>68</v>
      </c>
      <c r="H47" s="14" t="s">
        <v>52</v>
      </c>
      <c r="I47" s="10">
        <f>H3</f>
        <v>3</v>
      </c>
      <c r="J47" s="10">
        <f>H3</f>
        <v>3</v>
      </c>
      <c r="K47" s="10">
        <f>H3</f>
        <v>3</v>
      </c>
      <c r="L47" s="10">
        <v>20</v>
      </c>
      <c r="M47" s="10">
        <f t="shared" si="8"/>
        <v>60</v>
      </c>
      <c r="N47" s="10" t="str">
        <f t="shared" ref="N47:N52" si="9">I19</f>
        <v>3</v>
      </c>
      <c r="O47" s="1" t="s">
        <v>99</v>
      </c>
      <c r="P47" s="10">
        <f t="shared" ref="P47:P52" si="10">O47-I47</f>
        <v>-3</v>
      </c>
      <c r="Q47" s="10">
        <f t="shared" ref="Q47:Q52" si="11">-I47</f>
        <v>-3</v>
      </c>
      <c r="R47" s="10">
        <f t="shared" ref="R47:R52" si="12">I47</f>
        <v>3</v>
      </c>
    </row>
    <row r="48" spans="1:18">
      <c r="A48" s="10">
        <v>2</v>
      </c>
      <c r="B48" s="10">
        <v>3</v>
      </c>
      <c r="C48" s="10" t="s">
        <v>54</v>
      </c>
      <c r="D48" s="10" t="s">
        <v>55</v>
      </c>
      <c r="E48" s="14" t="s">
        <v>72</v>
      </c>
      <c r="F48" s="10" t="s">
        <v>14</v>
      </c>
      <c r="G48" s="10" t="s">
        <v>68</v>
      </c>
      <c r="H48" s="14" t="s">
        <v>52</v>
      </c>
      <c r="I48" s="10">
        <f>H3</f>
        <v>3</v>
      </c>
      <c r="J48" s="10">
        <f>H3</f>
        <v>3</v>
      </c>
      <c r="K48" s="10">
        <f>H3</f>
        <v>3</v>
      </c>
      <c r="L48" s="10">
        <v>20</v>
      </c>
      <c r="M48" s="10">
        <f t="shared" si="8"/>
        <v>60</v>
      </c>
      <c r="N48" s="10" t="str">
        <f t="shared" si="9"/>
        <v>3</v>
      </c>
      <c r="O48" s="1" t="s">
        <v>99</v>
      </c>
      <c r="P48" s="10">
        <f t="shared" si="10"/>
        <v>-3</v>
      </c>
      <c r="Q48" s="10">
        <f t="shared" si="11"/>
        <v>-3</v>
      </c>
      <c r="R48" s="10">
        <f t="shared" si="12"/>
        <v>3</v>
      </c>
    </row>
    <row r="49" spans="1:18">
      <c r="A49" s="10">
        <v>2</v>
      </c>
      <c r="B49" s="10">
        <v>4</v>
      </c>
      <c r="C49" s="10" t="s">
        <v>54</v>
      </c>
      <c r="D49" s="10" t="s">
        <v>55</v>
      </c>
      <c r="E49" s="14" t="s">
        <v>73</v>
      </c>
      <c r="F49" s="10" t="s">
        <v>14</v>
      </c>
      <c r="G49" s="10" t="s">
        <v>68</v>
      </c>
      <c r="H49" s="14" t="s">
        <v>52</v>
      </c>
      <c r="I49" s="10">
        <f>H3</f>
        <v>3</v>
      </c>
      <c r="J49" s="10">
        <f>H3</f>
        <v>3</v>
      </c>
      <c r="K49" s="10">
        <f>H3</f>
        <v>3</v>
      </c>
      <c r="L49" s="10">
        <v>20</v>
      </c>
      <c r="M49" s="10">
        <f t="shared" si="8"/>
        <v>60</v>
      </c>
      <c r="N49" s="10" t="str">
        <f t="shared" si="9"/>
        <v>3</v>
      </c>
      <c r="O49" s="1" t="s">
        <v>99</v>
      </c>
      <c r="P49" s="10">
        <f t="shared" si="10"/>
        <v>-3</v>
      </c>
      <c r="Q49" s="10">
        <f t="shared" si="11"/>
        <v>-3</v>
      </c>
      <c r="R49" s="10">
        <f t="shared" si="12"/>
        <v>3</v>
      </c>
    </row>
    <row r="50" spans="1:18">
      <c r="A50" s="10">
        <v>2</v>
      </c>
      <c r="B50" s="10">
        <v>5</v>
      </c>
      <c r="C50" s="10" t="s">
        <v>54</v>
      </c>
      <c r="D50" s="10" t="s">
        <v>55</v>
      </c>
      <c r="E50" s="14" t="s">
        <v>74</v>
      </c>
      <c r="F50" s="10" t="s">
        <v>14</v>
      </c>
      <c r="G50" s="10" t="s">
        <v>68</v>
      </c>
      <c r="H50" s="14" t="s">
        <v>52</v>
      </c>
      <c r="I50" s="10">
        <f>H3</f>
        <v>3</v>
      </c>
      <c r="J50" s="10">
        <f>H3</f>
        <v>3</v>
      </c>
      <c r="K50" s="10">
        <f>H3</f>
        <v>3</v>
      </c>
      <c r="L50" s="10">
        <v>20</v>
      </c>
      <c r="M50" s="10">
        <f t="shared" si="8"/>
        <v>60</v>
      </c>
      <c r="N50" s="10" t="str">
        <f t="shared" si="9"/>
        <v>3</v>
      </c>
      <c r="O50" s="1" t="s">
        <v>99</v>
      </c>
      <c r="P50" s="10">
        <f t="shared" si="10"/>
        <v>-3</v>
      </c>
      <c r="Q50" s="10">
        <f t="shared" si="11"/>
        <v>-3</v>
      </c>
      <c r="R50" s="10">
        <f t="shared" si="12"/>
        <v>3</v>
      </c>
    </row>
    <row r="51" spans="1:18">
      <c r="A51" s="10">
        <v>2</v>
      </c>
      <c r="B51" s="10">
        <v>6</v>
      </c>
      <c r="C51" s="10" t="s">
        <v>54</v>
      </c>
      <c r="D51" s="10" t="s">
        <v>55</v>
      </c>
      <c r="E51" s="14" t="s">
        <v>75</v>
      </c>
      <c r="F51" s="10" t="s">
        <v>14</v>
      </c>
      <c r="G51" s="10" t="s">
        <v>68</v>
      </c>
      <c r="H51" s="14" t="s">
        <v>52</v>
      </c>
      <c r="I51" s="10">
        <f>H3</f>
        <v>3</v>
      </c>
      <c r="J51" s="10">
        <f>H3</f>
        <v>3</v>
      </c>
      <c r="K51" s="10">
        <f>H3</f>
        <v>3</v>
      </c>
      <c r="L51" s="10">
        <v>20</v>
      </c>
      <c r="M51" s="10">
        <f t="shared" si="8"/>
        <v>60</v>
      </c>
      <c r="N51" s="10" t="str">
        <f t="shared" si="9"/>
        <v>3</v>
      </c>
      <c r="O51" s="1" t="s">
        <v>99</v>
      </c>
      <c r="P51" s="10">
        <f t="shared" si="10"/>
        <v>-3</v>
      </c>
      <c r="Q51" s="10">
        <f t="shared" si="11"/>
        <v>-3</v>
      </c>
      <c r="R51" s="10">
        <f t="shared" si="12"/>
        <v>3</v>
      </c>
    </row>
    <row r="52" spans="1:18">
      <c r="A52" s="10">
        <v>2</v>
      </c>
      <c r="B52" s="10">
        <v>7</v>
      </c>
      <c r="C52" s="10" t="s">
        <v>54</v>
      </c>
      <c r="D52" s="10" t="s">
        <v>55</v>
      </c>
      <c r="E52" s="14" t="s">
        <v>76</v>
      </c>
      <c r="F52" s="10" t="s">
        <v>14</v>
      </c>
      <c r="G52" s="10" t="s">
        <v>68</v>
      </c>
      <c r="H52" s="14" t="s">
        <v>52</v>
      </c>
      <c r="I52" s="10">
        <f>H3</f>
        <v>3</v>
      </c>
      <c r="J52" s="10">
        <f>H3</f>
        <v>3</v>
      </c>
      <c r="K52" s="10">
        <f>H3</f>
        <v>3</v>
      </c>
      <c r="L52" s="10">
        <v>20</v>
      </c>
      <c r="M52" s="10">
        <f t="shared" si="8"/>
        <v>60</v>
      </c>
      <c r="N52" s="10" t="str">
        <f t="shared" si="9"/>
        <v>3</v>
      </c>
      <c r="O52" s="1" t="s">
        <v>99</v>
      </c>
      <c r="P52" s="10">
        <f t="shared" si="10"/>
        <v>-3</v>
      </c>
      <c r="Q52" s="10">
        <f t="shared" si="11"/>
        <v>-3</v>
      </c>
      <c r="R52" s="10">
        <f t="shared" si="12"/>
        <v>3</v>
      </c>
    </row>
    <row r="53" spans="1:18">
      <c r="A53" s="10" t="s">
        <v>100</v>
      </c>
      <c r="B53" s="10"/>
      <c r="C53" s="10" t="s">
        <v>46</v>
      </c>
      <c r="D53" s="10" t="s">
        <v>47</v>
      </c>
      <c r="E53" s="9" t="s">
        <v>18</v>
      </c>
      <c r="F53" s="10" t="s">
        <v>14</v>
      </c>
      <c r="G53" s="10" t="s">
        <v>52</v>
      </c>
      <c r="H53" s="14" t="s">
        <v>52</v>
      </c>
      <c r="I53" s="10">
        <f>H3</f>
        <v>3</v>
      </c>
      <c r="J53" s="10">
        <f>H3</f>
        <v>3</v>
      </c>
      <c r="K53" s="10">
        <f>H3</f>
        <v>3</v>
      </c>
      <c r="L53" s="10">
        <v>140</v>
      </c>
      <c r="M53" s="10">
        <f t="shared" si="8"/>
        <v>420</v>
      </c>
      <c r="N53" s="10"/>
      <c r="O53" s="10"/>
      <c r="P53" s="10"/>
      <c r="Q53" s="10"/>
      <c r="R53" s="10"/>
    </row>
    <row r="54" spans="1:18">
      <c r="A54" s="20" t="s">
        <v>96</v>
      </c>
      <c r="B54" s="20">
        <v>1</v>
      </c>
      <c r="C54" s="20" t="s">
        <v>54</v>
      </c>
      <c r="D54" s="20"/>
      <c r="E54" s="20"/>
      <c r="F54" s="21"/>
      <c r="G54" s="20"/>
      <c r="H54" s="21" t="s">
        <v>52</v>
      </c>
      <c r="I54" s="20">
        <v>3</v>
      </c>
      <c r="J54" s="20">
        <v>3</v>
      </c>
      <c r="K54" s="20">
        <v>3</v>
      </c>
      <c r="L54" s="20">
        <f>SUM(L46:L53)</f>
        <v>280</v>
      </c>
      <c r="M54" s="22">
        <f>SUM(M46:M53)</f>
        <v>840</v>
      </c>
      <c r="N54" s="22">
        <v>110</v>
      </c>
      <c r="O54" s="20" t="s">
        <v>97</v>
      </c>
      <c r="P54" s="20"/>
      <c r="Q54" s="20"/>
      <c r="R54" s="20"/>
    </row>
    <row r="55" spans="1:18">
      <c r="A55" s="23" t="s">
        <v>101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</row>
    <row r="56" spans="1:18">
      <c r="A56" s="7" t="s">
        <v>79</v>
      </c>
      <c r="B56" s="6" t="s">
        <v>80</v>
      </c>
      <c r="C56" s="6" t="s">
        <v>81</v>
      </c>
      <c r="D56" s="6" t="s">
        <v>82</v>
      </c>
      <c r="E56" s="6" t="s">
        <v>83</v>
      </c>
      <c r="F56" s="6" t="s">
        <v>60</v>
      </c>
      <c r="G56" s="6" t="s">
        <v>84</v>
      </c>
      <c r="H56" s="6" t="s">
        <v>85</v>
      </c>
      <c r="I56" s="6" t="s">
        <v>86</v>
      </c>
      <c r="J56" s="6" t="s">
        <v>87</v>
      </c>
      <c r="K56" s="6" t="s">
        <v>88</v>
      </c>
      <c r="L56" s="6" t="s">
        <v>89</v>
      </c>
      <c r="M56" s="6" t="s">
        <v>90</v>
      </c>
      <c r="N56" s="7" t="s">
        <v>91</v>
      </c>
      <c r="O56" s="7" t="s">
        <v>92</v>
      </c>
      <c r="P56" s="7" t="s">
        <v>93</v>
      </c>
      <c r="Q56" s="7" t="s">
        <v>94</v>
      </c>
      <c r="R56" s="7" t="s">
        <v>95</v>
      </c>
    </row>
    <row r="57" spans="1:18">
      <c r="A57" s="10">
        <v>3</v>
      </c>
      <c r="B57" s="10">
        <v>1</v>
      </c>
      <c r="C57" s="10" t="s">
        <v>56</v>
      </c>
      <c r="D57" s="10" t="s">
        <v>57</v>
      </c>
      <c r="E57" s="14" t="s">
        <v>67</v>
      </c>
      <c r="F57" s="10" t="s">
        <v>14</v>
      </c>
      <c r="G57" s="10" t="s">
        <v>68</v>
      </c>
      <c r="H57" s="14" t="s">
        <v>52</v>
      </c>
      <c r="I57" s="10">
        <f>H3</f>
        <v>3</v>
      </c>
      <c r="J57" s="10">
        <f>H3</f>
        <v>3</v>
      </c>
      <c r="K57" s="10">
        <f>H3</f>
        <v>3</v>
      </c>
      <c r="L57" s="10">
        <v>20</v>
      </c>
      <c r="M57" s="10">
        <f>L57*K57</f>
        <v>60</v>
      </c>
      <c r="N57" s="10">
        <f>I25</f>
        <v>0</v>
      </c>
      <c r="O57" s="1" t="s">
        <v>102</v>
      </c>
      <c r="P57" s="10">
        <f>O57-I57</f>
        <v>-3</v>
      </c>
      <c r="Q57" s="10">
        <f>-I57</f>
        <v>-3</v>
      </c>
      <c r="R57" s="10">
        <f>I57</f>
        <v>3</v>
      </c>
    </row>
    <row r="58" spans="1:18">
      <c r="A58" s="10">
        <v>3</v>
      </c>
      <c r="B58" s="10">
        <v>2</v>
      </c>
      <c r="C58" s="10" t="s">
        <v>56</v>
      </c>
      <c r="D58" s="10" t="s">
        <v>57</v>
      </c>
      <c r="E58" s="14" t="s">
        <v>71</v>
      </c>
      <c r="F58" s="10" t="s">
        <v>14</v>
      </c>
      <c r="G58" s="10" t="s">
        <v>68</v>
      </c>
      <c r="H58" s="14" t="s">
        <v>52</v>
      </c>
      <c r="I58" s="10">
        <f>H3</f>
        <v>3</v>
      </c>
      <c r="J58" s="10">
        <f>H3</f>
        <v>3</v>
      </c>
      <c r="K58" s="10">
        <f>H3</f>
        <v>3</v>
      </c>
      <c r="L58" s="10">
        <v>20</v>
      </c>
      <c r="M58" s="10">
        <f>L58*K58</f>
        <v>60</v>
      </c>
      <c r="N58" s="10">
        <f t="shared" ref="N58:N63" si="13">I26</f>
        <v>0</v>
      </c>
      <c r="O58" s="1" t="s">
        <v>102</v>
      </c>
      <c r="P58" s="10">
        <f t="shared" ref="P58:P63" si="14">O58-I58</f>
        <v>-3</v>
      </c>
      <c r="Q58" s="10">
        <f t="shared" ref="Q58:Q63" si="15">-I58</f>
        <v>-3</v>
      </c>
      <c r="R58" s="10">
        <f t="shared" ref="R58:R63" si="16">I58</f>
        <v>3</v>
      </c>
    </row>
    <row r="59" spans="1:18">
      <c r="A59" s="10">
        <v>3</v>
      </c>
      <c r="B59" s="10">
        <v>3</v>
      </c>
      <c r="C59" s="10" t="s">
        <v>56</v>
      </c>
      <c r="D59" s="10" t="s">
        <v>57</v>
      </c>
      <c r="E59" s="14" t="s">
        <v>72</v>
      </c>
      <c r="F59" s="10" t="s">
        <v>14</v>
      </c>
      <c r="G59" s="10" t="s">
        <v>68</v>
      </c>
      <c r="H59" s="14" t="s">
        <v>52</v>
      </c>
      <c r="I59" s="10">
        <f>H3</f>
        <v>3</v>
      </c>
      <c r="J59" s="10">
        <f>H3</f>
        <v>3</v>
      </c>
      <c r="K59" s="10">
        <f>H3</f>
        <v>3</v>
      </c>
      <c r="L59" s="10">
        <v>20</v>
      </c>
      <c r="M59" s="10">
        <f t="shared" ref="M59:M64" si="17">L59*K59</f>
        <v>60</v>
      </c>
      <c r="N59" s="10">
        <f t="shared" si="13"/>
        <v>0</v>
      </c>
      <c r="O59" s="1" t="s">
        <v>102</v>
      </c>
      <c r="P59" s="10">
        <f t="shared" si="14"/>
        <v>-3</v>
      </c>
      <c r="Q59" s="10">
        <f t="shared" si="15"/>
        <v>-3</v>
      </c>
      <c r="R59" s="10">
        <f t="shared" si="16"/>
        <v>3</v>
      </c>
    </row>
    <row r="60" spans="1:18">
      <c r="A60" s="10">
        <v>3</v>
      </c>
      <c r="B60" s="10">
        <v>4</v>
      </c>
      <c r="C60" s="10" t="s">
        <v>56</v>
      </c>
      <c r="D60" s="10" t="s">
        <v>57</v>
      </c>
      <c r="E60" s="14" t="s">
        <v>73</v>
      </c>
      <c r="F60" s="10" t="s">
        <v>14</v>
      </c>
      <c r="G60" s="10" t="s">
        <v>68</v>
      </c>
      <c r="H60" s="14" t="s">
        <v>52</v>
      </c>
      <c r="I60" s="10">
        <f>H3</f>
        <v>3</v>
      </c>
      <c r="J60" s="10">
        <f>H3</f>
        <v>3</v>
      </c>
      <c r="K60" s="10">
        <f>H3</f>
        <v>3</v>
      </c>
      <c r="L60" s="10">
        <v>20</v>
      </c>
      <c r="M60" s="10">
        <f t="shared" si="17"/>
        <v>60</v>
      </c>
      <c r="N60" s="10">
        <f t="shared" si="13"/>
        <v>0</v>
      </c>
      <c r="O60" s="1" t="s">
        <v>102</v>
      </c>
      <c r="P60" s="10">
        <f t="shared" si="14"/>
        <v>-3</v>
      </c>
      <c r="Q60" s="10">
        <f t="shared" si="15"/>
        <v>-3</v>
      </c>
      <c r="R60" s="10">
        <f t="shared" si="16"/>
        <v>3</v>
      </c>
    </row>
    <row r="61" spans="1:18">
      <c r="A61" s="10">
        <v>3</v>
      </c>
      <c r="B61" s="10">
        <v>5</v>
      </c>
      <c r="C61" s="10" t="s">
        <v>56</v>
      </c>
      <c r="D61" s="10" t="s">
        <v>57</v>
      </c>
      <c r="E61" s="14" t="s">
        <v>74</v>
      </c>
      <c r="F61" s="10" t="s">
        <v>14</v>
      </c>
      <c r="G61" s="10" t="s">
        <v>68</v>
      </c>
      <c r="H61" s="14" t="s">
        <v>52</v>
      </c>
      <c r="I61" s="10">
        <f>H3</f>
        <v>3</v>
      </c>
      <c r="J61" s="10">
        <f>H3</f>
        <v>3</v>
      </c>
      <c r="K61" s="10">
        <f>H3</f>
        <v>3</v>
      </c>
      <c r="L61" s="10">
        <v>20</v>
      </c>
      <c r="M61" s="10">
        <f t="shared" si="17"/>
        <v>60</v>
      </c>
      <c r="N61" s="10">
        <f t="shared" si="13"/>
        <v>0</v>
      </c>
      <c r="O61" s="1" t="s">
        <v>102</v>
      </c>
      <c r="P61" s="10">
        <f t="shared" si="14"/>
        <v>-3</v>
      </c>
      <c r="Q61" s="10">
        <f t="shared" si="15"/>
        <v>-3</v>
      </c>
      <c r="R61" s="10">
        <f t="shared" si="16"/>
        <v>3</v>
      </c>
    </row>
    <row r="62" spans="1:18">
      <c r="A62" s="10">
        <v>3</v>
      </c>
      <c r="B62" s="10">
        <v>6</v>
      </c>
      <c r="C62" s="10" t="s">
        <v>56</v>
      </c>
      <c r="D62" s="10" t="s">
        <v>57</v>
      </c>
      <c r="E62" s="14" t="s">
        <v>75</v>
      </c>
      <c r="F62" s="10" t="s">
        <v>14</v>
      </c>
      <c r="G62" s="10" t="s">
        <v>68</v>
      </c>
      <c r="H62" s="14" t="s">
        <v>52</v>
      </c>
      <c r="I62" s="10">
        <f>H3</f>
        <v>3</v>
      </c>
      <c r="J62" s="10">
        <f>H3</f>
        <v>3</v>
      </c>
      <c r="K62" s="10">
        <f>H3</f>
        <v>3</v>
      </c>
      <c r="L62" s="10">
        <v>20</v>
      </c>
      <c r="M62" s="10">
        <f t="shared" si="17"/>
        <v>60</v>
      </c>
      <c r="N62" s="10">
        <f t="shared" si="13"/>
        <v>0</v>
      </c>
      <c r="O62" s="1" t="s">
        <v>102</v>
      </c>
      <c r="P62" s="10">
        <f t="shared" si="14"/>
        <v>-3</v>
      </c>
      <c r="Q62" s="10">
        <f t="shared" si="15"/>
        <v>-3</v>
      </c>
      <c r="R62" s="10">
        <f t="shared" si="16"/>
        <v>3</v>
      </c>
    </row>
    <row r="63" spans="1:18">
      <c r="A63" s="10">
        <v>3</v>
      </c>
      <c r="B63" s="10">
        <v>7</v>
      </c>
      <c r="C63" s="10" t="s">
        <v>56</v>
      </c>
      <c r="D63" s="10" t="s">
        <v>57</v>
      </c>
      <c r="E63" s="14" t="s">
        <v>76</v>
      </c>
      <c r="F63" s="10" t="s">
        <v>14</v>
      </c>
      <c r="G63" s="10" t="s">
        <v>68</v>
      </c>
      <c r="H63" s="14" t="s">
        <v>52</v>
      </c>
      <c r="I63" s="10">
        <f>H3</f>
        <v>3</v>
      </c>
      <c r="J63" s="10">
        <f>H3</f>
        <v>3</v>
      </c>
      <c r="K63" s="10">
        <f>H3</f>
        <v>3</v>
      </c>
      <c r="L63" s="10">
        <v>20</v>
      </c>
      <c r="M63" s="10">
        <f t="shared" si="17"/>
        <v>60</v>
      </c>
      <c r="N63" s="10">
        <f t="shared" si="13"/>
        <v>0</v>
      </c>
      <c r="O63" s="1" t="s">
        <v>102</v>
      </c>
      <c r="P63" s="10">
        <f t="shared" si="14"/>
        <v>-3</v>
      </c>
      <c r="Q63" s="10">
        <f t="shared" si="15"/>
        <v>-3</v>
      </c>
      <c r="R63" s="10">
        <f t="shared" si="16"/>
        <v>3</v>
      </c>
    </row>
    <row r="64" spans="1:18">
      <c r="A64" s="10" t="s">
        <v>100</v>
      </c>
      <c r="B64" s="10"/>
      <c r="C64" s="10" t="s">
        <v>54</v>
      </c>
      <c r="D64" s="10" t="s">
        <v>55</v>
      </c>
      <c r="E64" s="9" t="s">
        <v>18</v>
      </c>
      <c r="F64" s="10" t="s">
        <v>14</v>
      </c>
      <c r="G64" s="10" t="s">
        <v>52</v>
      </c>
      <c r="H64" s="14" t="s">
        <v>52</v>
      </c>
      <c r="I64" s="10">
        <f>H3</f>
        <v>3</v>
      </c>
      <c r="J64" s="10">
        <f>H3</f>
        <v>3</v>
      </c>
      <c r="K64" s="10">
        <f>H3</f>
        <v>3</v>
      </c>
      <c r="L64" s="10">
        <v>280</v>
      </c>
      <c r="M64" s="10">
        <f t="shared" si="17"/>
        <v>840</v>
      </c>
      <c r="N64" s="10"/>
      <c r="O64" s="10"/>
      <c r="P64" s="10"/>
      <c r="Q64" s="10"/>
      <c r="R64" s="10"/>
    </row>
    <row r="65" spans="1:18">
      <c r="A65" s="20" t="s">
        <v>96</v>
      </c>
      <c r="B65" s="20">
        <v>1</v>
      </c>
      <c r="C65" s="20" t="s">
        <v>56</v>
      </c>
      <c r="D65" s="20"/>
      <c r="E65" s="20"/>
      <c r="F65" s="21"/>
      <c r="G65" s="20"/>
      <c r="H65" s="21" t="s">
        <v>52</v>
      </c>
      <c r="I65" s="21">
        <v>3</v>
      </c>
      <c r="J65" s="20">
        <v>3</v>
      </c>
      <c r="K65" s="20"/>
      <c r="L65" s="20">
        <f>SUM(L57:L64)</f>
        <v>420</v>
      </c>
      <c r="M65" s="22">
        <f>SUM(M57:M64)</f>
        <v>1260</v>
      </c>
      <c r="N65" s="22">
        <v>111</v>
      </c>
      <c r="O65" s="20" t="s">
        <v>97</v>
      </c>
      <c r="P65" s="20"/>
      <c r="Q65" s="20"/>
      <c r="R65" s="20"/>
    </row>
    <row r="66" spans="1:18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8" spans="1:18">
      <c r="K68" s="11" t="s">
        <v>89</v>
      </c>
      <c r="L68" s="11">
        <f>L69/H3</f>
        <v>420</v>
      </c>
    </row>
    <row r="69" spans="1:18">
      <c r="K69" s="11" t="s">
        <v>103</v>
      </c>
      <c r="L69" s="11">
        <f>M65+AG7</f>
        <v>1260</v>
      </c>
    </row>
  </sheetData>
  <mergeCells count="8">
    <mergeCell ref="A1:M1"/>
    <mergeCell ref="A4:L4"/>
    <mergeCell ref="V4:AG4"/>
    <mergeCell ref="A9:L9"/>
    <mergeCell ref="A33:R33"/>
    <mergeCell ref="A34:R34"/>
    <mergeCell ref="A44:R44"/>
    <mergeCell ref="A55:R5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Q66"/>
  <sheetViews>
    <sheetView zoomScale="61" zoomScaleNormal="61" topLeftCell="I29" workbookViewId="0">
      <selection activeCell="U60" sqref="U60"/>
    </sheetView>
  </sheetViews>
  <sheetFormatPr defaultColWidth="9" defaultRowHeight="14.25"/>
  <cols>
    <col min="1" max="1" width="12.1428571428571" style="1" customWidth="1"/>
    <col min="2" max="2" width="11.8190476190476" style="1" customWidth="1"/>
    <col min="3" max="3" width="17.2761904761905" style="1" customWidth="1"/>
    <col min="4" max="5" width="34.4571428571429" style="1" customWidth="1"/>
    <col min="6" max="9" width="34.2761904761905" style="1" customWidth="1"/>
    <col min="10" max="10" width="15.3619047619048" style="1" customWidth="1"/>
    <col min="11" max="11" width="34.2761904761905" style="1" customWidth="1"/>
    <col min="12" max="12" width="14.3619047619048" style="1" customWidth="1"/>
    <col min="13" max="13" width="16.1809523809524" style="1" customWidth="1"/>
    <col min="14" max="14" width="19.3619047619048" style="1" customWidth="1"/>
    <col min="15" max="15" width="19.6380952380952" style="1" customWidth="1"/>
    <col min="16" max="16" width="15.9047619047619" style="1" customWidth="1"/>
    <col min="17" max="17" width="21.1809523809524" style="1" customWidth="1"/>
    <col min="18" max="18" width="16.2857142857143" style="1" customWidth="1"/>
    <col min="19" max="21" width="19.6380952380952" style="1" customWidth="1"/>
    <col min="22" max="16371" width="9.13333333333333" style="1"/>
    <col min="16372" max="16384" width="9" style="2"/>
  </cols>
  <sheetData>
    <row r="1" spans="1:33 16370:1637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</row>
    <row r="2" spans="1:33 16370:1637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XEP2" s="2"/>
      <c r="XEQ2" s="2"/>
    </row>
    <row r="3" spans="1:33 16370:16371">
      <c r="A3" s="8" t="s">
        <v>14</v>
      </c>
      <c r="B3" s="8" t="s">
        <v>15</v>
      </c>
      <c r="C3" s="8" t="s">
        <v>16</v>
      </c>
      <c r="D3" s="8" t="s">
        <v>16</v>
      </c>
      <c r="E3" s="9" t="s">
        <v>17</v>
      </c>
      <c r="F3" s="9" t="s">
        <v>18</v>
      </c>
      <c r="G3" s="24" t="s">
        <v>19</v>
      </c>
      <c r="H3" s="8">
        <v>3</v>
      </c>
      <c r="I3" s="1" t="s">
        <v>20</v>
      </c>
      <c r="J3" s="10">
        <f>I3+H3</f>
        <v>189</v>
      </c>
      <c r="K3" s="1" t="s">
        <v>21</v>
      </c>
      <c r="L3" s="10">
        <f>(K3+L65)/2</f>
        <v>560</v>
      </c>
      <c r="M3" s="11">
        <f>L65</f>
        <v>700</v>
      </c>
      <c r="XEP3" s="2"/>
      <c r="XEQ3" s="2"/>
    </row>
    <row r="4" spans="1:33 16370:16371">
      <c r="A4" s="12" t="s">
        <v>22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3"/>
      <c r="V4" s="12" t="s">
        <v>23</v>
      </c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3 16370:16371">
      <c r="A5" s="7" t="s">
        <v>24</v>
      </c>
      <c r="B5" s="7" t="s">
        <v>25</v>
      </c>
      <c r="C5" s="7" t="s">
        <v>26</v>
      </c>
      <c r="D5" s="7" t="s">
        <v>27</v>
      </c>
      <c r="E5" s="7" t="s">
        <v>28</v>
      </c>
      <c r="F5" s="7" t="s">
        <v>29</v>
      </c>
      <c r="G5" s="7" t="s">
        <v>30</v>
      </c>
      <c r="H5" s="7" t="s">
        <v>31</v>
      </c>
      <c r="I5" s="7" t="s">
        <v>32</v>
      </c>
      <c r="J5" s="7" t="s">
        <v>33</v>
      </c>
      <c r="K5" s="7" t="s">
        <v>34</v>
      </c>
      <c r="L5" s="7" t="s">
        <v>35</v>
      </c>
      <c r="M5" s="13"/>
      <c r="V5" s="7" t="s">
        <v>25</v>
      </c>
      <c r="W5" s="7" t="s">
        <v>36</v>
      </c>
      <c r="X5" s="7" t="s">
        <v>26</v>
      </c>
      <c r="Y5" s="7" t="s">
        <v>37</v>
      </c>
      <c r="Z5" s="7" t="s">
        <v>38</v>
      </c>
      <c r="AA5" s="7" t="s">
        <v>39</v>
      </c>
      <c r="AB5" s="7" t="s">
        <v>40</v>
      </c>
      <c r="AC5" s="7" t="s">
        <v>41</v>
      </c>
      <c r="AD5" s="7" t="s">
        <v>42</v>
      </c>
      <c r="AE5" s="7" t="s">
        <v>43</v>
      </c>
      <c r="AF5" s="7" t="s">
        <v>44</v>
      </c>
      <c r="AG5" s="7" t="s">
        <v>45</v>
      </c>
    </row>
    <row r="6" spans="1:33 16370:16371">
      <c r="A6" s="10">
        <v>1</v>
      </c>
      <c r="B6" s="10">
        <v>1</v>
      </c>
      <c r="C6" s="10" t="s">
        <v>46</v>
      </c>
      <c r="D6" s="10" t="s">
        <v>47</v>
      </c>
      <c r="E6" s="10" t="s">
        <v>48</v>
      </c>
      <c r="F6" s="14" t="s">
        <v>49</v>
      </c>
      <c r="G6" s="10" t="s">
        <v>50</v>
      </c>
      <c r="H6" s="14" t="s">
        <v>51</v>
      </c>
      <c r="I6" s="14" t="s">
        <v>52</v>
      </c>
      <c r="J6" s="14" t="s">
        <v>51</v>
      </c>
      <c r="K6" s="14" t="s">
        <v>52</v>
      </c>
      <c r="L6" s="10" t="s">
        <v>53</v>
      </c>
      <c r="M6" s="13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1:33 16370:16371">
      <c r="A7" s="10">
        <v>2</v>
      </c>
      <c r="B7" s="10">
        <v>2</v>
      </c>
      <c r="C7" s="10" t="s">
        <v>54</v>
      </c>
      <c r="D7" s="10" t="s">
        <v>55</v>
      </c>
      <c r="E7" s="10" t="s">
        <v>48</v>
      </c>
      <c r="F7" s="14" t="s">
        <v>49</v>
      </c>
      <c r="G7" s="10" t="s">
        <v>50</v>
      </c>
      <c r="H7" s="14" t="s">
        <v>51</v>
      </c>
      <c r="I7" s="14" t="s">
        <v>52</v>
      </c>
      <c r="J7" s="14" t="s">
        <v>51</v>
      </c>
      <c r="K7" s="14" t="s">
        <v>52</v>
      </c>
      <c r="L7" s="10" t="s">
        <v>53</v>
      </c>
      <c r="M7" s="13"/>
      <c r="AG7" s="1">
        <f>AG6</f>
        <v>0</v>
      </c>
    </row>
    <row r="8" spans="1:33 16370:16371">
      <c r="A8" s="10">
        <v>3</v>
      </c>
      <c r="B8" s="10">
        <v>3</v>
      </c>
      <c r="C8" s="10" t="s">
        <v>56</v>
      </c>
      <c r="D8" s="10" t="s">
        <v>57</v>
      </c>
      <c r="E8" s="10" t="s">
        <v>48</v>
      </c>
      <c r="F8" s="14" t="s">
        <v>49</v>
      </c>
      <c r="G8" s="10" t="s">
        <v>50</v>
      </c>
      <c r="H8" s="14" t="s">
        <v>51</v>
      </c>
      <c r="I8" s="14" t="s">
        <v>52</v>
      </c>
      <c r="J8" s="14" t="s">
        <v>51</v>
      </c>
      <c r="K8" s="14" t="s">
        <v>52</v>
      </c>
      <c r="L8" s="10" t="s">
        <v>53</v>
      </c>
      <c r="M8" s="13"/>
    </row>
    <row r="9" spans="1:33 16370:16371">
      <c r="A9" s="12" t="s">
        <v>58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spans="1:33 16370:16371">
      <c r="A10" s="7" t="s">
        <v>25</v>
      </c>
      <c r="B10" s="7" t="s">
        <v>36</v>
      </c>
      <c r="C10" s="7" t="s">
        <v>26</v>
      </c>
      <c r="D10" s="7" t="s">
        <v>27</v>
      </c>
      <c r="E10" s="7" t="s">
        <v>59</v>
      </c>
      <c r="F10" s="7" t="s">
        <v>60</v>
      </c>
      <c r="G10" s="7" t="s">
        <v>61</v>
      </c>
      <c r="H10" s="7" t="s">
        <v>62</v>
      </c>
      <c r="I10" s="7" t="s">
        <v>63</v>
      </c>
      <c r="J10" s="7" t="s">
        <v>64</v>
      </c>
      <c r="K10" s="7" t="s">
        <v>65</v>
      </c>
      <c r="L10" s="7" t="s">
        <v>66</v>
      </c>
    </row>
    <row r="11" spans="1:33 16370:16371">
      <c r="A11" s="10">
        <v>1</v>
      </c>
      <c r="B11" s="10">
        <v>1</v>
      </c>
      <c r="C11" s="10" t="s">
        <v>46</v>
      </c>
      <c r="D11" s="10" t="s">
        <v>47</v>
      </c>
      <c r="E11" s="14" t="s">
        <v>67</v>
      </c>
      <c r="F11" s="10" t="s">
        <v>14</v>
      </c>
      <c r="G11" s="10" t="s">
        <v>68</v>
      </c>
      <c r="H11" s="1" t="s">
        <v>69</v>
      </c>
      <c r="I11" s="1" t="s">
        <v>70</v>
      </c>
      <c r="J11" s="10">
        <f t="shared" ref="J11:J31" si="0">H11-I11</f>
        <v>998776</v>
      </c>
      <c r="K11" s="10">
        <v>1</v>
      </c>
      <c r="L11" s="10">
        <f>H3</f>
        <v>3</v>
      </c>
    </row>
    <row r="12" spans="1:33 16370:16371">
      <c r="A12" s="10">
        <v>1</v>
      </c>
      <c r="B12" s="10">
        <v>2</v>
      </c>
      <c r="C12" s="10" t="s">
        <v>46</v>
      </c>
      <c r="D12" s="10" t="s">
        <v>47</v>
      </c>
      <c r="E12" s="14" t="s">
        <v>71</v>
      </c>
      <c r="F12" s="10" t="s">
        <v>14</v>
      </c>
      <c r="G12" s="10" t="s">
        <v>68</v>
      </c>
      <c r="H12" s="1" t="s">
        <v>69</v>
      </c>
      <c r="I12" s="1" t="s">
        <v>70</v>
      </c>
      <c r="J12" s="10">
        <f t="shared" si="0"/>
        <v>998776</v>
      </c>
      <c r="K12" s="10">
        <v>1</v>
      </c>
      <c r="L12" s="10">
        <f>H3</f>
        <v>3</v>
      </c>
      <c r="M12" s="13"/>
    </row>
    <row r="13" spans="1:33 16370:16371">
      <c r="A13" s="10">
        <v>1</v>
      </c>
      <c r="B13" s="10">
        <v>3</v>
      </c>
      <c r="C13" s="10" t="s">
        <v>46</v>
      </c>
      <c r="D13" s="10" t="s">
        <v>47</v>
      </c>
      <c r="E13" s="14" t="s">
        <v>72</v>
      </c>
      <c r="F13" s="10" t="s">
        <v>14</v>
      </c>
      <c r="G13" s="10" t="s">
        <v>68</v>
      </c>
      <c r="H13" s="1" t="s">
        <v>69</v>
      </c>
      <c r="I13" s="1" t="s">
        <v>70</v>
      </c>
      <c r="J13" s="10">
        <f t="shared" si="0"/>
        <v>998776</v>
      </c>
      <c r="K13" s="10">
        <v>1</v>
      </c>
      <c r="L13" s="10">
        <f>H3</f>
        <v>3</v>
      </c>
      <c r="M13" s="13"/>
    </row>
    <row r="14" spans="1:33 16370:16371">
      <c r="A14" s="10">
        <v>1</v>
      </c>
      <c r="B14" s="10">
        <v>4</v>
      </c>
      <c r="C14" s="10" t="s">
        <v>46</v>
      </c>
      <c r="D14" s="10" t="s">
        <v>47</v>
      </c>
      <c r="E14" s="14" t="s">
        <v>73</v>
      </c>
      <c r="F14" s="10" t="s">
        <v>14</v>
      </c>
      <c r="G14" s="10" t="s">
        <v>68</v>
      </c>
      <c r="H14" s="1" t="s">
        <v>69</v>
      </c>
      <c r="I14" s="1" t="s">
        <v>70</v>
      </c>
      <c r="J14" s="10">
        <f t="shared" si="0"/>
        <v>998776</v>
      </c>
      <c r="K14" s="10">
        <v>1</v>
      </c>
      <c r="L14" s="10">
        <f>H3</f>
        <v>3</v>
      </c>
      <c r="M14" s="13"/>
    </row>
    <row r="15" spans="1:33 16370:16371">
      <c r="A15" s="10">
        <v>1</v>
      </c>
      <c r="B15" s="10">
        <v>5</v>
      </c>
      <c r="C15" s="10" t="s">
        <v>46</v>
      </c>
      <c r="D15" s="10" t="s">
        <v>47</v>
      </c>
      <c r="E15" s="14" t="s">
        <v>74</v>
      </c>
      <c r="F15" s="10" t="s">
        <v>14</v>
      </c>
      <c r="G15" s="10" t="s">
        <v>68</v>
      </c>
      <c r="H15" s="1" t="s">
        <v>69</v>
      </c>
      <c r="I15" s="1" t="s">
        <v>70</v>
      </c>
      <c r="J15" s="10">
        <f t="shared" si="0"/>
        <v>998776</v>
      </c>
      <c r="K15" s="10">
        <v>1</v>
      </c>
      <c r="L15" s="10">
        <f>H3</f>
        <v>3</v>
      </c>
      <c r="M15" s="13"/>
    </row>
    <row r="16" spans="1:33 16370:16371">
      <c r="A16" s="10">
        <v>1</v>
      </c>
      <c r="B16" s="10">
        <v>6</v>
      </c>
      <c r="C16" s="10" t="s">
        <v>46</v>
      </c>
      <c r="D16" s="10" t="s">
        <v>47</v>
      </c>
      <c r="E16" s="14" t="s">
        <v>75</v>
      </c>
      <c r="F16" s="10" t="s">
        <v>14</v>
      </c>
      <c r="G16" s="10" t="s">
        <v>68</v>
      </c>
      <c r="H16" s="1" t="s">
        <v>69</v>
      </c>
      <c r="I16" s="1" t="s">
        <v>70</v>
      </c>
      <c r="J16" s="10">
        <f t="shared" si="0"/>
        <v>998776</v>
      </c>
      <c r="K16" s="10">
        <v>1</v>
      </c>
      <c r="L16" s="10">
        <f>H3</f>
        <v>3</v>
      </c>
      <c r="M16" s="13"/>
    </row>
    <row r="17" spans="1:18">
      <c r="A17" s="10">
        <v>1</v>
      </c>
      <c r="B17" s="10">
        <v>7</v>
      </c>
      <c r="C17" s="10" t="s">
        <v>46</v>
      </c>
      <c r="D17" s="10" t="s">
        <v>47</v>
      </c>
      <c r="E17" s="14" t="s">
        <v>76</v>
      </c>
      <c r="F17" s="10" t="s">
        <v>14</v>
      </c>
      <c r="G17" s="10" t="s">
        <v>68</v>
      </c>
      <c r="H17" s="1" t="s">
        <v>69</v>
      </c>
      <c r="I17" s="1" t="s">
        <v>70</v>
      </c>
      <c r="J17" s="10">
        <f t="shared" si="0"/>
        <v>998776</v>
      </c>
      <c r="K17" s="10">
        <v>1</v>
      </c>
      <c r="L17" s="10">
        <f>H3</f>
        <v>3</v>
      </c>
      <c r="M17" s="13"/>
    </row>
    <row r="18" spans="1:18">
      <c r="A18" s="10">
        <v>2</v>
      </c>
      <c r="B18" s="10">
        <v>1</v>
      </c>
      <c r="C18" s="10" t="s">
        <v>54</v>
      </c>
      <c r="D18" s="10" t="s">
        <v>55</v>
      </c>
      <c r="E18" s="14" t="s">
        <v>67</v>
      </c>
      <c r="F18" s="10" t="s">
        <v>14</v>
      </c>
      <c r="G18" s="10" t="s">
        <v>68</v>
      </c>
      <c r="H18" s="10">
        <f t="shared" ref="H18:H31" si="1">J11</f>
        <v>998776</v>
      </c>
      <c r="I18" s="1" t="s">
        <v>70</v>
      </c>
      <c r="J18" s="10">
        <f t="shared" si="0"/>
        <v>998773</v>
      </c>
      <c r="K18" s="10">
        <v>1</v>
      </c>
      <c r="L18" s="10">
        <f>H3</f>
        <v>3</v>
      </c>
      <c r="M18" s="13"/>
    </row>
    <row r="19" spans="1:18">
      <c r="A19" s="10">
        <v>2</v>
      </c>
      <c r="B19" s="10">
        <v>2</v>
      </c>
      <c r="C19" s="10" t="s">
        <v>54</v>
      </c>
      <c r="D19" s="10" t="s">
        <v>55</v>
      </c>
      <c r="E19" s="14" t="s">
        <v>71</v>
      </c>
      <c r="F19" s="10" t="s">
        <v>14</v>
      </c>
      <c r="G19" s="10" t="s">
        <v>68</v>
      </c>
      <c r="H19" s="10">
        <f t="shared" si="1"/>
        <v>998776</v>
      </c>
      <c r="I19" s="1" t="s">
        <v>70</v>
      </c>
      <c r="J19" s="10">
        <f t="shared" si="0"/>
        <v>998773</v>
      </c>
      <c r="K19" s="10">
        <v>1</v>
      </c>
      <c r="L19" s="10">
        <f>H3</f>
        <v>3</v>
      </c>
      <c r="M19" s="13"/>
    </row>
    <row r="20" spans="1:18">
      <c r="A20" s="10">
        <v>2</v>
      </c>
      <c r="B20" s="10">
        <v>3</v>
      </c>
      <c r="C20" s="10" t="s">
        <v>54</v>
      </c>
      <c r="D20" s="10" t="s">
        <v>55</v>
      </c>
      <c r="E20" s="14" t="s">
        <v>72</v>
      </c>
      <c r="F20" s="10" t="s">
        <v>14</v>
      </c>
      <c r="G20" s="10" t="s">
        <v>68</v>
      </c>
      <c r="H20" s="10">
        <f t="shared" si="1"/>
        <v>998776</v>
      </c>
      <c r="I20" s="1" t="s">
        <v>70</v>
      </c>
      <c r="J20" s="10">
        <f t="shared" si="0"/>
        <v>998773</v>
      </c>
      <c r="K20" s="10">
        <v>1</v>
      </c>
      <c r="L20" s="10">
        <f>H3</f>
        <v>3</v>
      </c>
      <c r="M20" s="13"/>
    </row>
    <row r="21" spans="1:18">
      <c r="A21" s="10">
        <v>2</v>
      </c>
      <c r="B21" s="10">
        <v>4</v>
      </c>
      <c r="C21" s="10" t="s">
        <v>54</v>
      </c>
      <c r="D21" s="10" t="s">
        <v>55</v>
      </c>
      <c r="E21" s="14" t="s">
        <v>73</v>
      </c>
      <c r="F21" s="10" t="s">
        <v>14</v>
      </c>
      <c r="G21" s="10" t="s">
        <v>68</v>
      </c>
      <c r="H21" s="10">
        <f t="shared" si="1"/>
        <v>998776</v>
      </c>
      <c r="I21" s="1" t="s">
        <v>70</v>
      </c>
      <c r="J21" s="10">
        <f t="shared" si="0"/>
        <v>998773</v>
      </c>
      <c r="K21" s="10">
        <v>1</v>
      </c>
      <c r="L21" s="10">
        <f>H3</f>
        <v>3</v>
      </c>
      <c r="M21" s="13"/>
    </row>
    <row r="22" spans="1:18">
      <c r="A22" s="10">
        <v>2</v>
      </c>
      <c r="B22" s="10">
        <v>5</v>
      </c>
      <c r="C22" s="10" t="s">
        <v>54</v>
      </c>
      <c r="D22" s="10" t="s">
        <v>55</v>
      </c>
      <c r="E22" s="14" t="s">
        <v>74</v>
      </c>
      <c r="F22" s="10" t="s">
        <v>14</v>
      </c>
      <c r="G22" s="10" t="s">
        <v>68</v>
      </c>
      <c r="H22" s="10">
        <f t="shared" si="1"/>
        <v>998776</v>
      </c>
      <c r="I22" s="1" t="s">
        <v>70</v>
      </c>
      <c r="J22" s="10">
        <f t="shared" si="0"/>
        <v>998773</v>
      </c>
      <c r="K22" s="10">
        <v>1</v>
      </c>
      <c r="L22" s="10">
        <f>H3</f>
        <v>3</v>
      </c>
      <c r="M22" s="13"/>
    </row>
    <row r="23" spans="1:18">
      <c r="A23" s="10">
        <v>2</v>
      </c>
      <c r="B23" s="10">
        <v>6</v>
      </c>
      <c r="C23" s="10" t="s">
        <v>54</v>
      </c>
      <c r="D23" s="10" t="s">
        <v>55</v>
      </c>
      <c r="E23" s="14" t="s">
        <v>75</v>
      </c>
      <c r="F23" s="10" t="s">
        <v>14</v>
      </c>
      <c r="G23" s="10" t="s">
        <v>68</v>
      </c>
      <c r="H23" s="10">
        <f t="shared" si="1"/>
        <v>998776</v>
      </c>
      <c r="I23" s="1" t="s">
        <v>70</v>
      </c>
      <c r="J23" s="10">
        <f t="shared" si="0"/>
        <v>998773</v>
      </c>
      <c r="K23" s="10">
        <v>1</v>
      </c>
      <c r="L23" s="10">
        <f>H3</f>
        <v>3</v>
      </c>
      <c r="M23" s="13"/>
    </row>
    <row r="24" spans="1:18">
      <c r="A24" s="10">
        <v>2</v>
      </c>
      <c r="B24" s="10">
        <v>7</v>
      </c>
      <c r="C24" s="10" t="s">
        <v>54</v>
      </c>
      <c r="D24" s="10" t="s">
        <v>55</v>
      </c>
      <c r="E24" s="14" t="s">
        <v>76</v>
      </c>
      <c r="F24" s="10" t="s">
        <v>14</v>
      </c>
      <c r="G24" s="10" t="s">
        <v>68</v>
      </c>
      <c r="H24" s="10">
        <f t="shared" si="1"/>
        <v>998776</v>
      </c>
      <c r="I24" s="1" t="s">
        <v>70</v>
      </c>
      <c r="J24" s="10">
        <f t="shared" si="0"/>
        <v>998773</v>
      </c>
      <c r="K24" s="10">
        <v>1</v>
      </c>
      <c r="L24" s="10">
        <f>H3</f>
        <v>3</v>
      </c>
      <c r="M24" s="13"/>
    </row>
    <row r="25" spans="1:18">
      <c r="A25" s="10">
        <v>3</v>
      </c>
      <c r="B25" s="10">
        <v>1</v>
      </c>
      <c r="C25" s="10" t="s">
        <v>56</v>
      </c>
      <c r="D25" s="10" t="s">
        <v>57</v>
      </c>
      <c r="E25" s="14" t="s">
        <v>67</v>
      </c>
      <c r="F25" s="10" t="s">
        <v>14</v>
      </c>
      <c r="G25" s="10" t="s">
        <v>68</v>
      </c>
      <c r="H25" s="10">
        <f t="shared" si="1"/>
        <v>998773</v>
      </c>
      <c r="I25" s="1" t="s">
        <v>70</v>
      </c>
      <c r="J25" s="10">
        <f t="shared" si="0"/>
        <v>998770</v>
      </c>
      <c r="K25" s="10">
        <v>1</v>
      </c>
      <c r="L25" s="10">
        <f>H3</f>
        <v>3</v>
      </c>
      <c r="M25" s="13"/>
    </row>
    <row r="26" spans="1:18">
      <c r="A26" s="10">
        <v>3</v>
      </c>
      <c r="B26" s="10">
        <v>2</v>
      </c>
      <c r="C26" s="10" t="s">
        <v>56</v>
      </c>
      <c r="D26" s="10" t="s">
        <v>57</v>
      </c>
      <c r="E26" s="14" t="s">
        <v>71</v>
      </c>
      <c r="F26" s="10" t="s">
        <v>14</v>
      </c>
      <c r="G26" s="10" t="s">
        <v>68</v>
      </c>
      <c r="H26" s="10">
        <f t="shared" si="1"/>
        <v>998773</v>
      </c>
      <c r="I26" s="1" t="s">
        <v>70</v>
      </c>
      <c r="J26" s="10">
        <f t="shared" si="0"/>
        <v>998770</v>
      </c>
      <c r="K26" s="10">
        <v>1</v>
      </c>
      <c r="L26" s="10">
        <f>H3</f>
        <v>3</v>
      </c>
      <c r="M26" s="13"/>
    </row>
    <row r="27" spans="1:18">
      <c r="A27" s="10">
        <v>3</v>
      </c>
      <c r="B27" s="10">
        <v>3</v>
      </c>
      <c r="C27" s="10" t="s">
        <v>56</v>
      </c>
      <c r="D27" s="10" t="s">
        <v>57</v>
      </c>
      <c r="E27" s="14" t="s">
        <v>72</v>
      </c>
      <c r="F27" s="10" t="s">
        <v>14</v>
      </c>
      <c r="G27" s="10" t="s">
        <v>68</v>
      </c>
      <c r="H27" s="10">
        <f t="shared" si="1"/>
        <v>998773</v>
      </c>
      <c r="I27" s="1" t="s">
        <v>70</v>
      </c>
      <c r="J27" s="10">
        <f t="shared" si="0"/>
        <v>998770</v>
      </c>
      <c r="K27" s="10">
        <v>1</v>
      </c>
      <c r="L27" s="10">
        <f>H3</f>
        <v>3</v>
      </c>
      <c r="M27" s="13"/>
    </row>
    <row r="28" spans="1:18">
      <c r="A28" s="10">
        <v>3</v>
      </c>
      <c r="B28" s="10">
        <v>4</v>
      </c>
      <c r="C28" s="10" t="s">
        <v>56</v>
      </c>
      <c r="D28" s="10" t="s">
        <v>57</v>
      </c>
      <c r="E28" s="14" t="s">
        <v>73</v>
      </c>
      <c r="F28" s="10" t="s">
        <v>14</v>
      </c>
      <c r="G28" s="10" t="s">
        <v>68</v>
      </c>
      <c r="H28" s="10">
        <f t="shared" si="1"/>
        <v>998773</v>
      </c>
      <c r="I28" s="1" t="s">
        <v>70</v>
      </c>
      <c r="J28" s="10">
        <f t="shared" si="0"/>
        <v>998770</v>
      </c>
      <c r="K28" s="10">
        <v>1</v>
      </c>
      <c r="L28" s="10">
        <f>H3</f>
        <v>3</v>
      </c>
      <c r="M28" s="13"/>
    </row>
    <row r="29" spans="1:18">
      <c r="A29" s="10">
        <v>3</v>
      </c>
      <c r="B29" s="10">
        <v>5</v>
      </c>
      <c r="C29" s="10" t="s">
        <v>56</v>
      </c>
      <c r="D29" s="10" t="s">
        <v>57</v>
      </c>
      <c r="E29" s="14" t="s">
        <v>74</v>
      </c>
      <c r="F29" s="10" t="s">
        <v>14</v>
      </c>
      <c r="G29" s="10" t="s">
        <v>68</v>
      </c>
      <c r="H29" s="10">
        <f t="shared" si="1"/>
        <v>998773</v>
      </c>
      <c r="I29" s="1" t="s">
        <v>70</v>
      </c>
      <c r="J29" s="10">
        <f t="shared" si="0"/>
        <v>998770</v>
      </c>
      <c r="K29" s="10">
        <v>1</v>
      </c>
      <c r="L29" s="10">
        <f>H3</f>
        <v>3</v>
      </c>
      <c r="M29" s="13"/>
    </row>
    <row r="30" spans="1:18">
      <c r="A30" s="10">
        <v>3</v>
      </c>
      <c r="B30" s="10">
        <v>6</v>
      </c>
      <c r="C30" s="10" t="s">
        <v>56</v>
      </c>
      <c r="D30" s="10" t="s">
        <v>57</v>
      </c>
      <c r="E30" s="14" t="s">
        <v>75</v>
      </c>
      <c r="F30" s="10" t="s">
        <v>14</v>
      </c>
      <c r="G30" s="10" t="s">
        <v>68</v>
      </c>
      <c r="H30" s="10">
        <f t="shared" si="1"/>
        <v>998773</v>
      </c>
      <c r="I30" s="1" t="s">
        <v>70</v>
      </c>
      <c r="J30" s="10">
        <f t="shared" si="0"/>
        <v>998770</v>
      </c>
      <c r="K30" s="10">
        <v>1</v>
      </c>
      <c r="L30" s="10">
        <f>H3</f>
        <v>3</v>
      </c>
      <c r="M30" s="13"/>
    </row>
    <row r="31" spans="1:18">
      <c r="A31" s="15">
        <v>3</v>
      </c>
      <c r="B31" s="15">
        <v>7</v>
      </c>
      <c r="C31" s="15" t="s">
        <v>56</v>
      </c>
      <c r="D31" s="15" t="s">
        <v>57</v>
      </c>
      <c r="E31" s="16" t="s">
        <v>76</v>
      </c>
      <c r="F31" s="15" t="s">
        <v>14</v>
      </c>
      <c r="G31" s="15" t="s">
        <v>68</v>
      </c>
      <c r="H31" s="10">
        <f t="shared" si="1"/>
        <v>998773</v>
      </c>
      <c r="I31" s="1" t="s">
        <v>70</v>
      </c>
      <c r="J31" s="15">
        <f t="shared" si="0"/>
        <v>998770</v>
      </c>
      <c r="K31" s="15">
        <v>1</v>
      </c>
      <c r="L31" s="15">
        <f>H3</f>
        <v>3</v>
      </c>
      <c r="M31" s="13"/>
    </row>
    <row r="32" spans="1:18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0"/>
      <c r="M32" s="13"/>
      <c r="N32" s="13"/>
      <c r="O32" s="13"/>
      <c r="P32" s="13"/>
      <c r="Q32" s="13"/>
      <c r="R32" s="13"/>
    </row>
    <row r="33" spans="1:18">
      <c r="A33" s="12" t="s">
        <v>77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</row>
    <row r="34" spans="1:18">
      <c r="A34" s="17" t="s">
        <v>78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9"/>
    </row>
    <row r="35" spans="1:18">
      <c r="A35" s="7" t="s">
        <v>79</v>
      </c>
      <c r="B35" s="7" t="s">
        <v>80</v>
      </c>
      <c r="C35" s="7" t="s">
        <v>81</v>
      </c>
      <c r="D35" s="7" t="s">
        <v>82</v>
      </c>
      <c r="E35" s="7" t="s">
        <v>83</v>
      </c>
      <c r="F35" s="7" t="s">
        <v>60</v>
      </c>
      <c r="G35" s="7" t="s">
        <v>84</v>
      </c>
      <c r="H35" s="7" t="s">
        <v>85</v>
      </c>
      <c r="I35" s="7" t="s">
        <v>86</v>
      </c>
      <c r="J35" s="7" t="s">
        <v>87</v>
      </c>
      <c r="K35" s="7" t="s">
        <v>88</v>
      </c>
      <c r="L35" s="7" t="s">
        <v>89</v>
      </c>
      <c r="M35" s="7" t="s">
        <v>90</v>
      </c>
      <c r="N35" s="7" t="s">
        <v>91</v>
      </c>
      <c r="O35" s="7" t="s">
        <v>92</v>
      </c>
      <c r="P35" s="7" t="s">
        <v>93</v>
      </c>
      <c r="Q35" s="7" t="s">
        <v>94</v>
      </c>
      <c r="R35" s="7" t="s">
        <v>95</v>
      </c>
    </row>
    <row r="36" spans="1:18">
      <c r="A36" s="10">
        <v>1</v>
      </c>
      <c r="B36" s="10">
        <v>1</v>
      </c>
      <c r="C36" s="10" t="s">
        <v>46</v>
      </c>
      <c r="D36" s="10" t="s">
        <v>47</v>
      </c>
      <c r="E36" s="14" t="s">
        <v>67</v>
      </c>
      <c r="F36" s="10" t="s">
        <v>14</v>
      </c>
      <c r="G36" s="10" t="s">
        <v>68</v>
      </c>
      <c r="H36" s="14" t="s">
        <v>52</v>
      </c>
      <c r="I36" s="10">
        <f>H3</f>
        <v>3</v>
      </c>
      <c r="J36" s="10">
        <f>H3</f>
        <v>3</v>
      </c>
      <c r="K36" s="10">
        <f>H3</f>
        <v>3</v>
      </c>
      <c r="L36" s="10">
        <v>20</v>
      </c>
      <c r="M36" s="10">
        <f t="shared" ref="M36:M42" si="2">L36*K36</f>
        <v>60</v>
      </c>
      <c r="N36" s="10" t="str">
        <f t="shared" ref="N36:N42" si="3">I11</f>
        <v>3</v>
      </c>
      <c r="O36" s="1" t="s">
        <v>69</v>
      </c>
      <c r="P36" s="10">
        <f t="shared" ref="P36:P42" si="4">O36-I36</f>
        <v>998776</v>
      </c>
      <c r="Q36" s="10">
        <f t="shared" ref="Q36:Q42" si="5">-I36</f>
        <v>-3</v>
      </c>
      <c r="R36" s="10">
        <f t="shared" ref="R36:R42" si="6">I36</f>
        <v>3</v>
      </c>
    </row>
    <row r="37" spans="1:18">
      <c r="A37" s="10">
        <v>1</v>
      </c>
      <c r="B37" s="10">
        <v>2</v>
      </c>
      <c r="C37" s="10" t="s">
        <v>46</v>
      </c>
      <c r="D37" s="10" t="s">
        <v>47</v>
      </c>
      <c r="E37" s="14" t="s">
        <v>71</v>
      </c>
      <c r="F37" s="10" t="s">
        <v>14</v>
      </c>
      <c r="G37" s="10" t="s">
        <v>68</v>
      </c>
      <c r="H37" s="14" t="s">
        <v>52</v>
      </c>
      <c r="I37" s="10">
        <f>H3</f>
        <v>3</v>
      </c>
      <c r="J37" s="10">
        <f>H3</f>
        <v>3</v>
      </c>
      <c r="K37" s="10">
        <f>H3</f>
        <v>3</v>
      </c>
      <c r="L37" s="10">
        <v>20</v>
      </c>
      <c r="M37" s="10">
        <f t="shared" si="2"/>
        <v>60</v>
      </c>
      <c r="N37" s="10" t="str">
        <f t="shared" si="3"/>
        <v>3</v>
      </c>
      <c r="O37" s="1" t="s">
        <v>69</v>
      </c>
      <c r="P37" s="10">
        <f t="shared" si="4"/>
        <v>998776</v>
      </c>
      <c r="Q37" s="10">
        <f t="shared" si="5"/>
        <v>-3</v>
      </c>
      <c r="R37" s="10">
        <f t="shared" si="6"/>
        <v>3</v>
      </c>
    </row>
    <row r="38" spans="1:18">
      <c r="A38" s="10">
        <v>1</v>
      </c>
      <c r="B38" s="10">
        <v>3</v>
      </c>
      <c r="C38" s="10" t="s">
        <v>46</v>
      </c>
      <c r="D38" s="10" t="s">
        <v>47</v>
      </c>
      <c r="E38" s="14" t="s">
        <v>72</v>
      </c>
      <c r="F38" s="10" t="s">
        <v>14</v>
      </c>
      <c r="G38" s="10" t="s">
        <v>68</v>
      </c>
      <c r="H38" s="14" t="s">
        <v>52</v>
      </c>
      <c r="I38" s="10">
        <f>H3</f>
        <v>3</v>
      </c>
      <c r="J38" s="10">
        <f>H3</f>
        <v>3</v>
      </c>
      <c r="K38" s="10">
        <f>H3</f>
        <v>3</v>
      </c>
      <c r="L38" s="10">
        <v>20</v>
      </c>
      <c r="M38" s="10">
        <f t="shared" si="2"/>
        <v>60</v>
      </c>
      <c r="N38" s="10" t="str">
        <f t="shared" si="3"/>
        <v>3</v>
      </c>
      <c r="O38" s="1" t="s">
        <v>69</v>
      </c>
      <c r="P38" s="10">
        <f t="shared" si="4"/>
        <v>998776</v>
      </c>
      <c r="Q38" s="10">
        <f t="shared" si="5"/>
        <v>-3</v>
      </c>
      <c r="R38" s="10">
        <f t="shared" si="6"/>
        <v>3</v>
      </c>
    </row>
    <row r="39" spans="1:18">
      <c r="A39" s="10">
        <v>1</v>
      </c>
      <c r="B39" s="10">
        <v>4</v>
      </c>
      <c r="C39" s="10" t="s">
        <v>46</v>
      </c>
      <c r="D39" s="10" t="s">
        <v>47</v>
      </c>
      <c r="E39" s="14" t="s">
        <v>73</v>
      </c>
      <c r="F39" s="10" t="s">
        <v>14</v>
      </c>
      <c r="G39" s="10" t="s">
        <v>68</v>
      </c>
      <c r="H39" s="14" t="s">
        <v>52</v>
      </c>
      <c r="I39" s="10">
        <f>H3</f>
        <v>3</v>
      </c>
      <c r="J39" s="10">
        <f>H3</f>
        <v>3</v>
      </c>
      <c r="K39" s="10">
        <f>H3</f>
        <v>3</v>
      </c>
      <c r="L39" s="10">
        <v>20</v>
      </c>
      <c r="M39" s="10">
        <f t="shared" si="2"/>
        <v>60</v>
      </c>
      <c r="N39" s="10" t="str">
        <f t="shared" si="3"/>
        <v>3</v>
      </c>
      <c r="O39" s="1" t="s">
        <v>69</v>
      </c>
      <c r="P39" s="10">
        <f t="shared" si="4"/>
        <v>998776</v>
      </c>
      <c r="Q39" s="10">
        <f t="shared" si="5"/>
        <v>-3</v>
      </c>
      <c r="R39" s="10">
        <f t="shared" si="6"/>
        <v>3</v>
      </c>
    </row>
    <row r="40" spans="1:18">
      <c r="A40" s="10">
        <v>1</v>
      </c>
      <c r="B40" s="10">
        <v>5</v>
      </c>
      <c r="C40" s="10" t="s">
        <v>46</v>
      </c>
      <c r="D40" s="10" t="s">
        <v>47</v>
      </c>
      <c r="E40" s="14" t="s">
        <v>74</v>
      </c>
      <c r="F40" s="10" t="s">
        <v>14</v>
      </c>
      <c r="G40" s="10" t="s">
        <v>68</v>
      </c>
      <c r="H40" s="14" t="s">
        <v>52</v>
      </c>
      <c r="I40" s="10">
        <f>H3</f>
        <v>3</v>
      </c>
      <c r="J40" s="10">
        <f>H3</f>
        <v>3</v>
      </c>
      <c r="K40" s="10">
        <f>H3</f>
        <v>3</v>
      </c>
      <c r="L40" s="10">
        <v>20</v>
      </c>
      <c r="M40" s="10">
        <f t="shared" si="2"/>
        <v>60</v>
      </c>
      <c r="N40" s="10" t="str">
        <f t="shared" si="3"/>
        <v>3</v>
      </c>
      <c r="O40" s="1" t="s">
        <v>69</v>
      </c>
      <c r="P40" s="10">
        <f t="shared" si="4"/>
        <v>998776</v>
      </c>
      <c r="Q40" s="10">
        <f t="shared" si="5"/>
        <v>-3</v>
      </c>
      <c r="R40" s="10">
        <f t="shared" si="6"/>
        <v>3</v>
      </c>
    </row>
    <row r="41" spans="1:18">
      <c r="A41" s="10">
        <v>1</v>
      </c>
      <c r="B41" s="10">
        <v>6</v>
      </c>
      <c r="C41" s="10" t="s">
        <v>46</v>
      </c>
      <c r="D41" s="10" t="s">
        <v>47</v>
      </c>
      <c r="E41" s="14" t="s">
        <v>75</v>
      </c>
      <c r="F41" s="10" t="s">
        <v>14</v>
      </c>
      <c r="G41" s="10" t="s">
        <v>68</v>
      </c>
      <c r="H41" s="14" t="s">
        <v>52</v>
      </c>
      <c r="I41" s="10">
        <f>H3</f>
        <v>3</v>
      </c>
      <c r="J41" s="10">
        <f>H3</f>
        <v>3</v>
      </c>
      <c r="K41" s="10">
        <f>H3</f>
        <v>3</v>
      </c>
      <c r="L41" s="10">
        <v>20</v>
      </c>
      <c r="M41" s="10">
        <f t="shared" si="2"/>
        <v>60</v>
      </c>
      <c r="N41" s="10" t="str">
        <f t="shared" si="3"/>
        <v>3</v>
      </c>
      <c r="O41" s="1" t="s">
        <v>69</v>
      </c>
      <c r="P41" s="10">
        <f t="shared" si="4"/>
        <v>998776</v>
      </c>
      <c r="Q41" s="10">
        <f t="shared" si="5"/>
        <v>-3</v>
      </c>
      <c r="R41" s="10">
        <f t="shared" si="6"/>
        <v>3</v>
      </c>
    </row>
    <row r="42" spans="1:18">
      <c r="A42" s="10">
        <v>1</v>
      </c>
      <c r="B42" s="10">
        <v>7</v>
      </c>
      <c r="C42" s="10" t="s">
        <v>46</v>
      </c>
      <c r="D42" s="10" t="s">
        <v>47</v>
      </c>
      <c r="E42" s="14" t="s">
        <v>76</v>
      </c>
      <c r="F42" s="10" t="s">
        <v>14</v>
      </c>
      <c r="G42" s="10" t="s">
        <v>68</v>
      </c>
      <c r="H42" s="14" t="s">
        <v>52</v>
      </c>
      <c r="I42" s="10">
        <f>H3</f>
        <v>3</v>
      </c>
      <c r="J42" s="10">
        <f>H3</f>
        <v>3</v>
      </c>
      <c r="K42" s="10">
        <f>H3</f>
        <v>3</v>
      </c>
      <c r="L42" s="10">
        <v>20</v>
      </c>
      <c r="M42" s="10">
        <f t="shared" si="2"/>
        <v>60</v>
      </c>
      <c r="N42" s="10" t="str">
        <f t="shared" si="3"/>
        <v>3</v>
      </c>
      <c r="O42" s="1" t="s">
        <v>69</v>
      </c>
      <c r="P42" s="10">
        <f t="shared" si="4"/>
        <v>998776</v>
      </c>
      <c r="Q42" s="10">
        <f t="shared" si="5"/>
        <v>-3</v>
      </c>
      <c r="R42" s="10">
        <f t="shared" si="6"/>
        <v>3</v>
      </c>
    </row>
    <row r="43" spans="1:18">
      <c r="A43" s="20" t="s">
        <v>96</v>
      </c>
      <c r="B43" s="20">
        <v>1</v>
      </c>
      <c r="C43" s="20" t="s">
        <v>46</v>
      </c>
      <c r="D43" s="20"/>
      <c r="E43" s="21"/>
      <c r="F43" s="20"/>
      <c r="G43" s="20"/>
      <c r="H43" s="21" t="s">
        <v>52</v>
      </c>
      <c r="I43" s="20">
        <v>3</v>
      </c>
      <c r="J43" s="20">
        <v>3</v>
      </c>
      <c r="K43" s="20"/>
      <c r="L43" s="22">
        <f>SUM(L36:L42)</f>
        <v>140</v>
      </c>
      <c r="M43" s="22">
        <f>SUM(M36:M42)</f>
        <v>420</v>
      </c>
      <c r="N43" s="22">
        <v>100</v>
      </c>
      <c r="O43" s="22" t="s">
        <v>97</v>
      </c>
      <c r="P43" s="20"/>
      <c r="Q43" s="20"/>
      <c r="R43" s="20"/>
    </row>
    <row r="44" spans="1:18">
      <c r="A44" s="23" t="s">
        <v>104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</row>
    <row r="45" spans="1:18">
      <c r="A45" s="7" t="s">
        <v>79</v>
      </c>
      <c r="B45" s="6" t="s">
        <v>80</v>
      </c>
      <c r="C45" s="6" t="s">
        <v>81</v>
      </c>
      <c r="D45" s="6" t="s">
        <v>82</v>
      </c>
      <c r="E45" s="6" t="s">
        <v>83</v>
      </c>
      <c r="F45" s="6" t="s">
        <v>60</v>
      </c>
      <c r="G45" s="6" t="s">
        <v>84</v>
      </c>
      <c r="H45" s="6" t="s">
        <v>85</v>
      </c>
      <c r="I45" s="6" t="s">
        <v>86</v>
      </c>
      <c r="J45" s="6" t="s">
        <v>87</v>
      </c>
      <c r="K45" s="6" t="s">
        <v>88</v>
      </c>
      <c r="L45" s="6" t="s">
        <v>89</v>
      </c>
      <c r="M45" s="6" t="s">
        <v>90</v>
      </c>
      <c r="N45" s="7" t="s">
        <v>91</v>
      </c>
      <c r="O45" s="7" t="s">
        <v>92</v>
      </c>
      <c r="P45" s="7" t="s">
        <v>93</v>
      </c>
      <c r="Q45" s="7" t="s">
        <v>94</v>
      </c>
      <c r="R45" s="7" t="s">
        <v>95</v>
      </c>
    </row>
    <row r="46" spans="1:18">
      <c r="A46" s="10">
        <v>2</v>
      </c>
      <c r="B46" s="10">
        <v>1</v>
      </c>
      <c r="C46" s="10" t="s">
        <v>54</v>
      </c>
      <c r="D46" s="10" t="s">
        <v>55</v>
      </c>
      <c r="E46" s="14" t="s">
        <v>67</v>
      </c>
      <c r="F46" s="10" t="s">
        <v>14</v>
      </c>
      <c r="G46" s="10" t="s">
        <v>68</v>
      </c>
      <c r="H46" s="14" t="s">
        <v>52</v>
      </c>
      <c r="I46" s="10">
        <f>H3</f>
        <v>3</v>
      </c>
      <c r="J46" s="10">
        <f>H3</f>
        <v>3</v>
      </c>
      <c r="K46" s="10">
        <f>H3</f>
        <v>3</v>
      </c>
      <c r="L46" s="10">
        <v>20</v>
      </c>
      <c r="M46" s="10">
        <f t="shared" ref="M46:M53" si="7">L46*K46</f>
        <v>60</v>
      </c>
      <c r="N46" s="10" t="str">
        <f t="shared" ref="N46:N52" si="8">I18</f>
        <v>3</v>
      </c>
      <c r="O46" s="1" t="s">
        <v>99</v>
      </c>
      <c r="P46" s="10">
        <f t="shared" ref="P46:P52" si="9">O46-I46</f>
        <v>998773</v>
      </c>
      <c r="Q46" s="10">
        <f t="shared" ref="Q46:Q52" si="10">-I46</f>
        <v>-3</v>
      </c>
      <c r="R46" s="10">
        <f t="shared" ref="R46:R52" si="11">I46</f>
        <v>3</v>
      </c>
    </row>
    <row r="47" spans="1:18">
      <c r="A47" s="10">
        <v>2</v>
      </c>
      <c r="B47" s="10">
        <v>2</v>
      </c>
      <c r="C47" s="10" t="s">
        <v>54</v>
      </c>
      <c r="D47" s="10" t="s">
        <v>55</v>
      </c>
      <c r="E47" s="14" t="s">
        <v>71</v>
      </c>
      <c r="F47" s="10" t="s">
        <v>14</v>
      </c>
      <c r="G47" s="10" t="s">
        <v>68</v>
      </c>
      <c r="H47" s="14" t="s">
        <v>52</v>
      </c>
      <c r="I47" s="10">
        <f>H3</f>
        <v>3</v>
      </c>
      <c r="J47" s="10">
        <f>H3</f>
        <v>3</v>
      </c>
      <c r="K47" s="10">
        <f>H3</f>
        <v>3</v>
      </c>
      <c r="L47" s="10">
        <v>20</v>
      </c>
      <c r="M47" s="10">
        <f t="shared" si="7"/>
        <v>60</v>
      </c>
      <c r="N47" s="10" t="str">
        <f t="shared" si="8"/>
        <v>3</v>
      </c>
      <c r="O47" s="1" t="s">
        <v>99</v>
      </c>
      <c r="P47" s="10">
        <f t="shared" si="9"/>
        <v>998773</v>
      </c>
      <c r="Q47" s="10">
        <f t="shared" si="10"/>
        <v>-3</v>
      </c>
      <c r="R47" s="10">
        <f t="shared" si="11"/>
        <v>3</v>
      </c>
    </row>
    <row r="48" spans="1:18">
      <c r="A48" s="10">
        <v>2</v>
      </c>
      <c r="B48" s="10">
        <v>3</v>
      </c>
      <c r="C48" s="10" t="s">
        <v>54</v>
      </c>
      <c r="D48" s="10" t="s">
        <v>55</v>
      </c>
      <c r="E48" s="14" t="s">
        <v>72</v>
      </c>
      <c r="F48" s="10" t="s">
        <v>14</v>
      </c>
      <c r="G48" s="10" t="s">
        <v>68</v>
      </c>
      <c r="H48" s="14" t="s">
        <v>52</v>
      </c>
      <c r="I48" s="10">
        <f>H3</f>
        <v>3</v>
      </c>
      <c r="J48" s="10">
        <f>H3</f>
        <v>3</v>
      </c>
      <c r="K48" s="10">
        <f>H3</f>
        <v>3</v>
      </c>
      <c r="L48" s="10">
        <v>20</v>
      </c>
      <c r="M48" s="10">
        <f t="shared" si="7"/>
        <v>60</v>
      </c>
      <c r="N48" s="10" t="str">
        <f t="shared" si="8"/>
        <v>3</v>
      </c>
      <c r="O48" s="1" t="s">
        <v>99</v>
      </c>
      <c r="P48" s="10">
        <f t="shared" si="9"/>
        <v>998773</v>
      </c>
      <c r="Q48" s="10">
        <f t="shared" si="10"/>
        <v>-3</v>
      </c>
      <c r="R48" s="10">
        <f t="shared" si="11"/>
        <v>3</v>
      </c>
    </row>
    <row r="49" spans="1:18">
      <c r="A49" s="10">
        <v>2</v>
      </c>
      <c r="B49" s="10">
        <v>4</v>
      </c>
      <c r="C49" s="10" t="s">
        <v>54</v>
      </c>
      <c r="D49" s="10" t="s">
        <v>55</v>
      </c>
      <c r="E49" s="14" t="s">
        <v>73</v>
      </c>
      <c r="F49" s="10" t="s">
        <v>14</v>
      </c>
      <c r="G49" s="10" t="s">
        <v>68</v>
      </c>
      <c r="H49" s="14" t="s">
        <v>52</v>
      </c>
      <c r="I49" s="10">
        <f>H3</f>
        <v>3</v>
      </c>
      <c r="J49" s="10">
        <f>H3</f>
        <v>3</v>
      </c>
      <c r="K49" s="10">
        <f>H3</f>
        <v>3</v>
      </c>
      <c r="L49" s="10">
        <v>20</v>
      </c>
      <c r="M49" s="10">
        <f t="shared" si="7"/>
        <v>60</v>
      </c>
      <c r="N49" s="10" t="str">
        <f t="shared" si="8"/>
        <v>3</v>
      </c>
      <c r="O49" s="1" t="s">
        <v>99</v>
      </c>
      <c r="P49" s="10">
        <f t="shared" si="9"/>
        <v>998773</v>
      </c>
      <c r="Q49" s="10">
        <f t="shared" si="10"/>
        <v>-3</v>
      </c>
      <c r="R49" s="10">
        <f t="shared" si="11"/>
        <v>3</v>
      </c>
    </row>
    <row r="50" spans="1:18">
      <c r="A50" s="10">
        <v>2</v>
      </c>
      <c r="B50" s="10">
        <v>5</v>
      </c>
      <c r="C50" s="10" t="s">
        <v>54</v>
      </c>
      <c r="D50" s="10" t="s">
        <v>55</v>
      </c>
      <c r="E50" s="14" t="s">
        <v>74</v>
      </c>
      <c r="F50" s="10" t="s">
        <v>14</v>
      </c>
      <c r="G50" s="10" t="s">
        <v>68</v>
      </c>
      <c r="H50" s="14" t="s">
        <v>52</v>
      </c>
      <c r="I50" s="10">
        <f>H3</f>
        <v>3</v>
      </c>
      <c r="J50" s="10">
        <f>H3</f>
        <v>3</v>
      </c>
      <c r="K50" s="10">
        <f>H3</f>
        <v>3</v>
      </c>
      <c r="L50" s="10">
        <v>20</v>
      </c>
      <c r="M50" s="10">
        <f t="shared" si="7"/>
        <v>60</v>
      </c>
      <c r="N50" s="10" t="str">
        <f t="shared" si="8"/>
        <v>3</v>
      </c>
      <c r="O50" s="1" t="s">
        <v>99</v>
      </c>
      <c r="P50" s="10">
        <f t="shared" si="9"/>
        <v>998773</v>
      </c>
      <c r="Q50" s="10">
        <f t="shared" si="10"/>
        <v>-3</v>
      </c>
      <c r="R50" s="10">
        <f t="shared" si="11"/>
        <v>3</v>
      </c>
    </row>
    <row r="51" spans="1:18">
      <c r="A51" s="10">
        <v>2</v>
      </c>
      <c r="B51" s="10">
        <v>6</v>
      </c>
      <c r="C51" s="10" t="s">
        <v>54</v>
      </c>
      <c r="D51" s="10" t="s">
        <v>55</v>
      </c>
      <c r="E51" s="14" t="s">
        <v>75</v>
      </c>
      <c r="F51" s="10" t="s">
        <v>14</v>
      </c>
      <c r="G51" s="10" t="s">
        <v>68</v>
      </c>
      <c r="H51" s="14" t="s">
        <v>52</v>
      </c>
      <c r="I51" s="10">
        <f>H3</f>
        <v>3</v>
      </c>
      <c r="J51" s="10">
        <f>H3</f>
        <v>3</v>
      </c>
      <c r="K51" s="10">
        <f>H3</f>
        <v>3</v>
      </c>
      <c r="L51" s="10">
        <v>20</v>
      </c>
      <c r="M51" s="10">
        <f t="shared" si="7"/>
        <v>60</v>
      </c>
      <c r="N51" s="10" t="str">
        <f t="shared" si="8"/>
        <v>3</v>
      </c>
      <c r="O51" s="1" t="s">
        <v>99</v>
      </c>
      <c r="P51" s="10">
        <f t="shared" si="9"/>
        <v>998773</v>
      </c>
      <c r="Q51" s="10">
        <f t="shared" si="10"/>
        <v>-3</v>
      </c>
      <c r="R51" s="10">
        <f t="shared" si="11"/>
        <v>3</v>
      </c>
    </row>
    <row r="52" spans="1:18">
      <c r="A52" s="10">
        <v>2</v>
      </c>
      <c r="B52" s="10">
        <v>7</v>
      </c>
      <c r="C52" s="10" t="s">
        <v>54</v>
      </c>
      <c r="D52" s="10" t="s">
        <v>55</v>
      </c>
      <c r="E52" s="14" t="s">
        <v>76</v>
      </c>
      <c r="F52" s="10" t="s">
        <v>14</v>
      </c>
      <c r="G52" s="10" t="s">
        <v>68</v>
      </c>
      <c r="H52" s="14" t="s">
        <v>52</v>
      </c>
      <c r="I52" s="10">
        <f>H3</f>
        <v>3</v>
      </c>
      <c r="J52" s="10">
        <f>H3</f>
        <v>3</v>
      </c>
      <c r="K52" s="10">
        <f>H3</f>
        <v>3</v>
      </c>
      <c r="L52" s="10">
        <v>20</v>
      </c>
      <c r="M52" s="10">
        <f t="shared" si="7"/>
        <v>60</v>
      </c>
      <c r="N52" s="10" t="str">
        <f t="shared" si="8"/>
        <v>3</v>
      </c>
      <c r="O52" s="1" t="s">
        <v>99</v>
      </c>
      <c r="P52" s="10">
        <f t="shared" si="9"/>
        <v>998773</v>
      </c>
      <c r="Q52" s="10">
        <f t="shared" si="10"/>
        <v>-3</v>
      </c>
      <c r="R52" s="10">
        <f t="shared" si="11"/>
        <v>3</v>
      </c>
    </row>
    <row r="53" spans="1:18">
      <c r="A53" s="10">
        <v>3</v>
      </c>
      <c r="B53" s="10">
        <v>1</v>
      </c>
      <c r="C53" s="10" t="s">
        <v>56</v>
      </c>
      <c r="D53" s="10" t="s">
        <v>57</v>
      </c>
      <c r="E53" s="14" t="s">
        <v>67</v>
      </c>
      <c r="F53" s="10" t="s">
        <v>14</v>
      </c>
      <c r="G53" s="10" t="s">
        <v>68</v>
      </c>
      <c r="H53" s="14" t="s">
        <v>52</v>
      </c>
      <c r="I53" s="10">
        <f>H3</f>
        <v>3</v>
      </c>
      <c r="J53" s="10">
        <f>H3</f>
        <v>3</v>
      </c>
      <c r="K53" s="10">
        <f>H3</f>
        <v>3</v>
      </c>
      <c r="L53" s="10">
        <v>20</v>
      </c>
      <c r="M53" s="10">
        <f t="shared" ref="M53:M60" si="12">L53*K53</f>
        <v>60</v>
      </c>
      <c r="N53" s="10" t="str">
        <f t="shared" ref="N53:N59" si="13">I25</f>
        <v>3</v>
      </c>
      <c r="O53" s="1" t="s">
        <v>102</v>
      </c>
      <c r="P53" s="10">
        <f t="shared" ref="P53:P59" si="14">O53-I53</f>
        <v>998770</v>
      </c>
      <c r="Q53" s="10">
        <f t="shared" ref="Q53:Q59" si="15">-I53</f>
        <v>-3</v>
      </c>
      <c r="R53" s="10">
        <f t="shared" ref="R53:R59" si="16">I53</f>
        <v>3</v>
      </c>
    </row>
    <row r="54" spans="1:18">
      <c r="A54" s="10">
        <v>3</v>
      </c>
      <c r="B54" s="10">
        <v>2</v>
      </c>
      <c r="C54" s="10" t="s">
        <v>56</v>
      </c>
      <c r="D54" s="10" t="s">
        <v>57</v>
      </c>
      <c r="E54" s="14" t="s">
        <v>71</v>
      </c>
      <c r="F54" s="10" t="s">
        <v>14</v>
      </c>
      <c r="G54" s="10" t="s">
        <v>68</v>
      </c>
      <c r="H54" s="14" t="s">
        <v>52</v>
      </c>
      <c r="I54" s="10">
        <f>H3</f>
        <v>3</v>
      </c>
      <c r="J54" s="10">
        <f>H3</f>
        <v>3</v>
      </c>
      <c r="K54" s="10">
        <f>H3</f>
        <v>3</v>
      </c>
      <c r="L54" s="10">
        <v>20</v>
      </c>
      <c r="M54" s="10">
        <f t="shared" si="12"/>
        <v>60</v>
      </c>
      <c r="N54" s="10" t="str">
        <f t="shared" si="13"/>
        <v>3</v>
      </c>
      <c r="O54" s="1" t="s">
        <v>102</v>
      </c>
      <c r="P54" s="10">
        <f t="shared" si="14"/>
        <v>998770</v>
      </c>
      <c r="Q54" s="10">
        <f t="shared" si="15"/>
        <v>-3</v>
      </c>
      <c r="R54" s="10">
        <f t="shared" si="16"/>
        <v>3</v>
      </c>
    </row>
    <row r="55" spans="1:18">
      <c r="A55" s="10">
        <v>3</v>
      </c>
      <c r="B55" s="10">
        <v>3</v>
      </c>
      <c r="C55" s="10" t="s">
        <v>56</v>
      </c>
      <c r="D55" s="10" t="s">
        <v>57</v>
      </c>
      <c r="E55" s="14" t="s">
        <v>72</v>
      </c>
      <c r="F55" s="10" t="s">
        <v>14</v>
      </c>
      <c r="G55" s="10" t="s">
        <v>68</v>
      </c>
      <c r="H55" s="14" t="s">
        <v>52</v>
      </c>
      <c r="I55" s="10">
        <f>H3</f>
        <v>3</v>
      </c>
      <c r="J55" s="10">
        <f>H3</f>
        <v>3</v>
      </c>
      <c r="K55" s="10">
        <f>H3</f>
        <v>3</v>
      </c>
      <c r="L55" s="10">
        <v>20</v>
      </c>
      <c r="M55" s="10">
        <f t="shared" si="12"/>
        <v>60</v>
      </c>
      <c r="N55" s="10" t="str">
        <f t="shared" si="13"/>
        <v>3</v>
      </c>
      <c r="O55" s="1" t="s">
        <v>102</v>
      </c>
      <c r="P55" s="10">
        <f t="shared" si="14"/>
        <v>998770</v>
      </c>
      <c r="Q55" s="10">
        <f t="shared" si="15"/>
        <v>-3</v>
      </c>
      <c r="R55" s="10">
        <f t="shared" si="16"/>
        <v>3</v>
      </c>
    </row>
    <row r="56" spans="1:18">
      <c r="A56" s="10">
        <v>3</v>
      </c>
      <c r="B56" s="10">
        <v>4</v>
      </c>
      <c r="C56" s="10" t="s">
        <v>56</v>
      </c>
      <c r="D56" s="10" t="s">
        <v>57</v>
      </c>
      <c r="E56" s="14" t="s">
        <v>73</v>
      </c>
      <c r="F56" s="10" t="s">
        <v>14</v>
      </c>
      <c r="G56" s="10" t="s">
        <v>68</v>
      </c>
      <c r="H56" s="14" t="s">
        <v>52</v>
      </c>
      <c r="I56" s="10">
        <f>H3</f>
        <v>3</v>
      </c>
      <c r="J56" s="10">
        <f>H3</f>
        <v>3</v>
      </c>
      <c r="K56" s="10">
        <f>H3</f>
        <v>3</v>
      </c>
      <c r="L56" s="10">
        <v>20</v>
      </c>
      <c r="M56" s="10">
        <f t="shared" si="12"/>
        <v>60</v>
      </c>
      <c r="N56" s="10" t="str">
        <f t="shared" si="13"/>
        <v>3</v>
      </c>
      <c r="O56" s="1" t="s">
        <v>102</v>
      </c>
      <c r="P56" s="10">
        <f t="shared" si="14"/>
        <v>998770</v>
      </c>
      <c r="Q56" s="10">
        <f t="shared" si="15"/>
        <v>-3</v>
      </c>
      <c r="R56" s="10">
        <f t="shared" si="16"/>
        <v>3</v>
      </c>
    </row>
    <row r="57" spans="1:18">
      <c r="A57" s="10">
        <v>3</v>
      </c>
      <c r="B57" s="10">
        <v>5</v>
      </c>
      <c r="C57" s="10" t="s">
        <v>56</v>
      </c>
      <c r="D57" s="10" t="s">
        <v>57</v>
      </c>
      <c r="E57" s="14" t="s">
        <v>74</v>
      </c>
      <c r="F57" s="10" t="s">
        <v>14</v>
      </c>
      <c r="G57" s="10" t="s">
        <v>68</v>
      </c>
      <c r="H57" s="14" t="s">
        <v>52</v>
      </c>
      <c r="I57" s="10">
        <f>H3</f>
        <v>3</v>
      </c>
      <c r="J57" s="10">
        <f>H3</f>
        <v>3</v>
      </c>
      <c r="K57" s="10">
        <f>H3</f>
        <v>3</v>
      </c>
      <c r="L57" s="10">
        <v>20</v>
      </c>
      <c r="M57" s="10">
        <f t="shared" si="12"/>
        <v>60</v>
      </c>
      <c r="N57" s="10" t="str">
        <f t="shared" si="13"/>
        <v>3</v>
      </c>
      <c r="O57" s="1" t="s">
        <v>102</v>
      </c>
      <c r="P57" s="10">
        <f t="shared" si="14"/>
        <v>998770</v>
      </c>
      <c r="Q57" s="10">
        <f t="shared" si="15"/>
        <v>-3</v>
      </c>
      <c r="R57" s="10">
        <f t="shared" si="16"/>
        <v>3</v>
      </c>
    </row>
    <row r="58" spans="1:18">
      <c r="A58" s="10">
        <v>3</v>
      </c>
      <c r="B58" s="10">
        <v>6</v>
      </c>
      <c r="C58" s="10" t="s">
        <v>56</v>
      </c>
      <c r="D58" s="10" t="s">
        <v>57</v>
      </c>
      <c r="E58" s="14" t="s">
        <v>75</v>
      </c>
      <c r="F58" s="10" t="s">
        <v>14</v>
      </c>
      <c r="G58" s="10" t="s">
        <v>68</v>
      </c>
      <c r="H58" s="14" t="s">
        <v>52</v>
      </c>
      <c r="I58" s="10">
        <f>H3</f>
        <v>3</v>
      </c>
      <c r="J58" s="10">
        <f>H3</f>
        <v>3</v>
      </c>
      <c r="K58" s="10">
        <f>H3</f>
        <v>3</v>
      </c>
      <c r="L58" s="10">
        <v>20</v>
      </c>
      <c r="M58" s="10">
        <f t="shared" si="12"/>
        <v>60</v>
      </c>
      <c r="N58" s="10" t="str">
        <f t="shared" si="13"/>
        <v>3</v>
      </c>
      <c r="O58" s="1" t="s">
        <v>102</v>
      </c>
      <c r="P58" s="10">
        <f t="shared" si="14"/>
        <v>998770</v>
      </c>
      <c r="Q58" s="10">
        <f t="shared" si="15"/>
        <v>-3</v>
      </c>
      <c r="R58" s="10">
        <f t="shared" si="16"/>
        <v>3</v>
      </c>
    </row>
    <row r="59" spans="1:18">
      <c r="A59" s="10">
        <v>3</v>
      </c>
      <c r="B59" s="10">
        <v>7</v>
      </c>
      <c r="C59" s="10" t="s">
        <v>56</v>
      </c>
      <c r="D59" s="10" t="s">
        <v>57</v>
      </c>
      <c r="E59" s="14" t="s">
        <v>76</v>
      </c>
      <c r="F59" s="10" t="s">
        <v>14</v>
      </c>
      <c r="G59" s="10" t="s">
        <v>68</v>
      </c>
      <c r="H59" s="14" t="s">
        <v>52</v>
      </c>
      <c r="I59" s="10">
        <f>H3</f>
        <v>3</v>
      </c>
      <c r="J59" s="10">
        <f>H3</f>
        <v>3</v>
      </c>
      <c r="K59" s="10">
        <f>H3</f>
        <v>3</v>
      </c>
      <c r="L59" s="10">
        <v>20</v>
      </c>
      <c r="M59" s="10">
        <f t="shared" si="12"/>
        <v>60</v>
      </c>
      <c r="N59" s="10" t="str">
        <f t="shared" si="13"/>
        <v>3</v>
      </c>
      <c r="O59" s="1" t="s">
        <v>102</v>
      </c>
      <c r="P59" s="10">
        <f t="shared" si="14"/>
        <v>998770</v>
      </c>
      <c r="Q59" s="10">
        <f t="shared" si="15"/>
        <v>-3</v>
      </c>
      <c r="R59" s="10">
        <f t="shared" si="16"/>
        <v>3</v>
      </c>
    </row>
    <row r="60" spans="1:18">
      <c r="A60" s="10" t="s">
        <v>100</v>
      </c>
      <c r="B60" s="10"/>
      <c r="C60" s="10" t="s">
        <v>54</v>
      </c>
      <c r="D60" s="10" t="s">
        <v>55</v>
      </c>
      <c r="E60" s="9" t="s">
        <v>18</v>
      </c>
      <c r="F60" s="10" t="s">
        <v>14</v>
      </c>
      <c r="G60" s="10" t="s">
        <v>52</v>
      </c>
      <c r="H60" s="14" t="s">
        <v>52</v>
      </c>
      <c r="I60" s="10">
        <f>H3</f>
        <v>3</v>
      </c>
      <c r="J60" s="10">
        <f>H3</f>
        <v>3</v>
      </c>
      <c r="K60" s="10">
        <f>H3</f>
        <v>3</v>
      </c>
      <c r="L60" s="10">
        <v>280</v>
      </c>
      <c r="M60" s="10">
        <f t="shared" si="12"/>
        <v>840</v>
      </c>
      <c r="N60" s="10"/>
      <c r="O60" s="10"/>
      <c r="P60" s="10"/>
      <c r="Q60" s="10"/>
      <c r="R60" s="10"/>
    </row>
    <row r="61" spans="1:18">
      <c r="A61" s="10" t="s">
        <v>100</v>
      </c>
      <c r="B61" s="10"/>
      <c r="C61" s="10" t="s">
        <v>46</v>
      </c>
      <c r="D61" s="10" t="s">
        <v>47</v>
      </c>
      <c r="E61" s="9" t="s">
        <v>18</v>
      </c>
      <c r="F61" s="10" t="s">
        <v>14</v>
      </c>
      <c r="G61" s="10" t="s">
        <v>52</v>
      </c>
      <c r="H61" s="14" t="s">
        <v>52</v>
      </c>
      <c r="I61" s="10">
        <f>H3</f>
        <v>3</v>
      </c>
      <c r="J61" s="10">
        <f>H3</f>
        <v>3</v>
      </c>
      <c r="K61" s="10">
        <f>H3</f>
        <v>3</v>
      </c>
      <c r="L61" s="10">
        <v>140</v>
      </c>
      <c r="M61" s="10">
        <f>L61*K61</f>
        <v>420</v>
      </c>
      <c r="N61" s="10"/>
      <c r="O61" s="10"/>
      <c r="P61" s="10"/>
      <c r="Q61" s="10"/>
      <c r="R61" s="10"/>
    </row>
    <row r="62" spans="1:18">
      <c r="A62" s="20" t="s">
        <v>96</v>
      </c>
      <c r="B62" s="20">
        <v>1</v>
      </c>
      <c r="C62" s="20" t="s">
        <v>56</v>
      </c>
      <c r="D62" s="20"/>
      <c r="E62" s="20"/>
      <c r="F62" s="21"/>
      <c r="G62" s="20"/>
      <c r="H62" s="21" t="s">
        <v>52</v>
      </c>
      <c r="I62" s="21">
        <v>3</v>
      </c>
      <c r="J62" s="20">
        <v>3</v>
      </c>
      <c r="K62" s="20"/>
      <c r="L62" s="20">
        <f>SUM(L46:L61)</f>
        <v>700</v>
      </c>
      <c r="M62" s="22">
        <f>SUM(M46:M61)</f>
        <v>2100</v>
      </c>
      <c r="N62" s="22">
        <v>111</v>
      </c>
      <c r="O62" s="20" t="s">
        <v>97</v>
      </c>
      <c r="P62" s="20"/>
      <c r="Q62" s="20"/>
      <c r="R62" s="20"/>
    </row>
    <row r="63" spans="1:18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5" spans="11:12">
      <c r="K65" s="11" t="s">
        <v>89</v>
      </c>
      <c r="L65" s="11">
        <f>L66/H3</f>
        <v>700</v>
      </c>
    </row>
    <row r="66" spans="11:12">
      <c r="K66" s="11" t="s">
        <v>103</v>
      </c>
      <c r="L66" s="11">
        <f>M62+AG7</f>
        <v>2100</v>
      </c>
    </row>
  </sheetData>
  <mergeCells count="7">
    <mergeCell ref="A1:M1"/>
    <mergeCell ref="A4:L4"/>
    <mergeCell ref="V4:AG4"/>
    <mergeCell ref="A9:L9"/>
    <mergeCell ref="A33:R33"/>
    <mergeCell ref="A34:R34"/>
    <mergeCell ref="A44:R4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Q63"/>
  <sheetViews>
    <sheetView zoomScale="61" zoomScaleNormal="61" workbookViewId="0">
      <selection activeCell="A35" sqref="A35"/>
    </sheetView>
  </sheetViews>
  <sheetFormatPr defaultColWidth="9" defaultRowHeight="14.25"/>
  <cols>
    <col min="1" max="1" width="12.1428571428571" style="1" customWidth="1"/>
    <col min="2" max="2" width="11.8190476190476" style="1" customWidth="1"/>
    <col min="3" max="3" width="17.2761904761905" style="1" customWidth="1"/>
    <col min="4" max="5" width="34.4571428571429" style="1" customWidth="1"/>
    <col min="6" max="9" width="34.2761904761905" style="1" customWidth="1"/>
    <col min="10" max="10" width="15.3619047619048" style="1" customWidth="1"/>
    <col min="11" max="11" width="34.2761904761905" style="1" customWidth="1"/>
    <col min="12" max="12" width="14.3619047619048" style="1" customWidth="1"/>
    <col min="13" max="13" width="16.1809523809524" style="1" customWidth="1"/>
    <col min="14" max="14" width="19.3619047619048" style="1" customWidth="1"/>
    <col min="15" max="15" width="19.6380952380952" style="1" customWidth="1"/>
    <col min="16" max="16" width="15.9047619047619" style="1" customWidth="1"/>
    <col min="17" max="17" width="21.1809523809524" style="1" customWidth="1"/>
    <col min="18" max="18" width="16.2857142857143" style="1" customWidth="1"/>
    <col min="19" max="21" width="19.6380952380952" style="1" customWidth="1"/>
    <col min="22" max="16371" width="9.13333333333333" style="1"/>
    <col min="16372" max="16384" width="9" style="2"/>
  </cols>
  <sheetData>
    <row r="1" spans="1:33 16370:1637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</row>
    <row r="2" spans="1:33 16370:1637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XEP2" s="2"/>
      <c r="XEQ2" s="2"/>
    </row>
    <row r="3" spans="1:33 16370:16371">
      <c r="A3" s="8" t="s">
        <v>14</v>
      </c>
      <c r="B3" s="8" t="s">
        <v>15</v>
      </c>
      <c r="C3" s="8" t="s">
        <v>16</v>
      </c>
      <c r="D3" s="8" t="s">
        <v>16</v>
      </c>
      <c r="E3" s="9" t="s">
        <v>17</v>
      </c>
      <c r="F3" s="9" t="s">
        <v>18</v>
      </c>
      <c r="G3" s="24" t="s">
        <v>19</v>
      </c>
      <c r="H3" s="8">
        <v>3</v>
      </c>
      <c r="I3" s="1" t="s">
        <v>20</v>
      </c>
      <c r="J3" s="10">
        <f>I3+H3</f>
        <v>189</v>
      </c>
      <c r="K3" s="1" t="s">
        <v>21</v>
      </c>
      <c r="L3" s="10">
        <f>(K3+L62)/2</f>
        <v>630</v>
      </c>
      <c r="M3" s="11">
        <f>L62</f>
        <v>840</v>
      </c>
      <c r="XEP3" s="2"/>
      <c r="XEQ3" s="2"/>
    </row>
    <row r="4" spans="1:33 16370:16371">
      <c r="A4" s="12" t="s">
        <v>22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3"/>
      <c r="V4" s="12" t="s">
        <v>23</v>
      </c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 spans="1:33 16370:16371">
      <c r="A5" s="7" t="s">
        <v>24</v>
      </c>
      <c r="B5" s="7" t="s">
        <v>25</v>
      </c>
      <c r="C5" s="7" t="s">
        <v>26</v>
      </c>
      <c r="D5" s="7" t="s">
        <v>27</v>
      </c>
      <c r="E5" s="7" t="s">
        <v>28</v>
      </c>
      <c r="F5" s="7" t="s">
        <v>29</v>
      </c>
      <c r="G5" s="7" t="s">
        <v>30</v>
      </c>
      <c r="H5" s="7" t="s">
        <v>31</v>
      </c>
      <c r="I5" s="7" t="s">
        <v>32</v>
      </c>
      <c r="J5" s="7" t="s">
        <v>33</v>
      </c>
      <c r="K5" s="7" t="s">
        <v>34</v>
      </c>
      <c r="L5" s="7" t="s">
        <v>35</v>
      </c>
      <c r="M5" s="13"/>
      <c r="V5" s="7" t="s">
        <v>25</v>
      </c>
      <c r="W5" s="7" t="s">
        <v>36</v>
      </c>
      <c r="X5" s="7" t="s">
        <v>26</v>
      </c>
      <c r="Y5" s="7" t="s">
        <v>37</v>
      </c>
      <c r="Z5" s="7" t="s">
        <v>38</v>
      </c>
      <c r="AA5" s="7" t="s">
        <v>39</v>
      </c>
      <c r="AB5" s="7" t="s">
        <v>40</v>
      </c>
      <c r="AC5" s="7" t="s">
        <v>41</v>
      </c>
      <c r="AD5" s="7" t="s">
        <v>42</v>
      </c>
      <c r="AE5" s="7" t="s">
        <v>43</v>
      </c>
      <c r="AF5" s="7" t="s">
        <v>44</v>
      </c>
      <c r="AG5" s="7" t="s">
        <v>45</v>
      </c>
    </row>
    <row r="6" spans="1:33 16370:16371">
      <c r="A6" s="10">
        <v>1</v>
      </c>
      <c r="B6" s="10">
        <v>1</v>
      </c>
      <c r="C6" s="10" t="s">
        <v>46</v>
      </c>
      <c r="D6" s="10" t="s">
        <v>47</v>
      </c>
      <c r="E6" s="10" t="s">
        <v>48</v>
      </c>
      <c r="F6" s="14" t="s">
        <v>49</v>
      </c>
      <c r="G6" s="10" t="s">
        <v>50</v>
      </c>
      <c r="H6" s="14" t="s">
        <v>51</v>
      </c>
      <c r="I6" s="14" t="s">
        <v>52</v>
      </c>
      <c r="J6" s="14" t="s">
        <v>51</v>
      </c>
      <c r="K6" s="14" t="s">
        <v>52</v>
      </c>
      <c r="L6" s="10" t="s">
        <v>53</v>
      </c>
      <c r="M6" s="13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1:33 16370:16371">
      <c r="A7" s="10">
        <v>2</v>
      </c>
      <c r="B7" s="10">
        <v>2</v>
      </c>
      <c r="C7" s="10" t="s">
        <v>54</v>
      </c>
      <c r="D7" s="10" t="s">
        <v>55</v>
      </c>
      <c r="E7" s="10" t="s">
        <v>48</v>
      </c>
      <c r="F7" s="14" t="s">
        <v>49</v>
      </c>
      <c r="G7" s="10" t="s">
        <v>50</v>
      </c>
      <c r="H7" s="14" t="s">
        <v>51</v>
      </c>
      <c r="I7" s="14" t="s">
        <v>52</v>
      </c>
      <c r="J7" s="14" t="s">
        <v>51</v>
      </c>
      <c r="K7" s="14" t="s">
        <v>52</v>
      </c>
      <c r="L7" s="10" t="s">
        <v>53</v>
      </c>
      <c r="M7" s="13"/>
      <c r="AG7" s="1">
        <f>AG6</f>
        <v>0</v>
      </c>
    </row>
    <row r="8" spans="1:33 16370:16371">
      <c r="A8" s="10">
        <v>3</v>
      </c>
      <c r="B8" s="10">
        <v>3</v>
      </c>
      <c r="C8" s="10" t="s">
        <v>56</v>
      </c>
      <c r="D8" s="10" t="s">
        <v>57</v>
      </c>
      <c r="E8" s="10" t="s">
        <v>48</v>
      </c>
      <c r="F8" s="14" t="s">
        <v>49</v>
      </c>
      <c r="G8" s="10" t="s">
        <v>50</v>
      </c>
      <c r="H8" s="14" t="s">
        <v>51</v>
      </c>
      <c r="I8" s="14" t="s">
        <v>52</v>
      </c>
      <c r="J8" s="14" t="s">
        <v>51</v>
      </c>
      <c r="K8" s="14" t="s">
        <v>52</v>
      </c>
      <c r="L8" s="10" t="s">
        <v>53</v>
      </c>
      <c r="M8" s="13"/>
    </row>
    <row r="9" spans="1:33 16370:16371">
      <c r="A9" s="12" t="s">
        <v>58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spans="1:33 16370:16371">
      <c r="A10" s="7" t="s">
        <v>25</v>
      </c>
      <c r="B10" s="7" t="s">
        <v>36</v>
      </c>
      <c r="C10" s="7" t="s">
        <v>26</v>
      </c>
      <c r="D10" s="7" t="s">
        <v>27</v>
      </c>
      <c r="E10" s="7" t="s">
        <v>59</v>
      </c>
      <c r="F10" s="7" t="s">
        <v>60</v>
      </c>
      <c r="G10" s="7" t="s">
        <v>61</v>
      </c>
      <c r="H10" s="7" t="s">
        <v>62</v>
      </c>
      <c r="I10" s="7" t="s">
        <v>63</v>
      </c>
      <c r="J10" s="7" t="s">
        <v>64</v>
      </c>
      <c r="K10" s="7" t="s">
        <v>65</v>
      </c>
      <c r="L10" s="7" t="s">
        <v>66</v>
      </c>
    </row>
    <row r="11" spans="1:33 16370:16371">
      <c r="A11" s="10">
        <v>1</v>
      </c>
      <c r="B11" s="10">
        <v>1</v>
      </c>
      <c r="C11" s="10" t="s">
        <v>46</v>
      </c>
      <c r="D11" s="10" t="s">
        <v>47</v>
      </c>
      <c r="E11" s="14" t="s">
        <v>67</v>
      </c>
      <c r="F11" s="10" t="s">
        <v>14</v>
      </c>
      <c r="G11" s="10" t="s">
        <v>68</v>
      </c>
      <c r="H11" s="1" t="s">
        <v>69</v>
      </c>
      <c r="I11" s="1" t="s">
        <v>70</v>
      </c>
      <c r="J11" s="10">
        <f t="shared" ref="J11:J31" si="0">H11-I11</f>
        <v>998776</v>
      </c>
      <c r="K11" s="10">
        <v>1</v>
      </c>
      <c r="L11" s="10">
        <f>H3</f>
        <v>3</v>
      </c>
    </row>
    <row r="12" spans="1:33 16370:16371">
      <c r="A12" s="10">
        <v>1</v>
      </c>
      <c r="B12" s="10">
        <v>2</v>
      </c>
      <c r="C12" s="10" t="s">
        <v>46</v>
      </c>
      <c r="D12" s="10" t="s">
        <v>47</v>
      </c>
      <c r="E12" s="14" t="s">
        <v>71</v>
      </c>
      <c r="F12" s="10" t="s">
        <v>14</v>
      </c>
      <c r="G12" s="10" t="s">
        <v>68</v>
      </c>
      <c r="H12" s="1" t="s">
        <v>69</v>
      </c>
      <c r="I12" s="1" t="s">
        <v>70</v>
      </c>
      <c r="J12" s="10">
        <f t="shared" si="0"/>
        <v>998776</v>
      </c>
      <c r="K12" s="10">
        <v>1</v>
      </c>
      <c r="L12" s="10">
        <f>H3</f>
        <v>3</v>
      </c>
      <c r="M12" s="13"/>
    </row>
    <row r="13" spans="1:33 16370:16371">
      <c r="A13" s="10">
        <v>1</v>
      </c>
      <c r="B13" s="10">
        <v>3</v>
      </c>
      <c r="C13" s="10" t="s">
        <v>46</v>
      </c>
      <c r="D13" s="10" t="s">
        <v>47</v>
      </c>
      <c r="E13" s="14" t="s">
        <v>72</v>
      </c>
      <c r="F13" s="10" t="s">
        <v>14</v>
      </c>
      <c r="G13" s="10" t="s">
        <v>68</v>
      </c>
      <c r="H13" s="1" t="s">
        <v>69</v>
      </c>
      <c r="I13" s="1" t="s">
        <v>70</v>
      </c>
      <c r="J13" s="10">
        <f t="shared" si="0"/>
        <v>998776</v>
      </c>
      <c r="K13" s="10">
        <v>1</v>
      </c>
      <c r="L13" s="10">
        <f>H3</f>
        <v>3</v>
      </c>
      <c r="M13" s="13"/>
    </row>
    <row r="14" spans="1:33 16370:16371">
      <c r="A14" s="10">
        <v>1</v>
      </c>
      <c r="B14" s="10">
        <v>4</v>
      </c>
      <c r="C14" s="10" t="s">
        <v>46</v>
      </c>
      <c r="D14" s="10" t="s">
        <v>47</v>
      </c>
      <c r="E14" s="14" t="s">
        <v>73</v>
      </c>
      <c r="F14" s="10" t="s">
        <v>14</v>
      </c>
      <c r="G14" s="10" t="s">
        <v>68</v>
      </c>
      <c r="H14" s="1" t="s">
        <v>69</v>
      </c>
      <c r="I14" s="1" t="s">
        <v>70</v>
      </c>
      <c r="J14" s="10">
        <f t="shared" si="0"/>
        <v>998776</v>
      </c>
      <c r="K14" s="10">
        <v>1</v>
      </c>
      <c r="L14" s="10">
        <f>H3</f>
        <v>3</v>
      </c>
      <c r="M14" s="13"/>
    </row>
    <row r="15" spans="1:33 16370:16371">
      <c r="A15" s="10">
        <v>1</v>
      </c>
      <c r="B15" s="10">
        <v>5</v>
      </c>
      <c r="C15" s="10" t="s">
        <v>46</v>
      </c>
      <c r="D15" s="10" t="s">
        <v>47</v>
      </c>
      <c r="E15" s="14" t="s">
        <v>74</v>
      </c>
      <c r="F15" s="10" t="s">
        <v>14</v>
      </c>
      <c r="G15" s="10" t="s">
        <v>68</v>
      </c>
      <c r="H15" s="1" t="s">
        <v>69</v>
      </c>
      <c r="I15" s="1" t="s">
        <v>70</v>
      </c>
      <c r="J15" s="10">
        <f t="shared" si="0"/>
        <v>998776</v>
      </c>
      <c r="K15" s="10">
        <v>1</v>
      </c>
      <c r="L15" s="10">
        <f>H3</f>
        <v>3</v>
      </c>
      <c r="M15" s="13"/>
    </row>
    <row r="16" spans="1:33 16370:16371">
      <c r="A16" s="10">
        <v>1</v>
      </c>
      <c r="B16" s="10">
        <v>6</v>
      </c>
      <c r="C16" s="10" t="s">
        <v>46</v>
      </c>
      <c r="D16" s="10" t="s">
        <v>47</v>
      </c>
      <c r="E16" s="14" t="s">
        <v>75</v>
      </c>
      <c r="F16" s="10" t="s">
        <v>14</v>
      </c>
      <c r="G16" s="10" t="s">
        <v>68</v>
      </c>
      <c r="H16" s="1" t="s">
        <v>69</v>
      </c>
      <c r="I16" s="1" t="s">
        <v>70</v>
      </c>
      <c r="J16" s="10">
        <f t="shared" si="0"/>
        <v>998776</v>
      </c>
      <c r="K16" s="10">
        <v>1</v>
      </c>
      <c r="L16" s="10">
        <f>H3</f>
        <v>3</v>
      </c>
      <c r="M16" s="13"/>
    </row>
    <row r="17" spans="1:18">
      <c r="A17" s="10">
        <v>1</v>
      </c>
      <c r="B17" s="10">
        <v>7</v>
      </c>
      <c r="C17" s="10" t="s">
        <v>46</v>
      </c>
      <c r="D17" s="10" t="s">
        <v>47</v>
      </c>
      <c r="E17" s="14" t="s">
        <v>76</v>
      </c>
      <c r="F17" s="10" t="s">
        <v>14</v>
      </c>
      <c r="G17" s="10" t="s">
        <v>68</v>
      </c>
      <c r="H17" s="1" t="s">
        <v>69</v>
      </c>
      <c r="I17" s="1" t="s">
        <v>70</v>
      </c>
      <c r="J17" s="10">
        <f t="shared" si="0"/>
        <v>998776</v>
      </c>
      <c r="K17" s="10">
        <v>1</v>
      </c>
      <c r="L17" s="10">
        <f>H3</f>
        <v>3</v>
      </c>
      <c r="M17" s="13"/>
    </row>
    <row r="18" spans="1:18">
      <c r="A18" s="10">
        <v>2</v>
      </c>
      <c r="B18" s="10">
        <v>1</v>
      </c>
      <c r="C18" s="10" t="s">
        <v>54</v>
      </c>
      <c r="D18" s="10" t="s">
        <v>55</v>
      </c>
      <c r="E18" s="14" t="s">
        <v>67</v>
      </c>
      <c r="F18" s="10" t="s">
        <v>14</v>
      </c>
      <c r="G18" s="10" t="s">
        <v>68</v>
      </c>
      <c r="H18" s="10">
        <f t="shared" ref="H18:H31" si="1">J11</f>
        <v>998776</v>
      </c>
      <c r="I18" s="1" t="s">
        <v>70</v>
      </c>
      <c r="J18" s="10">
        <f t="shared" si="0"/>
        <v>998773</v>
      </c>
      <c r="K18" s="10">
        <v>1</v>
      </c>
      <c r="L18" s="10">
        <f>H3</f>
        <v>3</v>
      </c>
      <c r="M18" s="13"/>
    </row>
    <row r="19" spans="1:18">
      <c r="A19" s="10">
        <v>2</v>
      </c>
      <c r="B19" s="10">
        <v>2</v>
      </c>
      <c r="C19" s="10" t="s">
        <v>54</v>
      </c>
      <c r="D19" s="10" t="s">
        <v>55</v>
      </c>
      <c r="E19" s="14" t="s">
        <v>71</v>
      </c>
      <c r="F19" s="10" t="s">
        <v>14</v>
      </c>
      <c r="G19" s="10" t="s">
        <v>68</v>
      </c>
      <c r="H19" s="10">
        <f t="shared" si="1"/>
        <v>998776</v>
      </c>
      <c r="I19" s="1" t="s">
        <v>70</v>
      </c>
      <c r="J19" s="10">
        <f t="shared" si="0"/>
        <v>998773</v>
      </c>
      <c r="K19" s="10">
        <v>1</v>
      </c>
      <c r="L19" s="10">
        <f>H3</f>
        <v>3</v>
      </c>
      <c r="M19" s="13"/>
    </row>
    <row r="20" spans="1:18">
      <c r="A20" s="10">
        <v>2</v>
      </c>
      <c r="B20" s="10">
        <v>3</v>
      </c>
      <c r="C20" s="10" t="s">
        <v>54</v>
      </c>
      <c r="D20" s="10" t="s">
        <v>55</v>
      </c>
      <c r="E20" s="14" t="s">
        <v>72</v>
      </c>
      <c r="F20" s="10" t="s">
        <v>14</v>
      </c>
      <c r="G20" s="10" t="s">
        <v>68</v>
      </c>
      <c r="H20" s="10">
        <f t="shared" si="1"/>
        <v>998776</v>
      </c>
      <c r="I20" s="1" t="s">
        <v>70</v>
      </c>
      <c r="J20" s="10">
        <f t="shared" si="0"/>
        <v>998773</v>
      </c>
      <c r="K20" s="10">
        <v>1</v>
      </c>
      <c r="L20" s="10">
        <f>H3</f>
        <v>3</v>
      </c>
      <c r="M20" s="13"/>
    </row>
    <row r="21" spans="1:18">
      <c r="A21" s="10">
        <v>2</v>
      </c>
      <c r="B21" s="10">
        <v>4</v>
      </c>
      <c r="C21" s="10" t="s">
        <v>54</v>
      </c>
      <c r="D21" s="10" t="s">
        <v>55</v>
      </c>
      <c r="E21" s="14" t="s">
        <v>73</v>
      </c>
      <c r="F21" s="10" t="s">
        <v>14</v>
      </c>
      <c r="G21" s="10" t="s">
        <v>68</v>
      </c>
      <c r="H21" s="10">
        <f t="shared" si="1"/>
        <v>998776</v>
      </c>
      <c r="I21" s="1" t="s">
        <v>70</v>
      </c>
      <c r="J21" s="10">
        <f t="shared" si="0"/>
        <v>998773</v>
      </c>
      <c r="K21" s="10">
        <v>1</v>
      </c>
      <c r="L21" s="10">
        <f>H3</f>
        <v>3</v>
      </c>
      <c r="M21" s="13"/>
    </row>
    <row r="22" spans="1:18">
      <c r="A22" s="10">
        <v>2</v>
      </c>
      <c r="B22" s="10">
        <v>5</v>
      </c>
      <c r="C22" s="10" t="s">
        <v>54</v>
      </c>
      <c r="D22" s="10" t="s">
        <v>55</v>
      </c>
      <c r="E22" s="14" t="s">
        <v>74</v>
      </c>
      <c r="F22" s="10" t="s">
        <v>14</v>
      </c>
      <c r="G22" s="10" t="s">
        <v>68</v>
      </c>
      <c r="H22" s="10">
        <f t="shared" si="1"/>
        <v>998776</v>
      </c>
      <c r="I22" s="1" t="s">
        <v>70</v>
      </c>
      <c r="J22" s="10">
        <f t="shared" si="0"/>
        <v>998773</v>
      </c>
      <c r="K22" s="10">
        <v>1</v>
      </c>
      <c r="L22" s="10">
        <f>H3</f>
        <v>3</v>
      </c>
      <c r="M22" s="13"/>
    </row>
    <row r="23" spans="1:18">
      <c r="A23" s="10">
        <v>2</v>
      </c>
      <c r="B23" s="10">
        <v>6</v>
      </c>
      <c r="C23" s="10" t="s">
        <v>54</v>
      </c>
      <c r="D23" s="10" t="s">
        <v>55</v>
      </c>
      <c r="E23" s="14" t="s">
        <v>75</v>
      </c>
      <c r="F23" s="10" t="s">
        <v>14</v>
      </c>
      <c r="G23" s="10" t="s">
        <v>68</v>
      </c>
      <c r="H23" s="10">
        <f t="shared" si="1"/>
        <v>998776</v>
      </c>
      <c r="I23" s="1" t="s">
        <v>70</v>
      </c>
      <c r="J23" s="10">
        <f t="shared" si="0"/>
        <v>998773</v>
      </c>
      <c r="K23" s="10">
        <v>1</v>
      </c>
      <c r="L23" s="10">
        <f>H3</f>
        <v>3</v>
      </c>
      <c r="M23" s="13"/>
    </row>
    <row r="24" spans="1:18">
      <c r="A24" s="10">
        <v>2</v>
      </c>
      <c r="B24" s="10">
        <v>7</v>
      </c>
      <c r="C24" s="10" t="s">
        <v>54</v>
      </c>
      <c r="D24" s="10" t="s">
        <v>55</v>
      </c>
      <c r="E24" s="14" t="s">
        <v>76</v>
      </c>
      <c r="F24" s="10" t="s">
        <v>14</v>
      </c>
      <c r="G24" s="10" t="s">
        <v>68</v>
      </c>
      <c r="H24" s="10">
        <f t="shared" si="1"/>
        <v>998776</v>
      </c>
      <c r="I24" s="1" t="s">
        <v>70</v>
      </c>
      <c r="J24" s="10">
        <f t="shared" si="0"/>
        <v>998773</v>
      </c>
      <c r="K24" s="10">
        <v>1</v>
      </c>
      <c r="L24" s="10">
        <f>H3</f>
        <v>3</v>
      </c>
      <c r="M24" s="13"/>
    </row>
    <row r="25" spans="1:18">
      <c r="A25" s="10">
        <v>3</v>
      </c>
      <c r="B25" s="10">
        <v>1</v>
      </c>
      <c r="C25" s="10" t="s">
        <v>56</v>
      </c>
      <c r="D25" s="10" t="s">
        <v>57</v>
      </c>
      <c r="E25" s="14" t="s">
        <v>67</v>
      </c>
      <c r="F25" s="10" t="s">
        <v>14</v>
      </c>
      <c r="G25" s="10" t="s">
        <v>68</v>
      </c>
      <c r="H25" s="10">
        <f t="shared" si="1"/>
        <v>998773</v>
      </c>
      <c r="I25" s="1" t="s">
        <v>70</v>
      </c>
      <c r="J25" s="10">
        <f t="shared" si="0"/>
        <v>998770</v>
      </c>
      <c r="K25" s="10">
        <v>1</v>
      </c>
      <c r="L25" s="10">
        <f>H3</f>
        <v>3</v>
      </c>
      <c r="M25" s="13"/>
    </row>
    <row r="26" spans="1:18">
      <c r="A26" s="10">
        <v>3</v>
      </c>
      <c r="B26" s="10">
        <v>2</v>
      </c>
      <c r="C26" s="10" t="s">
        <v>56</v>
      </c>
      <c r="D26" s="10" t="s">
        <v>57</v>
      </c>
      <c r="E26" s="14" t="s">
        <v>71</v>
      </c>
      <c r="F26" s="10" t="s">
        <v>14</v>
      </c>
      <c r="G26" s="10" t="s">
        <v>68</v>
      </c>
      <c r="H26" s="10">
        <f t="shared" si="1"/>
        <v>998773</v>
      </c>
      <c r="I26" s="1" t="s">
        <v>70</v>
      </c>
      <c r="J26" s="10">
        <f t="shared" si="0"/>
        <v>998770</v>
      </c>
      <c r="K26" s="10">
        <v>1</v>
      </c>
      <c r="L26" s="10">
        <f>H3</f>
        <v>3</v>
      </c>
      <c r="M26" s="13"/>
    </row>
    <row r="27" spans="1:18">
      <c r="A27" s="10">
        <v>3</v>
      </c>
      <c r="B27" s="10">
        <v>3</v>
      </c>
      <c r="C27" s="10" t="s">
        <v>56</v>
      </c>
      <c r="D27" s="10" t="s">
        <v>57</v>
      </c>
      <c r="E27" s="14" t="s">
        <v>72</v>
      </c>
      <c r="F27" s="10" t="s">
        <v>14</v>
      </c>
      <c r="G27" s="10" t="s">
        <v>68</v>
      </c>
      <c r="H27" s="10">
        <f t="shared" si="1"/>
        <v>998773</v>
      </c>
      <c r="I27" s="1" t="s">
        <v>70</v>
      </c>
      <c r="J27" s="10">
        <f t="shared" si="0"/>
        <v>998770</v>
      </c>
      <c r="K27" s="10">
        <v>1</v>
      </c>
      <c r="L27" s="10">
        <f>H3</f>
        <v>3</v>
      </c>
      <c r="M27" s="13"/>
    </row>
    <row r="28" spans="1:18">
      <c r="A28" s="10">
        <v>3</v>
      </c>
      <c r="B28" s="10">
        <v>4</v>
      </c>
      <c r="C28" s="10" t="s">
        <v>56</v>
      </c>
      <c r="D28" s="10" t="s">
        <v>57</v>
      </c>
      <c r="E28" s="14" t="s">
        <v>73</v>
      </c>
      <c r="F28" s="10" t="s">
        <v>14</v>
      </c>
      <c r="G28" s="10" t="s">
        <v>68</v>
      </c>
      <c r="H28" s="10">
        <f t="shared" si="1"/>
        <v>998773</v>
      </c>
      <c r="I28" s="1" t="s">
        <v>70</v>
      </c>
      <c r="J28" s="10">
        <f t="shared" si="0"/>
        <v>998770</v>
      </c>
      <c r="K28" s="10">
        <v>1</v>
      </c>
      <c r="L28" s="10">
        <f>H3</f>
        <v>3</v>
      </c>
      <c r="M28" s="13"/>
    </row>
    <row r="29" spans="1:18">
      <c r="A29" s="10">
        <v>3</v>
      </c>
      <c r="B29" s="10">
        <v>5</v>
      </c>
      <c r="C29" s="10" t="s">
        <v>56</v>
      </c>
      <c r="D29" s="10" t="s">
        <v>57</v>
      </c>
      <c r="E29" s="14" t="s">
        <v>74</v>
      </c>
      <c r="F29" s="10" t="s">
        <v>14</v>
      </c>
      <c r="G29" s="10" t="s">
        <v>68</v>
      </c>
      <c r="H29" s="10">
        <f t="shared" si="1"/>
        <v>998773</v>
      </c>
      <c r="I29" s="1" t="s">
        <v>70</v>
      </c>
      <c r="J29" s="10">
        <f t="shared" si="0"/>
        <v>998770</v>
      </c>
      <c r="K29" s="10">
        <v>1</v>
      </c>
      <c r="L29" s="10">
        <f>H3</f>
        <v>3</v>
      </c>
      <c r="M29" s="13"/>
    </row>
    <row r="30" spans="1:18">
      <c r="A30" s="10">
        <v>3</v>
      </c>
      <c r="B30" s="10">
        <v>6</v>
      </c>
      <c r="C30" s="10" t="s">
        <v>56</v>
      </c>
      <c r="D30" s="10" t="s">
        <v>57</v>
      </c>
      <c r="E30" s="14" t="s">
        <v>75</v>
      </c>
      <c r="F30" s="10" t="s">
        <v>14</v>
      </c>
      <c r="G30" s="10" t="s">
        <v>68</v>
      </c>
      <c r="H30" s="10">
        <f t="shared" si="1"/>
        <v>998773</v>
      </c>
      <c r="I30" s="1" t="s">
        <v>70</v>
      </c>
      <c r="J30" s="10">
        <f t="shared" si="0"/>
        <v>998770</v>
      </c>
      <c r="K30" s="10">
        <v>1</v>
      </c>
      <c r="L30" s="10">
        <f>H3</f>
        <v>3</v>
      </c>
      <c r="M30" s="13"/>
    </row>
    <row r="31" spans="1:18">
      <c r="A31" s="15">
        <v>3</v>
      </c>
      <c r="B31" s="15">
        <v>7</v>
      </c>
      <c r="C31" s="15" t="s">
        <v>56</v>
      </c>
      <c r="D31" s="15" t="s">
        <v>57</v>
      </c>
      <c r="E31" s="16" t="s">
        <v>76</v>
      </c>
      <c r="F31" s="15" t="s">
        <v>14</v>
      </c>
      <c r="G31" s="15" t="s">
        <v>68</v>
      </c>
      <c r="H31" s="10">
        <f t="shared" si="1"/>
        <v>998773</v>
      </c>
      <c r="I31" s="1" t="s">
        <v>70</v>
      </c>
      <c r="J31" s="15">
        <f t="shared" si="0"/>
        <v>998770</v>
      </c>
      <c r="K31" s="15">
        <v>1</v>
      </c>
      <c r="L31" s="15">
        <f>H3</f>
        <v>3</v>
      </c>
      <c r="M31" s="13"/>
    </row>
    <row r="32" spans="1:18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0"/>
      <c r="M32" s="13"/>
      <c r="N32" s="13"/>
      <c r="O32" s="13"/>
      <c r="P32" s="13"/>
      <c r="Q32" s="13"/>
      <c r="R32" s="13"/>
    </row>
    <row r="33" spans="1:18">
      <c r="A33" s="12" t="s">
        <v>77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</row>
    <row r="34" spans="1:18">
      <c r="A34" s="17" t="s">
        <v>105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9"/>
    </row>
    <row r="35" spans="1:18">
      <c r="A35" s="7" t="s">
        <v>79</v>
      </c>
      <c r="B35" s="7" t="s">
        <v>80</v>
      </c>
      <c r="C35" s="7" t="s">
        <v>81</v>
      </c>
      <c r="D35" s="7" t="s">
        <v>82</v>
      </c>
      <c r="E35" s="7" t="s">
        <v>83</v>
      </c>
      <c r="F35" s="7" t="s">
        <v>60</v>
      </c>
      <c r="G35" s="7" t="s">
        <v>84</v>
      </c>
      <c r="H35" s="7" t="s">
        <v>85</v>
      </c>
      <c r="I35" s="7" t="s">
        <v>86</v>
      </c>
      <c r="J35" s="7" t="s">
        <v>87</v>
      </c>
      <c r="K35" s="7" t="s">
        <v>88</v>
      </c>
      <c r="L35" s="7" t="s">
        <v>89</v>
      </c>
      <c r="M35" s="7" t="s">
        <v>90</v>
      </c>
      <c r="N35" s="7" t="s">
        <v>91</v>
      </c>
      <c r="O35" s="7" t="s">
        <v>92</v>
      </c>
      <c r="P35" s="7" t="s">
        <v>93</v>
      </c>
      <c r="Q35" s="7" t="s">
        <v>94</v>
      </c>
      <c r="R35" s="7" t="s">
        <v>95</v>
      </c>
    </row>
    <row r="36" spans="1:18">
      <c r="A36" s="10">
        <v>1</v>
      </c>
      <c r="B36" s="10">
        <v>1</v>
      </c>
      <c r="C36" s="10" t="s">
        <v>46</v>
      </c>
      <c r="D36" s="10" t="s">
        <v>47</v>
      </c>
      <c r="E36" s="14" t="s">
        <v>67</v>
      </c>
      <c r="F36" s="10" t="s">
        <v>14</v>
      </c>
      <c r="G36" s="10" t="s">
        <v>68</v>
      </c>
      <c r="H36" s="14" t="s">
        <v>52</v>
      </c>
      <c r="I36" s="10">
        <f>H3</f>
        <v>3</v>
      </c>
      <c r="J36" s="10">
        <f>H3</f>
        <v>3</v>
      </c>
      <c r="K36" s="10">
        <f>H3</f>
        <v>3</v>
      </c>
      <c r="L36" s="10">
        <v>20</v>
      </c>
      <c r="M36" s="10">
        <f t="shared" ref="M36:M42" si="2">L36*K36</f>
        <v>60</v>
      </c>
      <c r="N36" s="10" t="str">
        <f t="shared" ref="N36:N42" si="3">I11</f>
        <v>3</v>
      </c>
      <c r="O36" s="1" t="s">
        <v>69</v>
      </c>
      <c r="P36" s="10">
        <f t="shared" ref="P36:P42" si="4">O36-I36</f>
        <v>998776</v>
      </c>
      <c r="Q36" s="10">
        <f t="shared" ref="Q36:Q42" si="5">-I36</f>
        <v>-3</v>
      </c>
      <c r="R36" s="10">
        <f t="shared" ref="R36:R42" si="6">I36</f>
        <v>3</v>
      </c>
    </row>
    <row r="37" spans="1:18">
      <c r="A37" s="10">
        <v>1</v>
      </c>
      <c r="B37" s="10">
        <v>2</v>
      </c>
      <c r="C37" s="10" t="s">
        <v>46</v>
      </c>
      <c r="D37" s="10" t="s">
        <v>47</v>
      </c>
      <c r="E37" s="14" t="s">
        <v>71</v>
      </c>
      <c r="F37" s="10" t="s">
        <v>14</v>
      </c>
      <c r="G37" s="10" t="s">
        <v>68</v>
      </c>
      <c r="H37" s="14" t="s">
        <v>52</v>
      </c>
      <c r="I37" s="10">
        <f>H3</f>
        <v>3</v>
      </c>
      <c r="J37" s="10">
        <f>H3</f>
        <v>3</v>
      </c>
      <c r="K37" s="10">
        <f>H3</f>
        <v>3</v>
      </c>
      <c r="L37" s="10">
        <v>20</v>
      </c>
      <c r="M37" s="10">
        <f t="shared" si="2"/>
        <v>60</v>
      </c>
      <c r="N37" s="10" t="str">
        <f t="shared" si="3"/>
        <v>3</v>
      </c>
      <c r="O37" s="1" t="s">
        <v>69</v>
      </c>
      <c r="P37" s="10">
        <f t="shared" si="4"/>
        <v>998776</v>
      </c>
      <c r="Q37" s="10">
        <f t="shared" si="5"/>
        <v>-3</v>
      </c>
      <c r="R37" s="10">
        <f t="shared" si="6"/>
        <v>3</v>
      </c>
    </row>
    <row r="38" spans="1:18">
      <c r="A38" s="10">
        <v>1</v>
      </c>
      <c r="B38" s="10">
        <v>3</v>
      </c>
      <c r="C38" s="10" t="s">
        <v>46</v>
      </c>
      <c r="D38" s="10" t="s">
        <v>47</v>
      </c>
      <c r="E38" s="14" t="s">
        <v>72</v>
      </c>
      <c r="F38" s="10" t="s">
        <v>14</v>
      </c>
      <c r="G38" s="10" t="s">
        <v>68</v>
      </c>
      <c r="H38" s="14" t="s">
        <v>52</v>
      </c>
      <c r="I38" s="10">
        <f>H3</f>
        <v>3</v>
      </c>
      <c r="J38" s="10">
        <f>H3</f>
        <v>3</v>
      </c>
      <c r="K38" s="10">
        <f>H3</f>
        <v>3</v>
      </c>
      <c r="L38" s="10">
        <v>20</v>
      </c>
      <c r="M38" s="10">
        <f t="shared" si="2"/>
        <v>60</v>
      </c>
      <c r="N38" s="10" t="str">
        <f t="shared" si="3"/>
        <v>3</v>
      </c>
      <c r="O38" s="1" t="s">
        <v>69</v>
      </c>
      <c r="P38" s="10">
        <f t="shared" si="4"/>
        <v>998776</v>
      </c>
      <c r="Q38" s="10">
        <f t="shared" si="5"/>
        <v>-3</v>
      </c>
      <c r="R38" s="10">
        <f t="shared" si="6"/>
        <v>3</v>
      </c>
    </row>
    <row r="39" spans="1:18">
      <c r="A39" s="10">
        <v>1</v>
      </c>
      <c r="B39" s="10">
        <v>4</v>
      </c>
      <c r="C39" s="10" t="s">
        <v>46</v>
      </c>
      <c r="D39" s="10" t="s">
        <v>47</v>
      </c>
      <c r="E39" s="14" t="s">
        <v>73</v>
      </c>
      <c r="F39" s="10" t="s">
        <v>14</v>
      </c>
      <c r="G39" s="10" t="s">
        <v>68</v>
      </c>
      <c r="H39" s="14" t="s">
        <v>52</v>
      </c>
      <c r="I39" s="10">
        <f>H3</f>
        <v>3</v>
      </c>
      <c r="J39" s="10">
        <f>H3</f>
        <v>3</v>
      </c>
      <c r="K39" s="10">
        <f>H3</f>
        <v>3</v>
      </c>
      <c r="L39" s="10">
        <v>20</v>
      </c>
      <c r="M39" s="10">
        <f t="shared" si="2"/>
        <v>60</v>
      </c>
      <c r="N39" s="10" t="str">
        <f t="shared" si="3"/>
        <v>3</v>
      </c>
      <c r="O39" s="1" t="s">
        <v>69</v>
      </c>
      <c r="P39" s="10">
        <f t="shared" si="4"/>
        <v>998776</v>
      </c>
      <c r="Q39" s="10">
        <f t="shared" si="5"/>
        <v>-3</v>
      </c>
      <c r="R39" s="10">
        <f t="shared" si="6"/>
        <v>3</v>
      </c>
    </row>
    <row r="40" spans="1:18">
      <c r="A40" s="10">
        <v>1</v>
      </c>
      <c r="B40" s="10">
        <v>5</v>
      </c>
      <c r="C40" s="10" t="s">
        <v>46</v>
      </c>
      <c r="D40" s="10" t="s">
        <v>47</v>
      </c>
      <c r="E40" s="14" t="s">
        <v>74</v>
      </c>
      <c r="F40" s="10" t="s">
        <v>14</v>
      </c>
      <c r="G40" s="10" t="s">
        <v>68</v>
      </c>
      <c r="H40" s="14" t="s">
        <v>52</v>
      </c>
      <c r="I40" s="10">
        <f>H3</f>
        <v>3</v>
      </c>
      <c r="J40" s="10">
        <f>H3</f>
        <v>3</v>
      </c>
      <c r="K40" s="10">
        <f>H3</f>
        <v>3</v>
      </c>
      <c r="L40" s="10">
        <v>20</v>
      </c>
      <c r="M40" s="10">
        <f t="shared" si="2"/>
        <v>60</v>
      </c>
      <c r="N40" s="10" t="str">
        <f t="shared" si="3"/>
        <v>3</v>
      </c>
      <c r="O40" s="1" t="s">
        <v>69</v>
      </c>
      <c r="P40" s="10">
        <f t="shared" si="4"/>
        <v>998776</v>
      </c>
      <c r="Q40" s="10">
        <f t="shared" si="5"/>
        <v>-3</v>
      </c>
      <c r="R40" s="10">
        <f t="shared" si="6"/>
        <v>3</v>
      </c>
    </row>
    <row r="41" spans="1:18">
      <c r="A41" s="10">
        <v>1</v>
      </c>
      <c r="B41" s="10">
        <v>6</v>
      </c>
      <c r="C41" s="10" t="s">
        <v>46</v>
      </c>
      <c r="D41" s="10" t="s">
        <v>47</v>
      </c>
      <c r="E41" s="14" t="s">
        <v>75</v>
      </c>
      <c r="F41" s="10" t="s">
        <v>14</v>
      </c>
      <c r="G41" s="10" t="s">
        <v>68</v>
      </c>
      <c r="H41" s="14" t="s">
        <v>52</v>
      </c>
      <c r="I41" s="10">
        <f>H3</f>
        <v>3</v>
      </c>
      <c r="J41" s="10">
        <f>H3</f>
        <v>3</v>
      </c>
      <c r="K41" s="10">
        <f>H3</f>
        <v>3</v>
      </c>
      <c r="L41" s="10">
        <v>20</v>
      </c>
      <c r="M41" s="10">
        <f t="shared" si="2"/>
        <v>60</v>
      </c>
      <c r="N41" s="10" t="str">
        <f t="shared" si="3"/>
        <v>3</v>
      </c>
      <c r="O41" s="1" t="s">
        <v>69</v>
      </c>
      <c r="P41" s="10">
        <f t="shared" si="4"/>
        <v>998776</v>
      </c>
      <c r="Q41" s="10">
        <f t="shared" si="5"/>
        <v>-3</v>
      </c>
      <c r="R41" s="10">
        <f t="shared" si="6"/>
        <v>3</v>
      </c>
    </row>
    <row r="42" spans="1:18">
      <c r="A42" s="10">
        <v>1</v>
      </c>
      <c r="B42" s="10">
        <v>7</v>
      </c>
      <c r="C42" s="10" t="s">
        <v>46</v>
      </c>
      <c r="D42" s="10" t="s">
        <v>47</v>
      </c>
      <c r="E42" s="14" t="s">
        <v>76</v>
      </c>
      <c r="F42" s="10" t="s">
        <v>14</v>
      </c>
      <c r="G42" s="10" t="s">
        <v>68</v>
      </c>
      <c r="H42" s="14" t="s">
        <v>52</v>
      </c>
      <c r="I42" s="10">
        <f>H3</f>
        <v>3</v>
      </c>
      <c r="J42" s="10">
        <f>H3</f>
        <v>3</v>
      </c>
      <c r="K42" s="10">
        <f>H3</f>
        <v>3</v>
      </c>
      <c r="L42" s="10">
        <v>20</v>
      </c>
      <c r="M42" s="10">
        <f t="shared" si="2"/>
        <v>60</v>
      </c>
      <c r="N42" s="10" t="str">
        <f t="shared" si="3"/>
        <v>3</v>
      </c>
      <c r="O42" s="1" t="s">
        <v>69</v>
      </c>
      <c r="P42" s="10">
        <f t="shared" si="4"/>
        <v>998776</v>
      </c>
      <c r="Q42" s="10">
        <f t="shared" si="5"/>
        <v>-3</v>
      </c>
      <c r="R42" s="10">
        <f t="shared" si="6"/>
        <v>3</v>
      </c>
    </row>
    <row r="43" spans="1:18">
      <c r="A43" s="10">
        <v>2</v>
      </c>
      <c r="B43" s="10">
        <v>1</v>
      </c>
      <c r="C43" s="10" t="s">
        <v>54</v>
      </c>
      <c r="D43" s="10" t="s">
        <v>55</v>
      </c>
      <c r="E43" s="14" t="s">
        <v>67</v>
      </c>
      <c r="F43" s="10" t="s">
        <v>14</v>
      </c>
      <c r="G43" s="10" t="s">
        <v>68</v>
      </c>
      <c r="H43" s="14" t="s">
        <v>52</v>
      </c>
      <c r="I43" s="10">
        <f>H3</f>
        <v>3</v>
      </c>
      <c r="J43" s="10">
        <f>H3</f>
        <v>3</v>
      </c>
      <c r="K43" s="10">
        <f>H3</f>
        <v>3</v>
      </c>
      <c r="L43" s="10">
        <v>20</v>
      </c>
      <c r="M43" s="10">
        <f t="shared" ref="M43:M58" si="7">L43*K43</f>
        <v>60</v>
      </c>
      <c r="N43" s="10" t="str">
        <f t="shared" ref="N43:N56" si="8">I18</f>
        <v>3</v>
      </c>
      <c r="O43" s="1" t="s">
        <v>99</v>
      </c>
      <c r="P43" s="10">
        <f t="shared" ref="P43:P56" si="9">O43-I43</f>
        <v>998773</v>
      </c>
      <c r="Q43" s="10">
        <f t="shared" ref="Q43:Q56" si="10">-I43</f>
        <v>-3</v>
      </c>
      <c r="R43" s="10">
        <f t="shared" ref="R43:R56" si="11">I43</f>
        <v>3</v>
      </c>
    </row>
    <row r="44" spans="1:18">
      <c r="A44" s="10">
        <v>2</v>
      </c>
      <c r="B44" s="10">
        <v>2</v>
      </c>
      <c r="C44" s="10" t="s">
        <v>54</v>
      </c>
      <c r="D44" s="10" t="s">
        <v>55</v>
      </c>
      <c r="E44" s="14" t="s">
        <v>71</v>
      </c>
      <c r="F44" s="10" t="s">
        <v>14</v>
      </c>
      <c r="G44" s="10" t="s">
        <v>68</v>
      </c>
      <c r="H44" s="14" t="s">
        <v>52</v>
      </c>
      <c r="I44" s="10">
        <f>H3</f>
        <v>3</v>
      </c>
      <c r="J44" s="10">
        <f>H3</f>
        <v>3</v>
      </c>
      <c r="K44" s="10">
        <f>H3</f>
        <v>3</v>
      </c>
      <c r="L44" s="10">
        <v>20</v>
      </c>
      <c r="M44" s="10">
        <f t="shared" si="7"/>
        <v>60</v>
      </c>
      <c r="N44" s="10" t="str">
        <f t="shared" si="8"/>
        <v>3</v>
      </c>
      <c r="O44" s="1" t="s">
        <v>99</v>
      </c>
      <c r="P44" s="10">
        <f t="shared" si="9"/>
        <v>998773</v>
      </c>
      <c r="Q44" s="10">
        <f t="shared" si="10"/>
        <v>-3</v>
      </c>
      <c r="R44" s="10">
        <f t="shared" si="11"/>
        <v>3</v>
      </c>
    </row>
    <row r="45" spans="1:18">
      <c r="A45" s="10">
        <v>2</v>
      </c>
      <c r="B45" s="10">
        <v>3</v>
      </c>
      <c r="C45" s="10" t="s">
        <v>54</v>
      </c>
      <c r="D45" s="10" t="s">
        <v>55</v>
      </c>
      <c r="E45" s="14" t="s">
        <v>72</v>
      </c>
      <c r="F45" s="10" t="s">
        <v>14</v>
      </c>
      <c r="G45" s="10" t="s">
        <v>68</v>
      </c>
      <c r="H45" s="14" t="s">
        <v>52</v>
      </c>
      <c r="I45" s="10">
        <f>H3</f>
        <v>3</v>
      </c>
      <c r="J45" s="10">
        <f>H3</f>
        <v>3</v>
      </c>
      <c r="K45" s="10">
        <f>H3</f>
        <v>3</v>
      </c>
      <c r="L45" s="10">
        <v>20</v>
      </c>
      <c r="M45" s="10">
        <f t="shared" si="7"/>
        <v>60</v>
      </c>
      <c r="N45" s="10" t="str">
        <f t="shared" si="8"/>
        <v>3</v>
      </c>
      <c r="O45" s="1" t="s">
        <v>99</v>
      </c>
      <c r="P45" s="10">
        <f t="shared" si="9"/>
        <v>998773</v>
      </c>
      <c r="Q45" s="10">
        <f t="shared" si="10"/>
        <v>-3</v>
      </c>
      <c r="R45" s="10">
        <f t="shared" si="11"/>
        <v>3</v>
      </c>
    </row>
    <row r="46" spans="1:18">
      <c r="A46" s="10">
        <v>2</v>
      </c>
      <c r="B46" s="10">
        <v>4</v>
      </c>
      <c r="C46" s="10" t="s">
        <v>54</v>
      </c>
      <c r="D46" s="10" t="s">
        <v>55</v>
      </c>
      <c r="E46" s="14" t="s">
        <v>73</v>
      </c>
      <c r="F46" s="10" t="s">
        <v>14</v>
      </c>
      <c r="G46" s="10" t="s">
        <v>68</v>
      </c>
      <c r="H46" s="14" t="s">
        <v>52</v>
      </c>
      <c r="I46" s="10">
        <f>H3</f>
        <v>3</v>
      </c>
      <c r="J46" s="10">
        <f>H3</f>
        <v>3</v>
      </c>
      <c r="K46" s="10">
        <f>H3</f>
        <v>3</v>
      </c>
      <c r="L46" s="10">
        <v>20</v>
      </c>
      <c r="M46" s="10">
        <f t="shared" si="7"/>
        <v>60</v>
      </c>
      <c r="N46" s="10" t="str">
        <f t="shared" si="8"/>
        <v>3</v>
      </c>
      <c r="O46" s="1" t="s">
        <v>99</v>
      </c>
      <c r="P46" s="10">
        <f t="shared" si="9"/>
        <v>998773</v>
      </c>
      <c r="Q46" s="10">
        <f t="shared" si="10"/>
        <v>-3</v>
      </c>
      <c r="R46" s="10">
        <f t="shared" si="11"/>
        <v>3</v>
      </c>
    </row>
    <row r="47" spans="1:18">
      <c r="A47" s="10">
        <v>2</v>
      </c>
      <c r="B47" s="10">
        <v>5</v>
      </c>
      <c r="C47" s="10" t="s">
        <v>54</v>
      </c>
      <c r="D47" s="10" t="s">
        <v>55</v>
      </c>
      <c r="E47" s="14" t="s">
        <v>74</v>
      </c>
      <c r="F47" s="10" t="s">
        <v>14</v>
      </c>
      <c r="G47" s="10" t="s">
        <v>68</v>
      </c>
      <c r="H47" s="14" t="s">
        <v>52</v>
      </c>
      <c r="I47" s="10">
        <f>H3</f>
        <v>3</v>
      </c>
      <c r="J47" s="10">
        <f>H3</f>
        <v>3</v>
      </c>
      <c r="K47" s="10">
        <f>H3</f>
        <v>3</v>
      </c>
      <c r="L47" s="10">
        <v>20</v>
      </c>
      <c r="M47" s="10">
        <f t="shared" si="7"/>
        <v>60</v>
      </c>
      <c r="N47" s="10" t="str">
        <f t="shared" si="8"/>
        <v>3</v>
      </c>
      <c r="O47" s="1" t="s">
        <v>99</v>
      </c>
      <c r="P47" s="10">
        <f t="shared" si="9"/>
        <v>998773</v>
      </c>
      <c r="Q47" s="10">
        <f t="shared" si="10"/>
        <v>-3</v>
      </c>
      <c r="R47" s="10">
        <f t="shared" si="11"/>
        <v>3</v>
      </c>
    </row>
    <row r="48" spans="1:18">
      <c r="A48" s="10">
        <v>2</v>
      </c>
      <c r="B48" s="10">
        <v>6</v>
      </c>
      <c r="C48" s="10" t="s">
        <v>54</v>
      </c>
      <c r="D48" s="10" t="s">
        <v>55</v>
      </c>
      <c r="E48" s="14" t="s">
        <v>75</v>
      </c>
      <c r="F48" s="10" t="s">
        <v>14</v>
      </c>
      <c r="G48" s="10" t="s">
        <v>68</v>
      </c>
      <c r="H48" s="14" t="s">
        <v>52</v>
      </c>
      <c r="I48" s="10">
        <f>H3</f>
        <v>3</v>
      </c>
      <c r="J48" s="10">
        <f>H3</f>
        <v>3</v>
      </c>
      <c r="K48" s="10">
        <f>H3</f>
        <v>3</v>
      </c>
      <c r="L48" s="10">
        <v>20</v>
      </c>
      <c r="M48" s="10">
        <f t="shared" si="7"/>
        <v>60</v>
      </c>
      <c r="N48" s="10" t="str">
        <f t="shared" si="8"/>
        <v>3</v>
      </c>
      <c r="O48" s="1" t="s">
        <v>99</v>
      </c>
      <c r="P48" s="10">
        <f t="shared" si="9"/>
        <v>998773</v>
      </c>
      <c r="Q48" s="10">
        <f t="shared" si="10"/>
        <v>-3</v>
      </c>
      <c r="R48" s="10">
        <f t="shared" si="11"/>
        <v>3</v>
      </c>
    </row>
    <row r="49" spans="1:18">
      <c r="A49" s="10">
        <v>2</v>
      </c>
      <c r="B49" s="10">
        <v>7</v>
      </c>
      <c r="C49" s="10" t="s">
        <v>54</v>
      </c>
      <c r="D49" s="10" t="s">
        <v>55</v>
      </c>
      <c r="E49" s="14" t="s">
        <v>76</v>
      </c>
      <c r="F49" s="10" t="s">
        <v>14</v>
      </c>
      <c r="G49" s="10" t="s">
        <v>68</v>
      </c>
      <c r="H49" s="14" t="s">
        <v>52</v>
      </c>
      <c r="I49" s="10">
        <f>H3</f>
        <v>3</v>
      </c>
      <c r="J49" s="10">
        <f>H3</f>
        <v>3</v>
      </c>
      <c r="K49" s="10">
        <f>H3</f>
        <v>3</v>
      </c>
      <c r="L49" s="10">
        <v>20</v>
      </c>
      <c r="M49" s="10">
        <f t="shared" si="7"/>
        <v>60</v>
      </c>
      <c r="N49" s="10" t="str">
        <f t="shared" si="8"/>
        <v>3</v>
      </c>
      <c r="O49" s="1" t="s">
        <v>99</v>
      </c>
      <c r="P49" s="10">
        <f t="shared" si="9"/>
        <v>998773</v>
      </c>
      <c r="Q49" s="10">
        <f t="shared" si="10"/>
        <v>-3</v>
      </c>
      <c r="R49" s="10">
        <f t="shared" si="11"/>
        <v>3</v>
      </c>
    </row>
    <row r="50" spans="1:18">
      <c r="A50" s="10">
        <v>3</v>
      </c>
      <c r="B50" s="10">
        <v>1</v>
      </c>
      <c r="C50" s="10" t="s">
        <v>56</v>
      </c>
      <c r="D50" s="10" t="s">
        <v>57</v>
      </c>
      <c r="E50" s="14" t="s">
        <v>67</v>
      </c>
      <c r="F50" s="10" t="s">
        <v>14</v>
      </c>
      <c r="G50" s="10" t="s">
        <v>68</v>
      </c>
      <c r="H50" s="14" t="s">
        <v>52</v>
      </c>
      <c r="I50" s="10">
        <f>H3</f>
        <v>3</v>
      </c>
      <c r="J50" s="10">
        <f>H3</f>
        <v>3</v>
      </c>
      <c r="K50" s="10">
        <f>H3</f>
        <v>3</v>
      </c>
      <c r="L50" s="10">
        <v>20</v>
      </c>
      <c r="M50" s="10">
        <f t="shared" si="7"/>
        <v>60</v>
      </c>
      <c r="N50" s="10" t="str">
        <f t="shared" si="8"/>
        <v>3</v>
      </c>
      <c r="O50" s="1" t="s">
        <v>102</v>
      </c>
      <c r="P50" s="10">
        <f t="shared" si="9"/>
        <v>998770</v>
      </c>
      <c r="Q50" s="10">
        <f t="shared" si="10"/>
        <v>-3</v>
      </c>
      <c r="R50" s="10">
        <f t="shared" si="11"/>
        <v>3</v>
      </c>
    </row>
    <row r="51" spans="1:18">
      <c r="A51" s="10">
        <v>3</v>
      </c>
      <c r="B51" s="10">
        <v>2</v>
      </c>
      <c r="C51" s="10" t="s">
        <v>56</v>
      </c>
      <c r="D51" s="10" t="s">
        <v>57</v>
      </c>
      <c r="E51" s="14" t="s">
        <v>71</v>
      </c>
      <c r="F51" s="10" t="s">
        <v>14</v>
      </c>
      <c r="G51" s="10" t="s">
        <v>68</v>
      </c>
      <c r="H51" s="14" t="s">
        <v>52</v>
      </c>
      <c r="I51" s="10">
        <f>H3</f>
        <v>3</v>
      </c>
      <c r="J51" s="10">
        <f>H3</f>
        <v>3</v>
      </c>
      <c r="K51" s="10">
        <f>H3</f>
        <v>3</v>
      </c>
      <c r="L51" s="10">
        <v>20</v>
      </c>
      <c r="M51" s="10">
        <f t="shared" si="7"/>
        <v>60</v>
      </c>
      <c r="N51" s="10" t="str">
        <f t="shared" si="8"/>
        <v>3</v>
      </c>
      <c r="O51" s="1" t="s">
        <v>102</v>
      </c>
      <c r="P51" s="10">
        <f t="shared" si="9"/>
        <v>998770</v>
      </c>
      <c r="Q51" s="10">
        <f t="shared" si="10"/>
        <v>-3</v>
      </c>
      <c r="R51" s="10">
        <f t="shared" si="11"/>
        <v>3</v>
      </c>
    </row>
    <row r="52" spans="1:18">
      <c r="A52" s="10">
        <v>3</v>
      </c>
      <c r="B52" s="10">
        <v>3</v>
      </c>
      <c r="C52" s="10" t="s">
        <v>56</v>
      </c>
      <c r="D52" s="10" t="s">
        <v>57</v>
      </c>
      <c r="E52" s="14" t="s">
        <v>72</v>
      </c>
      <c r="F52" s="10" t="s">
        <v>14</v>
      </c>
      <c r="G52" s="10" t="s">
        <v>68</v>
      </c>
      <c r="H52" s="14" t="s">
        <v>52</v>
      </c>
      <c r="I52" s="10">
        <f>H3</f>
        <v>3</v>
      </c>
      <c r="J52" s="10">
        <f>H3</f>
        <v>3</v>
      </c>
      <c r="K52" s="10">
        <f>H3</f>
        <v>3</v>
      </c>
      <c r="L52" s="10">
        <v>20</v>
      </c>
      <c r="M52" s="10">
        <f t="shared" si="7"/>
        <v>60</v>
      </c>
      <c r="N52" s="10" t="str">
        <f t="shared" si="8"/>
        <v>3</v>
      </c>
      <c r="O52" s="1" t="s">
        <v>102</v>
      </c>
      <c r="P52" s="10">
        <f t="shared" si="9"/>
        <v>998770</v>
      </c>
      <c r="Q52" s="10">
        <f t="shared" si="10"/>
        <v>-3</v>
      </c>
      <c r="R52" s="10">
        <f t="shared" si="11"/>
        <v>3</v>
      </c>
    </row>
    <row r="53" spans="1:18">
      <c r="A53" s="10">
        <v>3</v>
      </c>
      <c r="B53" s="10">
        <v>4</v>
      </c>
      <c r="C53" s="10" t="s">
        <v>56</v>
      </c>
      <c r="D53" s="10" t="s">
        <v>57</v>
      </c>
      <c r="E53" s="14" t="s">
        <v>73</v>
      </c>
      <c r="F53" s="10" t="s">
        <v>14</v>
      </c>
      <c r="G53" s="10" t="s">
        <v>68</v>
      </c>
      <c r="H53" s="14" t="s">
        <v>52</v>
      </c>
      <c r="I53" s="10">
        <f>H3</f>
        <v>3</v>
      </c>
      <c r="J53" s="10">
        <f>H3</f>
        <v>3</v>
      </c>
      <c r="K53" s="10">
        <f>H3</f>
        <v>3</v>
      </c>
      <c r="L53" s="10">
        <v>20</v>
      </c>
      <c r="M53" s="10">
        <f t="shared" si="7"/>
        <v>60</v>
      </c>
      <c r="N53" s="10" t="str">
        <f t="shared" si="8"/>
        <v>3</v>
      </c>
      <c r="O53" s="1" t="s">
        <v>102</v>
      </c>
      <c r="P53" s="10">
        <f t="shared" si="9"/>
        <v>998770</v>
      </c>
      <c r="Q53" s="10">
        <f t="shared" si="10"/>
        <v>-3</v>
      </c>
      <c r="R53" s="10">
        <f t="shared" si="11"/>
        <v>3</v>
      </c>
    </row>
    <row r="54" spans="1:18">
      <c r="A54" s="10">
        <v>3</v>
      </c>
      <c r="B54" s="10">
        <v>5</v>
      </c>
      <c r="C54" s="10" t="s">
        <v>56</v>
      </c>
      <c r="D54" s="10" t="s">
        <v>57</v>
      </c>
      <c r="E54" s="14" t="s">
        <v>74</v>
      </c>
      <c r="F54" s="10" t="s">
        <v>14</v>
      </c>
      <c r="G54" s="10" t="s">
        <v>68</v>
      </c>
      <c r="H54" s="14" t="s">
        <v>52</v>
      </c>
      <c r="I54" s="10">
        <f>H3</f>
        <v>3</v>
      </c>
      <c r="J54" s="10">
        <f>H3</f>
        <v>3</v>
      </c>
      <c r="K54" s="10">
        <f>H3</f>
        <v>3</v>
      </c>
      <c r="L54" s="10">
        <v>20</v>
      </c>
      <c r="M54" s="10">
        <f t="shared" si="7"/>
        <v>60</v>
      </c>
      <c r="N54" s="10" t="str">
        <f t="shared" si="8"/>
        <v>3</v>
      </c>
      <c r="O54" s="1" t="s">
        <v>102</v>
      </c>
      <c r="P54" s="10">
        <f t="shared" si="9"/>
        <v>998770</v>
      </c>
      <c r="Q54" s="10">
        <f t="shared" si="10"/>
        <v>-3</v>
      </c>
      <c r="R54" s="10">
        <f t="shared" si="11"/>
        <v>3</v>
      </c>
    </row>
    <row r="55" spans="1:18">
      <c r="A55" s="10">
        <v>3</v>
      </c>
      <c r="B55" s="10">
        <v>6</v>
      </c>
      <c r="C55" s="10" t="s">
        <v>56</v>
      </c>
      <c r="D55" s="10" t="s">
        <v>57</v>
      </c>
      <c r="E55" s="14" t="s">
        <v>75</v>
      </c>
      <c r="F55" s="10" t="s">
        <v>14</v>
      </c>
      <c r="G55" s="10" t="s">
        <v>68</v>
      </c>
      <c r="H55" s="14" t="s">
        <v>52</v>
      </c>
      <c r="I55" s="10">
        <f>H3</f>
        <v>3</v>
      </c>
      <c r="J55" s="10">
        <f>H3</f>
        <v>3</v>
      </c>
      <c r="K55" s="10">
        <f>H3</f>
        <v>3</v>
      </c>
      <c r="L55" s="10">
        <v>20</v>
      </c>
      <c r="M55" s="10">
        <f t="shared" si="7"/>
        <v>60</v>
      </c>
      <c r="N55" s="10" t="str">
        <f t="shared" si="8"/>
        <v>3</v>
      </c>
      <c r="O55" s="1" t="s">
        <v>102</v>
      </c>
      <c r="P55" s="10">
        <f t="shared" si="9"/>
        <v>998770</v>
      </c>
      <c r="Q55" s="10">
        <f t="shared" si="10"/>
        <v>-3</v>
      </c>
      <c r="R55" s="10">
        <f t="shared" si="11"/>
        <v>3</v>
      </c>
    </row>
    <row r="56" spans="1:18">
      <c r="A56" s="10">
        <v>3</v>
      </c>
      <c r="B56" s="10">
        <v>7</v>
      </c>
      <c r="C56" s="10" t="s">
        <v>56</v>
      </c>
      <c r="D56" s="10" t="s">
        <v>57</v>
      </c>
      <c r="E56" s="14" t="s">
        <v>76</v>
      </c>
      <c r="F56" s="10" t="s">
        <v>14</v>
      </c>
      <c r="G56" s="10" t="s">
        <v>68</v>
      </c>
      <c r="H56" s="14" t="s">
        <v>52</v>
      </c>
      <c r="I56" s="10">
        <f>H3</f>
        <v>3</v>
      </c>
      <c r="J56" s="10">
        <f>H3</f>
        <v>3</v>
      </c>
      <c r="K56" s="10">
        <f>H3</f>
        <v>3</v>
      </c>
      <c r="L56" s="10">
        <v>20</v>
      </c>
      <c r="M56" s="10">
        <f t="shared" si="7"/>
        <v>60</v>
      </c>
      <c r="N56" s="10" t="str">
        <f t="shared" si="8"/>
        <v>3</v>
      </c>
      <c r="O56" s="1" t="s">
        <v>102</v>
      </c>
      <c r="P56" s="10">
        <f t="shared" si="9"/>
        <v>998770</v>
      </c>
      <c r="Q56" s="10">
        <f t="shared" si="10"/>
        <v>-3</v>
      </c>
      <c r="R56" s="10">
        <f t="shared" si="11"/>
        <v>3</v>
      </c>
    </row>
    <row r="57" spans="1:18">
      <c r="A57" s="10" t="s">
        <v>100</v>
      </c>
      <c r="B57" s="10"/>
      <c r="C57" s="10" t="s">
        <v>54</v>
      </c>
      <c r="D57" s="10" t="s">
        <v>55</v>
      </c>
      <c r="E57" s="9" t="s">
        <v>18</v>
      </c>
      <c r="F57" s="10" t="s">
        <v>14</v>
      </c>
      <c r="G57" s="10" t="s">
        <v>52</v>
      </c>
      <c r="H57" s="14" t="s">
        <v>52</v>
      </c>
      <c r="I57" s="10">
        <f>H3</f>
        <v>3</v>
      </c>
      <c r="J57" s="10">
        <f>H3</f>
        <v>3</v>
      </c>
      <c r="K57" s="10">
        <f>H3</f>
        <v>3</v>
      </c>
      <c r="L57" s="10">
        <v>280</v>
      </c>
      <c r="M57" s="10">
        <f t="shared" si="7"/>
        <v>840</v>
      </c>
      <c r="N57" s="10"/>
      <c r="O57" s="10"/>
      <c r="P57" s="10"/>
      <c r="Q57" s="10"/>
      <c r="R57" s="10"/>
    </row>
    <row r="58" spans="1:18">
      <c r="A58" s="10" t="s">
        <v>100</v>
      </c>
      <c r="B58" s="10"/>
      <c r="C58" s="10" t="s">
        <v>46</v>
      </c>
      <c r="D58" s="10" t="s">
        <v>47</v>
      </c>
      <c r="E58" s="9" t="s">
        <v>18</v>
      </c>
      <c r="F58" s="10" t="s">
        <v>14</v>
      </c>
      <c r="G58" s="10" t="s">
        <v>52</v>
      </c>
      <c r="H58" s="14" t="s">
        <v>52</v>
      </c>
      <c r="I58" s="10">
        <f>H3</f>
        <v>3</v>
      </c>
      <c r="J58" s="10">
        <f>H3</f>
        <v>3</v>
      </c>
      <c r="K58" s="10">
        <f>H3</f>
        <v>3</v>
      </c>
      <c r="L58" s="10">
        <v>140</v>
      </c>
      <c r="M58" s="10">
        <f t="shared" si="7"/>
        <v>420</v>
      </c>
      <c r="N58" s="10"/>
      <c r="O58" s="10"/>
      <c r="P58" s="10"/>
      <c r="Q58" s="10"/>
      <c r="R58" s="10"/>
    </row>
    <row r="59" spans="1:18">
      <c r="A59" s="20" t="s">
        <v>96</v>
      </c>
      <c r="B59" s="20">
        <v>1</v>
      </c>
      <c r="C59" s="20" t="s">
        <v>56</v>
      </c>
      <c r="D59" s="20"/>
      <c r="E59" s="20"/>
      <c r="F59" s="21"/>
      <c r="G59" s="20"/>
      <c r="H59" s="21" t="s">
        <v>52</v>
      </c>
      <c r="I59" s="21">
        <v>3</v>
      </c>
      <c r="J59" s="20">
        <v>3</v>
      </c>
      <c r="K59" s="20"/>
      <c r="L59" s="20">
        <f>SUM(L36:L58)</f>
        <v>840</v>
      </c>
      <c r="M59" s="22">
        <f>SUM(M36:M58)</f>
        <v>2520</v>
      </c>
      <c r="N59" s="22">
        <v>111</v>
      </c>
      <c r="O59" s="20" t="s">
        <v>97</v>
      </c>
      <c r="P59" s="20"/>
      <c r="Q59" s="20"/>
      <c r="R59" s="20"/>
    </row>
    <row r="60" spans="1:18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2" spans="1:18">
      <c r="K62" s="11" t="s">
        <v>89</v>
      </c>
      <c r="L62" s="11">
        <f>L63/H3</f>
        <v>840</v>
      </c>
    </row>
    <row r="63" spans="1:18">
      <c r="K63" s="11" t="s">
        <v>103</v>
      </c>
      <c r="L63" s="11">
        <f>M59+AG7</f>
        <v>2520</v>
      </c>
    </row>
  </sheetData>
  <mergeCells count="6">
    <mergeCell ref="A1:M1"/>
    <mergeCell ref="A4:L4"/>
    <mergeCell ref="V4:AG4"/>
    <mergeCell ref="A9:L9"/>
    <mergeCell ref="A33:R33"/>
    <mergeCell ref="A34:R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ProdOrder-Single(Inside)</vt:lpstr>
      <vt:lpstr>ProdOrder-Multiple(Inside)</vt:lpstr>
      <vt:lpstr>ProdOrder-Item(Inside)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2026-02-26T06:42:00Z</dcterms:created>
  <dcterms:modified xsi:type="dcterms:W3CDTF">2026-04-01T13:02:23Z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CCA82DF1BD1944F4BD79724D585741A4_13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