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1" activeTab="14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<sst xmlns="http://schemas.openxmlformats.org/spreadsheetml/2006/main" count="9562" uniqueCount="224">
  <si>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</si>
  <si>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</si>
  <si>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</si>
  <si>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</si>
  <si>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</si>
  <si>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</si>
  <si>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</si>
  <si>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</si>
  <si>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</si>
  <si>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</si>
  <si>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</si>
  <si>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</si>
  <si>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</si>
  <si>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</si>
  <si>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</si>
  <si>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</si>
  <si>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</si>
  <si>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</si>
  <si>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</si>
  <si>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</si>
  <si>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195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</si>
  <si>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</si>
  <si>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</si>
  <si>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</si>
  <si>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</si>
  <si>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</si>
  <si>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</si>
  <si>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</si>
  <si>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</si>
  <si>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</si>
  <si>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</si>
  <si>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</si>
  <si>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</si>
  <si>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</si>
  <si>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</si>
  <si>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</si>
  <si>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</si>
  <si>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</si>
  <si>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</si>
  <si>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</si>
  <si>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</si>
  <si>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</si>
  <si>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</si>
  <si>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</si>
  <si>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</si>
  <si>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</si>
  <si>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</si>
  <si>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</si>
  <si>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</si>
  <si>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</si>
  <si>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</si>
  <si>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</si>
  <si>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</si>
  <si>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</si>
  <si>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</si>
  <si>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</si>
  <si>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</si>
  <si>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</si>
  <si>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</si>
  <si>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</si>
  <si>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</si>
  <si>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</si>
  <si>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</si>
  <si>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</si>
  <si>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</si>
  <si>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</si>
  <si>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</si>
  <si>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</si>
  <si>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</si>
  <si>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998594</t>
  </si>
  <si>
    <t>0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</si>
  <si>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</si>
  <si>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</si>
  <si>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</si>
  <si>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</si>
  <si>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</si>
  <si>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</si>
  <si>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GWL-FIFO-LOT-BATCH-10002(RM)</t>
  </si>
  <si>
    <t>3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</si>
  <si>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</si>
  <si>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</si>
  <si>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</si>
  <si>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</si>
  <si>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</si>
  <si>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</si>
  <si>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</si>
  <si>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</si>
  <si>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</si>
  <si>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</si>
  <si>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</si>
  <si>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</si>
  <si>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</si>
  <si>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</si>
  <si>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</si>
  <si>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</si>
  <si>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</si>
  <si>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</si>
  <si>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</si>
  <si>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</si>
  <si>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</si>
  <si>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</si>
  <si>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</si>
  <si>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</si>
  <si>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</si>
  <si>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</si>
  <si>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</si>
  <si>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</si>
  <si>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</si>
  <si>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</si>
  <si>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</si>
  <si>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</si>
  <si>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998779</t>
  </si>
  <si>
    <t>Completion</t>
  </si>
  <si>
    <t xml:space="preserve"> &lt;- Target SF Code</t>
  </si>
  <si>
    <t>Process - 2</t>
  </si>
  <si>
    <t>998776</t>
  </si>
  <si>
    <t>SFG</t>
  </si>
  <si>
    <t>Process - 3</t>
  </si>
  <si>
    <t>998773</t>
  </si>
  <si>
    <t>Overall Cost</t>
  </si>
  <si>
    <t>186</t>
  </si>
  <si>
    <t>Process - 2 &amp; 3</t>
  </si>
  <si>
    <t>Process - 1, 2 &amp; 3</t>
  </si>
  <si>
    <t>BOM-2627-0000125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</si>
  <si>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</si>
  <si>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</si>
  <si>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</si>
  <si>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</si>
  <si>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</si>
  <si>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</si>
  <si>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</si>
  <si>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</si>
  <si>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</si>
  <si>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</si>
  <si>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</si>
  <si>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</si>
  <si>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</si>
  <si>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</si>
  <si>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</si>
  <si>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</si>
  <si>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</si>
  <si>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</si>
  <si>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</si>
  <si>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</si>
  <si>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</si>
  <si>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</si>
  <si>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</si>
  <si>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</si>
  <si>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</si>
  <si>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</si>
  <si>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</si>
  <si>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</si>
  <si>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</si>
  <si>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</si>
  <si>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</si>
  <si>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000</t>
  </si>
  <si>
    <t>Total</t>
  </si>
  <si>
    <t>Process - 2&amp; 3</t>
  </si>
  <si>
    <t>BOM-2627-0000126</t>
  </si>
  <si>
    <t>BOM-2627-0000127</t>
  </si>
  <si>
    <t>BOM-2627-0000128</t>
  </si>
  <si>
    <t>998591</t>
  </si>
  <si>
    <t>99997</t>
  </si>
  <si>
    <t>100000</t>
  </si>
  <si>
    <t>198</t>
  </si>
  <si>
    <t>998588</t>
  </si>
  <si>
    <t>998585</t>
  </si>
  <si>
    <t>998582</t>
  </si>
  <si>
    <t>998579</t>
  </si>
  <si>
    <t>998576</t>
  </si>
  <si>
    <t>99994</t>
  </si>
  <si>
    <t>998573</t>
  </si>
  <si>
    <t>998570</t>
  </si>
  <si>
    <t>998567</t>
  </si>
  <si>
    <t>998564</t>
  </si>
  <si>
    <t>998561</t>
  </si>
  <si>
    <t>99991</t>
  </si>
  <si>
    <t>998558</t>
  </si>
  <si>
    <t>998555</t>
  </si>
  <si>
    <t>998552</t>
  </si>
  <si>
    <t>998549</t>
  </si>
  <si>
    <t>998546</t>
  </si>
  <si>
    <t>99988</t>
  </si>
  <si>
    <t>998543</t>
  </si>
  <si>
    <t>99985</t>
  </si>
  <si>
    <t>998540</t>
  </si>
  <si>
    <t>998537</t>
  </si>
  <si>
    <t>998534</t>
  </si>
  <si>
    <t>998531</t>
  </si>
  <si>
    <t>998528</t>
  </si>
  <si>
    <t>99982</t>
  </si>
  <si>
    <t>998525</t>
  </si>
  <si>
    <t>99979</t>
  </si>
  <si>
    <t>998522</t>
  </si>
  <si>
    <t>998519</t>
  </si>
  <si>
    <t>998516</t>
  </si>
  <si>
    <t>998513</t>
  </si>
  <si>
    <t>998510</t>
  </si>
  <si>
    <t>99976</t>
  </si>
  <si>
    <t>998507</t>
  </si>
  <si>
    <t>208</t>
  </si>
  <si>
    <t>998487</t>
  </si>
  <si>
    <t>99963</t>
  </si>
  <si>
    <t>99966</t>
  </si>
  <si>
    <t>998484</t>
  </si>
  <si>
    <t>998481</t>
  </si>
  <si>
    <t>998478</t>
  </si>
  <si>
    <t>998475</t>
  </si>
  <si>
    <t>998472</t>
  </si>
  <si>
    <t>998469</t>
  </si>
  <si>
    <t>998466</t>
  </si>
  <si>
    <t>998463</t>
  </si>
  <si>
    <t>99960</t>
  </si>
  <si>
    <t>998460</t>
  </si>
  <si>
    <t>99957</t>
  </si>
  <si>
    <t>998457</t>
  </si>
  <si>
    <t>998454</t>
  </si>
  <si>
    <t>6</t>
  </si>
  <si>
    <t>9</t>
  </si>
  <si>
    <t>998451</t>
  </si>
  <si>
    <t>12</t>
  </si>
  <si>
    <t>15</t>
  </si>
  <si>
    <t>998448</t>
  </si>
  <si>
    <t>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</si>
</sst>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haredStrings.xml" Type="http://schemas.openxmlformats.org/officeDocument/2006/relationships/sharedStrings"/><Relationship Id="rId18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workbookViewId="0">
      <selection activeCell="E6" sqref="E6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200</v>
      </c>
      <c r="J3" s="8">
        <f>I3+H3</f>
        <v>186</v>
      </c>
      <c r="K3" t="s" s="1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219</v>
      </c>
      <c r="I11" t="s" s="1">
        <v>221</v>
      </c>
      <c r="J11" s="8">
        <f>H11-I11</f>
        <v>998833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219</v>
      </c>
      <c r="I12" t="s" s="1">
        <v>221</v>
      </c>
      <c r="J12" s="8">
        <f>H12-I12</f>
        <v>998908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219</v>
      </c>
      <c r="I13" t="s" s="1">
        <v>221</v>
      </c>
      <c r="J13" s="8">
        <f>H13-I13</f>
        <v>998908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219</v>
      </c>
      <c r="I14" t="s" s="1">
        <v>221</v>
      </c>
      <c r="J14" s="8">
        <f>H14-I14</f>
        <v>998908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219</v>
      </c>
      <c r="I15" t="s" s="1">
        <v>221</v>
      </c>
      <c r="J15" s="8">
        <f t="shared" ref="J12:J31" si="0">H15-I15</f>
        <v>998833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219</v>
      </c>
      <c r="I16" t="s" s="1">
        <v>221</v>
      </c>
      <c r="J16" s="8">
        <f t="shared" si="0"/>
        <v>998833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219</v>
      </c>
      <c r="I17" t="s" s="1">
        <v>221</v>
      </c>
      <c r="J17" s="8">
        <f t="shared" si="0"/>
        <v>998833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>J11</f>
        <v>998833</v>
      </c>
      <c r="I18" t="s" s="1">
        <v>78</v>
      </c>
      <c r="J18" s="8">
        <f t="shared" si="0"/>
        <v>998833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ref="H19:H25" si="1">J12</f>
        <v>998908</v>
      </c>
      <c r="I19" t="s" s="1">
        <v>78</v>
      </c>
      <c r="J19" s="8">
        <f t="shared" si="0"/>
        <v>998908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998908</v>
      </c>
      <c r="I20" t="s" s="1">
        <v>78</v>
      </c>
      <c r="J20" s="8">
        <f t="shared" si="0"/>
        <v>998908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998908</v>
      </c>
      <c r="I21" t="s" s="1">
        <v>78</v>
      </c>
      <c r="J21" s="8">
        <f t="shared" si="0"/>
        <v>998908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998833</v>
      </c>
      <c r="I22" t="s" s="1">
        <v>78</v>
      </c>
      <c r="J22" s="8">
        <f t="shared" si="0"/>
        <v>998833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998833</v>
      </c>
      <c r="I23" t="s" s="1">
        <v>78</v>
      </c>
      <c r="J23" s="8">
        <f t="shared" si="0"/>
        <v>998833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998833</v>
      </c>
      <c r="I24" t="s" s="1">
        <v>78</v>
      </c>
      <c r="J24" s="8">
        <f t="shared" si="0"/>
        <v>998833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998833</v>
      </c>
      <c r="I25" t="s" s="1">
        <v>78</v>
      </c>
      <c r="J25" s="8">
        <f t="shared" si="0"/>
        <v>998833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ref="H26:H31" si="2">J19</f>
        <v>998908</v>
      </c>
      <c r="I26" t="s" s="1">
        <v>78</v>
      </c>
      <c r="J26" s="8">
        <f t="shared" si="0"/>
        <v>998908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2"/>
        <v>998908</v>
      </c>
      <c r="I27" t="s" s="1">
        <v>78</v>
      </c>
      <c r="J27" s="8">
        <f t="shared" si="0"/>
        <v>998908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2"/>
        <v>998908</v>
      </c>
      <c r="I28" t="s" s="1">
        <v>78</v>
      </c>
      <c r="J28" s="8">
        <f t="shared" si="0"/>
        <v>998908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2"/>
        <v>998833</v>
      </c>
      <c r="I29" t="s" s="1">
        <v>78</v>
      </c>
      <c r="J29" s="8">
        <f t="shared" si="0"/>
        <v>998833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2"/>
        <v>998833</v>
      </c>
      <c r="I30" t="s" s="1">
        <v>78</v>
      </c>
      <c r="J30" s="8">
        <f t="shared" si="0"/>
        <v>998833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2"/>
        <v>998833</v>
      </c>
      <c r="I31" t="s" s="1">
        <v>78</v>
      </c>
      <c r="J31" s="49">
        <f t="shared" si="0"/>
        <v>998833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93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3">L36*K36</f>
        <v>60</v>
      </c>
      <c r="N36" s="8" t="str">
        <f t="shared" ref="N36:N42" si="4">I11</f>
        <v>3</v>
      </c>
      <c r="O36" t="s" s="1">
        <v>219</v>
      </c>
      <c r="P36" s="8">
        <f>O36-I36</f>
        <v>-3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3"/>
        <v>60</v>
      </c>
      <c r="N37" s="8" t="str">
        <f t="shared" si="4"/>
        <v>3</v>
      </c>
      <c r="O37" t="s" s="1">
        <v>219</v>
      </c>
      <c r="P37" s="8">
        <f t="shared" ref="P37:P42" si="5">O37-I37</f>
        <v>-3</v>
      </c>
      <c r="Q37" s="8">
        <f t="shared" ref="Q37:Q42" si="6">-I37</f>
        <v>-3</v>
      </c>
      <c r="R37" s="8">
        <f t="shared" ref="R37:R42" si="7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3"/>
        <v>60</v>
      </c>
      <c r="N38" s="8" t="str">
        <f t="shared" si="4"/>
        <v>3</v>
      </c>
      <c r="O38" t="s" s="1">
        <v>219</v>
      </c>
      <c r="P38" s="8">
        <f t="shared" si="5"/>
        <v>-3</v>
      </c>
      <c r="Q38" s="8">
        <f t="shared" si="6"/>
        <v>-3</v>
      </c>
      <c r="R38" s="8">
        <f t="shared" si="7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3"/>
        <v>60</v>
      </c>
      <c r="N39" s="8" t="str">
        <f t="shared" si="4"/>
        <v>3</v>
      </c>
      <c r="O39" t="s" s="1">
        <v>219</v>
      </c>
      <c r="P39" s="8">
        <f t="shared" si="5"/>
        <v>-3</v>
      </c>
      <c r="Q39" s="8">
        <f t="shared" si="6"/>
        <v>-3</v>
      </c>
      <c r="R39" s="8">
        <f t="shared" si="7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3"/>
        <v>60</v>
      </c>
      <c r="N40" s="8" t="str">
        <f t="shared" si="4"/>
        <v>3</v>
      </c>
      <c r="O40" t="s" s="1">
        <v>219</v>
      </c>
      <c r="P40" s="8">
        <f t="shared" si="5"/>
        <v>-3</v>
      </c>
      <c r="Q40" s="8">
        <f t="shared" si="6"/>
        <v>-3</v>
      </c>
      <c r="R40" s="8">
        <f t="shared" si="7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3"/>
        <v>60</v>
      </c>
      <c r="N41" s="8" t="str">
        <f t="shared" si="4"/>
        <v>3</v>
      </c>
      <c r="O41" t="s" s="1">
        <v>219</v>
      </c>
      <c r="P41" s="8">
        <f t="shared" si="5"/>
        <v>-3</v>
      </c>
      <c r="Q41" s="8">
        <f t="shared" si="6"/>
        <v>-3</v>
      </c>
      <c r="R41" s="8">
        <f t="shared" si="7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3"/>
        <v>60</v>
      </c>
      <c r="N42" s="8" t="str">
        <f t="shared" si="4"/>
        <v>3</v>
      </c>
      <c r="O42" t="s" s="1">
        <v>219</v>
      </c>
      <c r="P42" s="8">
        <f t="shared" si="5"/>
        <v>-3</v>
      </c>
      <c r="Q42" s="8">
        <f t="shared" si="6"/>
        <v>-3</v>
      </c>
      <c r="R42" s="8">
        <f t="shared" si="7"/>
        <v>3</v>
      </c>
    </row>
    <row r="43" spans="1:18">
      <c r="A43" s="36" t="s">
        <v>112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1"/>
      <c r="P45" s="5" t="s">
        <v>108</v>
      </c>
      <c r="Q45" s="5" t="s">
        <v>109</v>
      </c>
      <c r="R45" s="5" t="s">
        <v>110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8">L46*K46</f>
        <v>60</v>
      </c>
      <c r="N46" s="8" t="str">
        <f>I18</f>
        <v>3</v>
      </c>
      <c r="O46" t="s" s="1">
        <v>214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ref="N47:N52" si="9">I19</f>
        <v>3</v>
      </c>
      <c r="O47" t="s" s="1">
        <v>214</v>
      </c>
      <c r="P47" s="8">
        <f t="shared" ref="P47:P52" si="10">O47-I47</f>
        <v>-3</v>
      </c>
      <c r="Q47" s="8">
        <f t="shared" ref="Q47:Q52" si="11">-I47</f>
        <v>-3</v>
      </c>
      <c r="R47" s="8">
        <f t="shared" ref="R47:R52" si="12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t="s" s="1">
        <v>214</v>
      </c>
      <c r="P48" s="8">
        <f t="shared" si="10"/>
        <v>-3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t="s" s="1">
        <v>214</v>
      </c>
      <c r="P49" s="8">
        <f t="shared" si="10"/>
        <v>-3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t="s" s="1">
        <v>214</v>
      </c>
      <c r="P50" s="8">
        <f t="shared" si="10"/>
        <v>-3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t="s" s="1">
        <v>214</v>
      </c>
      <c r="P51" s="8">
        <f t="shared" si="10"/>
        <v>-3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t="s" s="1">
        <v>214</v>
      </c>
      <c r="P52" s="8">
        <f t="shared" si="10"/>
        <v>-3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1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1"/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1"/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I25</f>
        <v>0</v>
      </c>
      <c r="O57" t="s" s="1">
        <v>212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3">I26</f>
        <v>0</v>
      </c>
      <c r="O58" t="s" s="1">
        <v>212</v>
      </c>
      <c r="P58" s="8">
        <f t="shared" ref="P58:P63" si="14">O58-I58</f>
        <v>-3</v>
      </c>
      <c r="Q58" s="8">
        <f t="shared" ref="Q58:Q63" si="15">-I58</f>
        <v>-3</v>
      </c>
      <c r="R58" s="8">
        <f t="shared" ref="R58:R63" si="16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7">L59*K59</f>
        <v>60</v>
      </c>
      <c r="N59" s="8">
        <f t="shared" si="13"/>
        <v>0</v>
      </c>
      <c r="O59" t="s" s="1">
        <v>212</v>
      </c>
      <c r="P59" s="8">
        <f t="shared" si="14"/>
        <v>-3</v>
      </c>
      <c r="Q59" s="8">
        <f t="shared" si="15"/>
        <v>-3</v>
      </c>
      <c r="R59" s="8">
        <f t="shared" si="16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7"/>
        <v>60</v>
      </c>
      <c r="N60" s="8">
        <f t="shared" si="13"/>
        <v>0</v>
      </c>
      <c r="O60" t="s" s="1">
        <v>212</v>
      </c>
      <c r="P60" s="8">
        <f t="shared" si="14"/>
        <v>-3</v>
      </c>
      <c r="Q60" s="8">
        <f t="shared" si="15"/>
        <v>-3</v>
      </c>
      <c r="R60" s="8">
        <f t="shared" si="16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7"/>
        <v>60</v>
      </c>
      <c r="N61" s="8">
        <f t="shared" si="13"/>
        <v>0</v>
      </c>
      <c r="O61" t="s" s="1">
        <v>212</v>
      </c>
      <c r="P61" s="8">
        <f t="shared" si="14"/>
        <v>-3</v>
      </c>
      <c r="Q61" s="8">
        <f t="shared" si="15"/>
        <v>-3</v>
      </c>
      <c r="R61" s="8">
        <f t="shared" si="16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7"/>
        <v>60</v>
      </c>
      <c r="N62" s="8">
        <f t="shared" si="13"/>
        <v>0</v>
      </c>
      <c r="O62" t="s" s="1">
        <v>212</v>
      </c>
      <c r="P62" s="8">
        <f t="shared" si="14"/>
        <v>-3</v>
      </c>
      <c r="Q62" s="8">
        <f t="shared" si="15"/>
        <v>-3</v>
      </c>
      <c r="R62" s="8">
        <f t="shared" si="16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7"/>
        <v>60</v>
      </c>
      <c r="N63" s="8">
        <f t="shared" si="13"/>
        <v>0</v>
      </c>
      <c r="O63" t="s" s="1">
        <v>212</v>
      </c>
      <c r="P63" s="8">
        <f t="shared" si="14"/>
        <v>-3</v>
      </c>
      <c r="Q63" s="8">
        <f t="shared" si="15"/>
        <v>-3</v>
      </c>
      <c r="R63" s="8">
        <f t="shared" si="16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7"/>
        <v>840</v>
      </c>
      <c r="N64" s="8"/>
      <c r="O64" s="1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1"/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1"/>
      <c r="P66" s="8"/>
      <c r="Q66" s="8"/>
      <c r="R66" s="8"/>
    </row>
    <row r="67">
      <c r="O67" s="1"/>
    </row>
    <row r="68" spans="1:18">
      <c r="K68" s="9" t="s">
        <v>104</v>
      </c>
      <c r="L68" s="9">
        <f>L69/H3</f>
        <v>420</v>
      </c>
      <c r="O68" s="1"/>
    </row>
    <row r="69" spans="1:18">
      <c r="K69" s="9" t="s">
        <v>119</v>
      </c>
      <c r="L69" s="9">
        <f>M65+AG7</f>
        <v>1260</v>
      </c>
      <c r="O69" s="1"/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6"/>
  <sheetViews>
    <sheetView zoomScale="61" zoomScaleNormal="61" workbookViewId="0">
      <selection activeCell="E13" sqref="E1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200</v>
      </c>
      <c r="J3" s="8">
        <f>I3+H3</f>
        <v>189</v>
      </c>
      <c r="K3" t="s" s="1">
        <v>21</v>
      </c>
      <c r="L3" s="8">
        <f>(K3+L65)/2</f>
        <v>560</v>
      </c>
      <c r="M3" s="9">
        <f>L65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222</v>
      </c>
      <c r="I11" t="s" s="1">
        <v>220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222</v>
      </c>
      <c r="I12" t="s" s="1">
        <v>220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222</v>
      </c>
      <c r="I13" t="s" s="1">
        <v>220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222</v>
      </c>
      <c r="I14" t="s" s="1">
        <v>220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222</v>
      </c>
      <c r="I15" t="s" s="1">
        <v>220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222</v>
      </c>
      <c r="I16" t="s" s="1">
        <v>220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222</v>
      </c>
      <c r="I17" t="s" s="1">
        <v>220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78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1" t="s">
        <v>78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1" t="s">
        <v>78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1" t="s">
        <v>78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1" t="s">
        <v>78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1" t="s">
        <v>78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1" t="s">
        <v>78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1" t="s">
        <v>78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1" t="s">
        <v>78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1" t="s">
        <v>78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1" t="s">
        <v>78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1" t="s">
        <v>78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1" t="s">
        <v>78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1"/>
        <v>998773</v>
      </c>
      <c r="I31" s="1" t="s">
        <v>78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93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t="s" s="1">
        <v>222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t="s" s="1">
        <v>222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t="s" s="1">
        <v>222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t="s" s="1">
        <v>222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t="s" s="1">
        <v>222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t="s" s="1">
        <v>222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t="s" s="1">
        <v>222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36" t="s">
        <v>112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121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1"/>
      <c r="P45" s="5" t="s">
        <v>108</v>
      </c>
      <c r="Q45" s="5" t="s">
        <v>109</v>
      </c>
      <c r="R45" s="5" t="s">
        <v>110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7">L46*K46</f>
        <v>60</v>
      </c>
      <c r="N46" s="8" t="str">
        <f t="shared" ref="N46:N52" si="8">I18</f>
        <v>3</v>
      </c>
      <c r="O46" t="s" s="1">
        <v>214</v>
      </c>
      <c r="P46" s="8">
        <f t="shared" ref="P46:P52" si="9">O46-I46</f>
        <v>998773</v>
      </c>
      <c r="Q46" s="8">
        <f t="shared" ref="Q46:Q52" si="10">-I46</f>
        <v>-3</v>
      </c>
      <c r="R46" s="8">
        <f t="shared" ref="R46:R52" si="11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t="s" s="1">
        <v>214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t="s" s="1">
        <v>214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t="s" s="1">
        <v>214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t="s" s="1">
        <v>214</v>
      </c>
      <c r="P50" s="8">
        <f t="shared" si="9"/>
        <v>998773</v>
      </c>
      <c r="Q50" s="8">
        <f t="shared" si="10"/>
        <v>-3</v>
      </c>
      <c r="R50" s="8">
        <f t="shared" si="11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t="s" s="1">
        <v>214</v>
      </c>
      <c r="P51" s="8">
        <f t="shared" si="9"/>
        <v>998773</v>
      </c>
      <c r="Q51" s="8">
        <f t="shared" si="10"/>
        <v>-3</v>
      </c>
      <c r="R51" s="8">
        <f t="shared" si="11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t="s" s="1">
        <v>214</v>
      </c>
      <c r="P52" s="8">
        <f t="shared" si="9"/>
        <v>998773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2">L53*K53</f>
        <v>60</v>
      </c>
      <c r="N53" s="8" t="str">
        <f t="shared" ref="N53:N59" si="13">I25</f>
        <v>3</v>
      </c>
      <c r="O53" t="s" s="1">
        <v>212</v>
      </c>
      <c r="P53" s="8">
        <f t="shared" ref="P53:P59" si="14">O53-I53</f>
        <v>998770</v>
      </c>
      <c r="Q53" s="8">
        <f t="shared" ref="Q53:Q59" si="15">-I53</f>
        <v>-3</v>
      </c>
      <c r="R53" s="8">
        <f t="shared" ref="R53:R59" si="16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2"/>
        <v>60</v>
      </c>
      <c r="N54" s="8" t="str">
        <f t="shared" si="13"/>
        <v>3</v>
      </c>
      <c r="O54" t="s" s="1">
        <v>212</v>
      </c>
      <c r="P54" s="8">
        <f t="shared" si="14"/>
        <v>998770</v>
      </c>
      <c r="Q54" s="8">
        <f t="shared" si="15"/>
        <v>-3</v>
      </c>
      <c r="R54" s="8">
        <f t="shared" si="16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2"/>
        <v>60</v>
      </c>
      <c r="N55" s="8" t="str">
        <f t="shared" si="13"/>
        <v>3</v>
      </c>
      <c r="O55" t="s" s="1">
        <v>212</v>
      </c>
      <c r="P55" s="8">
        <f t="shared" si="14"/>
        <v>998770</v>
      </c>
      <c r="Q55" s="8">
        <f t="shared" si="15"/>
        <v>-3</v>
      </c>
      <c r="R55" s="8">
        <f t="shared" si="16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2"/>
        <v>60</v>
      </c>
      <c r="N56" s="8" t="str">
        <f t="shared" si="13"/>
        <v>3</v>
      </c>
      <c r="O56" t="s" s="1">
        <v>212</v>
      </c>
      <c r="P56" s="8">
        <f t="shared" si="14"/>
        <v>998770</v>
      </c>
      <c r="Q56" s="8">
        <f t="shared" si="15"/>
        <v>-3</v>
      </c>
      <c r="R56" s="8">
        <f t="shared" si="16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2"/>
        <v>60</v>
      </c>
      <c r="N57" s="8" t="str">
        <f t="shared" si="13"/>
        <v>3</v>
      </c>
      <c r="O57" t="s" s="1">
        <v>212</v>
      </c>
      <c r="P57" s="8">
        <f t="shared" si="14"/>
        <v>998770</v>
      </c>
      <c r="Q57" s="8">
        <f t="shared" si="15"/>
        <v>-3</v>
      </c>
      <c r="R57" s="8">
        <f t="shared" si="16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2"/>
        <v>60</v>
      </c>
      <c r="N58" s="8" t="str">
        <f t="shared" si="13"/>
        <v>3</v>
      </c>
      <c r="O58" t="s" s="1">
        <v>212</v>
      </c>
      <c r="P58" s="8">
        <f t="shared" si="14"/>
        <v>998770</v>
      </c>
      <c r="Q58" s="8">
        <f t="shared" si="15"/>
        <v>-3</v>
      </c>
      <c r="R58" s="8">
        <f t="shared" si="16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2"/>
        <v>60</v>
      </c>
      <c r="N59" s="8" t="str">
        <f t="shared" si="13"/>
        <v>3</v>
      </c>
      <c r="O59" t="s" s="1">
        <v>212</v>
      </c>
      <c r="P59" s="8">
        <f t="shared" si="14"/>
        <v>998770</v>
      </c>
      <c r="Q59" s="8">
        <f t="shared" si="15"/>
        <v>-3</v>
      </c>
      <c r="R59" s="8">
        <f t="shared" si="16"/>
        <v>3</v>
      </c>
    </row>
    <row r="60" spans="1:18">
      <c r="A60" s="8" t="s">
        <v>116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280</v>
      </c>
      <c r="M60" s="8">
        <f t="shared" si="12"/>
        <v>840</v>
      </c>
      <c r="N60" s="8"/>
      <c r="O60" s="1"/>
      <c r="P60" s="8"/>
      <c r="Q60" s="8"/>
      <c r="R60" s="8"/>
    </row>
    <row r="61" spans="1:18">
      <c r="A61" s="8" t="s">
        <v>116</v>
      </c>
      <c r="B61" s="8"/>
      <c r="C61" s="8" t="s">
        <v>46</v>
      </c>
      <c r="D61" s="8" t="s">
        <v>47</v>
      </c>
      <c r="E61" s="47" t="s">
        <v>18</v>
      </c>
      <c r="F61" s="8" t="s">
        <v>14</v>
      </c>
      <c r="G61" s="8" t="s">
        <v>52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140</v>
      </c>
      <c r="M61" s="8">
        <f t="shared" si="12"/>
        <v>420</v>
      </c>
      <c r="N61" s="8"/>
      <c r="O61" s="1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53"/>
      <c r="G62" s="36"/>
      <c r="H62" s="53" t="s">
        <v>52</v>
      </c>
      <c r="I62" s="1"/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1"/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1"/>
      <c r="J63" s="8"/>
      <c r="K63" s="8"/>
      <c r="L63" s="8"/>
      <c r="M63" s="8"/>
      <c r="N63" s="8"/>
      <c r="O63" s="1"/>
      <c r="P63" s="8"/>
      <c r="Q63" s="8"/>
      <c r="R63" s="8"/>
    </row>
    <row r="64">
      <c r="I64" s="1"/>
      <c r="O64" s="1"/>
    </row>
    <row r="65" spans="11:12">
      <c r="I65" s="1"/>
      <c r="K65" s="9" t="s">
        <v>104</v>
      </c>
      <c r="L65" s="9">
        <f>L66/H3</f>
        <v>700</v>
      </c>
      <c r="O65" s="1"/>
    </row>
    <row r="66" spans="11:12">
      <c r="I66" s="1"/>
      <c r="K66" s="9" t="s">
        <v>119</v>
      </c>
      <c r="L66" s="9">
        <f>M62+AG7</f>
        <v>2100</v>
      </c>
      <c r="O66" s="1"/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3"/>
  <sheetViews>
    <sheetView zoomScale="61" zoomScaleNormal="61" workbookViewId="0">
      <selection activeCell="E13" sqref="E1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200</v>
      </c>
      <c r="J3" s="8">
        <f>I3+H3</f>
        <v>189</v>
      </c>
      <c r="K3" t="s" s="1">
        <v>21</v>
      </c>
      <c r="L3" s="8">
        <f>(K3+L62)/2</f>
        <v>630</v>
      </c>
      <c r="M3" s="9">
        <f>L62</f>
        <v>840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222</v>
      </c>
      <c r="I11" t="s" s="1">
        <v>221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222</v>
      </c>
      <c r="I12" t="s" s="1">
        <v>221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222</v>
      </c>
      <c r="I13" t="s" s="1">
        <v>221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222</v>
      </c>
      <c r="I14" t="s" s="1">
        <v>221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222</v>
      </c>
      <c r="I15" t="s" s="1">
        <v>221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222</v>
      </c>
      <c r="I16" t="s" s="1">
        <v>221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222</v>
      </c>
      <c r="I17" t="s" s="1">
        <v>221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78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1" t="s">
        <v>78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1" t="s">
        <v>78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1" t="s">
        <v>78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1" t="s">
        <v>78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1" t="s">
        <v>78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1" t="s">
        <v>78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1" t="s">
        <v>78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1" t="s">
        <v>78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1" t="s">
        <v>78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1" t="s">
        <v>78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1" t="s">
        <v>78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1" t="s">
        <v>78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91</v>
      </c>
      <c r="F31" s="49" t="s">
        <v>14</v>
      </c>
      <c r="G31" s="49" t="s">
        <v>68</v>
      </c>
      <c r="H31" s="8">
        <f t="shared" si="1"/>
        <v>998773</v>
      </c>
      <c r="I31" s="1" t="s">
        <v>78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122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t="s" s="1">
        <v>222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t="s" s="1">
        <v>222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t="s" s="1">
        <v>222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73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t="s" s="1">
        <v>222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74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t="s" s="1">
        <v>222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75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t="s" s="1">
        <v>222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76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t="s" s="1">
        <v>222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7">L43*K43</f>
        <v>60</v>
      </c>
      <c r="N43" s="8" t="str">
        <f t="shared" ref="N43:N56" si="8">I18</f>
        <v>3</v>
      </c>
      <c r="O43" t="s" s="1">
        <v>214</v>
      </c>
      <c r="P43" s="8">
        <f t="shared" ref="P43:P56" si="9">O43-I43</f>
        <v>998773</v>
      </c>
      <c r="Q43" s="8">
        <f t="shared" ref="Q43:Q56" si="10">-I43</f>
        <v>-3</v>
      </c>
      <c r="R43" s="8">
        <f t="shared" ref="R43:R56" si="11">I43</f>
        <v>3</v>
      </c>
    </row>
    <row r="44" spans="1:18">
      <c r="A44" s="8">
        <v>2</v>
      </c>
      <c r="B44" s="8">
        <v>2</v>
      </c>
      <c r="C44" s="8" t="s">
        <v>54</v>
      </c>
      <c r="D44" s="8" t="s">
        <v>55</v>
      </c>
      <c r="E44" s="12" t="s">
        <v>79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7"/>
        <v>60</v>
      </c>
      <c r="N44" s="8" t="str">
        <f t="shared" si="8"/>
        <v>3</v>
      </c>
      <c r="O44" t="s" s="1">
        <v>214</v>
      </c>
      <c r="P44" s="8">
        <f t="shared" si="9"/>
        <v>998773</v>
      </c>
      <c r="Q44" s="8">
        <f t="shared" si="10"/>
        <v>-3</v>
      </c>
      <c r="R44" s="8">
        <f t="shared" si="11"/>
        <v>3</v>
      </c>
    </row>
    <row r="45" spans="1:18">
      <c r="A45" s="8">
        <v>2</v>
      </c>
      <c r="B45" s="8">
        <v>3</v>
      </c>
      <c r="C45" s="8" t="s">
        <v>54</v>
      </c>
      <c r="D45" s="8" t="s">
        <v>55</v>
      </c>
      <c r="E45" s="12" t="s">
        <v>80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7"/>
        <v>60</v>
      </c>
      <c r="N45" s="8" t="str">
        <f t="shared" si="8"/>
        <v>3</v>
      </c>
      <c r="O45" t="s" s="1">
        <v>214</v>
      </c>
      <c r="P45" s="8">
        <f t="shared" si="9"/>
        <v>998773</v>
      </c>
      <c r="Q45" s="8">
        <f t="shared" si="10"/>
        <v>-3</v>
      </c>
      <c r="R45" s="8">
        <f t="shared" si="11"/>
        <v>3</v>
      </c>
    </row>
    <row r="46" spans="1:18">
      <c r="A46" s="8">
        <v>2</v>
      </c>
      <c r="B46" s="8">
        <v>4</v>
      </c>
      <c r="C46" s="8" t="s">
        <v>54</v>
      </c>
      <c r="D46" s="8" t="s">
        <v>55</v>
      </c>
      <c r="E46" s="12" t="s">
        <v>81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7"/>
        <v>60</v>
      </c>
      <c r="N46" s="8" t="str">
        <f t="shared" si="8"/>
        <v>3</v>
      </c>
      <c r="O46" t="s" s="1">
        <v>214</v>
      </c>
      <c r="P46" s="8">
        <f t="shared" si="9"/>
        <v>998773</v>
      </c>
      <c r="Q46" s="8">
        <f t="shared" si="10"/>
        <v>-3</v>
      </c>
      <c r="R46" s="8">
        <f t="shared" si="11"/>
        <v>3</v>
      </c>
    </row>
    <row r="47" spans="1:18">
      <c r="A47" s="8">
        <v>2</v>
      </c>
      <c r="B47" s="8">
        <v>5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t="s" s="1">
        <v>214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6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t="s" s="1">
        <v>214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t="s" s="1">
        <v>214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t="s" s="1">
        <v>212</v>
      </c>
      <c r="P50" s="8">
        <f t="shared" si="9"/>
        <v>998770</v>
      </c>
      <c r="Q50" s="8">
        <f t="shared" si="10"/>
        <v>-3</v>
      </c>
      <c r="R50" s="8">
        <f t="shared" si="11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t="s" s="1">
        <v>212</v>
      </c>
      <c r="P51" s="8">
        <f t="shared" si="9"/>
        <v>998770</v>
      </c>
      <c r="Q51" s="8">
        <f t="shared" si="10"/>
        <v>-3</v>
      </c>
      <c r="R51" s="8">
        <f t="shared" si="11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t="s" s="1">
        <v>212</v>
      </c>
      <c r="P52" s="8">
        <f t="shared" si="9"/>
        <v>998770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7"/>
        <v>60</v>
      </c>
      <c r="N53" s="8" t="str">
        <f t="shared" si="8"/>
        <v>3</v>
      </c>
      <c r="O53" t="s" s="1">
        <v>212</v>
      </c>
      <c r="P53" s="8">
        <f t="shared" si="9"/>
        <v>998770</v>
      </c>
      <c r="Q53" s="8">
        <f t="shared" si="10"/>
        <v>-3</v>
      </c>
      <c r="R53" s="8">
        <f t="shared" si="11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89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7"/>
        <v>60</v>
      </c>
      <c r="N54" s="8" t="str">
        <f t="shared" si="8"/>
        <v>3</v>
      </c>
      <c r="O54" t="s" s="1">
        <v>212</v>
      </c>
      <c r="P54" s="8">
        <f t="shared" si="9"/>
        <v>998770</v>
      </c>
      <c r="Q54" s="8">
        <f t="shared" si="10"/>
        <v>-3</v>
      </c>
      <c r="R54" s="8">
        <f t="shared" si="11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90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7"/>
        <v>60</v>
      </c>
      <c r="N55" s="8" t="str">
        <f t="shared" si="8"/>
        <v>3</v>
      </c>
      <c r="O55" t="s" s="1">
        <v>212</v>
      </c>
      <c r="P55" s="8">
        <f t="shared" si="9"/>
        <v>998770</v>
      </c>
      <c r="Q55" s="8">
        <f t="shared" si="10"/>
        <v>-3</v>
      </c>
      <c r="R55" s="8">
        <f t="shared" si="11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91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7"/>
        <v>60</v>
      </c>
      <c r="N56" s="8" t="str">
        <f t="shared" si="8"/>
        <v>3</v>
      </c>
      <c r="O56" t="s" s="1">
        <v>212</v>
      </c>
      <c r="P56" s="8">
        <f t="shared" si="9"/>
        <v>998770</v>
      </c>
      <c r="Q56" s="8">
        <f t="shared" si="10"/>
        <v>-3</v>
      </c>
      <c r="R56" s="8">
        <f t="shared" si="11"/>
        <v>3</v>
      </c>
    </row>
    <row r="57" spans="1:18">
      <c r="A57" s="8" t="s">
        <v>116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7"/>
        <v>840</v>
      </c>
      <c r="N57" s="8"/>
      <c r="O57" s="1"/>
      <c r="P57" s="8"/>
      <c r="Q57" s="8"/>
      <c r="R57" s="8"/>
    </row>
    <row r="58" spans="1:18">
      <c r="A58" s="8" t="s">
        <v>116</v>
      </c>
      <c r="B58" s="8"/>
      <c r="C58" s="8" t="s">
        <v>46</v>
      </c>
      <c r="D58" s="8" t="s">
        <v>47</v>
      </c>
      <c r="E58" s="47" t="s">
        <v>18</v>
      </c>
      <c r="F58" s="8" t="s">
        <v>14</v>
      </c>
      <c r="G58" s="8" t="s">
        <v>52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140</v>
      </c>
      <c r="M58" s="8">
        <f t="shared" si="7"/>
        <v>420</v>
      </c>
      <c r="N58" s="8"/>
      <c r="O58" s="1"/>
      <c r="P58" s="8"/>
      <c r="Q58" s="8"/>
      <c r="R58" s="8"/>
    </row>
    <row r="59" spans="1:18">
      <c r="A59" s="36" t="s">
        <v>112</v>
      </c>
      <c r="B59" s="36">
        <v>1</v>
      </c>
      <c r="C59" s="36" t="s">
        <v>56</v>
      </c>
      <c r="D59" s="36"/>
      <c r="E59" s="36"/>
      <c r="F59" s="53"/>
      <c r="G59" s="36"/>
      <c r="H59" s="53" t="s">
        <v>52</v>
      </c>
      <c r="I59" s="53">
        <v>3</v>
      </c>
      <c r="J59" s="36">
        <v>3</v>
      </c>
      <c r="K59" s="36"/>
      <c r="L59" s="36">
        <f>SUM(L36:L58)</f>
        <v>840</v>
      </c>
      <c r="M59" s="38">
        <f>SUM(M36:M58)</f>
        <v>2520</v>
      </c>
      <c r="N59" s="38">
        <v>111</v>
      </c>
      <c r="O59" s="1"/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1"/>
      <c r="P60" s="8"/>
      <c r="Q60" s="8"/>
      <c r="R60" s="8"/>
    </row>
    <row r="61">
      <c r="O61" s="1"/>
    </row>
    <row r="62" spans="1:18">
      <c r="K62" s="9" t="s">
        <v>104</v>
      </c>
      <c r="L62" s="9">
        <f>L63/H3</f>
        <v>840</v>
      </c>
      <c r="O62" s="1"/>
    </row>
    <row r="63" spans="1:18">
      <c r="K63" s="9" t="s">
        <v>119</v>
      </c>
      <c r="L63" s="9">
        <f>M59+AG7</f>
        <v>2520</v>
      </c>
      <c r="O63" s="1"/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C1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200</v>
      </c>
      <c r="J3" s="8">
        <f>I3+H3</f>
        <v>189</v>
      </c>
      <c r="K3" t="s" s="1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222</v>
      </c>
      <c r="I11" t="s" s="1">
        <v>223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222</v>
      </c>
      <c r="I12" t="s" s="1">
        <v>223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222</v>
      </c>
      <c r="I13" t="s" s="1">
        <v>223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222</v>
      </c>
      <c r="I14" t="s" s="1">
        <v>223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222</v>
      </c>
      <c r="I15" t="s" s="1">
        <v>223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222</v>
      </c>
      <c r="I16" t="s" s="1">
        <v>223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222</v>
      </c>
      <c r="I17" t="s" s="1">
        <v>223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33:16345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127</v>
      </c>
      <c r="U39" s="19" t="s">
        <v>128</v>
      </c>
      <c r="V39" s="20" t="s">
        <v>129</v>
      </c>
      <c r="W39" s="19" t="s">
        <v>130</v>
      </c>
      <c r="X39" s="19" t="s">
        <v>131</v>
      </c>
      <c r="Y39" s="19" t="s">
        <v>132</v>
      </c>
      <c r="Z39" s="19" t="s">
        <v>133</v>
      </c>
      <c r="AA39" s="19" t="s">
        <v>134</v>
      </c>
      <c r="AB39" s="19" t="s">
        <v>135</v>
      </c>
      <c r="AC39" s="19" t="s">
        <v>136</v>
      </c>
      <c r="AD39" s="19" t="s">
        <v>137</v>
      </c>
      <c r="AE39" s="19" t="s">
        <v>138</v>
      </c>
      <c r="AF39" s="19" t="s">
        <v>139</v>
      </c>
      <c r="AG39" s="19" t="s">
        <v>140</v>
      </c>
      <c r="AH39" s="19" t="s">
        <v>141</v>
      </c>
      <c r="AI39" s="19" t="s">
        <v>142</v>
      </c>
      <c r="AJ39" s="19" t="s">
        <v>143</v>
      </c>
      <c r="AK39" s="21" t="s">
        <v>144</v>
      </c>
      <c r="AL39" s="21" t="s">
        <v>145</v>
      </c>
      <c r="AM39" s="21" t="s">
        <v>146</v>
      </c>
      <c r="AN39" s="21" t="s">
        <v>147</v>
      </c>
      <c r="AO39" s="21" t="s">
        <v>148</v>
      </c>
      <c r="AP39" s="21" t="s">
        <v>149</v>
      </c>
      <c r="AQ39" s="21" t="s">
        <v>150</v>
      </c>
      <c r="AR39" s="21" t="s">
        <v>151</v>
      </c>
      <c r="AS39" s="22" t="s">
        <v>152</v>
      </c>
      <c r="AT39" s="19" t="s">
        <v>153</v>
      </c>
      <c r="AU39" s="19" t="s">
        <v>154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114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T43" s="19" t="s">
        <v>127</v>
      </c>
      <c r="U43" s="19" t="s">
        <v>128</v>
      </c>
      <c r="V43" s="20" t="s">
        <v>129</v>
      </c>
      <c r="W43" s="19" t="s">
        <v>130</v>
      </c>
      <c r="X43" s="19" t="s">
        <v>131</v>
      </c>
      <c r="Y43" s="19" t="s">
        <v>132</v>
      </c>
      <c r="Z43" s="19" t="s">
        <v>133</v>
      </c>
      <c r="AA43" s="19" t="s">
        <v>134</v>
      </c>
      <c r="AB43" s="19" t="s">
        <v>135</v>
      </c>
      <c r="AC43" s="19" t="s">
        <v>136</v>
      </c>
      <c r="AD43" s="19" t="s">
        <v>137</v>
      </c>
      <c r="AE43" s="19" t="s">
        <v>138</v>
      </c>
      <c r="AF43" s="19" t="s">
        <v>139</v>
      </c>
      <c r="AG43" s="19" t="s">
        <v>140</v>
      </c>
      <c r="AH43" s="19" t="s">
        <v>141</v>
      </c>
      <c r="AI43" s="19" t="s">
        <v>142</v>
      </c>
      <c r="AJ43" s="19" t="s">
        <v>143</v>
      </c>
      <c r="AK43" s="21" t="s">
        <v>144</v>
      </c>
      <c r="AL43" s="21" t="s">
        <v>145</v>
      </c>
      <c r="AM43" s="21" t="s">
        <v>146</v>
      </c>
      <c r="AN43" s="21" t="s">
        <v>147</v>
      </c>
      <c r="AO43" s="21" t="s">
        <v>148</v>
      </c>
      <c r="AP43" s="21" t="s">
        <v>149</v>
      </c>
      <c r="AQ43" s="21" t="s">
        <v>150</v>
      </c>
      <c r="AR43" s="21" t="s">
        <v>151</v>
      </c>
      <c r="AS43" s="22" t="s">
        <v>152</v>
      </c>
      <c r="AT43" s="19" t="s">
        <v>153</v>
      </c>
      <c r="AU43" s="19" t="s">
        <v>154</v>
      </c>
    </row>
    <row r="44" ht="15" spans="1:60 16333:16345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  <c r="T45" s="31" t="s">
        <v>156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115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115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115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115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115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115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115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118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118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118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118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118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118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118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200</v>
      </c>
      <c r="J3" s="8">
        <f>I3+H3</f>
        <v>189</v>
      </c>
      <c r="K3" t="s" s="1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222</v>
      </c>
      <c r="I11" t="s" s="1">
        <v>223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222</v>
      </c>
      <c r="I12" t="s" s="1">
        <v>223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222</v>
      </c>
      <c r="I13" t="s" s="1">
        <v>223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222</v>
      </c>
      <c r="I14" t="s" s="1">
        <v>223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222</v>
      </c>
      <c r="I15" t="s" s="1">
        <v>223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222</v>
      </c>
      <c r="I16" t="s" s="1">
        <v>223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222</v>
      </c>
      <c r="I17" t="s" s="1">
        <v>223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157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115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115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115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115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115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115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115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118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118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118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118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118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118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118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123</v>
      </c>
      <c r="F3" s="7" t="s">
        <v>18</v>
      </c>
      <c r="G3" s="54" t="s">
        <v>19</v>
      </c>
      <c r="H3" s="6">
        <v>3</v>
      </c>
      <c r="I3" t="s" s="1">
        <v>200</v>
      </c>
      <c r="J3" s="8">
        <f>I3+H3</f>
        <v>189</v>
      </c>
      <c r="K3" t="s" s="1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222</v>
      </c>
      <c r="I11" t="s" s="1">
        <v>223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222</v>
      </c>
      <c r="I12" t="s" s="1">
        <v>223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222</v>
      </c>
      <c r="I13" t="s" s="1">
        <v>223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t="s" s="1">
        <v>222</v>
      </c>
      <c r="I14" t="s" s="1">
        <v>223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t="s" s="1">
        <v>222</v>
      </c>
      <c r="I15" t="s" s="1">
        <v>223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t="s" s="1">
        <v>222</v>
      </c>
      <c r="I16" t="s" s="1">
        <v>223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t="s" s="1">
        <v>222</v>
      </c>
      <c r="I17" t="s" s="1">
        <v>223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122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155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156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77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115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79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115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80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115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81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115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115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115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115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118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118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118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118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89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118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90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118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91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118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116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116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112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113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104</v>
      </c>
      <c r="L62" s="9">
        <f>L63/H3</f>
        <v>720</v>
      </c>
    </row>
    <row r="63" spans="1:18">
      <c r="K63" s="9" t="s">
        <v>119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3" sqref="E13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127</v>
      </c>
      <c r="U39" s="19" t="s">
        <v>128</v>
      </c>
      <c r="V39" s="20" t="s">
        <v>129</v>
      </c>
      <c r="W39" s="19" t="s">
        <v>130</v>
      </c>
      <c r="X39" s="19" t="s">
        <v>131</v>
      </c>
      <c r="Y39" s="19" t="s">
        <v>132</v>
      </c>
      <c r="Z39" s="19" t="s">
        <v>133</v>
      </c>
      <c r="AA39" s="19" t="s">
        <v>134</v>
      </c>
      <c r="AB39" s="19" t="s">
        <v>135</v>
      </c>
      <c r="AC39" s="19" t="s">
        <v>136</v>
      </c>
      <c r="AD39" s="19" t="s">
        <v>137</v>
      </c>
      <c r="AE39" s="19" t="s">
        <v>138</v>
      </c>
      <c r="AF39" s="19" t="s">
        <v>139</v>
      </c>
      <c r="AG39" s="19" t="s">
        <v>140</v>
      </c>
      <c r="AH39" s="19" t="s">
        <v>141</v>
      </c>
      <c r="AI39" s="19" t="s">
        <v>142</v>
      </c>
      <c r="AJ39" s="19" t="s">
        <v>143</v>
      </c>
      <c r="AK39" s="21" t="s">
        <v>144</v>
      </c>
      <c r="AL39" s="21" t="s">
        <v>145</v>
      </c>
      <c r="AM39" s="21" t="s">
        <v>146</v>
      </c>
      <c r="AN39" s="21" t="s">
        <v>147</v>
      </c>
      <c r="AO39" s="21" t="s">
        <v>148</v>
      </c>
      <c r="AP39" s="21" t="s">
        <v>149</v>
      </c>
      <c r="AQ39" s="21" t="s">
        <v>150</v>
      </c>
      <c r="AR39" s="21" t="s">
        <v>151</v>
      </c>
      <c r="AS39" s="22" t="s">
        <v>152</v>
      </c>
      <c r="AT39" s="19" t="s">
        <v>153</v>
      </c>
      <c r="AU39" s="19" t="s">
        <v>154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156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9">L46*K46</f>
        <v>60</v>
      </c>
      <c r="N46" s="8" t="str">
        <f t="shared" ref="N46:N52" si="10">I18</f>
        <v>3</v>
      </c>
      <c r="O46" s="8" t="s">
        <v>115</v>
      </c>
      <c r="P46" s="8">
        <f t="shared" ref="P46:P52" si="11">O46-I46</f>
        <v>998773</v>
      </c>
      <c r="Q46" s="8">
        <f t="shared" ref="Q46:Q52" si="12">-I46</f>
        <v>-3</v>
      </c>
      <c r="R46" s="8">
        <f t="shared" ref="R46:R52" si="13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9"/>
        <v>60</v>
      </c>
      <c r="N47" s="8" t="str">
        <f t="shared" si="10"/>
        <v>3</v>
      </c>
      <c r="O47" s="8" t="s">
        <v>115</v>
      </c>
      <c r="P47" s="8">
        <f t="shared" si="11"/>
        <v>998773</v>
      </c>
      <c r="Q47" s="8">
        <f t="shared" si="12"/>
        <v>-3</v>
      </c>
      <c r="R47" s="8">
        <f t="shared" si="13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8" t="s">
        <v>115</v>
      </c>
      <c r="P48" s="8">
        <f t="shared" si="11"/>
        <v>998773</v>
      </c>
      <c r="Q48" s="8">
        <f t="shared" si="12"/>
        <v>-3</v>
      </c>
      <c r="R48" s="8">
        <f t="shared" si="13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8" t="s">
        <v>115</v>
      </c>
      <c r="P49" s="8">
        <f t="shared" si="11"/>
        <v>998773</v>
      </c>
      <c r="Q49" s="8">
        <f t="shared" si="12"/>
        <v>-3</v>
      </c>
      <c r="R49" s="8">
        <f t="shared" si="13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8" t="s">
        <v>115</v>
      </c>
      <c r="P50" s="8">
        <f t="shared" si="11"/>
        <v>998773</v>
      </c>
      <c r="Q50" s="8">
        <f t="shared" si="12"/>
        <v>-3</v>
      </c>
      <c r="R50" s="8">
        <f t="shared" si="13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8" t="s">
        <v>115</v>
      </c>
      <c r="P51" s="8">
        <f t="shared" si="11"/>
        <v>998773</v>
      </c>
      <c r="Q51" s="8">
        <f t="shared" si="12"/>
        <v>-3</v>
      </c>
      <c r="R51" s="8">
        <f t="shared" si="13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8" t="s">
        <v>115</v>
      </c>
      <c r="P52" s="8">
        <f t="shared" si="11"/>
        <v>998773</v>
      </c>
      <c r="Q52" s="8">
        <f t="shared" si="12"/>
        <v>-3</v>
      </c>
      <c r="R52" s="8">
        <f t="shared" si="13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9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4">L57*K57</f>
        <v>60</v>
      </c>
      <c r="N57" s="8" t="str">
        <f t="shared" ref="N57:N63" si="15">I25</f>
        <v>3</v>
      </c>
      <c r="O57" s="8" t="s">
        <v>118</v>
      </c>
      <c r="P57" s="8">
        <f t="shared" ref="P57:P63" si="16">O57-I57</f>
        <v>998770</v>
      </c>
      <c r="Q57" s="8">
        <f t="shared" ref="Q57:Q63" si="17">-I57</f>
        <v>-3</v>
      </c>
      <c r="R57" s="8">
        <f t="shared" ref="R57:R63" si="18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4"/>
        <v>60</v>
      </c>
      <c r="N58" s="8" t="str">
        <f t="shared" si="15"/>
        <v>3</v>
      </c>
      <c r="O58" s="8" t="s">
        <v>118</v>
      </c>
      <c r="P58" s="8">
        <f t="shared" si="16"/>
        <v>998770</v>
      </c>
      <c r="Q58" s="8">
        <f t="shared" si="17"/>
        <v>-3</v>
      </c>
      <c r="R58" s="8">
        <f t="shared" si="18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4"/>
        <v>60</v>
      </c>
      <c r="N59" s="8" t="str">
        <f t="shared" si="15"/>
        <v>3</v>
      </c>
      <c r="O59" s="8" t="s">
        <v>118</v>
      </c>
      <c r="P59" s="8">
        <f t="shared" si="16"/>
        <v>998770</v>
      </c>
      <c r="Q59" s="8">
        <f t="shared" si="17"/>
        <v>-3</v>
      </c>
      <c r="R59" s="8">
        <f t="shared" si="18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4"/>
        <v>60</v>
      </c>
      <c r="N60" s="8" t="str">
        <f t="shared" si="15"/>
        <v>3</v>
      </c>
      <c r="O60" s="8" t="s">
        <v>118</v>
      </c>
      <c r="P60" s="8">
        <f t="shared" si="16"/>
        <v>998770</v>
      </c>
      <c r="Q60" s="8">
        <f t="shared" si="17"/>
        <v>-3</v>
      </c>
      <c r="R60" s="8">
        <f t="shared" si="18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4"/>
        <v>60</v>
      </c>
      <c r="N61" s="8" t="str">
        <f t="shared" si="15"/>
        <v>3</v>
      </c>
      <c r="O61" s="8" t="s">
        <v>118</v>
      </c>
      <c r="P61" s="8">
        <f t="shared" si="16"/>
        <v>998770</v>
      </c>
      <c r="Q61" s="8">
        <f t="shared" si="17"/>
        <v>-3</v>
      </c>
      <c r="R61" s="8">
        <f t="shared" si="18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4"/>
        <v>60</v>
      </c>
      <c r="N62" s="8" t="str">
        <f t="shared" si="15"/>
        <v>3</v>
      </c>
      <c r="O62" s="8" t="s">
        <v>118</v>
      </c>
      <c r="P62" s="8">
        <f t="shared" si="16"/>
        <v>998770</v>
      </c>
      <c r="Q62" s="8">
        <f t="shared" si="17"/>
        <v>-3</v>
      </c>
      <c r="R62" s="8">
        <f t="shared" si="18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4"/>
        <v>60</v>
      </c>
      <c r="N63" s="8" t="str">
        <f t="shared" si="15"/>
        <v>3</v>
      </c>
      <c r="O63" s="8" t="s">
        <v>118</v>
      </c>
      <c r="P63" s="8">
        <f t="shared" si="16"/>
        <v>998770</v>
      </c>
      <c r="Q63" s="8">
        <f t="shared" si="17"/>
        <v>-3</v>
      </c>
      <c r="R63" s="8">
        <f t="shared" si="18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4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157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158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157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115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118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118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118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118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118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118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118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7" sqref="E17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6" sqref="E1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159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73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74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75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76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73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74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75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76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305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</row>
    <row r="44" spans="1:60 16305:16356">
      <c r="A44" s="18" t="s">
        <v>114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115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116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112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113</v>
      </c>
      <c r="P54" s="36"/>
      <c r="Q54" s="36"/>
      <c r="R54" s="36"/>
    </row>
    <row r="55" spans="1:18">
      <c r="A55" s="18" t="s">
        <v>117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94</v>
      </c>
      <c r="B56" s="4" t="s">
        <v>95</v>
      </c>
      <c r="C56" s="4" t="s">
        <v>96</v>
      </c>
      <c r="D56" s="4" t="s">
        <v>97</v>
      </c>
      <c r="E56" s="4" t="s">
        <v>98</v>
      </c>
      <c r="F56" s="4" t="s">
        <v>60</v>
      </c>
      <c r="G56" s="4" t="s">
        <v>99</v>
      </c>
      <c r="H56" s="4" t="s">
        <v>100</v>
      </c>
      <c r="I56" s="4" t="s">
        <v>101</v>
      </c>
      <c r="J56" s="4" t="s">
        <v>102</v>
      </c>
      <c r="K56" s="4" t="s">
        <v>103</v>
      </c>
      <c r="L56" s="4" t="s">
        <v>104</v>
      </c>
      <c r="M56" s="4" t="s">
        <v>105</v>
      </c>
      <c r="N56" s="5" t="s">
        <v>106</v>
      </c>
      <c r="O56" s="5" t="s">
        <v>107</v>
      </c>
      <c r="P56" s="5" t="s">
        <v>108</v>
      </c>
      <c r="Q56" s="5" t="s">
        <v>109</v>
      </c>
      <c r="R56" s="5" t="s">
        <v>110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85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118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86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118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87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118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88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118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89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118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90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118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91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118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116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112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113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104</v>
      </c>
      <c r="L68" s="9">
        <f>L69/H3</f>
        <v>420</v>
      </c>
    </row>
    <row r="69" spans="1:18">
      <c r="K69" s="9" t="s">
        <v>119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tabSelected="1"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160</v>
      </c>
      <c r="F3" s="7" t="s">
        <v>18</v>
      </c>
      <c r="G3" s="54" t="s">
        <v>19</v>
      </c>
      <c r="H3" s="6">
        <v>3</v>
      </c>
      <c r="I3" s="8" t="s">
        <v>120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111</v>
      </c>
      <c r="I11" s="8" t="s">
        <v>78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111</v>
      </c>
      <c r="I12" s="8" t="s">
        <v>78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111</v>
      </c>
      <c r="I13" s="8" t="s">
        <v>78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73</v>
      </c>
      <c r="F14" s="8" t="s">
        <v>14</v>
      </c>
      <c r="G14" s="8" t="s">
        <v>68</v>
      </c>
      <c r="H14" s="8" t="s">
        <v>111</v>
      </c>
      <c r="I14" s="8" t="s">
        <v>78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74</v>
      </c>
      <c r="F15" s="8" t="s">
        <v>14</v>
      </c>
      <c r="G15" s="8" t="s">
        <v>68</v>
      </c>
      <c r="H15" s="8" t="s">
        <v>111</v>
      </c>
      <c r="I15" s="8" t="s">
        <v>78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75</v>
      </c>
      <c r="F16" s="8" t="s">
        <v>14</v>
      </c>
      <c r="G16" s="8" t="s">
        <v>68</v>
      </c>
      <c r="H16" s="8" t="s">
        <v>111</v>
      </c>
      <c r="I16" s="8" t="s">
        <v>78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76</v>
      </c>
      <c r="F17" s="8" t="s">
        <v>14</v>
      </c>
      <c r="G17" s="8" t="s">
        <v>68</v>
      </c>
      <c r="H17" s="8" t="s">
        <v>111</v>
      </c>
      <c r="I17" s="8" t="s">
        <v>78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78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79</v>
      </c>
      <c r="F19" s="8" t="s">
        <v>14</v>
      </c>
      <c r="G19" s="8" t="s">
        <v>68</v>
      </c>
      <c r="H19" s="8">
        <f t="shared" si="1"/>
        <v>998776</v>
      </c>
      <c r="I19" s="8" t="s">
        <v>78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80</v>
      </c>
      <c r="F20" s="8" t="s">
        <v>14</v>
      </c>
      <c r="G20" s="8" t="s">
        <v>68</v>
      </c>
      <c r="H20" s="8">
        <f t="shared" si="1"/>
        <v>998776</v>
      </c>
      <c r="I20" s="8" t="s">
        <v>78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81</v>
      </c>
      <c r="F21" s="8" t="s">
        <v>14</v>
      </c>
      <c r="G21" s="8" t="s">
        <v>68</v>
      </c>
      <c r="H21" s="8">
        <f t="shared" si="1"/>
        <v>998776</v>
      </c>
      <c r="I21" s="8" t="s">
        <v>78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82</v>
      </c>
      <c r="F22" s="8" t="s">
        <v>14</v>
      </c>
      <c r="G22" s="8" t="s">
        <v>68</v>
      </c>
      <c r="H22" s="8">
        <f t="shared" si="1"/>
        <v>998776</v>
      </c>
      <c r="I22" s="8" t="s">
        <v>78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83</v>
      </c>
      <c r="F23" s="8" t="s">
        <v>14</v>
      </c>
      <c r="G23" s="8" t="s">
        <v>68</v>
      </c>
      <c r="H23" s="8">
        <f t="shared" si="1"/>
        <v>998776</v>
      </c>
      <c r="I23" s="8" t="s">
        <v>78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84</v>
      </c>
      <c r="F24" s="8" t="s">
        <v>14</v>
      </c>
      <c r="G24" s="8" t="s">
        <v>68</v>
      </c>
      <c r="H24" s="8">
        <f t="shared" si="1"/>
        <v>998776</v>
      </c>
      <c r="I24" s="8" t="s">
        <v>78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85</v>
      </c>
      <c r="F25" s="8" t="s">
        <v>14</v>
      </c>
      <c r="G25" s="8" t="s">
        <v>68</v>
      </c>
      <c r="H25" s="8">
        <f t="shared" si="1"/>
        <v>998773</v>
      </c>
      <c r="I25" s="8" t="s">
        <v>78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86</v>
      </c>
      <c r="F26" s="8" t="s">
        <v>14</v>
      </c>
      <c r="G26" s="8" t="s">
        <v>68</v>
      </c>
      <c r="H26" s="8">
        <f t="shared" si="1"/>
        <v>998773</v>
      </c>
      <c r="I26" s="8" t="s">
        <v>78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87</v>
      </c>
      <c r="F27" s="8" t="s">
        <v>14</v>
      </c>
      <c r="G27" s="8" t="s">
        <v>68</v>
      </c>
      <c r="H27" s="8">
        <f t="shared" si="1"/>
        <v>998773</v>
      </c>
      <c r="I27" s="8" t="s">
        <v>78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88</v>
      </c>
      <c r="F28" s="8" t="s">
        <v>14</v>
      </c>
      <c r="G28" s="8" t="s">
        <v>68</v>
      </c>
      <c r="H28" s="8">
        <f t="shared" si="1"/>
        <v>998773</v>
      </c>
      <c r="I28" s="8" t="s">
        <v>78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89</v>
      </c>
      <c r="F29" s="8" t="s">
        <v>14</v>
      </c>
      <c r="G29" s="8" t="s">
        <v>68</v>
      </c>
      <c r="H29" s="8">
        <f t="shared" si="1"/>
        <v>998773</v>
      </c>
      <c r="I29" s="8" t="s">
        <v>78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90</v>
      </c>
      <c r="F30" s="8" t="s">
        <v>14</v>
      </c>
      <c r="G30" s="8" t="s">
        <v>68</v>
      </c>
      <c r="H30" s="8">
        <f t="shared" si="1"/>
        <v>998773</v>
      </c>
      <c r="I30" s="8" t="s">
        <v>78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91</v>
      </c>
      <c r="F31" s="8" t="s">
        <v>14</v>
      </c>
      <c r="G31" s="8" t="s">
        <v>68</v>
      </c>
      <c r="H31" s="8">
        <f t="shared" si="1"/>
        <v>998773</v>
      </c>
      <c r="I31" s="8" t="s">
        <v>78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124</v>
      </c>
      <c r="V32" s="16">
        <v>1</v>
      </c>
    </row>
    <row r="33" ht="15" spans="1:60 16277:16356">
      <c r="A33" s="3" t="s">
        <v>125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126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93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94</v>
      </c>
      <c r="B35" s="5" t="s">
        <v>95</v>
      </c>
      <c r="C35" s="5" t="s">
        <v>96</v>
      </c>
      <c r="D35" s="5" t="s">
        <v>97</v>
      </c>
      <c r="E35" s="5" t="s">
        <v>98</v>
      </c>
      <c r="F35" s="5" t="s">
        <v>60</v>
      </c>
      <c r="G35" s="5" t="s">
        <v>99</v>
      </c>
      <c r="H35" s="5" t="s">
        <v>100</v>
      </c>
      <c r="I35" s="5" t="s">
        <v>101</v>
      </c>
      <c r="J35" s="5" t="s">
        <v>102</v>
      </c>
      <c r="K35" s="5" t="s">
        <v>103</v>
      </c>
      <c r="L35" s="5" t="s">
        <v>104</v>
      </c>
      <c r="M35" s="5" t="s">
        <v>105</v>
      </c>
      <c r="N35" s="5" t="s">
        <v>106</v>
      </c>
      <c r="O35" s="5" t="s">
        <v>107</v>
      </c>
      <c r="P35" s="5" t="s">
        <v>108</v>
      </c>
      <c r="Q35" s="5" t="s">
        <v>109</v>
      </c>
      <c r="R35" s="5" t="s">
        <v>110</v>
      </c>
      <c r="T35" s="19" t="s">
        <v>127</v>
      </c>
      <c r="U35" s="19" t="s">
        <v>128</v>
      </c>
      <c r="V35" s="20" t="s">
        <v>129</v>
      </c>
      <c r="W35" s="19" t="s">
        <v>130</v>
      </c>
      <c r="X35" s="19" t="s">
        <v>131</v>
      </c>
      <c r="Y35" s="19" t="s">
        <v>132</v>
      </c>
      <c r="Z35" s="19" t="s">
        <v>133</v>
      </c>
      <c r="AA35" s="19" t="s">
        <v>134</v>
      </c>
      <c r="AB35" s="19" t="s">
        <v>135</v>
      </c>
      <c r="AC35" s="19" t="s">
        <v>136</v>
      </c>
      <c r="AD35" s="19" t="s">
        <v>137</v>
      </c>
      <c r="AE35" s="19" t="s">
        <v>138</v>
      </c>
      <c r="AF35" s="19" t="s">
        <v>139</v>
      </c>
      <c r="AG35" s="19" t="s">
        <v>140</v>
      </c>
      <c r="AH35" s="19" t="s">
        <v>141</v>
      </c>
      <c r="AI35" s="19" t="s">
        <v>142</v>
      </c>
      <c r="AJ35" s="19" t="s">
        <v>143</v>
      </c>
      <c r="AK35" s="21" t="s">
        <v>144</v>
      </c>
      <c r="AL35" s="21" t="s">
        <v>145</v>
      </c>
      <c r="AM35" s="21" t="s">
        <v>146</v>
      </c>
      <c r="AN35" s="21" t="s">
        <v>147</v>
      </c>
      <c r="AO35" s="21" t="s">
        <v>148</v>
      </c>
      <c r="AP35" s="21" t="s">
        <v>149</v>
      </c>
      <c r="AQ35" s="21" t="s">
        <v>150</v>
      </c>
      <c r="AR35" s="21" t="s">
        <v>151</v>
      </c>
      <c r="AS35" s="22" t="s">
        <v>152</v>
      </c>
      <c r="AT35" s="19" t="s">
        <v>153</v>
      </c>
      <c r="AU35" s="19" t="s">
        <v>154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111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155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111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156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111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73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111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74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111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75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111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76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111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112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113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157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94</v>
      </c>
      <c r="B45" s="4" t="s">
        <v>95</v>
      </c>
      <c r="C45" s="4" t="s">
        <v>96</v>
      </c>
      <c r="D45" s="4" t="s">
        <v>97</v>
      </c>
      <c r="E45" s="4" t="s">
        <v>98</v>
      </c>
      <c r="F45" s="4" t="s">
        <v>60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103</v>
      </c>
      <c r="L45" s="4" t="s">
        <v>104</v>
      </c>
      <c r="M45" s="4" t="s">
        <v>105</v>
      </c>
      <c r="N45" s="5" t="s">
        <v>106</v>
      </c>
      <c r="O45" s="5" t="s">
        <v>107</v>
      </c>
      <c r="P45" s="5" t="s">
        <v>108</v>
      </c>
      <c r="Q45" s="5" t="s">
        <v>109</v>
      </c>
      <c r="R45" s="5" t="s">
        <v>110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77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115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79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115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80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115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81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115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82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115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83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115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84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115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85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118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86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118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87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118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88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118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89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118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90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118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91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118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116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116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112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113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104</v>
      </c>
      <c r="L65" s="9">
        <f>L66/H3</f>
        <v>700</v>
      </c>
    </row>
    <row r="66" spans="11:12">
      <c r="K66" s="9" t="s">
        <v>119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2026-05-14T07:50:57Z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