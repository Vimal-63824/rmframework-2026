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 firstSheet="3" activeTab="3"/>
  </bookViews>
  <sheets>
    <sheet name="POASimilarItemImport" sheetId="32" r:id="rId1"/>
    <sheet name="POADissimilarItemImport" sheetId="37" r:id="rId2"/>
    <sheet name="POADissimilarItem" sheetId="36" r:id="rId3"/>
    <sheet name="OpenPO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<sst xmlns="http://schemas.openxmlformats.org/spreadsheetml/2006/main" count="582" uniqueCount="65">
  <si>
    <t>Purchase Order &amp; GRN</t>
  </si>
  <si>
    <t>GST Purchase</t>
  </si>
  <si>
    <t>(1 - Local Purchase,2 Interstate Purchase, 3 Import Purchase)</t>
  </si>
  <si>
    <t xml:space="preserve">Cur. </t>
  </si>
  <si>
    <t>INR</t>
  </si>
  <si>
    <t>Ex. Rate</t>
  </si>
  <si>
    <t>Apportion Basis</t>
  </si>
  <si>
    <t>1 - Value Based, 2 Weight/Volume Based</t>
  </si>
  <si>
    <t>S. No.</t>
  </si>
  <si>
    <t>Item</t>
  </si>
  <si>
    <t>Item Desc.</t>
  </si>
  <si>
    <t>Stk. UOM</t>
  </si>
  <si>
    <t>Pur. UOM</t>
  </si>
  <si>
    <t>Order Qty (Pur UOM)</t>
  </si>
  <si>
    <t>Unit Cost</t>
  </si>
  <si>
    <t>Gross Amt.</t>
  </si>
  <si>
    <t>TD%</t>
  </si>
  <si>
    <t>SD%</t>
  </si>
  <si>
    <t>CD%</t>
  </si>
  <si>
    <t>TD Asbl. Val.</t>
  </si>
  <si>
    <t>TD Amt.</t>
  </si>
  <si>
    <t>SD Asbl. Val.</t>
  </si>
  <si>
    <t>SD Amt.</t>
  </si>
  <si>
    <t>CD Asbl. Val.</t>
  </si>
  <si>
    <t>CD Amt.</t>
  </si>
  <si>
    <t>Disc. Amt.</t>
  </si>
  <si>
    <t>Pur. Val.</t>
  </si>
  <si>
    <t>HSN</t>
  </si>
  <si>
    <t>Tax Rate</t>
  </si>
  <si>
    <t>CGST</t>
  </si>
  <si>
    <t>SGST</t>
  </si>
  <si>
    <t>IGST</t>
  </si>
  <si>
    <t>Tax amt</t>
  </si>
  <si>
    <t>Net Amt</t>
  </si>
  <si>
    <t>Weight/Vol</t>
  </si>
  <si>
    <t>Customs Duty</t>
  </si>
  <si>
    <t>IGST (Import)</t>
  </si>
  <si>
    <t>Packing &amp; Forwarding</t>
  </si>
  <si>
    <t>Freight</t>
  </si>
  <si>
    <t>Pur Amt (BC)</t>
  </si>
  <si>
    <t>Chargeable Cost</t>
  </si>
  <si>
    <t>Landed Cost</t>
  </si>
  <si>
    <t>Conv. Factor</t>
  </si>
  <si>
    <t>Eqv.  Stock Qty</t>
  </si>
  <si>
    <t>Pur. Unit Cost (chr)</t>
  </si>
  <si>
    <t>Chrg. Unit Cost</t>
  </si>
  <si>
    <t>Landed Cost Unit Cost</t>
  </si>
  <si>
    <t>Stock UOM</t>
  </si>
  <si>
    <t>Unit Cost (Stock UOM)</t>
  </si>
  <si>
    <t>GWL_ITEM - Serial</t>
  </si>
  <si>
    <t>GWL ITEM SERIAL</t>
  </si>
  <si>
    <t>NOS</t>
  </si>
  <si>
    <t>HSN1</t>
  </si>
  <si>
    <t>Total</t>
  </si>
  <si>
    <t>Purchase Order Amendment</t>
  </si>
  <si>
    <t>GWL_Item_Similar_02</t>
  </si>
  <si>
    <t>Final Purchase Order &amp; GRN</t>
  </si>
  <si>
    <t>GWL_ITEM_DISSIMILAR_UOM</t>
  </si>
  <si>
    <t>GWL_ITEM_DISSIMILAR_UOM_DESC</t>
  </si>
  <si>
    <t>GWL_Item_Dissimilar_02</t>
  </si>
  <si>
    <t>TVS-SIM-711440</t>
  </si>
  <si>
    <t>5</t>
  </si>
  <si>
    <t>150</t>
  </si>
  <si>
    <t>0124578</t>
  </si>
  <si>
    <t>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</si>
</sst>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"/>
  </numFmts>
  <fonts count="24">
    <font>
      <sz val="11"/>
      <color theme="1"/>
      <name val="Calibri"/>
      <charset val="134"/>
      <scheme val="minor"/>
    </font>
    <font>
      <b/>
      <sz val="10"/>
      <color theme="1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1"/>
      <color theme="1"/>
      <name val="Cambria"/>
      <charset val="134"/>
      <scheme val="major"/>
    </font>
    <font>
      <sz val="10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2" xfId="0" applyNumberFormat="1" applyFont="1" applyBorder="1"/>
    <xf numFmtId="0" fontId="3" fillId="3" borderId="2" xfId="0" applyFont="1" applyFill="1" applyBorder="1" applyAlignment="1">
      <alignment horizontal="center"/>
    </xf>
    <xf numFmtId="0" fontId="3" fillId="3" borderId="2" xfId="0" applyNumberFormat="1" applyFont="1" applyFill="1" applyBorder="1"/>
    <xf numFmtId="0" fontId="2" fillId="0" borderId="0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2" fontId="2" fillId="0" borderId="2" xfId="0" applyNumberFormat="1" applyFont="1" applyBorder="1"/>
    <xf numFmtId="0" fontId="3" fillId="3" borderId="2" xfId="0" applyFont="1" applyFill="1" applyBorder="1"/>
    <xf numFmtId="2" fontId="3" fillId="3" borderId="2" xfId="0" applyNumberFormat="1" applyFont="1" applyFill="1" applyBorder="1"/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/>
    <xf numFmtId="2" fontId="3" fillId="7" borderId="2" xfId="0" applyNumberFormat="1" applyFont="1" applyFill="1" applyBorder="1"/>
    <xf numFmtId="180" fontId="2" fillId="0" borderId="2" xfId="0" applyNumberFormat="1" applyFont="1" applyBorder="1"/>
    <xf numFmtId="0" fontId="3" fillId="8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3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6"/>
  <sheetViews>
    <sheetView showGridLines="0" workbookViewId="0">
      <selection activeCell="V15" sqref="V15"/>
    </sheetView>
  </sheetViews>
  <sheetFormatPr defaultColWidth="9.13888888888889" defaultRowHeight="13.8"/>
  <cols>
    <col min="1" max="1" width="8" style="2" customWidth="1"/>
    <col min="2" max="2" width="21" style="2" customWidth="1"/>
    <col min="3" max="3" width="21.8518518518519" style="2" customWidth="1"/>
    <col min="4" max="4" width="10" style="2" customWidth="1"/>
    <col min="5" max="5" width="12.5740740740741" style="2" customWidth="1"/>
    <col min="6" max="6" width="14.712962962963" style="2" customWidth="1"/>
    <col min="7" max="7" width="10.1388888888889" style="2" customWidth="1"/>
    <col min="8" max="8" width="11.8518518518519" style="2" customWidth="1"/>
    <col min="9" max="9" width="14.4259259259259" style="2" customWidth="1"/>
    <col min="10" max="10" width="18.287037037037" style="2" customWidth="1"/>
    <col min="11" max="11" width="12.8518518518519" style="2" customWidth="1"/>
    <col min="12" max="12" width="17.8518518518519" style="2" customWidth="1"/>
    <col min="13" max="13" width="12.8518518518519" style="2" customWidth="1"/>
    <col min="14" max="14" width="18" style="2" customWidth="1"/>
    <col min="15" max="15" width="18.1388888888889" style="2" customWidth="1"/>
    <col min="16" max="16" width="20.287037037037" style="2" customWidth="1"/>
    <col min="17" max="17" width="19" style="2" customWidth="1"/>
    <col min="18" max="18" width="13.287037037037" style="2" customWidth="1"/>
    <col min="19" max="19" width="10.712962962963" style="2" customWidth="1"/>
    <col min="20" max="20" width="12.1388888888889" style="2" customWidth="1"/>
    <col min="21" max="21" width="20.5740740740741" style="2" customWidth="1"/>
    <col min="22" max="22" width="28.712962962963" style="2" customWidth="1"/>
    <col min="23" max="23" width="9.28703703703704" style="2" customWidth="1"/>
    <col min="24" max="24" width="10" style="2" customWidth="1"/>
    <col min="25" max="26" width="11.5740740740741" style="2" customWidth="1"/>
    <col min="27" max="27" width="11.712962962963" style="2" customWidth="1"/>
    <col min="28" max="32" width="11.5740740740741" style="2" customWidth="1"/>
    <col min="33" max="35" width="12.287037037037" style="2" customWidth="1"/>
    <col min="36" max="36" width="14.712962962963" style="2" customWidth="1"/>
    <col min="37" max="39" width="12.287037037037" style="2" customWidth="1"/>
    <col min="40" max="40" width="14.712962962963" style="2" customWidth="1"/>
    <col min="41" max="41" width="23.287037037037" style="2" customWidth="1"/>
    <col min="42" max="16384" width="9.13888888888889" style="2"/>
  </cols>
  <sheetData>
    <row r="1" ht="27.75" customHeight="1" spans="1:41">
      <c r="A1" s="3" t="s">
        <v>0</v>
      </c>
      <c r="B1" s="4"/>
      <c r="C1" s="4"/>
      <c r="D1" s="4"/>
      <c r="E1" s="4"/>
      <c r="F1" s="4"/>
      <c r="G1" s="4"/>
      <c r="H1" s="3"/>
      <c r="I1" s="15"/>
      <c r="J1" s="15"/>
      <c r="K1" s="15"/>
      <c r="L1" s="15"/>
      <c r="M1" s="15"/>
      <c r="N1" s="15"/>
      <c r="O1" s="15"/>
      <c r="P1" s="15"/>
      <c r="Q1" s="15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ht="19.9" customHeight="1" spans="1:41">
      <c r="A2" s="5" t="s">
        <v>1</v>
      </c>
      <c r="B2" s="5"/>
      <c r="C2" s="6">
        <v>3</v>
      </c>
      <c r="D2" s="7" t="s">
        <v>2</v>
      </c>
      <c r="E2" s="4"/>
      <c r="F2" s="4"/>
      <c r="G2" s="4"/>
      <c r="H2" s="3"/>
      <c r="I2" s="15" t="s">
        <v>3</v>
      </c>
      <c r="J2" s="15" t="s">
        <v>4</v>
      </c>
      <c r="K2" s="15"/>
      <c r="L2" s="15" t="s">
        <v>5</v>
      </c>
      <c r="M2" s="15">
        <v>1</v>
      </c>
      <c r="N2" s="15"/>
      <c r="O2" s="15" t="s">
        <v>6</v>
      </c>
      <c r="P2" s="15">
        <v>2</v>
      </c>
      <c r="Q2" s="15" t="s">
        <v>7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="1" customFormat="1" ht="28.35" spans="1:41">
      <c r="A3" s="8" t="s">
        <v>8</v>
      </c>
      <c r="B3" s="8" t="s">
        <v>9</v>
      </c>
      <c r="C3" s="9" t="s">
        <v>10</v>
      </c>
      <c r="D3" s="8" t="s">
        <v>11</v>
      </c>
      <c r="E3" s="8" t="s">
        <v>12</v>
      </c>
      <c r="F3" s="10" t="s">
        <v>13</v>
      </c>
      <c r="G3" s="8" t="s">
        <v>14</v>
      </c>
      <c r="H3" s="8" t="s">
        <v>15</v>
      </c>
      <c r="I3" s="16" t="s">
        <v>16</v>
      </c>
      <c r="J3" s="16" t="s">
        <v>17</v>
      </c>
      <c r="K3" s="16" t="s">
        <v>18</v>
      </c>
      <c r="L3" s="17" t="s">
        <v>19</v>
      </c>
      <c r="M3" s="17" t="s">
        <v>20</v>
      </c>
      <c r="N3" s="17" t="s">
        <v>21</v>
      </c>
      <c r="O3" s="17" t="s">
        <v>22</v>
      </c>
      <c r="P3" s="17" t="s">
        <v>23</v>
      </c>
      <c r="Q3" s="17" t="s">
        <v>24</v>
      </c>
      <c r="R3" s="16" t="s">
        <v>25</v>
      </c>
      <c r="S3" s="8" t="s">
        <v>26</v>
      </c>
      <c r="T3" s="8" t="s">
        <v>27</v>
      </c>
      <c r="U3" s="18" t="s">
        <v>28</v>
      </c>
      <c r="V3" s="18" t="s">
        <v>29</v>
      </c>
      <c r="W3" s="18" t="s">
        <v>30</v>
      </c>
      <c r="X3" s="18" t="s">
        <v>31</v>
      </c>
      <c r="Y3" s="18" t="s">
        <v>32</v>
      </c>
      <c r="Z3" s="22" t="s">
        <v>33</v>
      </c>
      <c r="AA3" s="22" t="s">
        <v>34</v>
      </c>
      <c r="AB3" s="23" t="s">
        <v>35</v>
      </c>
      <c r="AC3" s="23" t="s">
        <v>36</v>
      </c>
      <c r="AD3" s="23" t="s">
        <v>37</v>
      </c>
      <c r="AE3" s="22" t="s">
        <v>38</v>
      </c>
      <c r="AF3" s="22" t="s">
        <v>39</v>
      </c>
      <c r="AG3" s="23" t="s">
        <v>40</v>
      </c>
      <c r="AH3" s="23" t="s">
        <v>41</v>
      </c>
      <c r="AI3" s="22" t="s">
        <v>42</v>
      </c>
      <c r="AJ3" s="22" t="s">
        <v>43</v>
      </c>
      <c r="AK3" s="23" t="s">
        <v>44</v>
      </c>
      <c r="AL3" s="23" t="s">
        <v>45</v>
      </c>
      <c r="AM3" s="23" t="s">
        <v>46</v>
      </c>
      <c r="AN3" s="22" t="s">
        <v>47</v>
      </c>
      <c r="AO3" s="27" t="s">
        <v>48</v>
      </c>
    </row>
    <row r="4" ht="15.15" spans="1:41">
      <c r="A4" s="11">
        <v>1</v>
      </c>
      <c r="B4" s="30" t="s">
        <v>49</v>
      </c>
      <c r="C4" s="11" t="s">
        <v>50</v>
      </c>
      <c r="D4" s="11" t="s">
        <v>51</v>
      </c>
      <c r="E4" s="11" t="s">
        <v>51</v>
      </c>
      <c r="F4" s="26">
        <v>5</v>
      </c>
      <c r="G4" s="19">
        <v>150</v>
      </c>
      <c r="H4" s="12">
        <f>F4*G4</f>
        <v>750</v>
      </c>
      <c r="I4" s="12">
        <v>5</v>
      </c>
      <c r="J4" s="12">
        <v>6</v>
      </c>
      <c r="K4" s="12">
        <v>7</v>
      </c>
      <c r="L4" s="12">
        <f>H4</f>
        <v>750</v>
      </c>
      <c r="M4" s="12">
        <f>ROUND((L4*I4)/100,2)</f>
        <v>37.5</v>
      </c>
      <c r="N4" s="12">
        <f>H4-M4</f>
        <v>712.5</v>
      </c>
      <c r="O4" s="12">
        <f>ROUND((N4*J4)/100,2)</f>
        <v>42.75</v>
      </c>
      <c r="P4" s="12">
        <f>ROUND(N4-O4,2)</f>
        <v>669.75</v>
      </c>
      <c r="Q4" s="12">
        <f>ROUND((P4*K4)/100,2)</f>
        <v>46.88</v>
      </c>
      <c r="R4" s="19">
        <f>M4+O4+Q4</f>
        <v>127.13</v>
      </c>
      <c r="S4" s="19">
        <f>(H4-R4)</f>
        <v>622.87</v>
      </c>
      <c r="T4" s="19" t="s">
        <v>52</v>
      </c>
      <c r="U4" s="12">
        <v>0</v>
      </c>
      <c r="V4" s="12">
        <f>IF($C$2=1,ROUND(((S4*(U4/100))/2),2),0)</f>
        <v>0</v>
      </c>
      <c r="W4" s="19">
        <f>IF($C$2=1,ROUND(((S4*(U4/100))/2),2),0)</f>
        <v>0</v>
      </c>
      <c r="X4" s="19">
        <f>IF($C$2=2,ROUND(((S4*U4)),2),0)</f>
        <v>0</v>
      </c>
      <c r="Y4" s="19">
        <f>V4+W4+X4</f>
        <v>0</v>
      </c>
      <c r="Z4" s="19">
        <f>S4+Y4</f>
        <v>622.87</v>
      </c>
      <c r="AA4" s="19">
        <v>120</v>
      </c>
      <c r="AB4" s="19" t="e">
        <f>IF($P$2=1,(S4/$S$5)*#REF!,AA4/$AA$5*#REF!)</f>
        <v>#REF!</v>
      </c>
      <c r="AC4" s="19"/>
      <c r="AD4" s="19" t="e">
        <f>IF($P$2=1,(S4/$S$5)*#REF!,AA4/$AA$5*#REF!)</f>
        <v>#REF!</v>
      </c>
      <c r="AE4" s="19" t="e">
        <f>IF($P$2=1,(S4/$S$5)*#REF!,AA4/$AA$5*#REF!)</f>
        <v>#REF!</v>
      </c>
      <c r="AF4" s="19">
        <f>S4*$M$2</f>
        <v>622.87</v>
      </c>
      <c r="AG4" s="19">
        <f>IF($C$2=3,0,AD4+AE4)</f>
        <v>0</v>
      </c>
      <c r="AH4" s="19" t="e">
        <f>IF($C$2=3,AB4+AD4+AE4,0)</f>
        <v>#REF!</v>
      </c>
      <c r="AI4" s="26">
        <v>1</v>
      </c>
      <c r="AJ4" s="19">
        <f>F4/AI4</f>
        <v>5</v>
      </c>
      <c r="AK4" s="19">
        <f>AF4/AJ4</f>
        <v>124.574</v>
      </c>
      <c r="AL4" s="19">
        <f>AG4/AJ4</f>
        <v>0</v>
      </c>
      <c r="AM4" s="19" t="e">
        <f>AH4/AJ4</f>
        <v>#REF!</v>
      </c>
      <c r="AN4" s="19" t="s">
        <v>51</v>
      </c>
      <c r="AO4" s="19" t="e">
        <f>AK4+AL4+AM4</f>
        <v>#REF!</v>
      </c>
    </row>
    <row r="5" ht="14.55" spans="2:41">
      <c r="B5" s="13" t="s">
        <v>53</v>
      </c>
      <c r="C5" s="13"/>
      <c r="D5" s="13"/>
      <c r="E5" s="13"/>
      <c r="F5" s="13"/>
      <c r="G5" s="13"/>
      <c r="H5" s="14">
        <f>SUM(H4:H4)</f>
        <v>750</v>
      </c>
      <c r="I5" s="11"/>
      <c r="J5" s="11"/>
      <c r="K5" s="11"/>
      <c r="L5" s="11"/>
      <c r="M5" s="11"/>
      <c r="N5" s="11"/>
      <c r="O5" s="11"/>
      <c r="P5" s="11"/>
      <c r="Q5" s="11"/>
      <c r="R5" s="20">
        <f t="shared" ref="R5:AB5" si="0">SUM(R4:R4)</f>
        <v>127.13</v>
      </c>
      <c r="S5" s="20">
        <f t="shared" si="0"/>
        <v>622.87</v>
      </c>
      <c r="T5" s="20"/>
      <c r="U5" s="20"/>
      <c r="V5" s="21">
        <f t="shared" si="0"/>
        <v>0</v>
      </c>
      <c r="W5" s="21">
        <f t="shared" si="0"/>
        <v>0</v>
      </c>
      <c r="X5" s="21">
        <f t="shared" si="0"/>
        <v>0</v>
      </c>
      <c r="Y5" s="20">
        <f t="shared" si="0"/>
        <v>0</v>
      </c>
      <c r="Z5" s="24">
        <f t="shared" si="0"/>
        <v>622.87</v>
      </c>
      <c r="AA5" s="25">
        <f t="shared" si="0"/>
        <v>120</v>
      </c>
      <c r="AB5" s="25" t="e">
        <f t="shared" si="0"/>
        <v>#REF!</v>
      </c>
      <c r="AC5" s="24"/>
      <c r="AD5" s="25" t="e">
        <f>SUM(AD4:AD4)</f>
        <v>#REF!</v>
      </c>
      <c r="AE5" s="25" t="e">
        <f>SUM(AE4:AE4)</f>
        <v>#REF!</v>
      </c>
      <c r="AF5" s="25">
        <f>SUM(AF4:AF4)</f>
        <v>622.87</v>
      </c>
      <c r="AG5" s="25">
        <f>SUM(AG4:AG4)</f>
        <v>0</v>
      </c>
      <c r="AH5" s="25" t="e">
        <f>SUM(AH4:AH4)</f>
        <v>#REF!</v>
      </c>
      <c r="AI5" s="24"/>
      <c r="AJ5" s="24"/>
      <c r="AK5" s="24"/>
      <c r="AL5" s="24"/>
      <c r="AM5" s="24"/>
      <c r="AN5" s="24"/>
      <c r="AO5" s="24"/>
    </row>
    <row r="6" spans="1:41">
      <c r="A6" s="3" t="s">
        <v>54</v>
      </c>
      <c r="B6" s="4"/>
      <c r="C6" s="4"/>
      <c r="D6" s="4"/>
      <c r="E6" s="4"/>
      <c r="F6" s="4"/>
      <c r="G6" s="4"/>
      <c r="H6" s="3"/>
      <c r="I6" s="15"/>
      <c r="J6" s="15"/>
      <c r="K6" s="15"/>
      <c r="L6" s="15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>
      <c r="A7" s="5" t="s">
        <v>1</v>
      </c>
      <c r="B7" s="5"/>
      <c r="C7" s="6">
        <v>3</v>
      </c>
      <c r="D7" s="7" t="s">
        <v>2</v>
      </c>
      <c r="E7" s="4"/>
      <c r="F7" s="4"/>
      <c r="G7" s="4"/>
      <c r="H7" s="3"/>
      <c r="I7" s="15" t="s">
        <v>3</v>
      </c>
      <c r="J7" s="15" t="s">
        <v>4</v>
      </c>
      <c r="K7" s="15"/>
      <c r="L7" s="15" t="s">
        <v>5</v>
      </c>
      <c r="M7" s="15">
        <v>1</v>
      </c>
      <c r="N7" s="15"/>
      <c r="O7" s="15" t="s">
        <v>6</v>
      </c>
      <c r="P7" s="15">
        <v>2</v>
      </c>
      <c r="Q7" s="15" t="s">
        <v>7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ht="28.35" spans="1:41">
      <c r="A8" s="8" t="s">
        <v>8</v>
      </c>
      <c r="B8" s="8" t="s">
        <v>9</v>
      </c>
      <c r="C8" s="9" t="s">
        <v>10</v>
      </c>
      <c r="D8" s="8" t="s">
        <v>11</v>
      </c>
      <c r="E8" s="8" t="s">
        <v>12</v>
      </c>
      <c r="F8" s="10" t="s">
        <v>13</v>
      </c>
      <c r="G8" s="8" t="s">
        <v>14</v>
      </c>
      <c r="H8" s="8" t="s">
        <v>15</v>
      </c>
      <c r="I8" s="16" t="s">
        <v>16</v>
      </c>
      <c r="J8" s="16" t="s">
        <v>17</v>
      </c>
      <c r="K8" s="16" t="s">
        <v>18</v>
      </c>
      <c r="L8" s="17" t="s">
        <v>19</v>
      </c>
      <c r="M8" s="17" t="s">
        <v>20</v>
      </c>
      <c r="N8" s="17" t="s">
        <v>21</v>
      </c>
      <c r="O8" s="17" t="s">
        <v>22</v>
      </c>
      <c r="P8" s="17" t="s">
        <v>23</v>
      </c>
      <c r="Q8" s="17" t="s">
        <v>24</v>
      </c>
      <c r="R8" s="16" t="s">
        <v>25</v>
      </c>
      <c r="S8" s="8" t="s">
        <v>26</v>
      </c>
      <c r="T8" s="8" t="s">
        <v>27</v>
      </c>
      <c r="U8" s="18" t="s">
        <v>28</v>
      </c>
      <c r="V8" s="18" t="s">
        <v>29</v>
      </c>
      <c r="W8" s="18" t="s">
        <v>30</v>
      </c>
      <c r="X8" s="18" t="s">
        <v>31</v>
      </c>
      <c r="Y8" s="18" t="s">
        <v>32</v>
      </c>
      <c r="Z8" s="22" t="s">
        <v>33</v>
      </c>
      <c r="AA8" s="22" t="s">
        <v>34</v>
      </c>
      <c r="AB8" s="23" t="s">
        <v>35</v>
      </c>
      <c r="AC8" s="23" t="s">
        <v>36</v>
      </c>
      <c r="AD8" s="23" t="s">
        <v>37</v>
      </c>
      <c r="AE8" s="22" t="s">
        <v>38</v>
      </c>
      <c r="AF8" s="22" t="s">
        <v>39</v>
      </c>
      <c r="AG8" s="23" t="s">
        <v>40</v>
      </c>
      <c r="AH8" s="23" t="s">
        <v>41</v>
      </c>
      <c r="AI8" s="22" t="s">
        <v>42</v>
      </c>
      <c r="AJ8" s="22" t="s">
        <v>43</v>
      </c>
      <c r="AK8" s="23" t="s">
        <v>44</v>
      </c>
      <c r="AL8" s="23" t="s">
        <v>45</v>
      </c>
      <c r="AM8" s="23" t="s">
        <v>46</v>
      </c>
      <c r="AN8" s="22" t="s">
        <v>47</v>
      </c>
      <c r="AO8" s="27" t="s">
        <v>48</v>
      </c>
    </row>
    <row r="9" ht="15.15" spans="1:41">
      <c r="A9" s="11">
        <v>1</v>
      </c>
      <c r="B9" s="30" t="s">
        <v>55</v>
      </c>
      <c r="C9" s="11" t="s">
        <v>55</v>
      </c>
      <c r="D9" s="11" t="s">
        <v>51</v>
      </c>
      <c r="E9" s="11" t="s">
        <v>51</v>
      </c>
      <c r="F9" s="26">
        <v>6</v>
      </c>
      <c r="G9" s="19">
        <v>200</v>
      </c>
      <c r="H9" s="12">
        <f>F9*G9</f>
        <v>1200</v>
      </c>
      <c r="I9" s="12">
        <v>0</v>
      </c>
      <c r="J9" s="12">
        <v>0</v>
      </c>
      <c r="K9" s="12">
        <v>0</v>
      </c>
      <c r="L9" s="12">
        <f>H9</f>
        <v>1200</v>
      </c>
      <c r="M9" s="12">
        <f>ROUND((L9*I9)/100,2)</f>
        <v>0</v>
      </c>
      <c r="N9" s="12">
        <f>H9-M9</f>
        <v>1200</v>
      </c>
      <c r="O9" s="12">
        <f>ROUND((N9*J9)/100,2)</f>
        <v>0</v>
      </c>
      <c r="P9" s="12">
        <f>ROUND(N9-O9,2)</f>
        <v>1200</v>
      </c>
      <c r="Q9" s="12">
        <f>ROUND((P9*K9)/100,2)</f>
        <v>0</v>
      </c>
      <c r="R9" s="19">
        <f>M9+O9+Q9</f>
        <v>0</v>
      </c>
      <c r="S9" s="19">
        <f>(H9-R9)</f>
        <v>1200</v>
      </c>
      <c r="T9" s="19" t="s">
        <v>52</v>
      </c>
      <c r="U9" s="12">
        <v>0</v>
      </c>
      <c r="V9" s="12">
        <f>IF($C$2=1,ROUND(((S9*(U9/100))/2),2),0)</f>
        <v>0</v>
      </c>
      <c r="W9" s="19">
        <f>IF($C$2=1,ROUND(((S9*(U9/100))/2),2),0)</f>
        <v>0</v>
      </c>
      <c r="X9" s="19">
        <f>IF($C$2=2,ROUND(((S9*U9)),2),0)</f>
        <v>0</v>
      </c>
      <c r="Y9" s="19">
        <f>V9+W9+X9</f>
        <v>0</v>
      </c>
      <c r="Z9" s="19">
        <f>S9+Y9</f>
        <v>1200</v>
      </c>
      <c r="AA9" s="19">
        <v>200</v>
      </c>
      <c r="AB9" s="19" t="e">
        <f>IF($P$2=1,(S9/$S$5)*#REF!,AA9/$AA$5*#REF!)</f>
        <v>#REF!</v>
      </c>
      <c r="AC9" s="19"/>
      <c r="AD9" s="19" t="e">
        <f>IF($P$2=1,(S9/$S$5)*#REF!,AA9/$AA$5*#REF!)</f>
        <v>#REF!</v>
      </c>
      <c r="AE9" s="19" t="e">
        <f>IF($P$2=1,(S9/$S$5)*#REF!,AA9/$AA$5*#REF!)</f>
        <v>#REF!</v>
      </c>
      <c r="AF9" s="19">
        <f>S9*$M$2</f>
        <v>1200</v>
      </c>
      <c r="AG9" s="19">
        <f>IF($C$2=3,0,AD9+AE9)</f>
        <v>0</v>
      </c>
      <c r="AH9" s="19" t="e">
        <f>IF($C$2=3,AB9+AD9+AE9,0)</f>
        <v>#REF!</v>
      </c>
      <c r="AI9" s="26">
        <v>1</v>
      </c>
      <c r="AJ9" s="19">
        <f>F9/AI9</f>
        <v>6</v>
      </c>
      <c r="AK9" s="19">
        <f>AF9/AJ9</f>
        <v>200</v>
      </c>
      <c r="AL9" s="19">
        <f>AG9/AJ9</f>
        <v>0</v>
      </c>
      <c r="AM9" s="19" t="e">
        <f>AH9/AJ9</f>
        <v>#REF!</v>
      </c>
      <c r="AN9" s="19" t="s">
        <v>51</v>
      </c>
      <c r="AO9" s="19" t="e">
        <f>AK9+AL9+AM9</f>
        <v>#REF!</v>
      </c>
    </row>
    <row r="10" ht="14.55" spans="2:41">
      <c r="B10" s="13" t="s">
        <v>53</v>
      </c>
      <c r="C10" s="13"/>
      <c r="D10" s="13"/>
      <c r="E10" s="13"/>
      <c r="F10" s="13"/>
      <c r="G10" s="13"/>
      <c r="H10" s="14">
        <f>SUM(H9:H9)</f>
        <v>1200</v>
      </c>
      <c r="I10" s="11"/>
      <c r="J10" s="11"/>
      <c r="K10" s="11"/>
      <c r="L10" s="11"/>
      <c r="M10" s="11"/>
      <c r="N10" s="11"/>
      <c r="O10" s="11"/>
      <c r="P10" s="11"/>
      <c r="Q10" s="11"/>
      <c r="R10" s="20">
        <f t="shared" ref="R10:AB10" si="1">SUM(R9:R9)</f>
        <v>0</v>
      </c>
      <c r="S10" s="20">
        <f t="shared" si="1"/>
        <v>1200</v>
      </c>
      <c r="T10" s="20"/>
      <c r="U10" s="20"/>
      <c r="V10" s="21">
        <f t="shared" si="1"/>
        <v>0</v>
      </c>
      <c r="W10" s="21">
        <f t="shared" si="1"/>
        <v>0</v>
      </c>
      <c r="X10" s="21">
        <f t="shared" si="1"/>
        <v>0</v>
      </c>
      <c r="Y10" s="20">
        <f t="shared" si="1"/>
        <v>0</v>
      </c>
      <c r="Z10" s="24">
        <f t="shared" si="1"/>
        <v>1200</v>
      </c>
      <c r="AA10" s="25">
        <f t="shared" si="1"/>
        <v>200</v>
      </c>
      <c r="AB10" s="25" t="e">
        <f t="shared" si="1"/>
        <v>#REF!</v>
      </c>
      <c r="AC10" s="24"/>
      <c r="AD10" s="25" t="e">
        <f>SUM(AD9:AD9)</f>
        <v>#REF!</v>
      </c>
      <c r="AE10" s="25" t="e">
        <f>SUM(AE9:AE9)</f>
        <v>#REF!</v>
      </c>
      <c r="AF10" s="25">
        <f>SUM(AF9:AF9)</f>
        <v>1200</v>
      </c>
      <c r="AG10" s="25">
        <f>SUM(AG9:AG9)</f>
        <v>0</v>
      </c>
      <c r="AH10" s="25" t="e">
        <f>SUM(AH9:AH9)</f>
        <v>#REF!</v>
      </c>
      <c r="AI10" s="24"/>
      <c r="AJ10" s="24"/>
      <c r="AK10" s="24"/>
      <c r="AL10" s="24"/>
      <c r="AM10" s="24"/>
      <c r="AN10" s="24"/>
      <c r="AO10" s="24"/>
    </row>
    <row r="11" spans="1:41">
      <c r="A11" s="3" t="s">
        <v>56</v>
      </c>
      <c r="B11" s="4"/>
      <c r="C11" s="4"/>
      <c r="D11" s="4"/>
      <c r="E11" s="4"/>
      <c r="F11" s="4"/>
      <c r="G11" s="4"/>
      <c r="H11" s="3"/>
      <c r="I11" s="15"/>
      <c r="J11" s="15"/>
      <c r="K11" s="15"/>
      <c r="L11" s="15"/>
      <c r="M11" s="15"/>
      <c r="N11" s="15"/>
      <c r="O11" s="15"/>
      <c r="P11" s="15"/>
      <c r="Q11" s="15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>
      <c r="A12" s="5" t="s">
        <v>1</v>
      </c>
      <c r="B12" s="5"/>
      <c r="C12" s="6">
        <v>3</v>
      </c>
      <c r="D12" s="7" t="s">
        <v>2</v>
      </c>
      <c r="E12" s="4"/>
      <c r="F12" s="4"/>
      <c r="G12" s="4"/>
      <c r="H12" s="3"/>
      <c r="I12" s="15" t="s">
        <v>3</v>
      </c>
      <c r="J12" s="15" t="s">
        <v>4</v>
      </c>
      <c r="K12" s="15"/>
      <c r="L12" s="15" t="s">
        <v>5</v>
      </c>
      <c r="M12" s="15">
        <v>1</v>
      </c>
      <c r="N12" s="15"/>
      <c r="O12" s="15" t="s">
        <v>6</v>
      </c>
      <c r="P12" s="15">
        <v>2</v>
      </c>
      <c r="Q12" s="15" t="s">
        <v>7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ht="28.35" spans="1:41">
      <c r="A13" s="8" t="s">
        <v>8</v>
      </c>
      <c r="B13" s="8" t="s">
        <v>9</v>
      </c>
      <c r="C13" s="9" t="s">
        <v>10</v>
      </c>
      <c r="D13" s="8" t="s">
        <v>11</v>
      </c>
      <c r="E13" s="8" t="s">
        <v>12</v>
      </c>
      <c r="F13" s="10" t="s">
        <v>13</v>
      </c>
      <c r="G13" s="8" t="s">
        <v>14</v>
      </c>
      <c r="H13" s="8" t="s">
        <v>15</v>
      </c>
      <c r="I13" s="16" t="s">
        <v>16</v>
      </c>
      <c r="J13" s="16" t="s">
        <v>17</v>
      </c>
      <c r="K13" s="16" t="s">
        <v>18</v>
      </c>
      <c r="L13" s="17" t="s">
        <v>19</v>
      </c>
      <c r="M13" s="17" t="s">
        <v>20</v>
      </c>
      <c r="N13" s="17" t="s">
        <v>21</v>
      </c>
      <c r="O13" s="17" t="s">
        <v>22</v>
      </c>
      <c r="P13" s="17" t="s">
        <v>23</v>
      </c>
      <c r="Q13" s="17" t="s">
        <v>24</v>
      </c>
      <c r="R13" s="16" t="s">
        <v>25</v>
      </c>
      <c r="S13" s="8" t="s">
        <v>26</v>
      </c>
      <c r="T13" s="8" t="s">
        <v>27</v>
      </c>
      <c r="U13" s="18" t="s">
        <v>28</v>
      </c>
      <c r="V13" s="18" t="s">
        <v>29</v>
      </c>
      <c r="W13" s="18" t="s">
        <v>30</v>
      </c>
      <c r="X13" s="18" t="s">
        <v>31</v>
      </c>
      <c r="Y13" s="18" t="s">
        <v>32</v>
      </c>
      <c r="Z13" s="22" t="s">
        <v>33</v>
      </c>
      <c r="AA13" s="22" t="s">
        <v>34</v>
      </c>
      <c r="AB13" s="23" t="s">
        <v>35</v>
      </c>
      <c r="AC13" s="23" t="s">
        <v>36</v>
      </c>
      <c r="AD13" s="23" t="s">
        <v>37</v>
      </c>
      <c r="AE13" s="22" t="s">
        <v>38</v>
      </c>
      <c r="AF13" s="22" t="s">
        <v>39</v>
      </c>
      <c r="AG13" s="23" t="s">
        <v>40</v>
      </c>
      <c r="AH13" s="23" t="s">
        <v>41</v>
      </c>
      <c r="AI13" s="22" t="s">
        <v>42</v>
      </c>
      <c r="AJ13" s="22" t="s">
        <v>43</v>
      </c>
      <c r="AK13" s="23" t="s">
        <v>44</v>
      </c>
      <c r="AL13" s="23" t="s">
        <v>45</v>
      </c>
      <c r="AM13" s="23" t="s">
        <v>46</v>
      </c>
      <c r="AN13" s="22" t="s">
        <v>47</v>
      </c>
      <c r="AO13" s="27" t="s">
        <v>48</v>
      </c>
    </row>
    <row r="14" ht="15.15" spans="1:41">
      <c r="A14" s="11">
        <v>1</v>
      </c>
      <c r="B14" s="30" t="s">
        <v>49</v>
      </c>
      <c r="C14" s="11" t="s">
        <v>50</v>
      </c>
      <c r="D14" s="11" t="s">
        <v>51</v>
      </c>
      <c r="E14" s="11" t="s">
        <v>51</v>
      </c>
      <c r="F14" s="26">
        <v>5</v>
      </c>
      <c r="G14" s="19">
        <v>150</v>
      </c>
      <c r="H14" s="12">
        <f>F14*G14</f>
        <v>750</v>
      </c>
      <c r="I14" s="12">
        <v>5</v>
      </c>
      <c r="J14" s="12">
        <v>6</v>
      </c>
      <c r="K14" s="12">
        <v>7</v>
      </c>
      <c r="L14" s="12">
        <f>H14</f>
        <v>750</v>
      </c>
      <c r="M14" s="12">
        <f>ROUND((L14*I14)/100,2)</f>
        <v>37.5</v>
      </c>
      <c r="N14" s="12">
        <f>H14-M14</f>
        <v>712.5</v>
      </c>
      <c r="O14" s="12">
        <f>ROUND((N14*J14)/100,2)</f>
        <v>42.75</v>
      </c>
      <c r="P14" s="12">
        <f>ROUND(N14-O14,2)</f>
        <v>669.75</v>
      </c>
      <c r="Q14" s="12">
        <f>ROUND((P14*K14)/100,2)</f>
        <v>46.88</v>
      </c>
      <c r="R14" s="19">
        <f>M14+O14+Q14</f>
        <v>127.13</v>
      </c>
      <c r="S14" s="12">
        <f>(H14-R14)</f>
        <v>622.87</v>
      </c>
      <c r="T14" s="19" t="s">
        <v>52</v>
      </c>
      <c r="U14" s="12">
        <v>0</v>
      </c>
      <c r="V14" s="12">
        <f>IF($C$2=1,ROUND(((S14*(U14/100))/2),2),0)</f>
        <v>0</v>
      </c>
      <c r="W14" s="19">
        <f>IF($C$2=1,ROUND(((S14*(U14/100))/2),2),0)</f>
        <v>0</v>
      </c>
      <c r="X14" s="19">
        <f>IF($C$2=2,ROUND(((S14*U14)),2),0)</f>
        <v>0</v>
      </c>
      <c r="Y14" s="19">
        <f>V14+W14+X14</f>
        <v>0</v>
      </c>
      <c r="Z14" s="19">
        <f>S14+Y14</f>
        <v>622.87</v>
      </c>
      <c r="AA14" s="19">
        <v>120</v>
      </c>
      <c r="AB14" s="19" t="e">
        <f>IF($P$2=1,(S14/$S$5)*#REF!,AA14/$AA$5*#REF!)</f>
        <v>#REF!</v>
      </c>
      <c r="AC14" s="19"/>
      <c r="AD14" s="19" t="e">
        <f>IF($P$2=1,(S14/$S$5)*#REF!,AA14/$AA$5*#REF!)</f>
        <v>#REF!</v>
      </c>
      <c r="AE14" s="19" t="e">
        <f>IF($P$2=1,(S14/$S$5)*#REF!,AA14/$AA$5*#REF!)</f>
        <v>#REF!</v>
      </c>
      <c r="AF14" s="19">
        <f>S14*$M$2</f>
        <v>622.87</v>
      </c>
      <c r="AG14" s="19">
        <f>IF($C$2=3,0,AD14+AE14)</f>
        <v>0</v>
      </c>
      <c r="AH14" s="19" t="e">
        <f>IF($C$2=3,AB14+AD14+AE14,0)</f>
        <v>#REF!</v>
      </c>
      <c r="AI14" s="26">
        <v>1</v>
      </c>
      <c r="AJ14" s="19">
        <f>F14/AI14</f>
        <v>5</v>
      </c>
      <c r="AK14" s="19">
        <f>AF14/AJ14</f>
        <v>124.574</v>
      </c>
      <c r="AL14" s="19">
        <f>AG14/AJ14</f>
        <v>0</v>
      </c>
      <c r="AM14" s="19" t="e">
        <f>AH14/AJ14</f>
        <v>#REF!</v>
      </c>
      <c r="AN14" s="19" t="s">
        <v>51</v>
      </c>
      <c r="AO14" s="19" t="e">
        <f>AK14+AL14+AM14</f>
        <v>#REF!</v>
      </c>
    </row>
    <row r="15" ht="15.15" spans="1:41">
      <c r="A15" s="11">
        <v>2</v>
      </c>
      <c r="B15" s="30" t="s">
        <v>55</v>
      </c>
      <c r="C15" s="11" t="s">
        <v>55</v>
      </c>
      <c r="D15" s="11" t="s">
        <v>51</v>
      </c>
      <c r="E15" s="11" t="s">
        <v>51</v>
      </c>
      <c r="F15" s="26">
        <v>6</v>
      </c>
      <c r="G15" s="19">
        <v>200</v>
      </c>
      <c r="H15" s="12">
        <f>F15*G15</f>
        <v>1200</v>
      </c>
      <c r="I15" s="12">
        <v>0</v>
      </c>
      <c r="J15" s="12">
        <v>0</v>
      </c>
      <c r="K15" s="12">
        <v>0</v>
      </c>
      <c r="L15" s="12">
        <f>H15</f>
        <v>1200</v>
      </c>
      <c r="M15" s="12">
        <f>ROUND((L15*I15)/100,2)</f>
        <v>0</v>
      </c>
      <c r="N15" s="12">
        <f>H15-M15</f>
        <v>1200</v>
      </c>
      <c r="O15" s="12">
        <f>ROUND((N15*J15)/100,2)</f>
        <v>0</v>
      </c>
      <c r="P15" s="12">
        <f>ROUND(N15-O15,2)</f>
        <v>1200</v>
      </c>
      <c r="Q15" s="12">
        <f>ROUND((P15*K15)/100,2)</f>
        <v>0</v>
      </c>
      <c r="R15" s="19">
        <f>M15+O15+Q15</f>
        <v>0</v>
      </c>
      <c r="S15" s="12">
        <f>(H15-R15)</f>
        <v>1200</v>
      </c>
      <c r="T15" s="19" t="s">
        <v>52</v>
      </c>
      <c r="U15" s="12">
        <v>0</v>
      </c>
      <c r="V15" s="12">
        <f>IF($C$2=1,ROUND(((S15*(U15/100))/2),2),0)</f>
        <v>0</v>
      </c>
      <c r="W15" s="19">
        <f>IF($C$2=1,ROUND(((S15*(U15/100))/2),2),0)</f>
        <v>0</v>
      </c>
      <c r="X15" s="19">
        <f>IF($C$2=2,ROUND(((S15*U15)),2),0)</f>
        <v>0</v>
      </c>
      <c r="Y15" s="19">
        <f>V15+W15+X15</f>
        <v>0</v>
      </c>
      <c r="Z15" s="19">
        <f>S15+Y15</f>
        <v>1200</v>
      </c>
      <c r="AA15" s="19">
        <v>200</v>
      </c>
      <c r="AB15" s="19" t="e">
        <f>IF($P$2=1,(S15/$S$5)*#REF!,AA15/$AA$5*#REF!)</f>
        <v>#REF!</v>
      </c>
      <c r="AC15" s="19"/>
      <c r="AD15" s="19" t="e">
        <f>IF($P$2=1,(S15/$S$5)*#REF!,AA15/$AA$5*#REF!)</f>
        <v>#REF!</v>
      </c>
      <c r="AE15" s="19" t="e">
        <f>IF($P$2=1,(S15/$S$5)*#REF!,AA15/$AA$5*#REF!)</f>
        <v>#REF!</v>
      </c>
      <c r="AF15" s="19">
        <f>S15*$M$2</f>
        <v>1200</v>
      </c>
      <c r="AG15" s="19">
        <f>IF($C$2=3,0,AD15+AE15)</f>
        <v>0</v>
      </c>
      <c r="AH15" s="19" t="e">
        <f>IF($C$2=3,AB15+AD15+AE15,0)</f>
        <v>#REF!</v>
      </c>
      <c r="AI15" s="26">
        <v>1</v>
      </c>
      <c r="AJ15" s="19">
        <f>F15/AI15</f>
        <v>6</v>
      </c>
      <c r="AK15" s="19">
        <f>AF15/AJ15</f>
        <v>200</v>
      </c>
      <c r="AL15" s="19">
        <f>AG15/AJ15</f>
        <v>0</v>
      </c>
      <c r="AM15" s="19" t="e">
        <f>AH15/AJ15</f>
        <v>#REF!</v>
      </c>
      <c r="AN15" s="19" t="s">
        <v>51</v>
      </c>
      <c r="AO15" s="19" t="e">
        <f>AK15+AL15+AM15</f>
        <v>#REF!</v>
      </c>
    </row>
    <row r="16" ht="14.55" spans="2:41">
      <c r="B16" s="13" t="s">
        <v>53</v>
      </c>
      <c r="C16" s="13"/>
      <c r="D16" s="13"/>
      <c r="E16" s="13"/>
      <c r="F16" s="13"/>
      <c r="G16" s="13"/>
      <c r="H16" s="14">
        <f>SUM(H14:H15)</f>
        <v>1950</v>
      </c>
      <c r="I16" s="11"/>
      <c r="J16" s="11"/>
      <c r="K16" s="11"/>
      <c r="L16" s="11"/>
      <c r="M16" s="11"/>
      <c r="N16" s="11"/>
      <c r="O16" s="11"/>
      <c r="P16" s="11"/>
      <c r="Q16" s="12">
        <f>ROUND((P16*K16)/100,2)</f>
        <v>0</v>
      </c>
      <c r="R16" s="20">
        <f t="shared" ref="R16:AB16" si="2">SUM(R14:R15)</f>
        <v>127.13</v>
      </c>
      <c r="S16" s="20">
        <f t="shared" si="2"/>
        <v>1822.87</v>
      </c>
      <c r="T16" s="20"/>
      <c r="U16" s="20"/>
      <c r="V16" s="21">
        <f t="shared" si="2"/>
        <v>0</v>
      </c>
      <c r="W16" s="21">
        <f t="shared" si="2"/>
        <v>0</v>
      </c>
      <c r="X16" s="21">
        <f t="shared" si="2"/>
        <v>0</v>
      </c>
      <c r="Y16" s="20">
        <f t="shared" si="2"/>
        <v>0</v>
      </c>
      <c r="Z16" s="24">
        <f t="shared" si="2"/>
        <v>1822.87</v>
      </c>
      <c r="AA16" s="25">
        <f t="shared" si="2"/>
        <v>320</v>
      </c>
      <c r="AB16" s="25" t="e">
        <f t="shared" si="2"/>
        <v>#REF!</v>
      </c>
      <c r="AC16" s="24"/>
      <c r="AD16" s="25" t="e">
        <f t="shared" ref="AD16:AH16" si="3">SUM(AD14:AD15)</f>
        <v>#REF!</v>
      </c>
      <c r="AE16" s="25" t="e">
        <f t="shared" si="3"/>
        <v>#REF!</v>
      </c>
      <c r="AF16" s="25">
        <f t="shared" si="3"/>
        <v>1822.87</v>
      </c>
      <c r="AG16" s="25">
        <f t="shared" si="3"/>
        <v>0</v>
      </c>
      <c r="AH16" s="25" t="e">
        <f t="shared" si="3"/>
        <v>#REF!</v>
      </c>
      <c r="AI16" s="24"/>
      <c r="AJ16" s="24"/>
      <c r="AK16" s="24"/>
      <c r="AL16" s="24"/>
      <c r="AM16" s="24"/>
      <c r="AN16" s="24"/>
      <c r="AO16" s="24"/>
    </row>
  </sheetData>
  <mergeCells count="6">
    <mergeCell ref="A2:B2"/>
    <mergeCell ref="B5:G5"/>
    <mergeCell ref="A7:B7"/>
    <mergeCell ref="B10:G10"/>
    <mergeCell ref="A12:B12"/>
    <mergeCell ref="B16:G16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6"/>
  <sheetViews>
    <sheetView showGridLines="0" workbookViewId="0">
      <selection activeCell="Y13" sqref="Y13"/>
    </sheetView>
  </sheetViews>
  <sheetFormatPr defaultColWidth="9.13888888888889" defaultRowHeight="13.8"/>
  <cols>
    <col min="1" max="1" width="8" style="2" customWidth="1"/>
    <col min="2" max="2" width="27.5740740740741" style="2" customWidth="1"/>
    <col min="3" max="3" width="33.1388888888889" style="2" customWidth="1"/>
    <col min="4" max="4" width="10" style="2" customWidth="1"/>
    <col min="5" max="5" width="12.5740740740741" style="2" customWidth="1"/>
    <col min="6" max="6" width="14.712962962963" style="2" customWidth="1"/>
    <col min="7" max="7" width="10.1388888888889" style="2" customWidth="1"/>
    <col min="8" max="8" width="11.8518518518519" style="2" customWidth="1"/>
    <col min="9" max="9" width="14.4259259259259" style="2" customWidth="1"/>
    <col min="10" max="10" width="18.287037037037" style="2" customWidth="1"/>
    <col min="11" max="11" width="12.8518518518519" style="2" customWidth="1"/>
    <col min="12" max="12" width="17.8518518518519" style="2" customWidth="1"/>
    <col min="13" max="13" width="12.8518518518519" style="2" customWidth="1"/>
    <col min="14" max="14" width="18" style="2" customWidth="1"/>
    <col min="15" max="15" width="18.1388888888889" style="2" customWidth="1"/>
    <col min="16" max="16" width="20.287037037037" style="2" customWidth="1"/>
    <col min="17" max="17" width="19" style="2" customWidth="1"/>
    <col min="18" max="18" width="13.287037037037" style="2" customWidth="1"/>
    <col min="19" max="19" width="10.712962962963" style="2" customWidth="1"/>
    <col min="20" max="20" width="12.1388888888889" style="2" customWidth="1"/>
    <col min="21" max="21" width="20.5740740740741" style="2" customWidth="1"/>
    <col min="22" max="22" width="28.712962962963" style="2" customWidth="1"/>
    <col min="23" max="23" width="9.28703703703704" style="2" customWidth="1"/>
    <col min="24" max="24" width="10" style="2" customWidth="1"/>
    <col min="25" max="26" width="11.5740740740741" style="2" customWidth="1"/>
    <col min="27" max="27" width="11.712962962963" style="2" customWidth="1"/>
    <col min="28" max="32" width="11.5740740740741" style="2" customWidth="1"/>
    <col min="33" max="35" width="12.287037037037" style="2" customWidth="1"/>
    <col min="36" max="36" width="14.712962962963" style="2" customWidth="1"/>
    <col min="37" max="39" width="12.287037037037" style="2" customWidth="1"/>
    <col min="40" max="40" width="14.712962962963" style="2" customWidth="1"/>
    <col min="41" max="41" width="23.287037037037" style="2" customWidth="1"/>
    <col min="42" max="16384" width="9.13888888888889" style="2"/>
  </cols>
  <sheetData>
    <row r="1" ht="27.75" customHeight="1" spans="1:41">
      <c r="A1" s="3" t="s">
        <v>0</v>
      </c>
      <c r="B1" s="4"/>
      <c r="C1" s="4"/>
      <c r="D1" s="4"/>
      <c r="E1" s="4"/>
      <c r="F1" s="4"/>
      <c r="G1" s="4"/>
      <c r="H1" s="3"/>
      <c r="I1" s="15"/>
      <c r="J1" s="15"/>
      <c r="K1" s="15"/>
      <c r="L1" s="15"/>
      <c r="M1" s="15"/>
      <c r="N1" s="15"/>
      <c r="O1" s="15"/>
      <c r="P1" s="15"/>
      <c r="Q1" s="15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ht="19.9" customHeight="1" spans="1:41">
      <c r="A2" s="5" t="s">
        <v>1</v>
      </c>
      <c r="B2" s="5"/>
      <c r="C2" s="6">
        <v>3</v>
      </c>
      <c r="D2" s="7" t="s">
        <v>2</v>
      </c>
      <c r="E2" s="4"/>
      <c r="F2" s="4"/>
      <c r="G2" s="4"/>
      <c r="H2" s="3"/>
      <c r="I2" s="15" t="s">
        <v>3</v>
      </c>
      <c r="J2" s="15" t="s">
        <v>4</v>
      </c>
      <c r="K2" s="15"/>
      <c r="L2" s="15" t="s">
        <v>5</v>
      </c>
      <c r="M2" s="15">
        <v>1</v>
      </c>
      <c r="N2" s="15"/>
      <c r="O2" s="15" t="s">
        <v>6</v>
      </c>
      <c r="P2" s="15">
        <v>2</v>
      </c>
      <c r="Q2" s="15" t="s">
        <v>7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="1" customFormat="1" ht="28.35" spans="1:41">
      <c r="A3" s="8" t="s">
        <v>8</v>
      </c>
      <c r="B3" s="8" t="s">
        <v>9</v>
      </c>
      <c r="C3" s="9" t="s">
        <v>10</v>
      </c>
      <c r="D3" s="8" t="s">
        <v>11</v>
      </c>
      <c r="E3" s="8" t="s">
        <v>12</v>
      </c>
      <c r="F3" s="10" t="s">
        <v>13</v>
      </c>
      <c r="G3" s="8" t="s">
        <v>14</v>
      </c>
      <c r="H3" s="8" t="s">
        <v>15</v>
      </c>
      <c r="I3" s="16" t="s">
        <v>16</v>
      </c>
      <c r="J3" s="16" t="s">
        <v>17</v>
      </c>
      <c r="K3" s="16" t="s">
        <v>18</v>
      </c>
      <c r="L3" s="17" t="s">
        <v>19</v>
      </c>
      <c r="M3" s="17" t="s">
        <v>20</v>
      </c>
      <c r="N3" s="17" t="s">
        <v>21</v>
      </c>
      <c r="O3" s="17" t="s">
        <v>22</v>
      </c>
      <c r="P3" s="17" t="s">
        <v>23</v>
      </c>
      <c r="Q3" s="17" t="s">
        <v>24</v>
      </c>
      <c r="R3" s="16" t="s">
        <v>25</v>
      </c>
      <c r="S3" s="8" t="s">
        <v>26</v>
      </c>
      <c r="T3" s="8" t="s">
        <v>27</v>
      </c>
      <c r="U3" s="18" t="s">
        <v>28</v>
      </c>
      <c r="V3" s="18" t="s">
        <v>29</v>
      </c>
      <c r="W3" s="18" t="s">
        <v>30</v>
      </c>
      <c r="X3" s="18" t="s">
        <v>31</v>
      </c>
      <c r="Y3" s="18" t="s">
        <v>32</v>
      </c>
      <c r="Z3" s="22" t="s">
        <v>33</v>
      </c>
      <c r="AA3" s="22" t="s">
        <v>34</v>
      </c>
      <c r="AB3" s="23" t="s">
        <v>35</v>
      </c>
      <c r="AC3" s="23" t="s">
        <v>36</v>
      </c>
      <c r="AD3" s="23" t="s">
        <v>37</v>
      </c>
      <c r="AE3" s="22" t="s">
        <v>38</v>
      </c>
      <c r="AF3" s="22" t="s">
        <v>39</v>
      </c>
      <c r="AG3" s="23" t="s">
        <v>40</v>
      </c>
      <c r="AH3" s="23" t="s">
        <v>41</v>
      </c>
      <c r="AI3" s="22" t="s">
        <v>42</v>
      </c>
      <c r="AJ3" s="22" t="s">
        <v>43</v>
      </c>
      <c r="AK3" s="23" t="s">
        <v>44</v>
      </c>
      <c r="AL3" s="23" t="s">
        <v>45</v>
      </c>
      <c r="AM3" s="23" t="s">
        <v>46</v>
      </c>
      <c r="AN3" s="22" t="s">
        <v>47</v>
      </c>
      <c r="AO3" s="27" t="s">
        <v>48</v>
      </c>
    </row>
    <row r="4" ht="14.55" spans="1:41">
      <c r="A4" s="11">
        <v>1</v>
      </c>
      <c r="B4" s="28" t="s">
        <v>57</v>
      </c>
      <c r="C4" s="28" t="s">
        <v>58</v>
      </c>
      <c r="D4" s="11" t="s">
        <v>51</v>
      </c>
      <c r="E4" s="11" t="s">
        <v>51</v>
      </c>
      <c r="F4" s="26">
        <v>5</v>
      </c>
      <c r="G4" s="19">
        <v>150</v>
      </c>
      <c r="H4" s="12">
        <f>F4*G4</f>
        <v>750</v>
      </c>
      <c r="I4" s="12">
        <v>5</v>
      </c>
      <c r="J4" s="12">
        <v>6</v>
      </c>
      <c r="K4" s="12">
        <v>7</v>
      </c>
      <c r="L4" s="12">
        <f>H4</f>
        <v>750</v>
      </c>
      <c r="M4" s="12">
        <f>ROUND((L4*I4)/100,2)</f>
        <v>37.5</v>
      </c>
      <c r="N4" s="12">
        <f>H4-M4</f>
        <v>712.5</v>
      </c>
      <c r="O4" s="12">
        <f>ROUND((N4*J4)/100,2)</f>
        <v>42.75</v>
      </c>
      <c r="P4" s="12">
        <f>ROUND(N4-O4,2)</f>
        <v>669.75</v>
      </c>
      <c r="Q4" s="12">
        <f>ROUND((P4*K4)/100,2)</f>
        <v>46.88</v>
      </c>
      <c r="R4" s="19">
        <f>M4+O4+Q4</f>
        <v>127.13</v>
      </c>
      <c r="S4" s="19">
        <f>(H4-R4)</f>
        <v>622.87</v>
      </c>
      <c r="T4" s="19" t="s">
        <v>52</v>
      </c>
      <c r="U4" s="12">
        <v>0</v>
      </c>
      <c r="V4" s="12">
        <f>IF($C$2=1,ROUND(((S4*(U4/100))/2),2),0)</f>
        <v>0</v>
      </c>
      <c r="W4" s="12">
        <f>IF($C$2=1,ROUND(((S4*(U4/100))/2),2),0)</f>
        <v>0</v>
      </c>
      <c r="X4" s="12">
        <f>IF($C$2=2,ROUND(((S4*U4)),2),0)</f>
        <v>0</v>
      </c>
      <c r="Y4" s="12">
        <f>V4+W4+X4</f>
        <v>0</v>
      </c>
      <c r="Z4" s="19">
        <f>S4+Y4</f>
        <v>622.87</v>
      </c>
      <c r="AA4" s="19">
        <v>120</v>
      </c>
      <c r="AB4" s="19" t="e">
        <f>IF($P$2=1,(S4/$S$5)*#REF!,AA4/$AA$5*#REF!)</f>
        <v>#REF!</v>
      </c>
      <c r="AC4" s="19"/>
      <c r="AD4" s="19" t="e">
        <f>IF($P$2=1,(S4/$S$5)*#REF!,AA4/$AA$5*#REF!)</f>
        <v>#REF!</v>
      </c>
      <c r="AE4" s="19" t="e">
        <f>IF($P$2=1,(S4/$S$5)*#REF!,AA4/$AA$5*#REF!)</f>
        <v>#REF!</v>
      </c>
      <c r="AF4" s="19">
        <f>S4*$M$2</f>
        <v>622.87</v>
      </c>
      <c r="AG4" s="19">
        <f>IF($C$2=3,0,AD4+AE4)</f>
        <v>0</v>
      </c>
      <c r="AH4" s="19" t="e">
        <f>IF($C$2=3,AB4+AD4+AE4,0)</f>
        <v>#REF!</v>
      </c>
      <c r="AI4" s="26">
        <v>1</v>
      </c>
      <c r="AJ4" s="19">
        <f>F4/AI4</f>
        <v>5</v>
      </c>
      <c r="AK4" s="19">
        <f>AF4/AJ4</f>
        <v>124.574</v>
      </c>
      <c r="AL4" s="19">
        <f>AG4/AJ4</f>
        <v>0</v>
      </c>
      <c r="AM4" s="19" t="e">
        <f>AH4/AJ4</f>
        <v>#REF!</v>
      </c>
      <c r="AN4" s="19" t="s">
        <v>51</v>
      </c>
      <c r="AO4" s="19" t="e">
        <f>AK4+AL4+AM4</f>
        <v>#REF!</v>
      </c>
    </row>
    <row r="5" ht="14.55" spans="2:41">
      <c r="B5" s="13" t="s">
        <v>53</v>
      </c>
      <c r="C5" s="13"/>
      <c r="D5" s="13"/>
      <c r="E5" s="13"/>
      <c r="F5" s="13"/>
      <c r="G5" s="13"/>
      <c r="H5" s="14">
        <f>SUM(H4:H4)</f>
        <v>750</v>
      </c>
      <c r="I5" s="11"/>
      <c r="J5" s="11"/>
      <c r="K5" s="11"/>
      <c r="L5" s="11"/>
      <c r="M5" s="11"/>
      <c r="N5" s="11"/>
      <c r="O5" s="11"/>
      <c r="P5" s="11"/>
      <c r="Q5" s="11"/>
      <c r="R5" s="20">
        <f t="shared" ref="R5:AB5" si="0">SUM(R4:R4)</f>
        <v>127.13</v>
      </c>
      <c r="S5" s="20">
        <f t="shared" si="0"/>
        <v>622.87</v>
      </c>
      <c r="T5" s="20"/>
      <c r="U5" s="20"/>
      <c r="V5" s="21">
        <f t="shared" si="0"/>
        <v>0</v>
      </c>
      <c r="W5" s="21">
        <f t="shared" si="0"/>
        <v>0</v>
      </c>
      <c r="X5" s="21">
        <f t="shared" si="0"/>
        <v>0</v>
      </c>
      <c r="Y5" s="20">
        <f t="shared" si="0"/>
        <v>0</v>
      </c>
      <c r="Z5" s="24">
        <f t="shared" si="0"/>
        <v>622.87</v>
      </c>
      <c r="AA5" s="25">
        <f t="shared" si="0"/>
        <v>120</v>
      </c>
      <c r="AB5" s="25" t="e">
        <f t="shared" si="0"/>
        <v>#REF!</v>
      </c>
      <c r="AC5" s="24"/>
      <c r="AD5" s="25" t="e">
        <f>SUM(AD4:AD4)</f>
        <v>#REF!</v>
      </c>
      <c r="AE5" s="25" t="e">
        <f>SUM(AE4:AE4)</f>
        <v>#REF!</v>
      </c>
      <c r="AF5" s="25">
        <f>SUM(AF4:AF4)</f>
        <v>622.87</v>
      </c>
      <c r="AG5" s="25">
        <f>SUM(AG4:AG4)</f>
        <v>0</v>
      </c>
      <c r="AH5" s="25" t="e">
        <f>SUM(AH4:AH4)</f>
        <v>#REF!</v>
      </c>
      <c r="AI5" s="24"/>
      <c r="AJ5" s="24"/>
      <c r="AK5" s="24"/>
      <c r="AL5" s="24"/>
      <c r="AM5" s="24"/>
      <c r="AN5" s="24"/>
      <c r="AO5" s="24"/>
    </row>
    <row r="6" spans="1:41">
      <c r="A6" s="3" t="s">
        <v>54</v>
      </c>
      <c r="B6" s="4"/>
      <c r="C6" s="4"/>
      <c r="D6" s="4"/>
      <c r="E6" s="4"/>
      <c r="F6" s="4"/>
      <c r="G6" s="4"/>
      <c r="H6" s="3"/>
      <c r="I6" s="15"/>
      <c r="J6" s="15"/>
      <c r="K6" s="15"/>
      <c r="L6" s="15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>
      <c r="A7" s="5" t="s">
        <v>1</v>
      </c>
      <c r="B7" s="5"/>
      <c r="C7" s="6">
        <v>3</v>
      </c>
      <c r="D7" s="7" t="s">
        <v>2</v>
      </c>
      <c r="E7" s="4"/>
      <c r="F7" s="4"/>
      <c r="G7" s="4"/>
      <c r="H7" s="3"/>
      <c r="I7" s="15" t="s">
        <v>3</v>
      </c>
      <c r="J7" s="15" t="s">
        <v>4</v>
      </c>
      <c r="K7" s="15"/>
      <c r="L7" s="15" t="s">
        <v>5</v>
      </c>
      <c r="M7" s="15">
        <v>1</v>
      </c>
      <c r="N7" s="15"/>
      <c r="O7" s="15" t="s">
        <v>6</v>
      </c>
      <c r="P7" s="15">
        <v>2</v>
      </c>
      <c r="Q7" s="15" t="s">
        <v>7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ht="28.35" spans="1:41">
      <c r="A8" s="8" t="s">
        <v>8</v>
      </c>
      <c r="B8" s="8" t="s">
        <v>9</v>
      </c>
      <c r="C8" s="9" t="s">
        <v>10</v>
      </c>
      <c r="D8" s="8" t="s">
        <v>11</v>
      </c>
      <c r="E8" s="8" t="s">
        <v>12</v>
      </c>
      <c r="F8" s="10" t="s">
        <v>13</v>
      </c>
      <c r="G8" s="8" t="s">
        <v>14</v>
      </c>
      <c r="H8" s="8" t="s">
        <v>15</v>
      </c>
      <c r="I8" s="16" t="s">
        <v>16</v>
      </c>
      <c r="J8" s="16" t="s">
        <v>17</v>
      </c>
      <c r="K8" s="16" t="s">
        <v>18</v>
      </c>
      <c r="L8" s="17" t="s">
        <v>19</v>
      </c>
      <c r="M8" s="17" t="s">
        <v>20</v>
      </c>
      <c r="N8" s="17" t="s">
        <v>21</v>
      </c>
      <c r="O8" s="17" t="s">
        <v>22</v>
      </c>
      <c r="P8" s="17" t="s">
        <v>23</v>
      </c>
      <c r="Q8" s="17" t="s">
        <v>24</v>
      </c>
      <c r="R8" s="16" t="s">
        <v>25</v>
      </c>
      <c r="S8" s="8" t="s">
        <v>26</v>
      </c>
      <c r="T8" s="8" t="s">
        <v>27</v>
      </c>
      <c r="U8" s="18" t="s">
        <v>28</v>
      </c>
      <c r="V8" s="18" t="s">
        <v>29</v>
      </c>
      <c r="W8" s="18" t="s">
        <v>30</v>
      </c>
      <c r="X8" s="18" t="s">
        <v>31</v>
      </c>
      <c r="Y8" s="18" t="s">
        <v>32</v>
      </c>
      <c r="Z8" s="22" t="s">
        <v>33</v>
      </c>
      <c r="AA8" s="22" t="s">
        <v>34</v>
      </c>
      <c r="AB8" s="23" t="s">
        <v>35</v>
      </c>
      <c r="AC8" s="23" t="s">
        <v>36</v>
      </c>
      <c r="AD8" s="23" t="s">
        <v>37</v>
      </c>
      <c r="AE8" s="22" t="s">
        <v>38</v>
      </c>
      <c r="AF8" s="22" t="s">
        <v>39</v>
      </c>
      <c r="AG8" s="23" t="s">
        <v>40</v>
      </c>
      <c r="AH8" s="23" t="s">
        <v>41</v>
      </c>
      <c r="AI8" s="22" t="s">
        <v>42</v>
      </c>
      <c r="AJ8" s="22" t="s">
        <v>43</v>
      </c>
      <c r="AK8" s="23" t="s">
        <v>44</v>
      </c>
      <c r="AL8" s="23" t="s">
        <v>45</v>
      </c>
      <c r="AM8" s="23" t="s">
        <v>46</v>
      </c>
      <c r="AN8" s="22" t="s">
        <v>47</v>
      </c>
      <c r="AO8" s="27" t="s">
        <v>48</v>
      </c>
    </row>
    <row r="9" ht="15.15" spans="1:41">
      <c r="A9" s="11">
        <v>2</v>
      </c>
      <c r="B9" s="29" t="s">
        <v>59</v>
      </c>
      <c r="C9" s="29" t="s">
        <v>59</v>
      </c>
      <c r="D9" s="11" t="s">
        <v>51</v>
      </c>
      <c r="E9" s="11" t="s">
        <v>51</v>
      </c>
      <c r="F9" s="26">
        <v>6</v>
      </c>
      <c r="G9" s="19">
        <v>200</v>
      </c>
      <c r="H9" s="12">
        <f>F9*G9</f>
        <v>1200</v>
      </c>
      <c r="I9" s="12">
        <v>0</v>
      </c>
      <c r="J9" s="12">
        <v>0</v>
      </c>
      <c r="K9" s="12">
        <v>0</v>
      </c>
      <c r="L9" s="12">
        <f>H9</f>
        <v>1200</v>
      </c>
      <c r="M9" s="12">
        <f>ROUND((L9*I9)/100,2)</f>
        <v>0</v>
      </c>
      <c r="N9" s="12">
        <f>H9-M9</f>
        <v>1200</v>
      </c>
      <c r="O9" s="12">
        <f>ROUND((N9*J9)/100,2)</f>
        <v>0</v>
      </c>
      <c r="P9" s="12">
        <f>ROUND(N9-O9,2)</f>
        <v>1200</v>
      </c>
      <c r="Q9" s="12">
        <f>ROUND((P9*K9)/100,2)</f>
        <v>0</v>
      </c>
      <c r="R9" s="19">
        <f>M9+O9+Q9</f>
        <v>0</v>
      </c>
      <c r="S9" s="19">
        <f>(H9-R9)</f>
        <v>1200</v>
      </c>
      <c r="T9" s="19" t="s">
        <v>52</v>
      </c>
      <c r="U9" s="12">
        <v>0</v>
      </c>
      <c r="V9" s="12">
        <f>IF($C$2=1,ROUND(((S9*(U9/100))/2),2),0)</f>
        <v>0</v>
      </c>
      <c r="W9" s="12">
        <f>IF($C$2=1,ROUND(((S9*(U9/100))/2),2),0)</f>
        <v>0</v>
      </c>
      <c r="X9" s="12">
        <f>IF($C$2=2,ROUND(((S9*U9)),2),0)</f>
        <v>0</v>
      </c>
      <c r="Y9" s="12">
        <f>V9+W9+X9</f>
        <v>0</v>
      </c>
      <c r="Z9" s="19">
        <f>S9+Y9</f>
        <v>1200</v>
      </c>
      <c r="AA9" s="19">
        <v>200</v>
      </c>
      <c r="AB9" s="19" t="e">
        <f>IF($P$2=1,(S9/$S$5)*#REF!,AA9/$AA$5*#REF!)</f>
        <v>#REF!</v>
      </c>
      <c r="AC9" s="19"/>
      <c r="AD9" s="19" t="e">
        <f>IF($P$2=1,(S9/$S$5)*#REF!,AA9/$AA$5*#REF!)</f>
        <v>#REF!</v>
      </c>
      <c r="AE9" s="19" t="e">
        <f>IF($P$2=1,(S9/$S$5)*#REF!,AA9/$AA$5*#REF!)</f>
        <v>#REF!</v>
      </c>
      <c r="AF9" s="19">
        <f>S9*$M$2</f>
        <v>1200</v>
      </c>
      <c r="AG9" s="19">
        <f>IF($C$2=3,0,AD9+AE9)</f>
        <v>0</v>
      </c>
      <c r="AH9" s="19" t="e">
        <f>IF($C$2=3,AB9+AD9+AE9,0)</f>
        <v>#REF!</v>
      </c>
      <c r="AI9" s="26">
        <v>1</v>
      </c>
      <c r="AJ9" s="19">
        <f>F9/AI9</f>
        <v>6</v>
      </c>
      <c r="AK9" s="19">
        <f>AF9/AJ9</f>
        <v>200</v>
      </c>
      <c r="AL9" s="19">
        <f>AG9/AJ9</f>
        <v>0</v>
      </c>
      <c r="AM9" s="19" t="e">
        <f>AH9/AJ9</f>
        <v>#REF!</v>
      </c>
      <c r="AN9" s="19" t="s">
        <v>51</v>
      </c>
      <c r="AO9" s="19" t="e">
        <f>AK9+AL9+AM9</f>
        <v>#REF!</v>
      </c>
    </row>
    <row r="10" ht="14.55" spans="2:41">
      <c r="B10" s="13" t="s">
        <v>53</v>
      </c>
      <c r="C10" s="13"/>
      <c r="D10" s="13"/>
      <c r="E10" s="13"/>
      <c r="F10" s="13"/>
      <c r="G10" s="13"/>
      <c r="H10" s="14">
        <f>SUM(H9:H9)</f>
        <v>1200</v>
      </c>
      <c r="I10" s="11"/>
      <c r="J10" s="11"/>
      <c r="K10" s="11"/>
      <c r="L10" s="11"/>
      <c r="M10" s="11"/>
      <c r="N10" s="11"/>
      <c r="O10" s="11"/>
      <c r="P10" s="11"/>
      <c r="Q10" s="11"/>
      <c r="R10" s="20">
        <f t="shared" ref="R10:AB10" si="1">SUM(R9:R9)</f>
        <v>0</v>
      </c>
      <c r="S10" s="20">
        <f t="shared" si="1"/>
        <v>1200</v>
      </c>
      <c r="T10" s="20"/>
      <c r="U10" s="20"/>
      <c r="V10" s="21">
        <f t="shared" si="1"/>
        <v>0</v>
      </c>
      <c r="W10" s="21">
        <f t="shared" si="1"/>
        <v>0</v>
      </c>
      <c r="X10" s="21">
        <f t="shared" si="1"/>
        <v>0</v>
      </c>
      <c r="Y10" s="20">
        <f t="shared" si="1"/>
        <v>0</v>
      </c>
      <c r="Z10" s="24">
        <f t="shared" si="1"/>
        <v>1200</v>
      </c>
      <c r="AA10" s="25">
        <f t="shared" si="1"/>
        <v>200</v>
      </c>
      <c r="AB10" s="25" t="e">
        <f t="shared" si="1"/>
        <v>#REF!</v>
      </c>
      <c r="AC10" s="24"/>
      <c r="AD10" s="25" t="e">
        <f>SUM(AD9:AD9)</f>
        <v>#REF!</v>
      </c>
      <c r="AE10" s="25" t="e">
        <f>SUM(AE9:AE9)</f>
        <v>#REF!</v>
      </c>
      <c r="AF10" s="25">
        <f>SUM(AF9:AF9)</f>
        <v>1200</v>
      </c>
      <c r="AG10" s="25">
        <f>SUM(AG9:AG9)</f>
        <v>0</v>
      </c>
      <c r="AH10" s="25" t="e">
        <f>SUM(AH9:AH9)</f>
        <v>#REF!</v>
      </c>
      <c r="AI10" s="24"/>
      <c r="AJ10" s="24"/>
      <c r="AK10" s="24"/>
      <c r="AL10" s="24"/>
      <c r="AM10" s="24"/>
      <c r="AN10" s="24"/>
      <c r="AO10" s="24"/>
    </row>
    <row r="11" spans="1:41">
      <c r="A11" s="3" t="s">
        <v>56</v>
      </c>
      <c r="B11" s="4"/>
      <c r="C11" s="4"/>
      <c r="D11" s="4"/>
      <c r="E11" s="4"/>
      <c r="F11" s="4"/>
      <c r="G11" s="4"/>
      <c r="H11" s="3"/>
      <c r="I11" s="15"/>
      <c r="J11" s="15"/>
      <c r="K11" s="15"/>
      <c r="L11" s="15"/>
      <c r="M11" s="15"/>
      <c r="N11" s="15"/>
      <c r="O11" s="15"/>
      <c r="P11" s="15"/>
      <c r="Q11" s="15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>
      <c r="A12" s="5" t="s">
        <v>1</v>
      </c>
      <c r="B12" s="5"/>
      <c r="C12" s="6">
        <v>3</v>
      </c>
      <c r="D12" s="7" t="s">
        <v>2</v>
      </c>
      <c r="E12" s="4"/>
      <c r="F12" s="4"/>
      <c r="G12" s="4"/>
      <c r="H12" s="3"/>
      <c r="I12" s="15" t="s">
        <v>3</v>
      </c>
      <c r="J12" s="15" t="s">
        <v>4</v>
      </c>
      <c r="K12" s="15"/>
      <c r="L12" s="15" t="s">
        <v>5</v>
      </c>
      <c r="M12" s="15">
        <v>1</v>
      </c>
      <c r="N12" s="15"/>
      <c r="O12" s="15" t="s">
        <v>6</v>
      </c>
      <c r="P12" s="15">
        <v>2</v>
      </c>
      <c r="Q12" s="15" t="s">
        <v>7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ht="28.35" spans="1:41">
      <c r="A13" s="8" t="s">
        <v>8</v>
      </c>
      <c r="B13" s="8" t="s">
        <v>9</v>
      </c>
      <c r="C13" s="9" t="s">
        <v>10</v>
      </c>
      <c r="D13" s="8" t="s">
        <v>11</v>
      </c>
      <c r="E13" s="8" t="s">
        <v>12</v>
      </c>
      <c r="F13" s="10" t="s">
        <v>13</v>
      </c>
      <c r="G13" s="8" t="s">
        <v>14</v>
      </c>
      <c r="H13" s="8" t="s">
        <v>15</v>
      </c>
      <c r="I13" s="16" t="s">
        <v>16</v>
      </c>
      <c r="J13" s="16" t="s">
        <v>17</v>
      </c>
      <c r="K13" s="16" t="s">
        <v>18</v>
      </c>
      <c r="L13" s="17" t="s">
        <v>19</v>
      </c>
      <c r="M13" s="17" t="s">
        <v>20</v>
      </c>
      <c r="N13" s="17" t="s">
        <v>21</v>
      </c>
      <c r="O13" s="17" t="s">
        <v>22</v>
      </c>
      <c r="P13" s="17" t="s">
        <v>23</v>
      </c>
      <c r="Q13" s="17" t="s">
        <v>24</v>
      </c>
      <c r="R13" s="16" t="s">
        <v>25</v>
      </c>
      <c r="S13" s="8" t="s">
        <v>26</v>
      </c>
      <c r="T13" s="8" t="s">
        <v>27</v>
      </c>
      <c r="U13" s="18" t="s">
        <v>28</v>
      </c>
      <c r="V13" s="18" t="s">
        <v>29</v>
      </c>
      <c r="W13" s="18" t="s">
        <v>30</v>
      </c>
      <c r="X13" s="18" t="s">
        <v>31</v>
      </c>
      <c r="Y13" s="18" t="s">
        <v>32</v>
      </c>
      <c r="Z13" s="22" t="s">
        <v>33</v>
      </c>
      <c r="AA13" s="22" t="s">
        <v>34</v>
      </c>
      <c r="AB13" s="23" t="s">
        <v>35</v>
      </c>
      <c r="AC13" s="23" t="s">
        <v>36</v>
      </c>
      <c r="AD13" s="23" t="s">
        <v>37</v>
      </c>
      <c r="AE13" s="22" t="s">
        <v>38</v>
      </c>
      <c r="AF13" s="22" t="s">
        <v>39</v>
      </c>
      <c r="AG13" s="23" t="s">
        <v>40</v>
      </c>
      <c r="AH13" s="23" t="s">
        <v>41</v>
      </c>
      <c r="AI13" s="22" t="s">
        <v>42</v>
      </c>
      <c r="AJ13" s="22" t="s">
        <v>43</v>
      </c>
      <c r="AK13" s="23" t="s">
        <v>44</v>
      </c>
      <c r="AL13" s="23" t="s">
        <v>45</v>
      </c>
      <c r="AM13" s="23" t="s">
        <v>46</v>
      </c>
      <c r="AN13" s="22" t="s">
        <v>47</v>
      </c>
      <c r="AO13" s="27" t="s">
        <v>48</v>
      </c>
    </row>
    <row r="14" ht="14.55" spans="1:41">
      <c r="A14" s="11">
        <v>1</v>
      </c>
      <c r="B14" s="28" t="s">
        <v>57</v>
      </c>
      <c r="C14" s="28" t="s">
        <v>58</v>
      </c>
      <c r="D14" s="11" t="s">
        <v>51</v>
      </c>
      <c r="E14" s="11" t="s">
        <v>51</v>
      </c>
      <c r="F14" s="26">
        <v>5</v>
      </c>
      <c r="G14" s="19">
        <v>150</v>
      </c>
      <c r="H14" s="12">
        <f>F14*G14</f>
        <v>750</v>
      </c>
      <c r="I14" s="12">
        <v>5</v>
      </c>
      <c r="J14" s="12">
        <v>6</v>
      </c>
      <c r="K14" s="12">
        <v>7</v>
      </c>
      <c r="L14" s="12">
        <f>H14</f>
        <v>750</v>
      </c>
      <c r="M14" s="12">
        <f>ROUND((L14*I14)/100,2)</f>
        <v>37.5</v>
      </c>
      <c r="N14" s="12">
        <f>H14-M14</f>
        <v>712.5</v>
      </c>
      <c r="O14" s="12">
        <f>ROUND((N14*J14)/100,2)</f>
        <v>42.75</v>
      </c>
      <c r="P14" s="12">
        <f>ROUND(N14-O14,2)</f>
        <v>669.75</v>
      </c>
      <c r="Q14" s="12">
        <f>ROUND((P14*K14)/100,2)</f>
        <v>46.88</v>
      </c>
      <c r="R14" s="19">
        <f>M14+O14+Q14</f>
        <v>127.13</v>
      </c>
      <c r="S14" s="12">
        <f>(H14-R14)</f>
        <v>622.87</v>
      </c>
      <c r="T14" s="19" t="s">
        <v>52</v>
      </c>
      <c r="U14" s="12">
        <v>0</v>
      </c>
      <c r="V14" s="12">
        <f>IF($C$17=1,ROUND(((S14*(U14/100))/2),2),0)</f>
        <v>0</v>
      </c>
      <c r="W14" s="12">
        <f>IF($C$17=1,ROUND(((S14*(U14/100))/2),2),0)</f>
        <v>0</v>
      </c>
      <c r="X14" s="12">
        <f>IF($C$17=2,ROUND(((S14*U14)),2),0)</f>
        <v>0</v>
      </c>
      <c r="Y14" s="12">
        <f>V14+W14+X14</f>
        <v>0</v>
      </c>
      <c r="Z14" s="19">
        <f>S14+Y14</f>
        <v>622.87</v>
      </c>
      <c r="AA14" s="19">
        <v>120</v>
      </c>
      <c r="AB14" s="19" t="e">
        <f>IF($P$2=1,(S14/$S$5)*#REF!,AA14/$AA$5*#REF!)</f>
        <v>#REF!</v>
      </c>
      <c r="AC14" s="19"/>
      <c r="AD14" s="19" t="e">
        <f>IF($P$2=1,(S14/$S$5)*#REF!,AA14/$AA$5*#REF!)</f>
        <v>#REF!</v>
      </c>
      <c r="AE14" s="19" t="e">
        <f>IF($P$2=1,(S14/$S$5)*#REF!,AA14/$AA$5*#REF!)</f>
        <v>#REF!</v>
      </c>
      <c r="AF14" s="19">
        <f>S14*$M$2</f>
        <v>622.87</v>
      </c>
      <c r="AG14" s="19">
        <f>IF($C$2=3,0,AD14+AE14)</f>
        <v>0</v>
      </c>
      <c r="AH14" s="19" t="e">
        <f>IF($C$2=3,AB14+AD14+AE14,0)</f>
        <v>#REF!</v>
      </c>
      <c r="AI14" s="26">
        <v>1</v>
      </c>
      <c r="AJ14" s="19">
        <f>F14/AI14</f>
        <v>5</v>
      </c>
      <c r="AK14" s="19">
        <f>AF14/AJ14</f>
        <v>124.574</v>
      </c>
      <c r="AL14" s="19">
        <f>AG14/AJ14</f>
        <v>0</v>
      </c>
      <c r="AM14" s="19" t="e">
        <f>AH14/AJ14</f>
        <v>#REF!</v>
      </c>
      <c r="AN14" s="19" t="s">
        <v>51</v>
      </c>
      <c r="AO14" s="19" t="e">
        <f>AK14+AL14+AM14</f>
        <v>#REF!</v>
      </c>
    </row>
    <row r="15" ht="15.15" spans="1:41">
      <c r="A15" s="11">
        <v>2</v>
      </c>
      <c r="B15" s="29" t="s">
        <v>59</v>
      </c>
      <c r="C15" s="29" t="s">
        <v>59</v>
      </c>
      <c r="D15" s="11" t="s">
        <v>51</v>
      </c>
      <c r="E15" s="11" t="s">
        <v>51</v>
      </c>
      <c r="F15" s="26">
        <v>6</v>
      </c>
      <c r="G15" s="19">
        <v>200</v>
      </c>
      <c r="H15" s="12">
        <f>F15*G15</f>
        <v>1200</v>
      </c>
      <c r="I15" s="12">
        <v>0</v>
      </c>
      <c r="J15" s="12">
        <v>0</v>
      </c>
      <c r="K15" s="12">
        <v>0</v>
      </c>
      <c r="L15" s="12">
        <f>H15</f>
        <v>1200</v>
      </c>
      <c r="M15" s="12">
        <f>ROUND((L15*I15)/100,2)</f>
        <v>0</v>
      </c>
      <c r="N15" s="12">
        <f>H15-M15</f>
        <v>1200</v>
      </c>
      <c r="O15" s="12">
        <f>ROUND((N15*J15)/100,2)</f>
        <v>0</v>
      </c>
      <c r="P15" s="12">
        <f>ROUND(N15-O15,2)</f>
        <v>1200</v>
      </c>
      <c r="Q15" s="12">
        <f>ROUND((P15*K15)/100,2)</f>
        <v>0</v>
      </c>
      <c r="R15" s="19">
        <f>M15+O15+Q15</f>
        <v>0</v>
      </c>
      <c r="S15" s="12">
        <f>(H15-R15)</f>
        <v>1200</v>
      </c>
      <c r="T15" s="19" t="s">
        <v>52</v>
      </c>
      <c r="U15" s="12">
        <v>0</v>
      </c>
      <c r="V15" s="12">
        <f>IF($C$17=1,ROUND(((S15*(U15/100))/2),2),0)</f>
        <v>0</v>
      </c>
      <c r="W15" s="12">
        <f>IF($C$17=1,ROUND(((S15*(U15/100))/2),2),0)</f>
        <v>0</v>
      </c>
      <c r="X15" s="12">
        <f>IF($C$17=2,ROUND(((S15*U15)),2),0)</f>
        <v>0</v>
      </c>
      <c r="Y15" s="12">
        <f>V15+W15+X15</f>
        <v>0</v>
      </c>
      <c r="Z15" s="19">
        <f>S15+Y15</f>
        <v>1200</v>
      </c>
      <c r="AA15" s="19">
        <v>200</v>
      </c>
      <c r="AB15" s="19" t="e">
        <f>IF($P$2=1,(S15/$S$5)*#REF!,AA15/$AA$5*#REF!)</f>
        <v>#REF!</v>
      </c>
      <c r="AC15" s="19"/>
      <c r="AD15" s="19" t="e">
        <f>IF($P$2=1,(S15/$S$5)*#REF!,AA15/$AA$5*#REF!)</f>
        <v>#REF!</v>
      </c>
      <c r="AE15" s="19" t="e">
        <f>IF($P$2=1,(S15/$S$5)*#REF!,AA15/$AA$5*#REF!)</f>
        <v>#REF!</v>
      </c>
      <c r="AF15" s="19">
        <f>S15*$M$2</f>
        <v>1200</v>
      </c>
      <c r="AG15" s="19">
        <f>IF($C$2=3,0,AD15+AE15)</f>
        <v>0</v>
      </c>
      <c r="AH15" s="19" t="e">
        <f>IF($C$2=3,AB15+AD15+AE15,0)</f>
        <v>#REF!</v>
      </c>
      <c r="AI15" s="26">
        <v>1</v>
      </c>
      <c r="AJ15" s="19">
        <f>F15/AI15</f>
        <v>6</v>
      </c>
      <c r="AK15" s="19">
        <f>AF15/AJ15</f>
        <v>200</v>
      </c>
      <c r="AL15" s="19">
        <f>AG15/AJ15</f>
        <v>0</v>
      </c>
      <c r="AM15" s="19" t="e">
        <f>AH15/AJ15</f>
        <v>#REF!</v>
      </c>
      <c r="AN15" s="19" t="s">
        <v>51</v>
      </c>
      <c r="AO15" s="19" t="e">
        <f>AK15+AL15+AM15</f>
        <v>#REF!</v>
      </c>
    </row>
    <row r="16" ht="14.55" spans="2:41">
      <c r="B16" s="13" t="s">
        <v>53</v>
      </c>
      <c r="C16" s="13"/>
      <c r="D16" s="13"/>
      <c r="E16" s="13"/>
      <c r="F16" s="13"/>
      <c r="G16" s="13"/>
      <c r="H16" s="14">
        <f>SUM(H14:H15)</f>
        <v>1950</v>
      </c>
      <c r="I16" s="11"/>
      <c r="J16" s="11"/>
      <c r="K16" s="11"/>
      <c r="L16" s="11"/>
      <c r="M16" s="11"/>
      <c r="N16" s="11"/>
      <c r="O16" s="11"/>
      <c r="P16" s="11"/>
      <c r="Q16" s="12">
        <f>ROUND((P16*K16)/100,2)</f>
        <v>0</v>
      </c>
      <c r="R16" s="20">
        <f t="shared" ref="R16:AB16" si="2">SUM(R14:R15)</f>
        <v>127.13</v>
      </c>
      <c r="S16" s="20">
        <f t="shared" si="2"/>
        <v>1822.87</v>
      </c>
      <c r="T16" s="20"/>
      <c r="U16" s="20"/>
      <c r="V16" s="21">
        <f t="shared" si="2"/>
        <v>0</v>
      </c>
      <c r="W16" s="21">
        <f t="shared" si="2"/>
        <v>0</v>
      </c>
      <c r="X16" s="21">
        <f t="shared" si="2"/>
        <v>0</v>
      </c>
      <c r="Y16" s="20">
        <f t="shared" si="2"/>
        <v>0</v>
      </c>
      <c r="Z16" s="24">
        <f t="shared" si="2"/>
        <v>1822.87</v>
      </c>
      <c r="AA16" s="25">
        <f t="shared" si="2"/>
        <v>320</v>
      </c>
      <c r="AB16" s="25" t="e">
        <f t="shared" si="2"/>
        <v>#REF!</v>
      </c>
      <c r="AC16" s="24"/>
      <c r="AD16" s="25" t="e">
        <f t="shared" ref="AD16:AH16" si="3">SUM(AD14:AD15)</f>
        <v>#REF!</v>
      </c>
      <c r="AE16" s="25" t="e">
        <f t="shared" si="3"/>
        <v>#REF!</v>
      </c>
      <c r="AF16" s="25">
        <f t="shared" si="3"/>
        <v>1822.87</v>
      </c>
      <c r="AG16" s="25">
        <f t="shared" si="3"/>
        <v>0</v>
      </c>
      <c r="AH16" s="25" t="e">
        <f t="shared" si="3"/>
        <v>#REF!</v>
      </c>
      <c r="AI16" s="24"/>
      <c r="AJ16" s="24"/>
      <c r="AK16" s="24"/>
      <c r="AL16" s="24"/>
      <c r="AM16" s="24"/>
      <c r="AN16" s="24"/>
      <c r="AO16" s="24"/>
    </row>
  </sheetData>
  <mergeCells count="6">
    <mergeCell ref="A2:B2"/>
    <mergeCell ref="B5:G5"/>
    <mergeCell ref="A7:B7"/>
    <mergeCell ref="B10:G10"/>
    <mergeCell ref="A12:B12"/>
    <mergeCell ref="B16:G16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6"/>
  <sheetViews>
    <sheetView showGridLines="0" topLeftCell="I1" workbookViewId="0">
      <selection activeCell="AN19" sqref="AN19:AO19"/>
    </sheetView>
  </sheetViews>
  <sheetFormatPr defaultColWidth="9.13888888888889" defaultRowHeight="13.8"/>
  <cols>
    <col min="1" max="1" width="8" style="2" customWidth="1"/>
    <col min="2" max="2" width="27.5740740740741" style="2" customWidth="1"/>
    <col min="3" max="3" width="33.1388888888889" style="2" customWidth="1"/>
    <col min="4" max="4" width="10" style="2" customWidth="1"/>
    <col min="5" max="5" width="12.5740740740741" style="2" customWidth="1"/>
    <col min="6" max="6" width="14.712962962963" style="2" customWidth="1"/>
    <col min="7" max="7" width="10.1388888888889" style="2" customWidth="1"/>
    <col min="8" max="8" width="11.8518518518519" style="2" customWidth="1"/>
    <col min="9" max="9" width="14.4259259259259" style="2" customWidth="1"/>
    <col min="10" max="10" width="18.287037037037" style="2" customWidth="1"/>
    <col min="11" max="11" width="12.8518518518519" style="2" customWidth="1"/>
    <col min="12" max="12" width="17.8518518518519" style="2" customWidth="1"/>
    <col min="13" max="13" width="12.8518518518519" style="2" customWidth="1"/>
    <col min="14" max="14" width="18" style="2" customWidth="1"/>
    <col min="15" max="15" width="18.1388888888889" style="2" customWidth="1"/>
    <col min="16" max="16" width="20.287037037037" style="2" customWidth="1"/>
    <col min="17" max="17" width="19" style="2" customWidth="1"/>
    <col min="18" max="18" width="13.287037037037" style="2" customWidth="1"/>
    <col min="19" max="19" width="10.712962962963" style="2" customWidth="1"/>
    <col min="20" max="20" width="12.1388888888889" style="2" customWidth="1"/>
    <col min="21" max="21" width="20.5740740740741" style="2" customWidth="1"/>
    <col min="22" max="22" width="28.712962962963" style="2" customWidth="1"/>
    <col min="23" max="23" width="9.28703703703704" style="2" customWidth="1"/>
    <col min="24" max="24" width="10" style="2" customWidth="1"/>
    <col min="25" max="26" width="11.5740740740741" style="2" customWidth="1"/>
    <col min="27" max="27" width="11.712962962963" style="2" customWidth="1"/>
    <col min="28" max="32" width="11.5740740740741" style="2" customWidth="1"/>
    <col min="33" max="35" width="12.287037037037" style="2" customWidth="1"/>
    <col min="36" max="36" width="14.712962962963" style="2" customWidth="1"/>
    <col min="37" max="39" width="12.287037037037" style="2" customWidth="1"/>
    <col min="40" max="40" width="14.712962962963" style="2" customWidth="1"/>
    <col min="41" max="41" width="23.287037037037" style="2" customWidth="1"/>
    <col min="42" max="16384" width="9.13888888888889" style="2"/>
  </cols>
  <sheetData>
    <row r="1" ht="27.75" customHeight="1" spans="1:41">
      <c r="A1" s="3" t="s">
        <v>0</v>
      </c>
      <c r="B1" s="4"/>
      <c r="C1" s="4"/>
      <c r="D1" s="4"/>
      <c r="E1" s="4"/>
      <c r="F1" s="4"/>
      <c r="G1" s="4"/>
      <c r="H1" s="3"/>
      <c r="I1" s="15"/>
      <c r="J1" s="15"/>
      <c r="K1" s="15"/>
      <c r="L1" s="15"/>
      <c r="M1" s="15"/>
      <c r="N1" s="15"/>
      <c r="O1" s="15"/>
      <c r="P1" s="15"/>
      <c r="Q1" s="15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ht="19.9" customHeight="1" spans="1:41">
      <c r="A2" s="5" t="s">
        <v>1</v>
      </c>
      <c r="B2" s="5"/>
      <c r="C2" s="6">
        <v>1</v>
      </c>
      <c r="D2" s="7" t="s">
        <v>2</v>
      </c>
      <c r="E2" s="4"/>
      <c r="F2" s="4"/>
      <c r="G2" s="4"/>
      <c r="H2" s="3"/>
      <c r="I2" s="15" t="s">
        <v>3</v>
      </c>
      <c r="J2" s="15" t="s">
        <v>4</v>
      </c>
      <c r="K2" s="15"/>
      <c r="L2" s="15" t="s">
        <v>5</v>
      </c>
      <c r="M2" s="15">
        <v>1</v>
      </c>
      <c r="N2" s="15"/>
      <c r="O2" s="15" t="s">
        <v>6</v>
      </c>
      <c r="P2" s="15">
        <v>2</v>
      </c>
      <c r="Q2" s="15" t="s">
        <v>7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="1" customFormat="1" ht="28.35" spans="1:41">
      <c r="A3" s="8" t="s">
        <v>8</v>
      </c>
      <c r="B3" s="8" t="s">
        <v>9</v>
      </c>
      <c r="C3" s="9" t="s">
        <v>10</v>
      </c>
      <c r="D3" s="8" t="s">
        <v>11</v>
      </c>
      <c r="E3" s="8" t="s">
        <v>12</v>
      </c>
      <c r="F3" s="10" t="s">
        <v>13</v>
      </c>
      <c r="G3" s="8" t="s">
        <v>14</v>
      </c>
      <c r="H3" s="8" t="s">
        <v>15</v>
      </c>
      <c r="I3" s="16" t="s">
        <v>16</v>
      </c>
      <c r="J3" s="16" t="s">
        <v>17</v>
      </c>
      <c r="K3" s="16" t="s">
        <v>18</v>
      </c>
      <c r="L3" s="17" t="s">
        <v>19</v>
      </c>
      <c r="M3" s="17" t="s">
        <v>20</v>
      </c>
      <c r="N3" s="17" t="s">
        <v>21</v>
      </c>
      <c r="O3" s="17" t="s">
        <v>22</v>
      </c>
      <c r="P3" s="17" t="s">
        <v>23</v>
      </c>
      <c r="Q3" s="17" t="s">
        <v>24</v>
      </c>
      <c r="R3" s="16" t="s">
        <v>25</v>
      </c>
      <c r="S3" s="8" t="s">
        <v>26</v>
      </c>
      <c r="T3" s="8" t="s">
        <v>27</v>
      </c>
      <c r="U3" s="18" t="s">
        <v>28</v>
      </c>
      <c r="V3" s="18" t="s">
        <v>29</v>
      </c>
      <c r="W3" s="18" t="s">
        <v>30</v>
      </c>
      <c r="X3" s="18" t="s">
        <v>31</v>
      </c>
      <c r="Y3" s="18" t="s">
        <v>32</v>
      </c>
      <c r="Z3" s="22" t="s">
        <v>33</v>
      </c>
      <c r="AA3" s="22" t="s">
        <v>34</v>
      </c>
      <c r="AB3" s="23" t="s">
        <v>35</v>
      </c>
      <c r="AC3" s="23" t="s">
        <v>36</v>
      </c>
      <c r="AD3" s="23" t="s">
        <v>37</v>
      </c>
      <c r="AE3" s="22" t="s">
        <v>38</v>
      </c>
      <c r="AF3" s="22" t="s">
        <v>39</v>
      </c>
      <c r="AG3" s="23" t="s">
        <v>40</v>
      </c>
      <c r="AH3" s="23" t="s">
        <v>41</v>
      </c>
      <c r="AI3" s="22" t="s">
        <v>42</v>
      </c>
      <c r="AJ3" s="22" t="s">
        <v>43</v>
      </c>
      <c r="AK3" s="23" t="s">
        <v>44</v>
      </c>
      <c r="AL3" s="23" t="s">
        <v>45</v>
      </c>
      <c r="AM3" s="23" t="s">
        <v>46</v>
      </c>
      <c r="AN3" s="22" t="s">
        <v>47</v>
      </c>
      <c r="AO3" s="27" t="s">
        <v>48</v>
      </c>
    </row>
    <row r="4" ht="14.55" spans="1:41">
      <c r="A4" s="11">
        <v>1</v>
      </c>
      <c r="B4" s="28" t="s">
        <v>57</v>
      </c>
      <c r="C4" s="28" t="s">
        <v>58</v>
      </c>
      <c r="D4" s="11" t="s">
        <v>51</v>
      </c>
      <c r="E4" s="11" t="s">
        <v>51</v>
      </c>
      <c r="F4" s="26">
        <v>5</v>
      </c>
      <c r="G4" s="19">
        <v>150</v>
      </c>
      <c r="H4" s="12">
        <f>F4*G4</f>
        <v>750</v>
      </c>
      <c r="I4" s="12">
        <v>5</v>
      </c>
      <c r="J4" s="12">
        <v>6</v>
      </c>
      <c r="K4" s="12">
        <v>7</v>
      </c>
      <c r="L4" s="12">
        <f>H4</f>
        <v>750</v>
      </c>
      <c r="M4" s="12">
        <f>ROUND((L4*I4)/100,2)</f>
        <v>37.5</v>
      </c>
      <c r="N4" s="12">
        <f>H4-M4</f>
        <v>712.5</v>
      </c>
      <c r="O4" s="12">
        <f>ROUND((N4*J4)/100,2)</f>
        <v>42.75</v>
      </c>
      <c r="P4" s="12">
        <f>ROUND(N4-O4,2)</f>
        <v>669.75</v>
      </c>
      <c r="Q4" s="12">
        <f>ROUND((P4*K4)/100,2)</f>
        <v>46.88</v>
      </c>
      <c r="R4" s="19">
        <f>M4+O4+Q4</f>
        <v>127.13</v>
      </c>
      <c r="S4" s="19">
        <f>(H4-R4)</f>
        <v>622.87</v>
      </c>
      <c r="T4" s="19" t="s">
        <v>52</v>
      </c>
      <c r="U4" s="12">
        <v>12</v>
      </c>
      <c r="V4" s="19">
        <f>IF($C$2=1,ROUND(((S4*(U4/100))/2),2),0)</f>
        <v>37.37</v>
      </c>
      <c r="W4" s="19">
        <f>IF($C$2=1,ROUND(((S4*(U4/100))/2),2),0)</f>
        <v>37.37</v>
      </c>
      <c r="X4" s="19">
        <f>IF($C$2=2,ROUND(((S4*U4)),2),0)</f>
        <v>0</v>
      </c>
      <c r="Y4" s="19">
        <f>V4+W4+X4</f>
        <v>74.74</v>
      </c>
      <c r="Z4" s="19">
        <f>S4+Y4</f>
        <v>697.61</v>
      </c>
      <c r="AA4" s="19">
        <v>120</v>
      </c>
      <c r="AB4" s="19" t="e">
        <f>IF($P$2=1,(S4/$S$5)*#REF!,AA4/$AA$5*#REF!)</f>
        <v>#REF!</v>
      </c>
      <c r="AC4" s="19"/>
      <c r="AD4" s="19" t="e">
        <f>IF($P$2=1,(S4/$S$5)*#REF!,AA4/$AA$5*#REF!)</f>
        <v>#REF!</v>
      </c>
      <c r="AE4" s="19" t="e">
        <f>IF($P$2=1,(S4/$S$5)*#REF!,AA4/$AA$5*#REF!)</f>
        <v>#REF!</v>
      </c>
      <c r="AF4" s="19">
        <f>S4*$M$2</f>
        <v>622.87</v>
      </c>
      <c r="AG4" s="19" t="e">
        <f>IF($C$2=3,0,AD4+AE4)</f>
        <v>#REF!</v>
      </c>
      <c r="AH4" s="19">
        <f>IF($C$2=3,AB4+AD4+AE4,0)</f>
        <v>0</v>
      </c>
      <c r="AI4" s="26">
        <v>1</v>
      </c>
      <c r="AJ4" s="19">
        <f>F4/AI4</f>
        <v>5</v>
      </c>
      <c r="AK4" s="19">
        <f>AF4/AJ4</f>
        <v>124.574</v>
      </c>
      <c r="AL4" s="19" t="e">
        <f>AG4/AJ4</f>
        <v>#REF!</v>
      </c>
      <c r="AM4" s="19">
        <f>AH4/AJ4</f>
        <v>0</v>
      </c>
      <c r="AN4" s="19" t="s">
        <v>51</v>
      </c>
      <c r="AO4" s="19" t="e">
        <f>AK4+AL4+AM4</f>
        <v>#REF!</v>
      </c>
    </row>
    <row r="5" ht="14.55" spans="2:41">
      <c r="B5" s="13" t="s">
        <v>53</v>
      </c>
      <c r="C5" s="13"/>
      <c r="D5" s="13"/>
      <c r="E5" s="13"/>
      <c r="F5" s="13"/>
      <c r="G5" s="13"/>
      <c r="H5" s="14">
        <f>SUM(H4:H4)</f>
        <v>750</v>
      </c>
      <c r="I5" s="11"/>
      <c r="J5" s="11"/>
      <c r="K5" s="11"/>
      <c r="L5" s="11"/>
      <c r="M5" s="11"/>
      <c r="N5" s="11"/>
      <c r="O5" s="11"/>
      <c r="P5" s="11"/>
      <c r="Q5" s="11"/>
      <c r="R5" s="20">
        <f t="shared" ref="R5:AB5" si="0">SUM(R4:R4)</f>
        <v>127.13</v>
      </c>
      <c r="S5" s="20">
        <f t="shared" si="0"/>
        <v>622.87</v>
      </c>
      <c r="T5" s="20"/>
      <c r="U5" s="20"/>
      <c r="V5" s="21">
        <f t="shared" si="0"/>
        <v>37.37</v>
      </c>
      <c r="W5" s="21">
        <f t="shared" si="0"/>
        <v>37.37</v>
      </c>
      <c r="X5" s="21">
        <f t="shared" si="0"/>
        <v>0</v>
      </c>
      <c r="Y5" s="20">
        <f t="shared" si="0"/>
        <v>74.74</v>
      </c>
      <c r="Z5" s="24">
        <f t="shared" si="0"/>
        <v>697.61</v>
      </c>
      <c r="AA5" s="25">
        <f t="shared" si="0"/>
        <v>120</v>
      </c>
      <c r="AB5" s="25" t="e">
        <f t="shared" si="0"/>
        <v>#REF!</v>
      </c>
      <c r="AC5" s="24"/>
      <c r="AD5" s="25" t="e">
        <f>SUM(AD4:AD4)</f>
        <v>#REF!</v>
      </c>
      <c r="AE5" s="25" t="e">
        <f>SUM(AE4:AE4)</f>
        <v>#REF!</v>
      </c>
      <c r="AF5" s="25">
        <f>SUM(AF4:AF4)</f>
        <v>622.87</v>
      </c>
      <c r="AG5" s="25" t="e">
        <f>SUM(AG4:AG4)</f>
        <v>#REF!</v>
      </c>
      <c r="AH5" s="25">
        <f>SUM(AH4:AH4)</f>
        <v>0</v>
      </c>
      <c r="AI5" s="24"/>
      <c r="AJ5" s="24"/>
      <c r="AK5" s="24"/>
      <c r="AL5" s="24"/>
      <c r="AM5" s="24"/>
      <c r="AN5" s="24"/>
      <c r="AO5" s="24"/>
    </row>
    <row r="6" spans="1:41">
      <c r="A6" s="3" t="s">
        <v>54</v>
      </c>
      <c r="B6" s="4"/>
      <c r="C6" s="4"/>
      <c r="D6" s="4"/>
      <c r="E6" s="4"/>
      <c r="F6" s="4"/>
      <c r="G6" s="4"/>
      <c r="H6" s="3"/>
      <c r="I6" s="15"/>
      <c r="J6" s="15"/>
      <c r="K6" s="15"/>
      <c r="L6" s="15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>
      <c r="A7" s="5" t="s">
        <v>1</v>
      </c>
      <c r="B7" s="5"/>
      <c r="C7" s="6">
        <v>1</v>
      </c>
      <c r="D7" s="7" t="s">
        <v>2</v>
      </c>
      <c r="E7" s="4"/>
      <c r="F7" s="4"/>
      <c r="G7" s="4"/>
      <c r="H7" s="3"/>
      <c r="I7" s="15" t="s">
        <v>3</v>
      </c>
      <c r="J7" s="15" t="s">
        <v>4</v>
      </c>
      <c r="K7" s="15"/>
      <c r="L7" s="15" t="s">
        <v>5</v>
      </c>
      <c r="M7" s="15">
        <v>1</v>
      </c>
      <c r="N7" s="15"/>
      <c r="O7" s="15" t="s">
        <v>6</v>
      </c>
      <c r="P7" s="15">
        <v>2</v>
      </c>
      <c r="Q7" s="15" t="s">
        <v>7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ht="28.35" spans="1:41">
      <c r="A8" s="8" t="s">
        <v>8</v>
      </c>
      <c r="B8" s="8" t="s">
        <v>9</v>
      </c>
      <c r="C8" s="9" t="s">
        <v>10</v>
      </c>
      <c r="D8" s="8" t="s">
        <v>11</v>
      </c>
      <c r="E8" s="8" t="s">
        <v>12</v>
      </c>
      <c r="F8" s="10" t="s">
        <v>13</v>
      </c>
      <c r="G8" s="8" t="s">
        <v>14</v>
      </c>
      <c r="H8" s="8" t="s">
        <v>15</v>
      </c>
      <c r="I8" s="16" t="s">
        <v>16</v>
      </c>
      <c r="J8" s="16" t="s">
        <v>17</v>
      </c>
      <c r="K8" s="16" t="s">
        <v>18</v>
      </c>
      <c r="L8" s="17" t="s">
        <v>19</v>
      </c>
      <c r="M8" s="17" t="s">
        <v>20</v>
      </c>
      <c r="N8" s="17" t="s">
        <v>21</v>
      </c>
      <c r="O8" s="17" t="s">
        <v>22</v>
      </c>
      <c r="P8" s="17" t="s">
        <v>23</v>
      </c>
      <c r="Q8" s="17" t="s">
        <v>24</v>
      </c>
      <c r="R8" s="16" t="s">
        <v>25</v>
      </c>
      <c r="S8" s="8" t="s">
        <v>26</v>
      </c>
      <c r="T8" s="8" t="s">
        <v>27</v>
      </c>
      <c r="U8" s="18" t="s">
        <v>28</v>
      </c>
      <c r="V8" s="18" t="s">
        <v>29</v>
      </c>
      <c r="W8" s="18" t="s">
        <v>30</v>
      </c>
      <c r="X8" s="18" t="s">
        <v>31</v>
      </c>
      <c r="Y8" s="18" t="s">
        <v>32</v>
      </c>
      <c r="Z8" s="22" t="s">
        <v>33</v>
      </c>
      <c r="AA8" s="22" t="s">
        <v>34</v>
      </c>
      <c r="AB8" s="23" t="s">
        <v>35</v>
      </c>
      <c r="AC8" s="23" t="s">
        <v>36</v>
      </c>
      <c r="AD8" s="23" t="s">
        <v>37</v>
      </c>
      <c r="AE8" s="22" t="s">
        <v>38</v>
      </c>
      <c r="AF8" s="22" t="s">
        <v>39</v>
      </c>
      <c r="AG8" s="23" t="s">
        <v>40</v>
      </c>
      <c r="AH8" s="23" t="s">
        <v>41</v>
      </c>
      <c r="AI8" s="22" t="s">
        <v>42</v>
      </c>
      <c r="AJ8" s="22" t="s">
        <v>43</v>
      </c>
      <c r="AK8" s="23" t="s">
        <v>44</v>
      </c>
      <c r="AL8" s="23" t="s">
        <v>45</v>
      </c>
      <c r="AM8" s="23" t="s">
        <v>46</v>
      </c>
      <c r="AN8" s="22" t="s">
        <v>47</v>
      </c>
      <c r="AO8" s="27" t="s">
        <v>48</v>
      </c>
    </row>
    <row r="9" ht="15.15" spans="1:41">
      <c r="A9" s="11">
        <v>2</v>
      </c>
      <c r="B9" s="29" t="s">
        <v>59</v>
      </c>
      <c r="C9" s="29" t="s">
        <v>59</v>
      </c>
      <c r="D9" s="11" t="s">
        <v>51</v>
      </c>
      <c r="E9" s="11" t="s">
        <v>51</v>
      </c>
      <c r="F9" s="26">
        <v>6</v>
      </c>
      <c r="G9" s="19">
        <v>200</v>
      </c>
      <c r="H9" s="12">
        <f>F9*G9</f>
        <v>1200</v>
      </c>
      <c r="I9" s="12">
        <v>0</v>
      </c>
      <c r="J9" s="12">
        <v>0</v>
      </c>
      <c r="K9" s="12">
        <v>0</v>
      </c>
      <c r="L9" s="12">
        <f>H9</f>
        <v>1200</v>
      </c>
      <c r="M9" s="12">
        <f>ROUND((L9*I9)/100,2)</f>
        <v>0</v>
      </c>
      <c r="N9" s="12">
        <f>H9-M9</f>
        <v>1200</v>
      </c>
      <c r="O9" s="12">
        <f>ROUND((N9*J9)/100,2)</f>
        <v>0</v>
      </c>
      <c r="P9" s="12">
        <f>ROUND(N9-O9,2)</f>
        <v>1200</v>
      </c>
      <c r="Q9" s="12">
        <f>ROUND((P9*K9)/100,2)</f>
        <v>0</v>
      </c>
      <c r="R9" s="19">
        <f>M9+O9+Q9</f>
        <v>0</v>
      </c>
      <c r="S9" s="19">
        <f>(H9-R9)</f>
        <v>1200</v>
      </c>
      <c r="T9" s="19" t="s">
        <v>52</v>
      </c>
      <c r="U9" s="12">
        <v>5</v>
      </c>
      <c r="V9" s="19">
        <f>IF($C$2=1,ROUND(((S9*(U9/100))/2),2),0)</f>
        <v>30</v>
      </c>
      <c r="W9" s="19">
        <f>IF($C$2=1,ROUND(((S9*(U9/100))/2),2),0)</f>
        <v>30</v>
      </c>
      <c r="X9" s="19">
        <f>IF($C$2=2,ROUND(((S9*U9)),2),0)</f>
        <v>0</v>
      </c>
      <c r="Y9" s="19">
        <f>V9+W9+X9</f>
        <v>60</v>
      </c>
      <c r="Z9" s="19">
        <f>S9+Y9</f>
        <v>1260</v>
      </c>
      <c r="AA9" s="19">
        <v>200</v>
      </c>
      <c r="AB9" s="19" t="e">
        <f>IF($P$2=1,(S9/$S$5)*#REF!,AA9/$AA$5*#REF!)</f>
        <v>#REF!</v>
      </c>
      <c r="AC9" s="19"/>
      <c r="AD9" s="19" t="e">
        <f>IF($P$2=1,(S9/$S$5)*#REF!,AA9/$AA$5*#REF!)</f>
        <v>#REF!</v>
      </c>
      <c r="AE9" s="19" t="e">
        <f>IF($P$2=1,(S9/$S$5)*#REF!,AA9/$AA$5*#REF!)</f>
        <v>#REF!</v>
      </c>
      <c r="AF9" s="19">
        <f>S9*$M$2</f>
        <v>1200</v>
      </c>
      <c r="AG9" s="19" t="e">
        <f>IF($C$2=3,0,AD9+AE9)</f>
        <v>#REF!</v>
      </c>
      <c r="AH9" s="19">
        <f>IF($C$2=3,AB9+AD9+AE9,0)</f>
        <v>0</v>
      </c>
      <c r="AI9" s="26">
        <v>1</v>
      </c>
      <c r="AJ9" s="19">
        <f>F9/AI9</f>
        <v>6</v>
      </c>
      <c r="AK9" s="19">
        <f>AF9/AJ9</f>
        <v>200</v>
      </c>
      <c r="AL9" s="19" t="e">
        <f>AG9/AJ9</f>
        <v>#REF!</v>
      </c>
      <c r="AM9" s="19">
        <f>AH9/AJ9</f>
        <v>0</v>
      </c>
      <c r="AN9" s="19" t="s">
        <v>51</v>
      </c>
      <c r="AO9" s="19" t="e">
        <f>AK9+AL9+AM9</f>
        <v>#REF!</v>
      </c>
    </row>
    <row r="10" ht="14.55" spans="2:41">
      <c r="B10" s="13" t="s">
        <v>53</v>
      </c>
      <c r="C10" s="13"/>
      <c r="D10" s="13"/>
      <c r="E10" s="13"/>
      <c r="F10" s="13"/>
      <c r="G10" s="13"/>
      <c r="H10" s="14">
        <f>SUM(H9:H9)</f>
        <v>1200</v>
      </c>
      <c r="I10" s="11"/>
      <c r="J10" s="11"/>
      <c r="K10" s="11"/>
      <c r="L10" s="11"/>
      <c r="M10" s="11"/>
      <c r="N10" s="11"/>
      <c r="O10" s="11"/>
      <c r="P10" s="11"/>
      <c r="Q10" s="11"/>
      <c r="R10" s="20">
        <f t="shared" ref="R10:AB10" si="1">SUM(R9:R9)</f>
        <v>0</v>
      </c>
      <c r="S10" s="20">
        <f t="shared" si="1"/>
        <v>1200</v>
      </c>
      <c r="T10" s="20"/>
      <c r="U10" s="20"/>
      <c r="V10" s="21">
        <f t="shared" si="1"/>
        <v>30</v>
      </c>
      <c r="W10" s="21">
        <f t="shared" si="1"/>
        <v>30</v>
      </c>
      <c r="X10" s="21">
        <f t="shared" si="1"/>
        <v>0</v>
      </c>
      <c r="Y10" s="20">
        <f t="shared" si="1"/>
        <v>60</v>
      </c>
      <c r="Z10" s="24">
        <f t="shared" si="1"/>
        <v>1260</v>
      </c>
      <c r="AA10" s="25">
        <f t="shared" si="1"/>
        <v>200</v>
      </c>
      <c r="AB10" s="25" t="e">
        <f t="shared" si="1"/>
        <v>#REF!</v>
      </c>
      <c r="AC10" s="24"/>
      <c r="AD10" s="25" t="e">
        <f>SUM(AD9:AD9)</f>
        <v>#REF!</v>
      </c>
      <c r="AE10" s="25" t="e">
        <f>SUM(AE9:AE9)</f>
        <v>#REF!</v>
      </c>
      <c r="AF10" s="25">
        <f>SUM(AF9:AF9)</f>
        <v>1200</v>
      </c>
      <c r="AG10" s="25" t="e">
        <f>SUM(AG9:AG9)</f>
        <v>#REF!</v>
      </c>
      <c r="AH10" s="25">
        <f>SUM(AH9:AH9)</f>
        <v>0</v>
      </c>
      <c r="AI10" s="24"/>
      <c r="AJ10" s="24"/>
      <c r="AK10" s="24"/>
      <c r="AL10" s="24"/>
      <c r="AM10" s="24"/>
      <c r="AN10" s="24"/>
      <c r="AO10" s="24"/>
    </row>
    <row r="11" spans="1:41">
      <c r="A11" s="3" t="s">
        <v>56</v>
      </c>
      <c r="B11" s="4"/>
      <c r="C11" s="4"/>
      <c r="D11" s="4"/>
      <c r="E11" s="4"/>
      <c r="F11" s="4"/>
      <c r="G11" s="4"/>
      <c r="H11" s="3"/>
      <c r="I11" s="15"/>
      <c r="J11" s="15"/>
      <c r="K11" s="15"/>
      <c r="L11" s="15"/>
      <c r="M11" s="15"/>
      <c r="N11" s="15"/>
      <c r="O11" s="15"/>
      <c r="P11" s="15"/>
      <c r="Q11" s="15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>
      <c r="A12" s="5" t="s">
        <v>1</v>
      </c>
      <c r="B12" s="5"/>
      <c r="C12" s="6">
        <v>1</v>
      </c>
      <c r="D12" s="7" t="s">
        <v>2</v>
      </c>
      <c r="E12" s="4"/>
      <c r="F12" s="4"/>
      <c r="G12" s="4"/>
      <c r="H12" s="3"/>
      <c r="I12" s="15" t="s">
        <v>3</v>
      </c>
      <c r="J12" s="15" t="s">
        <v>4</v>
      </c>
      <c r="K12" s="15"/>
      <c r="L12" s="15" t="s">
        <v>5</v>
      </c>
      <c r="M12" s="15">
        <v>1</v>
      </c>
      <c r="N12" s="15"/>
      <c r="O12" s="15" t="s">
        <v>6</v>
      </c>
      <c r="P12" s="15">
        <v>2</v>
      </c>
      <c r="Q12" s="15" t="s">
        <v>7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ht="28.35" spans="1:41">
      <c r="A13" s="8" t="s">
        <v>8</v>
      </c>
      <c r="B13" s="8" t="s">
        <v>9</v>
      </c>
      <c r="C13" s="9" t="s">
        <v>10</v>
      </c>
      <c r="D13" s="8" t="s">
        <v>11</v>
      </c>
      <c r="E13" s="8" t="s">
        <v>12</v>
      </c>
      <c r="F13" s="10" t="s">
        <v>13</v>
      </c>
      <c r="G13" s="8" t="s">
        <v>14</v>
      </c>
      <c r="H13" s="8" t="s">
        <v>15</v>
      </c>
      <c r="I13" s="16" t="s">
        <v>16</v>
      </c>
      <c r="J13" s="16" t="s">
        <v>17</v>
      </c>
      <c r="K13" s="16" t="s">
        <v>18</v>
      </c>
      <c r="L13" s="17" t="s">
        <v>19</v>
      </c>
      <c r="M13" s="17" t="s">
        <v>20</v>
      </c>
      <c r="N13" s="17" t="s">
        <v>21</v>
      </c>
      <c r="O13" s="17" t="s">
        <v>22</v>
      </c>
      <c r="P13" s="17" t="s">
        <v>23</v>
      </c>
      <c r="Q13" s="17" t="s">
        <v>24</v>
      </c>
      <c r="R13" s="16" t="s">
        <v>25</v>
      </c>
      <c r="S13" s="8" t="s">
        <v>26</v>
      </c>
      <c r="T13" s="8" t="s">
        <v>27</v>
      </c>
      <c r="U13" s="18" t="s">
        <v>28</v>
      </c>
      <c r="V13" s="18" t="s">
        <v>29</v>
      </c>
      <c r="W13" s="18" t="s">
        <v>30</v>
      </c>
      <c r="X13" s="18" t="s">
        <v>31</v>
      </c>
      <c r="Y13" s="18" t="s">
        <v>32</v>
      </c>
      <c r="Z13" s="22" t="s">
        <v>33</v>
      </c>
      <c r="AA13" s="22" t="s">
        <v>34</v>
      </c>
      <c r="AB13" s="23" t="s">
        <v>35</v>
      </c>
      <c r="AC13" s="23" t="s">
        <v>36</v>
      </c>
      <c r="AD13" s="23" t="s">
        <v>37</v>
      </c>
      <c r="AE13" s="22" t="s">
        <v>38</v>
      </c>
      <c r="AF13" s="22" t="s">
        <v>39</v>
      </c>
      <c r="AG13" s="23" t="s">
        <v>40</v>
      </c>
      <c r="AH13" s="23" t="s">
        <v>41</v>
      </c>
      <c r="AI13" s="22" t="s">
        <v>42</v>
      </c>
      <c r="AJ13" s="22" t="s">
        <v>43</v>
      </c>
      <c r="AK13" s="23" t="s">
        <v>44</v>
      </c>
      <c r="AL13" s="23" t="s">
        <v>45</v>
      </c>
      <c r="AM13" s="23" t="s">
        <v>46</v>
      </c>
      <c r="AN13" s="22" t="s">
        <v>47</v>
      </c>
      <c r="AO13" s="27" t="s">
        <v>48</v>
      </c>
    </row>
    <row r="14" ht="14.55" spans="1:41">
      <c r="A14" s="11">
        <v>1</v>
      </c>
      <c r="B14" s="28" t="s">
        <v>57</v>
      </c>
      <c r="C14" s="28" t="s">
        <v>58</v>
      </c>
      <c r="D14" s="11" t="s">
        <v>51</v>
      </c>
      <c r="E14" s="11" t="s">
        <v>51</v>
      </c>
      <c r="F14" s="26">
        <v>5</v>
      </c>
      <c r="G14" s="19">
        <v>150</v>
      </c>
      <c r="H14" s="12">
        <f>F14*G14</f>
        <v>750</v>
      </c>
      <c r="I14" s="12">
        <v>5</v>
      </c>
      <c r="J14" s="12">
        <v>6</v>
      </c>
      <c r="K14" s="12">
        <v>7</v>
      </c>
      <c r="L14" s="12">
        <f>H14</f>
        <v>750</v>
      </c>
      <c r="M14" s="12">
        <f>ROUND((L14*I14)/100,2)</f>
        <v>37.5</v>
      </c>
      <c r="N14" s="12">
        <f>H14-M14</f>
        <v>712.5</v>
      </c>
      <c r="O14" s="12">
        <f>ROUND((N14*J14)/100,2)</f>
        <v>42.75</v>
      </c>
      <c r="P14" s="12">
        <f>ROUND(N14-O14,2)</f>
        <v>669.75</v>
      </c>
      <c r="Q14" s="12">
        <f>ROUND((P14*K14)/100,2)</f>
        <v>46.88</v>
      </c>
      <c r="R14" s="19">
        <f>M14+O14+Q14</f>
        <v>127.13</v>
      </c>
      <c r="S14" s="12">
        <f>(H14-R14)</f>
        <v>622.87</v>
      </c>
      <c r="T14" s="19" t="s">
        <v>52</v>
      </c>
      <c r="U14" s="12">
        <v>12</v>
      </c>
      <c r="V14" s="12">
        <f>IF($C$2=1,ROUND(((S14*(U14/100))/2),2),0)</f>
        <v>37.37</v>
      </c>
      <c r="W14" s="19">
        <f>IF($C$2=1,ROUND(((S14*(U14/100))/2),2),0)</f>
        <v>37.37</v>
      </c>
      <c r="X14" s="19">
        <f>IF($C$2=2,ROUND(((S14*U14)),2),0)</f>
        <v>0</v>
      </c>
      <c r="Y14" s="19">
        <f>V14+W14+X14</f>
        <v>74.74</v>
      </c>
      <c r="Z14" s="19">
        <f>S14+Y14</f>
        <v>697.61</v>
      </c>
      <c r="AA14" s="19">
        <v>120</v>
      </c>
      <c r="AB14" s="19" t="e">
        <f>IF($P$2=1,(S14/$S$5)*#REF!,AA14/$AA$5*#REF!)</f>
        <v>#REF!</v>
      </c>
      <c r="AC14" s="19"/>
      <c r="AD14" s="19" t="e">
        <f>IF($P$2=1,(S14/$S$5)*#REF!,AA14/$AA$5*#REF!)</f>
        <v>#REF!</v>
      </c>
      <c r="AE14" s="19" t="e">
        <f>IF($P$2=1,(S14/$S$5)*#REF!,AA14/$AA$5*#REF!)</f>
        <v>#REF!</v>
      </c>
      <c r="AF14" s="19">
        <f>S14*$M$2</f>
        <v>622.87</v>
      </c>
      <c r="AG14" s="19" t="e">
        <f>IF($C$2=3,0,AD14+AE14)</f>
        <v>#REF!</v>
      </c>
      <c r="AH14" s="19">
        <f>IF($C$2=3,AB14+AD14+AE14,0)</f>
        <v>0</v>
      </c>
      <c r="AI14" s="26">
        <v>1</v>
      </c>
      <c r="AJ14" s="19">
        <f>F14/AI14</f>
        <v>5</v>
      </c>
      <c r="AK14" s="19">
        <f>AF14/AJ14</f>
        <v>124.574</v>
      </c>
      <c r="AL14" s="19" t="e">
        <f>AG14/AJ14</f>
        <v>#REF!</v>
      </c>
      <c r="AM14" s="19">
        <f>AH14/AJ14</f>
        <v>0</v>
      </c>
      <c r="AN14" s="19" t="s">
        <v>51</v>
      </c>
      <c r="AO14" s="19" t="e">
        <f>AK14+AL14+AM14</f>
        <v>#REF!</v>
      </c>
    </row>
    <row r="15" ht="15.15" spans="1:41">
      <c r="A15" s="11">
        <v>2</v>
      </c>
      <c r="B15" s="29" t="s">
        <v>59</v>
      </c>
      <c r="C15" s="29" t="s">
        <v>59</v>
      </c>
      <c r="D15" s="11" t="s">
        <v>51</v>
      </c>
      <c r="E15" s="11" t="s">
        <v>51</v>
      </c>
      <c r="F15" s="26">
        <v>6</v>
      </c>
      <c r="G15" s="19">
        <v>200</v>
      </c>
      <c r="H15" s="12">
        <f>F15*G15</f>
        <v>1200</v>
      </c>
      <c r="I15" s="12">
        <v>0</v>
      </c>
      <c r="J15" s="12">
        <v>0</v>
      </c>
      <c r="K15" s="12">
        <v>0</v>
      </c>
      <c r="L15" s="12">
        <f>H15</f>
        <v>1200</v>
      </c>
      <c r="M15" s="12">
        <f>ROUND((L15*I15)/100,2)</f>
        <v>0</v>
      </c>
      <c r="N15" s="12">
        <f>H15-M15</f>
        <v>1200</v>
      </c>
      <c r="O15" s="12">
        <f>ROUND((N15*J15)/100,2)</f>
        <v>0</v>
      </c>
      <c r="P15" s="12">
        <f>ROUND(N15-O15,2)</f>
        <v>1200</v>
      </c>
      <c r="Q15" s="12">
        <f>ROUND((P15*K15)/100,2)</f>
        <v>0</v>
      </c>
      <c r="R15" s="19">
        <f>M15+O15+Q15</f>
        <v>0</v>
      </c>
      <c r="S15" s="12">
        <f>(H15-R15)</f>
        <v>1200</v>
      </c>
      <c r="T15" s="19" t="s">
        <v>52</v>
      </c>
      <c r="U15" s="12">
        <v>5</v>
      </c>
      <c r="V15" s="12">
        <f>IF($C$2=1,ROUND(((S15*(U15/100))/2),2),0)</f>
        <v>30</v>
      </c>
      <c r="W15" s="19">
        <f>IF($C$2=1,ROUND(((S15*(U15/100))/2),2),0)</f>
        <v>30</v>
      </c>
      <c r="X15" s="19">
        <f>IF($C$2=2,ROUND(((S15*U15)),2),0)</f>
        <v>0</v>
      </c>
      <c r="Y15" s="19">
        <f>V15+W15+X15</f>
        <v>60</v>
      </c>
      <c r="Z15" s="19">
        <f>S15+Y15</f>
        <v>1260</v>
      </c>
      <c r="AA15" s="19">
        <v>200</v>
      </c>
      <c r="AB15" s="19" t="e">
        <f>IF($P$2=1,(S15/$S$5)*#REF!,AA15/$AA$5*#REF!)</f>
        <v>#REF!</v>
      </c>
      <c r="AC15" s="19"/>
      <c r="AD15" s="19" t="e">
        <f>IF($P$2=1,(S15/$S$5)*#REF!,AA15/$AA$5*#REF!)</f>
        <v>#REF!</v>
      </c>
      <c r="AE15" s="19" t="e">
        <f>IF($P$2=1,(S15/$S$5)*#REF!,AA15/$AA$5*#REF!)</f>
        <v>#REF!</v>
      </c>
      <c r="AF15" s="19">
        <f>S15*$M$2</f>
        <v>1200</v>
      </c>
      <c r="AG15" s="19" t="e">
        <f>IF($C$2=3,0,AD15+AE15)</f>
        <v>#REF!</v>
      </c>
      <c r="AH15" s="19">
        <f>IF($C$2=3,AB15+AD15+AE15,0)</f>
        <v>0</v>
      </c>
      <c r="AI15" s="26">
        <v>1</v>
      </c>
      <c r="AJ15" s="19">
        <f>F15/AI15</f>
        <v>6</v>
      </c>
      <c r="AK15" s="19">
        <f>AF15/AJ15</f>
        <v>200</v>
      </c>
      <c r="AL15" s="19" t="e">
        <f>AG15/AJ15</f>
        <v>#REF!</v>
      </c>
      <c r="AM15" s="19">
        <f>AH15/AJ15</f>
        <v>0</v>
      </c>
      <c r="AN15" s="19" t="s">
        <v>51</v>
      </c>
      <c r="AO15" s="19" t="e">
        <f>AK15+AL15+AM15</f>
        <v>#REF!</v>
      </c>
    </row>
    <row r="16" ht="14.55" spans="2:41">
      <c r="B16" s="13" t="s">
        <v>53</v>
      </c>
      <c r="C16" s="13"/>
      <c r="D16" s="13"/>
      <c r="E16" s="13"/>
      <c r="F16" s="13"/>
      <c r="G16" s="13"/>
      <c r="H16" s="14">
        <f>SUM(H14:H15)</f>
        <v>1950</v>
      </c>
      <c r="I16" s="11"/>
      <c r="J16" s="11"/>
      <c r="K16" s="11"/>
      <c r="L16" s="11"/>
      <c r="M16" s="11"/>
      <c r="N16" s="11"/>
      <c r="O16" s="11"/>
      <c r="P16" s="11"/>
      <c r="Q16" s="12">
        <f>ROUND((P16*K16)/100,2)</f>
        <v>0</v>
      </c>
      <c r="R16" s="20">
        <f t="shared" ref="R16:AB16" si="2">SUM(R14:R15)</f>
        <v>127.13</v>
      </c>
      <c r="S16" s="20">
        <f t="shared" si="2"/>
        <v>1822.87</v>
      </c>
      <c r="T16" s="20"/>
      <c r="U16" s="20"/>
      <c r="V16" s="21">
        <f t="shared" si="2"/>
        <v>67.37</v>
      </c>
      <c r="W16" s="21">
        <f t="shared" si="2"/>
        <v>67.37</v>
      </c>
      <c r="X16" s="21">
        <f t="shared" si="2"/>
        <v>0</v>
      </c>
      <c r="Y16" s="20">
        <f t="shared" si="2"/>
        <v>134.74</v>
      </c>
      <c r="Z16" s="24">
        <f t="shared" si="2"/>
        <v>1957.61</v>
      </c>
      <c r="AA16" s="25">
        <f t="shared" si="2"/>
        <v>320</v>
      </c>
      <c r="AB16" s="25" t="e">
        <f t="shared" si="2"/>
        <v>#REF!</v>
      </c>
      <c r="AC16" s="24"/>
      <c r="AD16" s="25" t="e">
        <f t="shared" ref="AD16:AH16" si="3">SUM(AD14:AD15)</f>
        <v>#REF!</v>
      </c>
      <c r="AE16" s="25" t="e">
        <f t="shared" si="3"/>
        <v>#REF!</v>
      </c>
      <c r="AF16" s="25">
        <f t="shared" si="3"/>
        <v>1822.87</v>
      </c>
      <c r="AG16" s="25" t="e">
        <f t="shared" si="3"/>
        <v>#REF!</v>
      </c>
      <c r="AH16" s="25">
        <f t="shared" si="3"/>
        <v>0</v>
      </c>
      <c r="AI16" s="24"/>
      <c r="AJ16" s="24"/>
      <c r="AK16" s="24"/>
      <c r="AL16" s="24"/>
      <c r="AM16" s="24"/>
      <c r="AN16" s="24"/>
      <c r="AO16" s="24"/>
    </row>
  </sheetData>
  <mergeCells count="6">
    <mergeCell ref="A2:B2"/>
    <mergeCell ref="B5:G5"/>
    <mergeCell ref="A7:B7"/>
    <mergeCell ref="B10:G10"/>
    <mergeCell ref="A12:B12"/>
    <mergeCell ref="B16:G16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"/>
  <sheetViews>
    <sheetView showGridLines="0" tabSelected="1" topLeftCell="E1" workbookViewId="0">
      <selection activeCell="L18" sqref="L18"/>
    </sheetView>
  </sheetViews>
  <sheetFormatPr defaultColWidth="9.13888888888889" defaultRowHeight="13.8" outlineLevelRow="4"/>
  <cols>
    <col min="1" max="1" width="8" style="2" customWidth="1"/>
    <col min="2" max="2" width="21" style="2" customWidth="1"/>
    <col min="3" max="3" width="21.8518518518519" style="2" customWidth="1"/>
    <col min="4" max="4" width="10" style="2" customWidth="1"/>
    <col min="5" max="5" width="12.5740740740741" style="2" customWidth="1"/>
    <col min="6" max="6" width="14.712962962963" style="2" customWidth="1"/>
    <col min="7" max="7" width="10.1388888888889" style="2" customWidth="1"/>
    <col min="8" max="8" width="11.8518518518519" style="2" customWidth="1"/>
    <col min="9" max="9" width="14.4259259259259" style="2" customWidth="1"/>
    <col min="10" max="10" width="18.287037037037" style="2" customWidth="1"/>
    <col min="11" max="11" width="12.8518518518519" style="2" customWidth="1"/>
    <col min="12" max="12" width="17.8518518518519" style="2" customWidth="1"/>
    <col min="13" max="13" width="12.8518518518519" style="2" customWidth="1"/>
    <col min="14" max="14" width="18" style="2" customWidth="1"/>
    <col min="15" max="15" width="18.1388888888889" style="2" customWidth="1"/>
    <col min="16" max="16" width="20.287037037037" style="2" customWidth="1"/>
    <col min="17" max="17" width="19" style="2" customWidth="1"/>
    <col min="18" max="18" width="13.287037037037" style="2" customWidth="1"/>
    <col min="19" max="19" width="10.712962962963" style="2" customWidth="1"/>
    <col min="20" max="20" width="12.1388888888889" style="2" customWidth="1"/>
    <col min="21" max="21" width="20.5740740740741" style="2" customWidth="1"/>
    <col min="22" max="22" width="28.712962962963" style="2" customWidth="1"/>
    <col min="23" max="23" width="9.28703703703704" style="2" customWidth="1"/>
    <col min="24" max="24" width="10" style="2" customWidth="1"/>
    <col min="25" max="26" width="11.5740740740741" style="2" customWidth="1"/>
    <col min="27" max="27" width="11.712962962963" style="2" customWidth="1"/>
    <col min="28" max="32" width="11.5740740740741" style="2" customWidth="1"/>
    <col min="33" max="35" width="12.287037037037" style="2" customWidth="1"/>
    <col min="36" max="36" width="14.712962962963" style="2" customWidth="1"/>
    <col min="37" max="39" width="12.287037037037" style="2" customWidth="1"/>
    <col min="40" max="40" width="14.712962962963" style="2" customWidth="1"/>
    <col min="41" max="41" width="23.287037037037" style="2" customWidth="1"/>
    <col min="42" max="16384" width="9.13888888888889" style="2"/>
  </cols>
  <sheetData>
    <row r="1" ht="27.75" customHeight="1" spans="1:41">
      <c r="A1" s="3" t="s">
        <v>0</v>
      </c>
      <c r="B1" s="4"/>
      <c r="C1" s="4"/>
      <c r="D1" s="4"/>
      <c r="E1" s="4"/>
      <c r="F1" s="4"/>
      <c r="G1" s="4"/>
      <c r="H1" s="3"/>
      <c r="I1" s="15"/>
      <c r="J1" s="15"/>
      <c r="K1" s="15"/>
      <c r="L1" s="15"/>
      <c r="M1" s="15"/>
      <c r="N1" s="15"/>
      <c r="O1" s="15"/>
      <c r="P1" s="15"/>
      <c r="Q1" s="15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ht="19.9" customHeight="1" spans="1:41">
      <c r="A2" s="5" t="s">
        <v>1</v>
      </c>
      <c r="B2" s="5"/>
      <c r="C2" s="6">
        <v>1</v>
      </c>
      <c r="D2" s="7" t="s">
        <v>2</v>
      </c>
      <c r="E2" s="4"/>
      <c r="F2" s="4"/>
      <c r="G2" s="4"/>
      <c r="H2" s="3"/>
      <c r="I2" s="15" t="s">
        <v>3</v>
      </c>
      <c r="J2" s="15" t="s">
        <v>4</v>
      </c>
      <c r="K2" s="15"/>
      <c r="L2" s="15" t="s">
        <v>5</v>
      </c>
      <c r="M2" s="15">
        <v>1</v>
      </c>
      <c r="N2" s="15"/>
      <c r="O2" s="15" t="s">
        <v>6</v>
      </c>
      <c r="P2" s="15">
        <v>2</v>
      </c>
      <c r="Q2" s="15" t="s">
        <v>7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="1" customFormat="1" ht="28.35" spans="1:41">
      <c r="A3" s="8" t="s">
        <v>8</v>
      </c>
      <c r="B3" s="8" t="s">
        <v>9</v>
      </c>
      <c r="C3" s="9" t="s">
        <v>10</v>
      </c>
      <c r="D3" s="8" t="s">
        <v>11</v>
      </c>
      <c r="E3" s="8" t="s">
        <v>12</v>
      </c>
      <c r="F3" s="10" t="s">
        <v>13</v>
      </c>
      <c r="G3" s="8" t="s">
        <v>14</v>
      </c>
      <c r="H3" s="8" t="s">
        <v>15</v>
      </c>
      <c r="I3" s="16" t="s">
        <v>16</v>
      </c>
      <c r="J3" s="16" t="s">
        <v>17</v>
      </c>
      <c r="K3" s="16" t="s">
        <v>18</v>
      </c>
      <c r="L3" s="17" t="s">
        <v>19</v>
      </c>
      <c r="M3" s="17" t="s">
        <v>20</v>
      </c>
      <c r="N3" s="17" t="s">
        <v>21</v>
      </c>
      <c r="O3" s="17" t="s">
        <v>22</v>
      </c>
      <c r="P3" s="17" t="s">
        <v>23</v>
      </c>
      <c r="Q3" s="17" t="s">
        <v>24</v>
      </c>
      <c r="R3" s="16" t="s">
        <v>25</v>
      </c>
      <c r="S3" s="8" t="s">
        <v>26</v>
      </c>
      <c r="T3" s="8" t="s">
        <v>27</v>
      </c>
      <c r="U3" s="18" t="s">
        <v>28</v>
      </c>
      <c r="V3" s="18" t="s">
        <v>29</v>
      </c>
      <c r="W3" s="18" t="s">
        <v>30</v>
      </c>
      <c r="X3" s="18" t="s">
        <v>31</v>
      </c>
      <c r="Y3" s="18" t="s">
        <v>32</v>
      </c>
      <c r="Z3" s="22" t="s">
        <v>33</v>
      </c>
      <c r="AA3" s="22" t="s">
        <v>34</v>
      </c>
      <c r="AB3" s="23" t="s">
        <v>35</v>
      </c>
      <c r="AC3" s="23" t="s">
        <v>36</v>
      </c>
      <c r="AD3" s="23" t="s">
        <v>37</v>
      </c>
      <c r="AE3" s="22" t="s">
        <v>38</v>
      </c>
      <c r="AF3" s="22" t="s">
        <v>39</v>
      </c>
      <c r="AG3" s="23" t="s">
        <v>40</v>
      </c>
      <c r="AH3" s="23" t="s">
        <v>41</v>
      </c>
      <c r="AI3" s="22" t="s">
        <v>42</v>
      </c>
      <c r="AJ3" s="22" t="s">
        <v>43</v>
      </c>
      <c r="AK3" s="23" t="s">
        <v>44</v>
      </c>
      <c r="AL3" s="23" t="s">
        <v>45</v>
      </c>
      <c r="AM3" s="23" t="s">
        <v>46</v>
      </c>
      <c r="AN3" s="22" t="s">
        <v>47</v>
      </c>
      <c r="AO3" s="27" t="s">
        <v>48</v>
      </c>
    </row>
    <row r="4" spans="1:41">
      <c r="A4" s="11">
        <v>1</v>
      </c>
      <c r="B4" s="2" t="s">
        <v>60</v>
      </c>
      <c r="C4" s="2" t="s">
        <v>60</v>
      </c>
      <c r="D4" s="11" t="s">
        <v>51</v>
      </c>
      <c r="E4" s="11" t="s">
        <v>51</v>
      </c>
      <c r="F4" s="2" t="s">
        <v>61</v>
      </c>
      <c r="G4" s="2" t="s">
        <v>62</v>
      </c>
      <c r="H4" s="12">
        <f>F4*G4</f>
        <v>750</v>
      </c>
      <c r="I4" s="2" t="s">
        <v>61</v>
      </c>
      <c r="J4" s="12"/>
      <c r="K4" s="12"/>
      <c r="L4" s="12">
        <f>H4</f>
        <v>750</v>
      </c>
      <c r="M4" s="12">
        <f>ROUND((L4*I4)/100,2)</f>
        <v>37.5</v>
      </c>
      <c r="N4" s="12">
        <f>H4-M4</f>
        <v>712.5</v>
      </c>
      <c r="O4" s="12">
        <f>ROUND((N4*J4)/100,2)</f>
        <v>0</v>
      </c>
      <c r="P4" s="12">
        <f>ROUND(N4-O4,2)</f>
        <v>712.5</v>
      </c>
      <c r="Q4" s="12">
        <f>ROUND((P4*K4)/100,2)</f>
        <v>0</v>
      </c>
      <c r="R4" s="19">
        <f>M4+O4+Q4</f>
        <v>37.5</v>
      </c>
      <c r="S4" s="19">
        <f>(H4-R4)</f>
        <v>712.5</v>
      </c>
      <c r="T4" s="2" t="s">
        <v>63</v>
      </c>
      <c r="U4" s="2" t="s">
        <v>64</v>
      </c>
      <c r="V4" s="19">
        <f>IF($C$2=1,ROUND(((S4*(U4/100))/2),2),0)</f>
        <v>64.13</v>
      </c>
      <c r="W4" s="19">
        <f>IF($C$2=1,ROUND(((S4*(U4/100))/2),2),0)</f>
        <v>64.13</v>
      </c>
      <c r="X4" s="19">
        <f>IF($C$2=2,ROUND(((S4*U4)),2),0)</f>
        <v>0</v>
      </c>
      <c r="Y4" s="19">
        <f>V4+W4+X4</f>
        <v>128.26</v>
      </c>
      <c r="Z4" s="19">
        <f>S4+Y4</f>
        <v>840.76</v>
      </c>
      <c r="AA4" s="19">
        <v>120</v>
      </c>
      <c r="AB4" s="19" t="e">
        <f>IF($P$2=1,(S4/$S$5)*#REF!,AA4/$AA$5*#REF!)</f>
        <v>#REF!</v>
      </c>
      <c r="AC4" s="19"/>
      <c r="AD4" s="19" t="e">
        <f>IF($P$2=1,(S4/$S$5)*#REF!,AA4/$AA$5*#REF!)</f>
        <v>#REF!</v>
      </c>
      <c r="AE4" s="19" t="e">
        <f>IF($P$2=1,(S4/$S$5)*#REF!,AA4/$AA$5*#REF!)</f>
        <v>#REF!</v>
      </c>
      <c r="AF4" s="19">
        <f>S4*$M$2</f>
        <v>712.5</v>
      </c>
      <c r="AG4" s="19" t="e">
        <f>IF($C$2=3,0,AD4+AE4)</f>
        <v>#REF!</v>
      </c>
      <c r="AH4" s="19">
        <f>IF($C$2=3,AB4+AD4+AE4,0)</f>
        <v>0</v>
      </c>
      <c r="AI4" s="26">
        <v>1</v>
      </c>
      <c r="AJ4" s="19">
        <f>F4/AI4</f>
        <v>0</v>
      </c>
      <c r="AK4" s="19" t="e">
        <f>AF4/AJ4</f>
        <v>#DIV/0!</v>
      </c>
      <c r="AL4" s="19" t="e">
        <f>AG4/AJ4</f>
        <v>#REF!</v>
      </c>
      <c r="AM4" s="19" t="e">
        <f>AH4/AJ4</f>
        <v>#DIV/0!</v>
      </c>
      <c r="AN4" s="19" t="s">
        <v>51</v>
      </c>
      <c r="AO4" s="19" t="e">
        <f>AK4+AL4+AM4</f>
        <v>#DIV/0!</v>
      </c>
    </row>
    <row r="5" spans="2:41">
      <c r="B5" s="13" t="s">
        <v>53</v>
      </c>
      <c r="C5" s="13"/>
      <c r="D5" s="13"/>
      <c r="E5" s="13"/>
      <c r="F5" s="13"/>
      <c r="G5" s="13"/>
      <c r="H5" s="14">
        <f>SUM(H4:H4)</f>
        <v>750</v>
      </c>
      <c r="I5" s="11"/>
      <c r="J5" s="11"/>
      <c r="K5" s="11"/>
      <c r="L5" s="11"/>
      <c r="M5" s="11"/>
      <c r="N5" s="11"/>
      <c r="O5" s="11"/>
      <c r="P5" s="11"/>
      <c r="Q5" s="11"/>
      <c r="R5" s="20">
        <f t="shared" ref="R5:AB5" si="0">SUM(R4:R4)</f>
        <v>37.5</v>
      </c>
      <c r="S5" s="20">
        <f t="shared" si="0"/>
        <v>712.5</v>
      </c>
      <c r="T5" s="20"/>
      <c r="U5" s="20"/>
      <c r="V5" s="21">
        <f t="shared" si="0"/>
        <v>64.13</v>
      </c>
      <c r="W5" s="21">
        <f t="shared" si="0"/>
        <v>64.13</v>
      </c>
      <c r="X5" s="21">
        <f t="shared" si="0"/>
        <v>0</v>
      </c>
      <c r="Y5" s="20">
        <f t="shared" si="0"/>
        <v>128.26</v>
      </c>
      <c r="Z5" s="24">
        <f t="shared" si="0"/>
        <v>840.76</v>
      </c>
      <c r="AA5" s="25">
        <f t="shared" si="0"/>
        <v>120</v>
      </c>
      <c r="AB5" s="25" t="e">
        <f t="shared" si="0"/>
        <v>#REF!</v>
      </c>
      <c r="AC5" s="24"/>
      <c r="AD5" s="25" t="e">
        <f>SUM(AD4:AD4)</f>
        <v>#REF!</v>
      </c>
      <c r="AE5" s="25" t="e">
        <f>SUM(AE4:AE4)</f>
        <v>#REF!</v>
      </c>
      <c r="AF5" s="25">
        <f>SUM(AF4:AF4)</f>
        <v>712.5</v>
      </c>
      <c r="AG5" s="25" t="e">
        <f>SUM(AG4:AG4)</f>
        <v>#REF!</v>
      </c>
      <c r="AH5" s="25">
        <f>SUM(AH4:AH4)</f>
        <v>0</v>
      </c>
      <c r="AI5" s="24"/>
      <c r="AJ5" s="24"/>
      <c r="AK5" s="24"/>
      <c r="AL5" s="24"/>
      <c r="AM5" s="24"/>
      <c r="AN5" s="24"/>
      <c r="AO5" s="24"/>
    </row>
  </sheetData>
  <mergeCells count="2">
    <mergeCell ref="A2:B2"/>
    <mergeCell ref="B5:G5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POASimilarItemImport</vt:lpstr>
      <vt:lpstr>POADissimilarItemImport</vt:lpstr>
      <vt:lpstr>POADissimilarItem</vt:lpstr>
      <vt:lpstr>OpenPO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Priyadharshini</dc:creator>
  <cp:lastModifiedBy>Galaxy</cp:lastModifiedBy>
  <dcterms:created xsi:type="dcterms:W3CDTF">2024-02-02T08:07:00Z</dcterms:created>
  <dcterms:modified xsi:type="dcterms:W3CDTF">2025-04-29T14:41:18Z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1033-12.2.0.20795</vt:lpwstr>
  </property>
  <property fmtid="{D5CDD505-2E9C-101B-9397-08002B2CF9AE}" pid="3" name="ICV">
    <vt:lpwstr>1661235255FC4603A95E3E16882D5406_12</vt:lpwstr>
  </property>
</Properties>
</file>