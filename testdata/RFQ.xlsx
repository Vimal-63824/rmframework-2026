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2520" windowWidth="15990" windowHeight="6540" activeTab="2"/>
  </bookViews>
  <sheets>
    <sheet name="Supplier1" sheetId="2" r:id="rId1"/>
    <sheet name="Supplier2" sheetId="3" r:id="rId2"/>
    <sheet name="Domestic" sheetId="4" r:id="rId3"/>
    <sheet name="Import" sheetId="5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4"/>
  <c r="H6" s="1"/>
  <c r="X14" i="5"/>
  <c r="H14"/>
  <c r="X13"/>
  <c r="O13"/>
  <c r="N13"/>
  <c r="M13"/>
  <c r="L13"/>
  <c r="H13"/>
  <c r="X12"/>
  <c r="N12"/>
  <c r="O12" s="1"/>
  <c r="M12"/>
  <c r="L12"/>
  <c r="H12"/>
  <c r="X6"/>
  <c r="H6"/>
  <c r="X5"/>
  <c r="P5"/>
  <c r="Q5" s="1"/>
  <c r="R5" s="1"/>
  <c r="S5" s="1"/>
  <c r="O5"/>
  <c r="N5"/>
  <c r="M5"/>
  <c r="L5"/>
  <c r="H5"/>
  <c r="X4"/>
  <c r="P4"/>
  <c r="Q4" s="1"/>
  <c r="R4" s="1"/>
  <c r="O4"/>
  <c r="N4"/>
  <c r="M4"/>
  <c r="L4"/>
  <c r="H4"/>
  <c r="X14" i="4"/>
  <c r="H14"/>
  <c r="X13"/>
  <c r="M13"/>
  <c r="N13" s="1"/>
  <c r="O13" s="1"/>
  <c r="L13"/>
  <c r="H13"/>
  <c r="X12"/>
  <c r="O12"/>
  <c r="P12" s="1"/>
  <c r="Q12" s="1"/>
  <c r="N12"/>
  <c r="M12"/>
  <c r="L12"/>
  <c r="H12"/>
  <c r="X6"/>
  <c r="Y5"/>
  <c r="X5"/>
  <c r="W5"/>
  <c r="V5"/>
  <c r="S5"/>
  <c r="R5"/>
  <c r="Q5"/>
  <c r="P5"/>
  <c r="O5"/>
  <c r="N5"/>
  <c r="M5"/>
  <c r="L5"/>
  <c r="H5"/>
  <c r="X4"/>
  <c r="U3" i="3"/>
  <c r="T3"/>
  <c r="P3"/>
  <c r="O3"/>
  <c r="N3"/>
  <c r="L3"/>
  <c r="K3"/>
  <c r="I3"/>
  <c r="H3"/>
  <c r="F3"/>
  <c r="U2"/>
  <c r="T2"/>
  <c r="P2"/>
  <c r="O2"/>
  <c r="N2"/>
  <c r="L2"/>
  <c r="K2"/>
  <c r="I2"/>
  <c r="H2"/>
  <c r="F2"/>
  <c r="Q3" i="2"/>
  <c r="P3"/>
  <c r="N3"/>
  <c r="L3"/>
  <c r="K3"/>
  <c r="I3"/>
  <c r="H3"/>
  <c r="F3"/>
  <c r="Q2"/>
  <c r="P2"/>
  <c r="N2"/>
  <c r="L2"/>
  <c r="K2"/>
  <c r="I2"/>
  <c r="H2"/>
  <c r="F2"/>
  <c r="L4" i="4" l="1"/>
  <c r="M4" s="1"/>
  <c r="N4" s="1"/>
  <c r="O4" s="1"/>
  <c r="R12"/>
  <c r="S12" s="1"/>
  <c r="W12" s="1"/>
  <c r="P13"/>
  <c r="Q13" s="1"/>
  <c r="R13" s="1"/>
  <c r="R12" i="5"/>
  <c r="P13"/>
  <c r="Q13" s="1"/>
  <c r="R13" s="1"/>
  <c r="S13" s="1"/>
  <c r="P12"/>
  <c r="Q12" s="1"/>
  <c r="V5"/>
  <c r="Y5" s="1"/>
  <c r="W5"/>
  <c r="R6"/>
  <c r="S6" s="1"/>
  <c r="S4"/>
  <c r="P4" i="4" l="1"/>
  <c r="Q4" s="1"/>
  <c r="R4" s="1"/>
  <c r="V12"/>
  <c r="Y12" s="1"/>
  <c r="S13"/>
  <c r="R14"/>
  <c r="S14" s="1"/>
  <c r="R14" i="5"/>
  <c r="S14" s="1"/>
  <c r="S12"/>
  <c r="V13"/>
  <c r="Y13" s="1"/>
  <c r="W13"/>
  <c r="V6"/>
  <c r="W6"/>
  <c r="W4"/>
  <c r="V4"/>
  <c r="R6" i="4" l="1"/>
  <c r="S6" s="1"/>
  <c r="S4"/>
  <c r="V13"/>
  <c r="W13"/>
  <c r="W14"/>
  <c r="V14"/>
  <c r="V14" i="5"/>
  <c r="W14"/>
  <c r="V12"/>
  <c r="Y12" s="1"/>
  <c r="Y14" s="1"/>
  <c r="W12"/>
  <c r="Y4"/>
  <c r="Y6" s="1"/>
  <c r="V6" i="4" l="1"/>
  <c r="W6"/>
  <c r="W4"/>
  <c r="V4"/>
  <c r="Y13"/>
  <c r="Y14" s="1"/>
  <c r="Y4" l="1"/>
  <c r="Y6" s="1"/>
</calcChain>
</file>

<file path=xl/sharedStrings.xml><?xml version="1.0" encoding="utf-8"?>
<sst xmlns="http://schemas.openxmlformats.org/spreadsheetml/2006/main" count="208" uniqueCount="56">
  <si>
    <t>Item Id</t>
  </si>
  <si>
    <t>Item Desc</t>
  </si>
  <si>
    <t>Qty</t>
  </si>
  <si>
    <t>Unit Cost</t>
  </si>
  <si>
    <t>LineAmount</t>
  </si>
  <si>
    <t>Trd Ass Value</t>
  </si>
  <si>
    <t>Trd Discount</t>
  </si>
  <si>
    <t>Trd Disc Amount</t>
  </si>
  <si>
    <t>Cash Discount</t>
  </si>
  <si>
    <t>Cash Disc Amount</t>
  </si>
  <si>
    <t>Spcl Ass Value</t>
  </si>
  <si>
    <t>Spcl Discount</t>
  </si>
  <si>
    <t>Spcl Disc Amount</t>
  </si>
  <si>
    <t>TVS-RM-KDK-01</t>
  </si>
  <si>
    <t>TVS-RM-KDK-02</t>
  </si>
  <si>
    <t>Cash Ass Value</t>
  </si>
  <si>
    <t>HSN</t>
  </si>
  <si>
    <t>Disc Amt</t>
  </si>
  <si>
    <t>SUP00025</t>
  </si>
  <si>
    <t>Supplier</t>
  </si>
  <si>
    <t>SUP00124</t>
  </si>
  <si>
    <t>IGST</t>
  </si>
  <si>
    <t>CGST</t>
  </si>
  <si>
    <t>SGST</t>
  </si>
  <si>
    <t>TAX%</t>
  </si>
  <si>
    <t>UTGST</t>
  </si>
  <si>
    <t>(1 - Local Purchase,2 Interstate Purchase, 3 Import Purchase)</t>
  </si>
  <si>
    <t>S. No.</t>
  </si>
  <si>
    <t>Item</t>
  </si>
  <si>
    <t>Stk. UOM</t>
  </si>
  <si>
    <t>Pur. UOM</t>
  </si>
  <si>
    <t>Order Qty (Pur UOM)</t>
  </si>
  <si>
    <t>Gross Amt.</t>
  </si>
  <si>
    <t>TD%</t>
  </si>
  <si>
    <t>SD%</t>
  </si>
  <si>
    <t>CD%</t>
  </si>
  <si>
    <t>TD Asbl. Val.</t>
  </si>
  <si>
    <t>TD Amt.</t>
  </si>
  <si>
    <t>SD Asbl. Val.</t>
  </si>
  <si>
    <t>SD Amt.</t>
  </si>
  <si>
    <t>CD Asbl. Val.</t>
  </si>
  <si>
    <t>CD Amt.</t>
  </si>
  <si>
    <t>Disc. Amt.</t>
  </si>
  <si>
    <t>Tax Rate</t>
  </si>
  <si>
    <t>Tax amt</t>
  </si>
  <si>
    <t>NOS</t>
  </si>
  <si>
    <t>HSN1</t>
  </si>
  <si>
    <t>Total</t>
  </si>
  <si>
    <t>Line. Amt</t>
  </si>
  <si>
    <t xml:space="preserve">Request For Quotation </t>
  </si>
  <si>
    <t>Domestic1</t>
  </si>
  <si>
    <t>Domestic2</t>
  </si>
  <si>
    <t>Import1</t>
  </si>
  <si>
    <t>Supplier.</t>
  </si>
  <si>
    <t>SUP10388</t>
  </si>
  <si>
    <t>Import2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</si>
</sst>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 Light"/>
      <family val="1"/>
      <scheme val="major"/>
    </font>
    <font>
      <sz val="11"/>
      <color theme="1"/>
      <name val="Calibri Light"/>
      <family val="1"/>
      <scheme val="major"/>
    </font>
    <font>
      <b/>
      <sz val="10"/>
      <color theme="1"/>
      <name val="Calibri Light"/>
      <family val="1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rgb="FF0070C0"/>
      </left>
      <right style="medium">
        <color rgb="FF0070C0"/>
      </right>
      <top/>
      <bottom style="medium">
        <color rgb="FF0070C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34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1" fillId="0" borderId="0" xfId="0" applyFont="1" applyBorder="1"/>
    <xf numFmtId="0" fontId="3" fillId="2" borderId="0" xfId="0" applyFont="1" applyFill="1" applyBorder="1"/>
    <xf numFmtId="2" fontId="0" fillId="0" borderId="0" xfId="0" applyNumberFormat="1" applyBorder="1"/>
    <xf numFmtId="0" fontId="0" fillId="0" borderId="0" xfId="0" applyNumberFormat="1" applyBorder="1"/>
    <xf numFmtId="0" fontId="0" fillId="0" borderId="0" xfId="0" applyFill="1" applyBorder="1"/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/>
    <xf numFmtId="0" fontId="5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/>
    <xf numFmtId="0" fontId="5" fillId="0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2" xfId="0" applyFont="1" applyBorder="1"/>
    <xf numFmtId="2" fontId="6" fillId="0" borderId="2" xfId="0" applyNumberFormat="1" applyFont="1" applyBorder="1"/>
    <xf numFmtId="10" fontId="6" fillId="0" borderId="2" xfId="0" applyNumberFormat="1" applyFont="1" applyBorder="1"/>
    <xf numFmtId="0" fontId="5" fillId="7" borderId="2" xfId="0" applyFont="1" applyFill="1" applyBorder="1"/>
    <xf numFmtId="0" fontId="5" fillId="7" borderId="3" xfId="0" applyFont="1" applyFill="1" applyBorder="1" applyAlignment="1"/>
    <xf numFmtId="0" fontId="5" fillId="7" borderId="4" xfId="0" applyFont="1" applyFill="1" applyBorder="1" applyAlignment="1"/>
    <xf numFmtId="0" fontId="6" fillId="0" borderId="2" xfId="0" applyNumberFormat="1" applyFont="1" applyBorder="1"/>
    <xf numFmtId="1" fontId="6" fillId="0" borderId="2" xfId="0" applyNumberFormat="1" applyFont="1" applyBorder="1"/>
    <xf numFmtId="0" fontId="6" fillId="0" borderId="0" xfId="0" applyFont="1" applyFill="1" applyBorder="1" applyAlignment="1">
      <alignment horizontal="left" vertical="center"/>
    </xf>
    <xf numFmtId="0" fontId="5" fillId="7" borderId="3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5" fillId="7" borderId="5" xfId="0" applyFont="1" applyFill="1" applyBorder="1" applyAlignment="1">
      <alignment horizontal="center"/>
    </xf>
  </cellXfs>
  <cellStyles count="5">
    <cellStyle name="Normal" xfId="0" builtinId="0"/>
    <cellStyle name="Normal 2" xfId="1"/>
    <cellStyle name="Normal 2 2" xfId="3"/>
    <cellStyle name="Normal 2 3" xfId="4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7"/>
  <sheetViews>
    <sheetView zoomScaleNormal="85" workbookViewId="0">
      <selection activeCell="N2" sqref="N2"/>
    </sheetView>
  </sheetViews>
  <sheetFormatPr defaultColWidth="8.85546875" defaultRowHeight="15"/>
  <cols>
    <col min="1" max="1" width="19.85546875" style="1" customWidth="1"/>
    <col min="2" max="3" width="23.42578125" style="1" customWidth="1"/>
    <col min="4" max="5" width="8.85546875" style="1"/>
    <col min="6" max="6" width="13.7109375" style="1" bestFit="1" customWidth="1"/>
    <col min="7" max="7" width="12.5703125" style="1" bestFit="1" customWidth="1"/>
    <col min="8" max="8" width="16.140625" style="1" bestFit="1" customWidth="1"/>
    <col min="9" max="9" width="14.140625" style="1" bestFit="1" customWidth="1"/>
    <col min="10" max="10" width="14.28515625" style="1" bestFit="1" customWidth="1"/>
    <col min="11" max="11" width="17.85546875" style="1" bestFit="1" customWidth="1"/>
    <col min="12" max="12" width="14.140625" style="1" bestFit="1" customWidth="1"/>
    <col min="13" max="13" width="13.5703125" style="1" bestFit="1" customWidth="1"/>
    <col min="14" max="14" width="17" style="1" bestFit="1" customWidth="1"/>
    <col min="15" max="16" width="8.85546875" style="1"/>
    <col min="17" max="17" width="12.140625" style="1" bestFit="1" customWidth="1"/>
    <col min="18" max="16384" width="8.85546875" style="1"/>
  </cols>
  <sheetData>
    <row r="1" spans="1:17" s="5" customFormat="1">
      <c r="A1" s="5" t="s">
        <v>0</v>
      </c>
      <c r="B1" s="5" t="s">
        <v>1</v>
      </c>
      <c r="C1" s="5" t="s">
        <v>19</v>
      </c>
      <c r="D1" s="5" t="s">
        <v>2</v>
      </c>
      <c r="E1" s="5" t="s">
        <v>3</v>
      </c>
      <c r="F1" s="5" t="s">
        <v>5</v>
      </c>
      <c r="G1" s="5" t="s">
        <v>6</v>
      </c>
      <c r="H1" s="5" t="s">
        <v>7</v>
      </c>
      <c r="I1" s="5" t="s">
        <v>10</v>
      </c>
      <c r="J1" s="5" t="s">
        <v>11</v>
      </c>
      <c r="K1" s="5" t="s">
        <v>12</v>
      </c>
      <c r="L1" s="5" t="s">
        <v>15</v>
      </c>
      <c r="M1" s="5" t="s">
        <v>8</v>
      </c>
      <c r="N1" s="5" t="s">
        <v>9</v>
      </c>
      <c r="O1" s="5" t="s">
        <v>16</v>
      </c>
      <c r="P1" s="5" t="s">
        <v>17</v>
      </c>
      <c r="Q1" s="5" t="s">
        <v>4</v>
      </c>
    </row>
    <row r="2" spans="1:17">
      <c r="A2" s="1" t="s">
        <v>13</v>
      </c>
      <c r="B2" s="1" t="s">
        <v>13</v>
      </c>
      <c r="C2" s="1" t="s">
        <v>18</v>
      </c>
      <c r="D2" s="1">
        <v>5</v>
      </c>
      <c r="E2" s="1">
        <v>150</v>
      </c>
      <c r="F2" s="1">
        <f>D2*E2</f>
        <v>750</v>
      </c>
      <c r="G2" s="1">
        <v>2</v>
      </c>
      <c r="H2" s="1">
        <f>ROUND(F2*G2%,2)</f>
        <v>15</v>
      </c>
      <c r="I2" s="6">
        <f>F2-H2</f>
        <v>735</v>
      </c>
      <c r="J2" s="1">
        <v>3</v>
      </c>
      <c r="K2" s="1">
        <f>ROUND(I2*J2%,2)</f>
        <v>22.05</v>
      </c>
      <c r="L2" s="6">
        <f>I2-K2</f>
        <v>712.95</v>
      </c>
      <c r="M2" s="1">
        <v>4</v>
      </c>
      <c r="N2" s="6">
        <f>ROUND(L2*M2%,2)</f>
        <v>28.52</v>
      </c>
      <c r="O2" s="1">
        <v>123562</v>
      </c>
      <c r="P2" s="6">
        <f>H2+K2+N2</f>
        <v>65.569999999999993</v>
      </c>
      <c r="Q2" s="6">
        <f>F2-P2</f>
        <v>684.43000000000006</v>
      </c>
    </row>
    <row r="3" spans="1:17">
      <c r="A3" s="4" t="s">
        <v>14</v>
      </c>
      <c r="B3" s="4" t="s">
        <v>14</v>
      </c>
      <c r="C3" s="1" t="s">
        <v>18</v>
      </c>
      <c r="D3" s="1">
        <v>6</v>
      </c>
      <c r="E3" s="1">
        <v>150</v>
      </c>
      <c r="F3" s="1">
        <f>D3*E3</f>
        <v>900</v>
      </c>
      <c r="G3" s="1">
        <v>2</v>
      </c>
      <c r="H3" s="1">
        <f>ROUND(F3*G3%,2)</f>
        <v>18</v>
      </c>
      <c r="I3" s="1">
        <f>F3-H3</f>
        <v>882</v>
      </c>
      <c r="J3" s="1">
        <v>3</v>
      </c>
      <c r="K3" s="1">
        <f>ROUND(I3*J3%,2)</f>
        <v>26.46</v>
      </c>
      <c r="L3" s="6">
        <f>I3-K3</f>
        <v>855.54</v>
      </c>
      <c r="M3" s="1">
        <v>4</v>
      </c>
      <c r="N3" s="6">
        <f>ROUND(L3*M3%,2)</f>
        <v>34.22</v>
      </c>
      <c r="O3" s="1">
        <v>123562</v>
      </c>
      <c r="P3" s="6">
        <f>H3+K3+N3</f>
        <v>78.680000000000007</v>
      </c>
      <c r="Q3" s="6">
        <f>F3-P3</f>
        <v>821.31999999999994</v>
      </c>
    </row>
    <row r="5" spans="1:17">
      <c r="B5" s="2"/>
      <c r="C5" s="2"/>
    </row>
    <row r="6" spans="1:17">
      <c r="B6" s="2"/>
      <c r="C6" s="2"/>
    </row>
    <row r="7" spans="1:17">
      <c r="B7" s="3"/>
      <c r="C7" s="3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6"/>
  <sheetViews>
    <sheetView zoomScaleNormal="85" workbookViewId="0">
      <selection activeCell="C2" sqref="C2"/>
    </sheetView>
  </sheetViews>
  <sheetFormatPr defaultColWidth="21.5703125" defaultRowHeight="15"/>
  <cols>
    <col min="4" max="4" width="12.140625" customWidth="1"/>
    <col min="5" max="5" width="10.28515625" customWidth="1"/>
    <col min="7" max="7" width="14.85546875" customWidth="1"/>
    <col min="8" max="8" width="15.7109375" customWidth="1"/>
    <col min="11" max="11" width="21.5703125" customWidth="1"/>
  </cols>
  <sheetData>
    <row r="1" spans="1:22" s="5" customFormat="1">
      <c r="A1" s="5" t="s">
        <v>0</v>
      </c>
      <c r="B1" s="5" t="s">
        <v>1</v>
      </c>
      <c r="C1" s="5" t="s">
        <v>19</v>
      </c>
      <c r="D1" s="5" t="s">
        <v>2</v>
      </c>
      <c r="E1" s="5" t="s">
        <v>3</v>
      </c>
      <c r="F1" s="5" t="s">
        <v>5</v>
      </c>
      <c r="G1" s="5" t="s">
        <v>6</v>
      </c>
      <c r="H1" s="5" t="s">
        <v>7</v>
      </c>
      <c r="I1" s="5" t="s">
        <v>10</v>
      </c>
      <c r="J1" s="5" t="s">
        <v>11</v>
      </c>
      <c r="K1" s="5" t="s">
        <v>12</v>
      </c>
      <c r="L1" s="5" t="s">
        <v>15</v>
      </c>
      <c r="M1" s="5" t="s">
        <v>8</v>
      </c>
      <c r="N1" s="5" t="s">
        <v>9</v>
      </c>
      <c r="O1" s="5" t="s">
        <v>17</v>
      </c>
      <c r="P1" s="5" t="s">
        <v>4</v>
      </c>
      <c r="Q1" s="5" t="s">
        <v>16</v>
      </c>
      <c r="R1" s="5" t="s">
        <v>24</v>
      </c>
      <c r="S1" s="5" t="s">
        <v>21</v>
      </c>
      <c r="T1" s="5" t="s">
        <v>23</v>
      </c>
      <c r="U1" s="5" t="s">
        <v>22</v>
      </c>
      <c r="V1" s="5" t="s">
        <v>25</v>
      </c>
    </row>
    <row r="2" spans="1:22" s="1" customFormat="1">
      <c r="A2" s="1" t="s">
        <v>13</v>
      </c>
      <c r="B2" s="1" t="s">
        <v>13</v>
      </c>
      <c r="C2" s="1" t="s">
        <v>20</v>
      </c>
      <c r="D2" s="1">
        <v>5</v>
      </c>
      <c r="E2" s="1">
        <v>250</v>
      </c>
      <c r="F2" s="1">
        <f>D2*E2</f>
        <v>1250</v>
      </c>
      <c r="G2" s="1">
        <v>2</v>
      </c>
      <c r="H2" s="1">
        <f>ROUND(F2*G2%,2)</f>
        <v>25</v>
      </c>
      <c r="I2" s="7">
        <f>F2-H2</f>
        <v>1225</v>
      </c>
      <c r="J2" s="1">
        <v>3</v>
      </c>
      <c r="K2" s="1">
        <f>ROUND(I2*J2%,2)</f>
        <v>36.75</v>
      </c>
      <c r="L2" s="6">
        <f>I2-K2</f>
        <v>1188.25</v>
      </c>
      <c r="M2" s="1">
        <v>4</v>
      </c>
      <c r="N2" s="6">
        <f>ROUND(L2*M2%,2)</f>
        <v>47.53</v>
      </c>
      <c r="O2" s="6">
        <f>H2+K2+N2</f>
        <v>109.28</v>
      </c>
      <c r="P2" s="6">
        <f>F2-O2</f>
        <v>1140.72</v>
      </c>
      <c r="Q2" s="1">
        <v>123562</v>
      </c>
      <c r="R2" s="1">
        <v>18</v>
      </c>
      <c r="S2" s="1">
        <v>0</v>
      </c>
      <c r="T2" s="6">
        <f>ROUND((P2*R2%)/2,2)</f>
        <v>102.66</v>
      </c>
      <c r="U2" s="6">
        <f>ROUND((P2*R2%)/2,2)</f>
        <v>102.66</v>
      </c>
      <c r="V2" s="8">
        <v>0</v>
      </c>
    </row>
    <row r="3" spans="1:22" s="1" customFormat="1">
      <c r="A3" s="4" t="s">
        <v>14</v>
      </c>
      <c r="B3" s="4" t="s">
        <v>14</v>
      </c>
      <c r="C3" s="4" t="s">
        <v>20</v>
      </c>
      <c r="D3" s="1">
        <v>6</v>
      </c>
      <c r="E3" s="1">
        <v>250</v>
      </c>
      <c r="F3" s="1">
        <f>D3*E3</f>
        <v>1500</v>
      </c>
      <c r="G3" s="1">
        <v>2</v>
      </c>
      <c r="H3" s="1">
        <f>ROUND(F3*G3%,2)</f>
        <v>30</v>
      </c>
      <c r="I3" s="1">
        <f>F3-H3</f>
        <v>1470</v>
      </c>
      <c r="J3" s="1">
        <v>3</v>
      </c>
      <c r="K3" s="1">
        <f>ROUND(I3*J3%,2)</f>
        <v>44.1</v>
      </c>
      <c r="L3" s="6">
        <f>I3-K3</f>
        <v>1425.9</v>
      </c>
      <c r="M3" s="1">
        <v>4</v>
      </c>
      <c r="N3" s="6">
        <f>ROUND(L3*M3%,2)</f>
        <v>57.04</v>
      </c>
      <c r="O3" s="6">
        <f>H3+K3+N3</f>
        <v>131.13999999999999</v>
      </c>
      <c r="P3" s="6">
        <f>F3-O3</f>
        <v>1368.8600000000001</v>
      </c>
      <c r="Q3" s="1">
        <v>123562</v>
      </c>
      <c r="R3" s="1">
        <v>18</v>
      </c>
      <c r="S3" s="1">
        <v>0</v>
      </c>
      <c r="T3" s="6">
        <f>ROUND((P3*R3%)/2,2)</f>
        <v>123.2</v>
      </c>
      <c r="U3" s="6">
        <f>ROUND((P3*R3%)/2,2)</f>
        <v>123.2</v>
      </c>
      <c r="V3" s="8">
        <v>0</v>
      </c>
    </row>
    <row r="6" spans="1:22">
      <c r="B6">
        <v>1</v>
      </c>
      <c r="C6" s="9" t="s">
        <v>26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4"/>
  <sheetViews>
    <sheetView tabSelected="1" workbookViewId="0">
      <selection activeCell="G4" sqref="G4"/>
    </sheetView>
  </sheetViews>
  <sheetFormatPr defaultRowHeight="15"/>
  <cols>
    <col min="1" max="1" width="23.140625" customWidth="1"/>
    <col min="2" max="2" width="15.28515625" bestFit="1" customWidth="1"/>
    <col min="3" max="3" width="16.5703125" customWidth="1"/>
    <col min="8" max="8" width="12.140625" bestFit="1" customWidth="1"/>
    <col min="12" max="12" width="13.7109375" bestFit="1" customWidth="1"/>
    <col min="14" max="14" width="13.7109375" bestFit="1" customWidth="1"/>
    <col min="16" max="16" width="13.85546875" bestFit="1" customWidth="1"/>
    <col min="19" max="19" width="10.5703125" bestFit="1" customWidth="1"/>
  </cols>
  <sheetData>
    <row r="1" spans="1:25" s="13" customFormat="1" ht="27.75" customHeight="1">
      <c r="A1" s="10" t="s">
        <v>49</v>
      </c>
      <c r="B1" s="11"/>
      <c r="C1" s="11"/>
      <c r="D1" s="11"/>
      <c r="E1" s="11"/>
      <c r="F1" s="11"/>
      <c r="G1" s="11"/>
      <c r="H1" s="10"/>
      <c r="I1" s="12"/>
      <c r="J1" s="12"/>
      <c r="K1" s="12"/>
      <c r="L1" s="12"/>
      <c r="M1" s="12"/>
      <c r="N1" s="12"/>
      <c r="O1" s="12"/>
      <c r="P1" s="12"/>
      <c r="Q1" s="12"/>
      <c r="R1" s="10"/>
      <c r="S1" s="10"/>
      <c r="T1" s="10"/>
      <c r="U1" s="10"/>
      <c r="V1" s="10"/>
      <c r="W1" s="10"/>
      <c r="X1" s="10"/>
      <c r="Y1" s="10"/>
    </row>
    <row r="2" spans="1:25" s="13" customFormat="1" ht="19.899999999999999" customHeight="1">
      <c r="A2" s="30" t="s">
        <v>50</v>
      </c>
      <c r="B2" s="30"/>
      <c r="C2" s="14">
        <v>1</v>
      </c>
      <c r="D2" s="9" t="s">
        <v>26</v>
      </c>
      <c r="E2" s="11"/>
      <c r="F2" s="11"/>
      <c r="G2" s="11"/>
      <c r="H2" s="10"/>
      <c r="I2" s="12"/>
      <c r="J2" s="12"/>
      <c r="K2" s="12"/>
      <c r="L2" s="12"/>
      <c r="M2" s="12"/>
      <c r="N2" s="12"/>
      <c r="O2" s="12"/>
      <c r="P2" s="12"/>
      <c r="Q2" s="12"/>
      <c r="R2" s="10"/>
      <c r="S2" s="10"/>
      <c r="T2" s="10"/>
      <c r="U2" s="10"/>
      <c r="V2" s="10"/>
      <c r="W2" s="10"/>
      <c r="X2" s="10"/>
      <c r="Y2" s="10"/>
    </row>
    <row r="3" spans="1:25" s="21" customFormat="1" ht="60.75" thickBot="1">
      <c r="A3" s="15" t="s">
        <v>27</v>
      </c>
      <c r="B3" s="15" t="s">
        <v>28</v>
      </c>
      <c r="C3" s="16" t="s">
        <v>19</v>
      </c>
      <c r="D3" s="15" t="s">
        <v>29</v>
      </c>
      <c r="E3" s="15" t="s">
        <v>30</v>
      </c>
      <c r="F3" s="17" t="s">
        <v>31</v>
      </c>
      <c r="G3" s="15" t="s">
        <v>3</v>
      </c>
      <c r="H3" s="15" t="s">
        <v>32</v>
      </c>
      <c r="I3" s="18" t="s">
        <v>33</v>
      </c>
      <c r="J3" s="18" t="s">
        <v>34</v>
      </c>
      <c r="K3" s="18" t="s">
        <v>35</v>
      </c>
      <c r="L3" s="19" t="s">
        <v>36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  <c r="R3" s="18" t="s">
        <v>42</v>
      </c>
      <c r="S3" s="18" t="s">
        <v>48</v>
      </c>
      <c r="T3" s="15" t="s">
        <v>16</v>
      </c>
      <c r="U3" s="20" t="s">
        <v>43</v>
      </c>
      <c r="V3" s="20" t="s">
        <v>22</v>
      </c>
      <c r="W3" s="20" t="s">
        <v>23</v>
      </c>
      <c r="X3" s="20" t="s">
        <v>21</v>
      </c>
      <c r="Y3" s="20" t="s">
        <v>44</v>
      </c>
    </row>
    <row r="4" spans="1:25" s="13" customFormat="1" ht="15.75" thickBot="1">
      <c r="A4" s="22">
        <v>1</v>
      </c>
      <c r="B4" s="22" t="s">
        <v>13</v>
      </c>
      <c r="C4" s="22" t="s">
        <v>18</v>
      </c>
      <c r="D4" s="22" t="s">
        <v>45</v>
      </c>
      <c r="E4" s="22" t="s">
        <v>45</v>
      </c>
      <c r="F4" s="28">
        <v>5</v>
      </c>
      <c r="G4" s="29">
        <v>150</v>
      </c>
      <c r="H4" s="28">
        <f>F4*G4</f>
        <v>750</v>
      </c>
      <c r="I4" s="28">
        <v>2</v>
      </c>
      <c r="J4" s="28">
        <v>3</v>
      </c>
      <c r="K4" s="28">
        <v>4</v>
      </c>
      <c r="L4" s="28">
        <f>H4</f>
        <v>750</v>
      </c>
      <c r="M4" s="29">
        <f>ROUND(L4*I4%,2)</f>
        <v>15</v>
      </c>
      <c r="N4" s="28">
        <f t="shared" ref="N4:N5" si="0">H4-M4</f>
        <v>735</v>
      </c>
      <c r="O4" s="23">
        <f>ROUND(N4*J4%,2)</f>
        <v>22.05</v>
      </c>
      <c r="P4" s="23">
        <f>ROUND(N4-O4,2)</f>
        <v>712.95</v>
      </c>
      <c r="Q4" s="23">
        <f>ROUND(P4*K4%,2)</f>
        <v>28.52</v>
      </c>
      <c r="R4" s="23">
        <f>M4+O4+Q4</f>
        <v>65.569999999999993</v>
      </c>
      <c r="S4" s="23">
        <f>H4-R4</f>
        <v>684.43000000000006</v>
      </c>
      <c r="T4" s="23" t="s">
        <v>46</v>
      </c>
      <c r="U4" s="24">
        <v>0.18</v>
      </c>
      <c r="V4" s="23">
        <f>IF($C$2=1,ROUND(((S4*U4)/2),2),0)</f>
        <v>61.6</v>
      </c>
      <c r="W4" s="23">
        <f>IF($C$2=1,ROUND(((S4*U4)/2),2),0)</f>
        <v>61.6</v>
      </c>
      <c r="X4" s="23">
        <f>IF($C$2=2,ROUND(((S4*U4)),2),0)</f>
        <v>0</v>
      </c>
      <c r="Y4" s="23">
        <f>V4+W4+X4</f>
        <v>123.2</v>
      </c>
    </row>
    <row r="5" spans="1:25" s="13" customFormat="1" ht="15.75" thickBot="1">
      <c r="A5" s="22">
        <v>2</v>
      </c>
      <c r="B5" s="22" t="s">
        <v>14</v>
      </c>
      <c r="C5" s="22" t="s">
        <v>18</v>
      </c>
      <c r="D5" s="22" t="s">
        <v>45</v>
      </c>
      <c r="E5" s="22" t="s">
        <v>45</v>
      </c>
      <c r="F5" s="28">
        <v>6</v>
      </c>
      <c r="G5" s="28">
        <v>150</v>
      </c>
      <c r="H5" s="28">
        <f t="shared" ref="H5" si="1">F5*G5</f>
        <v>900</v>
      </c>
      <c r="I5" s="28">
        <v>2</v>
      </c>
      <c r="J5" s="28">
        <v>3</v>
      </c>
      <c r="K5" s="28">
        <v>4</v>
      </c>
      <c r="L5" s="28">
        <f t="shared" ref="L5" si="2">H5</f>
        <v>900</v>
      </c>
      <c r="M5" s="28">
        <f t="shared" ref="M5" si="3">ROUND(L5*I5%,2)</f>
        <v>18</v>
      </c>
      <c r="N5" s="28">
        <f t="shared" si="0"/>
        <v>882</v>
      </c>
      <c r="O5" s="23">
        <f t="shared" ref="O5" si="4">ROUND(N5*J5%,2)</f>
        <v>26.46</v>
      </c>
      <c r="P5" s="23">
        <f t="shared" ref="P5" si="5">ROUND(N5-O5,2)</f>
        <v>855.54</v>
      </c>
      <c r="Q5" s="23">
        <f t="shared" ref="Q5" si="6">ROUND(P5*K5%,2)</f>
        <v>34.22</v>
      </c>
      <c r="R5" s="23">
        <f t="shared" ref="R5" si="7">M5+O5+Q5</f>
        <v>78.680000000000007</v>
      </c>
      <c r="S5" s="23">
        <f t="shared" ref="S5:S6" si="8">H5-R5</f>
        <v>821.31999999999994</v>
      </c>
      <c r="T5" s="23" t="s">
        <v>46</v>
      </c>
      <c r="U5" s="24">
        <v>0.18</v>
      </c>
      <c r="V5" s="23">
        <f t="shared" ref="V5:V6" si="9">IF($C$2=1,ROUND(((S5*U5)/2),2),0)</f>
        <v>73.92</v>
      </c>
      <c r="W5" s="23">
        <f t="shared" ref="W5:W6" si="10">IF($C$2=1,ROUND(((S5*U5)/2),2),0)</f>
        <v>73.92</v>
      </c>
      <c r="X5" s="23">
        <f t="shared" ref="X5:X6" si="11">IF($C$2=2,ROUND(((S5*U5)),2),0)</f>
        <v>0</v>
      </c>
      <c r="Y5" s="23">
        <f t="shared" ref="Y5" si="12">V5+W5+X5</f>
        <v>147.84</v>
      </c>
    </row>
    <row r="6" spans="1:25" s="13" customFormat="1" ht="15.75" thickBot="1">
      <c r="C6" s="27"/>
      <c r="D6" s="27"/>
      <c r="E6" s="27"/>
      <c r="F6" s="27"/>
      <c r="G6" s="26" t="s">
        <v>47</v>
      </c>
      <c r="H6" s="25">
        <f>SUM(H4:H5)</f>
        <v>1650</v>
      </c>
      <c r="I6" s="22"/>
      <c r="J6" s="22"/>
      <c r="K6" s="22"/>
      <c r="L6" s="22"/>
      <c r="M6" s="22"/>
      <c r="N6" s="22"/>
      <c r="O6" s="22"/>
      <c r="P6" s="22"/>
      <c r="Q6" s="22"/>
      <c r="R6" s="25">
        <f>SUM(R4:R5)</f>
        <v>144.25</v>
      </c>
      <c r="S6" s="23">
        <f t="shared" si="8"/>
        <v>1505.75</v>
      </c>
      <c r="T6" s="25"/>
      <c r="U6" s="25"/>
      <c r="V6" s="23">
        <f t="shared" si="9"/>
        <v>0</v>
      </c>
      <c r="W6" s="23">
        <f t="shared" si="10"/>
        <v>0</v>
      </c>
      <c r="X6" s="23">
        <f t="shared" si="11"/>
        <v>0</v>
      </c>
      <c r="Y6" s="25">
        <f>SUM(Y4:Y5)</f>
        <v>271.04000000000002</v>
      </c>
    </row>
    <row r="9" spans="1:25">
      <c r="A9" t="s">
        <v>49</v>
      </c>
    </row>
    <row r="10" spans="1:25" s="13" customFormat="1" ht="19.899999999999999" customHeight="1">
      <c r="A10" s="30" t="s">
        <v>51</v>
      </c>
      <c r="B10" s="30"/>
      <c r="C10" s="14">
        <v>1</v>
      </c>
      <c r="D10" s="9" t="s">
        <v>26</v>
      </c>
      <c r="E10" s="11"/>
      <c r="F10" s="11"/>
      <c r="G10" s="11"/>
      <c r="H10" s="10"/>
      <c r="I10" s="12"/>
      <c r="J10" s="12"/>
      <c r="K10" s="12"/>
      <c r="L10" s="12"/>
      <c r="M10" s="12"/>
      <c r="N10" s="12"/>
      <c r="O10" s="12"/>
      <c r="P10" s="12"/>
      <c r="Q10" s="12"/>
      <c r="R10" s="10"/>
      <c r="S10" s="10"/>
      <c r="T10" s="10"/>
      <c r="U10" s="10"/>
      <c r="V10" s="10"/>
      <c r="W10" s="10"/>
      <c r="X10" s="10"/>
      <c r="Y10" s="10"/>
    </row>
    <row r="11" spans="1:25" s="21" customFormat="1" ht="60.75" thickBot="1">
      <c r="A11" s="15" t="s">
        <v>27</v>
      </c>
      <c r="B11" s="15" t="s">
        <v>28</v>
      </c>
      <c r="C11" s="16" t="s">
        <v>19</v>
      </c>
      <c r="D11" s="15" t="s">
        <v>29</v>
      </c>
      <c r="E11" s="15" t="s">
        <v>30</v>
      </c>
      <c r="F11" s="17" t="s">
        <v>31</v>
      </c>
      <c r="G11" s="15" t="s">
        <v>3</v>
      </c>
      <c r="H11" s="15" t="s">
        <v>32</v>
      </c>
      <c r="I11" s="18" t="s">
        <v>33</v>
      </c>
      <c r="J11" s="18" t="s">
        <v>34</v>
      </c>
      <c r="K11" s="18" t="s">
        <v>35</v>
      </c>
      <c r="L11" s="19" t="s">
        <v>36</v>
      </c>
      <c r="M11" s="19" t="s">
        <v>37</v>
      </c>
      <c r="N11" s="19" t="s">
        <v>38</v>
      </c>
      <c r="O11" s="19" t="s">
        <v>39</v>
      </c>
      <c r="P11" s="19" t="s">
        <v>40</v>
      </c>
      <c r="Q11" s="19" t="s">
        <v>41</v>
      </c>
      <c r="R11" s="18" t="s">
        <v>42</v>
      </c>
      <c r="S11" s="18" t="s">
        <v>48</v>
      </c>
      <c r="T11" s="15" t="s">
        <v>16</v>
      </c>
      <c r="U11" s="20" t="s">
        <v>43</v>
      </c>
      <c r="V11" s="20" t="s">
        <v>22</v>
      </c>
      <c r="W11" s="20" t="s">
        <v>23</v>
      </c>
      <c r="X11" s="20" t="s">
        <v>21</v>
      </c>
      <c r="Y11" s="20" t="s">
        <v>44</v>
      </c>
    </row>
    <row r="12" spans="1:25" s="13" customFormat="1" ht="15.75" thickBot="1">
      <c r="A12" s="22">
        <v>1</v>
      </c>
      <c r="B12" s="22" t="s">
        <v>13</v>
      </c>
      <c r="C12" s="22" t="s">
        <v>20</v>
      </c>
      <c r="D12" s="22" t="s">
        <v>45</v>
      </c>
      <c r="E12" s="22" t="s">
        <v>45</v>
      </c>
      <c r="F12" s="28">
        <v>5</v>
      </c>
      <c r="G12" s="28">
        <v>250</v>
      </c>
      <c r="H12" s="28">
        <f>F12*G12</f>
        <v>1250</v>
      </c>
      <c r="I12" s="28">
        <v>2</v>
      </c>
      <c r="J12" s="28">
        <v>3</v>
      </c>
      <c r="K12" s="28">
        <v>4</v>
      </c>
      <c r="L12" s="28">
        <f t="shared" ref="L12:L13" si="13">H12</f>
        <v>1250</v>
      </c>
      <c r="M12" s="28">
        <f>ROUND(L12*I12%,2)</f>
        <v>25</v>
      </c>
      <c r="N12" s="28">
        <f t="shared" ref="N12:N13" si="14">H12-M12</f>
        <v>1225</v>
      </c>
      <c r="O12" s="28">
        <f>ROUND(N12*J12%,2)</f>
        <v>36.75</v>
      </c>
      <c r="P12" s="23">
        <f>ROUND(N12-O12,2)</f>
        <v>1188.25</v>
      </c>
      <c r="Q12" s="28">
        <f>ROUND(P12*K12%,2)</f>
        <v>47.53</v>
      </c>
      <c r="R12" s="23">
        <f>M12+O12+Q12</f>
        <v>109.28</v>
      </c>
      <c r="S12" s="23">
        <f>H12-R12</f>
        <v>1140.72</v>
      </c>
      <c r="T12" s="23" t="s">
        <v>46</v>
      </c>
      <c r="U12" s="24">
        <v>0.18</v>
      </c>
      <c r="V12" s="23">
        <f>IF($C$10=1,ROUND(((S12*U12)/2),2),0)</f>
        <v>102.66</v>
      </c>
      <c r="W12" s="23">
        <f>IF($C$10=1,ROUND(((S12*U12)/2),2),0)</f>
        <v>102.66</v>
      </c>
      <c r="X12" s="23">
        <f>IF($C$10=2,ROUND(((S12*U12)),2),0)</f>
        <v>0</v>
      </c>
      <c r="Y12" s="23">
        <f>V12+W12+X12</f>
        <v>205.32</v>
      </c>
    </row>
    <row r="13" spans="1:25" s="13" customFormat="1" ht="15.75" thickBot="1">
      <c r="A13" s="22">
        <v>2</v>
      </c>
      <c r="B13" s="22" t="s">
        <v>14</v>
      </c>
      <c r="C13" s="22" t="s">
        <v>20</v>
      </c>
      <c r="D13" s="22" t="s">
        <v>45</v>
      </c>
      <c r="E13" s="22" t="s">
        <v>45</v>
      </c>
      <c r="F13" s="28">
        <v>6</v>
      </c>
      <c r="G13" s="28">
        <v>250</v>
      </c>
      <c r="H13" s="28">
        <f t="shared" ref="H13" si="15">F13*G13</f>
        <v>1500</v>
      </c>
      <c r="I13" s="28">
        <v>2</v>
      </c>
      <c r="J13" s="28">
        <v>3</v>
      </c>
      <c r="K13" s="28">
        <v>4</v>
      </c>
      <c r="L13" s="28">
        <f t="shared" si="13"/>
        <v>1500</v>
      </c>
      <c r="M13" s="28">
        <f t="shared" ref="M13" si="16">ROUND(L13*I13%,2)</f>
        <v>30</v>
      </c>
      <c r="N13" s="28">
        <f t="shared" si="14"/>
        <v>1470</v>
      </c>
      <c r="O13" s="28">
        <f t="shared" ref="O13" si="17">ROUND(N13*J13%,2)</f>
        <v>44.1</v>
      </c>
      <c r="P13" s="23">
        <f t="shared" ref="P13" si="18">ROUND(N13-O13,2)</f>
        <v>1425.9</v>
      </c>
      <c r="Q13" s="28">
        <f t="shared" ref="Q13" si="19">ROUND(P13*K13%,2)</f>
        <v>57.04</v>
      </c>
      <c r="R13" s="23">
        <f t="shared" ref="R13" si="20">M13+O13+Q13</f>
        <v>131.13999999999999</v>
      </c>
      <c r="S13" s="23">
        <f t="shared" ref="S13:S14" si="21">H13-R13</f>
        <v>1368.8600000000001</v>
      </c>
      <c r="T13" s="23" t="s">
        <v>46</v>
      </c>
      <c r="U13" s="24">
        <v>0.18</v>
      </c>
      <c r="V13" s="23">
        <f t="shared" ref="V13:V14" si="22">IF($C$10=1,ROUND(((S13*U13)/2),2),0)</f>
        <v>123.2</v>
      </c>
      <c r="W13" s="23">
        <f t="shared" ref="W13:W14" si="23">IF($C$10=1,ROUND(((S13*U13)/2),2),0)</f>
        <v>123.2</v>
      </c>
      <c r="X13" s="23">
        <f t="shared" ref="X13:X14" si="24">IF($C$10=2,ROUND(((S13*U13)),2),0)</f>
        <v>0</v>
      </c>
      <c r="Y13" s="23">
        <f t="shared" ref="Y13" si="25">V13+W13+X13</f>
        <v>246.4</v>
      </c>
    </row>
    <row r="14" spans="1:25" s="13" customFormat="1" ht="15.75" thickBot="1">
      <c r="C14" s="27"/>
      <c r="D14" s="27"/>
      <c r="E14" s="27"/>
      <c r="F14" s="27"/>
      <c r="G14" s="26" t="s">
        <v>47</v>
      </c>
      <c r="H14" s="25">
        <f>SUM(H12:H13)</f>
        <v>2750</v>
      </c>
      <c r="I14" s="22"/>
      <c r="J14" s="22"/>
      <c r="K14" s="22"/>
      <c r="L14" s="22"/>
      <c r="M14" s="22"/>
      <c r="N14" s="22"/>
      <c r="O14" s="22"/>
      <c r="P14" s="22"/>
      <c r="Q14" s="22"/>
      <c r="R14" s="25">
        <f>SUM(R12:R13)</f>
        <v>240.42</v>
      </c>
      <c r="S14" s="23">
        <f t="shared" si="21"/>
        <v>2509.58</v>
      </c>
      <c r="T14" s="25"/>
      <c r="U14" s="25"/>
      <c r="V14" s="23">
        <f t="shared" si="22"/>
        <v>0</v>
      </c>
      <c r="W14" s="23">
        <f t="shared" si="23"/>
        <v>0</v>
      </c>
      <c r="X14" s="23">
        <f t="shared" si="24"/>
        <v>0</v>
      </c>
      <c r="Y14" s="25">
        <f>SUM(Y12:Y13)</f>
        <v>451.72</v>
      </c>
    </row>
  </sheetData>
  <mergeCells count="2">
    <mergeCell ref="A2:B2"/>
    <mergeCell ref="A10:B1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Y14"/>
  <sheetViews>
    <sheetView workbookViewId="0">
      <selection activeCell="N12" sqref="N12:N13"/>
    </sheetView>
  </sheetViews>
  <sheetFormatPr defaultRowHeight="15"/>
  <cols>
    <col min="2" max="2" width="15.28515625" bestFit="1" customWidth="1"/>
    <col min="3" max="3" width="11.7109375" bestFit="1" customWidth="1"/>
  </cols>
  <sheetData>
    <row r="1" spans="1:25">
      <c r="A1" s="10" t="s">
        <v>49</v>
      </c>
      <c r="B1" s="11"/>
      <c r="C1" s="11"/>
      <c r="D1" s="11"/>
      <c r="E1" s="11"/>
      <c r="F1" s="11"/>
      <c r="G1" s="11"/>
      <c r="H1" s="10"/>
      <c r="I1" s="12"/>
      <c r="J1" s="12"/>
      <c r="K1" s="12"/>
      <c r="L1" s="12"/>
      <c r="M1" s="12"/>
      <c r="N1" s="12"/>
      <c r="O1" s="12"/>
      <c r="P1" s="12"/>
      <c r="Q1" s="12"/>
      <c r="R1" s="10"/>
      <c r="S1" s="10"/>
      <c r="T1" s="10"/>
      <c r="U1" s="10"/>
      <c r="V1" s="10"/>
      <c r="W1" s="10"/>
      <c r="X1" s="10"/>
      <c r="Y1" s="10"/>
    </row>
    <row r="2" spans="1:25">
      <c r="A2" s="30" t="s">
        <v>52</v>
      </c>
      <c r="B2" s="30"/>
      <c r="C2" s="14">
        <v>1</v>
      </c>
      <c r="D2" s="9" t="s">
        <v>26</v>
      </c>
      <c r="E2" s="11"/>
      <c r="F2" s="11"/>
      <c r="G2" s="11"/>
      <c r="H2" s="10"/>
      <c r="I2" s="12"/>
      <c r="J2" s="12"/>
      <c r="K2" s="12"/>
      <c r="L2" s="12"/>
      <c r="M2" s="12"/>
      <c r="N2" s="12"/>
      <c r="O2" s="12"/>
      <c r="P2" s="12"/>
      <c r="Q2" s="12"/>
      <c r="R2" s="10"/>
      <c r="S2" s="10"/>
      <c r="T2" s="10"/>
      <c r="U2" s="10"/>
      <c r="V2" s="10"/>
      <c r="W2" s="10"/>
      <c r="X2" s="10"/>
      <c r="Y2" s="10"/>
    </row>
    <row r="3" spans="1:25" ht="60.75" thickBot="1">
      <c r="A3" s="15" t="s">
        <v>27</v>
      </c>
      <c r="B3" s="15" t="s">
        <v>28</v>
      </c>
      <c r="C3" s="16" t="s">
        <v>53</v>
      </c>
      <c r="D3" s="15" t="s">
        <v>29</v>
      </c>
      <c r="E3" s="15" t="s">
        <v>30</v>
      </c>
      <c r="F3" s="17" t="s">
        <v>31</v>
      </c>
      <c r="G3" s="15" t="s">
        <v>3</v>
      </c>
      <c r="H3" s="15" t="s">
        <v>32</v>
      </c>
      <c r="I3" s="18" t="s">
        <v>33</v>
      </c>
      <c r="J3" s="18" t="s">
        <v>34</v>
      </c>
      <c r="K3" s="18" t="s">
        <v>35</v>
      </c>
      <c r="L3" s="19" t="s">
        <v>36</v>
      </c>
      <c r="M3" s="19" t="s">
        <v>37</v>
      </c>
      <c r="N3" s="19" t="s">
        <v>38</v>
      </c>
      <c r="O3" s="19" t="s">
        <v>39</v>
      </c>
      <c r="P3" s="19" t="s">
        <v>40</v>
      </c>
      <c r="Q3" s="19" t="s">
        <v>41</v>
      </c>
      <c r="R3" s="18" t="s">
        <v>42</v>
      </c>
      <c r="S3" s="18" t="s">
        <v>48</v>
      </c>
      <c r="T3" s="15" t="s">
        <v>16</v>
      </c>
      <c r="U3" s="20" t="s">
        <v>43</v>
      </c>
      <c r="V3" s="20" t="s">
        <v>22</v>
      </c>
      <c r="W3" s="20" t="s">
        <v>23</v>
      </c>
      <c r="X3" s="20" t="s">
        <v>21</v>
      </c>
      <c r="Y3" s="20" t="s">
        <v>44</v>
      </c>
    </row>
    <row r="4" spans="1:25" ht="15.75" thickBot="1">
      <c r="A4" s="22">
        <v>1</v>
      </c>
      <c r="B4" s="22" t="s">
        <v>13</v>
      </c>
      <c r="C4" s="22" t="s">
        <v>54</v>
      </c>
      <c r="D4" s="22" t="s">
        <v>45</v>
      </c>
      <c r="E4" s="22" t="s">
        <v>45</v>
      </c>
      <c r="F4" s="28">
        <v>5</v>
      </c>
      <c r="G4" s="28">
        <v>150</v>
      </c>
      <c r="H4" s="28">
        <f>F4*G4</f>
        <v>750</v>
      </c>
      <c r="I4" s="28">
        <v>2</v>
      </c>
      <c r="J4" s="28">
        <v>3</v>
      </c>
      <c r="K4" s="28">
        <v>4</v>
      </c>
      <c r="L4" s="28">
        <f t="shared" ref="L4:L5" si="0">H4</f>
        <v>750</v>
      </c>
      <c r="M4" s="28">
        <f>ROUND(L4*I4%,2)</f>
        <v>15</v>
      </c>
      <c r="N4" s="28">
        <f t="shared" ref="N4:N5" si="1">H4-M4</f>
        <v>735</v>
      </c>
      <c r="O4" s="28">
        <f>ROUND(N4*J4%,2)</f>
        <v>22.05</v>
      </c>
      <c r="P4" s="23">
        <f>ROUND(N4-O4,2)</f>
        <v>712.95</v>
      </c>
      <c r="Q4" s="28">
        <f>ROUND(P4*K4%,2)</f>
        <v>28.52</v>
      </c>
      <c r="R4" s="23">
        <f>M4+O4+Q4</f>
        <v>65.569999999999993</v>
      </c>
      <c r="S4" s="23">
        <f>H4-R4</f>
        <v>684.43000000000006</v>
      </c>
      <c r="T4" s="23" t="s">
        <v>46</v>
      </c>
      <c r="U4" s="24">
        <v>0.18</v>
      </c>
      <c r="V4" s="23">
        <f>IF($C$2=1,ROUND(((S4*U4)/2),2),0)</f>
        <v>61.6</v>
      </c>
      <c r="W4" s="23">
        <f>IF($C$2=1,ROUND(((S4*U4)/2),2),0)</f>
        <v>61.6</v>
      </c>
      <c r="X4" s="23">
        <f>IF($C$2=2,ROUND(((S4*U4)),2),0)</f>
        <v>0</v>
      </c>
      <c r="Y4" s="23">
        <f>V4+W4+X4</f>
        <v>123.2</v>
      </c>
    </row>
    <row r="5" spans="1:25" ht="15.75" thickBot="1">
      <c r="A5" s="22">
        <v>2</v>
      </c>
      <c r="B5" s="22" t="s">
        <v>14</v>
      </c>
      <c r="C5" s="22" t="s">
        <v>54</v>
      </c>
      <c r="D5" s="22" t="s">
        <v>45</v>
      </c>
      <c r="E5" s="22" t="s">
        <v>45</v>
      </c>
      <c r="F5" s="28">
        <v>6</v>
      </c>
      <c r="G5" s="28">
        <v>150</v>
      </c>
      <c r="H5" s="28">
        <f t="shared" ref="H5" si="2">F5*G5</f>
        <v>900</v>
      </c>
      <c r="I5" s="28">
        <v>2</v>
      </c>
      <c r="J5" s="28">
        <v>3</v>
      </c>
      <c r="K5" s="28">
        <v>4</v>
      </c>
      <c r="L5" s="28">
        <f t="shared" si="0"/>
        <v>900</v>
      </c>
      <c r="M5" s="28">
        <f t="shared" ref="M5" si="3">ROUND(L5*I5%,2)</f>
        <v>18</v>
      </c>
      <c r="N5" s="28">
        <f t="shared" si="1"/>
        <v>882</v>
      </c>
      <c r="O5" s="28">
        <f t="shared" ref="O5" si="4">ROUND(N5*J5%,2)</f>
        <v>26.46</v>
      </c>
      <c r="P5" s="23">
        <f t="shared" ref="P5" si="5">ROUND(N5-O5,2)</f>
        <v>855.54</v>
      </c>
      <c r="Q5" s="28">
        <f t="shared" ref="Q5" si="6">ROUND(P5*K5%,2)</f>
        <v>34.22</v>
      </c>
      <c r="R5" s="23">
        <f t="shared" ref="R5" si="7">M5+O5+Q5</f>
        <v>78.680000000000007</v>
      </c>
      <c r="S5" s="23">
        <f t="shared" ref="S5:S6" si="8">H5-R5</f>
        <v>821.31999999999994</v>
      </c>
      <c r="T5" s="23" t="s">
        <v>46</v>
      </c>
      <c r="U5" s="24">
        <v>0.18</v>
      </c>
      <c r="V5" s="23">
        <f t="shared" ref="V5:V6" si="9">IF($C$2=1,ROUND(((S5*U5)/2),2),0)</f>
        <v>73.92</v>
      </c>
      <c r="W5" s="23">
        <f t="shared" ref="W5:W6" si="10">IF($C$2=1,ROUND(((S5*U5)/2),2),0)</f>
        <v>73.92</v>
      </c>
      <c r="X5" s="23">
        <f t="shared" ref="X5:X6" si="11">IF($C$2=2,ROUND(((S5*U5)),2),0)</f>
        <v>0</v>
      </c>
      <c r="Y5" s="23">
        <f t="shared" ref="Y5" si="12">V5+W5+X5</f>
        <v>147.84</v>
      </c>
    </row>
    <row r="6" spans="1:25" ht="15.75" thickBot="1">
      <c r="A6" s="13"/>
      <c r="C6" s="31" t="s">
        <v>47</v>
      </c>
      <c r="D6" s="32"/>
      <c r="E6" s="32"/>
      <c r="F6" s="32"/>
      <c r="G6" s="33"/>
      <c r="H6" s="25">
        <f>SUM(H4:H5)</f>
        <v>1650</v>
      </c>
      <c r="I6" s="22"/>
      <c r="J6" s="22"/>
      <c r="K6" s="22"/>
      <c r="L6" s="22"/>
      <c r="M6" s="22"/>
      <c r="N6" s="22"/>
      <c r="O6" s="22"/>
      <c r="P6" s="22"/>
      <c r="Q6" s="22"/>
      <c r="R6" s="25">
        <f>SUM(R4:R5)</f>
        <v>144.25</v>
      </c>
      <c r="S6" s="23">
        <f t="shared" si="8"/>
        <v>1505.75</v>
      </c>
      <c r="T6" s="25"/>
      <c r="U6" s="25"/>
      <c r="V6" s="23">
        <f t="shared" si="9"/>
        <v>0</v>
      </c>
      <c r="W6" s="23">
        <f t="shared" si="10"/>
        <v>0</v>
      </c>
      <c r="X6" s="23">
        <f t="shared" si="11"/>
        <v>0</v>
      </c>
      <c r="Y6" s="25">
        <f>SUM(Y4:Y5)</f>
        <v>271.04000000000002</v>
      </c>
    </row>
    <row r="9" spans="1:25">
      <c r="A9" s="10" t="s">
        <v>49</v>
      </c>
      <c r="B9" s="11"/>
      <c r="C9" s="11"/>
      <c r="D9" s="11"/>
      <c r="E9" s="11"/>
      <c r="F9" s="11"/>
      <c r="G9" s="11"/>
      <c r="H9" s="10"/>
      <c r="I9" s="12"/>
      <c r="J9" s="12"/>
      <c r="K9" s="12"/>
      <c r="L9" s="12"/>
      <c r="M9" s="12"/>
      <c r="N9" s="12"/>
      <c r="O9" s="12"/>
      <c r="P9" s="12"/>
      <c r="Q9" s="12"/>
      <c r="R9" s="10"/>
      <c r="S9" s="10"/>
      <c r="T9" s="10"/>
      <c r="U9" s="10"/>
      <c r="V9" s="10"/>
      <c r="W9" s="10"/>
      <c r="X9" s="10"/>
      <c r="Y9" s="10"/>
    </row>
    <row r="10" spans="1:25">
      <c r="A10" s="30" t="s">
        <v>55</v>
      </c>
      <c r="B10" s="30"/>
      <c r="C10" s="14">
        <v>1</v>
      </c>
      <c r="D10" s="9" t="s">
        <v>26</v>
      </c>
      <c r="E10" s="11"/>
      <c r="F10" s="11"/>
      <c r="G10" s="11"/>
      <c r="H10" s="10"/>
      <c r="I10" s="12"/>
      <c r="J10" s="12"/>
      <c r="K10" s="12"/>
      <c r="L10" s="12"/>
      <c r="M10" s="12"/>
      <c r="N10" s="12"/>
      <c r="O10" s="12"/>
      <c r="P10" s="12"/>
      <c r="Q10" s="12"/>
      <c r="R10" s="10"/>
      <c r="S10" s="10"/>
      <c r="T10" s="10"/>
      <c r="U10" s="10"/>
      <c r="V10" s="10"/>
      <c r="W10" s="10"/>
      <c r="X10" s="10"/>
      <c r="Y10" s="10"/>
    </row>
    <row r="11" spans="1:25" ht="60.75" thickBot="1">
      <c r="A11" s="15" t="s">
        <v>27</v>
      </c>
      <c r="B11" s="15" t="s">
        <v>28</v>
      </c>
      <c r="C11" s="16" t="s">
        <v>53</v>
      </c>
      <c r="D11" s="15" t="s">
        <v>29</v>
      </c>
      <c r="E11" s="15" t="s">
        <v>30</v>
      </c>
      <c r="F11" s="17" t="s">
        <v>31</v>
      </c>
      <c r="G11" s="15" t="s">
        <v>3</v>
      </c>
      <c r="H11" s="15" t="s">
        <v>32</v>
      </c>
      <c r="I11" s="18" t="s">
        <v>33</v>
      </c>
      <c r="J11" s="18" t="s">
        <v>34</v>
      </c>
      <c r="K11" s="18" t="s">
        <v>35</v>
      </c>
      <c r="L11" s="19" t="s">
        <v>36</v>
      </c>
      <c r="M11" s="19" t="s">
        <v>37</v>
      </c>
      <c r="N11" s="19" t="s">
        <v>38</v>
      </c>
      <c r="O11" s="19" t="s">
        <v>39</v>
      </c>
      <c r="P11" s="19" t="s">
        <v>40</v>
      </c>
      <c r="Q11" s="19" t="s">
        <v>41</v>
      </c>
      <c r="R11" s="18" t="s">
        <v>42</v>
      </c>
      <c r="S11" s="18" t="s">
        <v>48</v>
      </c>
      <c r="T11" s="15" t="s">
        <v>16</v>
      </c>
      <c r="U11" s="20" t="s">
        <v>43</v>
      </c>
      <c r="V11" s="20" t="s">
        <v>22</v>
      </c>
      <c r="W11" s="20" t="s">
        <v>23</v>
      </c>
      <c r="X11" s="20" t="s">
        <v>21</v>
      </c>
      <c r="Y11" s="20" t="s">
        <v>44</v>
      </c>
    </row>
    <row r="12" spans="1:25" ht="15.75" thickBot="1">
      <c r="A12" s="22">
        <v>1</v>
      </c>
      <c r="B12" s="22" t="s">
        <v>13</v>
      </c>
      <c r="C12" s="22" t="s">
        <v>18</v>
      </c>
      <c r="D12" s="22" t="s">
        <v>45</v>
      </c>
      <c r="E12" s="22" t="s">
        <v>45</v>
      </c>
      <c r="F12" s="28">
        <v>5</v>
      </c>
      <c r="G12" s="28">
        <v>250</v>
      </c>
      <c r="H12" s="28">
        <f>F12*G12</f>
        <v>1250</v>
      </c>
      <c r="I12" s="28">
        <v>2</v>
      </c>
      <c r="J12" s="28">
        <v>3</v>
      </c>
      <c r="K12" s="28">
        <v>4</v>
      </c>
      <c r="L12" s="28">
        <f t="shared" ref="L12:L13" si="13">H12</f>
        <v>1250</v>
      </c>
      <c r="M12" s="28">
        <f>ROUND(L12*I12%,2)</f>
        <v>25</v>
      </c>
      <c r="N12" s="28">
        <f t="shared" ref="N12:N13" si="14">H12-M12</f>
        <v>1225</v>
      </c>
      <c r="O12" s="28">
        <f>ROUND(N12*J12%,2)</f>
        <v>36.75</v>
      </c>
      <c r="P12" s="23">
        <f>ROUND(N12-O12,2)</f>
        <v>1188.25</v>
      </c>
      <c r="Q12" s="28">
        <f>ROUND(P12*K12%,2)</f>
        <v>47.53</v>
      </c>
      <c r="R12" s="23">
        <f>M12+O12+Q12</f>
        <v>109.28</v>
      </c>
      <c r="S12" s="23">
        <f>H12-R12</f>
        <v>1140.72</v>
      </c>
      <c r="T12" s="23" t="s">
        <v>46</v>
      </c>
      <c r="U12" s="24">
        <v>0.18</v>
      </c>
      <c r="V12" s="23">
        <f>IF($C$10=1,ROUND(((S12*U12)/2),2),0)</f>
        <v>102.66</v>
      </c>
      <c r="W12" s="23">
        <f>IF($C$10=1,ROUND(((S12*U12)/2),2),0)</f>
        <v>102.66</v>
      </c>
      <c r="X12" s="23">
        <f>IF($C$10=2,ROUND(((S12*U12)),2),0)</f>
        <v>0</v>
      </c>
      <c r="Y12" s="23">
        <f>V12+W12+X12</f>
        <v>205.32</v>
      </c>
    </row>
    <row r="13" spans="1:25" ht="15.75" thickBot="1">
      <c r="A13" s="22">
        <v>2</v>
      </c>
      <c r="B13" s="22" t="s">
        <v>14</v>
      </c>
      <c r="C13" s="22" t="s">
        <v>18</v>
      </c>
      <c r="D13" s="22" t="s">
        <v>45</v>
      </c>
      <c r="E13" s="22" t="s">
        <v>45</v>
      </c>
      <c r="F13" s="28">
        <v>6</v>
      </c>
      <c r="G13" s="28">
        <v>250</v>
      </c>
      <c r="H13" s="28">
        <f t="shared" ref="H13" si="15">F13*G13</f>
        <v>1500</v>
      </c>
      <c r="I13" s="28">
        <v>2</v>
      </c>
      <c r="J13" s="28">
        <v>3</v>
      </c>
      <c r="K13" s="28">
        <v>4</v>
      </c>
      <c r="L13" s="28">
        <f t="shared" si="13"/>
        <v>1500</v>
      </c>
      <c r="M13" s="28">
        <f t="shared" ref="M13" si="16">ROUND(L13*I13%,2)</f>
        <v>30</v>
      </c>
      <c r="N13" s="28">
        <f t="shared" si="14"/>
        <v>1470</v>
      </c>
      <c r="O13" s="28">
        <f t="shared" ref="O13" si="17">ROUND(N13*J13%,2)</f>
        <v>44.1</v>
      </c>
      <c r="P13" s="23">
        <f t="shared" ref="P13" si="18">ROUND(N13-O13,2)</f>
        <v>1425.9</v>
      </c>
      <c r="Q13" s="28">
        <f t="shared" ref="Q13" si="19">ROUND(P13*K13%,2)</f>
        <v>57.04</v>
      </c>
      <c r="R13" s="23">
        <f t="shared" ref="R13" si="20">M13+O13+Q13</f>
        <v>131.13999999999999</v>
      </c>
      <c r="S13" s="23">
        <f t="shared" ref="S13:S14" si="21">H13-R13</f>
        <v>1368.8600000000001</v>
      </c>
      <c r="T13" s="23" t="s">
        <v>46</v>
      </c>
      <c r="U13" s="24">
        <v>0.18</v>
      </c>
      <c r="V13" s="23">
        <f t="shared" ref="V13:V14" si="22">IF($C$10=1,ROUND(((S13*U13)/2),2),0)</f>
        <v>123.2</v>
      </c>
      <c r="W13" s="23">
        <f t="shared" ref="W13:W14" si="23">IF($C$10=1,ROUND(((S13*U13)/2),2),0)</f>
        <v>123.2</v>
      </c>
      <c r="X13" s="23">
        <f t="shared" ref="X13:X14" si="24">IF($C$10=2,ROUND(((S13*U13)),2),0)</f>
        <v>0</v>
      </c>
      <c r="Y13" s="23">
        <f t="shared" ref="Y13" si="25">V13+W13+X13</f>
        <v>246.4</v>
      </c>
    </row>
    <row r="14" spans="1:25" ht="15.75" thickBot="1">
      <c r="A14" s="13"/>
      <c r="C14" s="31" t="s">
        <v>47</v>
      </c>
      <c r="D14" s="32"/>
      <c r="E14" s="32"/>
      <c r="F14" s="32"/>
      <c r="G14" s="33"/>
      <c r="H14" s="25">
        <f>SUM(H12:H13)</f>
        <v>2750</v>
      </c>
      <c r="I14" s="22"/>
      <c r="J14" s="22"/>
      <c r="K14" s="22"/>
      <c r="L14" s="22"/>
      <c r="M14" s="22"/>
      <c r="N14" s="22"/>
      <c r="O14" s="22"/>
      <c r="P14" s="22"/>
      <c r="Q14" s="22"/>
      <c r="R14" s="25">
        <f>SUM(R12:R13)</f>
        <v>240.42</v>
      </c>
      <c r="S14" s="23">
        <f t="shared" si="21"/>
        <v>2509.58</v>
      </c>
      <c r="T14" s="25"/>
      <c r="U14" s="25"/>
      <c r="V14" s="23">
        <f t="shared" si="22"/>
        <v>0</v>
      </c>
      <c r="W14" s="23">
        <f t="shared" si="23"/>
        <v>0</v>
      </c>
      <c r="X14" s="23">
        <f t="shared" si="24"/>
        <v>0</v>
      </c>
      <c r="Y14" s="25">
        <f>SUM(Y12:Y13)</f>
        <v>451.72</v>
      </c>
    </row>
  </sheetData>
  <mergeCells count="4">
    <mergeCell ref="C14:G14"/>
    <mergeCell ref="C6:G6"/>
    <mergeCell ref="A2:B2"/>
    <mergeCell ref="A10:B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Supplier1</vt:lpstr>
      <vt:lpstr>Supplier2</vt:lpstr>
      <vt:lpstr>Domestic</vt:lpstr>
      <vt:lpstr>Import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Durairaj.K</cp:lastModifiedBy>
  <dcterms:created xsi:type="dcterms:W3CDTF">2025-01-20T07:06:00Z</dcterms:created>
  <dcterms:modified xsi:type="dcterms:W3CDTF">2025-10-14T09:00:26Z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894DC31C2531406FA36540AF4C441796_12</vt:lpwstr>
  </property>
  <property fmtid="{D5CDD505-2E9C-101B-9397-08002B2CF9AE}" pid="3" name="KSOProductBuildVer">
    <vt:lpwstr>1033-12.2.0.20326</vt:lpwstr>
  </property>
</Properties>
</file>