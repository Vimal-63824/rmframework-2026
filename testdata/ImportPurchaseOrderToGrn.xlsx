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firstSheet="3" activeTab="5"/>
  </bookViews>
  <sheets>
    <sheet name="ImportPoToGRNUDGeneralSameUOM" sheetId="1" r:id="rId1"/>
    <sheet name="ImportPoToGRNUDServiceSameUOM" sheetId="2" r:id="rId2"/>
    <sheet name="ImportPoToGRNRCGeneralSameUOM" sheetId="3" r:id="rId3"/>
    <sheet name="ImportPoToGRNRCServiceSameUOM" sheetId="4" r:id="rId4"/>
    <sheet name="ImportPoToGRNPLGeneralSameUOM" sheetId="5" r:id="rId5"/>
    <sheet name="ImportPoToGRNPLServiceSameUO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<sst xmlns="http://schemas.openxmlformats.org/spreadsheetml/2006/main" count="622" uniqueCount="128">
  <si>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</si>
  <si>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</si>
  <si>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</si>
  <si>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</si>
  <si>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</si>
  <si>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</si>
  <si>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</si>
  <si>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</si>
  <si>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</si>
  <si>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S. No.</t>
  </si>
  <si>
    <t>Item</t>
  </si>
  <si>
    <t>Item Desc.</t>
  </si>
  <si>
    <t>Stk. UOM</t>
  </si>
  <si>
    <t>Pur. UOM</t>
  </si>
  <si>
    <t>Order Qty (Pur UOM)</t>
  </si>
  <si>
    <t>Unit Cost</t>
  </si>
  <si>
    <t>Gross Amt.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</si>
  <si>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</si>
  <si>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</si>
  <si>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</si>
  <si>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</si>
  <si>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</si>
  <si>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</si>
  <si>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</si>
  <si>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</si>
  <si>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</si>
  <si>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</si>
  <si>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</si>
  <si>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</si>
  <si>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</si>
  <si>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</si>
  <si>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</si>
  <si>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</si>
  <si>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</si>
  <si>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</si>
  <si>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</si>
  <si>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</si>
  <si>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</si>
  <si>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</si>
  <si>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</si>
  <si>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</si>
  <si>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</si>
  <si>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</si>
  <si>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</si>
  <si>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</si>
  <si>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</si>
  <si>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</si>
  <si>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</si>
  <si>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</si>
  <si>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</si>
  <si>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</si>
  <si>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</si>
  <si>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</si>
  <si>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</si>
  <si>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</si>
  <si>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</si>
  <si>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</si>
  <si>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</si>
  <si>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</si>
  <si>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</si>
  <si>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</si>
  <si>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</si>
  <si>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</si>
  <si>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</si>
  <si>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</si>
  <si>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</si>
  <si>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</si>
  <si>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</si>
  <si>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</si>
  <si>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</si>
  <si>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</si>
  <si>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</si>
  <si>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</si>
  <si>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</si>
  <si>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</si>
  <si>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GWL-RM-WAL-FP-001</t>
  </si>
  <si>
    <t>NOS</t>
  </si>
  <si>
    <t>INS KD</t>
  </si>
  <si>
    <t>14090</t>
  </si>
  <si>
    <t>121.22038</t>
  </si>
  <si>
    <t>Receipt Qty &amp; Unit cost</t>
  </si>
  <si>
    <t>LOT</t>
  </si>
  <si>
    <t>RM</t>
  </si>
  <si>
    <t>RMS</t>
  </si>
  <si>
    <t>RM KD</t>
  </si>
  <si>
    <t>146.85967</t>
  </si>
  <si>
    <t>691</t>
  </si>
  <si>
    <t>Total</t>
  </si>
  <si>
    <t>No.</t>
  </si>
  <si>
    <t>Item Desc</t>
  </si>
  <si>
    <t>Qty</t>
  </si>
  <si>
    <t>VD Asbl. Val.</t>
  </si>
  <si>
    <t>Pur. Value</t>
  </si>
  <si>
    <t>Tax%</t>
  </si>
  <si>
    <t>Unit cost (Stk. UOM)</t>
  </si>
  <si>
    <t>GWL-WAL-SERVICE-01</t>
  </si>
  <si>
    <t>INS WH-1</t>
  </si>
  <si>
    <t>110</t>
  </si>
  <si>
    <t>124.545</t>
  </si>
  <si>
    <t>RM WH-49</t>
  </si>
  <si>
    <t>5</t>
  </si>
  <si>
    <t>Gross Purchase</t>
  </si>
  <si>
    <t>Conv factor</t>
  </si>
  <si>
    <t>ACPT</t>
  </si>
  <si>
    <t>Acpt Qty. * Insp. Unit Cost + OLD. Qty in GRN WH * OLD Unitcost in GRN WH / Acpt. Qty + OLD. Qty in GRN WH</t>
  </si>
  <si>
    <t>Disc amt</t>
  </si>
  <si>
    <t>KGS</t>
  </si>
  <si>
    <t>REJ</t>
  </si>
  <si>
    <t>Rej Qty. * Insp. Unit Cost + OLD. Qty in REJ WH * OLD Unitcost in REJ WH / Acpt. Qty + OLD. Qty in REJ WH</t>
  </si>
  <si>
    <t>Net Purchase</t>
  </si>
  <si>
    <t>MTR</t>
  </si>
  <si>
    <t>Tax Amt</t>
  </si>
  <si>
    <t>MT</t>
  </si>
  <si>
    <t>Gross Amont</t>
  </si>
  <si>
    <t>old</t>
  </si>
  <si>
    <t>new</t>
  </si>
  <si>
    <t>acpt Qty</t>
  </si>
  <si>
    <t>Inspection Unit Cost</t>
  </si>
  <si>
    <t>old Qty</t>
  </si>
  <si>
    <t>old UnitCost</t>
  </si>
  <si>
    <t>GWL-RM-WAL-01 RateContract</t>
  </si>
  <si>
    <t>50</t>
  </si>
  <si>
    <t>15</t>
  </si>
  <si>
    <t>41.515</t>
  </si>
  <si>
    <t>GWL-WAL-SERVICE-RATECONTRACT-01</t>
  </si>
  <si>
    <t>GWL-RM-WAL-01 PriceList</t>
  </si>
  <si>
    <t>10</t>
  </si>
  <si>
    <t>GWL-WAL-SERVICE-PRICELIST-01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</si>
</sst>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.0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color rgb="FF00415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14" applyNumberFormat="0" applyAlignment="0" applyProtection="0">
      <alignment vertical="center"/>
    </xf>
    <xf numFmtId="0" fontId="13" fillId="14" borderId="15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5" fillId="1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Font="1" applyFill="1" applyAlignment="1"/>
    <xf numFmtId="0" fontId="0" fillId="0" borderId="0" xfId="0" applyFill="1" applyBorder="1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1" xfId="0" applyNumberFormat="1" applyFont="1" applyFill="1" applyBorder="1" applyAlignment="1"/>
    <xf numFmtId="0" fontId="2" fillId="0" borderId="4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5" xfId="0" applyFont="1" applyFill="1" applyBorder="1" applyAlignment="1"/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/>
    <xf numFmtId="0" fontId="1" fillId="3" borderId="1" xfId="0" applyFont="1" applyFill="1" applyBorder="1" applyAlignment="1"/>
    <xf numFmtId="2" fontId="1" fillId="3" borderId="1" xfId="0" applyNumberFormat="1" applyFont="1" applyFill="1" applyBorder="1" applyAlignment="1"/>
    <xf numFmtId="0" fontId="1" fillId="8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/>
    <xf numFmtId="0" fontId="1" fillId="7" borderId="1" xfId="0" applyFont="1" applyFill="1" applyBorder="1" applyAlignment="1"/>
    <xf numFmtId="2" fontId="1" fillId="7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0" fontId="1" fillId="9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/>
    <xf numFmtId="0" fontId="3" fillId="10" borderId="7" xfId="0" applyFont="1" applyFill="1" applyBorder="1" applyAlignment="1">
      <alignment vertical="center"/>
    </xf>
    <xf numFmtId="0" fontId="2" fillId="0" borderId="8" xfId="0" applyNumberFormat="1" applyFont="1" applyFill="1" applyBorder="1" applyAlignment="1"/>
    <xf numFmtId="0" fontId="0" fillId="0" borderId="0" xfId="0" applyFill="1" applyAlignment="1"/>
    <xf numFmtId="0" fontId="2" fillId="2" borderId="9" xfId="0" applyFont="1" applyFill="1" applyBorder="1" applyAlignment="1"/>
    <xf numFmtId="2" fontId="2" fillId="0" borderId="8" xfId="0" applyNumberFormat="1" applyFont="1" applyFill="1" applyBorder="1" applyAlignment="1"/>
    <xf numFmtId="181" fontId="2" fillId="0" borderId="8" xfId="0" applyNumberFormat="1" applyFont="1" applyFill="1" applyBorder="1" applyAlignment="1"/>
    <xf numFmtId="0" fontId="0" fillId="0" borderId="8" xfId="0" applyNumberFormat="1" applyFill="1" applyBorder="1" applyAlignment="1"/>
    <xf numFmtId="0" fontId="0" fillId="0" borderId="10" xfId="0" applyNumberFormat="1" applyFill="1" applyBorder="1" applyAlignment="1"/>
    <xf numFmtId="0" fontId="0" fillId="0" borderId="10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2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zoomScaleSheetLayoutView="60" workbookViewId="0">
      <selection activeCell="C7" sqref="C7"/>
    </sheetView>
  </sheetViews>
  <sheetFormatPr defaultColWidth="9.81818181818182" defaultRowHeight="14.5" outlineLevelRow="4"/>
  <cols>
    <col min="2" max="2" width="25.5454545454545" customWidth="1"/>
    <col min="3" max="3" width="26" customWidth="1"/>
    <col min="28" max="29" width="10.2727272727273"/>
    <col min="52" max="52" width="10.5454545454545"/>
    <col min="67" max="67" width="10.5454545454545"/>
  </cols>
  <sheetData>
    <row r="1" spans="1:69">
      <c r="A1" s="2" t="s">
        <v>0</v>
      </c>
      <c r="B1" s="3"/>
      <c r="C1" s="3"/>
      <c r="D1" s="3"/>
      <c r="E1" s="3"/>
      <c r="F1" s="3"/>
      <c r="G1" s="3"/>
      <c r="H1" s="2"/>
      <c r="I1" s="17"/>
      <c r="J1" s="17"/>
      <c r="K1" s="17"/>
      <c r="L1" s="17"/>
      <c r="M1" s="17"/>
      <c r="N1" s="17"/>
      <c r="O1" s="17"/>
      <c r="P1" s="17"/>
      <c r="Q1" s="17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10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</row>
    <row r="2" ht="15.25" spans="1:69">
      <c r="A2" s="4" t="s">
        <v>1</v>
      </c>
      <c r="B2" s="4"/>
      <c r="C2" s="5">
        <v>3</v>
      </c>
      <c r="D2" s="6" t="s">
        <v>2</v>
      </c>
      <c r="E2" s="3"/>
      <c r="F2" s="3"/>
      <c r="G2" s="3"/>
      <c r="H2" s="2"/>
      <c r="I2" s="17" t="s">
        <v>3</v>
      </c>
      <c r="J2" s="17" t="s">
        <v>4</v>
      </c>
      <c r="K2" s="17"/>
      <c r="L2" s="17" t="s">
        <v>5</v>
      </c>
      <c r="M2" s="17">
        <v>1</v>
      </c>
      <c r="N2" s="17"/>
      <c r="O2" s="17" t="s">
        <v>6</v>
      </c>
      <c r="P2" s="17">
        <v>1</v>
      </c>
      <c r="Q2" s="17" t="s">
        <v>7</v>
      </c>
      <c r="R2" s="2"/>
      <c r="S2" s="2"/>
      <c r="T2" s="2"/>
      <c r="U2" s="2"/>
      <c r="V2" s="2">
        <v>1</v>
      </c>
      <c r="W2" s="2" t="s">
        <v>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0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</row>
    <row r="3" ht="45" spans="1:69">
      <c r="A3" s="51" t="s">
        <v>9</v>
      </c>
      <c r="B3" s="51" t="s">
        <v>10</v>
      </c>
      <c r="C3" s="52" t="s">
        <v>11</v>
      </c>
      <c r="D3" s="51" t="s">
        <v>12</v>
      </c>
      <c r="E3" s="51" t="s">
        <v>13</v>
      </c>
      <c r="F3" s="53" t="s">
        <v>14</v>
      </c>
      <c r="G3" s="51" t="s">
        <v>15</v>
      </c>
      <c r="H3" s="51" t="s">
        <v>16</v>
      </c>
      <c r="I3" s="54" t="s">
        <v>17</v>
      </c>
      <c r="J3" s="54" t="s">
        <v>18</v>
      </c>
      <c r="K3" s="54" t="s">
        <v>19</v>
      </c>
      <c r="L3" s="55" t="s">
        <v>20</v>
      </c>
      <c r="M3" s="55" t="s">
        <v>21</v>
      </c>
      <c r="N3" s="55" t="s">
        <v>22</v>
      </c>
      <c r="O3" s="55" t="s">
        <v>23</v>
      </c>
      <c r="P3" s="55" t="s">
        <v>24</v>
      </c>
      <c r="Q3" s="55" t="s">
        <v>25</v>
      </c>
      <c r="R3" s="54" t="s">
        <v>26</v>
      </c>
      <c r="S3" s="51" t="s">
        <v>27</v>
      </c>
      <c r="T3" s="51" t="s">
        <v>28</v>
      </c>
      <c r="U3" s="30" t="s">
        <v>29</v>
      </c>
      <c r="V3" s="30" t="s">
        <v>30</v>
      </c>
      <c r="W3" s="30" t="s">
        <v>31</v>
      </c>
      <c r="X3" s="30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56" t="s">
        <v>37</v>
      </c>
      <c r="AD3" s="56" t="s">
        <v>38</v>
      </c>
      <c r="AE3" s="57" t="s">
        <v>39</v>
      </c>
      <c r="AF3" s="57" t="s">
        <v>40</v>
      </c>
      <c r="AG3" s="57" t="s">
        <v>41</v>
      </c>
      <c r="AH3" s="56" t="s">
        <v>42</v>
      </c>
      <c r="AI3" s="56" t="s">
        <v>43</v>
      </c>
      <c r="AJ3" s="57" t="s">
        <v>44</v>
      </c>
      <c r="AK3" s="57" t="s">
        <v>45</v>
      </c>
      <c r="AL3" s="56" t="s">
        <v>46</v>
      </c>
      <c r="AM3" s="56" t="s">
        <v>47</v>
      </c>
      <c r="AN3" s="57" t="s">
        <v>48</v>
      </c>
      <c r="AO3" s="57" t="s">
        <v>49</v>
      </c>
      <c r="AP3" s="57" t="s">
        <v>50</v>
      </c>
      <c r="AQ3" s="56" t="s">
        <v>51</v>
      </c>
      <c r="AR3" s="58" t="s">
        <v>52</v>
      </c>
      <c r="AS3" s="37" t="s">
        <v>53</v>
      </c>
      <c r="AT3" s="37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42" t="s">
        <v>62</v>
      </c>
      <c r="BD3" s="42" t="s">
        <v>63</v>
      </c>
      <c r="BE3" s="42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25" spans="1:69">
      <c r="A4" s="8">
        <v>1</v>
      </c>
      <c r="B4" s="8" t="s">
        <v>75</v>
      </c>
      <c r="C4" s="8" t="s">
        <v>75</v>
      </c>
      <c r="D4" s="8" t="s">
        <v>76</v>
      </c>
      <c r="E4" s="8" t="s">
        <v>76</v>
      </c>
      <c r="F4" s="9">
        <v>5</v>
      </c>
      <c r="G4" s="9">
        <v>150</v>
      </c>
      <c r="H4" s="9">
        <f>F4*G4</f>
        <v>750</v>
      </c>
      <c r="I4" s="9">
        <v>5</v>
      </c>
      <c r="J4" s="9">
        <v>8</v>
      </c>
      <c r="K4" s="9">
        <v>5</v>
      </c>
      <c r="L4" s="9">
        <f>H4</f>
        <v>750</v>
      </c>
      <c r="M4" s="9">
        <f>ROUND(L4*I4%,2)</f>
        <v>37.5</v>
      </c>
      <c r="N4" s="9">
        <f>H4-M4</f>
        <v>712.5</v>
      </c>
      <c r="O4" s="9">
        <f>ROUND(N4*J4%,2)</f>
        <v>57</v>
      </c>
      <c r="P4" s="9">
        <f>ROUND(N4-O4,2)</f>
        <v>655.5</v>
      </c>
      <c r="Q4" s="9">
        <f>ROUND(P4*K4%,2)</f>
        <v>32.78</v>
      </c>
      <c r="R4" s="9">
        <f>M4+O4+Q4</f>
        <v>127.28</v>
      </c>
      <c r="S4" s="9">
        <f>(H4-R4)</f>
        <v>622.72</v>
      </c>
      <c r="T4" s="9">
        <v>85080200</v>
      </c>
      <c r="U4" s="9">
        <v>18</v>
      </c>
      <c r="V4" s="9">
        <f>IF(OR($C$2=1,$C$2=4),ROUND((((S4*U4)/100)/2),2),0)</f>
        <v>0</v>
      </c>
      <c r="W4" s="9">
        <f>IF($C$2=1,ROUND((((S4*U4)/100)/2),2),0)</f>
        <v>0</v>
      </c>
      <c r="X4" s="9">
        <f>IF($C$2=2,ROUND(((S4*U4)/100),2),0)</f>
        <v>0</v>
      </c>
      <c r="Y4" s="9">
        <f>IF($C$2=4,ROUND((((S4*U4)/100)/2),2),0)</f>
        <v>0</v>
      </c>
      <c r="Z4" s="9">
        <v>4</v>
      </c>
      <c r="AA4" s="9">
        <f>IF($C2=3,0,(S4*Z4)/100)</f>
        <v>0</v>
      </c>
      <c r="AB4" s="9">
        <f>V4+W4+X4+Y4+AA4</f>
        <v>0</v>
      </c>
      <c r="AC4" s="9">
        <f>IF($V2=1,S4+AB4,S4)</f>
        <v>622.72</v>
      </c>
      <c r="AD4" s="9">
        <v>120</v>
      </c>
      <c r="AE4" s="9">
        <f>IF($P$2=1,(S4/$S$5)*$E$16,AD4/$AD$5*$E$16)</f>
        <v>0</v>
      </c>
      <c r="AF4" s="9"/>
      <c r="AG4" s="9">
        <f>IF($P$2=1,(S4/$S$5)*$E$18,AD4/$AD$5*$E$18)</f>
        <v>0</v>
      </c>
      <c r="AH4" s="9">
        <f>IF($P$2=1,(S4/$S$5)*$E$18,AD4/$AD$5*$E$18)</f>
        <v>0</v>
      </c>
      <c r="AI4" s="9">
        <f>S4*$M$2</f>
        <v>622.72</v>
      </c>
      <c r="AJ4" s="9">
        <f>IF($C$2=3,0,AG4+AH4)</f>
        <v>0</v>
      </c>
      <c r="AK4" s="9">
        <f>IF($C$2=3,AE4+AG4+AH4,0)</f>
        <v>0</v>
      </c>
      <c r="AL4" s="9">
        <v>1</v>
      </c>
      <c r="AM4" s="9">
        <f>F4/AL4</f>
        <v>5</v>
      </c>
      <c r="AN4" s="9">
        <f>AI4/AM4</f>
        <v>124.544</v>
      </c>
      <c r="AO4" s="9">
        <f>AJ4/AM4</f>
        <v>0</v>
      </c>
      <c r="AP4" s="9">
        <f>AK4/AM4</f>
        <v>0</v>
      </c>
      <c r="AQ4" s="9" t="s">
        <v>76</v>
      </c>
      <c r="AR4" s="41">
        <f>ROUND(AN4+AO4+AP4,5)</f>
        <v>124.544</v>
      </c>
      <c r="AS4" s="41" t="s">
        <v>77</v>
      </c>
      <c r="AT4" s="40" t="s">
        <v>76</v>
      </c>
      <c r="AU4" s="41" t="s">
        <v>78</v>
      </c>
      <c r="AV4" s="41" t="s">
        <v>79</v>
      </c>
      <c r="AW4" s="40">
        <f>AM4</f>
        <v>5</v>
      </c>
      <c r="AX4" s="40">
        <f>AR4</f>
        <v>124.544</v>
      </c>
      <c r="AY4" s="40">
        <f>AU4+AW4</f>
        <v>14095</v>
      </c>
      <c r="AZ4" s="40">
        <f>ROUND(((AU4*AV4)+(AW4*AX4))/(AU4+AW4),5)</f>
        <v>121.22156</v>
      </c>
      <c r="BA4" s="45"/>
      <c r="BB4" s="45" t="s">
        <v>80</v>
      </c>
      <c r="BC4" s="59" t="s">
        <v>81</v>
      </c>
      <c r="BD4" s="47" t="s">
        <v>82</v>
      </c>
      <c r="BE4" s="47" t="s">
        <v>83</v>
      </c>
      <c r="BF4" s="45"/>
      <c r="BG4" s="45"/>
      <c r="BH4" s="45"/>
      <c r="BI4" s="40"/>
      <c r="BJ4" s="41"/>
      <c r="BK4" s="41"/>
      <c r="BL4" s="40" t="s">
        <v>84</v>
      </c>
      <c r="BM4" s="41" t="s">
        <v>85</v>
      </c>
      <c r="BN4" s="41" t="s">
        <v>86</v>
      </c>
      <c r="BO4" s="40">
        <f>ROUND((((AW4*AZ4)+(BN4*BM4))/(AW4+BN4)),5)</f>
        <v>146.67549</v>
      </c>
      <c r="BP4" s="49">
        <f>BN4+AW4</f>
        <v>696</v>
      </c>
      <c r="BQ4" s="50">
        <v>123562</v>
      </c>
    </row>
    <row r="5" ht="15.25" spans="1:69">
      <c r="A5" s="10"/>
      <c r="B5" s="11"/>
      <c r="C5" s="11"/>
      <c r="D5" s="12" t="s">
        <v>87</v>
      </c>
      <c r="E5" s="12"/>
      <c r="F5" s="12"/>
      <c r="G5" s="13"/>
      <c r="H5" s="14">
        <f>SUM(H4:H4)</f>
        <v>750</v>
      </c>
      <c r="I5" s="8"/>
      <c r="J5" s="8"/>
      <c r="K5" s="8"/>
      <c r="L5" s="8"/>
      <c r="M5" s="8"/>
      <c r="N5" s="8"/>
      <c r="O5" s="8"/>
      <c r="P5" s="8"/>
      <c r="Q5" s="8"/>
      <c r="R5" s="28">
        <f t="shared" ref="R5:X5" si="0">SUM(R4:R4)</f>
        <v>127.28</v>
      </c>
      <c r="S5" s="14">
        <f t="shared" si="0"/>
        <v>622.72</v>
      </c>
      <c r="T5" s="28"/>
      <c r="U5" s="28"/>
      <c r="V5" s="29">
        <f t="shared" si="0"/>
        <v>0</v>
      </c>
      <c r="W5" s="29">
        <f t="shared" si="0"/>
        <v>0</v>
      </c>
      <c r="X5" s="29">
        <f t="shared" si="0"/>
        <v>0</v>
      </c>
      <c r="Y5" s="29"/>
      <c r="Z5" s="29"/>
      <c r="AA5" s="29"/>
      <c r="AB5" s="28">
        <f t="shared" ref="AB5:AE5" si="1">SUM(AB4:AB4)</f>
        <v>0</v>
      </c>
      <c r="AC5" s="33">
        <f t="shared" si="1"/>
        <v>622.72</v>
      </c>
      <c r="AD5" s="34">
        <f t="shared" si="1"/>
        <v>120</v>
      </c>
      <c r="AE5" s="34">
        <f t="shared" si="1"/>
        <v>0</v>
      </c>
      <c r="AF5" s="33"/>
      <c r="AG5" s="34">
        <f t="shared" ref="AG5:AK5" si="2">SUM(AG4:AG4)</f>
        <v>0</v>
      </c>
      <c r="AH5" s="34">
        <f t="shared" si="2"/>
        <v>0</v>
      </c>
      <c r="AI5" s="34">
        <f t="shared" si="2"/>
        <v>622.72</v>
      </c>
      <c r="AJ5" s="34">
        <f t="shared" si="2"/>
        <v>0</v>
      </c>
      <c r="AK5" s="34">
        <f t="shared" si="2"/>
        <v>0</v>
      </c>
      <c r="AL5" s="33"/>
      <c r="AM5" s="33"/>
      <c r="AN5" s="33"/>
      <c r="AO5" s="33"/>
      <c r="AP5" s="33"/>
      <c r="AQ5" s="33"/>
      <c r="AR5" s="33"/>
      <c r="AS5" s="10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</row>
  </sheetData>
  <mergeCells count="1">
    <mergeCell ref="A2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7"/>
  <sheetViews>
    <sheetView workbookViewId="0">
      <selection activeCell="G14" sqref="G14"/>
    </sheetView>
  </sheetViews>
  <sheetFormatPr defaultColWidth="8.72727272727273" defaultRowHeight="14.5"/>
  <cols>
    <col min="2" max="2" width="19.0909090909091" customWidth="1"/>
    <col min="3" max="3" width="25.9090909090909" customWidth="1"/>
    <col min="20" max="20" width="9.54545454545454"/>
  </cols>
  <sheetData>
    <row r="1" spans="1:69">
      <c r="A1" s="2" t="s">
        <v>0</v>
      </c>
      <c r="B1" s="3"/>
      <c r="C1" s="3"/>
      <c r="D1" s="3"/>
      <c r="E1" s="3"/>
      <c r="F1" s="3"/>
      <c r="G1" s="3"/>
      <c r="H1" s="2"/>
      <c r="I1" s="17"/>
      <c r="J1" s="17"/>
      <c r="K1" s="17"/>
      <c r="L1" s="17"/>
      <c r="M1" s="17"/>
      <c r="N1" s="17"/>
      <c r="O1" s="17"/>
      <c r="P1" s="17"/>
      <c r="Q1" s="17"/>
      <c r="R1" s="2"/>
      <c r="S1" s="2"/>
      <c r="T1" s="2"/>
      <c r="U1" s="2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41"/>
      <c r="BQ1" s="41"/>
    </row>
    <row r="2" ht="15.25" spans="1:69">
      <c r="A2" s="4" t="s">
        <v>1</v>
      </c>
      <c r="B2" s="4"/>
      <c r="C2" s="5">
        <v>3</v>
      </c>
      <c r="D2" s="6" t="s">
        <v>2</v>
      </c>
      <c r="E2" s="3"/>
      <c r="F2" s="3"/>
      <c r="G2" s="3"/>
      <c r="H2" s="2"/>
      <c r="I2" s="17" t="s">
        <v>3</v>
      </c>
      <c r="J2" s="17" t="s">
        <v>4</v>
      </c>
      <c r="K2" s="17"/>
      <c r="L2" s="17" t="s">
        <v>5</v>
      </c>
      <c r="M2" s="17">
        <v>1</v>
      </c>
      <c r="N2" s="17"/>
      <c r="O2" s="17" t="s">
        <v>6</v>
      </c>
      <c r="P2" s="17">
        <v>2</v>
      </c>
      <c r="Q2" s="17" t="s">
        <v>7</v>
      </c>
      <c r="R2" s="2"/>
      <c r="S2" s="2"/>
      <c r="T2" s="2"/>
      <c r="U2" s="2"/>
      <c r="V2" s="2">
        <v>1</v>
      </c>
      <c r="W2" s="2" t="s">
        <v>8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41"/>
      <c r="BQ2" s="41"/>
    </row>
    <row r="3" ht="45" spans="1:69">
      <c r="A3" s="7" t="s">
        <v>88</v>
      </c>
      <c r="B3" s="7" t="s">
        <v>10</v>
      </c>
      <c r="C3" s="7" t="s">
        <v>89</v>
      </c>
      <c r="D3" s="7" t="s">
        <v>12</v>
      </c>
      <c r="E3" s="7" t="s">
        <v>13</v>
      </c>
      <c r="F3" s="7" t="s">
        <v>90</v>
      </c>
      <c r="G3" s="7" t="s">
        <v>15</v>
      </c>
      <c r="H3" s="7" t="s">
        <v>16</v>
      </c>
      <c r="I3" s="18" t="s">
        <v>17</v>
      </c>
      <c r="J3" s="18" t="s">
        <v>19</v>
      </c>
      <c r="K3" s="18" t="s">
        <v>18</v>
      </c>
      <c r="L3" s="19" t="s">
        <v>20</v>
      </c>
      <c r="M3" s="19" t="s">
        <v>21</v>
      </c>
      <c r="N3" s="19" t="s">
        <v>24</v>
      </c>
      <c r="O3" s="19" t="s">
        <v>25</v>
      </c>
      <c r="P3" s="19" t="s">
        <v>91</v>
      </c>
      <c r="Q3" s="19" t="s">
        <v>23</v>
      </c>
      <c r="R3" s="18" t="s">
        <v>26</v>
      </c>
      <c r="S3" s="7" t="s">
        <v>92</v>
      </c>
      <c r="T3" s="7" t="s">
        <v>28</v>
      </c>
      <c r="U3" s="26" t="s">
        <v>93</v>
      </c>
      <c r="V3" s="26" t="s">
        <v>30</v>
      </c>
      <c r="W3" s="26" t="s">
        <v>31</v>
      </c>
      <c r="X3" s="26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31" t="s">
        <v>37</v>
      </c>
      <c r="AD3" s="31" t="s">
        <v>38</v>
      </c>
      <c r="AE3" s="31" t="s">
        <v>39</v>
      </c>
      <c r="AF3" s="31" t="s">
        <v>40</v>
      </c>
      <c r="AG3" s="31" t="s">
        <v>41</v>
      </c>
      <c r="AH3" s="31" t="s">
        <v>42</v>
      </c>
      <c r="AI3" s="31" t="s">
        <v>43</v>
      </c>
      <c r="AJ3" s="31" t="s">
        <v>44</v>
      </c>
      <c r="AK3" s="31" t="s">
        <v>45</v>
      </c>
      <c r="AL3" s="31" t="s">
        <v>46</v>
      </c>
      <c r="AM3" s="31" t="s">
        <v>47</v>
      </c>
      <c r="AN3" s="31" t="s">
        <v>48</v>
      </c>
      <c r="AO3" s="31" t="s">
        <v>49</v>
      </c>
      <c r="AP3" s="31" t="s">
        <v>50</v>
      </c>
      <c r="AQ3" s="31" t="s">
        <v>51</v>
      </c>
      <c r="AR3" s="36" t="s">
        <v>94</v>
      </c>
      <c r="AS3" s="37" t="s">
        <v>53</v>
      </c>
      <c r="AT3" s="37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42" t="s">
        <v>62</v>
      </c>
      <c r="BD3" s="42" t="s">
        <v>63</v>
      </c>
      <c r="BE3" s="42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25" spans="1:69">
      <c r="A4" s="8">
        <v>1</v>
      </c>
      <c r="B4" s="8" t="s">
        <v>95</v>
      </c>
      <c r="C4" s="8" t="s">
        <v>95</v>
      </c>
      <c r="D4" s="8" t="s">
        <v>76</v>
      </c>
      <c r="E4" s="8" t="s">
        <v>76</v>
      </c>
      <c r="F4" s="9">
        <v>5</v>
      </c>
      <c r="G4" s="9">
        <v>150</v>
      </c>
      <c r="H4" s="9">
        <f>F4*G4</f>
        <v>750</v>
      </c>
      <c r="I4" s="9">
        <v>5</v>
      </c>
      <c r="J4" s="9">
        <v>8</v>
      </c>
      <c r="K4" s="9">
        <v>5</v>
      </c>
      <c r="L4" s="9">
        <f>H4</f>
        <v>750</v>
      </c>
      <c r="M4" s="9">
        <f>ROUND(L4*I4%,2)</f>
        <v>37.5</v>
      </c>
      <c r="N4" s="9">
        <f>H4-M4</f>
        <v>712.5</v>
      </c>
      <c r="O4" s="9">
        <f>ROUND(N4*J4%,2)</f>
        <v>57</v>
      </c>
      <c r="P4" s="9">
        <f>ROUND(N4-O4,2)</f>
        <v>655.5</v>
      </c>
      <c r="Q4" s="9">
        <f>ROUND(P4*K4%,2)</f>
        <v>32.78</v>
      </c>
      <c r="R4" s="9">
        <f>M4+O4+Q4</f>
        <v>127.28</v>
      </c>
      <c r="S4" s="9">
        <f>(H4-R4)</f>
        <v>622.72</v>
      </c>
      <c r="T4" s="9">
        <v>88363222</v>
      </c>
      <c r="U4" s="9">
        <v>18</v>
      </c>
      <c r="V4" s="9">
        <f>IF(OR($C$2=1,$C$2=4),ROUND((((S4*U4)/100)/2),2),0)</f>
        <v>0</v>
      </c>
      <c r="W4" s="9">
        <f>IF($C$2=1,ROUND((((S4*U4)/100)/2),2),0)</f>
        <v>0</v>
      </c>
      <c r="X4" s="9">
        <f>IF($C$2=2,ROUND(((S4*U4)/100),2),0)</f>
        <v>0</v>
      </c>
      <c r="Y4" s="9">
        <f>IF($C$2=4,ROUND((((S4*U4)/100)/2),2),0)</f>
        <v>0</v>
      </c>
      <c r="Z4" s="9">
        <v>0</v>
      </c>
      <c r="AA4" s="9">
        <f>IF($C2=3,0,(S4*Z4)/100)</f>
        <v>0</v>
      </c>
      <c r="AB4" s="9">
        <f>V4+W4+X4+Y4+AA4</f>
        <v>0</v>
      </c>
      <c r="AC4" s="32">
        <f>IF($V2=1,S4+AB4,S4)</f>
        <v>622.72</v>
      </c>
      <c r="AD4" s="27">
        <v>120</v>
      </c>
      <c r="AE4" s="27">
        <f>IF($P$2=1,(S4/$S$5)*$E$16,AD4/$AD$5*$E$16)</f>
        <v>0</v>
      </c>
      <c r="AF4" s="27"/>
      <c r="AG4" s="27">
        <f>IF($P$2=1,(S4/$S$5)*$E$18,AD4/$AD$5*$E$18)</f>
        <v>0</v>
      </c>
      <c r="AH4" s="27">
        <f>IF($P$2=1,(S4/$S$5)*$E$19,AD4/$AD$5*$E$19)</f>
        <v>0</v>
      </c>
      <c r="AI4" s="27">
        <f>S4*$M$2</f>
        <v>622.72</v>
      </c>
      <c r="AJ4" s="27">
        <f>IF($C$2=3,0,AG4+AH4)</f>
        <v>0</v>
      </c>
      <c r="AK4" s="27">
        <f>IF($C$2=3,AE4+AG4+AH4,0)</f>
        <v>0</v>
      </c>
      <c r="AL4" s="35">
        <v>1</v>
      </c>
      <c r="AM4" s="27">
        <f>F4/AL4</f>
        <v>5</v>
      </c>
      <c r="AN4" s="27">
        <f>ROUND(AI4/AM4,5)</f>
        <v>124.544</v>
      </c>
      <c r="AO4" s="27">
        <f>AJ4/AM4</f>
        <v>0</v>
      </c>
      <c r="AP4" s="27">
        <f>AK4/AM4</f>
        <v>0</v>
      </c>
      <c r="AQ4" s="27" t="s">
        <v>76</v>
      </c>
      <c r="AR4" s="27">
        <f>ROUND(AN4+AO4+AP4,5)</f>
        <v>124.544</v>
      </c>
      <c r="AS4" s="39" t="s">
        <v>96</v>
      </c>
      <c r="AT4" s="40" t="s">
        <v>76</v>
      </c>
      <c r="AU4" s="1" t="s">
        <v>97</v>
      </c>
      <c r="AV4" s="1" t="s">
        <v>98</v>
      </c>
      <c r="AW4" s="40">
        <f>AM4</f>
        <v>5</v>
      </c>
      <c r="AX4" s="40">
        <f>AR4</f>
        <v>124.544</v>
      </c>
      <c r="AY4" s="40">
        <f>AU4+AW4</f>
        <v>115</v>
      </c>
      <c r="AZ4" s="40">
        <f>ROUND(((AU4*AV4)+(AW4*AX4))/(AU4+AW4),3)</f>
        <v>124.545</v>
      </c>
      <c r="BA4" s="45"/>
      <c r="BB4" s="45" t="s">
        <v>80</v>
      </c>
      <c r="BC4" s="46" t="s">
        <v>81</v>
      </c>
      <c r="BD4" s="47" t="s">
        <v>82</v>
      </c>
      <c r="BE4" s="47" t="s">
        <v>83</v>
      </c>
      <c r="BF4" s="45"/>
      <c r="BG4" s="45"/>
      <c r="BH4" s="45"/>
      <c r="BI4" s="40"/>
      <c r="BJ4" s="40"/>
      <c r="BK4" s="40"/>
      <c r="BL4" s="48" t="s">
        <v>99</v>
      </c>
      <c r="BM4" s="1" t="s">
        <v>98</v>
      </c>
      <c r="BN4" s="1" t="s">
        <v>100</v>
      </c>
      <c r="BO4" s="40">
        <f>ROUND((((AW4*AZ4)+(BN4*BM4))/(AW4+BN4)),5)</f>
        <v>124.545</v>
      </c>
      <c r="BP4" s="49">
        <f>ROUND(BN4+AW4,3)</f>
        <v>10</v>
      </c>
      <c r="BQ4" s="50">
        <v>123562</v>
      </c>
    </row>
    <row r="5" ht="15.25" spans="1:69">
      <c r="A5" s="10"/>
      <c r="B5" s="11"/>
      <c r="C5" s="11"/>
      <c r="D5" s="12" t="s">
        <v>87</v>
      </c>
      <c r="E5" s="12"/>
      <c r="F5" s="12"/>
      <c r="G5" s="13"/>
      <c r="H5" s="14">
        <f>SUM(H4:H4)</f>
        <v>750</v>
      </c>
      <c r="I5" s="8"/>
      <c r="J5" s="8"/>
      <c r="K5" s="8"/>
      <c r="L5" s="8"/>
      <c r="M5" s="8"/>
      <c r="N5" s="8"/>
      <c r="O5" s="8"/>
      <c r="P5" s="8"/>
      <c r="Q5" s="8"/>
      <c r="R5" s="28">
        <f t="shared" ref="R5:X5" si="0">SUM(R4:R4)</f>
        <v>127.28</v>
      </c>
      <c r="S5" s="14">
        <f t="shared" si="0"/>
        <v>622.72</v>
      </c>
      <c r="T5" s="28"/>
      <c r="U5" s="28"/>
      <c r="V5" s="29">
        <f t="shared" si="0"/>
        <v>0</v>
      </c>
      <c r="W5" s="29">
        <f t="shared" si="0"/>
        <v>0</v>
      </c>
      <c r="X5" s="29">
        <f t="shared" si="0"/>
        <v>0</v>
      </c>
      <c r="Y5" s="29"/>
      <c r="Z5" s="29"/>
      <c r="AA5" s="29"/>
      <c r="AB5" s="28">
        <f t="shared" ref="AB5:AE5" si="1">SUM(AB4:AB4)</f>
        <v>0</v>
      </c>
      <c r="AC5" s="33">
        <f t="shared" si="1"/>
        <v>622.72</v>
      </c>
      <c r="AD5" s="34">
        <f t="shared" si="1"/>
        <v>120</v>
      </c>
      <c r="AE5" s="34">
        <f t="shared" si="1"/>
        <v>0</v>
      </c>
      <c r="AF5" s="33"/>
      <c r="AG5" s="34">
        <f t="shared" ref="AG5:AK5" si="2">SUM(AG4:AG4)</f>
        <v>0</v>
      </c>
      <c r="AH5" s="34">
        <f>IF($P$2=1,(S5/$S$5)*$E$19,AD5/$AD$5*$E$19)</f>
        <v>0</v>
      </c>
      <c r="AI5" s="34">
        <f t="shared" si="2"/>
        <v>622.72</v>
      </c>
      <c r="AJ5" s="34">
        <f t="shared" si="2"/>
        <v>0</v>
      </c>
      <c r="AK5" s="34">
        <f t="shared" si="2"/>
        <v>0</v>
      </c>
      <c r="AL5" s="33"/>
      <c r="AM5" s="33"/>
      <c r="AN5" s="33"/>
      <c r="AO5" s="33"/>
      <c r="AP5" s="33"/>
      <c r="AQ5" s="33"/>
      <c r="AR5" s="33"/>
      <c r="AS5" s="10"/>
      <c r="AT5" s="10"/>
      <c r="AU5" s="41"/>
      <c r="AV5" s="41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41"/>
      <c r="BQ5" s="41"/>
    </row>
    <row r="6" ht="15.25" spans="1:69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41"/>
      <c r="BQ6" s="41"/>
    </row>
    <row r="7" ht="15.25" spans="1:69">
      <c r="A7" s="10"/>
      <c r="B7" s="10"/>
      <c r="C7" s="10"/>
      <c r="D7" s="10"/>
      <c r="E7" s="10"/>
      <c r="F7" s="10"/>
      <c r="G7" s="15" t="s">
        <v>101</v>
      </c>
      <c r="H7" s="16"/>
      <c r="I7" s="20">
        <f>H5</f>
        <v>750</v>
      </c>
      <c r="J7" s="20"/>
      <c r="K7" s="10"/>
      <c r="L7" s="10"/>
      <c r="M7" s="21" t="s">
        <v>102</v>
      </c>
      <c r="N7" s="22"/>
      <c r="O7" s="22"/>
      <c r="P7" s="23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 t="s">
        <v>103</v>
      </c>
      <c r="BI7" s="60" t="s">
        <v>104</v>
      </c>
      <c r="BJ7" s="10"/>
      <c r="BK7" s="10"/>
      <c r="BL7" s="10"/>
      <c r="BM7" s="10"/>
      <c r="BN7" s="10"/>
      <c r="BO7" s="10"/>
      <c r="BP7" s="41"/>
      <c r="BQ7" s="41"/>
    </row>
    <row r="8" ht="15.25" spans="1:69">
      <c r="A8" s="10"/>
      <c r="B8" s="10"/>
      <c r="C8" s="10"/>
      <c r="D8" s="10"/>
      <c r="E8" s="10"/>
      <c r="F8" s="10"/>
      <c r="G8" s="15" t="s">
        <v>105</v>
      </c>
      <c r="H8" s="16"/>
      <c r="I8" s="20">
        <f>R5</f>
        <v>127.28</v>
      </c>
      <c r="J8" s="20"/>
      <c r="K8" s="10"/>
      <c r="L8" s="10"/>
      <c r="M8" s="24">
        <v>1</v>
      </c>
      <c r="N8" s="24" t="s">
        <v>76</v>
      </c>
      <c r="O8" s="24">
        <v>2</v>
      </c>
      <c r="P8" s="24" t="s">
        <v>106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 t="s">
        <v>107</v>
      </c>
      <c r="BI8" s="60" t="s">
        <v>108</v>
      </c>
      <c r="BJ8" s="10"/>
      <c r="BK8" s="10"/>
      <c r="BL8" s="10"/>
      <c r="BM8" s="10"/>
      <c r="BN8" s="10"/>
      <c r="BO8" s="10"/>
      <c r="BP8" s="41"/>
      <c r="BQ8" s="41"/>
    </row>
    <row r="9" ht="15.25" spans="1:69">
      <c r="A9" s="10"/>
      <c r="B9" s="10"/>
      <c r="C9" s="10"/>
      <c r="D9" s="10"/>
      <c r="E9" s="10"/>
      <c r="F9" s="10"/>
      <c r="G9" s="15" t="s">
        <v>109</v>
      </c>
      <c r="H9" s="16"/>
      <c r="I9" s="20">
        <f>S5</f>
        <v>622.72</v>
      </c>
      <c r="J9" s="20"/>
      <c r="K9" s="10"/>
      <c r="L9" s="10"/>
      <c r="M9" s="8">
        <v>1</v>
      </c>
      <c r="N9" s="8" t="s">
        <v>76</v>
      </c>
      <c r="O9" s="8">
        <v>2.5</v>
      </c>
      <c r="P9" s="8" t="s">
        <v>110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41"/>
      <c r="BQ9" s="41"/>
    </row>
    <row r="10" ht="15.25" spans="1:69">
      <c r="A10" s="10"/>
      <c r="B10" s="10"/>
      <c r="C10" s="10"/>
      <c r="D10" s="10"/>
      <c r="E10" s="10"/>
      <c r="F10" s="10"/>
      <c r="G10" s="15" t="s">
        <v>111</v>
      </c>
      <c r="H10" s="16"/>
      <c r="I10" s="20">
        <f>AB5</f>
        <v>0</v>
      </c>
      <c r="J10" s="20"/>
      <c r="K10" s="10"/>
      <c r="L10" s="10"/>
      <c r="M10" s="8">
        <v>1</v>
      </c>
      <c r="N10" s="8" t="s">
        <v>106</v>
      </c>
      <c r="O10" s="8">
        <v>0.001</v>
      </c>
      <c r="P10" s="8" t="s">
        <v>112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41"/>
      <c r="BQ10" s="41"/>
    </row>
    <row r="11" ht="15.25" spans="1:69">
      <c r="A11" s="10"/>
      <c r="B11" s="10"/>
      <c r="C11" s="10"/>
      <c r="D11" s="10"/>
      <c r="E11" s="10"/>
      <c r="F11" s="10"/>
      <c r="G11" s="15" t="s">
        <v>113</v>
      </c>
      <c r="H11" s="16"/>
      <c r="I11" s="25">
        <f>I9+I10</f>
        <v>622.72</v>
      </c>
      <c r="J11" s="2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41"/>
      <c r="BQ11" s="41"/>
    </row>
    <row r="12" spans="1:6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 t="s">
        <v>114</v>
      </c>
      <c r="BN12" s="10" t="s">
        <v>115</v>
      </c>
      <c r="BO12" s="10"/>
      <c r="BP12" s="41"/>
      <c r="BQ12" s="41"/>
    </row>
    <row r="13" spans="1:6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 t="s">
        <v>116</v>
      </c>
      <c r="BL13" s="10">
        <v>12.5</v>
      </c>
      <c r="BM13" s="10">
        <f>BL15*BL16</f>
        <v>18277.77</v>
      </c>
      <c r="BN13" s="10">
        <f>BL13*BL14</f>
        <v>6092.59</v>
      </c>
      <c r="BO13" s="10"/>
      <c r="BP13" s="41"/>
      <c r="BQ13" s="41"/>
    </row>
    <row r="14" spans="1:6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 t="s">
        <v>117</v>
      </c>
      <c r="BL14" s="10">
        <v>487.4072</v>
      </c>
      <c r="BM14" s="10">
        <f>BL13+BL15</f>
        <v>50</v>
      </c>
      <c r="BN14" s="10"/>
      <c r="BO14" s="10"/>
      <c r="BP14" s="41"/>
      <c r="BQ14" s="41"/>
    </row>
    <row r="15" spans="1:6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 t="s">
        <v>118</v>
      </c>
      <c r="BL15" s="10">
        <v>37.5</v>
      </c>
      <c r="BM15" s="10"/>
      <c r="BN15" s="10"/>
      <c r="BO15" s="10"/>
      <c r="BP15" s="41"/>
      <c r="BQ15" s="41"/>
    </row>
    <row r="16" spans="1:6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 t="s">
        <v>119</v>
      </c>
      <c r="BL16" s="10">
        <v>487.4072</v>
      </c>
      <c r="BM16" s="10"/>
      <c r="BN16" s="10"/>
      <c r="BO16" s="10"/>
      <c r="BP16" s="41"/>
      <c r="BQ16" s="41"/>
    </row>
    <row r="17" spans="1:6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>
        <f>BM13+BN13</f>
        <v>24370.36</v>
      </c>
      <c r="BN17" s="10">
        <f>BM17/BM14</f>
        <v>487.4072</v>
      </c>
      <c r="BO17" s="10"/>
      <c r="BP17" s="41"/>
      <c r="BQ17" s="41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workbookViewId="0">
      <selection activeCell="E11" sqref="E11"/>
    </sheetView>
  </sheetViews>
  <sheetFormatPr defaultColWidth="8.72727272727273" defaultRowHeight="14.5" outlineLevelRow="4"/>
  <cols>
    <col min="2" max="2" width="21.1818181818182" customWidth="1"/>
    <col min="3" max="3" width="21.2727272727273" customWidth="1"/>
    <col min="20" max="20" width="9.54545454545454"/>
  </cols>
  <sheetData>
    <row r="1" spans="1:69">
      <c r="A1" s="2" t="s">
        <v>0</v>
      </c>
      <c r="B1" s="3"/>
      <c r="C1" s="3"/>
      <c r="D1" s="3"/>
      <c r="E1" s="3"/>
      <c r="F1" s="3"/>
      <c r="G1" s="3"/>
      <c r="H1" s="2"/>
      <c r="I1" s="17"/>
      <c r="J1" s="17"/>
      <c r="K1" s="17"/>
      <c r="L1" s="17"/>
      <c r="M1" s="17"/>
      <c r="N1" s="17"/>
      <c r="O1" s="17"/>
      <c r="P1" s="17"/>
      <c r="Q1" s="17"/>
      <c r="R1" s="2"/>
      <c r="S1" s="2"/>
      <c r="T1" s="2"/>
      <c r="U1" s="2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41"/>
      <c r="BQ1" s="41"/>
    </row>
    <row r="2" ht="15.25" spans="1:69">
      <c r="A2" s="4" t="s">
        <v>1</v>
      </c>
      <c r="B2" s="4"/>
      <c r="C2" s="5">
        <v>3</v>
      </c>
      <c r="D2" s="6" t="s">
        <v>2</v>
      </c>
      <c r="E2" s="3"/>
      <c r="F2" s="3"/>
      <c r="G2" s="3"/>
      <c r="H2" s="2"/>
      <c r="I2" s="17" t="s">
        <v>3</v>
      </c>
      <c r="J2" s="17" t="s">
        <v>4</v>
      </c>
      <c r="K2" s="17"/>
      <c r="L2" s="17" t="s">
        <v>5</v>
      </c>
      <c r="M2" s="17">
        <v>1</v>
      </c>
      <c r="N2" s="17"/>
      <c r="O2" s="17" t="s">
        <v>6</v>
      </c>
      <c r="P2" s="17">
        <v>2</v>
      </c>
      <c r="Q2" s="17" t="s">
        <v>7</v>
      </c>
      <c r="R2" s="2"/>
      <c r="S2" s="2"/>
      <c r="T2" s="2"/>
      <c r="U2" s="2"/>
      <c r="V2" s="2">
        <v>1</v>
      </c>
      <c r="W2" s="2" t="s">
        <v>8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41"/>
      <c r="BQ2" s="41"/>
    </row>
    <row r="3" ht="45" spans="1:69">
      <c r="A3" s="7" t="s">
        <v>88</v>
      </c>
      <c r="B3" s="7" t="s">
        <v>10</v>
      </c>
      <c r="C3" s="7" t="s">
        <v>89</v>
      </c>
      <c r="D3" s="7" t="s">
        <v>12</v>
      </c>
      <c r="E3" s="7" t="s">
        <v>13</v>
      </c>
      <c r="F3" s="7" t="s">
        <v>90</v>
      </c>
      <c r="G3" s="7" t="s">
        <v>15</v>
      </c>
      <c r="H3" s="7" t="s">
        <v>16</v>
      </c>
      <c r="I3" s="18" t="s">
        <v>17</v>
      </c>
      <c r="J3" s="18" t="s">
        <v>19</v>
      </c>
      <c r="K3" s="18" t="s">
        <v>18</v>
      </c>
      <c r="L3" s="19" t="s">
        <v>20</v>
      </c>
      <c r="M3" s="19" t="s">
        <v>21</v>
      </c>
      <c r="N3" s="19" t="s">
        <v>24</v>
      </c>
      <c r="O3" s="19" t="s">
        <v>25</v>
      </c>
      <c r="P3" s="19" t="s">
        <v>91</v>
      </c>
      <c r="Q3" s="19" t="s">
        <v>23</v>
      </c>
      <c r="R3" s="18" t="s">
        <v>26</v>
      </c>
      <c r="S3" s="7" t="s">
        <v>92</v>
      </c>
      <c r="T3" s="7" t="s">
        <v>28</v>
      </c>
      <c r="U3" s="26" t="s">
        <v>93</v>
      </c>
      <c r="V3" s="26" t="s">
        <v>30</v>
      </c>
      <c r="W3" s="26" t="s">
        <v>31</v>
      </c>
      <c r="X3" s="26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31" t="s">
        <v>37</v>
      </c>
      <c r="AD3" s="31" t="s">
        <v>38</v>
      </c>
      <c r="AE3" s="31" t="s">
        <v>39</v>
      </c>
      <c r="AF3" s="31" t="s">
        <v>40</v>
      </c>
      <c r="AG3" s="31" t="s">
        <v>41</v>
      </c>
      <c r="AH3" s="31" t="s">
        <v>42</v>
      </c>
      <c r="AI3" s="31" t="s">
        <v>43</v>
      </c>
      <c r="AJ3" s="31" t="s">
        <v>44</v>
      </c>
      <c r="AK3" s="31" t="s">
        <v>45</v>
      </c>
      <c r="AL3" s="31" t="s">
        <v>46</v>
      </c>
      <c r="AM3" s="31" t="s">
        <v>47</v>
      </c>
      <c r="AN3" s="31" t="s">
        <v>48</v>
      </c>
      <c r="AO3" s="31" t="s">
        <v>49</v>
      </c>
      <c r="AP3" s="31" t="s">
        <v>50</v>
      </c>
      <c r="AQ3" s="31" t="s">
        <v>51</v>
      </c>
      <c r="AR3" s="36" t="s">
        <v>94</v>
      </c>
      <c r="AS3" s="37" t="s">
        <v>53</v>
      </c>
      <c r="AT3" s="37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42" t="s">
        <v>62</v>
      </c>
      <c r="BD3" s="42" t="s">
        <v>63</v>
      </c>
      <c r="BE3" s="42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25" spans="1:69">
      <c r="A4" s="8">
        <v>1</v>
      </c>
      <c r="B4" s="8" t="s">
        <v>120</v>
      </c>
      <c r="C4" s="8" t="s">
        <v>120</v>
      </c>
      <c r="D4" s="8" t="s">
        <v>76</v>
      </c>
      <c r="E4" s="8" t="s">
        <v>76</v>
      </c>
      <c r="F4" s="9">
        <v>5</v>
      </c>
      <c r="G4" s="1" t="s">
        <v>121</v>
      </c>
      <c r="H4" s="9">
        <f>F4*G4</f>
        <v>250</v>
      </c>
      <c r="I4" s="1" t="s">
        <v>100</v>
      </c>
      <c r="J4" s="9">
        <v>8</v>
      </c>
      <c r="K4" s="9">
        <v>5</v>
      </c>
      <c r="L4" s="9">
        <f>IF(OR(I4=0,I4="0"),0,H4)</f>
        <v>250</v>
      </c>
      <c r="M4" s="9">
        <f>ROUND(L4*I4%,3)</f>
        <v>12.5</v>
      </c>
      <c r="N4" s="9">
        <f>H4-M4</f>
        <v>237.5</v>
      </c>
      <c r="O4" s="9">
        <f>ROUND(N4*J4%,3)</f>
        <v>19</v>
      </c>
      <c r="P4" s="9">
        <f>ROUND(N4-O4,2)</f>
        <v>218.5</v>
      </c>
      <c r="Q4" s="9">
        <f>ROUND(P4*K4%,2)</f>
        <v>10.93</v>
      </c>
      <c r="R4" s="27">
        <f>ROUND(M4+O4+Q4,3)</f>
        <v>42.43</v>
      </c>
      <c r="S4" s="27">
        <f>(H4-R4)</f>
        <v>207.57</v>
      </c>
      <c r="T4" s="9">
        <v>88363222</v>
      </c>
      <c r="U4" s="9">
        <v>18</v>
      </c>
      <c r="V4" s="9">
        <f>IF(OR($C$2=1,$C$2=4),ROUND((((S4*U4)/100)/2),2),0)</f>
        <v>0</v>
      </c>
      <c r="W4" s="9">
        <f>IF($C$2=1,ROUND((((S4*U4)/100)/2),2),0)</f>
        <v>0</v>
      </c>
      <c r="X4" s="9">
        <f>IF($C$2=2,ROUND(((S4*U4)/100),2),0)</f>
        <v>0</v>
      </c>
      <c r="Y4" s="9">
        <f>IF($C$2=4,ROUND((((S4*U4)/100)/2),2),0)</f>
        <v>0</v>
      </c>
      <c r="Z4" s="9">
        <v>0</v>
      </c>
      <c r="AA4" s="9">
        <f>IF($C2=3,0,(S4*Z4)/100)</f>
        <v>0</v>
      </c>
      <c r="AB4" s="9">
        <f>V4+W4+X4+Y4+AA4</f>
        <v>0</v>
      </c>
      <c r="AC4" s="32">
        <f>IF($V2=1,S4+AB4,S4)</f>
        <v>207.57</v>
      </c>
      <c r="AD4" s="27">
        <v>120</v>
      </c>
      <c r="AE4" s="27">
        <f>IF($P$2=1,(S4/$S$5)*$E$16,AD4/$AD$5*$E$16)</f>
        <v>0</v>
      </c>
      <c r="AF4" s="27"/>
      <c r="AG4" s="27">
        <f>IF($P$2=1,(S4/$S$5)*$E$18,AD4/$AD$5*$E$18)</f>
        <v>0</v>
      </c>
      <c r="AH4" s="27">
        <f>IF($P$2=1,(S4/$S$5)*$E$19,AD4/$AD$5*$E$19)</f>
        <v>0</v>
      </c>
      <c r="AI4" s="27">
        <f>S4*$M2</f>
        <v>207.57</v>
      </c>
      <c r="AJ4" s="27">
        <f>IF($C$2=3,0,AG4+AH4)</f>
        <v>0</v>
      </c>
      <c r="AK4" s="27">
        <f>IF($C$2=3,AE4+AG4+AH4,0)</f>
        <v>0</v>
      </c>
      <c r="AL4" s="35">
        <v>1</v>
      </c>
      <c r="AM4" s="27">
        <f>F4/AL4</f>
        <v>5</v>
      </c>
      <c r="AN4" s="27">
        <f>ROUND(AI4/AM4,5)</f>
        <v>41.514</v>
      </c>
      <c r="AO4" s="27">
        <f>AJ4/AM4</f>
        <v>0</v>
      </c>
      <c r="AP4" s="27">
        <f>AK4/AM4</f>
        <v>0</v>
      </c>
      <c r="AQ4" s="27" t="s">
        <v>76</v>
      </c>
      <c r="AR4" s="27">
        <f>ROUND(AN4+AO4+AP4,5)</f>
        <v>41.514</v>
      </c>
      <c r="AS4" s="39" t="s">
        <v>96</v>
      </c>
      <c r="AT4" s="40" t="s">
        <v>76</v>
      </c>
      <c r="AU4" s="1" t="s">
        <v>122</v>
      </c>
      <c r="AV4" s="1" t="s">
        <v>123</v>
      </c>
      <c r="AW4" s="40">
        <f>AM4</f>
        <v>5</v>
      </c>
      <c r="AX4" s="43">
        <f>AR4</f>
        <v>41.514</v>
      </c>
      <c r="AY4" s="40">
        <f>AU4+AW4</f>
        <v>20</v>
      </c>
      <c r="AZ4" s="40">
        <f>ROUND(((AU4*AV4)+(AW4*AX4))/(AU4+AW4),3)</f>
        <v>41.515</v>
      </c>
      <c r="BA4" s="45"/>
      <c r="BB4" s="45" t="s">
        <v>80</v>
      </c>
      <c r="BC4" s="46" t="s">
        <v>81</v>
      </c>
      <c r="BD4" s="47" t="s">
        <v>82</v>
      </c>
      <c r="BE4" s="47" t="s">
        <v>83</v>
      </c>
      <c r="BF4" s="45"/>
      <c r="BG4" s="45"/>
      <c r="BH4" s="45"/>
      <c r="BI4" s="40"/>
      <c r="BJ4" s="40"/>
      <c r="BK4" s="40"/>
      <c r="BL4" s="48" t="s">
        <v>99</v>
      </c>
      <c r="BM4" s="1" t="s">
        <v>123</v>
      </c>
      <c r="BN4" s="1" t="s">
        <v>100</v>
      </c>
      <c r="BO4" s="40">
        <f>ROUND((((AW4*AZ4)+(BN4*BM4))/(AW4+BN4)),5)</f>
        <v>41.515</v>
      </c>
      <c r="BP4" s="49">
        <f>ROUND(BN4+AW4,3)</f>
        <v>10</v>
      </c>
      <c r="BQ4" s="50">
        <v>123562</v>
      </c>
    </row>
    <row r="5" ht="15.25" spans="1:69">
      <c r="A5" s="10"/>
      <c r="B5" s="11"/>
      <c r="C5" s="11"/>
      <c r="D5" s="12" t="s">
        <v>87</v>
      </c>
      <c r="E5" s="12"/>
      <c r="F5" s="12"/>
      <c r="G5" s="13"/>
      <c r="H5" s="14">
        <f>SUM(H4:H4)</f>
        <v>250</v>
      </c>
      <c r="I5" s="8"/>
      <c r="J5" s="8"/>
      <c r="K5" s="8"/>
      <c r="L5" s="8"/>
      <c r="M5" s="8"/>
      <c r="N5" s="8"/>
      <c r="O5" s="8"/>
      <c r="P5" s="8"/>
      <c r="Q5" s="8"/>
      <c r="R5" s="28">
        <f t="shared" ref="R5:X5" si="0">SUM(R4:R4)</f>
        <v>42.43</v>
      </c>
      <c r="S5" s="14">
        <f t="shared" si="0"/>
        <v>207.57</v>
      </c>
      <c r="T5" s="28"/>
      <c r="U5" s="28"/>
      <c r="V5" s="29">
        <f t="shared" si="0"/>
        <v>0</v>
      </c>
      <c r="W5" s="29">
        <f t="shared" si="0"/>
        <v>0</v>
      </c>
      <c r="X5" s="29">
        <f t="shared" si="0"/>
        <v>0</v>
      </c>
      <c r="Y5" s="29"/>
      <c r="Z5" s="29"/>
      <c r="AA5" s="29"/>
      <c r="AB5" s="28">
        <f t="shared" ref="AB5:AE5" si="1">SUM(AB4:AB4)</f>
        <v>0</v>
      </c>
      <c r="AC5" s="33">
        <f t="shared" si="1"/>
        <v>207.57</v>
      </c>
      <c r="AD5" s="34">
        <f t="shared" si="1"/>
        <v>120</v>
      </c>
      <c r="AE5" s="34">
        <f t="shared" si="1"/>
        <v>0</v>
      </c>
      <c r="AF5" s="33"/>
      <c r="AG5" s="34">
        <f t="shared" ref="AG5:AK5" si="2">SUM(AG4:AG4)</f>
        <v>0</v>
      </c>
      <c r="AH5" s="34">
        <f>IF($P$2=1,(S5/$S$5)*$E$19,AD5/$AD$5*$E$19)</f>
        <v>0</v>
      </c>
      <c r="AI5" s="34">
        <f t="shared" si="2"/>
        <v>207.57</v>
      </c>
      <c r="AJ5" s="34">
        <f t="shared" si="2"/>
        <v>0</v>
      </c>
      <c r="AK5" s="34">
        <f t="shared" si="2"/>
        <v>0</v>
      </c>
      <c r="AL5" s="33"/>
      <c r="AM5" s="33"/>
      <c r="AN5" s="33"/>
      <c r="AO5" s="33"/>
      <c r="AP5" s="33"/>
      <c r="AQ5" s="33"/>
      <c r="AR5" s="33"/>
      <c r="AS5" s="10"/>
      <c r="AT5" s="10"/>
      <c r="AU5" s="41"/>
      <c r="AV5" s="41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41"/>
      <c r="BQ5" s="41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workbookViewId="0">
      <selection activeCell="D13" sqref="D13"/>
    </sheetView>
  </sheetViews>
  <sheetFormatPr defaultColWidth="8.72727272727273" defaultRowHeight="14.5" outlineLevelRow="4"/>
  <cols>
    <col min="2" max="2" width="23.3636363636364" customWidth="1"/>
    <col min="3" max="3" width="29.4545454545455" customWidth="1"/>
    <col min="20" max="20" width="9.54545454545454"/>
  </cols>
  <sheetData>
    <row r="1" spans="1:69">
      <c r="A1" s="2" t="s">
        <v>0</v>
      </c>
      <c r="B1" s="3"/>
      <c r="C1" s="3"/>
      <c r="D1" s="3"/>
      <c r="E1" s="3"/>
      <c r="F1" s="3"/>
      <c r="G1" s="3"/>
      <c r="H1" s="2"/>
      <c r="I1" s="17"/>
      <c r="J1" s="17"/>
      <c r="K1" s="17"/>
      <c r="L1" s="17"/>
      <c r="M1" s="17"/>
      <c r="N1" s="17"/>
      <c r="O1" s="17"/>
      <c r="P1" s="17"/>
      <c r="Q1" s="17"/>
      <c r="R1" s="2"/>
      <c r="S1" s="2"/>
      <c r="T1" s="2"/>
      <c r="U1" s="2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41"/>
      <c r="BQ1" s="41"/>
    </row>
    <row r="2" ht="15.25" spans="1:69">
      <c r="A2" s="4" t="s">
        <v>1</v>
      </c>
      <c r="B2" s="4"/>
      <c r="C2" s="5">
        <v>3</v>
      </c>
      <c r="D2" s="6" t="s">
        <v>2</v>
      </c>
      <c r="E2" s="3"/>
      <c r="F2" s="3"/>
      <c r="G2" s="3"/>
      <c r="H2" s="2"/>
      <c r="I2" s="17" t="s">
        <v>3</v>
      </c>
      <c r="J2" s="17" t="s">
        <v>4</v>
      </c>
      <c r="K2" s="17"/>
      <c r="L2" s="17" t="s">
        <v>5</v>
      </c>
      <c r="M2" s="17">
        <v>1</v>
      </c>
      <c r="N2" s="17"/>
      <c r="O2" s="17" t="s">
        <v>6</v>
      </c>
      <c r="P2" s="17">
        <v>2</v>
      </c>
      <c r="Q2" s="17" t="s">
        <v>7</v>
      </c>
      <c r="R2" s="2"/>
      <c r="S2" s="2"/>
      <c r="T2" s="2"/>
      <c r="U2" s="2"/>
      <c r="V2" s="2">
        <v>1</v>
      </c>
      <c r="W2" s="2" t="s">
        <v>8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41"/>
      <c r="BQ2" s="41"/>
    </row>
    <row r="3" ht="45" spans="1:69">
      <c r="A3" s="7" t="s">
        <v>88</v>
      </c>
      <c r="B3" s="7" t="s">
        <v>10</v>
      </c>
      <c r="C3" s="7" t="s">
        <v>89</v>
      </c>
      <c r="D3" s="7" t="s">
        <v>12</v>
      </c>
      <c r="E3" s="7" t="s">
        <v>13</v>
      </c>
      <c r="F3" s="7" t="s">
        <v>90</v>
      </c>
      <c r="G3" s="7" t="s">
        <v>15</v>
      </c>
      <c r="H3" s="7" t="s">
        <v>16</v>
      </c>
      <c r="I3" s="18" t="s">
        <v>17</v>
      </c>
      <c r="J3" s="18" t="s">
        <v>19</v>
      </c>
      <c r="K3" s="18" t="s">
        <v>18</v>
      </c>
      <c r="L3" s="19" t="s">
        <v>20</v>
      </c>
      <c r="M3" s="19" t="s">
        <v>21</v>
      </c>
      <c r="N3" s="19" t="s">
        <v>24</v>
      </c>
      <c r="O3" s="19" t="s">
        <v>25</v>
      </c>
      <c r="P3" s="19" t="s">
        <v>91</v>
      </c>
      <c r="Q3" s="19" t="s">
        <v>23</v>
      </c>
      <c r="R3" s="18" t="s">
        <v>26</v>
      </c>
      <c r="S3" s="7" t="s">
        <v>92</v>
      </c>
      <c r="T3" s="7" t="s">
        <v>28</v>
      </c>
      <c r="U3" s="26" t="s">
        <v>93</v>
      </c>
      <c r="V3" s="26" t="s">
        <v>30</v>
      </c>
      <c r="W3" s="26" t="s">
        <v>31</v>
      </c>
      <c r="X3" s="26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31" t="s">
        <v>37</v>
      </c>
      <c r="AD3" s="31" t="s">
        <v>38</v>
      </c>
      <c r="AE3" s="31" t="s">
        <v>39</v>
      </c>
      <c r="AF3" s="31" t="s">
        <v>40</v>
      </c>
      <c r="AG3" s="31" t="s">
        <v>41</v>
      </c>
      <c r="AH3" s="31" t="s">
        <v>42</v>
      </c>
      <c r="AI3" s="31" t="s">
        <v>43</v>
      </c>
      <c r="AJ3" s="31" t="s">
        <v>44</v>
      </c>
      <c r="AK3" s="31" t="s">
        <v>45</v>
      </c>
      <c r="AL3" s="31" t="s">
        <v>46</v>
      </c>
      <c r="AM3" s="31" t="s">
        <v>47</v>
      </c>
      <c r="AN3" s="31" t="s">
        <v>48</v>
      </c>
      <c r="AO3" s="31" t="s">
        <v>49</v>
      </c>
      <c r="AP3" s="31" t="s">
        <v>50</v>
      </c>
      <c r="AQ3" s="31" t="s">
        <v>51</v>
      </c>
      <c r="AR3" s="36" t="s">
        <v>94</v>
      </c>
      <c r="AS3" s="37" t="s">
        <v>53</v>
      </c>
      <c r="AT3" s="37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42" t="s">
        <v>62</v>
      </c>
      <c r="BD3" s="42" t="s">
        <v>63</v>
      </c>
      <c r="BE3" s="42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25" spans="1:69">
      <c r="A4" s="8">
        <v>1</v>
      </c>
      <c r="B4" s="8" t="s">
        <v>124</v>
      </c>
      <c r="C4" s="8" t="s">
        <v>124</v>
      </c>
      <c r="D4" s="8" t="s">
        <v>76</v>
      </c>
      <c r="E4" s="8" t="s">
        <v>76</v>
      </c>
      <c r="F4" s="9">
        <v>5</v>
      </c>
      <c r="G4" s="1" t="s">
        <v>121</v>
      </c>
      <c r="H4" s="9">
        <f>F4*G4</f>
        <v>250</v>
      </c>
      <c r="I4" s="1" t="s">
        <v>100</v>
      </c>
      <c r="J4" s="9">
        <v>8</v>
      </c>
      <c r="K4" s="9">
        <v>5</v>
      </c>
      <c r="L4" s="9">
        <f>IF(OR(I4=0,I4="0"),0,H4)</f>
        <v>250</v>
      </c>
      <c r="M4" s="9">
        <f>ROUND(L4*I4%,3)</f>
        <v>12.5</v>
      </c>
      <c r="N4" s="9">
        <f>H4-M4</f>
        <v>237.5</v>
      </c>
      <c r="O4" s="9">
        <f>ROUND(N4*J4%,3)</f>
        <v>19</v>
      </c>
      <c r="P4" s="9">
        <f>ROUND(N4-O4,2)</f>
        <v>218.5</v>
      </c>
      <c r="Q4" s="9">
        <f>ROUND(P4*K4%,2)</f>
        <v>10.93</v>
      </c>
      <c r="R4" s="27">
        <f>ROUND(M4+O4+Q4,3)</f>
        <v>42.43</v>
      </c>
      <c r="S4" s="27">
        <f>(H4-R4)</f>
        <v>207.57</v>
      </c>
      <c r="T4" s="9">
        <v>88363222</v>
      </c>
      <c r="U4" s="9">
        <v>18</v>
      </c>
      <c r="V4" s="9">
        <f>IF(OR($C$2=1,$C$2=4),ROUND((((S4*U4)/100)/2),2),0)</f>
        <v>0</v>
      </c>
      <c r="W4" s="9">
        <f>IF($C$2=1,ROUND((((S4*U4)/100)/2),2),0)</f>
        <v>0</v>
      </c>
      <c r="X4" s="9">
        <f>IF($C$2=2,ROUND(((S4*U4)/100),2),0)</f>
        <v>0</v>
      </c>
      <c r="Y4" s="9">
        <f>IF($C$2=4,ROUND((((S4*U4)/100)/2),2),0)</f>
        <v>0</v>
      </c>
      <c r="Z4" s="9">
        <v>0</v>
      </c>
      <c r="AA4" s="9">
        <f>IF($C2=3,0,(S4*Z4)/100)</f>
        <v>0</v>
      </c>
      <c r="AB4" s="9">
        <f>V4+W4+X4+Y4+AA4</f>
        <v>0</v>
      </c>
      <c r="AC4" s="32">
        <f>IF($V2=1,S4+AB4,S4)</f>
        <v>207.57</v>
      </c>
      <c r="AD4" s="27">
        <v>120</v>
      </c>
      <c r="AE4" s="27">
        <f>IF($P$2=1,(S4/$S$5)*$E$16,AD4/$AD$5*$E$16)</f>
        <v>0</v>
      </c>
      <c r="AF4" s="27"/>
      <c r="AG4" s="27">
        <f>IF($P$2=1,(S4/$S$5)*$E$18,AD4/$AD$5*$E$18)</f>
        <v>0</v>
      </c>
      <c r="AH4" s="27">
        <f>IF($P$2=1,(S4/$S$5)*$E$19,AD4/$AD$5*$E$19)</f>
        <v>0</v>
      </c>
      <c r="AI4" s="27">
        <f>S4*$M2</f>
        <v>207.57</v>
      </c>
      <c r="AJ4" s="27">
        <f>IF($C$2=3,0,AG4+AH4)</f>
        <v>0</v>
      </c>
      <c r="AK4" s="27">
        <f>IF($C$2=3,AE4+AG4+AH4,0)</f>
        <v>0</v>
      </c>
      <c r="AL4" s="35">
        <v>1</v>
      </c>
      <c r="AM4" s="27">
        <f>F4/AL4</f>
        <v>5</v>
      </c>
      <c r="AN4" s="27">
        <f>ROUND(AI4/AM4,5)</f>
        <v>41.514</v>
      </c>
      <c r="AO4" s="27">
        <f>AJ4/AM4</f>
        <v>0</v>
      </c>
      <c r="AP4" s="27">
        <f>AK4/AM4</f>
        <v>0</v>
      </c>
      <c r="AQ4" s="27" t="s">
        <v>76</v>
      </c>
      <c r="AR4" s="27">
        <f>ROUND(AN4+AO4+AP4,5)</f>
        <v>41.514</v>
      </c>
      <c r="AS4" s="39" t="s">
        <v>96</v>
      </c>
      <c r="AT4" s="40" t="s">
        <v>76</v>
      </c>
      <c r="AU4" s="1" t="s">
        <v>122</v>
      </c>
      <c r="AV4" s="1" t="s">
        <v>123</v>
      </c>
      <c r="AW4" s="40">
        <f>AM4</f>
        <v>5</v>
      </c>
      <c r="AX4" s="43">
        <f>AR4</f>
        <v>41.514</v>
      </c>
      <c r="AY4" s="40">
        <f>AU4+AW4</f>
        <v>20</v>
      </c>
      <c r="AZ4" s="40">
        <f>ROUND(((AU4*AV4)+(AW4*AX4))/(AU4+AW4),3)</f>
        <v>41.515</v>
      </c>
      <c r="BA4" s="45"/>
      <c r="BB4" s="45" t="s">
        <v>80</v>
      </c>
      <c r="BC4" s="46" t="s">
        <v>81</v>
      </c>
      <c r="BD4" s="47" t="s">
        <v>82</v>
      </c>
      <c r="BE4" s="47" t="s">
        <v>83</v>
      </c>
      <c r="BF4" s="45"/>
      <c r="BG4" s="45"/>
      <c r="BH4" s="45"/>
      <c r="BI4" s="40"/>
      <c r="BJ4" s="40"/>
      <c r="BK4" s="40"/>
      <c r="BL4" s="48" t="s">
        <v>99</v>
      </c>
      <c r="BM4" s="1" t="s">
        <v>123</v>
      </c>
      <c r="BN4" s="1" t="s">
        <v>100</v>
      </c>
      <c r="BO4" s="40">
        <f>ROUND((((AW4*AZ4)+(BN4*BM4))/(AW4+BN4)),5)</f>
        <v>41.515</v>
      </c>
      <c r="BP4" s="49">
        <f>ROUND(BN4+AW4,3)</f>
        <v>10</v>
      </c>
      <c r="BQ4" s="50">
        <v>123562</v>
      </c>
    </row>
    <row r="5" ht="15.25" spans="1:69">
      <c r="A5" s="10"/>
      <c r="B5" s="11"/>
      <c r="C5" s="11"/>
      <c r="D5" s="12" t="s">
        <v>87</v>
      </c>
      <c r="E5" s="12"/>
      <c r="F5" s="12"/>
      <c r="G5" s="13"/>
      <c r="H5" s="14">
        <f>SUM(H4:H4)</f>
        <v>250</v>
      </c>
      <c r="I5" s="8"/>
      <c r="J5" s="8"/>
      <c r="K5" s="8"/>
      <c r="L5" s="8"/>
      <c r="M5" s="8"/>
      <c r="N5" s="8"/>
      <c r="O5" s="8"/>
      <c r="P5" s="8"/>
      <c r="Q5" s="8"/>
      <c r="R5" s="28">
        <f t="shared" ref="R5:X5" si="0">SUM(R4:R4)</f>
        <v>42.43</v>
      </c>
      <c r="S5" s="14">
        <f t="shared" si="0"/>
        <v>207.57</v>
      </c>
      <c r="T5" s="28"/>
      <c r="U5" s="28"/>
      <c r="V5" s="29">
        <f t="shared" si="0"/>
        <v>0</v>
      </c>
      <c r="W5" s="29">
        <f t="shared" si="0"/>
        <v>0</v>
      </c>
      <c r="X5" s="29">
        <f t="shared" si="0"/>
        <v>0</v>
      </c>
      <c r="Y5" s="29"/>
      <c r="Z5" s="29"/>
      <c r="AA5" s="29"/>
      <c r="AB5" s="28">
        <f t="shared" ref="AB5:AE5" si="1">SUM(AB4:AB4)</f>
        <v>0</v>
      </c>
      <c r="AC5" s="33">
        <f t="shared" si="1"/>
        <v>207.57</v>
      </c>
      <c r="AD5" s="34">
        <f t="shared" si="1"/>
        <v>120</v>
      </c>
      <c r="AE5" s="34">
        <f t="shared" si="1"/>
        <v>0</v>
      </c>
      <c r="AF5" s="33"/>
      <c r="AG5" s="34">
        <f t="shared" ref="AG5:AK5" si="2">SUM(AG4:AG4)</f>
        <v>0</v>
      </c>
      <c r="AH5" s="34">
        <f>IF($P$2=1,(S5/$S$5)*$E$19,AD5/$AD$5*$E$19)</f>
        <v>0</v>
      </c>
      <c r="AI5" s="34">
        <f t="shared" si="2"/>
        <v>207.57</v>
      </c>
      <c r="AJ5" s="34">
        <f t="shared" si="2"/>
        <v>0</v>
      </c>
      <c r="AK5" s="34">
        <f t="shared" si="2"/>
        <v>0</v>
      </c>
      <c r="AL5" s="33"/>
      <c r="AM5" s="33"/>
      <c r="AN5" s="33"/>
      <c r="AO5" s="33"/>
      <c r="AP5" s="33"/>
      <c r="AQ5" s="33"/>
      <c r="AR5" s="33"/>
      <c r="AS5" s="10"/>
      <c r="AT5" s="10"/>
      <c r="AU5" s="41"/>
      <c r="AV5" s="41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41"/>
      <c r="BQ5" s="41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workbookViewId="0">
      <selection activeCell="D12" sqref="D12"/>
    </sheetView>
  </sheetViews>
  <sheetFormatPr defaultColWidth="8.72727272727273" defaultRowHeight="14.5" outlineLevelRow="4"/>
  <cols>
    <col min="2" max="2" width="27.2727272727273" customWidth="1"/>
    <col min="3" max="3" width="25.4545454545455" customWidth="1"/>
    <col min="20" max="20" width="9.54545454545454"/>
  </cols>
  <sheetData>
    <row r="1" spans="1:69">
      <c r="A1" s="2" t="s">
        <v>0</v>
      </c>
      <c r="B1" s="3"/>
      <c r="C1" s="3"/>
      <c r="D1" s="3"/>
      <c r="E1" s="3"/>
      <c r="F1" s="3"/>
      <c r="G1" s="3"/>
      <c r="H1" s="2"/>
      <c r="I1" s="17"/>
      <c r="J1" s="17"/>
      <c r="K1" s="17"/>
      <c r="L1" s="17"/>
      <c r="M1" s="17"/>
      <c r="N1" s="17"/>
      <c r="O1" s="17"/>
      <c r="P1" s="17"/>
      <c r="Q1" s="17"/>
      <c r="R1" s="2"/>
      <c r="S1" s="2"/>
      <c r="T1" s="2"/>
      <c r="U1" s="2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41"/>
      <c r="BQ1" s="41"/>
    </row>
    <row r="2" ht="15.25" spans="1:69">
      <c r="A2" s="4" t="s">
        <v>1</v>
      </c>
      <c r="B2" s="4"/>
      <c r="C2" s="5">
        <v>3</v>
      </c>
      <c r="D2" s="6" t="s">
        <v>2</v>
      </c>
      <c r="E2" s="3"/>
      <c r="F2" s="3"/>
      <c r="G2" s="3"/>
      <c r="H2" s="2"/>
      <c r="I2" s="17" t="s">
        <v>3</v>
      </c>
      <c r="J2" s="17" t="s">
        <v>4</v>
      </c>
      <c r="K2" s="17"/>
      <c r="L2" s="17" t="s">
        <v>5</v>
      </c>
      <c r="M2" s="17">
        <v>1</v>
      </c>
      <c r="N2" s="17"/>
      <c r="O2" s="17" t="s">
        <v>6</v>
      </c>
      <c r="P2" s="17">
        <v>2</v>
      </c>
      <c r="Q2" s="17" t="s">
        <v>7</v>
      </c>
      <c r="R2" s="2"/>
      <c r="S2" s="2"/>
      <c r="T2" s="2"/>
      <c r="U2" s="2"/>
      <c r="V2" s="2">
        <v>1</v>
      </c>
      <c r="W2" s="2" t="s">
        <v>8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41"/>
      <c r="BQ2" s="41"/>
    </row>
    <row r="3" ht="45" spans="1:69">
      <c r="A3" s="7" t="s">
        <v>88</v>
      </c>
      <c r="B3" s="7" t="s">
        <v>10</v>
      </c>
      <c r="C3" s="7" t="s">
        <v>89</v>
      </c>
      <c r="D3" s="7" t="s">
        <v>12</v>
      </c>
      <c r="E3" s="7" t="s">
        <v>13</v>
      </c>
      <c r="F3" s="7" t="s">
        <v>90</v>
      </c>
      <c r="G3" s="7" t="s">
        <v>15</v>
      </c>
      <c r="H3" s="7" t="s">
        <v>16</v>
      </c>
      <c r="I3" s="18" t="s">
        <v>17</v>
      </c>
      <c r="J3" s="18" t="s">
        <v>19</v>
      </c>
      <c r="K3" s="18" t="s">
        <v>18</v>
      </c>
      <c r="L3" s="19" t="s">
        <v>20</v>
      </c>
      <c r="M3" s="19" t="s">
        <v>21</v>
      </c>
      <c r="N3" s="19" t="s">
        <v>24</v>
      </c>
      <c r="O3" s="19" t="s">
        <v>25</v>
      </c>
      <c r="P3" s="19" t="s">
        <v>91</v>
      </c>
      <c r="Q3" s="19" t="s">
        <v>23</v>
      </c>
      <c r="R3" s="18" t="s">
        <v>26</v>
      </c>
      <c r="S3" s="7" t="s">
        <v>92</v>
      </c>
      <c r="T3" s="7" t="s">
        <v>28</v>
      </c>
      <c r="U3" s="26" t="s">
        <v>93</v>
      </c>
      <c r="V3" s="26" t="s">
        <v>30</v>
      </c>
      <c r="W3" s="26" t="s">
        <v>31</v>
      </c>
      <c r="X3" s="26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31" t="s">
        <v>37</v>
      </c>
      <c r="AD3" s="31" t="s">
        <v>38</v>
      </c>
      <c r="AE3" s="31" t="s">
        <v>39</v>
      </c>
      <c r="AF3" s="31" t="s">
        <v>40</v>
      </c>
      <c r="AG3" s="31" t="s">
        <v>41</v>
      </c>
      <c r="AH3" s="31" t="s">
        <v>42</v>
      </c>
      <c r="AI3" s="31" t="s">
        <v>43</v>
      </c>
      <c r="AJ3" s="31" t="s">
        <v>44</v>
      </c>
      <c r="AK3" s="31" t="s">
        <v>45</v>
      </c>
      <c r="AL3" s="31" t="s">
        <v>46</v>
      </c>
      <c r="AM3" s="31" t="s">
        <v>47</v>
      </c>
      <c r="AN3" s="31" t="s">
        <v>48</v>
      </c>
      <c r="AO3" s="31" t="s">
        <v>49</v>
      </c>
      <c r="AP3" s="31" t="s">
        <v>50</v>
      </c>
      <c r="AQ3" s="31" t="s">
        <v>51</v>
      </c>
      <c r="AR3" s="36" t="s">
        <v>94</v>
      </c>
      <c r="AS3" s="37" t="s">
        <v>53</v>
      </c>
      <c r="AT3" s="37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42" t="s">
        <v>62</v>
      </c>
      <c r="BD3" s="42" t="s">
        <v>63</v>
      </c>
      <c r="BE3" s="42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25" spans="1:69">
      <c r="A4" s="8">
        <v>1</v>
      </c>
      <c r="B4" s="8" t="s">
        <v>125</v>
      </c>
      <c r="C4" s="8" t="s">
        <v>125</v>
      </c>
      <c r="D4" s="8" t="s">
        <v>76</v>
      </c>
      <c r="E4" s="8" t="s">
        <v>76</v>
      </c>
      <c r="F4" s="9">
        <v>5</v>
      </c>
      <c r="G4" s="1" t="s">
        <v>121</v>
      </c>
      <c r="H4" s="9">
        <f>F4*G4</f>
        <v>250</v>
      </c>
      <c r="I4" s="1" t="s">
        <v>100</v>
      </c>
      <c r="J4" s="9">
        <v>8</v>
      </c>
      <c r="K4" s="9">
        <v>5</v>
      </c>
      <c r="L4" s="9">
        <f>IF(OR(I4=0,I4="0"),0,H4)</f>
        <v>250</v>
      </c>
      <c r="M4" s="9">
        <f>ROUND(L4*I4%,3)</f>
        <v>12.5</v>
      </c>
      <c r="N4" s="9">
        <f>H4-M4</f>
        <v>237.5</v>
      </c>
      <c r="O4" s="9">
        <f>ROUND(N4*J4%,3)</f>
        <v>19</v>
      </c>
      <c r="P4" s="9">
        <f>ROUND(N4-O4,2)</f>
        <v>218.5</v>
      </c>
      <c r="Q4" s="9">
        <f>ROUND(P4*K4%,2)</f>
        <v>10.93</v>
      </c>
      <c r="R4" s="27">
        <f>ROUND(M4+O4+Q4,3)</f>
        <v>42.43</v>
      </c>
      <c r="S4" s="27">
        <f>(H4-R4)</f>
        <v>207.57</v>
      </c>
      <c r="T4" s="9">
        <v>88363222</v>
      </c>
      <c r="U4" s="9">
        <v>18</v>
      </c>
      <c r="V4" s="9">
        <f>IF(OR($C$2=1,$C$2=4),ROUND((((S4*U4)/100)/2),2),0)</f>
        <v>0</v>
      </c>
      <c r="W4" s="9">
        <f>IF($C$2=1,ROUND((((S4*U4)/100)/2),2),0)</f>
        <v>0</v>
      </c>
      <c r="X4" s="9">
        <f>IF($C$2=2,ROUND(((S4*U4)/100),2),0)</f>
        <v>0</v>
      </c>
      <c r="Y4" s="9">
        <f>IF($C$2=4,ROUND((((S4*U4)/100)/2),2),0)</f>
        <v>0</v>
      </c>
      <c r="Z4" s="9">
        <v>0</v>
      </c>
      <c r="AA4" s="9">
        <f>IF($C2=3,0,(S4*Z4)/100)</f>
        <v>0</v>
      </c>
      <c r="AB4" s="9">
        <f>V4+W4+X4+Y4+AA4</f>
        <v>0</v>
      </c>
      <c r="AC4" s="32">
        <f>IF($V2=1,S4+AB4,S4)</f>
        <v>207.57</v>
      </c>
      <c r="AD4" s="27">
        <v>120</v>
      </c>
      <c r="AE4" s="27">
        <f>IF($P$2=1,(S4/$S$5)*$E$16,AD4/$AD$5*$E$16)</f>
        <v>0</v>
      </c>
      <c r="AF4" s="27"/>
      <c r="AG4" s="27">
        <f>IF($P$2=1,(S4/$S$5)*$E$18,AD4/$AD$5*$E$18)</f>
        <v>0</v>
      </c>
      <c r="AH4" s="27">
        <f>IF($P$2=1,(S4/$S$5)*$E$19,AD4/$AD$5*$E$19)</f>
        <v>0</v>
      </c>
      <c r="AI4" s="27">
        <f>S4*$M2</f>
        <v>207.57</v>
      </c>
      <c r="AJ4" s="27">
        <f>IF($C$2=3,0,AG4+AH4)</f>
        <v>0</v>
      </c>
      <c r="AK4" s="27">
        <f>IF($C$2=3,AE4+AG4+AH4,0)</f>
        <v>0</v>
      </c>
      <c r="AL4" s="35">
        <v>1</v>
      </c>
      <c r="AM4" s="27">
        <f>F4/AL4</f>
        <v>5</v>
      </c>
      <c r="AN4" s="27">
        <f>ROUND(AI4/AM4,5)</f>
        <v>41.514</v>
      </c>
      <c r="AO4" s="27">
        <f>AJ4/AM4</f>
        <v>0</v>
      </c>
      <c r="AP4" s="27">
        <f>AK4/AM4</f>
        <v>0</v>
      </c>
      <c r="AQ4" s="27" t="s">
        <v>76</v>
      </c>
      <c r="AR4" s="27">
        <f>ROUND(AN4+AO4+AP4,5)</f>
        <v>41.514</v>
      </c>
      <c r="AS4" s="39" t="s">
        <v>96</v>
      </c>
      <c r="AT4" s="40" t="s">
        <v>76</v>
      </c>
      <c r="AU4" s="1" t="s">
        <v>126</v>
      </c>
      <c r="AV4" s="1" t="s">
        <v>123</v>
      </c>
      <c r="AW4" s="40">
        <f>AM4</f>
        <v>5</v>
      </c>
      <c r="AX4" s="43">
        <f>AR4</f>
        <v>41.514</v>
      </c>
      <c r="AY4" s="40">
        <f>AU4+AW4</f>
        <v>15</v>
      </c>
      <c r="AZ4" s="44">
        <f>ROUND(((AU4*AV4)+(AW4*AX4))/(AU4+AW4),3)</f>
        <v>41.515</v>
      </c>
      <c r="BA4" s="45"/>
      <c r="BB4" s="45" t="s">
        <v>80</v>
      </c>
      <c r="BC4" s="46" t="s">
        <v>81</v>
      </c>
      <c r="BD4" s="47" t="s">
        <v>82</v>
      </c>
      <c r="BE4" s="47" t="s">
        <v>83</v>
      </c>
      <c r="BF4" s="45"/>
      <c r="BG4" s="45"/>
      <c r="BH4" s="45"/>
      <c r="BI4" s="40"/>
      <c r="BJ4" s="40"/>
      <c r="BK4" s="40"/>
      <c r="BL4" s="48" t="s">
        <v>99</v>
      </c>
      <c r="BM4" s="1" t="s">
        <v>123</v>
      </c>
      <c r="BN4" s="1" t="s">
        <v>100</v>
      </c>
      <c r="BO4" s="40">
        <f>ROUND((((AW4*AZ4)+(BN4*BM4))/(AW4+BN4)),5)</f>
        <v>41.515</v>
      </c>
      <c r="BP4" s="49">
        <f>ROUND(BN4+AW4,3)</f>
        <v>10</v>
      </c>
      <c r="BQ4" s="50">
        <v>123562</v>
      </c>
    </row>
    <row r="5" ht="15.25" spans="1:69">
      <c r="A5" s="10"/>
      <c r="B5" s="11"/>
      <c r="C5" s="11"/>
      <c r="D5" s="12" t="s">
        <v>87</v>
      </c>
      <c r="E5" s="12"/>
      <c r="F5" s="12"/>
      <c r="G5" s="13"/>
      <c r="H5" s="14">
        <f>SUM(H4:H4)</f>
        <v>250</v>
      </c>
      <c r="I5" s="8"/>
      <c r="J5" s="8"/>
      <c r="K5" s="8"/>
      <c r="L5" s="8"/>
      <c r="M5" s="8"/>
      <c r="N5" s="8"/>
      <c r="O5" s="8"/>
      <c r="P5" s="8"/>
      <c r="Q5" s="8"/>
      <c r="R5" s="28">
        <f t="shared" ref="R5:X5" si="0">SUM(R4:R4)</f>
        <v>42.43</v>
      </c>
      <c r="S5" s="14">
        <f t="shared" si="0"/>
        <v>207.57</v>
      </c>
      <c r="T5" s="28"/>
      <c r="U5" s="28"/>
      <c r="V5" s="29">
        <f t="shared" si="0"/>
        <v>0</v>
      </c>
      <c r="W5" s="29">
        <f t="shared" si="0"/>
        <v>0</v>
      </c>
      <c r="X5" s="29">
        <f t="shared" si="0"/>
        <v>0</v>
      </c>
      <c r="Y5" s="29"/>
      <c r="Z5" s="29"/>
      <c r="AA5" s="29"/>
      <c r="AB5" s="28">
        <f t="shared" ref="AB5:AE5" si="1">SUM(AB4:AB4)</f>
        <v>0</v>
      </c>
      <c r="AC5" s="33">
        <f t="shared" si="1"/>
        <v>207.57</v>
      </c>
      <c r="AD5" s="34">
        <f t="shared" si="1"/>
        <v>120</v>
      </c>
      <c r="AE5" s="34">
        <f t="shared" si="1"/>
        <v>0</v>
      </c>
      <c r="AF5" s="33"/>
      <c r="AG5" s="34">
        <f t="shared" ref="AG5:AK5" si="2">SUM(AG4:AG4)</f>
        <v>0</v>
      </c>
      <c r="AH5" s="34">
        <f>IF($P$2=1,(S5/$S$5)*$E$19,AD5/$AD$5*$E$19)</f>
        <v>0</v>
      </c>
      <c r="AI5" s="34">
        <f t="shared" si="2"/>
        <v>207.57</v>
      </c>
      <c r="AJ5" s="34">
        <f t="shared" si="2"/>
        <v>0</v>
      </c>
      <c r="AK5" s="34">
        <f t="shared" si="2"/>
        <v>0</v>
      </c>
      <c r="AL5" s="33"/>
      <c r="AM5" s="33"/>
      <c r="AN5" s="33"/>
      <c r="AO5" s="33"/>
      <c r="AP5" s="33"/>
      <c r="AQ5" s="33"/>
      <c r="AR5" s="33"/>
      <c r="AS5" s="10"/>
      <c r="AT5" s="10"/>
      <c r="AU5" s="41"/>
      <c r="AV5" s="41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41"/>
      <c r="BQ5" s="41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tabSelected="1" workbookViewId="0">
      <selection activeCell="C9" sqref="C9"/>
    </sheetView>
  </sheetViews>
  <sheetFormatPr defaultColWidth="8.85454545454546" defaultRowHeight="14.5"/>
  <cols>
    <col min="1" max="1" width="8.85454545454546" style="1"/>
    <col min="2" max="2" width="28" style="1" customWidth="1"/>
    <col min="3" max="3" width="23" style="1" customWidth="1"/>
    <col min="4" max="12" width="8.85454545454546" style="1"/>
    <col min="13" max="13" width="9.13636363636364" style="1" customWidth="1"/>
    <col min="14" max="14" width="13.8545454545455" style="1" customWidth="1"/>
    <col min="15" max="19" width="8.85454545454546" style="1"/>
    <col min="20" max="20" width="9.54545454545454" style="1"/>
    <col min="21" max="63" width="8.85454545454546" style="1"/>
    <col min="64" max="64" width="11" style="1" customWidth="1"/>
    <col min="65" max="16384" width="8.85454545454546" style="1"/>
  </cols>
  <sheetData>
    <row r="1" s="1" customFormat="1" spans="1:69">
      <c r="A1" s="2" t="s">
        <v>0</v>
      </c>
      <c r="B1" s="3"/>
      <c r="C1" s="3"/>
      <c r="D1" s="3"/>
      <c r="E1" s="3"/>
      <c r="F1" s="3"/>
      <c r="G1" s="3"/>
      <c r="H1" s="2"/>
      <c r="I1" s="17"/>
      <c r="J1" s="17"/>
      <c r="K1" s="17"/>
      <c r="L1" s="17"/>
      <c r="M1" s="17"/>
      <c r="N1" s="17"/>
      <c r="O1" s="17"/>
      <c r="P1" s="17"/>
      <c r="Q1" s="17"/>
      <c r="R1" s="2"/>
      <c r="S1" s="2"/>
      <c r="T1" s="2"/>
      <c r="U1" s="2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41"/>
      <c r="BQ1" s="41"/>
    </row>
    <row r="2" s="1" customFormat="1" ht="15.25" spans="1:69">
      <c r="A2" s="4" t="s">
        <v>1</v>
      </c>
      <c r="B2" s="4"/>
      <c r="C2" s="5">
        <v>1</v>
      </c>
      <c r="D2" s="6" t="s">
        <v>2</v>
      </c>
      <c r="E2" s="3"/>
      <c r="F2" s="3"/>
      <c r="G2" s="3"/>
      <c r="H2" s="2"/>
      <c r="I2" s="17" t="s">
        <v>3</v>
      </c>
      <c r="J2" s="17" t="s">
        <v>4</v>
      </c>
      <c r="K2" s="17"/>
      <c r="L2" s="17" t="s">
        <v>5</v>
      </c>
      <c r="M2" s="17">
        <v>1</v>
      </c>
      <c r="N2" s="17"/>
      <c r="O2" s="17" t="s">
        <v>6</v>
      </c>
      <c r="P2" s="17">
        <v>2</v>
      </c>
      <c r="Q2" s="17" t="s">
        <v>7</v>
      </c>
      <c r="R2" s="2"/>
      <c r="S2" s="2"/>
      <c r="T2" s="2"/>
      <c r="U2" s="2"/>
      <c r="V2" s="2">
        <v>1</v>
      </c>
      <c r="W2" s="2" t="s">
        <v>8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41"/>
      <c r="BQ2" s="41"/>
    </row>
    <row r="3" s="1" customFormat="1" ht="45" spans="1:69">
      <c r="A3" s="7" t="s">
        <v>88</v>
      </c>
      <c r="B3" s="7" t="s">
        <v>10</v>
      </c>
      <c r="C3" s="7" t="s">
        <v>89</v>
      </c>
      <c r="D3" s="7" t="s">
        <v>12</v>
      </c>
      <c r="E3" s="7" t="s">
        <v>13</v>
      </c>
      <c r="F3" s="7" t="s">
        <v>90</v>
      </c>
      <c r="G3" s="7" t="s">
        <v>15</v>
      </c>
      <c r="H3" s="7" t="s">
        <v>16</v>
      </c>
      <c r="I3" s="18" t="s">
        <v>17</v>
      </c>
      <c r="J3" s="18" t="s">
        <v>19</v>
      </c>
      <c r="K3" s="18" t="s">
        <v>18</v>
      </c>
      <c r="L3" s="19" t="s">
        <v>20</v>
      </c>
      <c r="M3" s="19" t="s">
        <v>21</v>
      </c>
      <c r="N3" s="19" t="s">
        <v>24</v>
      </c>
      <c r="O3" s="19" t="s">
        <v>25</v>
      </c>
      <c r="P3" s="19" t="s">
        <v>91</v>
      </c>
      <c r="Q3" s="19" t="s">
        <v>23</v>
      </c>
      <c r="R3" s="18" t="s">
        <v>26</v>
      </c>
      <c r="S3" s="7" t="s">
        <v>92</v>
      </c>
      <c r="T3" s="7" t="s">
        <v>28</v>
      </c>
      <c r="U3" s="26" t="s">
        <v>93</v>
      </c>
      <c r="V3" s="26" t="s">
        <v>30</v>
      </c>
      <c r="W3" s="26" t="s">
        <v>31</v>
      </c>
      <c r="X3" s="26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31" t="s">
        <v>37</v>
      </c>
      <c r="AD3" s="31" t="s">
        <v>38</v>
      </c>
      <c r="AE3" s="31" t="s">
        <v>39</v>
      </c>
      <c r="AF3" s="31" t="s">
        <v>40</v>
      </c>
      <c r="AG3" s="31" t="s">
        <v>41</v>
      </c>
      <c r="AH3" s="31" t="s">
        <v>42</v>
      </c>
      <c r="AI3" s="31" t="s">
        <v>43</v>
      </c>
      <c r="AJ3" s="31" t="s">
        <v>44</v>
      </c>
      <c r="AK3" s="31" t="s">
        <v>45</v>
      </c>
      <c r="AL3" s="31" t="s">
        <v>46</v>
      </c>
      <c r="AM3" s="31" t="s">
        <v>47</v>
      </c>
      <c r="AN3" s="31" t="s">
        <v>48</v>
      </c>
      <c r="AO3" s="31" t="s">
        <v>49</v>
      </c>
      <c r="AP3" s="31" t="s">
        <v>50</v>
      </c>
      <c r="AQ3" s="31" t="s">
        <v>51</v>
      </c>
      <c r="AR3" s="36" t="s">
        <v>94</v>
      </c>
      <c r="AS3" s="37" t="s">
        <v>53</v>
      </c>
      <c r="AT3" s="37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42" t="s">
        <v>62</v>
      </c>
      <c r="BD3" s="42" t="s">
        <v>63</v>
      </c>
      <c r="BE3" s="42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s="1" customFormat="1" ht="15.25" spans="1:69">
      <c r="A4" s="8">
        <v>1</v>
      </c>
      <c r="B4" s="8" t="s">
        <v>127</v>
      </c>
      <c r="C4" s="8" t="s">
        <v>127</v>
      </c>
      <c r="D4" s="8" t="s">
        <v>76</v>
      </c>
      <c r="E4" s="8" t="s">
        <v>76</v>
      </c>
      <c r="F4" s="9">
        <v>5</v>
      </c>
      <c r="G4" s="1" t="s">
        <v>121</v>
      </c>
      <c r="H4" s="9">
        <f>F4*G4</f>
        <v>250</v>
      </c>
      <c r="I4" s="1" t="s">
        <v>100</v>
      </c>
      <c r="J4" s="9">
        <v>8</v>
      </c>
      <c r="K4" s="9">
        <v>5</v>
      </c>
      <c r="L4" s="9">
        <f>IF(OR(I4=0,I4="0"),0,H4)</f>
        <v>250</v>
      </c>
      <c r="M4" s="9">
        <f>ROUND(L4*I4%,3)</f>
        <v>12.5</v>
      </c>
      <c r="N4" s="9">
        <f>H4-M4</f>
        <v>237.5</v>
      </c>
      <c r="O4" s="9">
        <f>ROUND(N4*J4%,3)</f>
        <v>19</v>
      </c>
      <c r="P4" s="9">
        <f>ROUND(N4-O4,2)</f>
        <v>218.5</v>
      </c>
      <c r="Q4" s="9">
        <f>ROUND(P4*K4%,2)</f>
        <v>10.93</v>
      </c>
      <c r="R4" s="27">
        <f>ROUND(M4+O4+Q4,3)</f>
        <v>42.43</v>
      </c>
      <c r="S4" s="27">
        <f>(H4-R4)</f>
        <v>207.57</v>
      </c>
      <c r="T4" s="9">
        <v>88363222</v>
      </c>
      <c r="U4" s="9">
        <v>18</v>
      </c>
      <c r="V4" s="9">
        <f>IF(OR($C$2=1,$C$2=4),ROUND((((S4*U4)/100)/2),2),0)</f>
        <v>18.68</v>
      </c>
      <c r="W4" s="9">
        <f>IF($C$2=1,ROUND((((S4*U4)/100)/2),2),0)</f>
        <v>18.68</v>
      </c>
      <c r="X4" s="9">
        <f>IF($C$2=2,ROUND(((S4*U4)/100),2),0)</f>
        <v>0</v>
      </c>
      <c r="Y4" s="9">
        <f>IF($C$2=4,ROUND((((S4*U4)/100)/2),2),0)</f>
        <v>0</v>
      </c>
      <c r="Z4" s="9">
        <v>0</v>
      </c>
      <c r="AA4" s="9">
        <f>IF($C2=3,0,(S4*Z4)/100)</f>
        <v>0</v>
      </c>
      <c r="AB4" s="9">
        <f>V4+W4+X4+Y4+AA4</f>
        <v>37.36</v>
      </c>
      <c r="AC4" s="32">
        <f>IF($V2=1,S4+AB4,S4)</f>
        <v>244.93</v>
      </c>
      <c r="AD4" s="27">
        <v>120</v>
      </c>
      <c r="AE4" s="27">
        <f>IF($P$2=1,(S4/$S$5)*$E$16,AD4/$AD$5*$E$16)</f>
        <v>0</v>
      </c>
      <c r="AF4" s="27"/>
      <c r="AG4" s="27">
        <f>IF($P$2=1,(S4/$S$5)*$E$18,AD4/$AD$5*$E$18)</f>
        <v>0</v>
      </c>
      <c r="AH4" s="27">
        <f>IF($P$2=1,(S4/$S$5)*$E$19,AD4/$AD$5*$E$19)</f>
        <v>0</v>
      </c>
      <c r="AI4" s="27">
        <f>S4*$M2</f>
        <v>207.57</v>
      </c>
      <c r="AJ4" s="27">
        <f>IF($C$2=3,0,AG4+AH4)</f>
        <v>0</v>
      </c>
      <c r="AK4" s="27">
        <f>IF($C$2=3,AE4+AG4+AH4,0)</f>
        <v>0</v>
      </c>
      <c r="AL4" s="35">
        <v>1</v>
      </c>
      <c r="AM4" s="27">
        <f>F4/AL4</f>
        <v>5</v>
      </c>
      <c r="AN4" s="27">
        <f>ROUND(AI4/AM4,5)</f>
        <v>41.514</v>
      </c>
      <c r="AO4" s="27">
        <f>AJ4/AM4</f>
        <v>0</v>
      </c>
      <c r="AP4" s="27">
        <f>AK4/AM4</f>
        <v>0</v>
      </c>
      <c r="AQ4" s="27" t="s">
        <v>76</v>
      </c>
      <c r="AR4" s="27">
        <f>ROUND(AN4+AO4+AP4,5)</f>
        <v>41.514</v>
      </c>
      <c r="AS4" s="39" t="s">
        <v>96</v>
      </c>
      <c r="AT4" s="40" t="s">
        <v>76</v>
      </c>
      <c r="AU4" s="1" t="s">
        <v>126</v>
      </c>
      <c r="AV4" s="1" t="s">
        <v>123</v>
      </c>
      <c r="AW4" s="40">
        <f>AM4</f>
        <v>5</v>
      </c>
      <c r="AX4" s="43">
        <f>AR4</f>
        <v>41.514</v>
      </c>
      <c r="AY4" s="40">
        <f>AU4+AW4</f>
        <v>15</v>
      </c>
      <c r="AZ4" s="44">
        <f>ROUND(((AU4*AV4)+(AW4*AX4))/(AU4+AW4),3)</f>
        <v>41.515</v>
      </c>
      <c r="BA4" s="45"/>
      <c r="BB4" s="45" t="s">
        <v>80</v>
      </c>
      <c r="BC4" s="46" t="s">
        <v>81</v>
      </c>
      <c r="BD4" s="47" t="s">
        <v>82</v>
      </c>
      <c r="BE4" s="47" t="s">
        <v>83</v>
      </c>
      <c r="BF4" s="45"/>
      <c r="BG4" s="45"/>
      <c r="BH4" s="45"/>
      <c r="BI4" s="40"/>
      <c r="BJ4" s="40"/>
      <c r="BK4" s="40"/>
      <c r="BL4" s="48" t="s">
        <v>99</v>
      </c>
      <c r="BM4" s="1" t="s">
        <v>123</v>
      </c>
      <c r="BN4" s="1" t="s">
        <v>100</v>
      </c>
      <c r="BO4" s="40">
        <f>ROUND((((AW4*AZ4)+(BN4*BM4))/(AW4+BN4)),5)</f>
        <v>41.515</v>
      </c>
      <c r="BP4" s="49">
        <f>ROUND(BN4+AW4,3)</f>
        <v>10</v>
      </c>
      <c r="BQ4" s="50">
        <v>123562</v>
      </c>
    </row>
    <row r="5" s="1" customFormat="1" ht="15.25" spans="1:69">
      <c r="A5" s="10"/>
      <c r="B5" s="11"/>
      <c r="C5" s="11"/>
      <c r="D5" s="12" t="s">
        <v>87</v>
      </c>
      <c r="E5" s="12"/>
      <c r="F5" s="12"/>
      <c r="G5" s="13"/>
      <c r="H5" s="14">
        <f>SUM(H4:H4)</f>
        <v>250</v>
      </c>
      <c r="I5" s="8"/>
      <c r="J5" s="8"/>
      <c r="K5" s="8"/>
      <c r="L5" s="8"/>
      <c r="M5" s="8"/>
      <c r="N5" s="8"/>
      <c r="O5" s="8"/>
      <c r="P5" s="8"/>
      <c r="Q5" s="8"/>
      <c r="R5" s="28">
        <f t="shared" ref="R5:X5" si="0">SUM(R4:R4)</f>
        <v>42.43</v>
      </c>
      <c r="S5" s="14">
        <f t="shared" si="0"/>
        <v>207.57</v>
      </c>
      <c r="T5" s="28"/>
      <c r="U5" s="28"/>
      <c r="V5" s="29">
        <f t="shared" si="0"/>
        <v>18.68</v>
      </c>
      <c r="W5" s="29">
        <f t="shared" si="0"/>
        <v>18.68</v>
      </c>
      <c r="X5" s="29">
        <f t="shared" si="0"/>
        <v>0</v>
      </c>
      <c r="Y5" s="29"/>
      <c r="Z5" s="29"/>
      <c r="AA5" s="29"/>
      <c r="AB5" s="28">
        <f t="shared" ref="AB5:AE5" si="1">SUM(AB4:AB4)</f>
        <v>37.36</v>
      </c>
      <c r="AC5" s="33">
        <f t="shared" si="1"/>
        <v>244.93</v>
      </c>
      <c r="AD5" s="34">
        <f t="shared" si="1"/>
        <v>120</v>
      </c>
      <c r="AE5" s="34">
        <f t="shared" si="1"/>
        <v>0</v>
      </c>
      <c r="AF5" s="33"/>
      <c r="AG5" s="34">
        <f t="shared" ref="AG5:AK5" si="2">SUM(AG4:AG4)</f>
        <v>0</v>
      </c>
      <c r="AH5" s="34">
        <f>IF($P$2=1,(S5/$S$5)*$E$19,AD5/$AD$5*$E$19)</f>
        <v>0</v>
      </c>
      <c r="AI5" s="34">
        <f t="shared" si="2"/>
        <v>207.57</v>
      </c>
      <c r="AJ5" s="34">
        <f t="shared" si="2"/>
        <v>0</v>
      </c>
      <c r="AK5" s="34">
        <f t="shared" si="2"/>
        <v>0</v>
      </c>
      <c r="AL5" s="33"/>
      <c r="AM5" s="33"/>
      <c r="AN5" s="33"/>
      <c r="AO5" s="33"/>
      <c r="AP5" s="33"/>
      <c r="AQ5" s="33"/>
      <c r="AR5" s="33"/>
      <c r="AS5" s="10"/>
      <c r="AT5" s="10"/>
      <c r="AU5" s="41"/>
      <c r="AV5" s="41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41"/>
      <c r="BQ5" s="41"/>
    </row>
    <row r="6" s="1" customFormat="1" ht="15.25" spans="1:69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41"/>
      <c r="BQ6" s="41"/>
    </row>
    <row r="7" s="1" customFormat="1" ht="15.25" spans="1:69">
      <c r="A7" s="10"/>
      <c r="B7" s="10"/>
      <c r="C7" s="10"/>
      <c r="D7" s="10"/>
      <c r="E7" s="10"/>
      <c r="F7" s="10"/>
      <c r="G7" s="15" t="s">
        <v>101</v>
      </c>
      <c r="H7" s="16"/>
      <c r="I7" s="20">
        <f>H5</f>
        <v>250</v>
      </c>
      <c r="J7" s="20"/>
      <c r="K7" s="10"/>
      <c r="L7" s="10"/>
      <c r="M7" s="21" t="s">
        <v>102</v>
      </c>
      <c r="N7" s="22"/>
      <c r="O7" s="22"/>
      <c r="P7" s="23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 t="s">
        <v>103</v>
      </c>
      <c r="BI7" s="60" t="s">
        <v>104</v>
      </c>
      <c r="BJ7" s="10"/>
      <c r="BK7" s="10"/>
      <c r="BL7" s="10"/>
      <c r="BM7" s="10"/>
      <c r="BN7" s="10"/>
      <c r="BO7" s="10"/>
      <c r="BP7" s="41"/>
      <c r="BQ7" s="41"/>
    </row>
    <row r="8" s="1" customFormat="1" ht="15.25" spans="1:69">
      <c r="A8" s="10"/>
      <c r="B8" s="10"/>
      <c r="C8" s="10"/>
      <c r="D8" s="10"/>
      <c r="E8" s="10"/>
      <c r="F8" s="10"/>
      <c r="G8" s="15" t="s">
        <v>105</v>
      </c>
      <c r="H8" s="16"/>
      <c r="I8" s="20">
        <f>R5</f>
        <v>42.43</v>
      </c>
      <c r="J8" s="20"/>
      <c r="K8" s="10"/>
      <c r="L8" s="10"/>
      <c r="M8" s="24">
        <v>1</v>
      </c>
      <c r="N8" s="24" t="s">
        <v>76</v>
      </c>
      <c r="O8" s="24">
        <v>2</v>
      </c>
      <c r="P8" s="24" t="s">
        <v>106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 t="s">
        <v>107</v>
      </c>
      <c r="BI8" s="60" t="s">
        <v>108</v>
      </c>
      <c r="BJ8" s="10"/>
      <c r="BK8" s="10"/>
      <c r="BL8" s="10"/>
      <c r="BM8" s="10"/>
      <c r="BN8" s="10"/>
      <c r="BO8" s="10"/>
      <c r="BP8" s="41"/>
      <c r="BQ8" s="41"/>
    </row>
    <row r="9" s="1" customFormat="1" ht="15.25" spans="1:69">
      <c r="A9" s="10"/>
      <c r="B9" s="10"/>
      <c r="C9" s="10"/>
      <c r="D9" s="10"/>
      <c r="E9" s="10"/>
      <c r="F9" s="10"/>
      <c r="G9" s="15" t="s">
        <v>109</v>
      </c>
      <c r="H9" s="16"/>
      <c r="I9" s="20">
        <f>S5</f>
        <v>207.57</v>
      </c>
      <c r="J9" s="20"/>
      <c r="K9" s="10"/>
      <c r="L9" s="10"/>
      <c r="M9" s="8">
        <v>1</v>
      </c>
      <c r="N9" s="8" t="s">
        <v>76</v>
      </c>
      <c r="O9" s="8">
        <v>2.5</v>
      </c>
      <c r="P9" s="8" t="s">
        <v>110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41"/>
      <c r="BQ9" s="41"/>
    </row>
    <row r="10" s="1" customFormat="1" ht="15.25" spans="1:69">
      <c r="A10" s="10"/>
      <c r="B10" s="10"/>
      <c r="C10" s="10"/>
      <c r="D10" s="10"/>
      <c r="E10" s="10"/>
      <c r="F10" s="10"/>
      <c r="G10" s="15" t="s">
        <v>111</v>
      </c>
      <c r="H10" s="16"/>
      <c r="I10" s="20">
        <f>AB5</f>
        <v>37.36</v>
      </c>
      <c r="J10" s="20"/>
      <c r="K10" s="10"/>
      <c r="L10" s="10"/>
      <c r="M10" s="8">
        <v>1</v>
      </c>
      <c r="N10" s="8" t="s">
        <v>106</v>
      </c>
      <c r="O10" s="8">
        <v>0.001</v>
      </c>
      <c r="P10" s="8" t="s">
        <v>112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41"/>
      <c r="BQ10" s="41"/>
    </row>
    <row r="11" s="1" customFormat="1" ht="15.25" spans="1:69">
      <c r="A11" s="10"/>
      <c r="B11" s="10"/>
      <c r="C11" s="10"/>
      <c r="D11" s="10"/>
      <c r="E11" s="10"/>
      <c r="F11" s="10"/>
      <c r="G11" s="15" t="s">
        <v>113</v>
      </c>
      <c r="H11" s="16"/>
      <c r="I11" s="25">
        <f>I9+I10</f>
        <v>244.93</v>
      </c>
      <c r="J11" s="2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41"/>
      <c r="BQ11" s="41"/>
    </row>
    <row r="12" s="1" customFormat="1" spans="1:6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 t="s">
        <v>114</v>
      </c>
      <c r="BN12" s="10" t="s">
        <v>115</v>
      </c>
      <c r="BO12" s="10"/>
      <c r="BP12" s="41"/>
      <c r="BQ12" s="41"/>
    </row>
    <row r="13" s="1" customFormat="1" spans="1:6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 t="s">
        <v>116</v>
      </c>
      <c r="BL13" s="10">
        <v>12.5</v>
      </c>
      <c r="BM13" s="10">
        <f>BL15*BL16</f>
        <v>18277.77</v>
      </c>
      <c r="BN13" s="10">
        <f>BL13*BL14</f>
        <v>6092.59</v>
      </c>
      <c r="BO13" s="10"/>
      <c r="BP13" s="41"/>
      <c r="BQ13" s="41"/>
    </row>
    <row r="14" s="1" customFormat="1" spans="1:6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 t="s">
        <v>117</v>
      </c>
      <c r="BL14" s="10">
        <v>487.4072</v>
      </c>
      <c r="BM14" s="10">
        <f>BL13+BL15</f>
        <v>50</v>
      </c>
      <c r="BN14" s="10"/>
      <c r="BO14" s="10"/>
      <c r="BP14" s="41"/>
      <c r="BQ14" s="41"/>
    </row>
    <row r="15" s="1" customFormat="1" spans="1:6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 t="s">
        <v>118</v>
      </c>
      <c r="BL15" s="10">
        <v>37.5</v>
      </c>
      <c r="BM15" s="10"/>
      <c r="BN15" s="10"/>
      <c r="BO15" s="10"/>
      <c r="BP15" s="41"/>
      <c r="BQ15" s="41"/>
    </row>
    <row r="16" s="1" customFormat="1" spans="1:6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 t="s">
        <v>119</v>
      </c>
      <c r="BL16" s="10">
        <v>487.4072</v>
      </c>
      <c r="BM16" s="10"/>
      <c r="BN16" s="10"/>
      <c r="BO16" s="10"/>
      <c r="BP16" s="41"/>
      <c r="BQ16" s="41"/>
    </row>
    <row r="17" s="1" customFormat="1" spans="1:6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>
        <f>BM13+BN13</f>
        <v>24370.36</v>
      </c>
      <c r="BN17" s="10">
        <f>BM17/BM14</f>
        <v>487.4072</v>
      </c>
      <c r="BO17" s="10"/>
      <c r="BP17" s="41"/>
      <c r="BQ17" s="41"/>
    </row>
    <row r="18" s="1" customFormat="1" spans="1:6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41"/>
      <c r="BQ18" s="41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ImportPoToGRNUDGeneralSameUOM</vt:lpstr>
      <vt:lpstr>ImportPoToGRNUDServiceSameUOM</vt:lpstr>
      <vt:lpstr>ImportPoToGRNRCGeneralSameUOM</vt:lpstr>
      <vt:lpstr>ImportPoToGRNRCServiceSameUOM</vt:lpstr>
      <vt:lpstr>ImportPoToGRNPLGeneralSameUOM</vt:lpstr>
      <vt:lpstr>ImportPoToGRNPLServiceSameUOM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Sakthi R</cp:lastModifiedBy>
  <dcterms:created xsi:type="dcterms:W3CDTF">2025-12-11T07:40:37Z</dcterms:created>
  <dcterms:modified xsi:type="dcterms:W3CDTF">2025-12-11T07:53:22Z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AD927DD7930445B59CDAC974C26C878B_13</vt:lpwstr>
  </property>
  <property fmtid="{D5CDD505-2E9C-101B-9397-08002B2CF9AE}" pid="3" name="KSOProductBuildVer">
    <vt:lpwstr>1033-12.2.0.23155</vt:lpwstr>
  </property>
</Properties>
</file>