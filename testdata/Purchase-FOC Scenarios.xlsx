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9" activeTab="10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  <sheet name="DomesticPRPoFOCUDGeneralSameUOM" sheetId="24" r:id="rId7"/>
    <sheet name="ImportPRPoFOCUDGeneralSameUOM" sheetId="27" r:id="rId8"/>
    <sheet name="DomesticPRPoFOCUDGeneralDiffUOM" sheetId="26" r:id="rId9"/>
    <sheet name="ImportPRPoFOCUDGeneralDiffUOM" sheetId="28" r:id="rId10"/>
    <sheet name="DomesticPRPoFOCUDServiceSameUOM" sheetId="25" r:id="rId11"/>
    <sheet name="ImportPRPoFOCUDServiceSameUOM" sheetId="29" r:id="rId12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" i="29" l="1"/>
  <c r="AG10" i="29"/>
  <c r="AF10" i="29"/>
  <c r="AE10" i="29"/>
  <c r="AD10" i="29"/>
  <c r="AB10" i="29"/>
  <c r="AA10" i="29"/>
  <c r="Z10" i="29"/>
  <c r="Y10" i="29"/>
  <c r="X10" i="29"/>
  <c r="W10" i="29"/>
  <c r="V10" i="29"/>
  <c r="S10" i="29"/>
  <c r="R10" i="29"/>
  <c r="H10" i="29"/>
  <c r="AO9" i="29"/>
  <c r="AM9" i="29"/>
  <c r="AL9" i="29"/>
  <c r="AK9" i="29"/>
  <c r="AJ9" i="29"/>
  <c r="AH9" i="29"/>
  <c r="AG9" i="29"/>
  <c r="AF9" i="29"/>
  <c r="AE9" i="29"/>
  <c r="AD9" i="29"/>
  <c r="AB9" i="29"/>
  <c r="Z9" i="29"/>
  <c r="Y9" i="29"/>
  <c r="X9" i="29"/>
  <c r="W9" i="29"/>
  <c r="V9" i="29"/>
  <c r="S9" i="29"/>
  <c r="R9" i="29"/>
  <c r="Q9" i="29"/>
  <c r="P9" i="29"/>
  <c r="O9" i="29"/>
  <c r="N9" i="29"/>
  <c r="M9" i="29"/>
  <c r="L9" i="29"/>
  <c r="H9" i="29"/>
  <c r="H5" i="29"/>
  <c r="H4" i="29"/>
  <c r="AF10" i="25"/>
  <c r="AE10" i="25"/>
  <c r="AD10" i="25"/>
  <c r="AB10" i="25"/>
  <c r="AA10" i="25"/>
  <c r="S10" i="25"/>
  <c r="R10" i="25"/>
  <c r="H10" i="25"/>
  <c r="AK9" i="25"/>
  <c r="AJ9" i="25"/>
  <c r="AH9" i="25"/>
  <c r="AH10" i="25" s="1"/>
  <c r="AG9" i="25"/>
  <c r="AG10" i="25" s="1"/>
  <c r="AF9" i="25"/>
  <c r="AE9" i="25"/>
  <c r="AD9" i="25"/>
  <c r="AB9" i="25"/>
  <c r="X9" i="25"/>
  <c r="X10" i="25" s="1"/>
  <c r="W9" i="25"/>
  <c r="W10" i="25" s="1"/>
  <c r="V9" i="25"/>
  <c r="V10" i="25" s="1"/>
  <c r="S9" i="25"/>
  <c r="R9" i="25"/>
  <c r="Q9" i="25"/>
  <c r="P9" i="25"/>
  <c r="O9" i="25"/>
  <c r="N9" i="25"/>
  <c r="M9" i="25"/>
  <c r="L9" i="25"/>
  <c r="H9" i="25"/>
  <c r="H5" i="25"/>
  <c r="H4" i="25"/>
  <c r="AH10" i="28"/>
  <c r="AG10" i="28"/>
  <c r="AF10" i="28"/>
  <c r="AE10" i="28"/>
  <c r="AD10" i="28"/>
  <c r="AB10" i="28"/>
  <c r="AA10" i="28"/>
  <c r="Z10" i="28"/>
  <c r="Y10" i="28"/>
  <c r="X10" i="28"/>
  <c r="W10" i="28"/>
  <c r="V10" i="28"/>
  <c r="S10" i="28"/>
  <c r="R10" i="28"/>
  <c r="H10" i="28"/>
  <c r="AO9" i="28"/>
  <c r="AM9" i="28"/>
  <c r="AL9" i="28"/>
  <c r="AK9" i="28"/>
  <c r="AJ9" i="28"/>
  <c r="AH9" i="28"/>
  <c r="AG9" i="28"/>
  <c r="AF9" i="28"/>
  <c r="AE9" i="28"/>
  <c r="AD9" i="28"/>
  <c r="AB9" i="28"/>
  <c r="Z9" i="28"/>
  <c r="Y9" i="28"/>
  <c r="X9" i="28"/>
  <c r="W9" i="28"/>
  <c r="V9" i="28"/>
  <c r="S9" i="28"/>
  <c r="R9" i="28"/>
  <c r="Q9" i="28"/>
  <c r="P9" i="28"/>
  <c r="O9" i="28"/>
  <c r="N9" i="28"/>
  <c r="M9" i="28"/>
  <c r="L9" i="28"/>
  <c r="H9" i="28"/>
  <c r="H5" i="28"/>
  <c r="H4" i="28"/>
  <c r="AH10" i="26"/>
  <c r="AG10" i="26"/>
  <c r="AF10" i="26"/>
  <c r="AE10" i="26"/>
  <c r="AD10" i="26"/>
  <c r="AB10" i="26"/>
  <c r="AA10" i="26"/>
  <c r="S10" i="26"/>
  <c r="R10" i="26"/>
  <c r="H10" i="26"/>
  <c r="AO9" i="26"/>
  <c r="AM9" i="26"/>
  <c r="AL9" i="26"/>
  <c r="AK9" i="26"/>
  <c r="AJ9" i="26"/>
  <c r="AH9" i="26"/>
  <c r="AG9" i="26"/>
  <c r="AF9" i="26"/>
  <c r="AE9" i="26"/>
  <c r="AD9" i="26"/>
  <c r="AB9" i="26"/>
  <c r="X9" i="26"/>
  <c r="X10" i="26" s="1"/>
  <c r="W9" i="26"/>
  <c r="W10" i="26" s="1"/>
  <c r="V9" i="26"/>
  <c r="V10" i="26" s="1"/>
  <c r="S9" i="26"/>
  <c r="R9" i="26"/>
  <c r="Q9" i="26"/>
  <c r="P9" i="26"/>
  <c r="O9" i="26"/>
  <c r="N9" i="26"/>
  <c r="M9" i="26"/>
  <c r="L9" i="26"/>
  <c r="H9" i="26"/>
  <c r="H5" i="26"/>
  <c r="H4" i="26"/>
  <c r="AF10" i="27"/>
  <c r="AE10" i="27"/>
  <c r="AD10" i="27"/>
  <c r="AB10" i="27"/>
  <c r="AA10" i="27"/>
  <c r="W10" i="27"/>
  <c r="S10" i="27"/>
  <c r="R10" i="27"/>
  <c r="H10" i="27"/>
  <c r="AK9" i="27"/>
  <c r="AJ9" i="27"/>
  <c r="AH9" i="27"/>
  <c r="AH10" i="27" s="1"/>
  <c r="AG9" i="27"/>
  <c r="AG10" i="27" s="1"/>
  <c r="AF9" i="27"/>
  <c r="AE9" i="27"/>
  <c r="AD9" i="27"/>
  <c r="AB9" i="27"/>
  <c r="X9" i="27"/>
  <c r="X10" i="27" s="1"/>
  <c r="W9" i="27"/>
  <c r="V9" i="27"/>
  <c r="V10" i="27" s="1"/>
  <c r="S9" i="27"/>
  <c r="R9" i="27"/>
  <c r="Q9" i="27"/>
  <c r="P9" i="27"/>
  <c r="O9" i="27"/>
  <c r="N9" i="27"/>
  <c r="M9" i="27"/>
  <c r="L9" i="27"/>
  <c r="H9" i="27"/>
  <c r="H5" i="27"/>
  <c r="H4" i="27"/>
  <c r="AH10" i="24"/>
  <c r="AG10" i="24"/>
  <c r="AF10" i="24"/>
  <c r="AE10" i="24"/>
  <c r="AD10" i="24"/>
  <c r="AB10" i="24"/>
  <c r="AA10" i="24"/>
  <c r="V10" i="24"/>
  <c r="S10" i="24"/>
  <c r="R10" i="24"/>
  <c r="H10" i="24"/>
  <c r="AO9" i="24"/>
  <c r="AM9" i="24"/>
  <c r="AL9" i="24"/>
  <c r="AK9" i="24"/>
  <c r="AJ9" i="24"/>
  <c r="AH9" i="24"/>
  <c r="AG9" i="24"/>
  <c r="AF9" i="24"/>
  <c r="AE9" i="24"/>
  <c r="AD9" i="24"/>
  <c r="AB9" i="24"/>
  <c r="Y9" i="24"/>
  <c r="Y10" i="24" s="1"/>
  <c r="X9" i="24"/>
  <c r="X10" i="24" s="1"/>
  <c r="W9" i="24"/>
  <c r="W10" i="24" s="1"/>
  <c r="V9" i="24"/>
  <c r="S9" i="24"/>
  <c r="R9" i="24"/>
  <c r="Q9" i="24"/>
  <c r="P9" i="24"/>
  <c r="O9" i="24"/>
  <c r="N9" i="24"/>
  <c r="M9" i="24"/>
  <c r="L9" i="24"/>
  <c r="H9" i="24"/>
  <c r="H5" i="24"/>
  <c r="H4" i="24"/>
  <c r="AK5" i="13"/>
  <c r="AJ5" i="13"/>
  <c r="AI5" i="13"/>
  <c r="AH5" i="13"/>
  <c r="AG5" i="13"/>
  <c r="AE5" i="13"/>
  <c r="AD5" i="13"/>
  <c r="AC5" i="13"/>
  <c r="AB5" i="13"/>
  <c r="X5" i="13"/>
  <c r="W5" i="13"/>
  <c r="V5" i="13"/>
  <c r="S5" i="13"/>
  <c r="R5" i="13"/>
  <c r="H5" i="13"/>
  <c r="BP4" i="13"/>
  <c r="BO4" i="13"/>
  <c r="AZ4" i="13"/>
  <c r="AY4" i="13"/>
  <c r="AX4" i="13"/>
  <c r="AW4" i="13"/>
  <c r="AR4" i="13"/>
  <c r="AP4" i="13"/>
  <c r="AO4" i="13"/>
  <c r="AN4" i="13"/>
  <c r="AM4" i="13"/>
  <c r="AK4" i="13"/>
  <c r="AJ4" i="13"/>
  <c r="AI4" i="13"/>
  <c r="AH4" i="13"/>
  <c r="AG4" i="13"/>
  <c r="AE4" i="13"/>
  <c r="AC4" i="13"/>
  <c r="AB4" i="13"/>
  <c r="AA4" i="13"/>
  <c r="Y4" i="13"/>
  <c r="X4" i="13"/>
  <c r="W4" i="13"/>
  <c r="V4" i="13"/>
  <c r="S4" i="13"/>
  <c r="R4" i="13"/>
  <c r="Q4" i="13"/>
  <c r="P4" i="13"/>
  <c r="O4" i="13"/>
  <c r="N4" i="13"/>
  <c r="M4" i="13"/>
  <c r="L4" i="13"/>
  <c r="H4" i="13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21"/>
  <c r="AJ5" i="21"/>
  <c r="AI5" i="21"/>
  <c r="AH5" i="21"/>
  <c r="AG5" i="21"/>
  <c r="AE5" i="21"/>
  <c r="AD5" i="21"/>
  <c r="AC5" i="21"/>
  <c r="AB5" i="21"/>
  <c r="X5" i="21"/>
  <c r="W5" i="21"/>
  <c r="V5" i="21"/>
  <c r="S5" i="21"/>
  <c r="R5" i="21"/>
  <c r="H5" i="21"/>
  <c r="BP4" i="21"/>
  <c r="BO4" i="21"/>
  <c r="AZ4" i="21"/>
  <c r="AY4" i="21"/>
  <c r="AX4" i="21"/>
  <c r="AW4" i="21"/>
  <c r="AR4" i="21"/>
  <c r="AP4" i="21"/>
  <c r="AO4" i="21"/>
  <c r="AN4" i="21"/>
  <c r="AM4" i="21"/>
  <c r="AK4" i="21"/>
  <c r="AJ4" i="21"/>
  <c r="AI4" i="21"/>
  <c r="AH4" i="21"/>
  <c r="AG4" i="21"/>
  <c r="AE4" i="21"/>
  <c r="AC4" i="21"/>
  <c r="AB4" i="21"/>
  <c r="Y4" i="21"/>
  <c r="X4" i="21"/>
  <c r="W4" i="21"/>
  <c r="V4" i="21"/>
  <c r="S4" i="21"/>
  <c r="R4" i="21"/>
  <c r="Q4" i="21"/>
  <c r="P4" i="21"/>
  <c r="O4" i="21"/>
  <c r="N4" i="21"/>
  <c r="M4" i="21"/>
  <c r="L4" i="21"/>
  <c r="H4" i="21"/>
  <c r="AK5" i="23"/>
  <c r="AJ5" i="23"/>
  <c r="AI5" i="23"/>
  <c r="AH5" i="23"/>
  <c r="AG5" i="23"/>
  <c r="AE5" i="23"/>
  <c r="AD5" i="23"/>
  <c r="AC5" i="23"/>
  <c r="AB5" i="23"/>
  <c r="X5" i="23"/>
  <c r="W5" i="23"/>
  <c r="V5" i="23"/>
  <c r="S5" i="23"/>
  <c r="R5" i="23"/>
  <c r="H5" i="23"/>
  <c r="BP4" i="23"/>
  <c r="BO4" i="23"/>
  <c r="AZ4" i="23"/>
  <c r="AY4" i="23"/>
  <c r="AX4" i="23"/>
  <c r="AW4" i="23"/>
  <c r="AR4" i="23"/>
  <c r="AP4" i="23"/>
  <c r="AO4" i="23"/>
  <c r="AN4" i="23"/>
  <c r="AM4" i="23"/>
  <c r="AK4" i="23"/>
  <c r="AJ4" i="23"/>
  <c r="AI4" i="23"/>
  <c r="AH4" i="23"/>
  <c r="AG4" i="23"/>
  <c r="AE4" i="23"/>
  <c r="AC4" i="23"/>
  <c r="AB4" i="23"/>
  <c r="AA4" i="23"/>
  <c r="Y4" i="23"/>
  <c r="X4" i="23"/>
  <c r="W4" i="23"/>
  <c r="V4" i="23"/>
  <c r="S4" i="23"/>
  <c r="R4" i="23"/>
  <c r="Q4" i="23"/>
  <c r="P4" i="23"/>
  <c r="O4" i="23"/>
  <c r="N4" i="23"/>
  <c r="M4" i="23"/>
  <c r="L4" i="23"/>
  <c r="H4" i="23"/>
  <c r="AK5" i="22"/>
  <c r="AJ5" i="22"/>
  <c r="AI5" i="22"/>
  <c r="AH5" i="22"/>
  <c r="AG5" i="22"/>
  <c r="AE5" i="22"/>
  <c r="AD5" i="22"/>
  <c r="AC5" i="22"/>
  <c r="AB5" i="22"/>
  <c r="X5" i="22"/>
  <c r="W5" i="22"/>
  <c r="V5" i="22"/>
  <c r="S5" i="22"/>
  <c r="R5" i="22"/>
  <c r="H5" i="22"/>
  <c r="BP4" i="22"/>
  <c r="BO4" i="22"/>
  <c r="AZ4" i="22"/>
  <c r="AY4" i="22"/>
  <c r="AX4" i="22"/>
  <c r="AW4" i="22"/>
  <c r="AR4" i="22"/>
  <c r="AP4" i="22"/>
  <c r="AO4" i="22"/>
  <c r="AN4" i="22"/>
  <c r="AM4" i="22"/>
  <c r="AK4" i="22"/>
  <c r="AJ4" i="22"/>
  <c r="AI4" i="22"/>
  <c r="AH4" i="22"/>
  <c r="AG4" i="22"/>
  <c r="AE4" i="22"/>
  <c r="AC4" i="22"/>
  <c r="AB4" i="22"/>
  <c r="AA4" i="22"/>
  <c r="Y4" i="22"/>
  <c r="X4" i="22"/>
  <c r="W4" i="22"/>
  <c r="V4" i="22"/>
  <c r="S4" i="22"/>
  <c r="R4" i="22"/>
  <c r="Q4" i="22"/>
  <c r="P4" i="22"/>
  <c r="O4" i="22"/>
  <c r="N4" i="22"/>
  <c r="M4" i="22"/>
  <c r="L4" i="22"/>
  <c r="H4" i="22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Y9" i="26" l="1"/>
  <c r="Z9" i="24"/>
  <c r="Z10" i="24" s="1"/>
  <c r="AL9" i="27"/>
  <c r="AM9" i="27"/>
  <c r="Y9" i="27"/>
  <c r="AL9" i="25"/>
  <c r="AM9" i="25"/>
  <c r="Y9" i="25"/>
  <c r="Z9" i="26" l="1"/>
  <c r="Z10" i="26" s="1"/>
  <c r="Y10" i="26"/>
  <c r="Y10" i="27"/>
  <c r="Z9" i="27"/>
  <c r="Z10" i="27" s="1"/>
  <c r="AO9" i="27"/>
  <c r="AO9" i="25"/>
  <c r="Z9" i="25"/>
  <c r="Z10" i="25" s="1"/>
  <c r="Y10" i="25"/>
</calcChain>
</file>

<file path=xl/sharedStrings.xml><?xml version="1.0" encoding="utf-8"?>
<sst xmlns="http://schemas.openxmlformats.org/spreadsheetml/2006/main" count="998" uniqueCount="111">
  <si>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</si>
  <si>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</si>
  <si>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</si>
  <si>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</si>
  <si>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</si>
  <si>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</si>
  <si>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</si>
  <si>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</si>
  <si>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</si>
  <si>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</si>
  <si>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</si>
  <si>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</si>
  <si>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</si>
  <si>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</si>
  <si>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</si>
  <si>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</si>
  <si>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</si>
  <si>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</si>
  <si>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</si>
  <si>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</si>
  <si>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</si>
  <si>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</si>
  <si>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</si>
  <si>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</si>
  <si>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</si>
  <si>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</si>
  <si>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</si>
  <si>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</si>
  <si>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</si>
  <si>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</si>
  <si>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</si>
  <si>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</si>
  <si>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</si>
  <si>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</si>
  <si>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</si>
  <si>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</si>
  <si>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</si>
  <si>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</si>
  <si>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</si>
  <si>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</si>
  <si>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</si>
  <si>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</si>
  <si>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</si>
  <si>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</si>
  <si>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</si>
  <si>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</si>
  <si>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</si>
  <si>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</si>
  <si>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</si>
  <si>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</si>
  <si>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</si>
  <si>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</si>
  <si>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</si>
  <si>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</si>
  <si>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</si>
  <si>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</si>
  <si>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</si>
  <si>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</si>
  <si>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</si>
  <si>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</si>
  <si>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</si>
  <si>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</si>
  <si>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</si>
  <si>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</si>
  <si>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</si>
  <si>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</si>
  <si>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</si>
  <si>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</si>
  <si>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</si>
  <si>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</si>
  <si>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</si>
  <si>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</si>
  <si>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</si>
  <si>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</si>
  <si>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</si>
  <si>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</si>
  <si>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</si>
  <si>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</si>
  <si>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</si>
  <si>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</si>
  <si>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</si>
  <si>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</si>
  <si>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</si>
  <si>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</si>
  <si>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</si>
  <si>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</si>
  <si>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</si>
  <si>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</si>
  <si>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</si>
  <si>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</si>
  <si>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</si>
  <si>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</si>
  <si>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</si>
  <si>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</si>
  <si>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</si>
  <si>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</si>
  <si>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</si>
  <si>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</si>
  <si>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</si>
  <si>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</si>
  <si>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</si>
  <si>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</si>
  <si>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</si>
  <si>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</si>
  <si>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</si>
  <si>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</si>
  <si>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</si>
  <si>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</si>
  <si>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(1 - Local Purchase,2 Interstate Purchase, 3 Import Purchase)</t>
  </si>
  <si>
    <t>HSN1</t>
  </si>
  <si>
    <t>GWL_ITEM_DISSIMILAR_UOM_DESC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</si>
</sst>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_);[Red]\(0.00\)"/>
  </numFmts>
  <fonts count="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0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0702230903046"/>
        <bgColor indexed="64"/>
      </patternFill>
    </fill>
  </fills>
  <borders count="1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9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0" fillId="0" borderId="5" xfId="0" applyFont="1" applyFill="1" applyBorder="1" applyAlignment="1">
      <alignment vertical="center"/>
    </xf>
    <xf numFmtId="164" fontId="3" fillId="0" borderId="4" xfId="0" applyNumberFormat="1" applyFont="1" applyBorder="1"/>
    <xf numFmtId="2" fontId="3" fillId="0" borderId="4" xfId="0" applyNumberFormat="1" applyFont="1" applyBorder="1"/>
    <xf numFmtId="0" fontId="3" fillId="0" borderId="4" xfId="0" applyNumberFormat="1" applyFont="1" applyBorder="1"/>
    <xf numFmtId="0" fontId="3" fillId="0" borderId="0" xfId="0" applyFont="1"/>
    <xf numFmtId="0" fontId="2" fillId="3" borderId="4" xfId="0" applyNumberFormat="1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 wrapText="1"/>
    </xf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2" fillId="4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3" borderId="4" xfId="0" applyFont="1" applyFill="1" applyBorder="1"/>
    <xf numFmtId="2" fontId="2" fillId="3" borderId="4" xfId="0" applyNumberFormat="1" applyFont="1" applyFill="1" applyBorder="1"/>
    <xf numFmtId="0" fontId="2" fillId="7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7" borderId="4" xfId="0" applyFont="1" applyFill="1" applyBorder="1"/>
    <xf numFmtId="2" fontId="2" fillId="7" borderId="4" xfId="0" applyNumberFormat="1" applyFont="1" applyFill="1" applyBorder="1"/>
    <xf numFmtId="0" fontId="2" fillId="8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1">
      <alignment vertical="center"/>
    </xf>
    <xf numFmtId="0" fontId="2" fillId="0" borderId="0" xfId="1" applyFont="1" applyFill="1" applyBorder="1" applyAlignment="1"/>
    <xf numFmtId="0" fontId="2" fillId="0" borderId="0" xfId="1" applyFont="1" applyFill="1" applyBorder="1" applyAlignment="1">
      <alignment horizontal="center"/>
    </xf>
    <xf numFmtId="0" fontId="2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2" fillId="2" borderId="4" xfId="1" applyFont="1" applyFill="1" applyBorder="1" applyAlignment="1">
      <alignment horizontal="center" vertical="center"/>
    </xf>
    <xf numFmtId="0" fontId="3" fillId="0" borderId="4" xfId="1" applyFont="1" applyFill="1" applyBorder="1" applyAlignment="1"/>
    <xf numFmtId="0" fontId="3" fillId="0" borderId="4" xfId="1" applyNumberFormat="1" applyFont="1" applyFill="1" applyBorder="1" applyAlignment="1"/>
    <xf numFmtId="0" fontId="6" fillId="0" borderId="0" xfId="1" applyFill="1" applyAlignment="1">
      <alignment vertical="center"/>
    </xf>
    <xf numFmtId="0" fontId="3" fillId="0" borderId="0" xfId="1" applyFont="1" applyFill="1" applyAlignment="1"/>
    <xf numFmtId="0" fontId="6" fillId="0" borderId="0" xfId="1" applyFill="1" applyBorder="1" applyAlignment="1"/>
    <xf numFmtId="0" fontId="2" fillId="3" borderId="8" xfId="1" applyFont="1" applyFill="1" applyBorder="1" applyAlignment="1"/>
    <xf numFmtId="0" fontId="2" fillId="3" borderId="9" xfId="1" applyFont="1" applyFill="1" applyBorder="1" applyAlignment="1"/>
    <xf numFmtId="0" fontId="2" fillId="3" borderId="4" xfId="1" applyNumberFormat="1" applyFont="1" applyFill="1" applyBorder="1" applyAlignment="1"/>
    <xf numFmtId="0" fontId="3" fillId="0" borderId="0" xfId="1" applyFont="1" applyFill="1" applyBorder="1" applyAlignment="1"/>
    <xf numFmtId="0" fontId="2" fillId="4" borderId="4" xfId="1" applyFont="1" applyFill="1" applyBorder="1" applyAlignment="1">
      <alignment horizontal="center" vertical="center"/>
    </xf>
    <xf numFmtId="0" fontId="2" fillId="9" borderId="4" xfId="1" applyFont="1" applyFill="1" applyBorder="1" applyAlignment="1">
      <alignment horizontal="center" vertical="center"/>
    </xf>
    <xf numFmtId="0" fontId="2" fillId="6" borderId="4" xfId="1" applyFont="1" applyFill="1" applyBorder="1" applyAlignment="1">
      <alignment horizontal="center" vertical="center"/>
    </xf>
    <xf numFmtId="2" fontId="3" fillId="0" borderId="4" xfId="1" applyNumberFormat="1" applyFont="1" applyFill="1" applyBorder="1" applyAlignment="1"/>
    <xf numFmtId="0" fontId="2" fillId="3" borderId="4" xfId="1" applyFont="1" applyFill="1" applyBorder="1" applyAlignment="1"/>
    <xf numFmtId="2" fontId="2" fillId="3" borderId="4" xfId="1" applyNumberFormat="1" applyFont="1" applyFill="1" applyBorder="1" applyAlignment="1"/>
    <xf numFmtId="0" fontId="2" fillId="6" borderId="7" xfId="1" applyFont="1" applyFill="1" applyBorder="1" applyAlignment="1">
      <alignment horizontal="center" vertical="center"/>
    </xf>
    <xf numFmtId="0" fontId="2" fillId="7" borderId="4" xfId="1" applyFont="1" applyFill="1" applyBorder="1" applyAlignment="1">
      <alignment horizontal="center" vertical="center"/>
    </xf>
    <xf numFmtId="165" fontId="3" fillId="0" borderId="4" xfId="1" applyNumberFormat="1" applyFont="1" applyFill="1" applyBorder="1" applyAlignment="1"/>
    <xf numFmtId="0" fontId="2" fillId="7" borderId="4" xfId="1" applyFont="1" applyFill="1" applyBorder="1" applyAlignment="1"/>
    <xf numFmtId="2" fontId="2" fillId="7" borderId="4" xfId="1" applyNumberFormat="1" applyFont="1" applyFill="1" applyBorder="1" applyAlignment="1"/>
    <xf numFmtId="164" fontId="3" fillId="0" borderId="4" xfId="1" applyNumberFormat="1" applyFont="1" applyFill="1" applyBorder="1" applyAlignment="1"/>
    <xf numFmtId="0" fontId="2" fillId="8" borderId="4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5" fillId="10" borderId="10" xfId="1" applyFont="1" applyFill="1" applyBorder="1" applyAlignment="1">
      <alignment vertical="center"/>
    </xf>
    <xf numFmtId="0" fontId="3" fillId="0" borderId="11" xfId="1" applyNumberFormat="1" applyFont="1" applyFill="1" applyBorder="1" applyAlignment="1"/>
    <xf numFmtId="0" fontId="6" fillId="0" borderId="0" xfId="1" applyFill="1" applyAlignment="1"/>
    <xf numFmtId="0" fontId="3" fillId="2" borderId="12" xfId="1" applyFont="1" applyFill="1" applyBorder="1" applyAlignment="1"/>
    <xf numFmtId="2" fontId="3" fillId="0" borderId="11" xfId="1" applyNumberFormat="1" applyFont="1" applyFill="1" applyBorder="1" applyAlignment="1"/>
    <xf numFmtId="0" fontId="6" fillId="0" borderId="11" xfId="1" applyNumberFormat="1" applyFill="1" applyBorder="1" applyAlignment="1"/>
    <xf numFmtId="0" fontId="6" fillId="0" borderId="5" xfId="1" applyNumberFormat="1" applyFill="1" applyBorder="1" applyAlignment="1"/>
    <xf numFmtId="0" fontId="0" fillId="0" borderId="5" xfId="1" applyNumberFormat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6" fillId="0" borderId="0" xfId="1" applyNumberFormat="1" applyFill="1" applyAlignment="1"/>
    <xf numFmtId="0" fontId="6" fillId="0" borderId="0" xfId="1" applyNumberFormat="1" applyFill="1" applyAlignment="1">
      <alignment horizontal="center"/>
    </xf>
    <xf numFmtId="0" fontId="2" fillId="2" borderId="7" xfId="1" applyFont="1" applyFill="1" applyBorder="1" applyAlignment="1">
      <alignment horizontal="center" vertical="center"/>
    </xf>
    <xf numFmtId="0" fontId="2" fillId="2" borderId="7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center" vertical="center" wrapText="1"/>
    </xf>
    <xf numFmtId="0" fontId="2" fillId="4" borderId="7" xfId="1" applyFont="1" applyFill="1" applyBorder="1" applyAlignment="1">
      <alignment horizontal="center" vertical="center"/>
    </xf>
    <xf numFmtId="0" fontId="2" fillId="11" borderId="7" xfId="1" applyFont="1" applyFill="1" applyBorder="1" applyAlignment="1">
      <alignment horizontal="center" vertical="center"/>
    </xf>
    <xf numFmtId="0" fontId="2" fillId="7" borderId="7" xfId="1" applyFont="1" applyFill="1" applyBorder="1" applyAlignment="1">
      <alignment horizontal="center" vertical="center"/>
    </xf>
    <xf numFmtId="0" fontId="2" fillId="7" borderId="7" xfId="1" applyFont="1" applyFill="1" applyBorder="1" applyAlignment="1">
      <alignment horizontal="center" vertical="center" wrapText="1"/>
    </xf>
    <xf numFmtId="0" fontId="2" fillId="8" borderId="7" xfId="1" applyFont="1" applyFill="1" applyBorder="1" applyAlignment="1">
      <alignment horizontal="center" vertical="center"/>
    </xf>
    <xf numFmtId="0" fontId="6" fillId="0" borderId="5" xfId="1" applyFill="1" applyBorder="1" applyAlignment="1">
      <alignment vertical="center"/>
    </xf>
    <xf numFmtId="0" fontId="3" fillId="0" borderId="0" xfId="1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3" borderId="6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Z4" sqref="Z4"/>
    </sheetView>
  </sheetViews>
  <sheetFormatPr defaultColWidth="9.85546875" defaultRowHeight="15"/>
  <cols>
    <col min="1" max="1" width="9.85546875" style="35"/>
    <col min="2" max="2" width="25.5703125" style="35" customWidth="1"/>
    <col min="3" max="3" width="26" style="35" customWidth="1"/>
    <col min="4" max="19" width="9.85546875" style="35"/>
    <col min="20" max="20" width="10.140625" style="35" customWidth="1"/>
    <col min="21" max="16384" width="9.855468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44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</row>
    <row r="2" spans="1:69">
      <c r="A2" s="85" t="s">
        <v>1</v>
      </c>
      <c r="B2" s="85"/>
      <c r="C2" s="38">
        <v>2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1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44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</row>
    <row r="3" spans="1:69" ht="60">
      <c r="A3" s="76" t="s">
        <v>9</v>
      </c>
      <c r="B3" s="76" t="s">
        <v>10</v>
      </c>
      <c r="C3" s="77" t="s">
        <v>11</v>
      </c>
      <c r="D3" s="76" t="s">
        <v>12</v>
      </c>
      <c r="E3" s="76" t="s">
        <v>13</v>
      </c>
      <c r="F3" s="78" t="s">
        <v>14</v>
      </c>
      <c r="G3" s="76" t="s">
        <v>15</v>
      </c>
      <c r="H3" s="76" t="s">
        <v>16</v>
      </c>
      <c r="I3" s="79" t="s">
        <v>17</v>
      </c>
      <c r="J3" s="79" t="s">
        <v>18</v>
      </c>
      <c r="K3" s="79" t="s">
        <v>19</v>
      </c>
      <c r="L3" s="80" t="s">
        <v>20</v>
      </c>
      <c r="M3" s="80" t="s">
        <v>21</v>
      </c>
      <c r="N3" s="80" t="s">
        <v>22</v>
      </c>
      <c r="O3" s="80" t="s">
        <v>23</v>
      </c>
      <c r="P3" s="80" t="s">
        <v>24</v>
      </c>
      <c r="Q3" s="80" t="s">
        <v>25</v>
      </c>
      <c r="R3" s="79" t="s">
        <v>26</v>
      </c>
      <c r="S3" s="76" t="s">
        <v>27</v>
      </c>
      <c r="T3" s="76" t="s">
        <v>28</v>
      </c>
      <c r="U3" s="56" t="s">
        <v>29</v>
      </c>
      <c r="V3" s="56" t="s">
        <v>30</v>
      </c>
      <c r="W3" s="56" t="s">
        <v>31</v>
      </c>
      <c r="X3" s="56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81" t="s">
        <v>37</v>
      </c>
      <c r="AD3" s="81" t="s">
        <v>38</v>
      </c>
      <c r="AE3" s="82" t="s">
        <v>39</v>
      </c>
      <c r="AF3" s="82" t="s">
        <v>40</v>
      </c>
      <c r="AG3" s="82" t="s">
        <v>41</v>
      </c>
      <c r="AH3" s="81" t="s">
        <v>42</v>
      </c>
      <c r="AI3" s="81" t="s">
        <v>43</v>
      </c>
      <c r="AJ3" s="82" t="s">
        <v>44</v>
      </c>
      <c r="AK3" s="82" t="s">
        <v>45</v>
      </c>
      <c r="AL3" s="81" t="s">
        <v>46</v>
      </c>
      <c r="AM3" s="81" t="s">
        <v>47</v>
      </c>
      <c r="AN3" s="82" t="s">
        <v>48</v>
      </c>
      <c r="AO3" s="82" t="s">
        <v>49</v>
      </c>
      <c r="AP3" s="82" t="s">
        <v>50</v>
      </c>
      <c r="AQ3" s="81" t="s">
        <v>51</v>
      </c>
      <c r="AR3" s="83" t="s">
        <v>52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75</v>
      </c>
      <c r="C4" s="41" t="s">
        <v>75</v>
      </c>
      <c r="D4" s="41" t="s">
        <v>76</v>
      </c>
      <c r="E4" s="41" t="s">
        <v>76</v>
      </c>
      <c r="F4" s="42">
        <v>5</v>
      </c>
      <c r="G4" s="42">
        <v>150</v>
      </c>
      <c r="H4" s="42">
        <f>F4*G4</f>
        <v>750</v>
      </c>
      <c r="I4" s="42">
        <v>5</v>
      </c>
      <c r="J4" s="42">
        <v>8</v>
      </c>
      <c r="K4" s="42">
        <v>5</v>
      </c>
      <c r="L4" s="42">
        <f>H4</f>
        <v>750</v>
      </c>
      <c r="M4" s="42">
        <f>ROUND(L4*I4%,2)</f>
        <v>37.5</v>
      </c>
      <c r="N4" s="42">
        <f>H4-M4</f>
        <v>712.5</v>
      </c>
      <c r="O4" s="42">
        <f>ROUND(N4*J4%,2)</f>
        <v>57</v>
      </c>
      <c r="P4" s="42">
        <f>ROUND(N4-O4,2)</f>
        <v>655.5</v>
      </c>
      <c r="Q4" s="42">
        <f>ROUND(P4*K4%,2)</f>
        <v>32.78</v>
      </c>
      <c r="R4" s="42">
        <f>M4+O4+Q4</f>
        <v>127.28</v>
      </c>
      <c r="S4" s="42">
        <f>(H4-R4)</f>
        <v>622.72</v>
      </c>
      <c r="T4" s="42">
        <v>88363222</v>
      </c>
      <c r="U4" s="42">
        <v>18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112.09</v>
      </c>
      <c r="Y4" s="42">
        <f>IF($C$2=4,ROUND((((S4*U4)/100)/2),2),0)</f>
        <v>0</v>
      </c>
      <c r="Z4" s="42">
        <v>0</v>
      </c>
      <c r="AA4" s="42">
        <f>IF($C2=3,0,(S4*Z4)/100)</f>
        <v>0</v>
      </c>
      <c r="AB4" s="42">
        <f>V4+W4+X4+Y4+AA4</f>
        <v>112.09</v>
      </c>
      <c r="AC4" s="42">
        <f>IF($V2=1,S4+AB4,S4)</f>
        <v>734.81</v>
      </c>
      <c r="AD4" s="42">
        <v>120</v>
      </c>
      <c r="AE4" s="42">
        <f>IF($P$2=1,(S4/$S$5)*$E$16,AD4/$AD$5*$E$16)</f>
        <v>0</v>
      </c>
      <c r="AF4" s="42"/>
      <c r="AG4" s="42">
        <f>IF($P$2=1,(S4/$S$5)*$E$18,AD4/$AD$5*$E$18)</f>
        <v>0</v>
      </c>
      <c r="AH4" s="42">
        <f>IF($P$2=1,(S4/$S$5)*$E$18,AD4/$AD$5*$E$18)</f>
        <v>0</v>
      </c>
      <c r="AI4" s="42">
        <f>S4*$M$2</f>
        <v>622.72</v>
      </c>
      <c r="AJ4" s="42">
        <f>IF($C$2=3,0,AG4+AH4)</f>
        <v>0</v>
      </c>
      <c r="AK4" s="42">
        <f>IF($C$2=3,AE4+AG4+AH4,0)</f>
        <v>0</v>
      </c>
      <c r="AL4" s="42">
        <v>1</v>
      </c>
      <c r="AM4" s="42">
        <f>F4/AL4</f>
        <v>5</v>
      </c>
      <c r="AN4" s="42">
        <f>AI4/AM4</f>
        <v>124.544</v>
      </c>
      <c r="AO4" s="42">
        <f>AJ4/AM4</f>
        <v>0</v>
      </c>
      <c r="AP4" s="42">
        <f>AK4/AM4</f>
        <v>0</v>
      </c>
      <c r="AQ4" s="42" t="s">
        <v>76</v>
      </c>
      <c r="AR4" s="67">
        <f>ROUND(AN4+AO4+AP4,5)</f>
        <v>124.544</v>
      </c>
      <c r="AS4" s="67" t="s">
        <v>77</v>
      </c>
      <c r="AT4" s="66" t="s">
        <v>76</v>
      </c>
      <c r="AU4" s="67" t="s">
        <v>78</v>
      </c>
      <c r="AV4" s="67" t="s">
        <v>79</v>
      </c>
      <c r="AW4" s="66">
        <f>AM4</f>
        <v>5</v>
      </c>
      <c r="AX4" s="66">
        <f>AR4</f>
        <v>124.544</v>
      </c>
      <c r="AY4" s="66">
        <f>AU4+AW4</f>
        <v>14095</v>
      </c>
      <c r="AZ4" s="66">
        <f>ROUND(((AU4*AV4)+(AW4*AX4))/(AU4+AW4),5)</f>
        <v>121.22156</v>
      </c>
      <c r="BA4" s="70"/>
      <c r="BB4" s="70" t="s">
        <v>80</v>
      </c>
      <c r="BC4" s="84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7"/>
      <c r="BK4" s="67"/>
      <c r="BL4" s="66" t="s">
        <v>84</v>
      </c>
      <c r="BM4" s="67" t="s">
        <v>85</v>
      </c>
      <c r="BN4" s="67" t="s">
        <v>86</v>
      </c>
      <c r="BO4" s="66">
        <f>ROUND((((AW4*AZ4)+(BN4*BM4))/(AW4+BN4)),5)</f>
        <v>146.67549</v>
      </c>
      <c r="BP4" s="74">
        <f>BN4+AW4</f>
        <v>696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750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127.28</v>
      </c>
      <c r="S5" s="48">
        <f t="shared" si="0"/>
        <v>622.72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112.09</v>
      </c>
      <c r="Y5" s="55"/>
      <c r="Z5" s="55"/>
      <c r="AA5" s="55"/>
      <c r="AB5" s="54">
        <f t="shared" ref="AB5:AE5" si="1">SUM(AB4:AB4)</f>
        <v>112.09</v>
      </c>
      <c r="AC5" s="59">
        <f t="shared" si="1"/>
        <v>734.81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 t="shared" si="2"/>
        <v>0</v>
      </c>
      <c r="AI5" s="60">
        <f t="shared" si="2"/>
        <v>622.72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I4" sqref="I4"/>
    </sheetView>
  </sheetViews>
  <sheetFormatPr defaultColWidth="9.85546875" defaultRowHeight="15"/>
  <cols>
    <col min="1" max="1" width="9.85546875" style="35"/>
    <col min="2" max="2" width="25.5703125" style="35" customWidth="1"/>
    <col min="3" max="3" width="26" style="35" customWidth="1"/>
    <col min="4" max="19" width="9.85546875" style="35"/>
    <col min="20" max="20" width="10.140625" style="35" customWidth="1"/>
    <col min="21" max="16384" width="9.855468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44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</row>
    <row r="2" spans="1:69">
      <c r="A2" s="85" t="s">
        <v>1</v>
      </c>
      <c r="B2" s="85"/>
      <c r="C2" s="38">
        <v>2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1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44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</row>
    <row r="3" spans="1:69" ht="60">
      <c r="A3" s="76" t="s">
        <v>9</v>
      </c>
      <c r="B3" s="76" t="s">
        <v>10</v>
      </c>
      <c r="C3" s="77" t="s">
        <v>11</v>
      </c>
      <c r="D3" s="76" t="s">
        <v>12</v>
      </c>
      <c r="E3" s="76" t="s">
        <v>13</v>
      </c>
      <c r="F3" s="78" t="s">
        <v>14</v>
      </c>
      <c r="G3" s="76" t="s">
        <v>15</v>
      </c>
      <c r="H3" s="76" t="s">
        <v>16</v>
      </c>
      <c r="I3" s="79" t="s">
        <v>17</v>
      </c>
      <c r="J3" s="79" t="s">
        <v>18</v>
      </c>
      <c r="K3" s="79" t="s">
        <v>19</v>
      </c>
      <c r="L3" s="80" t="s">
        <v>20</v>
      </c>
      <c r="M3" s="80" t="s">
        <v>21</v>
      </c>
      <c r="N3" s="80" t="s">
        <v>22</v>
      </c>
      <c r="O3" s="80" t="s">
        <v>23</v>
      </c>
      <c r="P3" s="80" t="s">
        <v>24</v>
      </c>
      <c r="Q3" s="80" t="s">
        <v>25</v>
      </c>
      <c r="R3" s="79" t="s">
        <v>26</v>
      </c>
      <c r="S3" s="76" t="s">
        <v>27</v>
      </c>
      <c r="T3" s="76" t="s">
        <v>28</v>
      </c>
      <c r="U3" s="56" t="s">
        <v>29</v>
      </c>
      <c r="V3" s="56" t="s">
        <v>30</v>
      </c>
      <c r="W3" s="56" t="s">
        <v>31</v>
      </c>
      <c r="X3" s="56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81" t="s">
        <v>37</v>
      </c>
      <c r="AD3" s="81" t="s">
        <v>38</v>
      </c>
      <c r="AE3" s="82" t="s">
        <v>39</v>
      </c>
      <c r="AF3" s="82" t="s">
        <v>40</v>
      </c>
      <c r="AG3" s="82" t="s">
        <v>41</v>
      </c>
      <c r="AH3" s="81" t="s">
        <v>42</v>
      </c>
      <c r="AI3" s="81" t="s">
        <v>43</v>
      </c>
      <c r="AJ3" s="82" t="s">
        <v>44</v>
      </c>
      <c r="AK3" s="82" t="s">
        <v>45</v>
      </c>
      <c r="AL3" s="81" t="s">
        <v>46</v>
      </c>
      <c r="AM3" s="81" t="s">
        <v>47</v>
      </c>
      <c r="AN3" s="82" t="s">
        <v>48</v>
      </c>
      <c r="AO3" s="82" t="s">
        <v>49</v>
      </c>
      <c r="AP3" s="82" t="s">
        <v>50</v>
      </c>
      <c r="AQ3" s="81" t="s">
        <v>51</v>
      </c>
      <c r="AR3" s="83" t="s">
        <v>52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88</v>
      </c>
      <c r="C4" s="41" t="s">
        <v>88</v>
      </c>
      <c r="D4" s="41" t="s">
        <v>76</v>
      </c>
      <c r="E4" s="41" t="s">
        <v>89</v>
      </c>
      <c r="F4" s="42">
        <v>5</v>
      </c>
      <c r="G4" s="42">
        <v>150</v>
      </c>
      <c r="H4" s="42">
        <f>F4*G4</f>
        <v>750</v>
      </c>
      <c r="I4" s="42">
        <v>5</v>
      </c>
      <c r="J4" s="42">
        <v>8</v>
      </c>
      <c r="K4" s="42">
        <v>5</v>
      </c>
      <c r="L4" s="42">
        <f>H4</f>
        <v>750</v>
      </c>
      <c r="M4" s="42">
        <f>ROUND(L4*I4%,2)</f>
        <v>37.5</v>
      </c>
      <c r="N4" s="42">
        <f>H4-M4</f>
        <v>712.5</v>
      </c>
      <c r="O4" s="42">
        <f>ROUND(N4*J4%,2)</f>
        <v>57</v>
      </c>
      <c r="P4" s="42">
        <f>ROUND(N4-O4,2)</f>
        <v>655.5</v>
      </c>
      <c r="Q4" s="42">
        <f>ROUND(P4*K4%,2)</f>
        <v>32.78</v>
      </c>
      <c r="R4" s="42">
        <f>M4+O4+Q4</f>
        <v>127.28</v>
      </c>
      <c r="S4" s="42">
        <f>(H4-R4)</f>
        <v>622.72</v>
      </c>
      <c r="T4" s="42">
        <v>88363222</v>
      </c>
      <c r="U4" s="42">
        <v>18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112.09</v>
      </c>
      <c r="Y4" s="42">
        <f>IF($C$2=4,ROUND((((S4*U4)/100)/2),2),0)</f>
        <v>0</v>
      </c>
      <c r="Z4" s="42">
        <v>0</v>
      </c>
      <c r="AA4" s="42">
        <f>IF($C2=3,0,(S4*Z4)/100)</f>
        <v>0</v>
      </c>
      <c r="AB4" s="42">
        <f>V4+W4+X4+Y4+AA4</f>
        <v>112.09</v>
      </c>
      <c r="AC4" s="42">
        <f>IF($V2=1,S4+AB4,S4)</f>
        <v>734.81</v>
      </c>
      <c r="AD4" s="42">
        <v>120</v>
      </c>
      <c r="AE4" s="42">
        <f>IF($P$2=1,(S4/$S$5)*$E$16,AD4/$AD$5*$E$16)</f>
        <v>0</v>
      </c>
      <c r="AF4" s="42"/>
      <c r="AG4" s="42">
        <f>IF($P$2=1,(S4/$S$5)*$E$18,AD4/$AD$5*$E$18)</f>
        <v>0</v>
      </c>
      <c r="AH4" s="42">
        <f>IF($P$2=1,(S4/$S$5)*$E$18,AD4/$AD$5*$E$18)</f>
        <v>0</v>
      </c>
      <c r="AI4" s="42">
        <f>S4*$M$2</f>
        <v>622.72</v>
      </c>
      <c r="AJ4" s="42">
        <f>IF($C$2=3,0,AG4+AH4)</f>
        <v>0</v>
      </c>
      <c r="AK4" s="42">
        <f>IF($C$2=3,AE4+AG4+AH4,0)</f>
        <v>0</v>
      </c>
      <c r="AL4" s="42">
        <v>1</v>
      </c>
      <c r="AM4" s="42">
        <f>F4/AL4</f>
        <v>5</v>
      </c>
      <c r="AN4" s="42">
        <f>AI4/AM4</f>
        <v>124.544</v>
      </c>
      <c r="AO4" s="42">
        <f>AJ4/AM4</f>
        <v>0</v>
      </c>
      <c r="AP4" s="42">
        <f>AK4/AM4</f>
        <v>0</v>
      </c>
      <c r="AQ4" s="42" t="s">
        <v>76</v>
      </c>
      <c r="AR4" s="67">
        <f>ROUND(AN4+AO4+AP4,5)</f>
        <v>124.544</v>
      </c>
      <c r="AS4" s="67" t="s">
        <v>77</v>
      </c>
      <c r="AT4" s="66" t="s">
        <v>76</v>
      </c>
      <c r="AU4" s="67" t="s">
        <v>78</v>
      </c>
      <c r="AV4" s="67" t="s">
        <v>79</v>
      </c>
      <c r="AW4" s="66">
        <f>AM4</f>
        <v>5</v>
      </c>
      <c r="AX4" s="66">
        <f>AR4</f>
        <v>124.544</v>
      </c>
      <c r="AY4" s="66">
        <f>AU4+AW4</f>
        <v>14095</v>
      </c>
      <c r="AZ4" s="66">
        <f>ROUND(((AU4*AV4)+(AW4*AX4))/(AU4+AW4),5)</f>
        <v>121.22156</v>
      </c>
      <c r="BA4" s="70"/>
      <c r="BB4" s="70" t="s">
        <v>80</v>
      </c>
      <c r="BC4" s="84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7"/>
      <c r="BK4" s="67"/>
      <c r="BL4" s="66" t="s">
        <v>84</v>
      </c>
      <c r="BM4" s="67" t="s">
        <v>85</v>
      </c>
      <c r="BN4" s="67" t="s">
        <v>86</v>
      </c>
      <c r="BO4" s="66">
        <f>ROUND((((AW4*AZ4)+(BN4*BM4))/(AW4+BN4)),5)</f>
        <v>146.67549</v>
      </c>
      <c r="BP4" s="74">
        <f>BN4+AW4</f>
        <v>696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750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127.28</v>
      </c>
      <c r="S5" s="48">
        <f t="shared" si="0"/>
        <v>622.72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112.09</v>
      </c>
      <c r="Y5" s="55"/>
      <c r="Z5" s="55"/>
      <c r="AA5" s="55"/>
      <c r="AB5" s="54">
        <f t="shared" ref="AB5:AE5" si="1">SUM(AB4:AB4)</f>
        <v>112.09</v>
      </c>
      <c r="AC5" s="59">
        <f t="shared" si="1"/>
        <v>734.81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 t="shared" si="2"/>
        <v>0</v>
      </c>
      <c r="AI5" s="60">
        <f t="shared" si="2"/>
        <v>622.72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V16" sqref="V16"/>
    </sheetView>
  </sheetViews>
  <sheetFormatPr defaultColWidth="9.85546875" defaultRowHeight="15"/>
  <cols>
    <col min="1" max="1" width="9.85546875" style="35"/>
    <col min="2" max="2" width="25.5703125" style="35" customWidth="1"/>
    <col min="3" max="3" width="26" style="35" customWidth="1"/>
    <col min="4" max="19" width="9.85546875" style="35"/>
    <col min="20" max="20" width="10.140625" style="35" customWidth="1"/>
    <col min="21" max="16384" width="9.855468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44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</row>
    <row r="2" spans="1:69">
      <c r="A2" s="85" t="s">
        <v>1</v>
      </c>
      <c r="B2" s="85"/>
      <c r="C2" s="38">
        <v>3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1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44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</row>
    <row r="3" spans="1:69" ht="60">
      <c r="A3" s="76" t="s">
        <v>9</v>
      </c>
      <c r="B3" s="76" t="s">
        <v>10</v>
      </c>
      <c r="C3" s="77" t="s">
        <v>11</v>
      </c>
      <c r="D3" s="76" t="s">
        <v>12</v>
      </c>
      <c r="E3" s="76" t="s">
        <v>13</v>
      </c>
      <c r="F3" s="78" t="s">
        <v>14</v>
      </c>
      <c r="G3" s="76" t="s">
        <v>15</v>
      </c>
      <c r="H3" s="76" t="s">
        <v>16</v>
      </c>
      <c r="I3" s="79" t="s">
        <v>17</v>
      </c>
      <c r="J3" s="79" t="s">
        <v>18</v>
      </c>
      <c r="K3" s="79" t="s">
        <v>19</v>
      </c>
      <c r="L3" s="80" t="s">
        <v>20</v>
      </c>
      <c r="M3" s="80" t="s">
        <v>21</v>
      </c>
      <c r="N3" s="80" t="s">
        <v>22</v>
      </c>
      <c r="O3" s="80" t="s">
        <v>23</v>
      </c>
      <c r="P3" s="80" t="s">
        <v>24</v>
      </c>
      <c r="Q3" s="80" t="s">
        <v>25</v>
      </c>
      <c r="R3" s="79" t="s">
        <v>26</v>
      </c>
      <c r="S3" s="76" t="s">
        <v>27</v>
      </c>
      <c r="T3" s="76" t="s">
        <v>28</v>
      </c>
      <c r="U3" s="56" t="s">
        <v>29</v>
      </c>
      <c r="V3" s="56" t="s">
        <v>30</v>
      </c>
      <c r="W3" s="56" t="s">
        <v>31</v>
      </c>
      <c r="X3" s="56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81" t="s">
        <v>37</v>
      </c>
      <c r="AD3" s="81" t="s">
        <v>38</v>
      </c>
      <c r="AE3" s="82" t="s">
        <v>39</v>
      </c>
      <c r="AF3" s="82" t="s">
        <v>40</v>
      </c>
      <c r="AG3" s="82" t="s">
        <v>41</v>
      </c>
      <c r="AH3" s="81" t="s">
        <v>42</v>
      </c>
      <c r="AI3" s="81" t="s">
        <v>43</v>
      </c>
      <c r="AJ3" s="82" t="s">
        <v>44</v>
      </c>
      <c r="AK3" s="82" t="s">
        <v>45</v>
      </c>
      <c r="AL3" s="81" t="s">
        <v>46</v>
      </c>
      <c r="AM3" s="81" t="s">
        <v>47</v>
      </c>
      <c r="AN3" s="82" t="s">
        <v>48</v>
      </c>
      <c r="AO3" s="82" t="s">
        <v>49</v>
      </c>
      <c r="AP3" s="82" t="s">
        <v>50</v>
      </c>
      <c r="AQ3" s="81" t="s">
        <v>51</v>
      </c>
      <c r="AR3" s="83" t="s">
        <v>52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88</v>
      </c>
      <c r="C4" s="41" t="s">
        <v>88</v>
      </c>
      <c r="D4" s="41" t="s">
        <v>76</v>
      </c>
      <c r="E4" s="41" t="s">
        <v>89</v>
      </c>
      <c r="F4" s="42">
        <v>5</v>
      </c>
      <c r="G4" s="42">
        <v>150</v>
      </c>
      <c r="H4" s="42">
        <f>F4*G4</f>
        <v>750</v>
      </c>
      <c r="I4" s="42">
        <v>5</v>
      </c>
      <c r="J4" s="42">
        <v>8</v>
      </c>
      <c r="K4" s="42">
        <v>5</v>
      </c>
      <c r="L4" s="42">
        <f>H4</f>
        <v>750</v>
      </c>
      <c r="M4" s="42">
        <f>ROUND(L4*I4%,2)</f>
        <v>37.5</v>
      </c>
      <c r="N4" s="42">
        <f>H4-M4</f>
        <v>712.5</v>
      </c>
      <c r="O4" s="42">
        <f>ROUND(N4*J4%,2)</f>
        <v>57</v>
      </c>
      <c r="P4" s="42">
        <f>ROUND(N4-O4,2)</f>
        <v>655.5</v>
      </c>
      <c r="Q4" s="42">
        <f>ROUND(P4*K4%,2)</f>
        <v>32.78</v>
      </c>
      <c r="R4" s="42">
        <f>M4+O4+Q4</f>
        <v>127.28</v>
      </c>
      <c r="S4" s="42">
        <f>(H4-R4)</f>
        <v>622.72</v>
      </c>
      <c r="T4" s="42">
        <v>88363222</v>
      </c>
      <c r="U4" s="42">
        <v>18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0</v>
      </c>
      <c r="Y4" s="42">
        <f>IF($C$2=4,ROUND((((S4*U4)/100)/2),2),0)</f>
        <v>0</v>
      </c>
      <c r="Z4" s="42">
        <v>0</v>
      </c>
      <c r="AA4" s="42">
        <f>IF($C2=3,0,(S4*Z4)/100)</f>
        <v>0</v>
      </c>
      <c r="AB4" s="42">
        <f>V4+W4+X4+Y4+AA4</f>
        <v>0</v>
      </c>
      <c r="AC4" s="42">
        <f>IF($V2=1,S4+AB4,S4)</f>
        <v>622.72</v>
      </c>
      <c r="AD4" s="42">
        <v>120</v>
      </c>
      <c r="AE4" s="42">
        <f>IF($P$2=1,(S4/$S$5)*$E$16,AD4/$AD$5*$E$16)</f>
        <v>0</v>
      </c>
      <c r="AF4" s="42"/>
      <c r="AG4" s="42">
        <f>IF($P$2=1,(S4/$S$5)*$E$18,AD4/$AD$5*$E$18)</f>
        <v>0</v>
      </c>
      <c r="AH4" s="42">
        <f>IF($P$2=1,(S4/$S$5)*$E$18,AD4/$AD$5*$E$18)</f>
        <v>0</v>
      </c>
      <c r="AI4" s="42">
        <f>S4*$M$2</f>
        <v>622.72</v>
      </c>
      <c r="AJ4" s="42">
        <f>IF($C$2=3,0,AG4+AH4)</f>
        <v>0</v>
      </c>
      <c r="AK4" s="42">
        <f>IF($C$2=3,AE4+AG4+AH4,0)</f>
        <v>0</v>
      </c>
      <c r="AL4" s="42">
        <v>1</v>
      </c>
      <c r="AM4" s="42">
        <f>F4/AL4</f>
        <v>5</v>
      </c>
      <c r="AN4" s="42">
        <f>AI4/AM4</f>
        <v>124.544</v>
      </c>
      <c r="AO4" s="42">
        <f>AJ4/AM4</f>
        <v>0</v>
      </c>
      <c r="AP4" s="42">
        <f>AK4/AM4</f>
        <v>0</v>
      </c>
      <c r="AQ4" s="42" t="s">
        <v>76</v>
      </c>
      <c r="AR4" s="67">
        <f>ROUND(AN4+AO4+AP4,5)</f>
        <v>124.544</v>
      </c>
      <c r="AS4" s="67" t="s">
        <v>77</v>
      </c>
      <c r="AT4" s="66" t="s">
        <v>76</v>
      </c>
      <c r="AU4" s="67" t="s">
        <v>78</v>
      </c>
      <c r="AV4" s="67" t="s">
        <v>79</v>
      </c>
      <c r="AW4" s="66">
        <f>AM4</f>
        <v>5</v>
      </c>
      <c r="AX4" s="66">
        <f>AR4</f>
        <v>124.544</v>
      </c>
      <c r="AY4" s="66">
        <f>AU4+AW4</f>
        <v>14095</v>
      </c>
      <c r="AZ4" s="66">
        <f>ROUND(((AU4*AV4)+(AW4*AX4))/(AU4+AW4),5)</f>
        <v>121.22156</v>
      </c>
      <c r="BA4" s="70"/>
      <c r="BB4" s="70" t="s">
        <v>80</v>
      </c>
      <c r="BC4" s="84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7"/>
      <c r="BK4" s="67"/>
      <c r="BL4" s="66" t="s">
        <v>84</v>
      </c>
      <c r="BM4" s="67" t="s">
        <v>85</v>
      </c>
      <c r="BN4" s="67" t="s">
        <v>86</v>
      </c>
      <c r="BO4" s="66">
        <f>ROUND((((AW4*AZ4)+(BN4*BM4))/(AW4+BN4)),5)</f>
        <v>146.67549</v>
      </c>
      <c r="BP4" s="74">
        <f>BN4+AW4</f>
        <v>696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750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127.28</v>
      </c>
      <c r="S5" s="48">
        <f t="shared" si="0"/>
        <v>622.72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0</v>
      </c>
      <c r="Y5" s="55"/>
      <c r="Z5" s="55"/>
      <c r="AA5" s="55"/>
      <c r="AB5" s="54">
        <f t="shared" ref="AB5:AE5" si="1">SUM(AB4:AB4)</f>
        <v>0</v>
      </c>
      <c r="AC5" s="59">
        <f t="shared" si="1"/>
        <v>622.72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 t="shared" si="2"/>
        <v>0</v>
      </c>
      <c r="AI5" s="60">
        <f t="shared" si="2"/>
        <v>622.72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</row>
  </sheetData>
  <mergeCells count="1">
    <mergeCell ref="A2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B4" sqref="B4"/>
    </sheetView>
  </sheetViews>
  <sheetFormatPr defaultColWidth="9.85546875" defaultRowHeight="15"/>
  <cols>
    <col min="1" max="1" width="9.85546875" style="35"/>
    <col min="2" max="2" width="25.5703125" style="35" customWidth="1"/>
    <col min="3" max="3" width="26" style="35" customWidth="1"/>
    <col min="4" max="19" width="9.85546875" style="35"/>
    <col min="20" max="20" width="10.140625" style="35" customWidth="1"/>
    <col min="21" max="16384" width="9.855468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44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</row>
    <row r="2" spans="1:69">
      <c r="A2" s="85" t="s">
        <v>1</v>
      </c>
      <c r="B2" s="85"/>
      <c r="C2" s="38">
        <v>2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1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44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</row>
    <row r="3" spans="1:69" ht="60">
      <c r="A3" s="76" t="s">
        <v>9</v>
      </c>
      <c r="B3" s="76" t="s">
        <v>10</v>
      </c>
      <c r="C3" s="77" t="s">
        <v>11</v>
      </c>
      <c r="D3" s="76" t="s">
        <v>12</v>
      </c>
      <c r="E3" s="76" t="s">
        <v>13</v>
      </c>
      <c r="F3" s="78" t="s">
        <v>14</v>
      </c>
      <c r="G3" s="76" t="s">
        <v>15</v>
      </c>
      <c r="H3" s="76" t="s">
        <v>16</v>
      </c>
      <c r="I3" s="79" t="s">
        <v>17</v>
      </c>
      <c r="J3" s="79" t="s">
        <v>18</v>
      </c>
      <c r="K3" s="79" t="s">
        <v>19</v>
      </c>
      <c r="L3" s="80" t="s">
        <v>20</v>
      </c>
      <c r="M3" s="80" t="s">
        <v>21</v>
      </c>
      <c r="N3" s="80" t="s">
        <v>22</v>
      </c>
      <c r="O3" s="80" t="s">
        <v>23</v>
      </c>
      <c r="P3" s="80" t="s">
        <v>24</v>
      </c>
      <c r="Q3" s="80" t="s">
        <v>25</v>
      </c>
      <c r="R3" s="79" t="s">
        <v>26</v>
      </c>
      <c r="S3" s="76" t="s">
        <v>27</v>
      </c>
      <c r="T3" s="76" t="s">
        <v>28</v>
      </c>
      <c r="U3" s="56" t="s">
        <v>29</v>
      </c>
      <c r="V3" s="56" t="s">
        <v>30</v>
      </c>
      <c r="W3" s="56" t="s">
        <v>31</v>
      </c>
      <c r="X3" s="56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81" t="s">
        <v>37</v>
      </c>
      <c r="AD3" s="81" t="s">
        <v>38</v>
      </c>
      <c r="AE3" s="82" t="s">
        <v>39</v>
      </c>
      <c r="AF3" s="82" t="s">
        <v>40</v>
      </c>
      <c r="AG3" s="82" t="s">
        <v>41</v>
      </c>
      <c r="AH3" s="81" t="s">
        <v>42</v>
      </c>
      <c r="AI3" s="81" t="s">
        <v>43</v>
      </c>
      <c r="AJ3" s="82" t="s">
        <v>44</v>
      </c>
      <c r="AK3" s="82" t="s">
        <v>45</v>
      </c>
      <c r="AL3" s="81" t="s">
        <v>46</v>
      </c>
      <c r="AM3" s="81" t="s">
        <v>47</v>
      </c>
      <c r="AN3" s="82" t="s">
        <v>48</v>
      </c>
      <c r="AO3" s="82" t="s">
        <v>49</v>
      </c>
      <c r="AP3" s="82" t="s">
        <v>50</v>
      </c>
      <c r="AQ3" s="81" t="s">
        <v>51</v>
      </c>
      <c r="AR3" s="83" t="s">
        <v>52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90</v>
      </c>
      <c r="C4" s="41" t="s">
        <v>90</v>
      </c>
      <c r="D4" s="41" t="s">
        <v>76</v>
      </c>
      <c r="E4" s="41" t="s">
        <v>76</v>
      </c>
      <c r="F4" s="42">
        <v>5</v>
      </c>
      <c r="G4" s="42">
        <v>150</v>
      </c>
      <c r="H4" s="42">
        <f>F4*G4</f>
        <v>750</v>
      </c>
      <c r="I4" s="42">
        <v>5</v>
      </c>
      <c r="J4" s="42">
        <v>8</v>
      </c>
      <c r="K4" s="42">
        <v>5</v>
      </c>
      <c r="L4" s="42">
        <f>H4</f>
        <v>750</v>
      </c>
      <c r="M4" s="42">
        <f>ROUND(L4*I4%,2)</f>
        <v>37.5</v>
      </c>
      <c r="N4" s="42">
        <f>H4-M4</f>
        <v>712.5</v>
      </c>
      <c r="O4" s="42">
        <f>ROUND(N4*J4%,2)</f>
        <v>57</v>
      </c>
      <c r="P4" s="42">
        <f>ROUND(N4-O4,2)</f>
        <v>655.5</v>
      </c>
      <c r="Q4" s="42">
        <f>ROUND(P4*K4%,2)</f>
        <v>32.78</v>
      </c>
      <c r="R4" s="42">
        <f>M4+O4+Q4</f>
        <v>127.28</v>
      </c>
      <c r="S4" s="42">
        <f>(H4-R4)</f>
        <v>622.72</v>
      </c>
      <c r="T4" s="42">
        <v>88363222</v>
      </c>
      <c r="U4" s="42">
        <v>18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112.09</v>
      </c>
      <c r="Y4" s="42">
        <f>IF($C$2=4,ROUND((((S4*U4)/100)/2),2),0)</f>
        <v>0</v>
      </c>
      <c r="Z4" s="42">
        <v>0</v>
      </c>
      <c r="AA4" s="42">
        <v>0</v>
      </c>
      <c r="AB4" s="42">
        <f>V4+W4+X4+Y4+AA4</f>
        <v>112.09</v>
      </c>
      <c r="AC4" s="42">
        <f>IF($V2=1,S4+AB4,S4)</f>
        <v>734.81</v>
      </c>
      <c r="AD4" s="42">
        <v>120</v>
      </c>
      <c r="AE4" s="42">
        <f>IF($P$2=1,(S4/$S$5)*$E$16,AD4/$AD$5*$E$16)</f>
        <v>0</v>
      </c>
      <c r="AF4" s="42"/>
      <c r="AG4" s="42">
        <f>IF($P$2=1,(S4/$S$5)*$E$18,AD4/$AD$5*$E$18)</f>
        <v>0</v>
      </c>
      <c r="AH4" s="42">
        <f>IF($P$2=1,(S4/$S$5)*$E$18,AD4/$AD$5*$E$18)</f>
        <v>0</v>
      </c>
      <c r="AI4" s="42">
        <f>S4*$M$2</f>
        <v>622.72</v>
      </c>
      <c r="AJ4" s="42">
        <f>IF($C$2=3,0,AG4+AH4)</f>
        <v>0</v>
      </c>
      <c r="AK4" s="42">
        <f>IF($C$2=3,AE4+AG4+AH4,0)</f>
        <v>0</v>
      </c>
      <c r="AL4" s="42">
        <v>1</v>
      </c>
      <c r="AM4" s="42">
        <f>F4/AL4</f>
        <v>5</v>
      </c>
      <c r="AN4" s="42">
        <f>AI4/AM4</f>
        <v>124.544</v>
      </c>
      <c r="AO4" s="42">
        <f>AJ4/AM4</f>
        <v>0</v>
      </c>
      <c r="AP4" s="42">
        <f>AK4/AM4</f>
        <v>0</v>
      </c>
      <c r="AQ4" s="42" t="s">
        <v>76</v>
      </c>
      <c r="AR4" s="67">
        <f>ROUND(AN4+AO4+AP4,5)</f>
        <v>124.544</v>
      </c>
      <c r="AS4" s="67" t="s">
        <v>77</v>
      </c>
      <c r="AT4" s="66" t="s">
        <v>76</v>
      </c>
      <c r="AU4" s="67" t="s">
        <v>78</v>
      </c>
      <c r="AV4" s="67" t="s">
        <v>79</v>
      </c>
      <c r="AW4" s="66">
        <f>AM4</f>
        <v>5</v>
      </c>
      <c r="AX4" s="66">
        <f>AR4</f>
        <v>124.544</v>
      </c>
      <c r="AY4" s="66">
        <f>AU4+AW4</f>
        <v>14095</v>
      </c>
      <c r="AZ4" s="66">
        <f>ROUND(((AU4*AV4)+(AW4*AX4))/(AU4+AW4),5)</f>
        <v>121.22156</v>
      </c>
      <c r="BA4" s="70"/>
      <c r="BB4" s="70" t="s">
        <v>80</v>
      </c>
      <c r="BC4" s="84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7"/>
      <c r="BK4" s="67"/>
      <c r="BL4" s="66" t="s">
        <v>84</v>
      </c>
      <c r="BM4" s="67" t="s">
        <v>85</v>
      </c>
      <c r="BN4" s="67" t="s">
        <v>86</v>
      </c>
      <c r="BO4" s="66">
        <f>ROUND((((AW4*AZ4)+(BN4*BM4))/(AW4+BN4)),5)</f>
        <v>146.67549</v>
      </c>
      <c r="BP4" s="74">
        <f>BN4+AW4</f>
        <v>696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750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127.28</v>
      </c>
      <c r="S5" s="48">
        <f t="shared" si="0"/>
        <v>622.72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112.09</v>
      </c>
      <c r="Y5" s="55"/>
      <c r="Z5" s="55"/>
      <c r="AA5" s="55"/>
      <c r="AB5" s="54">
        <f t="shared" ref="AB5:AE5" si="1">SUM(AB4:AB4)</f>
        <v>112.09</v>
      </c>
      <c r="AC5" s="59">
        <f t="shared" si="1"/>
        <v>734.81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 t="shared" si="2"/>
        <v>0</v>
      </c>
      <c r="AI5" s="60">
        <f t="shared" si="2"/>
        <v>622.72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</row>
  </sheetData>
  <mergeCells count="1">
    <mergeCell ref="A2:B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W9" sqref="W9"/>
    </sheetView>
  </sheetViews>
  <sheetFormatPr defaultColWidth="9.85546875" defaultRowHeight="15"/>
  <cols>
    <col min="1" max="1" width="9.85546875" style="35"/>
    <col min="2" max="2" width="25.5703125" style="35" customWidth="1"/>
    <col min="3" max="3" width="26" style="35" customWidth="1"/>
    <col min="4" max="19" width="9.85546875" style="35"/>
    <col min="20" max="20" width="10.140625" style="35" customWidth="1"/>
    <col min="21" max="16384" width="9.855468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44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</row>
    <row r="2" spans="1:69">
      <c r="A2" s="85" t="s">
        <v>1</v>
      </c>
      <c r="B2" s="85"/>
      <c r="C2" s="38">
        <v>3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1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44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</row>
    <row r="3" spans="1:69" ht="60">
      <c r="A3" s="76" t="s">
        <v>9</v>
      </c>
      <c r="B3" s="76" t="s">
        <v>10</v>
      </c>
      <c r="C3" s="77" t="s">
        <v>11</v>
      </c>
      <c r="D3" s="76" t="s">
        <v>12</v>
      </c>
      <c r="E3" s="76" t="s">
        <v>13</v>
      </c>
      <c r="F3" s="78" t="s">
        <v>14</v>
      </c>
      <c r="G3" s="76" t="s">
        <v>15</v>
      </c>
      <c r="H3" s="76" t="s">
        <v>16</v>
      </c>
      <c r="I3" s="79" t="s">
        <v>17</v>
      </c>
      <c r="J3" s="79" t="s">
        <v>18</v>
      </c>
      <c r="K3" s="79" t="s">
        <v>19</v>
      </c>
      <c r="L3" s="80" t="s">
        <v>20</v>
      </c>
      <c r="M3" s="80" t="s">
        <v>21</v>
      </c>
      <c r="N3" s="80" t="s">
        <v>22</v>
      </c>
      <c r="O3" s="80" t="s">
        <v>23</v>
      </c>
      <c r="P3" s="80" t="s">
        <v>24</v>
      </c>
      <c r="Q3" s="80" t="s">
        <v>25</v>
      </c>
      <c r="R3" s="79" t="s">
        <v>26</v>
      </c>
      <c r="S3" s="76" t="s">
        <v>27</v>
      </c>
      <c r="T3" s="76" t="s">
        <v>28</v>
      </c>
      <c r="U3" s="56" t="s">
        <v>29</v>
      </c>
      <c r="V3" s="56" t="s">
        <v>30</v>
      </c>
      <c r="W3" s="56" t="s">
        <v>31</v>
      </c>
      <c r="X3" s="56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81" t="s">
        <v>37</v>
      </c>
      <c r="AD3" s="81" t="s">
        <v>38</v>
      </c>
      <c r="AE3" s="82" t="s">
        <v>39</v>
      </c>
      <c r="AF3" s="82" t="s">
        <v>40</v>
      </c>
      <c r="AG3" s="82" t="s">
        <v>41</v>
      </c>
      <c r="AH3" s="81" t="s">
        <v>42</v>
      </c>
      <c r="AI3" s="81" t="s">
        <v>43</v>
      </c>
      <c r="AJ3" s="82" t="s">
        <v>44</v>
      </c>
      <c r="AK3" s="82" t="s">
        <v>45</v>
      </c>
      <c r="AL3" s="81" t="s">
        <v>46</v>
      </c>
      <c r="AM3" s="81" t="s">
        <v>47</v>
      </c>
      <c r="AN3" s="82" t="s">
        <v>48</v>
      </c>
      <c r="AO3" s="82" t="s">
        <v>49</v>
      </c>
      <c r="AP3" s="82" t="s">
        <v>50</v>
      </c>
      <c r="AQ3" s="81" t="s">
        <v>51</v>
      </c>
      <c r="AR3" s="83" t="s">
        <v>52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75</v>
      </c>
      <c r="C4" s="41" t="s">
        <v>75</v>
      </c>
      <c r="D4" s="41" t="s">
        <v>76</v>
      </c>
      <c r="E4" s="41" t="s">
        <v>76</v>
      </c>
      <c r="F4" s="42">
        <v>5</v>
      </c>
      <c r="G4" s="42">
        <v>150</v>
      </c>
      <c r="H4" s="42">
        <f>F4*G4</f>
        <v>750</v>
      </c>
      <c r="I4" s="42">
        <v>5</v>
      </c>
      <c r="J4" s="42">
        <v>8</v>
      </c>
      <c r="K4" s="42">
        <v>5</v>
      </c>
      <c r="L4" s="42">
        <f>H4</f>
        <v>750</v>
      </c>
      <c r="M4" s="42">
        <f>ROUND(L4*I4%,2)</f>
        <v>37.5</v>
      </c>
      <c r="N4" s="42">
        <f>H4-M4</f>
        <v>712.5</v>
      </c>
      <c r="O4" s="42">
        <f>ROUND(N4*J4%,2)</f>
        <v>57</v>
      </c>
      <c r="P4" s="42">
        <f>ROUND(N4-O4,2)</f>
        <v>655.5</v>
      </c>
      <c r="Q4" s="42">
        <f>ROUND(P4*K4%,2)</f>
        <v>32.78</v>
      </c>
      <c r="R4" s="42">
        <f>M4+O4+Q4</f>
        <v>127.28</v>
      </c>
      <c r="S4" s="42">
        <f>(H4-R4)</f>
        <v>622.72</v>
      </c>
      <c r="T4" s="42">
        <v>88363222</v>
      </c>
      <c r="U4" s="42">
        <v>0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0</v>
      </c>
      <c r="Y4" s="42">
        <f>IF($C$2=4,ROUND((((S4*U4)/100)/2),2),0)</f>
        <v>0</v>
      </c>
      <c r="Z4" s="42">
        <v>4</v>
      </c>
      <c r="AA4" s="42">
        <f>IF($C2=3,0,(S4*Z4)/100)</f>
        <v>0</v>
      </c>
      <c r="AB4" s="42">
        <f>V4+W4+X4+Y4+AA4</f>
        <v>0</v>
      </c>
      <c r="AC4" s="42">
        <f>IF($V2=1,S4+AB4,S4)</f>
        <v>622.72</v>
      </c>
      <c r="AD4" s="42">
        <v>120</v>
      </c>
      <c r="AE4" s="42">
        <f>IF($P$2=1,(S4/$S$5)*$E$16,AD4/$AD$5*$E$16)</f>
        <v>0</v>
      </c>
      <c r="AF4" s="42"/>
      <c r="AG4" s="42">
        <f>IF($P$2=1,(S4/$S$5)*$E$18,AD4/$AD$5*$E$18)</f>
        <v>0</v>
      </c>
      <c r="AH4" s="42">
        <f>IF($P$2=1,(S4/$S$5)*$E$18,AD4/$AD$5*$E$18)</f>
        <v>0</v>
      </c>
      <c r="AI4" s="42">
        <f>S4*$M$2</f>
        <v>622.72</v>
      </c>
      <c r="AJ4" s="42">
        <f>IF($C$2=3,0,AG4+AH4)</f>
        <v>0</v>
      </c>
      <c r="AK4" s="42">
        <f>IF($C$2=3,AE4+AG4+AH4,0)</f>
        <v>0</v>
      </c>
      <c r="AL4" s="42">
        <v>3</v>
      </c>
      <c r="AM4" s="42">
        <f>F4/AL4</f>
        <v>1.6666666666666701</v>
      </c>
      <c r="AN4" s="42">
        <f>AI4/AM4</f>
        <v>373.63200000000001</v>
      </c>
      <c r="AO4" s="42">
        <f>AJ4/AM4</f>
        <v>0</v>
      </c>
      <c r="AP4" s="42">
        <f>AK4/AM4</f>
        <v>0</v>
      </c>
      <c r="AQ4" s="42" t="s">
        <v>76</v>
      </c>
      <c r="AR4" s="67">
        <f>ROUND(AN4+AO4+AP4,5)</f>
        <v>373.63200000000001</v>
      </c>
      <c r="AS4" s="67" t="s">
        <v>77</v>
      </c>
      <c r="AT4" s="66" t="s">
        <v>76</v>
      </c>
      <c r="AU4" s="67" t="s">
        <v>78</v>
      </c>
      <c r="AV4" s="67" t="s">
        <v>79</v>
      </c>
      <c r="AW4" s="66">
        <f>AM4</f>
        <v>1.6666666666666701</v>
      </c>
      <c r="AX4" s="66">
        <f>AR4</f>
        <v>373.63200000000001</v>
      </c>
      <c r="AY4" s="66">
        <f>AU4+AW4</f>
        <v>14091.666666666701</v>
      </c>
      <c r="AZ4" s="66">
        <f>ROUND(((AU4*AV4)+(AW4*AX4))/(AU4+AW4),5)</f>
        <v>121.25023</v>
      </c>
      <c r="BA4" s="70"/>
      <c r="BB4" s="70" t="s">
        <v>80</v>
      </c>
      <c r="BC4" s="84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7"/>
      <c r="BK4" s="67"/>
      <c r="BL4" s="66" t="s">
        <v>84</v>
      </c>
      <c r="BM4" s="67" t="s">
        <v>85</v>
      </c>
      <c r="BN4" s="67" t="s">
        <v>86</v>
      </c>
      <c r="BO4" s="66">
        <f>ROUND((((AW4*AZ4)+(BN4*BM4))/(AW4+BN4)),5)</f>
        <v>146.79804999999999</v>
      </c>
      <c r="BP4" s="74">
        <f>BN4+AW4</f>
        <v>692.66666666666697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750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127.28</v>
      </c>
      <c r="S5" s="48">
        <f t="shared" si="0"/>
        <v>622.72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0</v>
      </c>
      <c r="Y5" s="55"/>
      <c r="Z5" s="55"/>
      <c r="AA5" s="55"/>
      <c r="AB5" s="54">
        <f t="shared" ref="AB5:AE5" si="1">SUM(AB4:AB4)</f>
        <v>0</v>
      </c>
      <c r="AC5" s="59">
        <f t="shared" si="1"/>
        <v>622.72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 t="shared" si="2"/>
        <v>0</v>
      </c>
      <c r="AI5" s="60">
        <f t="shared" si="2"/>
        <v>622.72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I1" workbookViewId="0">
      <selection activeCell="U4" sqref="U4"/>
    </sheetView>
  </sheetViews>
  <sheetFormatPr defaultColWidth="8.7109375" defaultRowHeight="15"/>
  <cols>
    <col min="1" max="1" width="8.7109375" style="35"/>
    <col min="2" max="2" width="21.140625" style="35" customWidth="1"/>
    <col min="3" max="3" width="21.28515625" style="35" customWidth="1"/>
    <col min="4" max="19" width="8.7109375" style="35"/>
    <col min="20" max="20" width="10.140625" style="35" customWidth="1"/>
    <col min="21" max="16384" width="8.7109375" style="35"/>
  </cols>
  <sheetData>
    <row r="1" spans="1:69">
      <c r="A1" s="36" t="s">
        <v>0</v>
      </c>
      <c r="B1" s="37"/>
      <c r="C1" s="37"/>
      <c r="D1" s="37"/>
      <c r="E1" s="37"/>
      <c r="F1" s="37"/>
      <c r="G1" s="37"/>
      <c r="H1" s="36"/>
      <c r="I1" s="49"/>
      <c r="J1" s="49"/>
      <c r="K1" s="49"/>
      <c r="L1" s="49"/>
      <c r="M1" s="49"/>
      <c r="N1" s="49"/>
      <c r="O1" s="49"/>
      <c r="P1" s="49"/>
      <c r="Q1" s="49"/>
      <c r="R1" s="36"/>
      <c r="S1" s="36"/>
      <c r="T1" s="36"/>
      <c r="U1" s="36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67"/>
      <c r="BQ1" s="67"/>
    </row>
    <row r="2" spans="1:69">
      <c r="A2" s="85" t="s">
        <v>1</v>
      </c>
      <c r="B2" s="85"/>
      <c r="C2" s="38">
        <v>3</v>
      </c>
      <c r="D2" s="39" t="s">
        <v>2</v>
      </c>
      <c r="E2" s="37"/>
      <c r="F2" s="37"/>
      <c r="G2" s="37"/>
      <c r="H2" s="36"/>
      <c r="I2" s="49" t="s">
        <v>3</v>
      </c>
      <c r="J2" s="49" t="s">
        <v>4</v>
      </c>
      <c r="K2" s="49"/>
      <c r="L2" s="49" t="s">
        <v>5</v>
      </c>
      <c r="M2" s="49">
        <v>1</v>
      </c>
      <c r="N2" s="49"/>
      <c r="O2" s="49" t="s">
        <v>6</v>
      </c>
      <c r="P2" s="49">
        <v>2</v>
      </c>
      <c r="Q2" s="49" t="s">
        <v>7</v>
      </c>
      <c r="R2" s="36"/>
      <c r="S2" s="36"/>
      <c r="T2" s="36"/>
      <c r="U2" s="36"/>
      <c r="V2" s="36">
        <v>1</v>
      </c>
      <c r="W2" s="36" t="s">
        <v>8</v>
      </c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67"/>
      <c r="BQ2" s="67"/>
    </row>
    <row r="3" spans="1:69" ht="60">
      <c r="A3" s="40" t="s">
        <v>91</v>
      </c>
      <c r="B3" s="40" t="s">
        <v>10</v>
      </c>
      <c r="C3" s="40" t="s">
        <v>92</v>
      </c>
      <c r="D3" s="40" t="s">
        <v>12</v>
      </c>
      <c r="E3" s="40" t="s">
        <v>13</v>
      </c>
      <c r="F3" s="40" t="s">
        <v>93</v>
      </c>
      <c r="G3" s="40" t="s">
        <v>15</v>
      </c>
      <c r="H3" s="40" t="s">
        <v>16</v>
      </c>
      <c r="I3" s="50" t="s">
        <v>17</v>
      </c>
      <c r="J3" s="50" t="s">
        <v>19</v>
      </c>
      <c r="K3" s="50" t="s">
        <v>18</v>
      </c>
      <c r="L3" s="51" t="s">
        <v>20</v>
      </c>
      <c r="M3" s="51" t="s">
        <v>21</v>
      </c>
      <c r="N3" s="51" t="s">
        <v>24</v>
      </c>
      <c r="O3" s="51" t="s">
        <v>25</v>
      </c>
      <c r="P3" s="51" t="s">
        <v>94</v>
      </c>
      <c r="Q3" s="51" t="s">
        <v>23</v>
      </c>
      <c r="R3" s="50" t="s">
        <v>26</v>
      </c>
      <c r="S3" s="40" t="s">
        <v>95</v>
      </c>
      <c r="T3" s="40" t="s">
        <v>28</v>
      </c>
      <c r="U3" s="52" t="s">
        <v>96</v>
      </c>
      <c r="V3" s="52" t="s">
        <v>30</v>
      </c>
      <c r="W3" s="52" t="s">
        <v>31</v>
      </c>
      <c r="X3" s="52" t="s">
        <v>32</v>
      </c>
      <c r="Y3" s="56" t="s">
        <v>33</v>
      </c>
      <c r="Z3" s="56" t="s">
        <v>34</v>
      </c>
      <c r="AA3" s="56" t="s">
        <v>35</v>
      </c>
      <c r="AB3" s="56" t="s">
        <v>36</v>
      </c>
      <c r="AC3" s="57" t="s">
        <v>37</v>
      </c>
      <c r="AD3" s="57" t="s">
        <v>38</v>
      </c>
      <c r="AE3" s="57" t="s">
        <v>39</v>
      </c>
      <c r="AF3" s="57" t="s">
        <v>40</v>
      </c>
      <c r="AG3" s="57" t="s">
        <v>41</v>
      </c>
      <c r="AH3" s="57" t="s">
        <v>42</v>
      </c>
      <c r="AI3" s="57" t="s">
        <v>43</v>
      </c>
      <c r="AJ3" s="57" t="s">
        <v>44</v>
      </c>
      <c r="AK3" s="57" t="s">
        <v>45</v>
      </c>
      <c r="AL3" s="57" t="s">
        <v>46</v>
      </c>
      <c r="AM3" s="57" t="s">
        <v>47</v>
      </c>
      <c r="AN3" s="57" t="s">
        <v>48</v>
      </c>
      <c r="AO3" s="57" t="s">
        <v>49</v>
      </c>
      <c r="AP3" s="57" t="s">
        <v>50</v>
      </c>
      <c r="AQ3" s="57" t="s">
        <v>51</v>
      </c>
      <c r="AR3" s="62" t="s">
        <v>97</v>
      </c>
      <c r="AS3" s="63" t="s">
        <v>53</v>
      </c>
      <c r="AT3" s="63" t="s">
        <v>51</v>
      </c>
      <c r="AU3" s="64" t="s">
        <v>54</v>
      </c>
      <c r="AV3" s="64" t="s">
        <v>55</v>
      </c>
      <c r="AW3" s="64" t="s">
        <v>56</v>
      </c>
      <c r="AX3" s="64" t="s">
        <v>57</v>
      </c>
      <c r="AY3" s="64" t="s">
        <v>58</v>
      </c>
      <c r="AZ3" s="64" t="s">
        <v>59</v>
      </c>
      <c r="BA3" s="64" t="s">
        <v>60</v>
      </c>
      <c r="BB3" s="64" t="s">
        <v>61</v>
      </c>
      <c r="BC3" s="68" t="s">
        <v>62</v>
      </c>
      <c r="BD3" s="68" t="s">
        <v>63</v>
      </c>
      <c r="BE3" s="68" t="s">
        <v>64</v>
      </c>
      <c r="BF3" s="64" t="s">
        <v>65</v>
      </c>
      <c r="BG3" s="64" t="s">
        <v>66</v>
      </c>
      <c r="BH3" s="64" t="s">
        <v>67</v>
      </c>
      <c r="BI3" s="64" t="s">
        <v>68</v>
      </c>
      <c r="BJ3" s="64" t="s">
        <v>69</v>
      </c>
      <c r="BK3" s="64" t="s">
        <v>70</v>
      </c>
      <c r="BL3" s="64" t="s">
        <v>71</v>
      </c>
      <c r="BM3" s="64" t="s">
        <v>72</v>
      </c>
      <c r="BN3" s="64" t="s">
        <v>73</v>
      </c>
      <c r="BO3" s="64" t="s">
        <v>59</v>
      </c>
      <c r="BP3" s="64" t="s">
        <v>74</v>
      </c>
      <c r="BQ3" s="64" t="s">
        <v>28</v>
      </c>
    </row>
    <row r="4" spans="1:69">
      <c r="A4" s="41">
        <v>1</v>
      </c>
      <c r="B4" s="41" t="s">
        <v>90</v>
      </c>
      <c r="C4" s="41" t="s">
        <v>90</v>
      </c>
      <c r="D4" s="41" t="s">
        <v>76</v>
      </c>
      <c r="E4" s="41" t="s">
        <v>76</v>
      </c>
      <c r="F4" s="42">
        <v>5</v>
      </c>
      <c r="G4" s="43" t="s">
        <v>98</v>
      </c>
      <c r="H4" s="42">
        <f>F4*G4</f>
        <v>250</v>
      </c>
      <c r="I4" s="43" t="s">
        <v>99</v>
      </c>
      <c r="J4" s="42">
        <v>8</v>
      </c>
      <c r="K4" s="42">
        <v>5</v>
      </c>
      <c r="L4" s="42">
        <f>IF(OR(I4=0,I4="0"),0,H4)</f>
        <v>250</v>
      </c>
      <c r="M4" s="42">
        <f>ROUND(L4*I4%,3)</f>
        <v>12.5</v>
      </c>
      <c r="N4" s="42">
        <f>H4-M4</f>
        <v>237.5</v>
      </c>
      <c r="O4" s="42">
        <f>ROUND(N4*J4%,3)</f>
        <v>19</v>
      </c>
      <c r="P4" s="42">
        <f>ROUND(N4-O4,2)</f>
        <v>218.5</v>
      </c>
      <c r="Q4" s="42">
        <f>ROUND(P4*K4%,2)</f>
        <v>10.93</v>
      </c>
      <c r="R4" s="53">
        <f>ROUND(M4+O4+Q4,3)</f>
        <v>42.43</v>
      </c>
      <c r="S4" s="53">
        <f>(H4-R4)</f>
        <v>207.57</v>
      </c>
      <c r="T4" s="42">
        <v>88363222</v>
      </c>
      <c r="U4" s="42">
        <v>0</v>
      </c>
      <c r="V4" s="42">
        <f>IF(OR($C$2=1,$C$2=4),ROUND((((S4*U4)/100)/2),2),0)</f>
        <v>0</v>
      </c>
      <c r="W4" s="42">
        <f>IF($C$2=1,ROUND((((S4*U4)/100)/2),2),0)</f>
        <v>0</v>
      </c>
      <c r="X4" s="42">
        <f>IF($C$2=2,ROUND(((S4*U4)/100),2),0)</f>
        <v>0</v>
      </c>
      <c r="Y4" s="42">
        <f>IF($C$2=4,ROUND((((S4*U4)/100)/2),2),0)</f>
        <v>0</v>
      </c>
      <c r="Z4" s="42">
        <v>0</v>
      </c>
      <c r="AA4" s="42">
        <f>IF($C2=3,0,(S4*Z4)/100)</f>
        <v>0</v>
      </c>
      <c r="AB4" s="42">
        <f>V4+W4+X4+Y4+AA4</f>
        <v>0</v>
      </c>
      <c r="AC4" s="58">
        <f>IF($V2=1,S4+AB4,S4)</f>
        <v>207.57</v>
      </c>
      <c r="AD4" s="53">
        <v>120</v>
      </c>
      <c r="AE4" s="53">
        <f>IF($P$2=1,(S4/$S$5)*$E$16,AD4/$AD$5*$E$16)</f>
        <v>0</v>
      </c>
      <c r="AF4" s="53"/>
      <c r="AG4" s="53">
        <f>IF($P$2=1,(S4/$S$5)*$E$18,AD4/$AD$5*$E$18)</f>
        <v>0</v>
      </c>
      <c r="AH4" s="53">
        <f>IF($P$2=1,(S4/$S$5)*$E$19,AD4/$AD$5*$E$19)</f>
        <v>0</v>
      </c>
      <c r="AI4" s="53">
        <f>S4*$M2</f>
        <v>207.57</v>
      </c>
      <c r="AJ4" s="53">
        <f>IF($C$2=3,0,AG4+AH4)</f>
        <v>0</v>
      </c>
      <c r="AK4" s="53">
        <f>IF($C$2=3,AE4+AG4+AH4,0)</f>
        <v>0</v>
      </c>
      <c r="AL4" s="61">
        <v>1</v>
      </c>
      <c r="AM4" s="53">
        <f>F4/AL4</f>
        <v>5</v>
      </c>
      <c r="AN4" s="53">
        <f>ROUND(AI4/AM4,5)</f>
        <v>41.514000000000003</v>
      </c>
      <c r="AO4" s="53">
        <f>AJ4/AM4</f>
        <v>0</v>
      </c>
      <c r="AP4" s="53">
        <f>AK4/AM4</f>
        <v>0</v>
      </c>
      <c r="AQ4" s="53" t="s">
        <v>76</v>
      </c>
      <c r="AR4" s="53">
        <f>ROUND(AN4+AO4+AP4,5)</f>
        <v>41.514000000000003</v>
      </c>
      <c r="AS4" s="65" t="s">
        <v>100</v>
      </c>
      <c r="AT4" s="66" t="s">
        <v>76</v>
      </c>
      <c r="AU4" s="43" t="s">
        <v>101</v>
      </c>
      <c r="AV4" s="43" t="s">
        <v>102</v>
      </c>
      <c r="AW4" s="66">
        <f>AM4</f>
        <v>5</v>
      </c>
      <c r="AX4" s="69">
        <f>AR4</f>
        <v>41.514000000000003</v>
      </c>
      <c r="AY4" s="66">
        <f>AU4+AW4</f>
        <v>20</v>
      </c>
      <c r="AZ4" s="66">
        <f>ROUND(((AU4*AV4)+(AW4*AX4))/(AU4+AW4),3)</f>
        <v>41.515000000000001</v>
      </c>
      <c r="BA4" s="70"/>
      <c r="BB4" s="70" t="s">
        <v>80</v>
      </c>
      <c r="BC4" s="71" t="s">
        <v>81</v>
      </c>
      <c r="BD4" s="72" t="s">
        <v>82</v>
      </c>
      <c r="BE4" s="72" t="s">
        <v>83</v>
      </c>
      <c r="BF4" s="70"/>
      <c r="BG4" s="70"/>
      <c r="BH4" s="70"/>
      <c r="BI4" s="66"/>
      <c r="BJ4" s="66"/>
      <c r="BK4" s="66"/>
      <c r="BL4" s="73" t="s">
        <v>103</v>
      </c>
      <c r="BM4" s="43" t="s">
        <v>102</v>
      </c>
      <c r="BN4" s="43" t="s">
        <v>99</v>
      </c>
      <c r="BO4" s="66">
        <f>ROUND((((AW4*AZ4)+(BN4*BM4))/(AW4+BN4)),5)</f>
        <v>41.515000000000001</v>
      </c>
      <c r="BP4" s="74">
        <f>ROUND(BN4+AW4,3)</f>
        <v>10</v>
      </c>
      <c r="BQ4" s="75">
        <v>123562</v>
      </c>
    </row>
    <row r="5" spans="1:69">
      <c r="A5" s="44"/>
      <c r="B5" s="45"/>
      <c r="C5" s="45"/>
      <c r="D5" s="46" t="s">
        <v>87</v>
      </c>
      <c r="E5" s="46"/>
      <c r="F5" s="46"/>
      <c r="G5" s="47"/>
      <c r="H5" s="48">
        <f>SUM(H4:H4)</f>
        <v>250</v>
      </c>
      <c r="I5" s="41"/>
      <c r="J5" s="41"/>
      <c r="K5" s="41"/>
      <c r="L5" s="41"/>
      <c r="M5" s="41"/>
      <c r="N5" s="41"/>
      <c r="O5" s="41"/>
      <c r="P5" s="41"/>
      <c r="Q5" s="41"/>
      <c r="R5" s="54">
        <f t="shared" ref="R5:X5" si="0">SUM(R4:R4)</f>
        <v>42.43</v>
      </c>
      <c r="S5" s="48">
        <f t="shared" si="0"/>
        <v>207.57</v>
      </c>
      <c r="T5" s="54"/>
      <c r="U5" s="54"/>
      <c r="V5" s="55">
        <f t="shared" si="0"/>
        <v>0</v>
      </c>
      <c r="W5" s="55">
        <f t="shared" si="0"/>
        <v>0</v>
      </c>
      <c r="X5" s="55">
        <f t="shared" si="0"/>
        <v>0</v>
      </c>
      <c r="Y5" s="55"/>
      <c r="Z5" s="55"/>
      <c r="AA5" s="55"/>
      <c r="AB5" s="54">
        <f t="shared" ref="AB5:AE5" si="1">SUM(AB4:AB4)</f>
        <v>0</v>
      </c>
      <c r="AC5" s="59">
        <f t="shared" si="1"/>
        <v>207.57</v>
      </c>
      <c r="AD5" s="60">
        <f t="shared" si="1"/>
        <v>120</v>
      </c>
      <c r="AE5" s="60">
        <f t="shared" si="1"/>
        <v>0</v>
      </c>
      <c r="AF5" s="59"/>
      <c r="AG5" s="60">
        <f t="shared" ref="AG5:AK5" si="2">SUM(AG4:AG4)</f>
        <v>0</v>
      </c>
      <c r="AH5" s="60">
        <f>IF($P$2=1,(S5/$S$5)*$E$19,AD5/$AD$5*$E$19)</f>
        <v>0</v>
      </c>
      <c r="AI5" s="60">
        <f t="shared" si="2"/>
        <v>207.57</v>
      </c>
      <c r="AJ5" s="60">
        <f t="shared" si="2"/>
        <v>0</v>
      </c>
      <c r="AK5" s="60">
        <f t="shared" si="2"/>
        <v>0</v>
      </c>
      <c r="AL5" s="59"/>
      <c r="AM5" s="59"/>
      <c r="AN5" s="59"/>
      <c r="AO5" s="59"/>
      <c r="AP5" s="59"/>
      <c r="AQ5" s="59"/>
      <c r="AR5" s="59"/>
      <c r="AS5" s="44"/>
      <c r="AT5" s="44"/>
      <c r="AU5" s="67"/>
      <c r="AV5" s="67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67"/>
      <c r="BQ5" s="6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opLeftCell="H1" workbookViewId="0">
      <selection activeCell="V16" sqref="V16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106</v>
      </c>
      <c r="C4" s="6" t="s">
        <v>107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1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106</v>
      </c>
      <c r="C9" s="6" t="s">
        <v>107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18</v>
      </c>
      <c r="V9" s="9">
        <f>IF($C$7=1,ROUND(((S9*(U9/100))/2),2),0)</f>
        <v>56.06</v>
      </c>
      <c r="W9" s="9">
        <f>IF($C$7=1,ROUND(((S9*(U9/100))/2),2),0)</f>
        <v>56.06</v>
      </c>
      <c r="X9" s="10">
        <f>IF($C$7=2,ROUND(((S9*U9)),2),0)</f>
        <v>0</v>
      </c>
      <c r="Y9" s="9">
        <f>V9+W9+X9</f>
        <v>112.12</v>
      </c>
      <c r="Z9" s="9">
        <f>S9+Y9</f>
        <v>734.99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 t="e">
        <f>IF($C$7=3,0,AD9+AE9)</f>
        <v>#REF!</v>
      </c>
      <c r="AH9" s="9">
        <f>IF($C$7=3,AB9+AD9+AE9,0)</f>
        <v>0</v>
      </c>
      <c r="AI9" s="8">
        <v>1</v>
      </c>
      <c r="AJ9" s="9">
        <f>F9/AI9</f>
        <v>5</v>
      </c>
      <c r="AK9" s="9">
        <f>AF9/AJ9</f>
        <v>124.574</v>
      </c>
      <c r="AL9" s="9" t="e">
        <f>AG9/AJ9</f>
        <v>#REF!</v>
      </c>
      <c r="AM9" s="9">
        <f>AH9/AJ9</f>
        <v>0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28">
        <f t="shared" si="0"/>
        <v>56.06</v>
      </c>
      <c r="W10" s="28">
        <f t="shared" si="0"/>
        <v>56.06</v>
      </c>
      <c r="X10" s="12">
        <f t="shared" si="0"/>
        <v>0</v>
      </c>
      <c r="Y10" s="27">
        <f t="shared" si="0"/>
        <v>112.12</v>
      </c>
      <c r="Z10" s="31">
        <f t="shared" si="0"/>
        <v>734.99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 t="e">
        <f t="shared" si="1"/>
        <v>#REF!</v>
      </c>
      <c r="AH10" s="32">
        <f t="shared" si="1"/>
        <v>0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opLeftCell="H1" workbookViewId="0">
      <selection activeCell="U14" sqref="U14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106</v>
      </c>
      <c r="C4" s="6" t="s">
        <v>107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3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106</v>
      </c>
      <c r="C9" s="6" t="s">
        <v>107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0</v>
      </c>
      <c r="V9" s="10">
        <f>IF($C$7=1,ROUND(((S9*(U9/100))/2),2),0)</f>
        <v>0</v>
      </c>
      <c r="W9" s="10">
        <f>IF($C$7=1,ROUND(((S9*(U9/100))/2),2),0)</f>
        <v>0</v>
      </c>
      <c r="X9" s="10">
        <f>IF($C$7=2,ROUND(((S9*U9)),2),0)</f>
        <v>0</v>
      </c>
      <c r="Y9" s="10">
        <f>V9+W9+X9</f>
        <v>0</v>
      </c>
      <c r="Z9" s="9">
        <f>S9+Y9</f>
        <v>622.87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>
        <f>IF($C$7=3,0,AD9+AE9)</f>
        <v>0</v>
      </c>
      <c r="AH9" s="9" t="e">
        <f>IF($C$7=3,AB9+AD9+AE9,0)</f>
        <v>#REF!</v>
      </c>
      <c r="AI9" s="8">
        <v>1</v>
      </c>
      <c r="AJ9" s="9">
        <f>F9/AI9</f>
        <v>5</v>
      </c>
      <c r="AK9" s="9">
        <f>AF9/AJ9</f>
        <v>124.574</v>
      </c>
      <c r="AL9" s="9">
        <f>AG9/AJ9</f>
        <v>0</v>
      </c>
      <c r="AM9" s="9" t="e">
        <f>AH9/AJ9</f>
        <v>#REF!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12">
        <f t="shared" si="0"/>
        <v>0</v>
      </c>
      <c r="W10" s="12">
        <f t="shared" si="0"/>
        <v>0</v>
      </c>
      <c r="X10" s="12">
        <f t="shared" si="0"/>
        <v>0</v>
      </c>
      <c r="Y10" s="12">
        <f t="shared" si="0"/>
        <v>0</v>
      </c>
      <c r="Z10" s="31">
        <f t="shared" si="0"/>
        <v>622.87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>
        <f t="shared" si="1"/>
        <v>0</v>
      </c>
      <c r="AH10" s="32" t="e">
        <f t="shared" si="1"/>
        <v>#REF!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opLeftCell="G1" workbookViewId="0">
      <selection activeCell="W14" sqref="W14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88</v>
      </c>
      <c r="C4" s="6" t="s">
        <v>110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1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88</v>
      </c>
      <c r="C9" s="6" t="s">
        <v>110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18</v>
      </c>
      <c r="V9" s="9">
        <f>IF($C$7=1,ROUND(((S9*(U9/100))/2),2),0)</f>
        <v>56.06</v>
      </c>
      <c r="W9" s="9">
        <f>IF($C$7=1,ROUND(((S9*(U9/100))/2),2),0)</f>
        <v>56.06</v>
      </c>
      <c r="X9" s="10">
        <f>IF($C$7=2,ROUND(((S9*U9)),2),0)</f>
        <v>0</v>
      </c>
      <c r="Y9" s="9">
        <f>V9+W9+X9</f>
        <v>112.12</v>
      </c>
      <c r="Z9" s="9">
        <f>S9+Y9</f>
        <v>734.99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 t="e">
        <f>IF($C$7=3,0,AD9+AE9)</f>
        <v>#REF!</v>
      </c>
      <c r="AH9" s="9">
        <f>IF($C$7=3,AB9+AD9+AE9,0)</f>
        <v>0</v>
      </c>
      <c r="AI9" s="8">
        <v>1</v>
      </c>
      <c r="AJ9" s="9">
        <f>F9/AI9</f>
        <v>5</v>
      </c>
      <c r="AK9" s="9">
        <f>AF9/AJ9</f>
        <v>124.574</v>
      </c>
      <c r="AL9" s="9" t="e">
        <f>AG9/AJ9</f>
        <v>#REF!</v>
      </c>
      <c r="AM9" s="9">
        <f>AH9/AJ9</f>
        <v>0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28">
        <f t="shared" si="0"/>
        <v>56.06</v>
      </c>
      <c r="W10" s="28">
        <f t="shared" si="0"/>
        <v>56.06</v>
      </c>
      <c r="X10" s="12">
        <f t="shared" si="0"/>
        <v>0</v>
      </c>
      <c r="Y10" s="27">
        <f t="shared" si="0"/>
        <v>112.12</v>
      </c>
      <c r="Z10" s="31">
        <f t="shared" si="0"/>
        <v>734.99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 t="e">
        <f t="shared" si="1"/>
        <v>#REF!</v>
      </c>
      <c r="AH10" s="32">
        <f t="shared" si="1"/>
        <v>0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opLeftCell="E1" workbookViewId="0">
      <selection activeCell="U14" sqref="U14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88</v>
      </c>
      <c r="C4" s="6" t="s">
        <v>110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3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88</v>
      </c>
      <c r="C9" s="6" t="s">
        <v>110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0</v>
      </c>
      <c r="V9" s="10">
        <f>IF($C$7=1,ROUND(((S9*(U9/100))/2),2),0)</f>
        <v>0</v>
      </c>
      <c r="W9" s="10">
        <f>IF($C$7=1,ROUND(((S9*(U9/100))/2),2),0)</f>
        <v>0</v>
      </c>
      <c r="X9" s="10">
        <f>IF($C$7=2,ROUND(((S9*U9)),2),0)</f>
        <v>0</v>
      </c>
      <c r="Y9" s="10">
        <f>V9+W9+X9</f>
        <v>0</v>
      </c>
      <c r="Z9" s="9">
        <f>S9+Y9</f>
        <v>622.87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>
        <f>IF($C$7=3,0,AD9+AE9)</f>
        <v>0</v>
      </c>
      <c r="AH9" s="9" t="e">
        <f>IF($C$7=3,AB9+AD9+AE9,0)</f>
        <v>#REF!</v>
      </c>
      <c r="AI9" s="8">
        <v>1</v>
      </c>
      <c r="AJ9" s="9">
        <f>F9/AI9</f>
        <v>5</v>
      </c>
      <c r="AK9" s="9">
        <f>AF9/AJ9</f>
        <v>124.574</v>
      </c>
      <c r="AL9" s="9">
        <f>AG9/AJ9</f>
        <v>0</v>
      </c>
      <c r="AM9" s="9" t="e">
        <f>AH9/AJ9</f>
        <v>#REF!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12">
        <f t="shared" si="0"/>
        <v>0</v>
      </c>
      <c r="W10" s="12">
        <f t="shared" si="0"/>
        <v>0</v>
      </c>
      <c r="X10" s="12">
        <f t="shared" si="0"/>
        <v>0</v>
      </c>
      <c r="Y10" s="12">
        <f t="shared" si="0"/>
        <v>0</v>
      </c>
      <c r="Z10" s="31">
        <f t="shared" si="0"/>
        <v>622.87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>
        <f t="shared" si="1"/>
        <v>0</v>
      </c>
      <c r="AH10" s="32" t="e">
        <f t="shared" si="1"/>
        <v>#REF!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abSelected="1" topLeftCell="D1" workbookViewId="0">
      <selection activeCell="P16" sqref="P16"/>
    </sheetView>
  </sheetViews>
  <sheetFormatPr defaultColWidth="8.7109375" defaultRowHeight="15"/>
  <cols>
    <col min="2" max="2" width="17.85546875" customWidth="1"/>
    <col min="3" max="3" width="22" customWidth="1"/>
    <col min="24" max="24" width="9.7109375" bestFit="1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90</v>
      </c>
      <c r="C4" s="6" t="s">
        <v>90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1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90</v>
      </c>
      <c r="C9" s="6" t="s">
        <v>90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18</v>
      </c>
      <c r="V9" s="9">
        <f>IF($C$7=1,ROUND(((S9*(U9/100))/2),2),0)</f>
        <v>56.06</v>
      </c>
      <c r="W9" s="9">
        <f>IF($C$7=1,ROUND(((S9*(U9/100))/2),2),0)</f>
        <v>56.06</v>
      </c>
      <c r="X9" s="10">
        <f>IF($C$7=2,ROUND(((S9*U9)),2),0)</f>
        <v>0</v>
      </c>
      <c r="Y9" s="9">
        <f>V9+W9+X9</f>
        <v>112.12</v>
      </c>
      <c r="Z9" s="9">
        <f>S9+Y9</f>
        <v>734.99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 t="e">
        <f>IF($C$7=3,0,AD9+AE9)</f>
        <v>#REF!</v>
      </c>
      <c r="AH9" s="9">
        <f>IF($C$7=3,AB9+AD9+AE9,0)</f>
        <v>0</v>
      </c>
      <c r="AI9" s="8">
        <v>1</v>
      </c>
      <c r="AJ9" s="9">
        <f>F9/AI9</f>
        <v>5</v>
      </c>
      <c r="AK9" s="9">
        <f>AF9/AJ9</f>
        <v>124.574</v>
      </c>
      <c r="AL9" s="9" t="e">
        <f>AG9/AJ9</f>
        <v>#REF!</v>
      </c>
      <c r="AM9" s="9">
        <f>AH9/AJ9</f>
        <v>0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28">
        <f t="shared" si="0"/>
        <v>56.06</v>
      </c>
      <c r="W10" s="28">
        <f t="shared" si="0"/>
        <v>56.06</v>
      </c>
      <c r="X10" s="12">
        <f>SUM(X9:X9)</f>
        <v>0</v>
      </c>
      <c r="Y10" s="27">
        <f t="shared" si="0"/>
        <v>112.12</v>
      </c>
      <c r="Z10" s="31">
        <f t="shared" si="0"/>
        <v>734.99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 t="e">
        <f t="shared" si="1"/>
        <v>#REF!</v>
      </c>
      <c r="AH10" s="32">
        <f t="shared" si="1"/>
        <v>0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"/>
  <sheetViews>
    <sheetView topLeftCell="G1" workbookViewId="0">
      <selection activeCell="T14" sqref="T14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2" ht="18.75">
      <c r="A1" s="86" t="s">
        <v>104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8.7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42">
      <c r="A4" s="6">
        <v>1</v>
      </c>
      <c r="B4" s="7" t="s">
        <v>90</v>
      </c>
      <c r="C4" s="6" t="s">
        <v>90</v>
      </c>
      <c r="D4" s="6" t="s">
        <v>76</v>
      </c>
      <c r="E4" s="6" t="s">
        <v>76</v>
      </c>
      <c r="F4" s="8">
        <v>5</v>
      </c>
      <c r="G4" s="9">
        <v>150</v>
      </c>
      <c r="H4" s="10">
        <f>F4*G4</f>
        <v>750</v>
      </c>
      <c r="I4" s="20"/>
      <c r="J4" s="20"/>
      <c r="K4" s="20"/>
      <c r="L4" s="21"/>
      <c r="M4" s="21"/>
      <c r="N4" s="21"/>
      <c r="O4" s="21"/>
      <c r="P4" s="21"/>
      <c r="Q4" s="21"/>
      <c r="R4" s="21"/>
      <c r="S4" s="21"/>
      <c r="T4" s="21"/>
      <c r="U4" s="20"/>
      <c r="V4" s="20"/>
      <c r="W4" s="20"/>
      <c r="X4" s="20"/>
      <c r="Y4" s="21"/>
      <c r="Z4" s="2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42">
      <c r="A5" s="11"/>
      <c r="B5" s="87" t="s">
        <v>87</v>
      </c>
      <c r="C5" s="87"/>
      <c r="D5" s="87"/>
      <c r="E5" s="87"/>
      <c r="F5" s="87"/>
      <c r="G5" s="87"/>
      <c r="H5" s="12">
        <f>SUM(H4:H4)</f>
        <v>750</v>
      </c>
      <c r="I5" s="22"/>
      <c r="J5" s="22"/>
      <c r="K5" s="22"/>
      <c r="L5" s="22"/>
      <c r="M5" s="22"/>
      <c r="N5" s="22"/>
      <c r="O5" s="22"/>
      <c r="P5" s="22"/>
      <c r="Q5" s="22"/>
      <c r="R5" s="13"/>
      <c r="S5" s="13"/>
      <c r="T5" s="13"/>
      <c r="U5" s="13"/>
      <c r="V5" s="13"/>
      <c r="W5" s="13"/>
      <c r="X5" s="13"/>
      <c r="Y5" s="13"/>
      <c r="Z5" s="13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>
      <c r="A6" s="13" t="s">
        <v>0</v>
      </c>
      <c r="B6" s="14"/>
      <c r="C6" s="14"/>
      <c r="D6" s="14"/>
      <c r="E6" s="14"/>
      <c r="F6" s="14"/>
      <c r="G6" s="14"/>
      <c r="H6" s="13"/>
      <c r="I6" s="23"/>
      <c r="J6" s="23"/>
      <c r="K6" s="23"/>
      <c r="L6" s="23"/>
      <c r="M6" s="23"/>
      <c r="N6" s="23"/>
      <c r="O6" s="23"/>
      <c r="P6" s="23"/>
      <c r="Q6" s="2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1"/>
    </row>
    <row r="7" spans="1:42">
      <c r="A7" s="88" t="s">
        <v>1</v>
      </c>
      <c r="B7" s="88"/>
      <c r="C7" s="15">
        <v>3</v>
      </c>
      <c r="D7" s="16" t="s">
        <v>108</v>
      </c>
      <c r="E7" s="14"/>
      <c r="F7" s="14"/>
      <c r="G7" s="14"/>
      <c r="H7" s="13"/>
      <c r="I7" s="23" t="s">
        <v>3</v>
      </c>
      <c r="J7" s="23" t="s">
        <v>4</v>
      </c>
      <c r="K7" s="23"/>
      <c r="L7" s="23" t="s">
        <v>5</v>
      </c>
      <c r="M7" s="23">
        <v>1</v>
      </c>
      <c r="N7" s="23"/>
      <c r="O7" s="23" t="s">
        <v>6</v>
      </c>
      <c r="P7" s="23">
        <v>2</v>
      </c>
      <c r="Q7" s="23" t="s">
        <v>7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1"/>
    </row>
    <row r="8" spans="1:42" ht="60">
      <c r="A8" s="17" t="s">
        <v>9</v>
      </c>
      <c r="B8" s="17" t="s">
        <v>10</v>
      </c>
      <c r="C8" s="18" t="s">
        <v>11</v>
      </c>
      <c r="D8" s="17" t="s">
        <v>12</v>
      </c>
      <c r="E8" s="17" t="s">
        <v>13</v>
      </c>
      <c r="F8" s="19" t="s">
        <v>14</v>
      </c>
      <c r="G8" s="17" t="s">
        <v>15</v>
      </c>
      <c r="H8" s="17" t="s">
        <v>16</v>
      </c>
      <c r="I8" s="24" t="s">
        <v>17</v>
      </c>
      <c r="J8" s="24" t="s">
        <v>18</v>
      </c>
      <c r="K8" s="24" t="s">
        <v>19</v>
      </c>
      <c r="L8" s="25" t="s">
        <v>20</v>
      </c>
      <c r="M8" s="25" t="s">
        <v>21</v>
      </c>
      <c r="N8" s="25" t="s">
        <v>22</v>
      </c>
      <c r="O8" s="25" t="s">
        <v>23</v>
      </c>
      <c r="P8" s="25" t="s">
        <v>24</v>
      </c>
      <c r="Q8" s="25" t="s">
        <v>25</v>
      </c>
      <c r="R8" s="24" t="s">
        <v>26</v>
      </c>
      <c r="S8" s="17" t="s">
        <v>27</v>
      </c>
      <c r="T8" s="17" t="s">
        <v>28</v>
      </c>
      <c r="U8" s="26" t="s">
        <v>29</v>
      </c>
      <c r="V8" s="26" t="s">
        <v>30</v>
      </c>
      <c r="W8" s="26" t="s">
        <v>31</v>
      </c>
      <c r="X8" s="26" t="s">
        <v>32</v>
      </c>
      <c r="Y8" s="26" t="s">
        <v>36</v>
      </c>
      <c r="Z8" s="29" t="s">
        <v>37</v>
      </c>
      <c r="AA8" s="29" t="s">
        <v>38</v>
      </c>
      <c r="AB8" s="30" t="s">
        <v>39</v>
      </c>
      <c r="AC8" s="30" t="s">
        <v>40</v>
      </c>
      <c r="AD8" s="30" t="s">
        <v>41</v>
      </c>
      <c r="AE8" s="29" t="s">
        <v>42</v>
      </c>
      <c r="AF8" s="29" t="s">
        <v>43</v>
      </c>
      <c r="AG8" s="30" t="s">
        <v>44</v>
      </c>
      <c r="AH8" s="30" t="s">
        <v>45</v>
      </c>
      <c r="AI8" s="29" t="s">
        <v>46</v>
      </c>
      <c r="AJ8" s="29" t="s">
        <v>47</v>
      </c>
      <c r="AK8" s="30" t="s">
        <v>48</v>
      </c>
      <c r="AL8" s="30" t="s">
        <v>49</v>
      </c>
      <c r="AM8" s="30" t="s">
        <v>50</v>
      </c>
      <c r="AN8" s="29" t="s">
        <v>51</v>
      </c>
      <c r="AO8" s="33" t="s">
        <v>52</v>
      </c>
      <c r="AP8" s="34"/>
    </row>
    <row r="9" spans="1:42">
      <c r="A9" s="6">
        <v>1</v>
      </c>
      <c r="B9" s="7" t="s">
        <v>90</v>
      </c>
      <c r="C9" s="6" t="s">
        <v>90</v>
      </c>
      <c r="D9" s="6" t="s">
        <v>76</v>
      </c>
      <c r="E9" s="6" t="s">
        <v>76</v>
      </c>
      <c r="F9" s="8">
        <v>5</v>
      </c>
      <c r="G9" s="9">
        <v>150</v>
      </c>
      <c r="H9" s="10">
        <f>F9*G9</f>
        <v>750</v>
      </c>
      <c r="I9" s="10">
        <v>5</v>
      </c>
      <c r="J9" s="10">
        <v>6</v>
      </c>
      <c r="K9" s="10">
        <v>7</v>
      </c>
      <c r="L9" s="10">
        <f>H9</f>
        <v>750</v>
      </c>
      <c r="M9" s="10">
        <f>ROUND((L9*I9)/100,2)</f>
        <v>37.5</v>
      </c>
      <c r="N9" s="10">
        <f>H9-M9</f>
        <v>712.5</v>
      </c>
      <c r="O9" s="10">
        <f>ROUND((N9*J9)/100,2)</f>
        <v>42.75</v>
      </c>
      <c r="P9" s="10">
        <f>ROUND(N9-O9,2)</f>
        <v>669.75</v>
      </c>
      <c r="Q9" s="10">
        <f>ROUND((P9*K9)/100,2)</f>
        <v>46.88</v>
      </c>
      <c r="R9" s="9">
        <f>M9+O9+Q9</f>
        <v>127.13</v>
      </c>
      <c r="S9" s="9">
        <f>(H9-R9)</f>
        <v>622.87</v>
      </c>
      <c r="T9" s="9" t="s">
        <v>109</v>
      </c>
      <c r="U9" s="10">
        <v>0</v>
      </c>
      <c r="V9" s="10">
        <f>IF($C$7=1,ROUND(((S9*(U9/100))/2),2),0)</f>
        <v>0</v>
      </c>
      <c r="W9" s="10">
        <f>IF($C$7=1,ROUND(((S9*(U9/100))/2),2),0)</f>
        <v>0</v>
      </c>
      <c r="X9" s="10">
        <f>IF($C$7=2,ROUND(((S9*U9)),2),0)</f>
        <v>0</v>
      </c>
      <c r="Y9" s="10">
        <f>V9+W9+X9</f>
        <v>0</v>
      </c>
      <c r="Z9" s="9">
        <f>S9+Y9</f>
        <v>622.87</v>
      </c>
      <c r="AA9" s="9">
        <v>120</v>
      </c>
      <c r="AB9" s="9" t="e">
        <f>IF($P$7=1,(S9/$S$10)*#REF!,AA9/$AA$10*#REF!)</f>
        <v>#REF!</v>
      </c>
      <c r="AC9" s="9"/>
      <c r="AD9" s="9" t="e">
        <f>IF($P$7=1,(S9/$S$10)*#REF!,AA9/$AA$10*#REF!)</f>
        <v>#REF!</v>
      </c>
      <c r="AE9" s="9" t="e">
        <f>IF($P$7=1,(S9/$S$10)*#REF!,AA9/$AA$10*#REF!)</f>
        <v>#REF!</v>
      </c>
      <c r="AF9" s="9">
        <f>S9*$M$7</f>
        <v>622.87</v>
      </c>
      <c r="AG9" s="9">
        <f>IF($C$7=3,0,AD9+AE9)</f>
        <v>0</v>
      </c>
      <c r="AH9" s="9" t="e">
        <f>IF($C$7=3,AB9+AD9+AE9,0)</f>
        <v>#REF!</v>
      </c>
      <c r="AI9" s="8">
        <v>1</v>
      </c>
      <c r="AJ9" s="9">
        <f>F9/AI9</f>
        <v>5</v>
      </c>
      <c r="AK9" s="9">
        <f>AF9/AJ9</f>
        <v>124.574</v>
      </c>
      <c r="AL9" s="9">
        <f>AG9/AJ9</f>
        <v>0</v>
      </c>
      <c r="AM9" s="9" t="e">
        <f>AH9/AJ9</f>
        <v>#REF!</v>
      </c>
      <c r="AN9" s="9" t="s">
        <v>76</v>
      </c>
      <c r="AO9" s="9" t="e">
        <f>AK9+AL9+AM9</f>
        <v>#REF!</v>
      </c>
      <c r="AP9" s="11"/>
    </row>
    <row r="10" spans="1:42">
      <c r="A10" s="11"/>
      <c r="B10" s="89" t="s">
        <v>87</v>
      </c>
      <c r="C10" s="89"/>
      <c r="D10" s="89"/>
      <c r="E10" s="89"/>
      <c r="F10" s="89"/>
      <c r="G10" s="89"/>
      <c r="H10" s="12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7">
        <f t="shared" ref="R10:AB10" si="0">SUM(R9:R9)</f>
        <v>127.13</v>
      </c>
      <c r="S10" s="27">
        <f t="shared" si="0"/>
        <v>622.87</v>
      </c>
      <c r="T10" s="27"/>
      <c r="U10" s="27"/>
      <c r="V10" s="12">
        <f t="shared" si="0"/>
        <v>0</v>
      </c>
      <c r="W10" s="12">
        <f t="shared" si="0"/>
        <v>0</v>
      </c>
      <c r="X10" s="12">
        <f t="shared" si="0"/>
        <v>0</v>
      </c>
      <c r="Y10" s="12">
        <f t="shared" si="0"/>
        <v>0</v>
      </c>
      <c r="Z10" s="31">
        <f t="shared" si="0"/>
        <v>622.87</v>
      </c>
      <c r="AA10" s="32">
        <f t="shared" si="0"/>
        <v>120</v>
      </c>
      <c r="AB10" s="32" t="e">
        <f t="shared" si="0"/>
        <v>#REF!</v>
      </c>
      <c r="AC10" s="31"/>
      <c r="AD10" s="32" t="e">
        <f t="shared" ref="AD10:AH10" si="1">SUM(AD9:AD9)</f>
        <v>#REF!</v>
      </c>
      <c r="AE10" s="32" t="e">
        <f t="shared" si="1"/>
        <v>#REF!</v>
      </c>
      <c r="AF10" s="32">
        <f t="shared" si="1"/>
        <v>622.87</v>
      </c>
      <c r="AG10" s="32">
        <f t="shared" si="1"/>
        <v>0</v>
      </c>
      <c r="AH10" s="32" t="e">
        <f t="shared" si="1"/>
        <v>#REF!</v>
      </c>
      <c r="AI10" s="31"/>
      <c r="AJ10" s="31"/>
      <c r="AK10" s="31"/>
      <c r="AL10" s="31"/>
      <c r="AM10" s="31"/>
      <c r="AN10" s="31"/>
      <c r="AO10" s="31"/>
      <c r="AP10" s="11"/>
    </row>
  </sheetData>
  <mergeCells count="4">
    <mergeCell ref="A1:Z1"/>
    <mergeCell ref="B5:G5"/>
    <mergeCell ref="A7:B7"/>
    <mergeCell ref="B10:G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2025-12-29T12:28:22Z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