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 firstSheet="10" activeTab="11"/>
  </bookViews>
  <sheets>
    <sheet name="DomesticPoFOCUDGeneralSameUOM" sheetId="11" r:id="rId1"/>
    <sheet name="DomesticPoFOCUDGeneralDiffUOM" sheetId="22" r:id="rId2"/>
    <sheet name="ImportPoFOCUDGeneralDiffUOM" sheetId="23" r:id="rId3"/>
    <sheet name="DomesticPoFOCUDServiceSameUOM" sheetId="21" r:id="rId4"/>
    <sheet name="ImportPoFOCUDGeneralSameUOM" sheetId="17" r:id="rId5"/>
    <sheet name="ImportPoFOCUDServiceSameUOM" sheetId="13" r:id="rId6"/>
    <sheet name="DomesticPRPoFOCUDGeneralSameUOM" sheetId="24" r:id="rId7"/>
    <sheet name="ImportPRPoFOCUDGeneralSameUOM" sheetId="27" r:id="rId8"/>
    <sheet name="DomesticPRPoFOCUDGeneralDiffUOM" sheetId="26" r:id="rId9"/>
    <sheet name="ImportPRPoFOCUDGeneralDiffUOM" sheetId="28" r:id="rId10"/>
    <sheet name="DomesticPRPoFOCUDServiceSameUOM" sheetId="25" r:id="rId11"/>
    <sheet name="ImportPRPoFOCUDServiceSameUOM" sheetId="2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<sst xmlns="http://schemas.openxmlformats.org/spreadsheetml/2006/main" count="998" uniqueCount="111">
  <si>
    <t>Purchase Order &amp; GRN</t>
  </si>
  <si>
    <t>GST Purchase</t>
  </si>
  <si>
    <t>(1 - Local Purchase,2 Interstate Purchase, 3 Import Purchase,4-UTGST)</t>
  </si>
  <si>
    <t xml:space="preserve">Cur. </t>
  </si>
  <si>
    <t>INR</t>
  </si>
  <si>
    <t>Ex. Rate</t>
  </si>
  <si>
    <t>Apportion Basis</t>
  </si>
  <si>
    <t>1 - Value Based, 2 Weight/Volume Based</t>
  </si>
  <si>
    <t>(1 - Registered, 2 - Unregistered)</t>
  </si>
  <si>
    <t>S. No.</t>
  </si>
  <si>
    <t>Item</t>
  </si>
  <si>
    <t>Item Desc.</t>
  </si>
  <si>
    <t>Stk. UOM</t>
  </si>
  <si>
    <t>Pur. UOM</t>
  </si>
  <si>
    <t>Order Qty (Pur UOM)</t>
  </si>
  <si>
    <t>Unit Cost</t>
  </si>
  <si>
    <t>Gross Amt.</t>
  </si>
  <si>
    <t>TD%</t>
  </si>
  <si>
    <t>SD%</t>
  </si>
  <si>
    <t>CD%</t>
  </si>
  <si>
    <t>TD Asbl. Val.</t>
  </si>
  <si>
    <t>TD Amt.</t>
  </si>
  <si>
    <t>SD Asbl. Val.</t>
  </si>
  <si>
    <t>SD Amt.</t>
  </si>
  <si>
    <t>CD Asbl. Val.</t>
  </si>
  <si>
    <t>CD Amt.</t>
  </si>
  <si>
    <t>Disc. Amt.</t>
  </si>
  <si>
    <t>Pur. Val.</t>
  </si>
  <si>
    <t>HSN</t>
  </si>
  <si>
    <t>Tax Rate</t>
  </si>
  <si>
    <t>CGST</t>
  </si>
  <si>
    <t>SGST</t>
  </si>
  <si>
    <t>IGST</t>
  </si>
  <si>
    <t>UTGST</t>
  </si>
  <si>
    <t>Cess%</t>
  </si>
  <si>
    <t>CESS</t>
  </si>
  <si>
    <t>Tax amt</t>
  </si>
  <si>
    <t>Net Amt</t>
  </si>
  <si>
    <t>Weight/Vol</t>
  </si>
  <si>
    <t>Customs Duty</t>
  </si>
  <si>
    <t>IGST (Import)</t>
  </si>
  <si>
    <t>Packing &amp; Forwarding</t>
  </si>
  <si>
    <t>Freight</t>
  </si>
  <si>
    <t>Pur Amt (BC)</t>
  </si>
  <si>
    <t>Chargeable Cost</t>
  </si>
  <si>
    <t>Landed Cost</t>
  </si>
  <si>
    <t>Conv. Factor</t>
  </si>
  <si>
    <t>Eqv.  Stock Qty</t>
  </si>
  <si>
    <t>Pur. Unit Cost (chr)</t>
  </si>
  <si>
    <t>Chrg. Unit Cost</t>
  </si>
  <si>
    <t>Landed Cost Unit Cost</t>
  </si>
  <si>
    <t>Stock UOM</t>
  </si>
  <si>
    <t>Unit Cost (Stock UOM)</t>
  </si>
  <si>
    <t>Ins. WH</t>
  </si>
  <si>
    <t>Qty Before Post</t>
  </si>
  <si>
    <t>Unit Cost Before Post</t>
  </si>
  <si>
    <t>Receipt Qty</t>
  </si>
  <si>
    <t>Receipt Unit cost</t>
  </si>
  <si>
    <t>Qty After Post</t>
  </si>
  <si>
    <t>Unit Cost After Post</t>
  </si>
  <si>
    <t>Result (Ok/Not OK)</t>
  </si>
  <si>
    <t>Stock Transaction</t>
  </si>
  <si>
    <t>Lot / Serial Type</t>
  </si>
  <si>
    <t>LOT_NUMBER</t>
  </si>
  <si>
    <t>SERIAL_NUMBER</t>
  </si>
  <si>
    <t>Lot / Serial Trans</t>
  </si>
  <si>
    <t>Locator Trans</t>
  </si>
  <si>
    <t>Batch Stocks</t>
  </si>
  <si>
    <t>Stock Ledger</t>
  </si>
  <si>
    <t>Stock As on Date (Qty)</t>
  </si>
  <si>
    <t>Stock As on Date (Qty &amp; vALUE)</t>
  </si>
  <si>
    <t>Sou.WH</t>
  </si>
  <si>
    <t>Unitcost Before Post For Source Warehouse</t>
  </si>
  <si>
    <t>Qty Before Post For Source WareHouse</t>
  </si>
  <si>
    <t>Qty After Post forSource Warehouse</t>
  </si>
  <si>
    <t>GWL_Item_WoQ_UD_Similar_01</t>
  </si>
  <si>
    <t>NOS</t>
  </si>
  <si>
    <t>INS KD</t>
  </si>
  <si>
    <t>14090</t>
  </si>
  <si>
    <t>121.22038</t>
  </si>
  <si>
    <t>Receipt Qty &amp; Unit cost</t>
  </si>
  <si>
    <t>LOT</t>
  </si>
  <si>
    <t>RM</t>
  </si>
  <si>
    <t>RMS</t>
  </si>
  <si>
    <t>RM KD</t>
  </si>
  <si>
    <t>146.85967</t>
  </si>
  <si>
    <t>691</t>
  </si>
  <si>
    <t>Total</t>
  </si>
  <si>
    <t>GWL_ITEM_DISSIMILAR_UOM</t>
  </si>
  <si>
    <t>KGS</t>
  </si>
  <si>
    <t>GWL_Item_FP_service_01</t>
  </si>
  <si>
    <t>No.</t>
  </si>
  <si>
    <t>Item Desc</t>
  </si>
  <si>
    <t>Qty</t>
  </si>
  <si>
    <t>VD Asbl. Val.</t>
  </si>
  <si>
    <t>Pur. Value</t>
  </si>
  <si>
    <t>Tax%</t>
  </si>
  <si>
    <t>Unit cost (Stk. UOM)</t>
  </si>
  <si>
    <t>50</t>
  </si>
  <si>
    <t>5</t>
  </si>
  <si>
    <t>INS WH-1</t>
  </si>
  <si>
    <t>15</t>
  </si>
  <si>
    <t>41.515</t>
  </si>
  <si>
    <t>RM WH-49</t>
  </si>
  <si>
    <t>Scenario  : Local Purchase - Stock UOM and Purchase UOM (Similar)</t>
  </si>
  <si>
    <t xml:space="preserve">Purchase Request </t>
  </si>
  <si>
    <t>GWL_ITEM - Serial</t>
  </si>
  <si>
    <t>GWL ITEM SERIAL</t>
  </si>
  <si>
    <t>(1 - Local Purchase,2 Interstate Purchase, 3 Import Purchase)</t>
  </si>
  <si>
    <t>HSN1</t>
  </si>
  <si>
    <t>GWL_ITEM_DISSIMILAR_UOM_DESC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</si>
</sst>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"/>
    <numFmt numFmtId="181" formatCode="0.00_);[Red]\(0.00\)"/>
  </numFmts>
  <fonts count="25">
    <font>
      <sz val="11"/>
      <color theme="1"/>
      <name val="Calibri"/>
      <charset val="134"/>
      <scheme val="minor"/>
    </font>
    <font>
      <b/>
      <u/>
      <sz val="14"/>
      <color theme="1"/>
      <name val="Calibri Light"/>
      <charset val="134"/>
      <scheme val="major"/>
    </font>
    <font>
      <b/>
      <sz val="11"/>
      <color theme="1"/>
      <name val="Calibri Light"/>
      <charset val="134"/>
      <scheme val="major"/>
    </font>
    <font>
      <sz val="11"/>
      <color theme="1"/>
      <name val="Calibri Light"/>
      <charset val="134"/>
      <scheme val="major"/>
    </font>
    <font>
      <b/>
      <sz val="10"/>
      <color theme="1"/>
      <name val="Calibri Light"/>
      <charset val="134"/>
      <scheme val="major"/>
    </font>
    <font>
      <sz val="9"/>
      <color rgb="FF00415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67650379955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double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0070C0"/>
      </right>
      <top style="double">
        <color rgb="FF0070C0"/>
      </top>
      <bottom style="thin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16" applyNumberFormat="0" applyAlignment="0" applyProtection="0">
      <alignment vertical="center"/>
    </xf>
    <xf numFmtId="0" fontId="15" fillId="14" borderId="17" applyNumberFormat="0" applyAlignment="0" applyProtection="0">
      <alignment vertical="center"/>
    </xf>
    <xf numFmtId="0" fontId="16" fillId="14" borderId="16" applyNumberFormat="0" applyAlignment="0" applyProtection="0">
      <alignment vertical="center"/>
    </xf>
    <xf numFmtId="0" fontId="17" fillId="1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9">
    <xf numFmtId="0" fontId="0" fillId="0" borderId="0" xfId="0"/>
    <xf numFmtId="0" fontId="1" fillId="0" borderId="0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0" fillId="0" borderId="5" xfId="0" applyFont="1" applyFill="1" applyBorder="1" applyAlignment="1">
      <alignment vertical="center"/>
    </xf>
    <xf numFmtId="180" fontId="3" fillId="0" borderId="4" xfId="0" applyNumberFormat="1" applyFont="1" applyBorder="1"/>
    <xf numFmtId="2" fontId="3" fillId="0" borderId="4" xfId="0" applyNumberFormat="1" applyFont="1" applyBorder="1"/>
    <xf numFmtId="0" fontId="3" fillId="0" borderId="4" xfId="0" applyNumberFormat="1" applyFont="1" applyBorder="1"/>
    <xf numFmtId="0" fontId="3" fillId="0" borderId="0" xfId="0" applyFont="1"/>
    <xf numFmtId="0" fontId="2" fillId="3" borderId="6" xfId="0" applyFont="1" applyFill="1" applyBorder="1" applyAlignment="1">
      <alignment horizontal="center" vertical="top"/>
    </xf>
    <xf numFmtId="0" fontId="2" fillId="3" borderId="4" xfId="0" applyNumberFormat="1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10" fontId="3" fillId="0" borderId="0" xfId="0" applyNumberFormat="1" applyFont="1" applyFill="1" applyBorder="1"/>
    <xf numFmtId="2" fontId="3" fillId="0" borderId="0" xfId="0" applyNumberFormat="1" applyFont="1" applyFill="1" applyBorder="1"/>
    <xf numFmtId="0" fontId="3" fillId="0" borderId="0" xfId="0" applyFont="1" applyBorder="1"/>
    <xf numFmtId="0" fontId="3" fillId="0" borderId="0" xfId="0" applyFont="1" applyFill="1" applyBorder="1"/>
    <xf numFmtId="0" fontId="2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2" fillId="7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 wrapText="1"/>
    </xf>
    <xf numFmtId="0" fontId="2" fillId="7" borderId="4" xfId="0" applyFont="1" applyFill="1" applyBorder="1"/>
    <xf numFmtId="2" fontId="2" fillId="7" borderId="4" xfId="0" applyNumberFormat="1" applyFont="1" applyFill="1" applyBorder="1"/>
    <xf numFmtId="0" fontId="2" fillId="8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2" fillId="3" borderId="4" xfId="0" applyNumberFormat="1" applyFont="1" applyFill="1" applyBorder="1"/>
    <xf numFmtId="0" fontId="0" fillId="0" borderId="0" xfId="49">
      <alignment vertical="center"/>
    </xf>
    <xf numFmtId="0" fontId="2" fillId="0" borderId="0" xfId="49" applyFont="1" applyFill="1" applyBorder="1" applyAlignment="1"/>
    <xf numFmtId="0" fontId="2" fillId="0" borderId="0" xfId="49" applyFont="1" applyFill="1" applyBorder="1" applyAlignment="1">
      <alignment horizontal="center"/>
    </xf>
    <xf numFmtId="0" fontId="3" fillId="0" borderId="0" xfId="49" applyFont="1" applyFill="1" applyBorder="1" applyAlignment="1">
      <alignment horizontal="left" vertical="center"/>
    </xf>
    <xf numFmtId="0" fontId="2" fillId="0" borderId="0" xfId="49" applyFont="1" applyFill="1" applyBorder="1" applyAlignment="1">
      <alignment horizontal="center" vertical="center"/>
    </xf>
    <xf numFmtId="0" fontId="2" fillId="0" borderId="0" xfId="49" applyFont="1" applyFill="1" applyBorder="1" applyAlignment="1">
      <alignment horizontal="left" vertical="center"/>
    </xf>
    <xf numFmtId="0" fontId="2" fillId="2" borderId="4" xfId="49" applyFont="1" applyFill="1" applyBorder="1" applyAlignment="1">
      <alignment horizontal="center" vertical="center"/>
    </xf>
    <xf numFmtId="0" fontId="3" fillId="0" borderId="4" xfId="49" applyFont="1" applyFill="1" applyBorder="1" applyAlignment="1"/>
    <xf numFmtId="0" fontId="3" fillId="0" borderId="4" xfId="49" applyNumberFormat="1" applyFont="1" applyFill="1" applyBorder="1" applyAlignment="1"/>
    <xf numFmtId="0" fontId="0" fillId="0" borderId="0" xfId="49" applyFill="1" applyAlignment="1">
      <alignment vertical="center"/>
    </xf>
    <xf numFmtId="0" fontId="3" fillId="0" borderId="0" xfId="49" applyFont="1" applyFill="1" applyAlignment="1"/>
    <xf numFmtId="0" fontId="0" fillId="0" borderId="0" xfId="49" applyFill="1" applyBorder="1" applyAlignment="1"/>
    <xf numFmtId="0" fontId="2" fillId="3" borderId="8" xfId="49" applyFont="1" applyFill="1" applyBorder="1" applyAlignment="1"/>
    <xf numFmtId="0" fontId="2" fillId="3" borderId="9" xfId="49" applyFont="1" applyFill="1" applyBorder="1" applyAlignment="1"/>
    <xf numFmtId="0" fontId="2" fillId="3" borderId="4" xfId="49" applyNumberFormat="1" applyFont="1" applyFill="1" applyBorder="1" applyAlignment="1"/>
    <xf numFmtId="0" fontId="3" fillId="0" borderId="0" xfId="49" applyFont="1" applyFill="1" applyBorder="1" applyAlignment="1"/>
    <xf numFmtId="0" fontId="2" fillId="4" borderId="4" xfId="49" applyFont="1" applyFill="1" applyBorder="1" applyAlignment="1">
      <alignment horizontal="center" vertical="center"/>
    </xf>
    <xf numFmtId="0" fontId="2" fillId="9" borderId="4" xfId="49" applyFont="1" applyFill="1" applyBorder="1" applyAlignment="1">
      <alignment horizontal="center" vertical="center"/>
    </xf>
    <xf numFmtId="0" fontId="2" fillId="6" borderId="4" xfId="49" applyFont="1" applyFill="1" applyBorder="1" applyAlignment="1">
      <alignment horizontal="center" vertical="center"/>
    </xf>
    <xf numFmtId="2" fontId="3" fillId="0" borderId="4" xfId="49" applyNumberFormat="1" applyFont="1" applyFill="1" applyBorder="1" applyAlignment="1"/>
    <xf numFmtId="0" fontId="2" fillId="3" borderId="4" xfId="49" applyFont="1" applyFill="1" applyBorder="1" applyAlignment="1"/>
    <xf numFmtId="2" fontId="2" fillId="3" borderId="4" xfId="49" applyNumberFormat="1" applyFont="1" applyFill="1" applyBorder="1" applyAlignment="1"/>
    <xf numFmtId="0" fontId="2" fillId="6" borderId="7" xfId="49" applyFont="1" applyFill="1" applyBorder="1" applyAlignment="1">
      <alignment horizontal="center" vertical="center"/>
    </xf>
    <xf numFmtId="0" fontId="2" fillId="7" borderId="4" xfId="49" applyFont="1" applyFill="1" applyBorder="1" applyAlignment="1">
      <alignment horizontal="center" vertical="center"/>
    </xf>
    <xf numFmtId="181" fontId="3" fillId="0" borderId="4" xfId="49" applyNumberFormat="1" applyFont="1" applyFill="1" applyBorder="1" applyAlignment="1"/>
    <xf numFmtId="0" fontId="2" fillId="7" borderId="4" xfId="49" applyFont="1" applyFill="1" applyBorder="1" applyAlignment="1"/>
    <xf numFmtId="2" fontId="2" fillId="7" borderId="4" xfId="49" applyNumberFormat="1" applyFont="1" applyFill="1" applyBorder="1" applyAlignment="1"/>
    <xf numFmtId="180" fontId="3" fillId="0" borderId="4" xfId="49" applyNumberFormat="1" applyFont="1" applyFill="1" applyBorder="1" applyAlignment="1"/>
    <xf numFmtId="0" fontId="2" fillId="8" borderId="4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center" vertical="center"/>
    </xf>
    <xf numFmtId="0" fontId="3" fillId="2" borderId="2" xfId="49" applyFont="1" applyFill="1" applyBorder="1" applyAlignment="1"/>
    <xf numFmtId="0" fontId="5" fillId="10" borderId="10" xfId="49" applyFont="1" applyFill="1" applyBorder="1" applyAlignment="1">
      <alignment vertical="center"/>
    </xf>
    <xf numFmtId="0" fontId="3" fillId="0" borderId="11" xfId="49" applyNumberFormat="1" applyFont="1" applyFill="1" applyBorder="1" applyAlignment="1"/>
    <xf numFmtId="0" fontId="0" fillId="0" borderId="0" xfId="49" applyFill="1" applyAlignment="1"/>
    <xf numFmtId="0" fontId="3" fillId="2" borderId="12" xfId="49" applyFont="1" applyFill="1" applyBorder="1" applyAlignment="1"/>
    <xf numFmtId="2" fontId="3" fillId="0" borderId="11" xfId="49" applyNumberFormat="1" applyFont="1" applyFill="1" applyBorder="1" applyAlignment="1"/>
    <xf numFmtId="0" fontId="0" fillId="0" borderId="11" xfId="49" applyNumberFormat="1" applyFill="1" applyBorder="1" applyAlignment="1"/>
    <xf numFmtId="0" fontId="0" fillId="0" borderId="5" xfId="49" applyNumberFormat="1" applyFill="1" applyBorder="1" applyAlignment="1"/>
    <xf numFmtId="0" fontId="0" fillId="0" borderId="5" xfId="49" applyNumberFormat="1" applyFont="1" applyFill="1" applyBorder="1" applyAlignment="1">
      <alignment vertical="center"/>
    </xf>
    <xf numFmtId="0" fontId="5" fillId="0" borderId="0" xfId="49" applyFont="1" applyFill="1" applyAlignment="1">
      <alignment vertical="center"/>
    </xf>
    <xf numFmtId="0" fontId="0" fillId="0" borderId="0" xfId="49" applyNumberFormat="1" applyFill="1" applyAlignment="1"/>
    <xf numFmtId="0" fontId="0" fillId="0" borderId="0" xfId="49" applyNumberFormat="1" applyFill="1" applyAlignment="1">
      <alignment horizontal="center"/>
    </xf>
    <xf numFmtId="0" fontId="2" fillId="2" borderId="7" xfId="49" applyFont="1" applyFill="1" applyBorder="1" applyAlignment="1">
      <alignment horizontal="center" vertical="center"/>
    </xf>
    <xf numFmtId="0" fontId="2" fillId="2" borderId="7" xfId="49" applyFont="1" applyFill="1" applyBorder="1" applyAlignment="1">
      <alignment horizontal="left" vertical="center"/>
    </xf>
    <xf numFmtId="0" fontId="2" fillId="2" borderId="7" xfId="49" applyFont="1" applyFill="1" applyBorder="1" applyAlignment="1">
      <alignment horizontal="center" vertical="center" wrapText="1"/>
    </xf>
    <xf numFmtId="0" fontId="2" fillId="4" borderId="7" xfId="49" applyFont="1" applyFill="1" applyBorder="1" applyAlignment="1">
      <alignment horizontal="center" vertical="center"/>
    </xf>
    <xf numFmtId="0" fontId="2" fillId="11" borderId="7" xfId="49" applyFont="1" applyFill="1" applyBorder="1" applyAlignment="1">
      <alignment horizontal="center" vertical="center"/>
    </xf>
    <xf numFmtId="0" fontId="2" fillId="7" borderId="7" xfId="49" applyFont="1" applyFill="1" applyBorder="1" applyAlignment="1">
      <alignment horizontal="center" vertical="center"/>
    </xf>
    <xf numFmtId="0" fontId="2" fillId="7" borderId="7" xfId="49" applyFont="1" applyFill="1" applyBorder="1" applyAlignment="1">
      <alignment horizontal="center" vertical="center" wrapText="1"/>
    </xf>
    <xf numFmtId="0" fontId="2" fillId="8" borderId="7" xfId="49" applyFont="1" applyFill="1" applyBorder="1" applyAlignment="1">
      <alignment horizontal="center" vertical="center"/>
    </xf>
    <xf numFmtId="0" fontId="0" fillId="0" borderId="5" xfId="49" applyFill="1" applyBorder="1" applyAlignment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K1" workbookViewId="0">
      <selection activeCell="X4" sqref="X4"/>
    </sheetView>
  </sheetViews>
  <sheetFormatPr defaultColWidth="9.85454545454546" defaultRowHeight="14.5" outlineLevelRow="4"/>
  <cols>
    <col min="1" max="1" width="9.85454545454546" style="38"/>
    <col min="2" max="2" width="25.5727272727273" style="38" customWidth="1"/>
    <col min="3" max="3" width="26" style="38" customWidth="1"/>
    <col min="4" max="19" width="9.85454545454546" style="38"/>
    <col min="20" max="20" width="10.1363636363636" style="38" customWidth="1"/>
    <col min="21" max="16384" width="9.85454545454546" style="38"/>
  </cols>
  <sheetData>
    <row r="1" spans="1:69">
      <c r="A1" s="39" t="s">
        <v>0</v>
      </c>
      <c r="B1" s="40"/>
      <c r="C1" s="40"/>
      <c r="D1" s="40"/>
      <c r="E1" s="40"/>
      <c r="F1" s="40"/>
      <c r="G1" s="40"/>
      <c r="H1" s="39"/>
      <c r="I1" s="53"/>
      <c r="J1" s="53"/>
      <c r="K1" s="53"/>
      <c r="L1" s="53"/>
      <c r="M1" s="53"/>
      <c r="N1" s="53"/>
      <c r="O1" s="53"/>
      <c r="P1" s="53"/>
      <c r="Q1" s="53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48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</row>
    <row r="2" ht="15.25" spans="1:69">
      <c r="A2" s="41" t="s">
        <v>1</v>
      </c>
      <c r="B2" s="41"/>
      <c r="C2" s="42">
        <v>2</v>
      </c>
      <c r="D2" s="43" t="s">
        <v>2</v>
      </c>
      <c r="E2" s="40"/>
      <c r="F2" s="40"/>
      <c r="G2" s="40"/>
      <c r="H2" s="39"/>
      <c r="I2" s="53" t="s">
        <v>3</v>
      </c>
      <c r="J2" s="53" t="s">
        <v>4</v>
      </c>
      <c r="K2" s="53"/>
      <c r="L2" s="53" t="s">
        <v>5</v>
      </c>
      <c r="M2" s="53">
        <v>1</v>
      </c>
      <c r="N2" s="53"/>
      <c r="O2" s="53" t="s">
        <v>6</v>
      </c>
      <c r="P2" s="53">
        <v>1</v>
      </c>
      <c r="Q2" s="53" t="s">
        <v>7</v>
      </c>
      <c r="R2" s="39"/>
      <c r="S2" s="39"/>
      <c r="T2" s="39"/>
      <c r="U2" s="39"/>
      <c r="V2" s="39">
        <v>1</v>
      </c>
      <c r="W2" s="39" t="s">
        <v>8</v>
      </c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48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</row>
    <row r="3" ht="45" spans="1:69">
      <c r="A3" s="80" t="s">
        <v>9</v>
      </c>
      <c r="B3" s="80" t="s">
        <v>10</v>
      </c>
      <c r="C3" s="81" t="s">
        <v>11</v>
      </c>
      <c r="D3" s="80" t="s">
        <v>12</v>
      </c>
      <c r="E3" s="80" t="s">
        <v>13</v>
      </c>
      <c r="F3" s="82" t="s">
        <v>14</v>
      </c>
      <c r="G3" s="80" t="s">
        <v>15</v>
      </c>
      <c r="H3" s="80" t="s">
        <v>16</v>
      </c>
      <c r="I3" s="83" t="s">
        <v>17</v>
      </c>
      <c r="J3" s="83" t="s">
        <v>18</v>
      </c>
      <c r="K3" s="83" t="s">
        <v>19</v>
      </c>
      <c r="L3" s="84" t="s">
        <v>20</v>
      </c>
      <c r="M3" s="84" t="s">
        <v>21</v>
      </c>
      <c r="N3" s="84" t="s">
        <v>22</v>
      </c>
      <c r="O3" s="84" t="s">
        <v>23</v>
      </c>
      <c r="P3" s="84" t="s">
        <v>24</v>
      </c>
      <c r="Q3" s="84" t="s">
        <v>25</v>
      </c>
      <c r="R3" s="83" t="s">
        <v>26</v>
      </c>
      <c r="S3" s="80" t="s">
        <v>27</v>
      </c>
      <c r="T3" s="80" t="s">
        <v>28</v>
      </c>
      <c r="U3" s="60" t="s">
        <v>29</v>
      </c>
      <c r="V3" s="60" t="s">
        <v>30</v>
      </c>
      <c r="W3" s="60" t="s">
        <v>31</v>
      </c>
      <c r="X3" s="60" t="s">
        <v>32</v>
      </c>
      <c r="Y3" s="60" t="s">
        <v>33</v>
      </c>
      <c r="Z3" s="60" t="s">
        <v>34</v>
      </c>
      <c r="AA3" s="60" t="s">
        <v>35</v>
      </c>
      <c r="AB3" s="60" t="s">
        <v>36</v>
      </c>
      <c r="AC3" s="85" t="s">
        <v>37</v>
      </c>
      <c r="AD3" s="85" t="s">
        <v>38</v>
      </c>
      <c r="AE3" s="86" t="s">
        <v>39</v>
      </c>
      <c r="AF3" s="86" t="s">
        <v>40</v>
      </c>
      <c r="AG3" s="86" t="s">
        <v>41</v>
      </c>
      <c r="AH3" s="85" t="s">
        <v>42</v>
      </c>
      <c r="AI3" s="85" t="s">
        <v>43</v>
      </c>
      <c r="AJ3" s="86" t="s">
        <v>44</v>
      </c>
      <c r="AK3" s="86" t="s">
        <v>45</v>
      </c>
      <c r="AL3" s="85" t="s">
        <v>46</v>
      </c>
      <c r="AM3" s="85" t="s">
        <v>47</v>
      </c>
      <c r="AN3" s="86" t="s">
        <v>48</v>
      </c>
      <c r="AO3" s="86" t="s">
        <v>49</v>
      </c>
      <c r="AP3" s="86" t="s">
        <v>50</v>
      </c>
      <c r="AQ3" s="85" t="s">
        <v>51</v>
      </c>
      <c r="AR3" s="87" t="s">
        <v>52</v>
      </c>
      <c r="AS3" s="67" t="s">
        <v>53</v>
      </c>
      <c r="AT3" s="67" t="s">
        <v>51</v>
      </c>
      <c r="AU3" s="68" t="s">
        <v>54</v>
      </c>
      <c r="AV3" s="68" t="s">
        <v>55</v>
      </c>
      <c r="AW3" s="68" t="s">
        <v>56</v>
      </c>
      <c r="AX3" s="68" t="s">
        <v>57</v>
      </c>
      <c r="AY3" s="68" t="s">
        <v>58</v>
      </c>
      <c r="AZ3" s="68" t="s">
        <v>59</v>
      </c>
      <c r="BA3" s="68" t="s">
        <v>60</v>
      </c>
      <c r="BB3" s="68" t="s">
        <v>61</v>
      </c>
      <c r="BC3" s="72" t="s">
        <v>62</v>
      </c>
      <c r="BD3" s="72" t="s">
        <v>63</v>
      </c>
      <c r="BE3" s="72" t="s">
        <v>64</v>
      </c>
      <c r="BF3" s="68" t="s">
        <v>65</v>
      </c>
      <c r="BG3" s="68" t="s">
        <v>66</v>
      </c>
      <c r="BH3" s="68" t="s">
        <v>67</v>
      </c>
      <c r="BI3" s="68" t="s">
        <v>68</v>
      </c>
      <c r="BJ3" s="68" t="s">
        <v>69</v>
      </c>
      <c r="BK3" s="68" t="s">
        <v>70</v>
      </c>
      <c r="BL3" s="68" t="s">
        <v>71</v>
      </c>
      <c r="BM3" s="68" t="s">
        <v>72</v>
      </c>
      <c r="BN3" s="68" t="s">
        <v>73</v>
      </c>
      <c r="BO3" s="68" t="s">
        <v>59</v>
      </c>
      <c r="BP3" s="68" t="s">
        <v>74</v>
      </c>
      <c r="BQ3" s="68" t="s">
        <v>28</v>
      </c>
    </row>
    <row r="4" ht="15.25" spans="1:69">
      <c r="A4" s="45">
        <v>1</v>
      </c>
      <c r="B4" s="45" t="s">
        <v>75</v>
      </c>
      <c r="C4" s="45" t="s">
        <v>75</v>
      </c>
      <c r="D4" s="45" t="s">
        <v>76</v>
      </c>
      <c r="E4" s="45" t="s">
        <v>76</v>
      </c>
      <c r="F4" s="46">
        <v>5</v>
      </c>
      <c r="G4" s="46">
        <v>150</v>
      </c>
      <c r="H4" s="46">
        <f>F4*G4</f>
        <v>750</v>
      </c>
      <c r="I4" s="46">
        <v>5</v>
      </c>
      <c r="J4" s="46">
        <v>8</v>
      </c>
      <c r="K4" s="46">
        <v>5</v>
      </c>
      <c r="L4" s="46">
        <f>H4</f>
        <v>750</v>
      </c>
      <c r="M4" s="46">
        <f>ROUND(L4*I4%,2)</f>
        <v>37.5</v>
      </c>
      <c r="N4" s="46">
        <f>H4-M4</f>
        <v>712.5</v>
      </c>
      <c r="O4" s="46">
        <f>ROUND(N4*J4%,2)</f>
        <v>57</v>
      </c>
      <c r="P4" s="46">
        <f>ROUND(N4-O4,2)</f>
        <v>655.5</v>
      </c>
      <c r="Q4" s="46">
        <f>ROUND(P4*K4%,2)</f>
        <v>32.78</v>
      </c>
      <c r="R4" s="46">
        <f>M4+O4+Q4</f>
        <v>127.28</v>
      </c>
      <c r="S4" s="46">
        <f>(H4-R4)</f>
        <v>622.72</v>
      </c>
      <c r="T4" s="46">
        <v>88363222</v>
      </c>
      <c r="U4" s="46">
        <v>18</v>
      </c>
      <c r="V4" s="46">
        <f>IF(OR($C$2=1,$C$2=4),ROUND((((S4*U4)/100)/2),2),0)</f>
        <v>0</v>
      </c>
      <c r="W4" s="46">
        <f>IF($C$2=1,ROUND((((S4*U4)/100)/2),2),0)</f>
        <v>0</v>
      </c>
      <c r="X4" s="46">
        <f>IF($C$2=2,ROUND(((S4*U4)/100),2),0)</f>
        <v>112.09</v>
      </c>
      <c r="Y4" s="46">
        <f>IF($C$2=4,ROUND((((S4*U4)/100)/2),2),0)</f>
        <v>0</v>
      </c>
      <c r="Z4" s="46">
        <v>0</v>
      </c>
      <c r="AA4" s="46">
        <f>IF($C2=3,0,(S4*Z4)/100)</f>
        <v>0</v>
      </c>
      <c r="AB4" s="46">
        <f>V4+W4+X4+Y4+AA4</f>
        <v>112.09</v>
      </c>
      <c r="AC4" s="46">
        <f>IF($V2=1,S4+AB4,S4)</f>
        <v>734.81</v>
      </c>
      <c r="AD4" s="46">
        <v>120</v>
      </c>
      <c r="AE4" s="46">
        <f>IF($P$2=1,(S4/$S$5)*$E$16,AD4/$AD$5*$E$16)</f>
        <v>0</v>
      </c>
      <c r="AF4" s="46"/>
      <c r="AG4" s="46">
        <f>IF($P$2=1,(S4/$S$5)*$E$18,AD4/$AD$5*$E$18)</f>
        <v>0</v>
      </c>
      <c r="AH4" s="46">
        <f>IF($P$2=1,(S4/$S$5)*$E$18,AD4/$AD$5*$E$18)</f>
        <v>0</v>
      </c>
      <c r="AI4" s="46">
        <f>S4*$M$2</f>
        <v>622.72</v>
      </c>
      <c r="AJ4" s="46">
        <f>IF($C$2=3,0,AG4+AH4)</f>
        <v>0</v>
      </c>
      <c r="AK4" s="46">
        <f>IF($C$2=3,AE4+AG4+AH4,0)</f>
        <v>0</v>
      </c>
      <c r="AL4" s="46">
        <v>1</v>
      </c>
      <c r="AM4" s="46">
        <f>F4/AL4</f>
        <v>5</v>
      </c>
      <c r="AN4" s="46">
        <f>AI4/AM4</f>
        <v>124.544</v>
      </c>
      <c r="AO4" s="46">
        <f>AJ4/AM4</f>
        <v>0</v>
      </c>
      <c r="AP4" s="46">
        <f>AK4/AM4</f>
        <v>0</v>
      </c>
      <c r="AQ4" s="46" t="s">
        <v>76</v>
      </c>
      <c r="AR4" s="71">
        <f>ROUND(AN4+AO4+AP4,5)</f>
        <v>124.544</v>
      </c>
      <c r="AS4" s="71" t="s">
        <v>77</v>
      </c>
      <c r="AT4" s="70" t="s">
        <v>76</v>
      </c>
      <c r="AU4" s="71" t="s">
        <v>78</v>
      </c>
      <c r="AV4" s="71" t="s">
        <v>79</v>
      </c>
      <c r="AW4" s="70">
        <f>AM4</f>
        <v>5</v>
      </c>
      <c r="AX4" s="70">
        <f>AR4</f>
        <v>124.544</v>
      </c>
      <c r="AY4" s="70">
        <f>AU4+AW4</f>
        <v>14095</v>
      </c>
      <c r="AZ4" s="70">
        <f>ROUND(((AU4*AV4)+(AW4*AX4))/(AU4+AW4),5)</f>
        <v>121.22156</v>
      </c>
      <c r="BA4" s="74"/>
      <c r="BB4" s="74" t="s">
        <v>80</v>
      </c>
      <c r="BC4" s="88" t="s">
        <v>81</v>
      </c>
      <c r="BD4" s="76" t="s">
        <v>82</v>
      </c>
      <c r="BE4" s="76" t="s">
        <v>83</v>
      </c>
      <c r="BF4" s="74"/>
      <c r="BG4" s="74"/>
      <c r="BH4" s="74"/>
      <c r="BI4" s="70"/>
      <c r="BJ4" s="71"/>
      <c r="BK4" s="71"/>
      <c r="BL4" s="70" t="s">
        <v>84</v>
      </c>
      <c r="BM4" s="71" t="s">
        <v>85</v>
      </c>
      <c r="BN4" s="71" t="s">
        <v>86</v>
      </c>
      <c r="BO4" s="70">
        <f>ROUND((((AW4*AZ4)+(BN4*BM4))/(AW4+BN4)),5)</f>
        <v>146.67549</v>
      </c>
      <c r="BP4" s="78">
        <f>BN4+AW4</f>
        <v>696</v>
      </c>
      <c r="BQ4" s="79">
        <v>123562</v>
      </c>
    </row>
    <row r="5" ht="15.25" spans="1:69">
      <c r="A5" s="48"/>
      <c r="B5" s="49"/>
      <c r="C5" s="49"/>
      <c r="D5" s="50" t="s">
        <v>87</v>
      </c>
      <c r="E5" s="50"/>
      <c r="F5" s="50"/>
      <c r="G5" s="51"/>
      <c r="H5" s="52">
        <f>SUM(H4:H4)</f>
        <v>750</v>
      </c>
      <c r="I5" s="45"/>
      <c r="J5" s="45"/>
      <c r="K5" s="45"/>
      <c r="L5" s="45"/>
      <c r="M5" s="45"/>
      <c r="N5" s="45"/>
      <c r="O5" s="45"/>
      <c r="P5" s="45"/>
      <c r="Q5" s="45"/>
      <c r="R5" s="58">
        <f t="shared" ref="R5:X5" si="0">SUM(R4:R4)</f>
        <v>127.28</v>
      </c>
      <c r="S5" s="52">
        <f t="shared" si="0"/>
        <v>622.72</v>
      </c>
      <c r="T5" s="58"/>
      <c r="U5" s="58"/>
      <c r="V5" s="59">
        <f t="shared" si="0"/>
        <v>0</v>
      </c>
      <c r="W5" s="59">
        <f t="shared" si="0"/>
        <v>0</v>
      </c>
      <c r="X5" s="59">
        <f t="shared" si="0"/>
        <v>112.09</v>
      </c>
      <c r="Y5" s="59"/>
      <c r="Z5" s="59"/>
      <c r="AA5" s="59"/>
      <c r="AB5" s="58">
        <f t="shared" ref="AB5:AE5" si="1">SUM(AB4:AB4)</f>
        <v>112.09</v>
      </c>
      <c r="AC5" s="63">
        <f t="shared" si="1"/>
        <v>734.81</v>
      </c>
      <c r="AD5" s="64">
        <f t="shared" si="1"/>
        <v>120</v>
      </c>
      <c r="AE5" s="64">
        <f t="shared" si="1"/>
        <v>0</v>
      </c>
      <c r="AF5" s="63"/>
      <c r="AG5" s="64">
        <f t="shared" ref="AG5:AK5" si="2">SUM(AG4:AG4)</f>
        <v>0</v>
      </c>
      <c r="AH5" s="64">
        <f t="shared" si="2"/>
        <v>0</v>
      </c>
      <c r="AI5" s="64">
        <f t="shared" si="2"/>
        <v>622.72</v>
      </c>
      <c r="AJ5" s="64">
        <f t="shared" si="2"/>
        <v>0</v>
      </c>
      <c r="AK5" s="64">
        <f t="shared" si="2"/>
        <v>0</v>
      </c>
      <c r="AL5" s="63"/>
      <c r="AM5" s="63"/>
      <c r="AN5" s="63"/>
      <c r="AO5" s="63"/>
      <c r="AP5" s="63"/>
      <c r="AQ5" s="63"/>
      <c r="AR5" s="63"/>
      <c r="AS5" s="48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</row>
  </sheetData>
  <mergeCells count="1">
    <mergeCell ref="A2:B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workbookViewId="0">
      <selection activeCell="I4" sqref="I4"/>
    </sheetView>
  </sheetViews>
  <sheetFormatPr defaultColWidth="9.85454545454546" defaultRowHeight="14.5" outlineLevelRow="4"/>
  <cols>
    <col min="1" max="1" width="9.85454545454546" style="38"/>
    <col min="2" max="2" width="25.5727272727273" style="38" customWidth="1"/>
    <col min="3" max="3" width="26" style="38" customWidth="1"/>
    <col min="4" max="19" width="9.85454545454546" style="38"/>
    <col min="20" max="20" width="10.1363636363636" style="38" customWidth="1"/>
    <col min="21" max="16384" width="9.85454545454546" style="38"/>
  </cols>
  <sheetData>
    <row r="1" spans="1:69">
      <c r="A1" s="39" t="s">
        <v>0</v>
      </c>
      <c r="B1" s="40"/>
      <c r="C1" s="40"/>
      <c r="D1" s="40"/>
      <c r="E1" s="40"/>
      <c r="F1" s="40"/>
      <c r="G1" s="40"/>
      <c r="H1" s="39"/>
      <c r="I1" s="53"/>
      <c r="J1" s="53"/>
      <c r="K1" s="53"/>
      <c r="L1" s="53"/>
      <c r="M1" s="53"/>
      <c r="N1" s="53"/>
      <c r="O1" s="53"/>
      <c r="P1" s="53"/>
      <c r="Q1" s="53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48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</row>
    <row r="2" ht="15.25" spans="1:69">
      <c r="A2" s="41" t="s">
        <v>1</v>
      </c>
      <c r="B2" s="41"/>
      <c r="C2" s="42">
        <v>2</v>
      </c>
      <c r="D2" s="43" t="s">
        <v>2</v>
      </c>
      <c r="E2" s="40"/>
      <c r="F2" s="40"/>
      <c r="G2" s="40"/>
      <c r="H2" s="39"/>
      <c r="I2" s="53" t="s">
        <v>3</v>
      </c>
      <c r="J2" s="53" t="s">
        <v>4</v>
      </c>
      <c r="K2" s="53"/>
      <c r="L2" s="53" t="s">
        <v>5</v>
      </c>
      <c r="M2" s="53">
        <v>1</v>
      </c>
      <c r="N2" s="53"/>
      <c r="O2" s="53" t="s">
        <v>6</v>
      </c>
      <c r="P2" s="53">
        <v>1</v>
      </c>
      <c r="Q2" s="53" t="s">
        <v>7</v>
      </c>
      <c r="R2" s="39"/>
      <c r="S2" s="39"/>
      <c r="T2" s="39"/>
      <c r="U2" s="39"/>
      <c r="V2" s="39">
        <v>1</v>
      </c>
      <c r="W2" s="39" t="s">
        <v>8</v>
      </c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48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</row>
    <row r="3" ht="45" spans="1:69">
      <c r="A3" s="80" t="s">
        <v>9</v>
      </c>
      <c r="B3" s="80" t="s">
        <v>10</v>
      </c>
      <c r="C3" s="81" t="s">
        <v>11</v>
      </c>
      <c r="D3" s="80" t="s">
        <v>12</v>
      </c>
      <c r="E3" s="80" t="s">
        <v>13</v>
      </c>
      <c r="F3" s="82" t="s">
        <v>14</v>
      </c>
      <c r="G3" s="80" t="s">
        <v>15</v>
      </c>
      <c r="H3" s="80" t="s">
        <v>16</v>
      </c>
      <c r="I3" s="83" t="s">
        <v>17</v>
      </c>
      <c r="J3" s="83" t="s">
        <v>18</v>
      </c>
      <c r="K3" s="83" t="s">
        <v>19</v>
      </c>
      <c r="L3" s="84" t="s">
        <v>20</v>
      </c>
      <c r="M3" s="84" t="s">
        <v>21</v>
      </c>
      <c r="N3" s="84" t="s">
        <v>22</v>
      </c>
      <c r="O3" s="84" t="s">
        <v>23</v>
      </c>
      <c r="P3" s="84" t="s">
        <v>24</v>
      </c>
      <c r="Q3" s="84" t="s">
        <v>25</v>
      </c>
      <c r="R3" s="83" t="s">
        <v>26</v>
      </c>
      <c r="S3" s="80" t="s">
        <v>27</v>
      </c>
      <c r="T3" s="80" t="s">
        <v>28</v>
      </c>
      <c r="U3" s="60" t="s">
        <v>29</v>
      </c>
      <c r="V3" s="60" t="s">
        <v>30</v>
      </c>
      <c r="W3" s="60" t="s">
        <v>31</v>
      </c>
      <c r="X3" s="60" t="s">
        <v>32</v>
      </c>
      <c r="Y3" s="60" t="s">
        <v>33</v>
      </c>
      <c r="Z3" s="60" t="s">
        <v>34</v>
      </c>
      <c r="AA3" s="60" t="s">
        <v>35</v>
      </c>
      <c r="AB3" s="60" t="s">
        <v>36</v>
      </c>
      <c r="AC3" s="85" t="s">
        <v>37</v>
      </c>
      <c r="AD3" s="85" t="s">
        <v>38</v>
      </c>
      <c r="AE3" s="86" t="s">
        <v>39</v>
      </c>
      <c r="AF3" s="86" t="s">
        <v>40</v>
      </c>
      <c r="AG3" s="86" t="s">
        <v>41</v>
      </c>
      <c r="AH3" s="85" t="s">
        <v>42</v>
      </c>
      <c r="AI3" s="85" t="s">
        <v>43</v>
      </c>
      <c r="AJ3" s="86" t="s">
        <v>44</v>
      </c>
      <c r="AK3" s="86" t="s">
        <v>45</v>
      </c>
      <c r="AL3" s="85" t="s">
        <v>46</v>
      </c>
      <c r="AM3" s="85" t="s">
        <v>47</v>
      </c>
      <c r="AN3" s="86" t="s">
        <v>48</v>
      </c>
      <c r="AO3" s="86" t="s">
        <v>49</v>
      </c>
      <c r="AP3" s="86" t="s">
        <v>50</v>
      </c>
      <c r="AQ3" s="85" t="s">
        <v>51</v>
      </c>
      <c r="AR3" s="87" t="s">
        <v>52</v>
      </c>
      <c r="AS3" s="67" t="s">
        <v>53</v>
      </c>
      <c r="AT3" s="67" t="s">
        <v>51</v>
      </c>
      <c r="AU3" s="68" t="s">
        <v>54</v>
      </c>
      <c r="AV3" s="68" t="s">
        <v>55</v>
      </c>
      <c r="AW3" s="68" t="s">
        <v>56</v>
      </c>
      <c r="AX3" s="68" t="s">
        <v>57</v>
      </c>
      <c r="AY3" s="68" t="s">
        <v>58</v>
      </c>
      <c r="AZ3" s="68" t="s">
        <v>59</v>
      </c>
      <c r="BA3" s="68" t="s">
        <v>60</v>
      </c>
      <c r="BB3" s="68" t="s">
        <v>61</v>
      </c>
      <c r="BC3" s="72" t="s">
        <v>62</v>
      </c>
      <c r="BD3" s="72" t="s">
        <v>63</v>
      </c>
      <c r="BE3" s="72" t="s">
        <v>64</v>
      </c>
      <c r="BF3" s="68" t="s">
        <v>65</v>
      </c>
      <c r="BG3" s="68" t="s">
        <v>66</v>
      </c>
      <c r="BH3" s="68" t="s">
        <v>67</v>
      </c>
      <c r="BI3" s="68" t="s">
        <v>68</v>
      </c>
      <c r="BJ3" s="68" t="s">
        <v>69</v>
      </c>
      <c r="BK3" s="68" t="s">
        <v>70</v>
      </c>
      <c r="BL3" s="68" t="s">
        <v>71</v>
      </c>
      <c r="BM3" s="68" t="s">
        <v>72</v>
      </c>
      <c r="BN3" s="68" t="s">
        <v>73</v>
      </c>
      <c r="BO3" s="68" t="s">
        <v>59</v>
      </c>
      <c r="BP3" s="68" t="s">
        <v>74</v>
      </c>
      <c r="BQ3" s="68" t="s">
        <v>28</v>
      </c>
    </row>
    <row r="4" ht="15.25" spans="1:69">
      <c r="A4" s="45">
        <v>1</v>
      </c>
      <c r="B4" s="45" t="s">
        <v>88</v>
      </c>
      <c r="C4" s="45" t="s">
        <v>88</v>
      </c>
      <c r="D4" s="45" t="s">
        <v>76</v>
      </c>
      <c r="E4" s="45" t="s">
        <v>89</v>
      </c>
      <c r="F4" s="46">
        <v>5</v>
      </c>
      <c r="G4" s="46">
        <v>150</v>
      </c>
      <c r="H4" s="46">
        <f>F4*G4</f>
        <v>750</v>
      </c>
      <c r="I4" s="46">
        <v>5</v>
      </c>
      <c r="J4" s="46">
        <v>8</v>
      </c>
      <c r="K4" s="46">
        <v>5</v>
      </c>
      <c r="L4" s="46">
        <f>H4</f>
        <v>750</v>
      </c>
      <c r="M4" s="46">
        <f>ROUND(L4*I4%,2)</f>
        <v>37.5</v>
      </c>
      <c r="N4" s="46">
        <f>H4-M4</f>
        <v>712.5</v>
      </c>
      <c r="O4" s="46">
        <f>ROUND(N4*J4%,2)</f>
        <v>57</v>
      </c>
      <c r="P4" s="46">
        <f>ROUND(N4-O4,2)</f>
        <v>655.5</v>
      </c>
      <c r="Q4" s="46">
        <f>ROUND(P4*K4%,2)</f>
        <v>32.78</v>
      </c>
      <c r="R4" s="46">
        <f>M4+O4+Q4</f>
        <v>127.28</v>
      </c>
      <c r="S4" s="46">
        <f>(H4-R4)</f>
        <v>622.72</v>
      </c>
      <c r="T4" s="46">
        <v>88363222</v>
      </c>
      <c r="U4" s="46">
        <v>18</v>
      </c>
      <c r="V4" s="46">
        <f>IF(OR($C$2=1,$C$2=4),ROUND((((S4*U4)/100)/2),2),0)</f>
        <v>0</v>
      </c>
      <c r="W4" s="46">
        <f>IF($C$2=1,ROUND((((S4*U4)/100)/2),2),0)</f>
        <v>0</v>
      </c>
      <c r="X4" s="46">
        <f>IF($C$2=2,ROUND(((S4*U4)/100),2),0)</f>
        <v>112.09</v>
      </c>
      <c r="Y4" s="46">
        <f>IF($C$2=4,ROUND((((S4*U4)/100)/2),2),0)</f>
        <v>0</v>
      </c>
      <c r="Z4" s="46">
        <v>0</v>
      </c>
      <c r="AA4" s="46">
        <f>IF($C2=3,0,(S4*Z4)/100)</f>
        <v>0</v>
      </c>
      <c r="AB4" s="46">
        <f>V4+W4+X4+Y4+AA4</f>
        <v>112.09</v>
      </c>
      <c r="AC4" s="46">
        <f>IF($V2=1,S4+AB4,S4)</f>
        <v>734.81</v>
      </c>
      <c r="AD4" s="46">
        <v>120</v>
      </c>
      <c r="AE4" s="46">
        <f>IF($P$2=1,(S4/$S$5)*$E$16,AD4/$AD$5*$E$16)</f>
        <v>0</v>
      </c>
      <c r="AF4" s="46"/>
      <c r="AG4" s="46">
        <f>IF($P$2=1,(S4/$S$5)*$E$18,AD4/$AD$5*$E$18)</f>
        <v>0</v>
      </c>
      <c r="AH4" s="46">
        <f>IF($P$2=1,(S4/$S$5)*$E$18,AD4/$AD$5*$E$18)</f>
        <v>0</v>
      </c>
      <c r="AI4" s="46">
        <f>S4*$M$2</f>
        <v>622.72</v>
      </c>
      <c r="AJ4" s="46">
        <f>IF($C$2=3,0,AG4+AH4)</f>
        <v>0</v>
      </c>
      <c r="AK4" s="46">
        <f>IF($C$2=3,AE4+AG4+AH4,0)</f>
        <v>0</v>
      </c>
      <c r="AL4" s="46">
        <v>1</v>
      </c>
      <c r="AM4" s="46">
        <f>F4/AL4</f>
        <v>5</v>
      </c>
      <c r="AN4" s="46">
        <f>AI4/AM4</f>
        <v>124.544</v>
      </c>
      <c r="AO4" s="46">
        <f>AJ4/AM4</f>
        <v>0</v>
      </c>
      <c r="AP4" s="46">
        <f>AK4/AM4</f>
        <v>0</v>
      </c>
      <c r="AQ4" s="46" t="s">
        <v>76</v>
      </c>
      <c r="AR4" s="71">
        <f>ROUND(AN4+AO4+AP4,5)</f>
        <v>124.544</v>
      </c>
      <c r="AS4" s="71" t="s">
        <v>77</v>
      </c>
      <c r="AT4" s="70" t="s">
        <v>76</v>
      </c>
      <c r="AU4" s="71" t="s">
        <v>78</v>
      </c>
      <c r="AV4" s="71" t="s">
        <v>79</v>
      </c>
      <c r="AW4" s="70">
        <f>AM4</f>
        <v>5</v>
      </c>
      <c r="AX4" s="70">
        <f>AR4</f>
        <v>124.544</v>
      </c>
      <c r="AY4" s="70">
        <f>AU4+AW4</f>
        <v>14095</v>
      </c>
      <c r="AZ4" s="70">
        <f>ROUND(((AU4*AV4)+(AW4*AX4))/(AU4+AW4),5)</f>
        <v>121.22156</v>
      </c>
      <c r="BA4" s="74"/>
      <c r="BB4" s="74" t="s">
        <v>80</v>
      </c>
      <c r="BC4" s="88" t="s">
        <v>81</v>
      </c>
      <c r="BD4" s="76" t="s">
        <v>82</v>
      </c>
      <c r="BE4" s="76" t="s">
        <v>83</v>
      </c>
      <c r="BF4" s="74"/>
      <c r="BG4" s="74"/>
      <c r="BH4" s="74"/>
      <c r="BI4" s="70"/>
      <c r="BJ4" s="71"/>
      <c r="BK4" s="71"/>
      <c r="BL4" s="70" t="s">
        <v>84</v>
      </c>
      <c r="BM4" s="71" t="s">
        <v>85</v>
      </c>
      <c r="BN4" s="71" t="s">
        <v>86</v>
      </c>
      <c r="BO4" s="70">
        <f>ROUND((((AW4*AZ4)+(BN4*BM4))/(AW4+BN4)),5)</f>
        <v>146.67549</v>
      </c>
      <c r="BP4" s="78">
        <f>BN4+AW4</f>
        <v>696</v>
      </c>
      <c r="BQ4" s="79">
        <v>123562</v>
      </c>
    </row>
    <row r="5" ht="15.25" spans="1:69">
      <c r="A5" s="48"/>
      <c r="B5" s="49"/>
      <c r="C5" s="49"/>
      <c r="D5" s="50" t="s">
        <v>87</v>
      </c>
      <c r="E5" s="50"/>
      <c r="F5" s="50"/>
      <c r="G5" s="51"/>
      <c r="H5" s="52">
        <f>SUM(H4:H4)</f>
        <v>750</v>
      </c>
      <c r="I5" s="45"/>
      <c r="J5" s="45"/>
      <c r="K5" s="45"/>
      <c r="L5" s="45"/>
      <c r="M5" s="45"/>
      <c r="N5" s="45"/>
      <c r="O5" s="45"/>
      <c r="P5" s="45"/>
      <c r="Q5" s="45"/>
      <c r="R5" s="58">
        <f t="shared" ref="R5:X5" si="0">SUM(R4:R4)</f>
        <v>127.28</v>
      </c>
      <c r="S5" s="52">
        <f t="shared" si="0"/>
        <v>622.72</v>
      </c>
      <c r="T5" s="58"/>
      <c r="U5" s="58"/>
      <c r="V5" s="59">
        <f t="shared" si="0"/>
        <v>0</v>
      </c>
      <c r="W5" s="59">
        <f t="shared" si="0"/>
        <v>0</v>
      </c>
      <c r="X5" s="59">
        <f t="shared" si="0"/>
        <v>112.09</v>
      </c>
      <c r="Y5" s="59"/>
      <c r="Z5" s="59"/>
      <c r="AA5" s="59"/>
      <c r="AB5" s="58">
        <f t="shared" ref="AB5:AE5" si="1">SUM(AB4:AB4)</f>
        <v>112.09</v>
      </c>
      <c r="AC5" s="63">
        <f t="shared" si="1"/>
        <v>734.81</v>
      </c>
      <c r="AD5" s="64">
        <f t="shared" si="1"/>
        <v>120</v>
      </c>
      <c r="AE5" s="64">
        <f t="shared" si="1"/>
        <v>0</v>
      </c>
      <c r="AF5" s="63"/>
      <c r="AG5" s="64">
        <f t="shared" ref="AG5:AK5" si="2">SUM(AG4:AG4)</f>
        <v>0</v>
      </c>
      <c r="AH5" s="64">
        <f t="shared" si="2"/>
        <v>0</v>
      </c>
      <c r="AI5" s="64">
        <f t="shared" si="2"/>
        <v>622.72</v>
      </c>
      <c r="AJ5" s="64">
        <f t="shared" si="2"/>
        <v>0</v>
      </c>
      <c r="AK5" s="64">
        <f t="shared" si="2"/>
        <v>0</v>
      </c>
      <c r="AL5" s="63"/>
      <c r="AM5" s="63"/>
      <c r="AN5" s="63"/>
      <c r="AO5" s="63"/>
      <c r="AP5" s="63"/>
      <c r="AQ5" s="63"/>
      <c r="AR5" s="63"/>
      <c r="AS5" s="48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</row>
  </sheetData>
  <mergeCells count="1">
    <mergeCell ref="A2:B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workbookViewId="0">
      <selection activeCell="V16" sqref="V16"/>
    </sheetView>
  </sheetViews>
  <sheetFormatPr defaultColWidth="9.85454545454546" defaultRowHeight="14.5" outlineLevelRow="4"/>
  <cols>
    <col min="1" max="1" width="9.85454545454546" style="38"/>
    <col min="2" max="2" width="25.5727272727273" style="38" customWidth="1"/>
    <col min="3" max="3" width="26" style="38" customWidth="1"/>
    <col min="4" max="19" width="9.85454545454546" style="38"/>
    <col min="20" max="20" width="10.1363636363636" style="38" customWidth="1"/>
    <col min="21" max="16384" width="9.85454545454546" style="38"/>
  </cols>
  <sheetData>
    <row r="1" spans="1:69">
      <c r="A1" s="39" t="s">
        <v>0</v>
      </c>
      <c r="B1" s="40"/>
      <c r="C1" s="40"/>
      <c r="D1" s="40"/>
      <c r="E1" s="40"/>
      <c r="F1" s="40"/>
      <c r="G1" s="40"/>
      <c r="H1" s="39"/>
      <c r="I1" s="53"/>
      <c r="J1" s="53"/>
      <c r="K1" s="53"/>
      <c r="L1" s="53"/>
      <c r="M1" s="53"/>
      <c r="N1" s="53"/>
      <c r="O1" s="53"/>
      <c r="P1" s="53"/>
      <c r="Q1" s="53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48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</row>
    <row r="2" ht="15.25" spans="1:69">
      <c r="A2" s="41" t="s">
        <v>1</v>
      </c>
      <c r="B2" s="41"/>
      <c r="C2" s="42">
        <v>3</v>
      </c>
      <c r="D2" s="43" t="s">
        <v>2</v>
      </c>
      <c r="E2" s="40"/>
      <c r="F2" s="40"/>
      <c r="G2" s="40"/>
      <c r="H2" s="39"/>
      <c r="I2" s="53" t="s">
        <v>3</v>
      </c>
      <c r="J2" s="53" t="s">
        <v>4</v>
      </c>
      <c r="K2" s="53"/>
      <c r="L2" s="53" t="s">
        <v>5</v>
      </c>
      <c r="M2" s="53">
        <v>1</v>
      </c>
      <c r="N2" s="53"/>
      <c r="O2" s="53" t="s">
        <v>6</v>
      </c>
      <c r="P2" s="53">
        <v>1</v>
      </c>
      <c r="Q2" s="53" t="s">
        <v>7</v>
      </c>
      <c r="R2" s="39"/>
      <c r="S2" s="39"/>
      <c r="T2" s="39"/>
      <c r="U2" s="39"/>
      <c r="V2" s="39">
        <v>1</v>
      </c>
      <c r="W2" s="39" t="s">
        <v>8</v>
      </c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48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</row>
    <row r="3" ht="45" spans="1:69">
      <c r="A3" s="80" t="s">
        <v>9</v>
      </c>
      <c r="B3" s="80" t="s">
        <v>10</v>
      </c>
      <c r="C3" s="81" t="s">
        <v>11</v>
      </c>
      <c r="D3" s="80" t="s">
        <v>12</v>
      </c>
      <c r="E3" s="80" t="s">
        <v>13</v>
      </c>
      <c r="F3" s="82" t="s">
        <v>14</v>
      </c>
      <c r="G3" s="80" t="s">
        <v>15</v>
      </c>
      <c r="H3" s="80" t="s">
        <v>16</v>
      </c>
      <c r="I3" s="83" t="s">
        <v>17</v>
      </c>
      <c r="J3" s="83" t="s">
        <v>18</v>
      </c>
      <c r="K3" s="83" t="s">
        <v>19</v>
      </c>
      <c r="L3" s="84" t="s">
        <v>20</v>
      </c>
      <c r="M3" s="84" t="s">
        <v>21</v>
      </c>
      <c r="N3" s="84" t="s">
        <v>22</v>
      </c>
      <c r="O3" s="84" t="s">
        <v>23</v>
      </c>
      <c r="P3" s="84" t="s">
        <v>24</v>
      </c>
      <c r="Q3" s="84" t="s">
        <v>25</v>
      </c>
      <c r="R3" s="83" t="s">
        <v>26</v>
      </c>
      <c r="S3" s="80" t="s">
        <v>27</v>
      </c>
      <c r="T3" s="80" t="s">
        <v>28</v>
      </c>
      <c r="U3" s="60" t="s">
        <v>29</v>
      </c>
      <c r="V3" s="60" t="s">
        <v>30</v>
      </c>
      <c r="W3" s="60" t="s">
        <v>31</v>
      </c>
      <c r="X3" s="60" t="s">
        <v>32</v>
      </c>
      <c r="Y3" s="60" t="s">
        <v>33</v>
      </c>
      <c r="Z3" s="60" t="s">
        <v>34</v>
      </c>
      <c r="AA3" s="60" t="s">
        <v>35</v>
      </c>
      <c r="AB3" s="60" t="s">
        <v>36</v>
      </c>
      <c r="AC3" s="85" t="s">
        <v>37</v>
      </c>
      <c r="AD3" s="85" t="s">
        <v>38</v>
      </c>
      <c r="AE3" s="86" t="s">
        <v>39</v>
      </c>
      <c r="AF3" s="86" t="s">
        <v>40</v>
      </c>
      <c r="AG3" s="86" t="s">
        <v>41</v>
      </c>
      <c r="AH3" s="85" t="s">
        <v>42</v>
      </c>
      <c r="AI3" s="85" t="s">
        <v>43</v>
      </c>
      <c r="AJ3" s="86" t="s">
        <v>44</v>
      </c>
      <c r="AK3" s="86" t="s">
        <v>45</v>
      </c>
      <c r="AL3" s="85" t="s">
        <v>46</v>
      </c>
      <c r="AM3" s="85" t="s">
        <v>47</v>
      </c>
      <c r="AN3" s="86" t="s">
        <v>48</v>
      </c>
      <c r="AO3" s="86" t="s">
        <v>49</v>
      </c>
      <c r="AP3" s="86" t="s">
        <v>50</v>
      </c>
      <c r="AQ3" s="85" t="s">
        <v>51</v>
      </c>
      <c r="AR3" s="87" t="s">
        <v>52</v>
      </c>
      <c r="AS3" s="67" t="s">
        <v>53</v>
      </c>
      <c r="AT3" s="67" t="s">
        <v>51</v>
      </c>
      <c r="AU3" s="68" t="s">
        <v>54</v>
      </c>
      <c r="AV3" s="68" t="s">
        <v>55</v>
      </c>
      <c r="AW3" s="68" t="s">
        <v>56</v>
      </c>
      <c r="AX3" s="68" t="s">
        <v>57</v>
      </c>
      <c r="AY3" s="68" t="s">
        <v>58</v>
      </c>
      <c r="AZ3" s="68" t="s">
        <v>59</v>
      </c>
      <c r="BA3" s="68" t="s">
        <v>60</v>
      </c>
      <c r="BB3" s="68" t="s">
        <v>61</v>
      </c>
      <c r="BC3" s="72" t="s">
        <v>62</v>
      </c>
      <c r="BD3" s="72" t="s">
        <v>63</v>
      </c>
      <c r="BE3" s="72" t="s">
        <v>64</v>
      </c>
      <c r="BF3" s="68" t="s">
        <v>65</v>
      </c>
      <c r="BG3" s="68" t="s">
        <v>66</v>
      </c>
      <c r="BH3" s="68" t="s">
        <v>67</v>
      </c>
      <c r="BI3" s="68" t="s">
        <v>68</v>
      </c>
      <c r="BJ3" s="68" t="s">
        <v>69</v>
      </c>
      <c r="BK3" s="68" t="s">
        <v>70</v>
      </c>
      <c r="BL3" s="68" t="s">
        <v>71</v>
      </c>
      <c r="BM3" s="68" t="s">
        <v>72</v>
      </c>
      <c r="BN3" s="68" t="s">
        <v>73</v>
      </c>
      <c r="BO3" s="68" t="s">
        <v>59</v>
      </c>
      <c r="BP3" s="68" t="s">
        <v>74</v>
      </c>
      <c r="BQ3" s="68" t="s">
        <v>28</v>
      </c>
    </row>
    <row r="4" ht="15.25" spans="1:69">
      <c r="A4" s="45">
        <v>1</v>
      </c>
      <c r="B4" s="45" t="s">
        <v>88</v>
      </c>
      <c r="C4" s="45" t="s">
        <v>88</v>
      </c>
      <c r="D4" s="45" t="s">
        <v>76</v>
      </c>
      <c r="E4" s="45" t="s">
        <v>89</v>
      </c>
      <c r="F4" s="46">
        <v>5</v>
      </c>
      <c r="G4" s="46">
        <v>150</v>
      </c>
      <c r="H4" s="46">
        <f>F4*G4</f>
        <v>750</v>
      </c>
      <c r="I4" s="46">
        <v>5</v>
      </c>
      <c r="J4" s="46">
        <v>8</v>
      </c>
      <c r="K4" s="46">
        <v>5</v>
      </c>
      <c r="L4" s="46">
        <f>H4</f>
        <v>750</v>
      </c>
      <c r="M4" s="46">
        <f>ROUND(L4*I4%,2)</f>
        <v>37.5</v>
      </c>
      <c r="N4" s="46">
        <f>H4-M4</f>
        <v>712.5</v>
      </c>
      <c r="O4" s="46">
        <f>ROUND(N4*J4%,2)</f>
        <v>57</v>
      </c>
      <c r="P4" s="46">
        <f>ROUND(N4-O4,2)</f>
        <v>655.5</v>
      </c>
      <c r="Q4" s="46">
        <f>ROUND(P4*K4%,2)</f>
        <v>32.78</v>
      </c>
      <c r="R4" s="46">
        <f>M4+O4+Q4</f>
        <v>127.28</v>
      </c>
      <c r="S4" s="46">
        <f>(H4-R4)</f>
        <v>622.72</v>
      </c>
      <c r="T4" s="46">
        <v>88363222</v>
      </c>
      <c r="U4" s="46">
        <v>18</v>
      </c>
      <c r="V4" s="46">
        <f>IF(OR($C$2=1,$C$2=4),ROUND((((S4*U4)/100)/2),2),0)</f>
        <v>0</v>
      </c>
      <c r="W4" s="46">
        <f>IF($C$2=1,ROUND((((S4*U4)/100)/2),2),0)</f>
        <v>0</v>
      </c>
      <c r="X4" s="46">
        <f>IF($C$2=2,ROUND(((S4*U4)/100),2),0)</f>
        <v>0</v>
      </c>
      <c r="Y4" s="46">
        <f>IF($C$2=4,ROUND((((S4*U4)/100)/2),2),0)</f>
        <v>0</v>
      </c>
      <c r="Z4" s="46">
        <v>0</v>
      </c>
      <c r="AA4" s="46">
        <f>IF($C2=3,0,(S4*Z4)/100)</f>
        <v>0</v>
      </c>
      <c r="AB4" s="46">
        <f>V4+W4+X4+Y4+AA4</f>
        <v>0</v>
      </c>
      <c r="AC4" s="46">
        <f>IF($V2=1,S4+AB4,S4)</f>
        <v>622.72</v>
      </c>
      <c r="AD4" s="46">
        <v>120</v>
      </c>
      <c r="AE4" s="46">
        <f>IF($P$2=1,(S4/$S$5)*$E$16,AD4/$AD$5*$E$16)</f>
        <v>0</v>
      </c>
      <c r="AF4" s="46"/>
      <c r="AG4" s="46">
        <f>IF($P$2=1,(S4/$S$5)*$E$18,AD4/$AD$5*$E$18)</f>
        <v>0</v>
      </c>
      <c r="AH4" s="46">
        <f>IF($P$2=1,(S4/$S$5)*$E$18,AD4/$AD$5*$E$18)</f>
        <v>0</v>
      </c>
      <c r="AI4" s="46">
        <f>S4*$M$2</f>
        <v>622.72</v>
      </c>
      <c r="AJ4" s="46">
        <f>IF($C$2=3,0,AG4+AH4)</f>
        <v>0</v>
      </c>
      <c r="AK4" s="46">
        <f>IF($C$2=3,AE4+AG4+AH4,0)</f>
        <v>0</v>
      </c>
      <c r="AL4" s="46">
        <v>1</v>
      </c>
      <c r="AM4" s="46">
        <f>F4/AL4</f>
        <v>5</v>
      </c>
      <c r="AN4" s="46">
        <f>AI4/AM4</f>
        <v>124.544</v>
      </c>
      <c r="AO4" s="46">
        <f>AJ4/AM4</f>
        <v>0</v>
      </c>
      <c r="AP4" s="46">
        <f>AK4/AM4</f>
        <v>0</v>
      </c>
      <c r="AQ4" s="46" t="s">
        <v>76</v>
      </c>
      <c r="AR4" s="71">
        <f>ROUND(AN4+AO4+AP4,5)</f>
        <v>124.544</v>
      </c>
      <c r="AS4" s="71" t="s">
        <v>77</v>
      </c>
      <c r="AT4" s="70" t="s">
        <v>76</v>
      </c>
      <c r="AU4" s="71" t="s">
        <v>78</v>
      </c>
      <c r="AV4" s="71" t="s">
        <v>79</v>
      </c>
      <c r="AW4" s="70">
        <f>AM4</f>
        <v>5</v>
      </c>
      <c r="AX4" s="70">
        <f>AR4</f>
        <v>124.544</v>
      </c>
      <c r="AY4" s="70">
        <f>AU4+AW4</f>
        <v>14095</v>
      </c>
      <c r="AZ4" s="70">
        <f>ROUND(((AU4*AV4)+(AW4*AX4))/(AU4+AW4),5)</f>
        <v>121.22156</v>
      </c>
      <c r="BA4" s="74"/>
      <c r="BB4" s="74" t="s">
        <v>80</v>
      </c>
      <c r="BC4" s="88" t="s">
        <v>81</v>
      </c>
      <c r="BD4" s="76" t="s">
        <v>82</v>
      </c>
      <c r="BE4" s="76" t="s">
        <v>83</v>
      </c>
      <c r="BF4" s="74"/>
      <c r="BG4" s="74"/>
      <c r="BH4" s="74"/>
      <c r="BI4" s="70"/>
      <c r="BJ4" s="71"/>
      <c r="BK4" s="71"/>
      <c r="BL4" s="70" t="s">
        <v>84</v>
      </c>
      <c r="BM4" s="71" t="s">
        <v>85</v>
      </c>
      <c r="BN4" s="71" t="s">
        <v>86</v>
      </c>
      <c r="BO4" s="70">
        <f>ROUND((((AW4*AZ4)+(BN4*BM4))/(AW4+BN4)),5)</f>
        <v>146.67549</v>
      </c>
      <c r="BP4" s="78">
        <f>BN4+AW4</f>
        <v>696</v>
      </c>
      <c r="BQ4" s="79">
        <v>123562</v>
      </c>
    </row>
    <row r="5" ht="15.25" spans="1:69">
      <c r="A5" s="48"/>
      <c r="B5" s="49"/>
      <c r="C5" s="49"/>
      <c r="D5" s="50" t="s">
        <v>87</v>
      </c>
      <c r="E5" s="50"/>
      <c r="F5" s="50"/>
      <c r="G5" s="51"/>
      <c r="H5" s="52">
        <f>SUM(H4:H4)</f>
        <v>750</v>
      </c>
      <c r="I5" s="45"/>
      <c r="J5" s="45"/>
      <c r="K5" s="45"/>
      <c r="L5" s="45"/>
      <c r="M5" s="45"/>
      <c r="N5" s="45"/>
      <c r="O5" s="45"/>
      <c r="P5" s="45"/>
      <c r="Q5" s="45"/>
      <c r="R5" s="58">
        <f t="shared" ref="R5:X5" si="0">SUM(R4:R4)</f>
        <v>127.28</v>
      </c>
      <c r="S5" s="52">
        <f t="shared" si="0"/>
        <v>622.72</v>
      </c>
      <c r="T5" s="58"/>
      <c r="U5" s="58"/>
      <c r="V5" s="59">
        <f t="shared" si="0"/>
        <v>0</v>
      </c>
      <c r="W5" s="59">
        <f t="shared" si="0"/>
        <v>0</v>
      </c>
      <c r="X5" s="59">
        <f t="shared" si="0"/>
        <v>0</v>
      </c>
      <c r="Y5" s="59"/>
      <c r="Z5" s="59"/>
      <c r="AA5" s="59"/>
      <c r="AB5" s="58">
        <f t="shared" ref="AB5:AE5" si="1">SUM(AB4:AB4)</f>
        <v>0</v>
      </c>
      <c r="AC5" s="63">
        <f t="shared" si="1"/>
        <v>622.72</v>
      </c>
      <c r="AD5" s="64">
        <f t="shared" si="1"/>
        <v>120</v>
      </c>
      <c r="AE5" s="64">
        <f t="shared" si="1"/>
        <v>0</v>
      </c>
      <c r="AF5" s="63"/>
      <c r="AG5" s="64">
        <f t="shared" ref="AG5:AK5" si="2">SUM(AG4:AG4)</f>
        <v>0</v>
      </c>
      <c r="AH5" s="64">
        <f t="shared" si="2"/>
        <v>0</v>
      </c>
      <c r="AI5" s="64">
        <f t="shared" si="2"/>
        <v>622.72</v>
      </c>
      <c r="AJ5" s="64">
        <f t="shared" si="2"/>
        <v>0</v>
      </c>
      <c r="AK5" s="64">
        <f t="shared" si="2"/>
        <v>0</v>
      </c>
      <c r="AL5" s="63"/>
      <c r="AM5" s="63"/>
      <c r="AN5" s="63"/>
      <c r="AO5" s="63"/>
      <c r="AP5" s="63"/>
      <c r="AQ5" s="63"/>
      <c r="AR5" s="63"/>
      <c r="AS5" s="48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</row>
  </sheetData>
  <mergeCells count="1">
    <mergeCell ref="A2:B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K1" workbookViewId="0">
      <selection activeCell="X8" sqref="X8"/>
    </sheetView>
  </sheetViews>
  <sheetFormatPr defaultColWidth="9.85454545454546" defaultRowHeight="14.5" outlineLevelRow="4"/>
  <cols>
    <col min="1" max="1" width="9.85454545454546" style="38"/>
    <col min="2" max="2" width="25.5727272727273" style="38" customWidth="1"/>
    <col min="3" max="3" width="26" style="38" customWidth="1"/>
    <col min="4" max="19" width="9.85454545454546" style="38"/>
    <col min="20" max="20" width="10.1363636363636" style="38" customWidth="1"/>
    <col min="21" max="16384" width="9.85454545454546" style="38"/>
  </cols>
  <sheetData>
    <row r="1" spans="1:69">
      <c r="A1" s="39" t="s">
        <v>0</v>
      </c>
      <c r="B1" s="40"/>
      <c r="C1" s="40"/>
      <c r="D1" s="40"/>
      <c r="E1" s="40"/>
      <c r="F1" s="40"/>
      <c r="G1" s="40"/>
      <c r="H1" s="39"/>
      <c r="I1" s="53"/>
      <c r="J1" s="53"/>
      <c r="K1" s="53"/>
      <c r="L1" s="53"/>
      <c r="M1" s="53"/>
      <c r="N1" s="53"/>
      <c r="O1" s="53"/>
      <c r="P1" s="53"/>
      <c r="Q1" s="53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48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</row>
    <row r="2" ht="15.25" spans="1:69">
      <c r="A2" s="41" t="s">
        <v>1</v>
      </c>
      <c r="B2" s="41"/>
      <c r="C2" s="42">
        <v>2</v>
      </c>
      <c r="D2" s="43" t="s">
        <v>2</v>
      </c>
      <c r="E2" s="40"/>
      <c r="F2" s="40"/>
      <c r="G2" s="40"/>
      <c r="H2" s="39"/>
      <c r="I2" s="53" t="s">
        <v>3</v>
      </c>
      <c r="J2" s="53" t="s">
        <v>4</v>
      </c>
      <c r="K2" s="53"/>
      <c r="L2" s="53" t="s">
        <v>5</v>
      </c>
      <c r="M2" s="53">
        <v>1</v>
      </c>
      <c r="N2" s="53"/>
      <c r="O2" s="53" t="s">
        <v>6</v>
      </c>
      <c r="P2" s="53">
        <v>1</v>
      </c>
      <c r="Q2" s="53" t="s">
        <v>7</v>
      </c>
      <c r="R2" s="39"/>
      <c r="S2" s="39"/>
      <c r="T2" s="39"/>
      <c r="U2" s="39"/>
      <c r="V2" s="39">
        <v>1</v>
      </c>
      <c r="W2" s="39" t="s">
        <v>8</v>
      </c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48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</row>
    <row r="3" ht="45" spans="1:69">
      <c r="A3" s="80" t="s">
        <v>9</v>
      </c>
      <c r="B3" s="80" t="s">
        <v>10</v>
      </c>
      <c r="C3" s="81" t="s">
        <v>11</v>
      </c>
      <c r="D3" s="80" t="s">
        <v>12</v>
      </c>
      <c r="E3" s="80" t="s">
        <v>13</v>
      </c>
      <c r="F3" s="82" t="s">
        <v>14</v>
      </c>
      <c r="G3" s="80" t="s">
        <v>15</v>
      </c>
      <c r="H3" s="80" t="s">
        <v>16</v>
      </c>
      <c r="I3" s="83" t="s">
        <v>17</v>
      </c>
      <c r="J3" s="83" t="s">
        <v>18</v>
      </c>
      <c r="K3" s="83" t="s">
        <v>19</v>
      </c>
      <c r="L3" s="84" t="s">
        <v>20</v>
      </c>
      <c r="M3" s="84" t="s">
        <v>21</v>
      </c>
      <c r="N3" s="84" t="s">
        <v>22</v>
      </c>
      <c r="O3" s="84" t="s">
        <v>23</v>
      </c>
      <c r="P3" s="84" t="s">
        <v>24</v>
      </c>
      <c r="Q3" s="84" t="s">
        <v>25</v>
      </c>
      <c r="R3" s="83" t="s">
        <v>26</v>
      </c>
      <c r="S3" s="80" t="s">
        <v>27</v>
      </c>
      <c r="T3" s="80" t="s">
        <v>28</v>
      </c>
      <c r="U3" s="60" t="s">
        <v>29</v>
      </c>
      <c r="V3" s="60" t="s">
        <v>30</v>
      </c>
      <c r="W3" s="60" t="s">
        <v>31</v>
      </c>
      <c r="X3" s="60" t="s">
        <v>32</v>
      </c>
      <c r="Y3" s="60" t="s">
        <v>33</v>
      </c>
      <c r="Z3" s="60" t="s">
        <v>34</v>
      </c>
      <c r="AA3" s="60" t="s">
        <v>35</v>
      </c>
      <c r="AB3" s="60" t="s">
        <v>36</v>
      </c>
      <c r="AC3" s="85" t="s">
        <v>37</v>
      </c>
      <c r="AD3" s="85" t="s">
        <v>38</v>
      </c>
      <c r="AE3" s="86" t="s">
        <v>39</v>
      </c>
      <c r="AF3" s="86" t="s">
        <v>40</v>
      </c>
      <c r="AG3" s="86" t="s">
        <v>41</v>
      </c>
      <c r="AH3" s="85" t="s">
        <v>42</v>
      </c>
      <c r="AI3" s="85" t="s">
        <v>43</v>
      </c>
      <c r="AJ3" s="86" t="s">
        <v>44</v>
      </c>
      <c r="AK3" s="86" t="s">
        <v>45</v>
      </c>
      <c r="AL3" s="85" t="s">
        <v>46</v>
      </c>
      <c r="AM3" s="85" t="s">
        <v>47</v>
      </c>
      <c r="AN3" s="86" t="s">
        <v>48</v>
      </c>
      <c r="AO3" s="86" t="s">
        <v>49</v>
      </c>
      <c r="AP3" s="86" t="s">
        <v>50</v>
      </c>
      <c r="AQ3" s="85" t="s">
        <v>51</v>
      </c>
      <c r="AR3" s="87" t="s">
        <v>52</v>
      </c>
      <c r="AS3" s="67" t="s">
        <v>53</v>
      </c>
      <c r="AT3" s="67" t="s">
        <v>51</v>
      </c>
      <c r="AU3" s="68" t="s">
        <v>54</v>
      </c>
      <c r="AV3" s="68" t="s">
        <v>55</v>
      </c>
      <c r="AW3" s="68" t="s">
        <v>56</v>
      </c>
      <c r="AX3" s="68" t="s">
        <v>57</v>
      </c>
      <c r="AY3" s="68" t="s">
        <v>58</v>
      </c>
      <c r="AZ3" s="68" t="s">
        <v>59</v>
      </c>
      <c r="BA3" s="68" t="s">
        <v>60</v>
      </c>
      <c r="BB3" s="68" t="s">
        <v>61</v>
      </c>
      <c r="BC3" s="72" t="s">
        <v>62</v>
      </c>
      <c r="BD3" s="72" t="s">
        <v>63</v>
      </c>
      <c r="BE3" s="72" t="s">
        <v>64</v>
      </c>
      <c r="BF3" s="68" t="s">
        <v>65</v>
      </c>
      <c r="BG3" s="68" t="s">
        <v>66</v>
      </c>
      <c r="BH3" s="68" t="s">
        <v>67</v>
      </c>
      <c r="BI3" s="68" t="s">
        <v>68</v>
      </c>
      <c r="BJ3" s="68" t="s">
        <v>69</v>
      </c>
      <c r="BK3" s="68" t="s">
        <v>70</v>
      </c>
      <c r="BL3" s="68" t="s">
        <v>71</v>
      </c>
      <c r="BM3" s="68" t="s">
        <v>72</v>
      </c>
      <c r="BN3" s="68" t="s">
        <v>73</v>
      </c>
      <c r="BO3" s="68" t="s">
        <v>59</v>
      </c>
      <c r="BP3" s="68" t="s">
        <v>74</v>
      </c>
      <c r="BQ3" s="68" t="s">
        <v>28</v>
      </c>
    </row>
    <row r="4" ht="15.25" spans="1:69">
      <c r="A4" s="45">
        <v>1</v>
      </c>
      <c r="B4" s="45" t="s">
        <v>90</v>
      </c>
      <c r="C4" s="45" t="s">
        <v>90</v>
      </c>
      <c r="D4" s="45" t="s">
        <v>76</v>
      </c>
      <c r="E4" s="45" t="s">
        <v>76</v>
      </c>
      <c r="F4" s="46">
        <v>5</v>
      </c>
      <c r="G4" s="46">
        <v>150</v>
      </c>
      <c r="H4" s="46">
        <f>F4*G4</f>
        <v>750</v>
      </c>
      <c r="I4" s="46">
        <v>5</v>
      </c>
      <c r="J4" s="46">
        <v>8</v>
      </c>
      <c r="K4" s="46">
        <v>5</v>
      </c>
      <c r="L4" s="46">
        <f>H4</f>
        <v>750</v>
      </c>
      <c r="M4" s="46">
        <f>ROUND(L4*I4%,2)</f>
        <v>37.5</v>
      </c>
      <c r="N4" s="46">
        <f>H4-M4</f>
        <v>712.5</v>
      </c>
      <c r="O4" s="46">
        <f>ROUND(N4*J4%,2)</f>
        <v>57</v>
      </c>
      <c r="P4" s="46">
        <f>ROUND(N4-O4,2)</f>
        <v>655.5</v>
      </c>
      <c r="Q4" s="46">
        <f>ROUND(P4*K4%,2)</f>
        <v>32.78</v>
      </c>
      <c r="R4" s="46">
        <f>M4+O4+Q4</f>
        <v>127.28</v>
      </c>
      <c r="S4" s="46">
        <f>(H4-R4)</f>
        <v>622.72</v>
      </c>
      <c r="T4" s="46">
        <v>88363222</v>
      </c>
      <c r="U4" s="46">
        <v>18</v>
      </c>
      <c r="V4" s="46">
        <f>IF(OR($C$2=1,$C$2=4),ROUND((((S4*U4)/100)/2),2),0)</f>
        <v>0</v>
      </c>
      <c r="W4" s="46">
        <f>IF($C$2=1,ROUND((((S4*U4)/100)/2),2),0)</f>
        <v>0</v>
      </c>
      <c r="X4" s="46">
        <f>IF($C$2=2,ROUND(((S4*U4)/100),2),0)</f>
        <v>112.09</v>
      </c>
      <c r="Y4" s="46">
        <f>IF($C$2=4,ROUND((((S4*U4)/100)/2),2),0)</f>
        <v>0</v>
      </c>
      <c r="Z4" s="46">
        <v>0</v>
      </c>
      <c r="AA4" s="46">
        <v>0</v>
      </c>
      <c r="AB4" s="46">
        <f>V4+W4+X4+Y4+AA4</f>
        <v>112.09</v>
      </c>
      <c r="AC4" s="46">
        <f>IF($V2=1,S4+AB4,S4)</f>
        <v>734.81</v>
      </c>
      <c r="AD4" s="46">
        <v>120</v>
      </c>
      <c r="AE4" s="46">
        <f>IF($P$2=1,(S4/$S$5)*$E$16,AD4/$AD$5*$E$16)</f>
        <v>0</v>
      </c>
      <c r="AF4" s="46"/>
      <c r="AG4" s="46">
        <f>IF($P$2=1,(S4/$S$5)*$E$18,AD4/$AD$5*$E$18)</f>
        <v>0</v>
      </c>
      <c r="AH4" s="46">
        <f>IF($P$2=1,(S4/$S$5)*$E$18,AD4/$AD$5*$E$18)</f>
        <v>0</v>
      </c>
      <c r="AI4" s="46">
        <f>S4*$M$2</f>
        <v>622.72</v>
      </c>
      <c r="AJ4" s="46">
        <f>IF($C$2=3,0,AG4+AH4)</f>
        <v>0</v>
      </c>
      <c r="AK4" s="46">
        <f>IF($C$2=3,AE4+AG4+AH4,0)</f>
        <v>0</v>
      </c>
      <c r="AL4" s="46">
        <v>1</v>
      </c>
      <c r="AM4" s="46">
        <f>F4/AL4</f>
        <v>5</v>
      </c>
      <c r="AN4" s="46">
        <f>AI4/AM4</f>
        <v>124.544</v>
      </c>
      <c r="AO4" s="46">
        <f>AJ4/AM4</f>
        <v>0</v>
      </c>
      <c r="AP4" s="46">
        <f>AK4/AM4</f>
        <v>0</v>
      </c>
      <c r="AQ4" s="46" t="s">
        <v>76</v>
      </c>
      <c r="AR4" s="71">
        <f>ROUND(AN4+AO4+AP4,5)</f>
        <v>124.544</v>
      </c>
      <c r="AS4" s="71" t="s">
        <v>77</v>
      </c>
      <c r="AT4" s="70" t="s">
        <v>76</v>
      </c>
      <c r="AU4" s="71" t="s">
        <v>78</v>
      </c>
      <c r="AV4" s="71" t="s">
        <v>79</v>
      </c>
      <c r="AW4" s="70">
        <f>AM4</f>
        <v>5</v>
      </c>
      <c r="AX4" s="70">
        <f>AR4</f>
        <v>124.544</v>
      </c>
      <c r="AY4" s="70">
        <f>AU4+AW4</f>
        <v>14095</v>
      </c>
      <c r="AZ4" s="70">
        <f>ROUND(((AU4*AV4)+(AW4*AX4))/(AU4+AW4),5)</f>
        <v>121.22156</v>
      </c>
      <c r="BA4" s="74"/>
      <c r="BB4" s="74" t="s">
        <v>80</v>
      </c>
      <c r="BC4" s="88" t="s">
        <v>81</v>
      </c>
      <c r="BD4" s="76" t="s">
        <v>82</v>
      </c>
      <c r="BE4" s="76" t="s">
        <v>83</v>
      </c>
      <c r="BF4" s="74"/>
      <c r="BG4" s="74"/>
      <c r="BH4" s="74"/>
      <c r="BI4" s="70"/>
      <c r="BJ4" s="71"/>
      <c r="BK4" s="71"/>
      <c r="BL4" s="70" t="s">
        <v>84</v>
      </c>
      <c r="BM4" s="71" t="s">
        <v>85</v>
      </c>
      <c r="BN4" s="71" t="s">
        <v>86</v>
      </c>
      <c r="BO4" s="70">
        <f>ROUND((((AW4*AZ4)+(BN4*BM4))/(AW4+BN4)),5)</f>
        <v>146.67549</v>
      </c>
      <c r="BP4" s="78">
        <f>BN4+AW4</f>
        <v>696</v>
      </c>
      <c r="BQ4" s="79">
        <v>123562</v>
      </c>
    </row>
    <row r="5" ht="15.25" spans="1:69">
      <c r="A5" s="48"/>
      <c r="B5" s="49"/>
      <c r="C5" s="49"/>
      <c r="D5" s="50" t="s">
        <v>87</v>
      </c>
      <c r="E5" s="50"/>
      <c r="F5" s="50"/>
      <c r="G5" s="51"/>
      <c r="H5" s="52">
        <f>SUM(H4:H4)</f>
        <v>750</v>
      </c>
      <c r="I5" s="45"/>
      <c r="J5" s="45"/>
      <c r="K5" s="45"/>
      <c r="L5" s="45"/>
      <c r="M5" s="45"/>
      <c r="N5" s="45"/>
      <c r="O5" s="45"/>
      <c r="P5" s="45"/>
      <c r="Q5" s="45"/>
      <c r="R5" s="58">
        <f t="shared" ref="R5:X5" si="0">SUM(R4:R4)</f>
        <v>127.28</v>
      </c>
      <c r="S5" s="52">
        <f t="shared" si="0"/>
        <v>622.72</v>
      </c>
      <c r="T5" s="58"/>
      <c r="U5" s="58"/>
      <c r="V5" s="59">
        <f t="shared" si="0"/>
        <v>0</v>
      </c>
      <c r="W5" s="59">
        <f t="shared" si="0"/>
        <v>0</v>
      </c>
      <c r="X5" s="59">
        <f t="shared" si="0"/>
        <v>112.09</v>
      </c>
      <c r="Y5" s="59"/>
      <c r="Z5" s="59"/>
      <c r="AA5" s="59"/>
      <c r="AB5" s="58">
        <f t="shared" ref="AB5:AE5" si="1">SUM(AB4:AB4)</f>
        <v>112.09</v>
      </c>
      <c r="AC5" s="63">
        <f t="shared" si="1"/>
        <v>734.81</v>
      </c>
      <c r="AD5" s="64">
        <f t="shared" si="1"/>
        <v>120</v>
      </c>
      <c r="AE5" s="64">
        <f t="shared" si="1"/>
        <v>0</v>
      </c>
      <c r="AF5" s="63"/>
      <c r="AG5" s="64">
        <f t="shared" ref="AG5:AK5" si="2">SUM(AG4:AG4)</f>
        <v>0</v>
      </c>
      <c r="AH5" s="64">
        <f t="shared" si="2"/>
        <v>0</v>
      </c>
      <c r="AI5" s="64">
        <f t="shared" si="2"/>
        <v>622.72</v>
      </c>
      <c r="AJ5" s="64">
        <f t="shared" si="2"/>
        <v>0</v>
      </c>
      <c r="AK5" s="64">
        <f t="shared" si="2"/>
        <v>0</v>
      </c>
      <c r="AL5" s="63"/>
      <c r="AM5" s="63"/>
      <c r="AN5" s="63"/>
      <c r="AO5" s="63"/>
      <c r="AP5" s="63"/>
      <c r="AQ5" s="63"/>
      <c r="AR5" s="63"/>
      <c r="AS5" s="48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</row>
  </sheetData>
  <mergeCells count="1">
    <mergeCell ref="A2:B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workbookViewId="0">
      <selection activeCell="W9" sqref="W9"/>
    </sheetView>
  </sheetViews>
  <sheetFormatPr defaultColWidth="9.85454545454546" defaultRowHeight="14.5" outlineLevelRow="4"/>
  <cols>
    <col min="1" max="1" width="9.85454545454546" style="38"/>
    <col min="2" max="2" width="25.5727272727273" style="38" customWidth="1"/>
    <col min="3" max="3" width="26" style="38" customWidth="1"/>
    <col min="4" max="19" width="9.85454545454546" style="38"/>
    <col min="20" max="20" width="10.1363636363636" style="38" customWidth="1"/>
    <col min="21" max="16384" width="9.85454545454546" style="38"/>
  </cols>
  <sheetData>
    <row r="1" spans="1:69">
      <c r="A1" s="39" t="s">
        <v>0</v>
      </c>
      <c r="B1" s="40"/>
      <c r="C1" s="40"/>
      <c r="D1" s="40"/>
      <c r="E1" s="40"/>
      <c r="F1" s="40"/>
      <c r="G1" s="40"/>
      <c r="H1" s="39"/>
      <c r="I1" s="53"/>
      <c r="J1" s="53"/>
      <c r="K1" s="53"/>
      <c r="L1" s="53"/>
      <c r="M1" s="53"/>
      <c r="N1" s="53"/>
      <c r="O1" s="53"/>
      <c r="P1" s="53"/>
      <c r="Q1" s="53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48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</row>
    <row r="2" ht="15.25" spans="1:69">
      <c r="A2" s="41" t="s">
        <v>1</v>
      </c>
      <c r="B2" s="41"/>
      <c r="C2" s="42">
        <v>3</v>
      </c>
      <c r="D2" s="43" t="s">
        <v>2</v>
      </c>
      <c r="E2" s="40"/>
      <c r="F2" s="40"/>
      <c r="G2" s="40"/>
      <c r="H2" s="39"/>
      <c r="I2" s="53" t="s">
        <v>3</v>
      </c>
      <c r="J2" s="53" t="s">
        <v>4</v>
      </c>
      <c r="K2" s="53"/>
      <c r="L2" s="53" t="s">
        <v>5</v>
      </c>
      <c r="M2" s="53">
        <v>1</v>
      </c>
      <c r="N2" s="53"/>
      <c r="O2" s="53" t="s">
        <v>6</v>
      </c>
      <c r="P2" s="53">
        <v>1</v>
      </c>
      <c r="Q2" s="53" t="s">
        <v>7</v>
      </c>
      <c r="R2" s="39"/>
      <c r="S2" s="39"/>
      <c r="T2" s="39"/>
      <c r="U2" s="39"/>
      <c r="V2" s="39">
        <v>1</v>
      </c>
      <c r="W2" s="39" t="s">
        <v>8</v>
      </c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48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</row>
    <row r="3" ht="45" spans="1:69">
      <c r="A3" s="80" t="s">
        <v>9</v>
      </c>
      <c r="B3" s="80" t="s">
        <v>10</v>
      </c>
      <c r="C3" s="81" t="s">
        <v>11</v>
      </c>
      <c r="D3" s="80" t="s">
        <v>12</v>
      </c>
      <c r="E3" s="80" t="s">
        <v>13</v>
      </c>
      <c r="F3" s="82" t="s">
        <v>14</v>
      </c>
      <c r="G3" s="80" t="s">
        <v>15</v>
      </c>
      <c r="H3" s="80" t="s">
        <v>16</v>
      </c>
      <c r="I3" s="83" t="s">
        <v>17</v>
      </c>
      <c r="J3" s="83" t="s">
        <v>18</v>
      </c>
      <c r="K3" s="83" t="s">
        <v>19</v>
      </c>
      <c r="L3" s="84" t="s">
        <v>20</v>
      </c>
      <c r="M3" s="84" t="s">
        <v>21</v>
      </c>
      <c r="N3" s="84" t="s">
        <v>22</v>
      </c>
      <c r="O3" s="84" t="s">
        <v>23</v>
      </c>
      <c r="P3" s="84" t="s">
        <v>24</v>
      </c>
      <c r="Q3" s="84" t="s">
        <v>25</v>
      </c>
      <c r="R3" s="83" t="s">
        <v>26</v>
      </c>
      <c r="S3" s="80" t="s">
        <v>27</v>
      </c>
      <c r="T3" s="80" t="s">
        <v>28</v>
      </c>
      <c r="U3" s="60" t="s">
        <v>29</v>
      </c>
      <c r="V3" s="60" t="s">
        <v>30</v>
      </c>
      <c r="W3" s="60" t="s">
        <v>31</v>
      </c>
      <c r="X3" s="60" t="s">
        <v>32</v>
      </c>
      <c r="Y3" s="60" t="s">
        <v>33</v>
      </c>
      <c r="Z3" s="60" t="s">
        <v>34</v>
      </c>
      <c r="AA3" s="60" t="s">
        <v>35</v>
      </c>
      <c r="AB3" s="60" t="s">
        <v>36</v>
      </c>
      <c r="AC3" s="85" t="s">
        <v>37</v>
      </c>
      <c r="AD3" s="85" t="s">
        <v>38</v>
      </c>
      <c r="AE3" s="86" t="s">
        <v>39</v>
      </c>
      <c r="AF3" s="86" t="s">
        <v>40</v>
      </c>
      <c r="AG3" s="86" t="s">
        <v>41</v>
      </c>
      <c r="AH3" s="85" t="s">
        <v>42</v>
      </c>
      <c r="AI3" s="85" t="s">
        <v>43</v>
      </c>
      <c r="AJ3" s="86" t="s">
        <v>44</v>
      </c>
      <c r="AK3" s="86" t="s">
        <v>45</v>
      </c>
      <c r="AL3" s="85" t="s">
        <v>46</v>
      </c>
      <c r="AM3" s="85" t="s">
        <v>47</v>
      </c>
      <c r="AN3" s="86" t="s">
        <v>48</v>
      </c>
      <c r="AO3" s="86" t="s">
        <v>49</v>
      </c>
      <c r="AP3" s="86" t="s">
        <v>50</v>
      </c>
      <c r="AQ3" s="85" t="s">
        <v>51</v>
      </c>
      <c r="AR3" s="87" t="s">
        <v>52</v>
      </c>
      <c r="AS3" s="67" t="s">
        <v>53</v>
      </c>
      <c r="AT3" s="67" t="s">
        <v>51</v>
      </c>
      <c r="AU3" s="68" t="s">
        <v>54</v>
      </c>
      <c r="AV3" s="68" t="s">
        <v>55</v>
      </c>
      <c r="AW3" s="68" t="s">
        <v>56</v>
      </c>
      <c r="AX3" s="68" t="s">
        <v>57</v>
      </c>
      <c r="AY3" s="68" t="s">
        <v>58</v>
      </c>
      <c r="AZ3" s="68" t="s">
        <v>59</v>
      </c>
      <c r="BA3" s="68" t="s">
        <v>60</v>
      </c>
      <c r="BB3" s="68" t="s">
        <v>61</v>
      </c>
      <c r="BC3" s="72" t="s">
        <v>62</v>
      </c>
      <c r="BD3" s="72" t="s">
        <v>63</v>
      </c>
      <c r="BE3" s="72" t="s">
        <v>64</v>
      </c>
      <c r="BF3" s="68" t="s">
        <v>65</v>
      </c>
      <c r="BG3" s="68" t="s">
        <v>66</v>
      </c>
      <c r="BH3" s="68" t="s">
        <v>67</v>
      </c>
      <c r="BI3" s="68" t="s">
        <v>68</v>
      </c>
      <c r="BJ3" s="68" t="s">
        <v>69</v>
      </c>
      <c r="BK3" s="68" t="s">
        <v>70</v>
      </c>
      <c r="BL3" s="68" t="s">
        <v>71</v>
      </c>
      <c r="BM3" s="68" t="s">
        <v>72</v>
      </c>
      <c r="BN3" s="68" t="s">
        <v>73</v>
      </c>
      <c r="BO3" s="68" t="s">
        <v>59</v>
      </c>
      <c r="BP3" s="68" t="s">
        <v>74</v>
      </c>
      <c r="BQ3" s="68" t="s">
        <v>28</v>
      </c>
    </row>
    <row r="4" ht="15.25" spans="1:69">
      <c r="A4" s="45">
        <v>1</v>
      </c>
      <c r="B4" s="45" t="s">
        <v>75</v>
      </c>
      <c r="C4" s="45" t="s">
        <v>75</v>
      </c>
      <c r="D4" s="45" t="s">
        <v>76</v>
      </c>
      <c r="E4" s="45" t="s">
        <v>76</v>
      </c>
      <c r="F4" s="46">
        <v>5</v>
      </c>
      <c r="G4" s="46">
        <v>150</v>
      </c>
      <c r="H4" s="46">
        <f>F4*G4</f>
        <v>750</v>
      </c>
      <c r="I4" s="46">
        <v>5</v>
      </c>
      <c r="J4" s="46">
        <v>8</v>
      </c>
      <c r="K4" s="46">
        <v>5</v>
      </c>
      <c r="L4" s="46">
        <f>H4</f>
        <v>750</v>
      </c>
      <c r="M4" s="46">
        <f>ROUND(L4*I4%,2)</f>
        <v>37.5</v>
      </c>
      <c r="N4" s="46">
        <f>H4-M4</f>
        <v>712.5</v>
      </c>
      <c r="O4" s="46">
        <f>ROUND(N4*J4%,2)</f>
        <v>57</v>
      </c>
      <c r="P4" s="46">
        <f>ROUND(N4-O4,2)</f>
        <v>655.5</v>
      </c>
      <c r="Q4" s="46">
        <f>ROUND(P4*K4%,2)</f>
        <v>32.78</v>
      </c>
      <c r="R4" s="46">
        <f>M4+O4+Q4</f>
        <v>127.28</v>
      </c>
      <c r="S4" s="46">
        <f>(H4-R4)</f>
        <v>622.72</v>
      </c>
      <c r="T4" s="46">
        <v>88363222</v>
      </c>
      <c r="U4" s="46">
        <v>0</v>
      </c>
      <c r="V4" s="46">
        <f>IF(OR($C$2=1,$C$2=4),ROUND((((S4*U4)/100)/2),2),0)</f>
        <v>0</v>
      </c>
      <c r="W4" s="46">
        <f>IF($C$2=1,ROUND((((S4*U4)/100)/2),2),0)</f>
        <v>0</v>
      </c>
      <c r="X4" s="46">
        <f>IF($C$2=2,ROUND(((S4*U4)/100),2),0)</f>
        <v>0</v>
      </c>
      <c r="Y4" s="46">
        <f>IF($C$2=4,ROUND((((S4*U4)/100)/2),2),0)</f>
        <v>0</v>
      </c>
      <c r="Z4" s="46">
        <v>4</v>
      </c>
      <c r="AA4" s="46">
        <f>IF($C2=3,0,(S4*Z4)/100)</f>
        <v>0</v>
      </c>
      <c r="AB4" s="46">
        <f>V4+W4+X4+Y4+AA4</f>
        <v>0</v>
      </c>
      <c r="AC4" s="46">
        <f>IF($V2=1,S4+AB4,S4)</f>
        <v>622.72</v>
      </c>
      <c r="AD4" s="46">
        <v>120</v>
      </c>
      <c r="AE4" s="46">
        <f>IF($P$2=1,(S4/$S$5)*$E$16,AD4/$AD$5*$E$16)</f>
        <v>0</v>
      </c>
      <c r="AF4" s="46"/>
      <c r="AG4" s="46">
        <f>IF($P$2=1,(S4/$S$5)*$E$18,AD4/$AD$5*$E$18)</f>
        <v>0</v>
      </c>
      <c r="AH4" s="46">
        <f>IF($P$2=1,(S4/$S$5)*$E$18,AD4/$AD$5*$E$18)</f>
        <v>0</v>
      </c>
      <c r="AI4" s="46">
        <f>S4*$M$2</f>
        <v>622.72</v>
      </c>
      <c r="AJ4" s="46">
        <f>IF($C$2=3,0,AG4+AH4)</f>
        <v>0</v>
      </c>
      <c r="AK4" s="46">
        <f>IF($C$2=3,AE4+AG4+AH4,0)</f>
        <v>0</v>
      </c>
      <c r="AL4" s="46">
        <v>3</v>
      </c>
      <c r="AM4" s="46">
        <f>F4/AL4</f>
        <v>1.66666666666667</v>
      </c>
      <c r="AN4" s="46">
        <f>AI4/AM4</f>
        <v>373.632</v>
      </c>
      <c r="AO4" s="46">
        <f>AJ4/AM4</f>
        <v>0</v>
      </c>
      <c r="AP4" s="46">
        <f>AK4/AM4</f>
        <v>0</v>
      </c>
      <c r="AQ4" s="46" t="s">
        <v>76</v>
      </c>
      <c r="AR4" s="71">
        <f>ROUND(AN4+AO4+AP4,5)</f>
        <v>373.632</v>
      </c>
      <c r="AS4" s="71" t="s">
        <v>77</v>
      </c>
      <c r="AT4" s="70" t="s">
        <v>76</v>
      </c>
      <c r="AU4" s="71" t="s">
        <v>78</v>
      </c>
      <c r="AV4" s="71" t="s">
        <v>79</v>
      </c>
      <c r="AW4" s="70">
        <f>AM4</f>
        <v>1.66666666666667</v>
      </c>
      <c r="AX4" s="70">
        <f>AR4</f>
        <v>373.632</v>
      </c>
      <c r="AY4" s="70">
        <f>AU4+AW4</f>
        <v>14091.6666666667</v>
      </c>
      <c r="AZ4" s="70">
        <f>ROUND(((AU4*AV4)+(AW4*AX4))/(AU4+AW4),5)</f>
        <v>121.25023</v>
      </c>
      <c r="BA4" s="74"/>
      <c r="BB4" s="74" t="s">
        <v>80</v>
      </c>
      <c r="BC4" s="88" t="s">
        <v>81</v>
      </c>
      <c r="BD4" s="76" t="s">
        <v>82</v>
      </c>
      <c r="BE4" s="76" t="s">
        <v>83</v>
      </c>
      <c r="BF4" s="74"/>
      <c r="BG4" s="74"/>
      <c r="BH4" s="74"/>
      <c r="BI4" s="70"/>
      <c r="BJ4" s="71"/>
      <c r="BK4" s="71"/>
      <c r="BL4" s="70" t="s">
        <v>84</v>
      </c>
      <c r="BM4" s="71" t="s">
        <v>85</v>
      </c>
      <c r="BN4" s="71" t="s">
        <v>86</v>
      </c>
      <c r="BO4" s="70">
        <f>ROUND((((AW4*AZ4)+(BN4*BM4))/(AW4+BN4)),5)</f>
        <v>146.79805</v>
      </c>
      <c r="BP4" s="78">
        <f>BN4+AW4</f>
        <v>692.666666666667</v>
      </c>
      <c r="BQ4" s="79">
        <v>123562</v>
      </c>
    </row>
    <row r="5" ht="15.25" spans="1:69">
      <c r="A5" s="48"/>
      <c r="B5" s="49"/>
      <c r="C5" s="49"/>
      <c r="D5" s="50" t="s">
        <v>87</v>
      </c>
      <c r="E5" s="50"/>
      <c r="F5" s="50"/>
      <c r="G5" s="51"/>
      <c r="H5" s="52">
        <f>SUM(H4:H4)</f>
        <v>750</v>
      </c>
      <c r="I5" s="45"/>
      <c r="J5" s="45"/>
      <c r="K5" s="45"/>
      <c r="L5" s="45"/>
      <c r="M5" s="45"/>
      <c r="N5" s="45"/>
      <c r="O5" s="45"/>
      <c r="P5" s="45"/>
      <c r="Q5" s="45"/>
      <c r="R5" s="58">
        <f t="shared" ref="R5:X5" si="0">SUM(R4:R4)</f>
        <v>127.28</v>
      </c>
      <c r="S5" s="52">
        <f t="shared" si="0"/>
        <v>622.72</v>
      </c>
      <c r="T5" s="58"/>
      <c r="U5" s="58"/>
      <c r="V5" s="59">
        <f t="shared" si="0"/>
        <v>0</v>
      </c>
      <c r="W5" s="59">
        <f t="shared" si="0"/>
        <v>0</v>
      </c>
      <c r="X5" s="59">
        <f t="shared" si="0"/>
        <v>0</v>
      </c>
      <c r="Y5" s="59"/>
      <c r="Z5" s="59"/>
      <c r="AA5" s="59"/>
      <c r="AB5" s="58">
        <f t="shared" ref="AB5:AE5" si="1">SUM(AB4:AB4)</f>
        <v>0</v>
      </c>
      <c r="AC5" s="63">
        <f t="shared" si="1"/>
        <v>622.72</v>
      </c>
      <c r="AD5" s="64">
        <f t="shared" si="1"/>
        <v>120</v>
      </c>
      <c r="AE5" s="64">
        <f t="shared" si="1"/>
        <v>0</v>
      </c>
      <c r="AF5" s="63"/>
      <c r="AG5" s="64">
        <f t="shared" ref="AG5:AK5" si="2">SUM(AG4:AG4)</f>
        <v>0</v>
      </c>
      <c r="AH5" s="64">
        <f t="shared" si="2"/>
        <v>0</v>
      </c>
      <c r="AI5" s="64">
        <f t="shared" si="2"/>
        <v>622.72</v>
      </c>
      <c r="AJ5" s="64">
        <f t="shared" si="2"/>
        <v>0</v>
      </c>
      <c r="AK5" s="64">
        <f t="shared" si="2"/>
        <v>0</v>
      </c>
      <c r="AL5" s="63"/>
      <c r="AM5" s="63"/>
      <c r="AN5" s="63"/>
      <c r="AO5" s="63"/>
      <c r="AP5" s="63"/>
      <c r="AQ5" s="63"/>
      <c r="AR5" s="63"/>
      <c r="AS5" s="48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</row>
  </sheetData>
  <mergeCells count="1">
    <mergeCell ref="A2:B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"/>
  <sheetViews>
    <sheetView topLeftCell="I1" workbookViewId="0">
      <selection activeCell="U4" sqref="U4"/>
    </sheetView>
  </sheetViews>
  <sheetFormatPr defaultColWidth="8.70909090909091" defaultRowHeight="14.5" outlineLevelRow="4"/>
  <cols>
    <col min="1" max="1" width="8.70909090909091" style="38"/>
    <col min="2" max="2" width="21.1363636363636" style="38" customWidth="1"/>
    <col min="3" max="3" width="21.2818181818182" style="38" customWidth="1"/>
    <col min="4" max="19" width="8.70909090909091" style="38"/>
    <col min="20" max="20" width="10.1363636363636" style="38" customWidth="1"/>
    <col min="21" max="16384" width="8.70909090909091" style="38"/>
  </cols>
  <sheetData>
    <row r="1" spans="1:69">
      <c r="A1" s="39" t="s">
        <v>0</v>
      </c>
      <c r="B1" s="40"/>
      <c r="C1" s="40"/>
      <c r="D1" s="40"/>
      <c r="E1" s="40"/>
      <c r="F1" s="40"/>
      <c r="G1" s="40"/>
      <c r="H1" s="39"/>
      <c r="I1" s="53"/>
      <c r="J1" s="53"/>
      <c r="K1" s="53"/>
      <c r="L1" s="53"/>
      <c r="M1" s="53"/>
      <c r="N1" s="53"/>
      <c r="O1" s="53"/>
      <c r="P1" s="53"/>
      <c r="Q1" s="53"/>
      <c r="R1" s="39"/>
      <c r="S1" s="39"/>
      <c r="T1" s="39"/>
      <c r="U1" s="39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71"/>
      <c r="BQ1" s="71"/>
    </row>
    <row r="2" ht="15.25" spans="1:69">
      <c r="A2" s="41" t="s">
        <v>1</v>
      </c>
      <c r="B2" s="41"/>
      <c r="C2" s="42">
        <v>3</v>
      </c>
      <c r="D2" s="43" t="s">
        <v>2</v>
      </c>
      <c r="E2" s="40"/>
      <c r="F2" s="40"/>
      <c r="G2" s="40"/>
      <c r="H2" s="39"/>
      <c r="I2" s="53" t="s">
        <v>3</v>
      </c>
      <c r="J2" s="53" t="s">
        <v>4</v>
      </c>
      <c r="K2" s="53"/>
      <c r="L2" s="53" t="s">
        <v>5</v>
      </c>
      <c r="M2" s="53">
        <v>1</v>
      </c>
      <c r="N2" s="53"/>
      <c r="O2" s="53" t="s">
        <v>6</v>
      </c>
      <c r="P2" s="53">
        <v>2</v>
      </c>
      <c r="Q2" s="53" t="s">
        <v>7</v>
      </c>
      <c r="R2" s="39"/>
      <c r="S2" s="39"/>
      <c r="T2" s="39"/>
      <c r="U2" s="39"/>
      <c r="V2" s="39">
        <v>1</v>
      </c>
      <c r="W2" s="39" t="s">
        <v>8</v>
      </c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71"/>
      <c r="BQ2" s="71"/>
    </row>
    <row r="3" ht="45" spans="1:69">
      <c r="A3" s="44" t="s">
        <v>91</v>
      </c>
      <c r="B3" s="44" t="s">
        <v>10</v>
      </c>
      <c r="C3" s="44" t="s">
        <v>92</v>
      </c>
      <c r="D3" s="44" t="s">
        <v>12</v>
      </c>
      <c r="E3" s="44" t="s">
        <v>13</v>
      </c>
      <c r="F3" s="44" t="s">
        <v>93</v>
      </c>
      <c r="G3" s="44" t="s">
        <v>15</v>
      </c>
      <c r="H3" s="44" t="s">
        <v>16</v>
      </c>
      <c r="I3" s="54" t="s">
        <v>17</v>
      </c>
      <c r="J3" s="54" t="s">
        <v>19</v>
      </c>
      <c r="K3" s="54" t="s">
        <v>18</v>
      </c>
      <c r="L3" s="55" t="s">
        <v>20</v>
      </c>
      <c r="M3" s="55" t="s">
        <v>21</v>
      </c>
      <c r="N3" s="55" t="s">
        <v>24</v>
      </c>
      <c r="O3" s="55" t="s">
        <v>25</v>
      </c>
      <c r="P3" s="55" t="s">
        <v>94</v>
      </c>
      <c r="Q3" s="55" t="s">
        <v>23</v>
      </c>
      <c r="R3" s="54" t="s">
        <v>26</v>
      </c>
      <c r="S3" s="44" t="s">
        <v>95</v>
      </c>
      <c r="T3" s="44" t="s">
        <v>28</v>
      </c>
      <c r="U3" s="56" t="s">
        <v>96</v>
      </c>
      <c r="V3" s="56" t="s">
        <v>30</v>
      </c>
      <c r="W3" s="56" t="s">
        <v>31</v>
      </c>
      <c r="X3" s="56" t="s">
        <v>32</v>
      </c>
      <c r="Y3" s="60" t="s">
        <v>33</v>
      </c>
      <c r="Z3" s="60" t="s">
        <v>34</v>
      </c>
      <c r="AA3" s="60" t="s">
        <v>35</v>
      </c>
      <c r="AB3" s="60" t="s">
        <v>36</v>
      </c>
      <c r="AC3" s="61" t="s">
        <v>37</v>
      </c>
      <c r="AD3" s="61" t="s">
        <v>38</v>
      </c>
      <c r="AE3" s="61" t="s">
        <v>39</v>
      </c>
      <c r="AF3" s="61" t="s">
        <v>40</v>
      </c>
      <c r="AG3" s="61" t="s">
        <v>41</v>
      </c>
      <c r="AH3" s="61" t="s">
        <v>42</v>
      </c>
      <c r="AI3" s="61" t="s">
        <v>43</v>
      </c>
      <c r="AJ3" s="61" t="s">
        <v>44</v>
      </c>
      <c r="AK3" s="61" t="s">
        <v>45</v>
      </c>
      <c r="AL3" s="61" t="s">
        <v>46</v>
      </c>
      <c r="AM3" s="61" t="s">
        <v>47</v>
      </c>
      <c r="AN3" s="61" t="s">
        <v>48</v>
      </c>
      <c r="AO3" s="61" t="s">
        <v>49</v>
      </c>
      <c r="AP3" s="61" t="s">
        <v>50</v>
      </c>
      <c r="AQ3" s="61" t="s">
        <v>51</v>
      </c>
      <c r="AR3" s="66" t="s">
        <v>97</v>
      </c>
      <c r="AS3" s="67" t="s">
        <v>53</v>
      </c>
      <c r="AT3" s="67" t="s">
        <v>51</v>
      </c>
      <c r="AU3" s="68" t="s">
        <v>54</v>
      </c>
      <c r="AV3" s="68" t="s">
        <v>55</v>
      </c>
      <c r="AW3" s="68" t="s">
        <v>56</v>
      </c>
      <c r="AX3" s="68" t="s">
        <v>57</v>
      </c>
      <c r="AY3" s="68" t="s">
        <v>58</v>
      </c>
      <c r="AZ3" s="68" t="s">
        <v>59</v>
      </c>
      <c r="BA3" s="68" t="s">
        <v>60</v>
      </c>
      <c r="BB3" s="68" t="s">
        <v>61</v>
      </c>
      <c r="BC3" s="72" t="s">
        <v>62</v>
      </c>
      <c r="BD3" s="72" t="s">
        <v>63</v>
      </c>
      <c r="BE3" s="72" t="s">
        <v>64</v>
      </c>
      <c r="BF3" s="68" t="s">
        <v>65</v>
      </c>
      <c r="BG3" s="68" t="s">
        <v>66</v>
      </c>
      <c r="BH3" s="68" t="s">
        <v>67</v>
      </c>
      <c r="BI3" s="68" t="s">
        <v>68</v>
      </c>
      <c r="BJ3" s="68" t="s">
        <v>69</v>
      </c>
      <c r="BK3" s="68" t="s">
        <v>70</v>
      </c>
      <c r="BL3" s="68" t="s">
        <v>71</v>
      </c>
      <c r="BM3" s="68" t="s">
        <v>72</v>
      </c>
      <c r="BN3" s="68" t="s">
        <v>73</v>
      </c>
      <c r="BO3" s="68" t="s">
        <v>59</v>
      </c>
      <c r="BP3" s="68" t="s">
        <v>74</v>
      </c>
      <c r="BQ3" s="68" t="s">
        <v>28</v>
      </c>
    </row>
    <row r="4" ht="15.25" spans="1:69">
      <c r="A4" s="45">
        <v>1</v>
      </c>
      <c r="B4" s="45" t="s">
        <v>90</v>
      </c>
      <c r="C4" s="45" t="s">
        <v>90</v>
      </c>
      <c r="D4" s="45" t="s">
        <v>76</v>
      </c>
      <c r="E4" s="45" t="s">
        <v>76</v>
      </c>
      <c r="F4" s="46">
        <v>5</v>
      </c>
      <c r="G4" s="47" t="s">
        <v>98</v>
      </c>
      <c r="H4" s="46">
        <f>F4*G4</f>
        <v>250</v>
      </c>
      <c r="I4" s="47" t="s">
        <v>99</v>
      </c>
      <c r="J4" s="46">
        <v>8</v>
      </c>
      <c r="K4" s="46">
        <v>5</v>
      </c>
      <c r="L4" s="46">
        <f>IF(OR(I4=0,I4="0"),0,H4)</f>
        <v>250</v>
      </c>
      <c r="M4" s="46">
        <f>ROUND(L4*I4%,3)</f>
        <v>12.5</v>
      </c>
      <c r="N4" s="46">
        <f>H4-M4</f>
        <v>237.5</v>
      </c>
      <c r="O4" s="46">
        <f>ROUND(N4*J4%,3)</f>
        <v>19</v>
      </c>
      <c r="P4" s="46">
        <f>ROUND(N4-O4,2)</f>
        <v>218.5</v>
      </c>
      <c r="Q4" s="46">
        <f>ROUND(P4*K4%,2)</f>
        <v>10.93</v>
      </c>
      <c r="R4" s="57">
        <f>ROUND(M4+O4+Q4,3)</f>
        <v>42.43</v>
      </c>
      <c r="S4" s="57">
        <f>(H4-R4)</f>
        <v>207.57</v>
      </c>
      <c r="T4" s="46">
        <v>88363222</v>
      </c>
      <c r="U4" s="46">
        <v>0</v>
      </c>
      <c r="V4" s="46">
        <f>IF(OR($C$2=1,$C$2=4),ROUND((((S4*U4)/100)/2),2),0)</f>
        <v>0</v>
      </c>
      <c r="W4" s="46">
        <f>IF($C$2=1,ROUND((((S4*U4)/100)/2),2),0)</f>
        <v>0</v>
      </c>
      <c r="X4" s="46">
        <f>IF($C$2=2,ROUND(((S4*U4)/100),2),0)</f>
        <v>0</v>
      </c>
      <c r="Y4" s="46">
        <f>IF($C$2=4,ROUND((((S4*U4)/100)/2),2),0)</f>
        <v>0</v>
      </c>
      <c r="Z4" s="46">
        <v>0</v>
      </c>
      <c r="AA4" s="46">
        <f>IF($C2=3,0,(S4*Z4)/100)</f>
        <v>0</v>
      </c>
      <c r="AB4" s="46">
        <f>V4+W4+X4+Y4+AA4</f>
        <v>0</v>
      </c>
      <c r="AC4" s="62">
        <f>IF($V2=1,S4+AB4,S4)</f>
        <v>207.57</v>
      </c>
      <c r="AD4" s="57">
        <v>120</v>
      </c>
      <c r="AE4" s="57">
        <f>IF($P$2=1,(S4/$S$5)*$E$16,AD4/$AD$5*$E$16)</f>
        <v>0</v>
      </c>
      <c r="AF4" s="57"/>
      <c r="AG4" s="57">
        <f>IF($P$2=1,(S4/$S$5)*$E$18,AD4/$AD$5*$E$18)</f>
        <v>0</v>
      </c>
      <c r="AH4" s="57">
        <f>IF($P$2=1,(S4/$S$5)*$E$19,AD4/$AD$5*$E$19)</f>
        <v>0</v>
      </c>
      <c r="AI4" s="57">
        <f>S4*$M2</f>
        <v>207.57</v>
      </c>
      <c r="AJ4" s="57">
        <f>IF($C$2=3,0,AG4+AH4)</f>
        <v>0</v>
      </c>
      <c r="AK4" s="57">
        <f>IF($C$2=3,AE4+AG4+AH4,0)</f>
        <v>0</v>
      </c>
      <c r="AL4" s="65">
        <v>1</v>
      </c>
      <c r="AM4" s="57">
        <f>F4/AL4</f>
        <v>5</v>
      </c>
      <c r="AN4" s="57">
        <f>ROUND(AI4/AM4,5)</f>
        <v>41.514</v>
      </c>
      <c r="AO4" s="57">
        <f>AJ4/AM4</f>
        <v>0</v>
      </c>
      <c r="AP4" s="57">
        <f>AK4/AM4</f>
        <v>0</v>
      </c>
      <c r="AQ4" s="57" t="s">
        <v>76</v>
      </c>
      <c r="AR4" s="57">
        <f>ROUND(AN4+AO4+AP4,5)</f>
        <v>41.514</v>
      </c>
      <c r="AS4" s="69" t="s">
        <v>100</v>
      </c>
      <c r="AT4" s="70" t="s">
        <v>76</v>
      </c>
      <c r="AU4" s="47" t="s">
        <v>101</v>
      </c>
      <c r="AV4" s="47" t="s">
        <v>102</v>
      </c>
      <c r="AW4" s="70">
        <f>AM4</f>
        <v>5</v>
      </c>
      <c r="AX4" s="73">
        <f>AR4</f>
        <v>41.514</v>
      </c>
      <c r="AY4" s="70">
        <f>AU4+AW4</f>
        <v>20</v>
      </c>
      <c r="AZ4" s="70">
        <f>ROUND(((AU4*AV4)+(AW4*AX4))/(AU4+AW4),3)</f>
        <v>41.515</v>
      </c>
      <c r="BA4" s="74"/>
      <c r="BB4" s="74" t="s">
        <v>80</v>
      </c>
      <c r="BC4" s="75" t="s">
        <v>81</v>
      </c>
      <c r="BD4" s="76" t="s">
        <v>82</v>
      </c>
      <c r="BE4" s="76" t="s">
        <v>83</v>
      </c>
      <c r="BF4" s="74"/>
      <c r="BG4" s="74"/>
      <c r="BH4" s="74"/>
      <c r="BI4" s="70"/>
      <c r="BJ4" s="70"/>
      <c r="BK4" s="70"/>
      <c r="BL4" s="77" t="s">
        <v>103</v>
      </c>
      <c r="BM4" s="47" t="s">
        <v>102</v>
      </c>
      <c r="BN4" s="47" t="s">
        <v>99</v>
      </c>
      <c r="BO4" s="70">
        <f>ROUND((((AW4*AZ4)+(BN4*BM4))/(AW4+BN4)),5)</f>
        <v>41.515</v>
      </c>
      <c r="BP4" s="78">
        <f>ROUND(BN4+AW4,3)</f>
        <v>10</v>
      </c>
      <c r="BQ4" s="79">
        <v>123562</v>
      </c>
    </row>
    <row r="5" ht="15.25" spans="1:69">
      <c r="A5" s="48"/>
      <c r="B5" s="49"/>
      <c r="C5" s="49"/>
      <c r="D5" s="50" t="s">
        <v>87</v>
      </c>
      <c r="E5" s="50"/>
      <c r="F5" s="50"/>
      <c r="G5" s="51"/>
      <c r="H5" s="52">
        <f>SUM(H4:H4)</f>
        <v>250</v>
      </c>
      <c r="I5" s="45"/>
      <c r="J5" s="45"/>
      <c r="K5" s="45"/>
      <c r="L5" s="45"/>
      <c r="M5" s="45"/>
      <c r="N5" s="45"/>
      <c r="O5" s="45"/>
      <c r="P5" s="45"/>
      <c r="Q5" s="45"/>
      <c r="R5" s="58">
        <f t="shared" ref="R5:X5" si="0">SUM(R4:R4)</f>
        <v>42.43</v>
      </c>
      <c r="S5" s="52">
        <f t="shared" si="0"/>
        <v>207.57</v>
      </c>
      <c r="T5" s="58"/>
      <c r="U5" s="58"/>
      <c r="V5" s="59">
        <f t="shared" si="0"/>
        <v>0</v>
      </c>
      <c r="W5" s="59">
        <f t="shared" si="0"/>
        <v>0</v>
      </c>
      <c r="X5" s="59">
        <f t="shared" si="0"/>
        <v>0</v>
      </c>
      <c r="Y5" s="59"/>
      <c r="Z5" s="59"/>
      <c r="AA5" s="59"/>
      <c r="AB5" s="58">
        <f t="shared" ref="AB5:AE5" si="1">SUM(AB4:AB4)</f>
        <v>0</v>
      </c>
      <c r="AC5" s="63">
        <f t="shared" si="1"/>
        <v>207.57</v>
      </c>
      <c r="AD5" s="64">
        <f t="shared" si="1"/>
        <v>120</v>
      </c>
      <c r="AE5" s="64">
        <f t="shared" si="1"/>
        <v>0</v>
      </c>
      <c r="AF5" s="63"/>
      <c r="AG5" s="64">
        <f t="shared" ref="AG5:AK5" si="2">SUM(AG4:AG4)</f>
        <v>0</v>
      </c>
      <c r="AH5" s="64">
        <f>IF($P$2=1,(S5/$S$5)*$E$19,AD5/$AD$5*$E$19)</f>
        <v>0</v>
      </c>
      <c r="AI5" s="64">
        <f t="shared" si="2"/>
        <v>207.57</v>
      </c>
      <c r="AJ5" s="64">
        <f t="shared" si="2"/>
        <v>0</v>
      </c>
      <c r="AK5" s="64">
        <f t="shared" si="2"/>
        <v>0</v>
      </c>
      <c r="AL5" s="63"/>
      <c r="AM5" s="63"/>
      <c r="AN5" s="63"/>
      <c r="AO5" s="63"/>
      <c r="AP5" s="63"/>
      <c r="AQ5" s="63"/>
      <c r="AR5" s="63"/>
      <c r="AS5" s="48"/>
      <c r="AT5" s="48"/>
      <c r="AU5" s="71"/>
      <c r="AV5" s="71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71"/>
      <c r="BQ5" s="71"/>
    </row>
  </sheetData>
  <mergeCells count="1">
    <mergeCell ref="A2:B2"/>
  </mergeCells>
  <hyperlinks>
    <hyperlink ref="AS4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"/>
  <sheetViews>
    <sheetView topLeftCell="K3" workbookViewId="0">
      <selection activeCell="C8" sqref="C8"/>
    </sheetView>
  </sheetViews>
  <sheetFormatPr defaultColWidth="8.70909090909091" defaultRowHeight="14.5"/>
  <cols>
    <col min="2" max="2" width="17.8545454545455" customWidth="1"/>
    <col min="3" max="3" width="22" customWidth="1"/>
    <col min="24" max="24" width="10.2727272727273"/>
  </cols>
  <sheetData>
    <row r="1" ht="18.5" spans="1:42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ht="19.25" spans="1:42">
      <c r="A2" s="1" t="s">
        <v>105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ht="16" spans="1:42">
      <c r="A3" s="2" t="s">
        <v>9</v>
      </c>
      <c r="B3" s="3" t="s">
        <v>10</v>
      </c>
      <c r="C3" s="4" t="s">
        <v>11</v>
      </c>
      <c r="D3" s="3" t="s">
        <v>12</v>
      </c>
      <c r="E3" s="3" t="s">
        <v>13</v>
      </c>
      <c r="F3" s="3" t="s">
        <v>93</v>
      </c>
      <c r="G3" s="3" t="s">
        <v>15</v>
      </c>
      <c r="H3" s="5" t="s">
        <v>16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</row>
    <row r="4" ht="15.25" spans="1:42">
      <c r="A4" s="6">
        <v>1</v>
      </c>
      <c r="B4" s="7" t="s">
        <v>106</v>
      </c>
      <c r="C4" s="6" t="s">
        <v>107</v>
      </c>
      <c r="D4" s="6" t="s">
        <v>76</v>
      </c>
      <c r="E4" s="6" t="s">
        <v>76</v>
      </c>
      <c r="F4" s="8">
        <v>5</v>
      </c>
      <c r="G4" s="9">
        <v>150</v>
      </c>
      <c r="H4" s="10">
        <f>F4*G4</f>
        <v>750</v>
      </c>
      <c r="I4" s="23"/>
      <c r="J4" s="23"/>
      <c r="K4" s="23"/>
      <c r="L4" s="24"/>
      <c r="M4" s="24"/>
      <c r="N4" s="24"/>
      <c r="O4" s="24"/>
      <c r="P4" s="24"/>
      <c r="Q4" s="24"/>
      <c r="R4" s="24"/>
      <c r="S4" s="24"/>
      <c r="T4" s="24"/>
      <c r="U4" s="23"/>
      <c r="V4" s="23"/>
      <c r="W4" s="23"/>
      <c r="X4" s="23"/>
      <c r="Y4" s="24"/>
      <c r="Z4" s="24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ht="15.25" spans="1:42">
      <c r="A5" s="11"/>
      <c r="B5" s="12" t="s">
        <v>87</v>
      </c>
      <c r="C5" s="12"/>
      <c r="D5" s="12"/>
      <c r="E5" s="12"/>
      <c r="F5" s="12"/>
      <c r="G5" s="12"/>
      <c r="H5" s="13">
        <f>SUM(H4:H4)</f>
        <v>750</v>
      </c>
      <c r="I5" s="25"/>
      <c r="J5" s="25"/>
      <c r="K5" s="25"/>
      <c r="L5" s="25"/>
      <c r="M5" s="25"/>
      <c r="N5" s="25"/>
      <c r="O5" s="25"/>
      <c r="P5" s="25"/>
      <c r="Q5" s="25"/>
      <c r="R5" s="14"/>
      <c r="S5" s="14"/>
      <c r="T5" s="14"/>
      <c r="U5" s="14"/>
      <c r="V5" s="14"/>
      <c r="W5" s="14"/>
      <c r="X5" s="14"/>
      <c r="Y5" s="14"/>
      <c r="Z5" s="14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</row>
    <row r="6" spans="1:42">
      <c r="A6" s="14" t="s">
        <v>0</v>
      </c>
      <c r="B6" s="15"/>
      <c r="C6" s="15"/>
      <c r="D6" s="15"/>
      <c r="E6" s="15"/>
      <c r="F6" s="15"/>
      <c r="G6" s="15"/>
      <c r="H6" s="14"/>
      <c r="I6" s="26"/>
      <c r="J6" s="26"/>
      <c r="K6" s="26"/>
      <c r="L6" s="26"/>
      <c r="M6" s="26"/>
      <c r="N6" s="26"/>
      <c r="O6" s="26"/>
      <c r="P6" s="26"/>
      <c r="Q6" s="26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1"/>
    </row>
    <row r="7" spans="1:42">
      <c r="A7" s="16" t="s">
        <v>1</v>
      </c>
      <c r="B7" s="16"/>
      <c r="C7" s="17">
        <v>1</v>
      </c>
      <c r="D7" s="18" t="s">
        <v>108</v>
      </c>
      <c r="E7" s="15"/>
      <c r="F7" s="15"/>
      <c r="G7" s="15"/>
      <c r="H7" s="14"/>
      <c r="I7" s="26" t="s">
        <v>3</v>
      </c>
      <c r="J7" s="26" t="s">
        <v>4</v>
      </c>
      <c r="K7" s="26"/>
      <c r="L7" s="26" t="s">
        <v>5</v>
      </c>
      <c r="M7" s="26">
        <v>1</v>
      </c>
      <c r="N7" s="26"/>
      <c r="O7" s="26" t="s">
        <v>6</v>
      </c>
      <c r="P7" s="26">
        <v>2</v>
      </c>
      <c r="Q7" s="26" t="s">
        <v>7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1"/>
    </row>
    <row r="8" ht="58.75" spans="1:42">
      <c r="A8" s="19" t="s">
        <v>9</v>
      </c>
      <c r="B8" s="19" t="s">
        <v>10</v>
      </c>
      <c r="C8" s="20" t="s">
        <v>11</v>
      </c>
      <c r="D8" s="19" t="s">
        <v>12</v>
      </c>
      <c r="E8" s="19" t="s">
        <v>13</v>
      </c>
      <c r="F8" s="21" t="s">
        <v>14</v>
      </c>
      <c r="G8" s="19" t="s">
        <v>15</v>
      </c>
      <c r="H8" s="19" t="s">
        <v>16</v>
      </c>
      <c r="I8" s="27" t="s">
        <v>17</v>
      </c>
      <c r="J8" s="27" t="s">
        <v>18</v>
      </c>
      <c r="K8" s="27" t="s">
        <v>19</v>
      </c>
      <c r="L8" s="28" t="s">
        <v>20</v>
      </c>
      <c r="M8" s="28" t="s">
        <v>21</v>
      </c>
      <c r="N8" s="28" t="s">
        <v>22</v>
      </c>
      <c r="O8" s="28" t="s">
        <v>23</v>
      </c>
      <c r="P8" s="28" t="s">
        <v>24</v>
      </c>
      <c r="Q8" s="28" t="s">
        <v>25</v>
      </c>
      <c r="R8" s="27" t="s">
        <v>26</v>
      </c>
      <c r="S8" s="19" t="s">
        <v>27</v>
      </c>
      <c r="T8" s="19" t="s">
        <v>28</v>
      </c>
      <c r="U8" s="29" t="s">
        <v>29</v>
      </c>
      <c r="V8" s="29" t="s">
        <v>30</v>
      </c>
      <c r="W8" s="29" t="s">
        <v>31</v>
      </c>
      <c r="X8" s="29" t="s">
        <v>32</v>
      </c>
      <c r="Y8" s="29" t="s">
        <v>36</v>
      </c>
      <c r="Z8" s="31" t="s">
        <v>37</v>
      </c>
      <c r="AA8" s="31" t="s">
        <v>38</v>
      </c>
      <c r="AB8" s="32" t="s">
        <v>39</v>
      </c>
      <c r="AC8" s="32" t="s">
        <v>40</v>
      </c>
      <c r="AD8" s="32" t="s">
        <v>41</v>
      </c>
      <c r="AE8" s="31" t="s">
        <v>42</v>
      </c>
      <c r="AF8" s="31" t="s">
        <v>43</v>
      </c>
      <c r="AG8" s="32" t="s">
        <v>44</v>
      </c>
      <c r="AH8" s="32" t="s">
        <v>45</v>
      </c>
      <c r="AI8" s="31" t="s">
        <v>46</v>
      </c>
      <c r="AJ8" s="31" t="s">
        <v>47</v>
      </c>
      <c r="AK8" s="32" t="s">
        <v>48</v>
      </c>
      <c r="AL8" s="32" t="s">
        <v>49</v>
      </c>
      <c r="AM8" s="32" t="s">
        <v>50</v>
      </c>
      <c r="AN8" s="31" t="s">
        <v>51</v>
      </c>
      <c r="AO8" s="35" t="s">
        <v>52</v>
      </c>
      <c r="AP8" s="36"/>
    </row>
    <row r="9" ht="15.25" spans="1:42">
      <c r="A9" s="6">
        <v>1</v>
      </c>
      <c r="B9" s="7" t="s">
        <v>106</v>
      </c>
      <c r="C9" s="6" t="s">
        <v>107</v>
      </c>
      <c r="D9" s="6" t="s">
        <v>76</v>
      </c>
      <c r="E9" s="6" t="s">
        <v>76</v>
      </c>
      <c r="F9" s="8">
        <v>5</v>
      </c>
      <c r="G9" s="9">
        <v>150</v>
      </c>
      <c r="H9" s="10">
        <f>F9*G9</f>
        <v>750</v>
      </c>
      <c r="I9" s="10">
        <v>5</v>
      </c>
      <c r="J9" s="10">
        <v>6</v>
      </c>
      <c r="K9" s="10">
        <v>7</v>
      </c>
      <c r="L9" s="10">
        <f>H9</f>
        <v>750</v>
      </c>
      <c r="M9" s="10">
        <f>ROUND((L9*I9)/100,2)</f>
        <v>37.5</v>
      </c>
      <c r="N9" s="10">
        <f>H9-M9</f>
        <v>712.5</v>
      </c>
      <c r="O9" s="10">
        <f>ROUND((N9*J9)/100,2)</f>
        <v>42.75</v>
      </c>
      <c r="P9" s="10">
        <f>ROUND(N9-O9,2)</f>
        <v>669.75</v>
      </c>
      <c r="Q9" s="10">
        <f>ROUND((P9*K9)/100,2)</f>
        <v>46.88</v>
      </c>
      <c r="R9" s="9">
        <f>M9+O9+Q9</f>
        <v>127.13</v>
      </c>
      <c r="S9" s="9">
        <f>(H9-R9)</f>
        <v>622.87</v>
      </c>
      <c r="T9" s="9" t="s">
        <v>109</v>
      </c>
      <c r="U9" s="10">
        <v>18</v>
      </c>
      <c r="V9" s="10">
        <f>IF($C$7=1,ROUND(((S9*(U9/100))/2),2),0)</f>
        <v>56.06</v>
      </c>
      <c r="W9" s="10">
        <f>IF($C$7=1,ROUND(((S9*(U9/100))/2),2),0)</f>
        <v>56.06</v>
      </c>
      <c r="X9" s="10">
        <f>IF($C$7=2,ROUND(((S9*U9)/100),2),0)</f>
        <v>0</v>
      </c>
      <c r="Y9" s="9">
        <f>V9+W9+X9</f>
        <v>112.12</v>
      </c>
      <c r="Z9" s="9">
        <f>S9+Y9</f>
        <v>734.99</v>
      </c>
      <c r="AA9" s="9">
        <v>120</v>
      </c>
      <c r="AB9" s="9" t="e">
        <f>IF($P$7=1,(S9/$S$10)*#REF!,AA9/$AA$10*#REF!)</f>
        <v>#REF!</v>
      </c>
      <c r="AC9" s="9"/>
      <c r="AD9" s="9" t="e">
        <f>IF($P$7=1,(S9/$S$10)*#REF!,AA9/$AA$10*#REF!)</f>
        <v>#REF!</v>
      </c>
      <c r="AE9" s="9" t="e">
        <f>IF($P$7=1,(S9/$S$10)*#REF!,AA9/$AA$10*#REF!)</f>
        <v>#REF!</v>
      </c>
      <c r="AF9" s="9">
        <f>S9*$M$7</f>
        <v>622.87</v>
      </c>
      <c r="AG9" s="9" t="e">
        <f>IF($C$7=3,0,AD9+AE9)</f>
        <v>#REF!</v>
      </c>
      <c r="AH9" s="9">
        <f>IF($C$7=3,AB9+AD9+AE9,0)</f>
        <v>0</v>
      </c>
      <c r="AI9" s="8">
        <v>1</v>
      </c>
      <c r="AJ9" s="9">
        <f>F9/AI9</f>
        <v>5</v>
      </c>
      <c r="AK9" s="9">
        <f>AF9/AJ9</f>
        <v>124.574</v>
      </c>
      <c r="AL9" s="9" t="e">
        <f>AG9/AJ9</f>
        <v>#REF!</v>
      </c>
      <c r="AM9" s="9">
        <f>AH9/AJ9</f>
        <v>0</v>
      </c>
      <c r="AN9" s="9" t="s">
        <v>76</v>
      </c>
      <c r="AO9" s="9" t="e">
        <f>AK9+AL9+AM9</f>
        <v>#REF!</v>
      </c>
      <c r="AP9" s="11"/>
    </row>
    <row r="10" ht="15.25" spans="1:42">
      <c r="A10" s="11"/>
      <c r="B10" s="22" t="s">
        <v>87</v>
      </c>
      <c r="C10" s="22"/>
      <c r="D10" s="22"/>
      <c r="E10" s="22"/>
      <c r="F10" s="22"/>
      <c r="G10" s="22"/>
      <c r="H10" s="13">
        <f>SUM(H9:H9)</f>
        <v>750</v>
      </c>
      <c r="I10" s="6"/>
      <c r="J10" s="6"/>
      <c r="K10" s="6"/>
      <c r="L10" s="6"/>
      <c r="M10" s="6"/>
      <c r="N10" s="6"/>
      <c r="O10" s="6"/>
      <c r="P10" s="6"/>
      <c r="Q10" s="6"/>
      <c r="R10" s="30">
        <f t="shared" ref="R10:AB10" si="0">SUM(R9:R9)</f>
        <v>127.13</v>
      </c>
      <c r="S10" s="30">
        <f t="shared" si="0"/>
        <v>622.87</v>
      </c>
      <c r="T10" s="30"/>
      <c r="U10" s="30"/>
      <c r="V10" s="13">
        <f t="shared" si="0"/>
        <v>56.06</v>
      </c>
      <c r="W10" s="13">
        <f t="shared" si="0"/>
        <v>56.06</v>
      </c>
      <c r="X10" s="13">
        <f t="shared" si="0"/>
        <v>0</v>
      </c>
      <c r="Y10" s="30">
        <f t="shared" si="0"/>
        <v>112.12</v>
      </c>
      <c r="Z10" s="33">
        <f t="shared" si="0"/>
        <v>734.99</v>
      </c>
      <c r="AA10" s="34">
        <f t="shared" si="0"/>
        <v>120</v>
      </c>
      <c r="AB10" s="34" t="e">
        <f t="shared" si="0"/>
        <v>#REF!</v>
      </c>
      <c r="AC10" s="33"/>
      <c r="AD10" s="34" t="e">
        <f t="shared" ref="AD10:AH10" si="1">SUM(AD9:AD9)</f>
        <v>#REF!</v>
      </c>
      <c r="AE10" s="34" t="e">
        <f t="shared" si="1"/>
        <v>#REF!</v>
      </c>
      <c r="AF10" s="34">
        <f t="shared" si="1"/>
        <v>622.87</v>
      </c>
      <c r="AG10" s="34" t="e">
        <f t="shared" si="1"/>
        <v>#REF!</v>
      </c>
      <c r="AH10" s="34">
        <f t="shared" si="1"/>
        <v>0</v>
      </c>
      <c r="AI10" s="33"/>
      <c r="AJ10" s="33"/>
      <c r="AK10" s="33"/>
      <c r="AL10" s="33"/>
      <c r="AM10" s="33"/>
      <c r="AN10" s="33"/>
      <c r="AO10" s="33"/>
      <c r="AP10" s="11"/>
    </row>
  </sheetData>
  <mergeCells count="4">
    <mergeCell ref="A1:Z1"/>
    <mergeCell ref="B5:G5"/>
    <mergeCell ref="A7:B7"/>
    <mergeCell ref="B10:G10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"/>
  <sheetViews>
    <sheetView topLeftCell="H1" workbookViewId="0">
      <selection activeCell="V9" sqref="V9"/>
    </sheetView>
  </sheetViews>
  <sheetFormatPr defaultColWidth="8.70909090909091" defaultRowHeight="14.5"/>
  <cols>
    <col min="2" max="2" width="17.8545454545455" customWidth="1"/>
    <col min="3" max="3" width="22" customWidth="1"/>
  </cols>
  <sheetData>
    <row r="1" ht="18.5" spans="1:42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ht="19.25" spans="1:42">
      <c r="A2" s="1" t="s">
        <v>105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ht="16" spans="1:42">
      <c r="A3" s="2" t="s">
        <v>9</v>
      </c>
      <c r="B3" s="3" t="s">
        <v>10</v>
      </c>
      <c r="C3" s="4" t="s">
        <v>11</v>
      </c>
      <c r="D3" s="3" t="s">
        <v>12</v>
      </c>
      <c r="E3" s="3" t="s">
        <v>13</v>
      </c>
      <c r="F3" s="3" t="s">
        <v>93</v>
      </c>
      <c r="G3" s="3" t="s">
        <v>15</v>
      </c>
      <c r="H3" s="5" t="s">
        <v>16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</row>
    <row r="4" ht="15.25" spans="1:42">
      <c r="A4" s="6">
        <v>1</v>
      </c>
      <c r="B4" s="7" t="s">
        <v>106</v>
      </c>
      <c r="C4" s="6" t="s">
        <v>107</v>
      </c>
      <c r="D4" s="6" t="s">
        <v>76</v>
      </c>
      <c r="E4" s="6" t="s">
        <v>76</v>
      </c>
      <c r="F4" s="8">
        <v>5</v>
      </c>
      <c r="G4" s="9">
        <v>150</v>
      </c>
      <c r="H4" s="10">
        <f>F4*G4</f>
        <v>750</v>
      </c>
      <c r="I4" s="23"/>
      <c r="J4" s="23"/>
      <c r="K4" s="23"/>
      <c r="L4" s="24"/>
      <c r="M4" s="24"/>
      <c r="N4" s="24"/>
      <c r="O4" s="24"/>
      <c r="P4" s="24"/>
      <c r="Q4" s="24"/>
      <c r="R4" s="24"/>
      <c r="S4" s="24"/>
      <c r="T4" s="24"/>
      <c r="U4" s="23"/>
      <c r="V4" s="23"/>
      <c r="W4" s="23"/>
      <c r="X4" s="23"/>
      <c r="Y4" s="24"/>
      <c r="Z4" s="24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ht="15.25" spans="1:42">
      <c r="A5" s="11"/>
      <c r="B5" s="12" t="s">
        <v>87</v>
      </c>
      <c r="C5" s="12"/>
      <c r="D5" s="12"/>
      <c r="E5" s="12"/>
      <c r="F5" s="12"/>
      <c r="G5" s="12"/>
      <c r="H5" s="13">
        <f>SUM(H4:H4)</f>
        <v>750</v>
      </c>
      <c r="I5" s="25"/>
      <c r="J5" s="25"/>
      <c r="K5" s="25"/>
      <c r="L5" s="25"/>
      <c r="M5" s="25"/>
      <c r="N5" s="25"/>
      <c r="O5" s="25"/>
      <c r="P5" s="25"/>
      <c r="Q5" s="25"/>
      <c r="R5" s="14"/>
      <c r="S5" s="14"/>
      <c r="T5" s="14"/>
      <c r="U5" s="14"/>
      <c r="V5" s="14"/>
      <c r="W5" s="14"/>
      <c r="X5" s="14"/>
      <c r="Y5" s="14"/>
      <c r="Z5" s="14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</row>
    <row r="6" spans="1:42">
      <c r="A6" s="14" t="s">
        <v>0</v>
      </c>
      <c r="B6" s="15"/>
      <c r="C6" s="15"/>
      <c r="D6" s="15"/>
      <c r="E6" s="15"/>
      <c r="F6" s="15"/>
      <c r="G6" s="15"/>
      <c r="H6" s="14"/>
      <c r="I6" s="26"/>
      <c r="J6" s="26"/>
      <c r="K6" s="26"/>
      <c r="L6" s="26"/>
      <c r="M6" s="26"/>
      <c r="N6" s="26"/>
      <c r="O6" s="26"/>
      <c r="P6" s="26"/>
      <c r="Q6" s="26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1"/>
    </row>
    <row r="7" spans="1:42">
      <c r="A7" s="16" t="s">
        <v>1</v>
      </c>
      <c r="B7" s="16"/>
      <c r="C7" s="17">
        <v>3</v>
      </c>
      <c r="D7" s="18" t="s">
        <v>108</v>
      </c>
      <c r="E7" s="15"/>
      <c r="F7" s="15"/>
      <c r="G7" s="15"/>
      <c r="H7" s="14"/>
      <c r="I7" s="26" t="s">
        <v>3</v>
      </c>
      <c r="J7" s="26" t="s">
        <v>4</v>
      </c>
      <c r="K7" s="26"/>
      <c r="L7" s="26" t="s">
        <v>5</v>
      </c>
      <c r="M7" s="26">
        <v>1</v>
      </c>
      <c r="N7" s="26"/>
      <c r="O7" s="26" t="s">
        <v>6</v>
      </c>
      <c r="P7" s="26">
        <v>2</v>
      </c>
      <c r="Q7" s="26" t="s">
        <v>7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1"/>
    </row>
    <row r="8" ht="58.75" spans="1:42">
      <c r="A8" s="19" t="s">
        <v>9</v>
      </c>
      <c r="B8" s="19" t="s">
        <v>10</v>
      </c>
      <c r="C8" s="20" t="s">
        <v>11</v>
      </c>
      <c r="D8" s="19" t="s">
        <v>12</v>
      </c>
      <c r="E8" s="19" t="s">
        <v>13</v>
      </c>
      <c r="F8" s="21" t="s">
        <v>14</v>
      </c>
      <c r="G8" s="19" t="s">
        <v>15</v>
      </c>
      <c r="H8" s="19" t="s">
        <v>16</v>
      </c>
      <c r="I8" s="27" t="s">
        <v>17</v>
      </c>
      <c r="J8" s="27" t="s">
        <v>18</v>
      </c>
      <c r="K8" s="27" t="s">
        <v>19</v>
      </c>
      <c r="L8" s="28" t="s">
        <v>20</v>
      </c>
      <c r="M8" s="28" t="s">
        <v>21</v>
      </c>
      <c r="N8" s="28" t="s">
        <v>22</v>
      </c>
      <c r="O8" s="28" t="s">
        <v>23</v>
      </c>
      <c r="P8" s="28" t="s">
        <v>24</v>
      </c>
      <c r="Q8" s="28" t="s">
        <v>25</v>
      </c>
      <c r="R8" s="27" t="s">
        <v>26</v>
      </c>
      <c r="S8" s="19" t="s">
        <v>27</v>
      </c>
      <c r="T8" s="19" t="s">
        <v>28</v>
      </c>
      <c r="U8" s="29" t="s">
        <v>29</v>
      </c>
      <c r="V8" s="29" t="s">
        <v>30</v>
      </c>
      <c r="W8" s="29" t="s">
        <v>31</v>
      </c>
      <c r="X8" s="29" t="s">
        <v>32</v>
      </c>
      <c r="Y8" s="29" t="s">
        <v>36</v>
      </c>
      <c r="Z8" s="31" t="s">
        <v>37</v>
      </c>
      <c r="AA8" s="31" t="s">
        <v>38</v>
      </c>
      <c r="AB8" s="32" t="s">
        <v>39</v>
      </c>
      <c r="AC8" s="32" t="s">
        <v>40</v>
      </c>
      <c r="AD8" s="32" t="s">
        <v>41</v>
      </c>
      <c r="AE8" s="31" t="s">
        <v>42</v>
      </c>
      <c r="AF8" s="31" t="s">
        <v>43</v>
      </c>
      <c r="AG8" s="32" t="s">
        <v>44</v>
      </c>
      <c r="AH8" s="32" t="s">
        <v>45</v>
      </c>
      <c r="AI8" s="31" t="s">
        <v>46</v>
      </c>
      <c r="AJ8" s="31" t="s">
        <v>47</v>
      </c>
      <c r="AK8" s="32" t="s">
        <v>48</v>
      </c>
      <c r="AL8" s="32" t="s">
        <v>49</v>
      </c>
      <c r="AM8" s="32" t="s">
        <v>50</v>
      </c>
      <c r="AN8" s="31" t="s">
        <v>51</v>
      </c>
      <c r="AO8" s="35" t="s">
        <v>52</v>
      </c>
      <c r="AP8" s="36"/>
    </row>
    <row r="9" ht="15.25" spans="1:42">
      <c r="A9" s="6">
        <v>1</v>
      </c>
      <c r="B9" s="7" t="s">
        <v>106</v>
      </c>
      <c r="C9" s="6" t="s">
        <v>107</v>
      </c>
      <c r="D9" s="6" t="s">
        <v>76</v>
      </c>
      <c r="E9" s="6" t="s">
        <v>76</v>
      </c>
      <c r="F9" s="8">
        <v>5</v>
      </c>
      <c r="G9" s="9">
        <v>150</v>
      </c>
      <c r="H9" s="10">
        <f>F9*G9</f>
        <v>750</v>
      </c>
      <c r="I9" s="10">
        <v>5</v>
      </c>
      <c r="J9" s="10">
        <v>6</v>
      </c>
      <c r="K9" s="10">
        <v>7</v>
      </c>
      <c r="L9" s="10">
        <f>H9</f>
        <v>750</v>
      </c>
      <c r="M9" s="10">
        <f>ROUND((L9*I9)/100,2)</f>
        <v>37.5</v>
      </c>
      <c r="N9" s="10">
        <f>H9-M9</f>
        <v>712.5</v>
      </c>
      <c r="O9" s="10">
        <f>ROUND((N9*J9)/100,2)</f>
        <v>42.75</v>
      </c>
      <c r="P9" s="10">
        <f>ROUND(N9-O9,2)</f>
        <v>669.75</v>
      </c>
      <c r="Q9" s="10">
        <f>ROUND((P9*K9)/100,2)</f>
        <v>46.88</v>
      </c>
      <c r="R9" s="9">
        <f>M9+O9+Q9</f>
        <v>127.13</v>
      </c>
      <c r="S9" s="9">
        <f>(H9-R9)</f>
        <v>622.87</v>
      </c>
      <c r="T9" s="9" t="s">
        <v>109</v>
      </c>
      <c r="U9" s="10">
        <v>0</v>
      </c>
      <c r="V9" s="10">
        <f>IF($C$7=1,ROUND(((S9*(U9/100))/2),2),0)</f>
        <v>0</v>
      </c>
      <c r="W9" s="10">
        <f>IF($C$7=1,ROUND(((S9*(U9/100))/2),2),0)</f>
        <v>0</v>
      </c>
      <c r="X9" s="10">
        <f>IF($C$7=2,ROUND(((S9*U9)/100),2),0)</f>
        <v>0</v>
      </c>
      <c r="Y9" s="10">
        <f>V9+W9+X9</f>
        <v>0</v>
      </c>
      <c r="Z9" s="9">
        <f>S9+Y9</f>
        <v>622.87</v>
      </c>
      <c r="AA9" s="9">
        <v>120</v>
      </c>
      <c r="AB9" s="9" t="e">
        <f>IF($P$7=1,(S9/$S$10)*#REF!,AA9/$AA$10*#REF!)</f>
        <v>#REF!</v>
      </c>
      <c r="AC9" s="9"/>
      <c r="AD9" s="9" t="e">
        <f>IF($P$7=1,(S9/$S$10)*#REF!,AA9/$AA$10*#REF!)</f>
        <v>#REF!</v>
      </c>
      <c r="AE9" s="9" t="e">
        <f>IF($P$7=1,(S9/$S$10)*#REF!,AA9/$AA$10*#REF!)</f>
        <v>#REF!</v>
      </c>
      <c r="AF9" s="9">
        <f>S9*$M$7</f>
        <v>622.87</v>
      </c>
      <c r="AG9" s="9">
        <f>IF($C$7=3,0,AD9+AE9)</f>
        <v>0</v>
      </c>
      <c r="AH9" s="9" t="e">
        <f>IF($C$7=3,AB9+AD9+AE9,0)</f>
        <v>#REF!</v>
      </c>
      <c r="AI9" s="8">
        <v>1</v>
      </c>
      <c r="AJ9" s="9">
        <f>F9/AI9</f>
        <v>5</v>
      </c>
      <c r="AK9" s="9">
        <f>AF9/AJ9</f>
        <v>124.574</v>
      </c>
      <c r="AL9" s="9">
        <f>AG9/AJ9</f>
        <v>0</v>
      </c>
      <c r="AM9" s="9" t="e">
        <f>AH9/AJ9</f>
        <v>#REF!</v>
      </c>
      <c r="AN9" s="9" t="s">
        <v>76</v>
      </c>
      <c r="AO9" s="9" t="e">
        <f>AK9+AL9+AM9</f>
        <v>#REF!</v>
      </c>
      <c r="AP9" s="11"/>
    </row>
    <row r="10" ht="15.25" spans="1:42">
      <c r="A10" s="11"/>
      <c r="B10" s="22" t="s">
        <v>87</v>
      </c>
      <c r="C10" s="22"/>
      <c r="D10" s="22"/>
      <c r="E10" s="22"/>
      <c r="F10" s="22"/>
      <c r="G10" s="22"/>
      <c r="H10" s="13">
        <f>SUM(H9:H9)</f>
        <v>750</v>
      </c>
      <c r="I10" s="6"/>
      <c r="J10" s="6"/>
      <c r="K10" s="6"/>
      <c r="L10" s="6"/>
      <c r="M10" s="6"/>
      <c r="N10" s="6"/>
      <c r="O10" s="6"/>
      <c r="P10" s="6"/>
      <c r="Q10" s="6"/>
      <c r="R10" s="30">
        <f t="shared" ref="R10:AB10" si="0">SUM(R9:R9)</f>
        <v>127.13</v>
      </c>
      <c r="S10" s="30">
        <f t="shared" si="0"/>
        <v>622.87</v>
      </c>
      <c r="T10" s="30"/>
      <c r="U10" s="30"/>
      <c r="V10" s="13">
        <f t="shared" si="0"/>
        <v>0</v>
      </c>
      <c r="W10" s="13">
        <f t="shared" si="0"/>
        <v>0</v>
      </c>
      <c r="X10" s="13">
        <f t="shared" si="0"/>
        <v>0</v>
      </c>
      <c r="Y10" s="13">
        <f t="shared" si="0"/>
        <v>0</v>
      </c>
      <c r="Z10" s="33">
        <f t="shared" si="0"/>
        <v>622.87</v>
      </c>
      <c r="AA10" s="34">
        <f t="shared" si="0"/>
        <v>120</v>
      </c>
      <c r="AB10" s="34" t="e">
        <f t="shared" si="0"/>
        <v>#REF!</v>
      </c>
      <c r="AC10" s="33"/>
      <c r="AD10" s="34" t="e">
        <f t="shared" ref="AD10:AH10" si="1">SUM(AD9:AD9)</f>
        <v>#REF!</v>
      </c>
      <c r="AE10" s="34" t="e">
        <f t="shared" si="1"/>
        <v>#REF!</v>
      </c>
      <c r="AF10" s="34">
        <f t="shared" si="1"/>
        <v>622.87</v>
      </c>
      <c r="AG10" s="34">
        <f t="shared" si="1"/>
        <v>0</v>
      </c>
      <c r="AH10" s="34" t="e">
        <f t="shared" si="1"/>
        <v>#REF!</v>
      </c>
      <c r="AI10" s="33"/>
      <c r="AJ10" s="33"/>
      <c r="AK10" s="33"/>
      <c r="AL10" s="33"/>
      <c r="AM10" s="33"/>
      <c r="AN10" s="33"/>
      <c r="AO10" s="33"/>
      <c r="AP10" s="11"/>
    </row>
  </sheetData>
  <mergeCells count="4">
    <mergeCell ref="A1:Z1"/>
    <mergeCell ref="B5:G5"/>
    <mergeCell ref="A7:B7"/>
    <mergeCell ref="B10:G10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"/>
  <sheetViews>
    <sheetView topLeftCell="J1" workbookViewId="0">
      <selection activeCell="H12" sqref="H12"/>
    </sheetView>
  </sheetViews>
  <sheetFormatPr defaultColWidth="8.70909090909091" defaultRowHeight="14.5"/>
  <cols>
    <col min="2" max="2" width="17.8545454545455" customWidth="1"/>
    <col min="3" max="3" width="22" customWidth="1"/>
  </cols>
  <sheetData>
    <row r="1" ht="18.5" spans="1:42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ht="19.25" spans="1:42">
      <c r="A2" s="1" t="s">
        <v>105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ht="16" spans="1:42">
      <c r="A3" s="2" t="s">
        <v>9</v>
      </c>
      <c r="B3" s="3" t="s">
        <v>10</v>
      </c>
      <c r="C3" s="4" t="s">
        <v>11</v>
      </c>
      <c r="D3" s="3" t="s">
        <v>12</v>
      </c>
      <c r="E3" s="3" t="s">
        <v>13</v>
      </c>
      <c r="F3" s="3" t="s">
        <v>93</v>
      </c>
      <c r="G3" s="3" t="s">
        <v>15</v>
      </c>
      <c r="H3" s="5" t="s">
        <v>16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</row>
    <row r="4" ht="15.25" spans="1:42">
      <c r="A4" s="6">
        <v>1</v>
      </c>
      <c r="B4" s="7" t="s">
        <v>88</v>
      </c>
      <c r="C4" s="6" t="s">
        <v>110</v>
      </c>
      <c r="D4" s="6" t="s">
        <v>76</v>
      </c>
      <c r="E4" s="6" t="s">
        <v>76</v>
      </c>
      <c r="F4" s="8">
        <v>5</v>
      </c>
      <c r="G4" s="9">
        <v>150</v>
      </c>
      <c r="H4" s="10">
        <f>F4*G4</f>
        <v>750</v>
      </c>
      <c r="I4" s="23"/>
      <c r="J4" s="23"/>
      <c r="K4" s="23"/>
      <c r="L4" s="24"/>
      <c r="M4" s="24"/>
      <c r="N4" s="24"/>
      <c r="O4" s="24"/>
      <c r="P4" s="24"/>
      <c r="Q4" s="24"/>
      <c r="R4" s="24"/>
      <c r="S4" s="24"/>
      <c r="T4" s="24"/>
      <c r="U4" s="23"/>
      <c r="V4" s="23"/>
      <c r="W4" s="23"/>
      <c r="X4" s="23"/>
      <c r="Y4" s="24"/>
      <c r="Z4" s="24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ht="15.25" spans="1:42">
      <c r="A5" s="11"/>
      <c r="B5" s="12" t="s">
        <v>87</v>
      </c>
      <c r="C5" s="12"/>
      <c r="D5" s="12"/>
      <c r="E5" s="12"/>
      <c r="F5" s="12"/>
      <c r="G5" s="12"/>
      <c r="H5" s="13">
        <f>SUM(H4:H4)</f>
        <v>750</v>
      </c>
      <c r="I5" s="25"/>
      <c r="J5" s="25"/>
      <c r="K5" s="25"/>
      <c r="L5" s="25"/>
      <c r="M5" s="25"/>
      <c r="N5" s="25"/>
      <c r="O5" s="25"/>
      <c r="P5" s="25"/>
      <c r="Q5" s="25"/>
      <c r="R5" s="14"/>
      <c r="S5" s="14"/>
      <c r="T5" s="14"/>
      <c r="U5" s="14"/>
      <c r="V5" s="14"/>
      <c r="W5" s="14"/>
      <c r="X5" s="14"/>
      <c r="Y5" s="14"/>
      <c r="Z5" s="14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</row>
    <row r="6" spans="1:42">
      <c r="A6" s="14" t="s">
        <v>0</v>
      </c>
      <c r="B6" s="15"/>
      <c r="C6" s="15"/>
      <c r="D6" s="15"/>
      <c r="E6" s="15"/>
      <c r="F6" s="15"/>
      <c r="G6" s="15"/>
      <c r="H6" s="14"/>
      <c r="I6" s="26"/>
      <c r="J6" s="26"/>
      <c r="K6" s="26"/>
      <c r="L6" s="26"/>
      <c r="M6" s="26"/>
      <c r="N6" s="26"/>
      <c r="O6" s="26"/>
      <c r="P6" s="26"/>
      <c r="Q6" s="26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1"/>
    </row>
    <row r="7" spans="1:42">
      <c r="A7" s="16" t="s">
        <v>1</v>
      </c>
      <c r="B7" s="16"/>
      <c r="C7" s="17">
        <v>1</v>
      </c>
      <c r="D7" s="18" t="s">
        <v>108</v>
      </c>
      <c r="E7" s="15"/>
      <c r="F7" s="15"/>
      <c r="G7" s="15"/>
      <c r="H7" s="14"/>
      <c r="I7" s="26" t="s">
        <v>3</v>
      </c>
      <c r="J7" s="26" t="s">
        <v>4</v>
      </c>
      <c r="K7" s="26"/>
      <c r="L7" s="26" t="s">
        <v>5</v>
      </c>
      <c r="M7" s="26">
        <v>1</v>
      </c>
      <c r="N7" s="26"/>
      <c r="O7" s="26" t="s">
        <v>6</v>
      </c>
      <c r="P7" s="26">
        <v>2</v>
      </c>
      <c r="Q7" s="26" t="s">
        <v>7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1"/>
    </row>
    <row r="8" ht="58.75" spans="1:42">
      <c r="A8" s="19" t="s">
        <v>9</v>
      </c>
      <c r="B8" s="19" t="s">
        <v>10</v>
      </c>
      <c r="C8" s="20" t="s">
        <v>11</v>
      </c>
      <c r="D8" s="19" t="s">
        <v>12</v>
      </c>
      <c r="E8" s="19" t="s">
        <v>13</v>
      </c>
      <c r="F8" s="21" t="s">
        <v>14</v>
      </c>
      <c r="G8" s="19" t="s">
        <v>15</v>
      </c>
      <c r="H8" s="19" t="s">
        <v>16</v>
      </c>
      <c r="I8" s="27" t="s">
        <v>17</v>
      </c>
      <c r="J8" s="27" t="s">
        <v>18</v>
      </c>
      <c r="K8" s="27" t="s">
        <v>19</v>
      </c>
      <c r="L8" s="28" t="s">
        <v>20</v>
      </c>
      <c r="M8" s="28" t="s">
        <v>21</v>
      </c>
      <c r="N8" s="28" t="s">
        <v>22</v>
      </c>
      <c r="O8" s="28" t="s">
        <v>23</v>
      </c>
      <c r="P8" s="28" t="s">
        <v>24</v>
      </c>
      <c r="Q8" s="28" t="s">
        <v>25</v>
      </c>
      <c r="R8" s="27" t="s">
        <v>26</v>
      </c>
      <c r="S8" s="19" t="s">
        <v>27</v>
      </c>
      <c r="T8" s="19" t="s">
        <v>28</v>
      </c>
      <c r="U8" s="29" t="s">
        <v>29</v>
      </c>
      <c r="V8" s="29" t="s">
        <v>30</v>
      </c>
      <c r="W8" s="29" t="s">
        <v>31</v>
      </c>
      <c r="X8" s="29" t="s">
        <v>32</v>
      </c>
      <c r="Y8" s="29" t="s">
        <v>36</v>
      </c>
      <c r="Z8" s="31" t="s">
        <v>37</v>
      </c>
      <c r="AA8" s="31" t="s">
        <v>38</v>
      </c>
      <c r="AB8" s="32" t="s">
        <v>39</v>
      </c>
      <c r="AC8" s="32" t="s">
        <v>40</v>
      </c>
      <c r="AD8" s="32" t="s">
        <v>41</v>
      </c>
      <c r="AE8" s="31" t="s">
        <v>42</v>
      </c>
      <c r="AF8" s="31" t="s">
        <v>43</v>
      </c>
      <c r="AG8" s="32" t="s">
        <v>44</v>
      </c>
      <c r="AH8" s="32" t="s">
        <v>45</v>
      </c>
      <c r="AI8" s="31" t="s">
        <v>46</v>
      </c>
      <c r="AJ8" s="31" t="s">
        <v>47</v>
      </c>
      <c r="AK8" s="32" t="s">
        <v>48</v>
      </c>
      <c r="AL8" s="32" t="s">
        <v>49</v>
      </c>
      <c r="AM8" s="32" t="s">
        <v>50</v>
      </c>
      <c r="AN8" s="31" t="s">
        <v>51</v>
      </c>
      <c r="AO8" s="35" t="s">
        <v>52</v>
      </c>
      <c r="AP8" s="36"/>
    </row>
    <row r="9" ht="15.25" spans="1:42">
      <c r="A9" s="6">
        <v>1</v>
      </c>
      <c r="B9" s="7" t="s">
        <v>88</v>
      </c>
      <c r="C9" s="6" t="s">
        <v>110</v>
      </c>
      <c r="D9" s="6" t="s">
        <v>76</v>
      </c>
      <c r="E9" s="6" t="s">
        <v>76</v>
      </c>
      <c r="F9" s="8">
        <v>5</v>
      </c>
      <c r="G9" s="9">
        <v>150</v>
      </c>
      <c r="H9" s="10">
        <f>F9*G9</f>
        <v>750</v>
      </c>
      <c r="I9" s="10">
        <v>5</v>
      </c>
      <c r="J9" s="10">
        <v>6</v>
      </c>
      <c r="K9" s="10">
        <v>7</v>
      </c>
      <c r="L9" s="10">
        <f>H9</f>
        <v>750</v>
      </c>
      <c r="M9" s="10">
        <f>ROUND((L9*I9)/100,2)</f>
        <v>37.5</v>
      </c>
      <c r="N9" s="10">
        <f>H9-M9</f>
        <v>712.5</v>
      </c>
      <c r="O9" s="10">
        <f>ROUND((N9*J9)/100,2)</f>
        <v>42.75</v>
      </c>
      <c r="P9" s="10">
        <f>ROUND(N9-O9,2)</f>
        <v>669.75</v>
      </c>
      <c r="Q9" s="10">
        <f>ROUND((P9*K9)/100,2)</f>
        <v>46.88</v>
      </c>
      <c r="R9" s="9">
        <f>M9+O9+Q9</f>
        <v>127.13</v>
      </c>
      <c r="S9" s="9">
        <f>(H9-R9)</f>
        <v>622.87</v>
      </c>
      <c r="T9" s="9" t="s">
        <v>109</v>
      </c>
      <c r="U9" s="10">
        <v>18</v>
      </c>
      <c r="V9" s="10">
        <f>IF($C$7=1,ROUND(((S9*(U9/100))/2),2),0)</f>
        <v>56.06</v>
      </c>
      <c r="W9" s="10">
        <f>IF($C$7=1,ROUND(((S9*(U9/100))/2),2),0)</f>
        <v>56.06</v>
      </c>
      <c r="X9" s="10">
        <f>IF($C$7=2,ROUND(((S9*U9)/100),2),0)</f>
        <v>0</v>
      </c>
      <c r="Y9" s="9">
        <f>V9+W9+X9</f>
        <v>112.12</v>
      </c>
      <c r="Z9" s="9">
        <f>S9+Y9</f>
        <v>734.99</v>
      </c>
      <c r="AA9" s="9">
        <v>120</v>
      </c>
      <c r="AB9" s="9" t="e">
        <f>IF($P$7=1,(S9/$S$10)*#REF!,AA9/$AA$10*#REF!)</f>
        <v>#REF!</v>
      </c>
      <c r="AC9" s="9"/>
      <c r="AD9" s="9" t="e">
        <f>IF($P$7=1,(S9/$S$10)*#REF!,AA9/$AA$10*#REF!)</f>
        <v>#REF!</v>
      </c>
      <c r="AE9" s="9" t="e">
        <f>IF($P$7=1,(S9/$S$10)*#REF!,AA9/$AA$10*#REF!)</f>
        <v>#REF!</v>
      </c>
      <c r="AF9" s="9">
        <f>S9*$M$7</f>
        <v>622.87</v>
      </c>
      <c r="AG9" s="9" t="e">
        <f>IF($C$7=3,0,AD9+AE9)</f>
        <v>#REF!</v>
      </c>
      <c r="AH9" s="9">
        <f>IF($C$7=3,AB9+AD9+AE9,0)</f>
        <v>0</v>
      </c>
      <c r="AI9" s="8">
        <v>1</v>
      </c>
      <c r="AJ9" s="9">
        <f>F9/AI9</f>
        <v>5</v>
      </c>
      <c r="AK9" s="9">
        <f>AF9/AJ9</f>
        <v>124.574</v>
      </c>
      <c r="AL9" s="9" t="e">
        <f>AG9/AJ9</f>
        <v>#REF!</v>
      </c>
      <c r="AM9" s="9">
        <f>AH9/AJ9</f>
        <v>0</v>
      </c>
      <c r="AN9" s="9" t="s">
        <v>76</v>
      </c>
      <c r="AO9" s="9" t="e">
        <f>AK9+AL9+AM9</f>
        <v>#REF!</v>
      </c>
      <c r="AP9" s="11"/>
    </row>
    <row r="10" ht="15.25" spans="1:42">
      <c r="A10" s="11"/>
      <c r="B10" s="22" t="s">
        <v>87</v>
      </c>
      <c r="C10" s="22"/>
      <c r="D10" s="22"/>
      <c r="E10" s="22"/>
      <c r="F10" s="22"/>
      <c r="G10" s="22"/>
      <c r="H10" s="13">
        <f>SUM(H9:H9)</f>
        <v>750</v>
      </c>
      <c r="I10" s="6"/>
      <c r="J10" s="6"/>
      <c r="K10" s="6"/>
      <c r="L10" s="6"/>
      <c r="M10" s="6"/>
      <c r="N10" s="6"/>
      <c r="O10" s="6"/>
      <c r="P10" s="6"/>
      <c r="Q10" s="6"/>
      <c r="R10" s="30">
        <f t="shared" ref="R10:AB10" si="0">SUM(R9:R9)</f>
        <v>127.13</v>
      </c>
      <c r="S10" s="30">
        <f t="shared" si="0"/>
        <v>622.87</v>
      </c>
      <c r="T10" s="30"/>
      <c r="U10" s="30"/>
      <c r="V10" s="37">
        <f t="shared" si="0"/>
        <v>56.06</v>
      </c>
      <c r="W10" s="37">
        <f t="shared" si="0"/>
        <v>56.06</v>
      </c>
      <c r="X10" s="13">
        <f t="shared" si="0"/>
        <v>0</v>
      </c>
      <c r="Y10" s="30">
        <f t="shared" si="0"/>
        <v>112.12</v>
      </c>
      <c r="Z10" s="33">
        <f t="shared" si="0"/>
        <v>734.99</v>
      </c>
      <c r="AA10" s="34">
        <f t="shared" si="0"/>
        <v>120</v>
      </c>
      <c r="AB10" s="34" t="e">
        <f t="shared" si="0"/>
        <v>#REF!</v>
      </c>
      <c r="AC10" s="33"/>
      <c r="AD10" s="34" t="e">
        <f t="shared" ref="AD10:AH10" si="1">SUM(AD9:AD9)</f>
        <v>#REF!</v>
      </c>
      <c r="AE10" s="34" t="e">
        <f t="shared" si="1"/>
        <v>#REF!</v>
      </c>
      <c r="AF10" s="34">
        <f t="shared" si="1"/>
        <v>622.87</v>
      </c>
      <c r="AG10" s="34" t="e">
        <f t="shared" si="1"/>
        <v>#REF!</v>
      </c>
      <c r="AH10" s="34">
        <f t="shared" si="1"/>
        <v>0</v>
      </c>
      <c r="AI10" s="33"/>
      <c r="AJ10" s="33"/>
      <c r="AK10" s="33"/>
      <c r="AL10" s="33"/>
      <c r="AM10" s="33"/>
      <c r="AN10" s="33"/>
      <c r="AO10" s="33"/>
      <c r="AP10" s="11"/>
    </row>
  </sheetData>
  <mergeCells count="4">
    <mergeCell ref="A1:Z1"/>
    <mergeCell ref="B5:G5"/>
    <mergeCell ref="A7:B7"/>
    <mergeCell ref="B10:G10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"/>
  <sheetViews>
    <sheetView topLeftCell="F1" workbookViewId="0">
      <selection activeCell="V14" sqref="V14"/>
    </sheetView>
  </sheetViews>
  <sheetFormatPr defaultColWidth="8.70909090909091" defaultRowHeight="14.5"/>
  <cols>
    <col min="2" max="2" width="17.8545454545455" customWidth="1"/>
    <col min="3" max="3" width="22" customWidth="1"/>
  </cols>
  <sheetData>
    <row r="1" ht="18.5" spans="1:42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ht="19.25" spans="1:42">
      <c r="A2" s="1" t="s">
        <v>105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ht="16" spans="1:42">
      <c r="A3" s="2" t="s">
        <v>9</v>
      </c>
      <c r="B3" s="3" t="s">
        <v>10</v>
      </c>
      <c r="C3" s="4" t="s">
        <v>11</v>
      </c>
      <c r="D3" s="3" t="s">
        <v>12</v>
      </c>
      <c r="E3" s="3" t="s">
        <v>13</v>
      </c>
      <c r="F3" s="3" t="s">
        <v>93</v>
      </c>
      <c r="G3" s="3" t="s">
        <v>15</v>
      </c>
      <c r="H3" s="5" t="s">
        <v>16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</row>
    <row r="4" ht="15.25" spans="1:42">
      <c r="A4" s="6">
        <v>1</v>
      </c>
      <c r="B4" s="7" t="s">
        <v>88</v>
      </c>
      <c r="C4" s="6" t="s">
        <v>110</v>
      </c>
      <c r="D4" s="6" t="s">
        <v>76</v>
      </c>
      <c r="E4" s="6" t="s">
        <v>76</v>
      </c>
      <c r="F4" s="8">
        <v>5</v>
      </c>
      <c r="G4" s="9">
        <v>150</v>
      </c>
      <c r="H4" s="10">
        <f>F4*G4</f>
        <v>750</v>
      </c>
      <c r="I4" s="23"/>
      <c r="J4" s="23"/>
      <c r="K4" s="23"/>
      <c r="L4" s="24"/>
      <c r="M4" s="24"/>
      <c r="N4" s="24"/>
      <c r="O4" s="24"/>
      <c r="P4" s="24"/>
      <c r="Q4" s="24"/>
      <c r="R4" s="24"/>
      <c r="S4" s="24"/>
      <c r="T4" s="24"/>
      <c r="U4" s="23"/>
      <c r="V4" s="23"/>
      <c r="W4" s="23"/>
      <c r="X4" s="23"/>
      <c r="Y4" s="24"/>
      <c r="Z4" s="24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ht="15.25" spans="1:42">
      <c r="A5" s="11"/>
      <c r="B5" s="12" t="s">
        <v>87</v>
      </c>
      <c r="C5" s="12"/>
      <c r="D5" s="12"/>
      <c r="E5" s="12"/>
      <c r="F5" s="12"/>
      <c r="G5" s="12"/>
      <c r="H5" s="13">
        <f>SUM(H4:H4)</f>
        <v>750</v>
      </c>
      <c r="I5" s="25"/>
      <c r="J5" s="25"/>
      <c r="K5" s="25"/>
      <c r="L5" s="25"/>
      <c r="M5" s="25"/>
      <c r="N5" s="25"/>
      <c r="O5" s="25"/>
      <c r="P5" s="25"/>
      <c r="Q5" s="25"/>
      <c r="R5" s="14"/>
      <c r="S5" s="14"/>
      <c r="T5" s="14"/>
      <c r="U5" s="14"/>
      <c r="V5" s="14"/>
      <c r="W5" s="14"/>
      <c r="X5" s="14"/>
      <c r="Y5" s="14"/>
      <c r="Z5" s="14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</row>
    <row r="6" spans="1:42">
      <c r="A6" s="14" t="s">
        <v>0</v>
      </c>
      <c r="B6" s="15"/>
      <c r="C6" s="15"/>
      <c r="D6" s="15"/>
      <c r="E6" s="15"/>
      <c r="F6" s="15"/>
      <c r="G6" s="15"/>
      <c r="H6" s="14"/>
      <c r="I6" s="26"/>
      <c r="J6" s="26"/>
      <c r="K6" s="26"/>
      <c r="L6" s="26"/>
      <c r="M6" s="26"/>
      <c r="N6" s="26"/>
      <c r="O6" s="26"/>
      <c r="P6" s="26"/>
      <c r="Q6" s="26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1"/>
    </row>
    <row r="7" spans="1:42">
      <c r="A7" s="16" t="s">
        <v>1</v>
      </c>
      <c r="B7" s="16"/>
      <c r="C7" s="17">
        <v>3</v>
      </c>
      <c r="D7" s="18" t="s">
        <v>108</v>
      </c>
      <c r="E7" s="15"/>
      <c r="F7" s="15"/>
      <c r="G7" s="15"/>
      <c r="H7" s="14"/>
      <c r="I7" s="26" t="s">
        <v>3</v>
      </c>
      <c r="J7" s="26" t="s">
        <v>4</v>
      </c>
      <c r="K7" s="26"/>
      <c r="L7" s="26" t="s">
        <v>5</v>
      </c>
      <c r="M7" s="26">
        <v>1</v>
      </c>
      <c r="N7" s="26"/>
      <c r="O7" s="26" t="s">
        <v>6</v>
      </c>
      <c r="P7" s="26">
        <v>2</v>
      </c>
      <c r="Q7" s="26" t="s">
        <v>7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1"/>
    </row>
    <row r="8" ht="58.75" spans="1:42">
      <c r="A8" s="19" t="s">
        <v>9</v>
      </c>
      <c r="B8" s="19" t="s">
        <v>10</v>
      </c>
      <c r="C8" s="20" t="s">
        <v>11</v>
      </c>
      <c r="D8" s="19" t="s">
        <v>12</v>
      </c>
      <c r="E8" s="19" t="s">
        <v>13</v>
      </c>
      <c r="F8" s="21" t="s">
        <v>14</v>
      </c>
      <c r="G8" s="19" t="s">
        <v>15</v>
      </c>
      <c r="H8" s="19" t="s">
        <v>16</v>
      </c>
      <c r="I8" s="27" t="s">
        <v>17</v>
      </c>
      <c r="J8" s="27" t="s">
        <v>18</v>
      </c>
      <c r="K8" s="27" t="s">
        <v>19</v>
      </c>
      <c r="L8" s="28" t="s">
        <v>20</v>
      </c>
      <c r="M8" s="28" t="s">
        <v>21</v>
      </c>
      <c r="N8" s="28" t="s">
        <v>22</v>
      </c>
      <c r="O8" s="28" t="s">
        <v>23</v>
      </c>
      <c r="P8" s="28" t="s">
        <v>24</v>
      </c>
      <c r="Q8" s="28" t="s">
        <v>25</v>
      </c>
      <c r="R8" s="27" t="s">
        <v>26</v>
      </c>
      <c r="S8" s="19" t="s">
        <v>27</v>
      </c>
      <c r="T8" s="19" t="s">
        <v>28</v>
      </c>
      <c r="U8" s="29" t="s">
        <v>29</v>
      </c>
      <c r="V8" s="29" t="s">
        <v>30</v>
      </c>
      <c r="W8" s="29" t="s">
        <v>31</v>
      </c>
      <c r="X8" s="29" t="s">
        <v>32</v>
      </c>
      <c r="Y8" s="29" t="s">
        <v>36</v>
      </c>
      <c r="Z8" s="31" t="s">
        <v>37</v>
      </c>
      <c r="AA8" s="31" t="s">
        <v>38</v>
      </c>
      <c r="AB8" s="32" t="s">
        <v>39</v>
      </c>
      <c r="AC8" s="32" t="s">
        <v>40</v>
      </c>
      <c r="AD8" s="32" t="s">
        <v>41</v>
      </c>
      <c r="AE8" s="31" t="s">
        <v>42</v>
      </c>
      <c r="AF8" s="31" t="s">
        <v>43</v>
      </c>
      <c r="AG8" s="32" t="s">
        <v>44</v>
      </c>
      <c r="AH8" s="32" t="s">
        <v>45</v>
      </c>
      <c r="AI8" s="31" t="s">
        <v>46</v>
      </c>
      <c r="AJ8" s="31" t="s">
        <v>47</v>
      </c>
      <c r="AK8" s="32" t="s">
        <v>48</v>
      </c>
      <c r="AL8" s="32" t="s">
        <v>49</v>
      </c>
      <c r="AM8" s="32" t="s">
        <v>50</v>
      </c>
      <c r="AN8" s="31" t="s">
        <v>51</v>
      </c>
      <c r="AO8" s="35" t="s">
        <v>52</v>
      </c>
      <c r="AP8" s="36"/>
    </row>
    <row r="9" ht="15.25" spans="1:42">
      <c r="A9" s="6">
        <v>1</v>
      </c>
      <c r="B9" s="7" t="s">
        <v>88</v>
      </c>
      <c r="C9" s="6" t="s">
        <v>110</v>
      </c>
      <c r="D9" s="6" t="s">
        <v>76</v>
      </c>
      <c r="E9" s="6" t="s">
        <v>76</v>
      </c>
      <c r="F9" s="8">
        <v>5</v>
      </c>
      <c r="G9" s="9">
        <v>150</v>
      </c>
      <c r="H9" s="10">
        <f>F9*G9</f>
        <v>750</v>
      </c>
      <c r="I9" s="10">
        <v>5</v>
      </c>
      <c r="J9" s="10">
        <v>6</v>
      </c>
      <c r="K9" s="10">
        <v>7</v>
      </c>
      <c r="L9" s="10">
        <f>H9</f>
        <v>750</v>
      </c>
      <c r="M9" s="10">
        <f>ROUND((L9*I9)/100,2)</f>
        <v>37.5</v>
      </c>
      <c r="N9" s="10">
        <f>H9-M9</f>
        <v>712.5</v>
      </c>
      <c r="O9" s="10">
        <f>ROUND((N9*J9)/100,2)</f>
        <v>42.75</v>
      </c>
      <c r="P9" s="10">
        <f>ROUND(N9-O9,2)</f>
        <v>669.75</v>
      </c>
      <c r="Q9" s="10">
        <f>ROUND((P9*K9)/100,2)</f>
        <v>46.88</v>
      </c>
      <c r="R9" s="9">
        <f>M9+O9+Q9</f>
        <v>127.13</v>
      </c>
      <c r="S9" s="9">
        <f>(H9-R9)</f>
        <v>622.87</v>
      </c>
      <c r="T9" s="9" t="s">
        <v>109</v>
      </c>
      <c r="U9" s="10">
        <v>0</v>
      </c>
      <c r="V9" s="10">
        <f>IF($C$7=1,ROUND(((S9*(U9/100))/2),2),0)</f>
        <v>0</v>
      </c>
      <c r="W9" s="10">
        <f>IF($C$7=1,ROUND(((S9*(U9/100))/2),2),0)</f>
        <v>0</v>
      </c>
      <c r="X9" s="10">
        <f>IF($C$7=2,ROUND(((S9*U9)/100),2),0)</f>
        <v>0</v>
      </c>
      <c r="Y9" s="10">
        <f>V9+W9+X9</f>
        <v>0</v>
      </c>
      <c r="Z9" s="9">
        <f>S9+Y9</f>
        <v>622.87</v>
      </c>
      <c r="AA9" s="9">
        <v>120</v>
      </c>
      <c r="AB9" s="9" t="e">
        <f>IF($P$7=1,(S9/$S$10)*#REF!,AA9/$AA$10*#REF!)</f>
        <v>#REF!</v>
      </c>
      <c r="AC9" s="9"/>
      <c r="AD9" s="9" t="e">
        <f>IF($P$7=1,(S9/$S$10)*#REF!,AA9/$AA$10*#REF!)</f>
        <v>#REF!</v>
      </c>
      <c r="AE9" s="9" t="e">
        <f>IF($P$7=1,(S9/$S$10)*#REF!,AA9/$AA$10*#REF!)</f>
        <v>#REF!</v>
      </c>
      <c r="AF9" s="9">
        <f>S9*$M$7</f>
        <v>622.87</v>
      </c>
      <c r="AG9" s="9">
        <f>IF($C$7=3,0,AD9+AE9)</f>
        <v>0</v>
      </c>
      <c r="AH9" s="9" t="e">
        <f>IF($C$7=3,AB9+AD9+AE9,0)</f>
        <v>#REF!</v>
      </c>
      <c r="AI9" s="8">
        <v>1</v>
      </c>
      <c r="AJ9" s="9">
        <f>F9/AI9</f>
        <v>5</v>
      </c>
      <c r="AK9" s="9">
        <f>AF9/AJ9</f>
        <v>124.574</v>
      </c>
      <c r="AL9" s="9">
        <f>AG9/AJ9</f>
        <v>0</v>
      </c>
      <c r="AM9" s="9" t="e">
        <f>AH9/AJ9</f>
        <v>#REF!</v>
      </c>
      <c r="AN9" s="9" t="s">
        <v>76</v>
      </c>
      <c r="AO9" s="9" t="e">
        <f>AK9+AL9+AM9</f>
        <v>#REF!</v>
      </c>
      <c r="AP9" s="11"/>
    </row>
    <row r="10" ht="15.25" spans="1:42">
      <c r="A10" s="11"/>
      <c r="B10" s="22" t="s">
        <v>87</v>
      </c>
      <c r="C10" s="22"/>
      <c r="D10" s="22"/>
      <c r="E10" s="22"/>
      <c r="F10" s="22"/>
      <c r="G10" s="22"/>
      <c r="H10" s="13">
        <f>SUM(H9:H9)</f>
        <v>750</v>
      </c>
      <c r="I10" s="6"/>
      <c r="J10" s="6"/>
      <c r="K10" s="6"/>
      <c r="L10" s="6"/>
      <c r="M10" s="6"/>
      <c r="N10" s="6"/>
      <c r="O10" s="6"/>
      <c r="P10" s="6"/>
      <c r="Q10" s="6"/>
      <c r="R10" s="30">
        <f t="shared" ref="R10:AB10" si="0">SUM(R9:R9)</f>
        <v>127.13</v>
      </c>
      <c r="S10" s="30">
        <f t="shared" si="0"/>
        <v>622.87</v>
      </c>
      <c r="T10" s="30"/>
      <c r="U10" s="30"/>
      <c r="V10" s="13">
        <f t="shared" si="0"/>
        <v>0</v>
      </c>
      <c r="W10" s="13">
        <f t="shared" si="0"/>
        <v>0</v>
      </c>
      <c r="X10" s="13">
        <f t="shared" si="0"/>
        <v>0</v>
      </c>
      <c r="Y10" s="13">
        <f t="shared" si="0"/>
        <v>0</v>
      </c>
      <c r="Z10" s="33">
        <f t="shared" si="0"/>
        <v>622.87</v>
      </c>
      <c r="AA10" s="34">
        <f t="shared" si="0"/>
        <v>120</v>
      </c>
      <c r="AB10" s="34" t="e">
        <f t="shared" si="0"/>
        <v>#REF!</v>
      </c>
      <c r="AC10" s="33"/>
      <c r="AD10" s="34" t="e">
        <f t="shared" ref="AD10:AH10" si="1">SUM(AD9:AD9)</f>
        <v>#REF!</v>
      </c>
      <c r="AE10" s="34" t="e">
        <f t="shared" si="1"/>
        <v>#REF!</v>
      </c>
      <c r="AF10" s="34">
        <f t="shared" si="1"/>
        <v>622.87</v>
      </c>
      <c r="AG10" s="34">
        <f t="shared" si="1"/>
        <v>0</v>
      </c>
      <c r="AH10" s="34" t="e">
        <f t="shared" si="1"/>
        <v>#REF!</v>
      </c>
      <c r="AI10" s="33"/>
      <c r="AJ10" s="33"/>
      <c r="AK10" s="33"/>
      <c r="AL10" s="33"/>
      <c r="AM10" s="33"/>
      <c r="AN10" s="33"/>
      <c r="AO10" s="33"/>
      <c r="AP10" s="11"/>
    </row>
  </sheetData>
  <mergeCells count="4">
    <mergeCell ref="A1:Z1"/>
    <mergeCell ref="B5:G5"/>
    <mergeCell ref="A7:B7"/>
    <mergeCell ref="B10:G10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"/>
  <sheetViews>
    <sheetView topLeftCell="B1" workbookViewId="0">
      <selection activeCell="J15" sqref="J15"/>
    </sheetView>
  </sheetViews>
  <sheetFormatPr defaultColWidth="8.70909090909091" defaultRowHeight="14.5"/>
  <cols>
    <col min="2" max="2" width="17.8545454545455" customWidth="1"/>
    <col min="3" max="3" width="22" customWidth="1"/>
    <col min="24" max="24" width="9.70909090909091" customWidth="1"/>
  </cols>
  <sheetData>
    <row r="1" ht="18.5" spans="1:42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ht="19.25" spans="1:42">
      <c r="A2" s="1" t="s">
        <v>105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ht="16" spans="1:42">
      <c r="A3" s="2" t="s">
        <v>9</v>
      </c>
      <c r="B3" s="3" t="s">
        <v>10</v>
      </c>
      <c r="C3" s="4" t="s">
        <v>11</v>
      </c>
      <c r="D3" s="3" t="s">
        <v>12</v>
      </c>
      <c r="E3" s="3" t="s">
        <v>13</v>
      </c>
      <c r="F3" s="3" t="s">
        <v>93</v>
      </c>
      <c r="G3" s="3" t="s">
        <v>15</v>
      </c>
      <c r="H3" s="5" t="s">
        <v>16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</row>
    <row r="4" ht="15.25" spans="1:42">
      <c r="A4" s="6">
        <v>1</v>
      </c>
      <c r="B4" s="7" t="s">
        <v>90</v>
      </c>
      <c r="C4" s="6" t="s">
        <v>90</v>
      </c>
      <c r="D4" s="6" t="s">
        <v>76</v>
      </c>
      <c r="E4" s="6" t="s">
        <v>76</v>
      </c>
      <c r="F4" s="8">
        <v>5</v>
      </c>
      <c r="G4" s="9">
        <v>150</v>
      </c>
      <c r="H4" s="10">
        <f>F4*G4</f>
        <v>750</v>
      </c>
      <c r="I4" s="23"/>
      <c r="J4" s="23"/>
      <c r="K4" s="23"/>
      <c r="L4" s="24"/>
      <c r="M4" s="24"/>
      <c r="N4" s="24"/>
      <c r="O4" s="24"/>
      <c r="P4" s="24"/>
      <c r="Q4" s="24"/>
      <c r="R4" s="24"/>
      <c r="S4" s="24"/>
      <c r="T4" s="24"/>
      <c r="U4" s="23"/>
      <c r="V4" s="23"/>
      <c r="W4" s="23"/>
      <c r="X4" s="23"/>
      <c r="Y4" s="24"/>
      <c r="Z4" s="24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ht="15.25" spans="1:42">
      <c r="A5" s="11"/>
      <c r="B5" s="12" t="s">
        <v>87</v>
      </c>
      <c r="C5" s="12"/>
      <c r="D5" s="12"/>
      <c r="E5" s="12"/>
      <c r="F5" s="12"/>
      <c r="G5" s="12"/>
      <c r="H5" s="13">
        <f>SUM(H4:H4)</f>
        <v>750</v>
      </c>
      <c r="I5" s="25"/>
      <c r="J5" s="25"/>
      <c r="K5" s="25"/>
      <c r="L5" s="25"/>
      <c r="M5" s="25"/>
      <c r="N5" s="25"/>
      <c r="O5" s="25"/>
      <c r="P5" s="25"/>
      <c r="Q5" s="25"/>
      <c r="R5" s="14"/>
      <c r="S5" s="14"/>
      <c r="T5" s="14"/>
      <c r="U5" s="14"/>
      <c r="V5" s="14"/>
      <c r="W5" s="14"/>
      <c r="X5" s="14"/>
      <c r="Y5" s="14"/>
      <c r="Z5" s="14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</row>
    <row r="6" spans="1:42">
      <c r="A6" s="14" t="s">
        <v>0</v>
      </c>
      <c r="B6" s="15"/>
      <c r="C6" s="15"/>
      <c r="D6" s="15"/>
      <c r="E6" s="15"/>
      <c r="F6" s="15"/>
      <c r="G6" s="15"/>
      <c r="H6" s="14"/>
      <c r="I6" s="26"/>
      <c r="J6" s="26"/>
      <c r="K6" s="26"/>
      <c r="L6" s="26"/>
      <c r="M6" s="26"/>
      <c r="N6" s="26"/>
      <c r="O6" s="26"/>
      <c r="P6" s="26"/>
      <c r="Q6" s="26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1"/>
    </row>
    <row r="7" spans="1:42">
      <c r="A7" s="16" t="s">
        <v>1</v>
      </c>
      <c r="B7" s="16"/>
      <c r="C7" s="17">
        <v>1</v>
      </c>
      <c r="D7" s="18" t="s">
        <v>108</v>
      </c>
      <c r="E7" s="15"/>
      <c r="F7" s="15"/>
      <c r="G7" s="15"/>
      <c r="H7" s="14"/>
      <c r="I7" s="26" t="s">
        <v>3</v>
      </c>
      <c r="J7" s="26" t="s">
        <v>4</v>
      </c>
      <c r="K7" s="26"/>
      <c r="L7" s="26" t="s">
        <v>5</v>
      </c>
      <c r="M7" s="26">
        <v>1</v>
      </c>
      <c r="N7" s="26"/>
      <c r="O7" s="26" t="s">
        <v>6</v>
      </c>
      <c r="P7" s="26">
        <v>2</v>
      </c>
      <c r="Q7" s="26" t="s">
        <v>7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1"/>
    </row>
    <row r="8" ht="58.75" spans="1:42">
      <c r="A8" s="19" t="s">
        <v>9</v>
      </c>
      <c r="B8" s="19" t="s">
        <v>10</v>
      </c>
      <c r="C8" s="20" t="s">
        <v>11</v>
      </c>
      <c r="D8" s="19" t="s">
        <v>12</v>
      </c>
      <c r="E8" s="19" t="s">
        <v>13</v>
      </c>
      <c r="F8" s="21" t="s">
        <v>14</v>
      </c>
      <c r="G8" s="19" t="s">
        <v>15</v>
      </c>
      <c r="H8" s="19" t="s">
        <v>16</v>
      </c>
      <c r="I8" s="27" t="s">
        <v>17</v>
      </c>
      <c r="J8" s="27" t="s">
        <v>18</v>
      </c>
      <c r="K8" s="27" t="s">
        <v>19</v>
      </c>
      <c r="L8" s="28" t="s">
        <v>20</v>
      </c>
      <c r="M8" s="28" t="s">
        <v>21</v>
      </c>
      <c r="N8" s="28" t="s">
        <v>22</v>
      </c>
      <c r="O8" s="28" t="s">
        <v>23</v>
      </c>
      <c r="P8" s="28" t="s">
        <v>24</v>
      </c>
      <c r="Q8" s="28" t="s">
        <v>25</v>
      </c>
      <c r="R8" s="27" t="s">
        <v>26</v>
      </c>
      <c r="S8" s="19" t="s">
        <v>27</v>
      </c>
      <c r="T8" s="19" t="s">
        <v>28</v>
      </c>
      <c r="U8" s="29" t="s">
        <v>29</v>
      </c>
      <c r="V8" s="29" t="s">
        <v>30</v>
      </c>
      <c r="W8" s="29" t="s">
        <v>31</v>
      </c>
      <c r="X8" s="29" t="s">
        <v>32</v>
      </c>
      <c r="Y8" s="29" t="s">
        <v>36</v>
      </c>
      <c r="Z8" s="31" t="s">
        <v>37</v>
      </c>
      <c r="AA8" s="31" t="s">
        <v>38</v>
      </c>
      <c r="AB8" s="32" t="s">
        <v>39</v>
      </c>
      <c r="AC8" s="32" t="s">
        <v>40</v>
      </c>
      <c r="AD8" s="32" t="s">
        <v>41</v>
      </c>
      <c r="AE8" s="31" t="s">
        <v>42</v>
      </c>
      <c r="AF8" s="31" t="s">
        <v>43</v>
      </c>
      <c r="AG8" s="32" t="s">
        <v>44</v>
      </c>
      <c r="AH8" s="32" t="s">
        <v>45</v>
      </c>
      <c r="AI8" s="31" t="s">
        <v>46</v>
      </c>
      <c r="AJ8" s="31" t="s">
        <v>47</v>
      </c>
      <c r="AK8" s="32" t="s">
        <v>48</v>
      </c>
      <c r="AL8" s="32" t="s">
        <v>49</v>
      </c>
      <c r="AM8" s="32" t="s">
        <v>50</v>
      </c>
      <c r="AN8" s="31" t="s">
        <v>51</v>
      </c>
      <c r="AO8" s="35" t="s">
        <v>52</v>
      </c>
      <c r="AP8" s="36"/>
    </row>
    <row r="9" ht="15.25" spans="1:42">
      <c r="A9" s="6">
        <v>1</v>
      </c>
      <c r="B9" s="7" t="s">
        <v>90</v>
      </c>
      <c r="C9" s="6" t="s">
        <v>90</v>
      </c>
      <c r="D9" s="6" t="s">
        <v>76</v>
      </c>
      <c r="E9" s="6" t="s">
        <v>76</v>
      </c>
      <c r="F9" s="8">
        <v>5</v>
      </c>
      <c r="G9" s="9">
        <v>150</v>
      </c>
      <c r="H9" s="10">
        <f>F9*G9</f>
        <v>750</v>
      </c>
      <c r="I9" s="10">
        <v>5</v>
      </c>
      <c r="J9" s="10">
        <v>6</v>
      </c>
      <c r="K9" s="10">
        <v>7</v>
      </c>
      <c r="L9" s="10">
        <f>H9</f>
        <v>750</v>
      </c>
      <c r="M9" s="10">
        <f>ROUND((L9*I9)/100,2)</f>
        <v>37.5</v>
      </c>
      <c r="N9" s="10">
        <f>H9-M9</f>
        <v>712.5</v>
      </c>
      <c r="O9" s="10">
        <f>ROUND((N9*J9)/100,2)</f>
        <v>42.75</v>
      </c>
      <c r="P9" s="10">
        <f>ROUND(N9-O9,2)</f>
        <v>669.75</v>
      </c>
      <c r="Q9" s="10">
        <f>ROUND((P9*K9)/100,2)</f>
        <v>46.88</v>
      </c>
      <c r="R9" s="9">
        <f>M9+O9+Q9</f>
        <v>127.13</v>
      </c>
      <c r="S9" s="9">
        <f>(H9-R9)</f>
        <v>622.87</v>
      </c>
      <c r="T9" s="9" t="s">
        <v>109</v>
      </c>
      <c r="U9" s="10">
        <v>18</v>
      </c>
      <c r="V9" s="10">
        <f>IF($C$7=1,ROUND(((S9*(U9/100))/2),2),0)</f>
        <v>56.06</v>
      </c>
      <c r="W9" s="10">
        <f>IF($C$7=1,ROUND(((S9*(U9/100))/2),2),0)</f>
        <v>56.06</v>
      </c>
      <c r="X9" s="10">
        <f>IF($C$7=2,ROUND(((S9*U9)/100),2),0)</f>
        <v>0</v>
      </c>
      <c r="Y9" s="9">
        <f>V9+W9+X9</f>
        <v>112.12</v>
      </c>
      <c r="Z9" s="9">
        <f>S9+Y9</f>
        <v>734.99</v>
      </c>
      <c r="AA9" s="9">
        <v>120</v>
      </c>
      <c r="AB9" s="9" t="e">
        <f>IF($P$7=1,(S9/$S$10)*#REF!,AA9/$AA$10*#REF!)</f>
        <v>#REF!</v>
      </c>
      <c r="AC9" s="9"/>
      <c r="AD9" s="9" t="e">
        <f>IF($P$7=1,(S9/$S$10)*#REF!,AA9/$AA$10*#REF!)</f>
        <v>#REF!</v>
      </c>
      <c r="AE9" s="9" t="e">
        <f>IF($P$7=1,(S9/$S$10)*#REF!,AA9/$AA$10*#REF!)</f>
        <v>#REF!</v>
      </c>
      <c r="AF9" s="9">
        <f>S9*$M$7</f>
        <v>622.87</v>
      </c>
      <c r="AG9" s="9" t="e">
        <f>IF($C$7=3,0,AD9+AE9)</f>
        <v>#REF!</v>
      </c>
      <c r="AH9" s="9">
        <f>IF($C$7=3,AB9+AD9+AE9,0)</f>
        <v>0</v>
      </c>
      <c r="AI9" s="8">
        <v>1</v>
      </c>
      <c r="AJ9" s="9">
        <f>F9/AI9</f>
        <v>5</v>
      </c>
      <c r="AK9" s="9">
        <f>AF9/AJ9</f>
        <v>124.574</v>
      </c>
      <c r="AL9" s="9" t="e">
        <f>AG9/AJ9</f>
        <v>#REF!</v>
      </c>
      <c r="AM9" s="9">
        <f>AH9/AJ9</f>
        <v>0</v>
      </c>
      <c r="AN9" s="9" t="s">
        <v>76</v>
      </c>
      <c r="AO9" s="9" t="e">
        <f>AK9+AL9+AM9</f>
        <v>#REF!</v>
      </c>
      <c r="AP9" s="11"/>
    </row>
    <row r="10" ht="15.25" spans="1:42">
      <c r="A10" s="11"/>
      <c r="B10" s="22" t="s">
        <v>87</v>
      </c>
      <c r="C10" s="22"/>
      <c r="D10" s="22"/>
      <c r="E10" s="22"/>
      <c r="F10" s="22"/>
      <c r="G10" s="22"/>
      <c r="H10" s="13">
        <f>SUM(H9:H9)</f>
        <v>750</v>
      </c>
      <c r="I10" s="6"/>
      <c r="J10" s="6"/>
      <c r="K10" s="6"/>
      <c r="L10" s="6"/>
      <c r="M10" s="6"/>
      <c r="N10" s="6"/>
      <c r="O10" s="6"/>
      <c r="P10" s="6"/>
      <c r="Q10" s="6"/>
      <c r="R10" s="30">
        <f t="shared" ref="R10:AB10" si="0">SUM(R9:R9)</f>
        <v>127.13</v>
      </c>
      <c r="S10" s="30">
        <f t="shared" si="0"/>
        <v>622.87</v>
      </c>
      <c r="T10" s="30"/>
      <c r="U10" s="30"/>
      <c r="V10" s="37">
        <f t="shared" si="0"/>
        <v>56.06</v>
      </c>
      <c r="W10" s="37">
        <f t="shared" si="0"/>
        <v>56.06</v>
      </c>
      <c r="X10" s="13">
        <f t="shared" si="0"/>
        <v>0</v>
      </c>
      <c r="Y10" s="30">
        <f t="shared" si="0"/>
        <v>112.12</v>
      </c>
      <c r="Z10" s="33">
        <f t="shared" si="0"/>
        <v>734.99</v>
      </c>
      <c r="AA10" s="34">
        <f t="shared" si="0"/>
        <v>120</v>
      </c>
      <c r="AB10" s="34" t="e">
        <f t="shared" si="0"/>
        <v>#REF!</v>
      </c>
      <c r="AC10" s="33"/>
      <c r="AD10" s="34" t="e">
        <f t="shared" ref="AD10:AH10" si="1">SUM(AD9:AD9)</f>
        <v>#REF!</v>
      </c>
      <c r="AE10" s="34" t="e">
        <f t="shared" si="1"/>
        <v>#REF!</v>
      </c>
      <c r="AF10" s="34">
        <f t="shared" si="1"/>
        <v>622.87</v>
      </c>
      <c r="AG10" s="34" t="e">
        <f t="shared" si="1"/>
        <v>#REF!</v>
      </c>
      <c r="AH10" s="34">
        <f t="shared" si="1"/>
        <v>0</v>
      </c>
      <c r="AI10" s="33"/>
      <c r="AJ10" s="33"/>
      <c r="AK10" s="33"/>
      <c r="AL10" s="33"/>
      <c r="AM10" s="33"/>
      <c r="AN10" s="33"/>
      <c r="AO10" s="33"/>
      <c r="AP10" s="11"/>
    </row>
  </sheetData>
  <mergeCells count="4">
    <mergeCell ref="A1:Z1"/>
    <mergeCell ref="B5:G5"/>
    <mergeCell ref="A7:B7"/>
    <mergeCell ref="B10:G10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"/>
  <sheetViews>
    <sheetView tabSelected="1" workbookViewId="0">
      <selection activeCell="I11" sqref="I11"/>
    </sheetView>
  </sheetViews>
  <sheetFormatPr defaultColWidth="8.70909090909091" defaultRowHeight="14.5"/>
  <cols>
    <col min="2" max="2" width="17.8545454545455" customWidth="1"/>
    <col min="3" max="3" width="22" customWidth="1"/>
  </cols>
  <sheetData>
    <row r="1" ht="18.5" spans="1:42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ht="19.25" spans="1:42">
      <c r="A2" s="1" t="s">
        <v>105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ht="16" spans="1:42">
      <c r="A3" s="2" t="s">
        <v>9</v>
      </c>
      <c r="B3" s="3" t="s">
        <v>10</v>
      </c>
      <c r="C3" s="4" t="s">
        <v>11</v>
      </c>
      <c r="D3" s="3" t="s">
        <v>12</v>
      </c>
      <c r="E3" s="3" t="s">
        <v>13</v>
      </c>
      <c r="F3" s="3" t="s">
        <v>93</v>
      </c>
      <c r="G3" s="3" t="s">
        <v>15</v>
      </c>
      <c r="H3" s="5" t="s">
        <v>16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</row>
    <row r="4" ht="15.25" spans="1:42">
      <c r="A4" s="6">
        <v>1</v>
      </c>
      <c r="B4" s="7" t="s">
        <v>90</v>
      </c>
      <c r="C4" s="6" t="s">
        <v>90</v>
      </c>
      <c r="D4" s="6" t="s">
        <v>76</v>
      </c>
      <c r="E4" s="6" t="s">
        <v>76</v>
      </c>
      <c r="F4" s="8">
        <v>5</v>
      </c>
      <c r="G4" s="9">
        <v>150</v>
      </c>
      <c r="H4" s="10">
        <f>F4*G4</f>
        <v>750</v>
      </c>
      <c r="I4" s="23"/>
      <c r="J4" s="23"/>
      <c r="K4" s="23"/>
      <c r="L4" s="24"/>
      <c r="M4" s="24"/>
      <c r="N4" s="24"/>
      <c r="O4" s="24"/>
      <c r="P4" s="24"/>
      <c r="Q4" s="24"/>
      <c r="R4" s="24"/>
      <c r="S4" s="24"/>
      <c r="T4" s="24"/>
      <c r="U4" s="23"/>
      <c r="V4" s="23"/>
      <c r="W4" s="23"/>
      <c r="X4" s="23"/>
      <c r="Y4" s="24"/>
      <c r="Z4" s="24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ht="15.25" spans="1:42">
      <c r="A5" s="11"/>
      <c r="B5" s="12" t="s">
        <v>87</v>
      </c>
      <c r="C5" s="12"/>
      <c r="D5" s="12"/>
      <c r="E5" s="12"/>
      <c r="F5" s="12"/>
      <c r="G5" s="12"/>
      <c r="H5" s="13">
        <f>SUM(H4:H4)</f>
        <v>750</v>
      </c>
      <c r="I5" s="25"/>
      <c r="J5" s="25"/>
      <c r="K5" s="25"/>
      <c r="L5" s="25"/>
      <c r="M5" s="25"/>
      <c r="N5" s="25"/>
      <c r="O5" s="25"/>
      <c r="P5" s="25"/>
      <c r="Q5" s="25"/>
      <c r="R5" s="14"/>
      <c r="S5" s="14"/>
      <c r="T5" s="14"/>
      <c r="U5" s="14"/>
      <c r="V5" s="14"/>
      <c r="W5" s="14"/>
      <c r="X5" s="14"/>
      <c r="Y5" s="14"/>
      <c r="Z5" s="14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</row>
    <row r="6" spans="1:42">
      <c r="A6" s="14" t="s">
        <v>0</v>
      </c>
      <c r="B6" s="15"/>
      <c r="C6" s="15"/>
      <c r="D6" s="15"/>
      <c r="E6" s="15"/>
      <c r="F6" s="15"/>
      <c r="G6" s="15"/>
      <c r="H6" s="14"/>
      <c r="I6" s="26"/>
      <c r="J6" s="26"/>
      <c r="K6" s="26"/>
      <c r="L6" s="26"/>
      <c r="M6" s="26"/>
      <c r="N6" s="26"/>
      <c r="O6" s="26"/>
      <c r="P6" s="26"/>
      <c r="Q6" s="26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1"/>
    </row>
    <row r="7" spans="1:42">
      <c r="A7" s="16" t="s">
        <v>1</v>
      </c>
      <c r="B7" s="16"/>
      <c r="C7" s="17">
        <v>3</v>
      </c>
      <c r="D7" s="18" t="s">
        <v>108</v>
      </c>
      <c r="E7" s="15"/>
      <c r="F7" s="15"/>
      <c r="G7" s="15"/>
      <c r="H7" s="14"/>
      <c r="I7" s="26" t="s">
        <v>3</v>
      </c>
      <c r="J7" s="26" t="s">
        <v>4</v>
      </c>
      <c r="K7" s="26"/>
      <c r="L7" s="26" t="s">
        <v>5</v>
      </c>
      <c r="M7" s="26">
        <v>1</v>
      </c>
      <c r="N7" s="26"/>
      <c r="O7" s="26" t="s">
        <v>6</v>
      </c>
      <c r="P7" s="26">
        <v>2</v>
      </c>
      <c r="Q7" s="26" t="s">
        <v>7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1"/>
    </row>
    <row r="8" ht="58.75" spans="1:42">
      <c r="A8" s="19" t="s">
        <v>9</v>
      </c>
      <c r="B8" s="19" t="s">
        <v>10</v>
      </c>
      <c r="C8" s="20" t="s">
        <v>11</v>
      </c>
      <c r="D8" s="19" t="s">
        <v>12</v>
      </c>
      <c r="E8" s="19" t="s">
        <v>13</v>
      </c>
      <c r="F8" s="21" t="s">
        <v>14</v>
      </c>
      <c r="G8" s="19" t="s">
        <v>15</v>
      </c>
      <c r="H8" s="19" t="s">
        <v>16</v>
      </c>
      <c r="I8" s="27" t="s">
        <v>17</v>
      </c>
      <c r="J8" s="27" t="s">
        <v>18</v>
      </c>
      <c r="K8" s="27" t="s">
        <v>19</v>
      </c>
      <c r="L8" s="28" t="s">
        <v>20</v>
      </c>
      <c r="M8" s="28" t="s">
        <v>21</v>
      </c>
      <c r="N8" s="28" t="s">
        <v>22</v>
      </c>
      <c r="O8" s="28" t="s">
        <v>23</v>
      </c>
      <c r="P8" s="28" t="s">
        <v>24</v>
      </c>
      <c r="Q8" s="28" t="s">
        <v>25</v>
      </c>
      <c r="R8" s="27" t="s">
        <v>26</v>
      </c>
      <c r="S8" s="19" t="s">
        <v>27</v>
      </c>
      <c r="T8" s="19" t="s">
        <v>28</v>
      </c>
      <c r="U8" s="29" t="s">
        <v>29</v>
      </c>
      <c r="V8" s="29" t="s">
        <v>30</v>
      </c>
      <c r="W8" s="29" t="s">
        <v>31</v>
      </c>
      <c r="X8" s="29" t="s">
        <v>32</v>
      </c>
      <c r="Y8" s="29" t="s">
        <v>36</v>
      </c>
      <c r="Z8" s="31" t="s">
        <v>37</v>
      </c>
      <c r="AA8" s="31" t="s">
        <v>38</v>
      </c>
      <c r="AB8" s="32" t="s">
        <v>39</v>
      </c>
      <c r="AC8" s="32" t="s">
        <v>40</v>
      </c>
      <c r="AD8" s="32" t="s">
        <v>41</v>
      </c>
      <c r="AE8" s="31" t="s">
        <v>42</v>
      </c>
      <c r="AF8" s="31" t="s">
        <v>43</v>
      </c>
      <c r="AG8" s="32" t="s">
        <v>44</v>
      </c>
      <c r="AH8" s="32" t="s">
        <v>45</v>
      </c>
      <c r="AI8" s="31" t="s">
        <v>46</v>
      </c>
      <c r="AJ8" s="31" t="s">
        <v>47</v>
      </c>
      <c r="AK8" s="32" t="s">
        <v>48</v>
      </c>
      <c r="AL8" s="32" t="s">
        <v>49</v>
      </c>
      <c r="AM8" s="32" t="s">
        <v>50</v>
      </c>
      <c r="AN8" s="31" t="s">
        <v>51</v>
      </c>
      <c r="AO8" s="35" t="s">
        <v>52</v>
      </c>
      <c r="AP8" s="36"/>
    </row>
    <row r="9" ht="15.25" spans="1:42">
      <c r="A9" s="6">
        <v>1</v>
      </c>
      <c r="B9" s="7" t="s">
        <v>90</v>
      </c>
      <c r="C9" s="6" t="s">
        <v>90</v>
      </c>
      <c r="D9" s="6" t="s">
        <v>76</v>
      </c>
      <c r="E9" s="6" t="s">
        <v>76</v>
      </c>
      <c r="F9" s="8">
        <v>5</v>
      </c>
      <c r="G9" s="9">
        <v>150</v>
      </c>
      <c r="H9" s="10">
        <f>F9*G9</f>
        <v>750</v>
      </c>
      <c r="I9" s="10">
        <v>5</v>
      </c>
      <c r="J9" s="10">
        <v>6</v>
      </c>
      <c r="K9" s="10">
        <v>7</v>
      </c>
      <c r="L9" s="10">
        <f>H9</f>
        <v>750</v>
      </c>
      <c r="M9" s="10">
        <f>ROUND((L9*I9)/100,2)</f>
        <v>37.5</v>
      </c>
      <c r="N9" s="10">
        <f>H9-M9</f>
        <v>712.5</v>
      </c>
      <c r="O9" s="10">
        <f>ROUND((N9*J9)/100,2)</f>
        <v>42.75</v>
      </c>
      <c r="P9" s="10">
        <f>ROUND(N9-O9,2)</f>
        <v>669.75</v>
      </c>
      <c r="Q9" s="10">
        <f>ROUND((P9*K9)/100,2)</f>
        <v>46.88</v>
      </c>
      <c r="R9" s="9">
        <f>M9+O9+Q9</f>
        <v>127.13</v>
      </c>
      <c r="S9" s="9">
        <f>(H9-R9)</f>
        <v>622.87</v>
      </c>
      <c r="T9" s="9" t="s">
        <v>109</v>
      </c>
      <c r="U9" s="10">
        <v>0</v>
      </c>
      <c r="V9" s="10">
        <f>IF($C$7=1,ROUND(((S9*(U9/100))/2),2),0)</f>
        <v>0</v>
      </c>
      <c r="W9" s="10">
        <f>IF($C$7=1,ROUND(((S9*(U9/100))/2),2),0)</f>
        <v>0</v>
      </c>
      <c r="X9" s="10">
        <f>IF($C$7=2,ROUND(((S9*U9)/100),2),0)</f>
        <v>0</v>
      </c>
      <c r="Y9" s="10">
        <f>V9+W9+X9</f>
        <v>0</v>
      </c>
      <c r="Z9" s="9">
        <f>S9+Y9</f>
        <v>622.87</v>
      </c>
      <c r="AA9" s="9">
        <v>120</v>
      </c>
      <c r="AB9" s="9" t="e">
        <f>IF($P$7=1,(S9/$S$10)*#REF!,AA9/$AA$10*#REF!)</f>
        <v>#REF!</v>
      </c>
      <c r="AC9" s="9"/>
      <c r="AD9" s="9" t="e">
        <f>IF($P$7=1,(S9/$S$10)*#REF!,AA9/$AA$10*#REF!)</f>
        <v>#REF!</v>
      </c>
      <c r="AE9" s="9" t="e">
        <f>IF($P$7=1,(S9/$S$10)*#REF!,AA9/$AA$10*#REF!)</f>
        <v>#REF!</v>
      </c>
      <c r="AF9" s="9">
        <f>S9*$M$7</f>
        <v>622.87</v>
      </c>
      <c r="AG9" s="9">
        <f>IF($C$7=3,0,AD9+AE9)</f>
        <v>0</v>
      </c>
      <c r="AH9" s="9" t="e">
        <f>IF($C$7=3,AB9+AD9+AE9,0)</f>
        <v>#REF!</v>
      </c>
      <c r="AI9" s="8">
        <v>1</v>
      </c>
      <c r="AJ9" s="9">
        <f>F9/AI9</f>
        <v>5</v>
      </c>
      <c r="AK9" s="9">
        <f>AF9/AJ9</f>
        <v>124.574</v>
      </c>
      <c r="AL9" s="9">
        <f>AG9/AJ9</f>
        <v>0</v>
      </c>
      <c r="AM9" s="9" t="e">
        <f>AH9/AJ9</f>
        <v>#REF!</v>
      </c>
      <c r="AN9" s="9" t="s">
        <v>76</v>
      </c>
      <c r="AO9" s="9" t="e">
        <f>AK9+AL9+AM9</f>
        <v>#REF!</v>
      </c>
      <c r="AP9" s="11"/>
    </row>
    <row r="10" ht="15.25" spans="1:42">
      <c r="A10" s="11"/>
      <c r="B10" s="22" t="s">
        <v>87</v>
      </c>
      <c r="C10" s="22"/>
      <c r="D10" s="22"/>
      <c r="E10" s="22"/>
      <c r="F10" s="22"/>
      <c r="G10" s="22"/>
      <c r="H10" s="13">
        <f>SUM(H9:H9)</f>
        <v>750</v>
      </c>
      <c r="I10" s="6"/>
      <c r="J10" s="6"/>
      <c r="K10" s="6"/>
      <c r="L10" s="6"/>
      <c r="M10" s="6"/>
      <c r="N10" s="6"/>
      <c r="O10" s="6"/>
      <c r="P10" s="6"/>
      <c r="Q10" s="6"/>
      <c r="R10" s="30">
        <f t="shared" ref="R10:AB10" si="0">SUM(R9:R9)</f>
        <v>127.13</v>
      </c>
      <c r="S10" s="30">
        <f t="shared" si="0"/>
        <v>622.87</v>
      </c>
      <c r="T10" s="30"/>
      <c r="U10" s="30"/>
      <c r="V10" s="13">
        <f t="shared" si="0"/>
        <v>0</v>
      </c>
      <c r="W10" s="13">
        <f t="shared" si="0"/>
        <v>0</v>
      </c>
      <c r="X10" s="13">
        <f t="shared" si="0"/>
        <v>0</v>
      </c>
      <c r="Y10" s="13">
        <f t="shared" si="0"/>
        <v>0</v>
      </c>
      <c r="Z10" s="33">
        <f t="shared" si="0"/>
        <v>622.87</v>
      </c>
      <c r="AA10" s="34">
        <f t="shared" si="0"/>
        <v>120</v>
      </c>
      <c r="AB10" s="34" t="e">
        <f t="shared" si="0"/>
        <v>#REF!</v>
      </c>
      <c r="AC10" s="33"/>
      <c r="AD10" s="34" t="e">
        <f t="shared" ref="AD10:AH10" si="1">SUM(AD9:AD9)</f>
        <v>#REF!</v>
      </c>
      <c r="AE10" s="34" t="e">
        <f t="shared" si="1"/>
        <v>#REF!</v>
      </c>
      <c r="AF10" s="34">
        <f t="shared" si="1"/>
        <v>622.87</v>
      </c>
      <c r="AG10" s="34">
        <f t="shared" si="1"/>
        <v>0</v>
      </c>
      <c r="AH10" s="34" t="e">
        <f t="shared" si="1"/>
        <v>#REF!</v>
      </c>
      <c r="AI10" s="33"/>
      <c r="AJ10" s="33"/>
      <c r="AK10" s="33"/>
      <c r="AL10" s="33"/>
      <c r="AM10" s="33"/>
      <c r="AN10" s="33"/>
      <c r="AO10" s="33"/>
      <c r="AP10" s="11"/>
    </row>
  </sheetData>
  <mergeCells count="4">
    <mergeCell ref="A1:Z1"/>
    <mergeCell ref="B5:G5"/>
    <mergeCell ref="A7:B7"/>
    <mergeCell ref="B10:G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DomesticPoFOCUDGeneralSameUOM</vt:lpstr>
      <vt:lpstr>DomesticPoFOCUDGeneralDiffUOM</vt:lpstr>
      <vt:lpstr>ImportPoFOCUDGeneralDiffUOM</vt:lpstr>
      <vt:lpstr>DomesticPoFOCUDServiceSameUOM</vt:lpstr>
      <vt:lpstr>ImportPoFOCUDGeneralSameUOM</vt:lpstr>
      <vt:lpstr>ImportPoFOCUDServiceSameUOM</vt:lpstr>
      <vt:lpstr>DomesticPRPoFOCUDGeneralSameUOM</vt:lpstr>
      <vt:lpstr>ImportPRPoFOCUDGeneralSameUOM</vt:lpstr>
      <vt:lpstr>DomesticPRPoFOCUDGeneralDiffUOM</vt:lpstr>
      <vt:lpstr>ImportPRPoFOCUDGeneralDiffUOM</vt:lpstr>
      <vt:lpstr>DomesticPRPoFOCUDServiceSameUOM</vt:lpstr>
      <vt:lpstr>ImportPRPoFOCUDServiceSameUOM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Sakthi R</cp:lastModifiedBy>
  <dcterms:created xsi:type="dcterms:W3CDTF">2025-12-11T12:04:00Z</dcterms:created>
  <dcterms:modified xsi:type="dcterms:W3CDTF">2025-12-30T10:33:28Z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4E9ECC40A3E54A168E585F45F91ADEB2_12</vt:lpwstr>
  </property>
  <property fmtid="{D5CDD505-2E9C-101B-9397-08002B2CF9AE}" pid="3" name="KSOProductBuildVer">
    <vt:lpwstr>1033-12.2.0.23196</vt:lpwstr>
  </property>
</Properties>
</file>