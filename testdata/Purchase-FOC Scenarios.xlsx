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200" firstSheet="24" activeTab="25"/>
  </bookViews>
  <sheets>
    <sheet name="DomesticPoFOCUDGeneralSameUOM" sheetId="11" r:id="rId1"/>
    <sheet name="DomesticPoFOCUDStkTrnSameUOM" sheetId="45" r:id="rId2"/>
    <sheet name="DomesticPoFOCUDGeneralDiffUOM" sheetId="22" r:id="rId3"/>
    <sheet name="ImportPoFOCUDGeneralDiffUOM" sheetId="23" r:id="rId4"/>
    <sheet name="DomesticPoFOCUDServiceSameUOM" sheetId="21" r:id="rId5"/>
    <sheet name="ImportPoFOCUDGeneralSameUOM" sheetId="17" r:id="rId6"/>
    <sheet name="ImportPoFOCUDServiceSameUOM" sheetId="13" r:id="rId7"/>
    <sheet name="DomesticPRPoFOCUDGeneralSameUOM" sheetId="24" r:id="rId8"/>
    <sheet name="ImportPRPoFOCUDGeneralSameUOM" sheetId="27" r:id="rId9"/>
    <sheet name="DomesticPRPoFOCUDGeneralDiffUOM" sheetId="26" r:id="rId10"/>
    <sheet name="ImportPRPoFOCUDGeneralDiffUOM" sheetId="28" r:id="rId11"/>
    <sheet name="DomesticPRPoFOCUDServiceSameUOM" sheetId="25" r:id="rId12"/>
    <sheet name="ImportPRPoFOCUDServiceSameUOM" sheetId="29" r:id="rId13"/>
    <sheet name="D-PoToGRNFOCUDGeneralSameUOMWOI" sheetId="30" r:id="rId14"/>
    <sheet name="D-PoToGRNFOCUDStkTrnSameUOMWOI" sheetId="46" r:id="rId15"/>
    <sheet name="D-PoToGRNFOCRCStkTrnSameUOMWOI" sheetId="50" r:id="rId16"/>
    <sheet name="D-PoToGRNFOCPLStkTrnSameUOMWOI" sheetId="52" r:id="rId17"/>
    <sheet name="D-PoToGRNFOCPLStkTrnSameUOMWI" sheetId="53" r:id="rId18"/>
    <sheet name="D-PoToGRNFOCRCStkTrnSameUOMWI" sheetId="51" r:id="rId19"/>
    <sheet name="D-PoToGRNFOCUDStkTrnDiffUOMWOI" sheetId="48" r:id="rId20"/>
    <sheet name="D-PoToGRNFOCRCStkTrnDiffUOMWOI" sheetId="54" r:id="rId21"/>
    <sheet name="D-PoToGRNFOCPLStkTrnDiffUOMWOI" sheetId="55" r:id="rId22"/>
    <sheet name="D-PoToGRNFOCUDStkTrnSameUOMWI" sheetId="47" r:id="rId23"/>
    <sheet name="D-PoToGRNFOCUDStkTrnDiffUOMWI" sheetId="49" r:id="rId24"/>
    <sheet name="D-PoToGRNFOCRCStkTrnDiffUOMWI" sheetId="57" r:id="rId25"/>
    <sheet name="D-PoToGRNFOCPLStkTrnDiffUOMWI" sheetId="58" r:id="rId26"/>
    <sheet name="D-PoToGRNFOCUDServiceSameUOMWOI" sheetId="42" r:id="rId27"/>
    <sheet name="D-PoToGRNFOCRCGeneralSameUOMWOI" sheetId="34" r:id="rId28"/>
    <sheet name="D-PoToGRNFOCRCServiceSameUOMWOI" sheetId="43" r:id="rId29"/>
    <sheet name="D-PoToGRNFOCPLGeneralSameUOMWOI" sheetId="37" r:id="rId30"/>
    <sheet name="D-PoToGRNFOCPLServiceSameUOMWOI" sheetId="44" r:id="rId31"/>
    <sheet name="D-PoToGRNFOCUDGeneralDiffUOMWOI" sheetId="31" r:id="rId32"/>
    <sheet name="D-PoToGRNFOCRCGeneralDiffUOMWOI" sheetId="38" r:id="rId33"/>
    <sheet name="D-PoToGRNFOCPLGeneralDiffUOMWOI" sheetId="41" r:id="rId34"/>
    <sheet name="D-PoToGRNFOCUDGeneralSameUOMWI" sheetId="32" r:id="rId35"/>
    <sheet name="D-PoToGRNFOCRCGeneralSameUOMWI" sheetId="35" r:id="rId36"/>
    <sheet name="D-PoToGRNFOCPLGeneralSameUOMWI" sheetId="36" r:id="rId37"/>
    <sheet name="D-PoToGRNFOCUDGeneralDiffUOMWI" sheetId="33" r:id="rId38"/>
    <sheet name="D-PoToGRNFOCRCGeneralDiffUOMWI" sheetId="39" r:id="rId39"/>
    <sheet name="D-PoToGRNFOCPLGeneralDiffUOMWI" sheetId="40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<sst xmlns="http://schemas.openxmlformats.org/spreadsheetml/2006/main" count="3682" uniqueCount="139">
  <si>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</si>
  <si>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</si>
  <si>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</si>
  <si>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</si>
  <si>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</si>
  <si>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</si>
  <si>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</si>
  <si>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</si>
  <si>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</si>
  <si>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</si>
  <si>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</si>
  <si>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</si>
  <si>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</si>
  <si>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</si>
  <si>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</si>
  <si>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</si>
  <si>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</si>
  <si>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</si>
  <si>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</si>
  <si>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</si>
  <si>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</si>
  <si>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</si>
  <si>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</si>
  <si>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</si>
  <si>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</si>
  <si>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</si>
  <si>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</si>
  <si>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</si>
  <si>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</si>
  <si>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</si>
  <si>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</si>
  <si>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</si>
  <si>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</si>
  <si>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</si>
  <si>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</si>
  <si>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</si>
  <si>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</si>
  <si>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</si>
  <si>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</si>
  <si>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</si>
  <si>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</si>
  <si>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</si>
  <si>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</si>
  <si>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</si>
  <si>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</si>
  <si>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</si>
  <si>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</si>
  <si>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</si>
  <si>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</si>
  <si>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</si>
  <si>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</si>
  <si>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</si>
  <si>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</si>
  <si>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</si>
  <si>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</si>
  <si>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</si>
  <si>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</si>
  <si>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</si>
  <si>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</si>
  <si>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</si>
  <si>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</si>
  <si>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</si>
  <si>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</si>
  <si>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</si>
  <si>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</si>
  <si>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</si>
  <si>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</si>
  <si>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</si>
  <si>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</si>
  <si>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</si>
  <si>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</si>
  <si>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</si>
  <si>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</si>
  <si>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</si>
  <si>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</si>
  <si>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</si>
  <si>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</si>
  <si>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</si>
  <si>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</si>
  <si>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</si>
  <si>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</si>
  <si>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</si>
  <si>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</si>
  <si>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</si>
  <si>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</si>
  <si>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</si>
  <si>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</si>
  <si>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</si>
  <si>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GWL_Similar_Wf_St_02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</si>
  <si>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</si>
  <si>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</si>
  <si>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</si>
  <si>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</si>
  <si>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</si>
  <si>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</si>
  <si>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</si>
  <si>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</si>
  <si>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</si>
  <si>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</si>
  <si>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</si>
  <si>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</si>
  <si>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</si>
  <si>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</si>
  <si>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</si>
  <si>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</si>
  <si>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</si>
  <si>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</si>
  <si>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</si>
  <si>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</si>
  <si>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</si>
  <si>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</si>
  <si>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GWL_Item_Similar_05</t>
  </si>
  <si>
    <t>GWL_Item_Similar_05_Desc</t>
  </si>
  <si>
    <t>48</t>
  </si>
  <si>
    <t>82.12</t>
  </si>
  <si>
    <t>52</t>
  </si>
  <si>
    <t>GWL_Item_Similar_St_09</t>
  </si>
  <si>
    <t>GWL_Item_Similar_Rc_St_02</t>
  </si>
  <si>
    <t>GWL_similar_Pl_St_02</t>
  </si>
  <si>
    <t>GWL_similar_Pl_St_01</t>
  </si>
  <si>
    <t>GWL_Item_Similar_Rc_St_01</t>
  </si>
  <si>
    <t>GWL_Dissimilar_St_02</t>
  </si>
  <si>
    <t>GWL_Item_Dissimilar_Rc_02</t>
  </si>
  <si>
    <t>GWL_Item_Dissimilar_Pl_03</t>
  </si>
  <si>
    <t>GWL_Item_Similar_St_08</t>
  </si>
  <si>
    <t>GWL_Dissimilar_St_01</t>
  </si>
  <si>
    <t>GWL_Item_Dissimilar_Rc_01</t>
  </si>
  <si>
    <t>GWL_Item_Dissimilar_Pl_01</t>
  </si>
  <si>
    <t>GWL_Item_service_05</t>
  </si>
  <si>
    <t>GWL_Item_Similar_Rc_02</t>
  </si>
  <si>
    <t>GWL_Item_Service_Rc_06</t>
  </si>
  <si>
    <t>GWL_Item_Similar_Pl_02</t>
  </si>
  <si>
    <t>GWL_Item_Service_Pl_03</t>
  </si>
  <si>
    <t>GWL_Item_Dissimilar_05</t>
  </si>
  <si>
    <t>GWL_Item_Dissimilar_Pl_02</t>
  </si>
  <si>
    <t>GWL_Item_Similar_2</t>
  </si>
  <si>
    <t>GWL_Item_Similar_Rc_01</t>
  </si>
  <si>
    <t>GWL_Item_Similar_Pl_01</t>
  </si>
  <si>
    <t>GWL_Item_Dissimilar_04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</si>
</sst>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theme="7" tint="0.7996459852900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7" applyNumberFormat="0" applyAlignment="0" applyProtection="0">
      <alignment vertical="center"/>
    </xf>
    <xf numFmtId="0" fontId="16" fillId="15" borderId="18" applyNumberFormat="0" applyAlignment="0" applyProtection="0">
      <alignment vertical="center"/>
    </xf>
    <xf numFmtId="0" fontId="17" fillId="15" borderId="17" applyNumberFormat="0" applyAlignment="0" applyProtection="0">
      <alignment vertical="center"/>
    </xf>
    <xf numFmtId="0" fontId="18" fillId="16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1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2" fontId="1" fillId="3" borderId="1" xfId="0" applyNumberFormat="1" applyFont="1" applyFill="1" applyBorder="1" applyAlignment="1"/>
    <xf numFmtId="0" fontId="4" fillId="0" borderId="0" xfId="0" applyFont="1" applyBorder="1" applyAlignment="1">
      <alignment horizontal="left" vertical="top"/>
    </xf>
    <xf numFmtId="0" fontId="1" fillId="2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Font="1" applyFill="1" applyBorder="1" applyAlignment="1">
      <alignment vertical="center"/>
    </xf>
    <xf numFmtId="0" fontId="2" fillId="0" borderId="1" xfId="0" applyNumberFormat="1" applyFont="1" applyBorder="1"/>
    <xf numFmtId="2" fontId="2" fillId="0" borderId="1" xfId="0" applyNumberFormat="1" applyFont="1" applyBorder="1"/>
    <xf numFmtId="0" fontId="2" fillId="0" borderId="0" xfId="0" applyFont="1"/>
    <xf numFmtId="0" fontId="1" fillId="3" borderId="12" xfId="0" applyFont="1" applyFill="1" applyBorder="1" applyAlignment="1">
      <alignment horizontal="center" vertical="top"/>
    </xf>
    <xf numFmtId="0" fontId="1" fillId="3" borderId="1" xfId="0" applyNumberFormat="1" applyFont="1" applyFill="1" applyBorder="1"/>
    <xf numFmtId="0" fontId="1" fillId="0" borderId="0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2" fontId="1" fillId="7" borderId="1" xfId="0" applyNumberFormat="1" applyFont="1" applyFill="1" applyBorder="1"/>
    <xf numFmtId="0" fontId="1" fillId="8" borderId="4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6" fillId="0" borderId="1" xfId="0" applyFont="1" applyBorder="1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1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2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3" Type="http://schemas.openxmlformats.org/officeDocument/2006/relationships/styles" Target="styles.xml"/><Relationship Id="rId42" Type="http://schemas.openxmlformats.org/officeDocument/2006/relationships/sharedStrings" Target="sharedStrings.xml"/><Relationship Id="rId41" Type="http://schemas.openxmlformats.org/officeDocument/2006/relationships/theme" Target="theme/theme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3" sqref="C13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S18" sqref="S1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1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89</v>
      </c>
      <c r="C4" s="77" t="s">
        <v>89</v>
      </c>
      <c r="D4" s="77" t="s">
        <v>76</v>
      </c>
      <c r="E4" s="77" t="s">
        <v>90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56.04</v>
      </c>
      <c r="W4" s="78">
        <f>IF($C$2=1,ROUND((((S4*U4)/100)/2),2),0)</f>
        <v>56.04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112.08</v>
      </c>
      <c r="AC4" s="78">
        <f>IF($V2=1,S4+AB4,S4)</f>
        <v>734.8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56.04</v>
      </c>
      <c r="W5" s="91">
        <f t="shared" si="0"/>
        <v>56.04</v>
      </c>
      <c r="X5" s="91">
        <f t="shared" si="0"/>
        <v>0</v>
      </c>
      <c r="Y5" s="91"/>
      <c r="Z5" s="91"/>
      <c r="AA5" s="91"/>
      <c r="AB5" s="90">
        <f t="shared" ref="AB5:AE5" si="1">SUM(AB4:AB4)</f>
        <v>112.08</v>
      </c>
      <c r="AC5" s="95">
        <f t="shared" si="1"/>
        <v>734.8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89</v>
      </c>
      <c r="C4" s="77" t="s">
        <v>89</v>
      </c>
      <c r="D4" s="77" t="s">
        <v>76</v>
      </c>
      <c r="E4" s="77" t="s">
        <v>90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91</v>
      </c>
      <c r="C4" s="77" t="s">
        <v>91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4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3</v>
      </c>
      <c r="AM4" s="78">
        <f>F4/AL4</f>
        <v>1.66666666666667</v>
      </c>
      <c r="AN4" s="78">
        <f>AI4/AM4</f>
        <v>373.632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373.632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1.66666666666667</v>
      </c>
      <c r="AX4" s="102">
        <f>AR4</f>
        <v>373.632</v>
      </c>
      <c r="AY4" s="102">
        <f>AU4+AW4</f>
        <v>14091.6666666667</v>
      </c>
      <c r="AZ4" s="102">
        <f>ROUND(((AU4*AV4)+(AW4*AX4))/(AU4+AW4),5)</f>
        <v>121.25023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146.79805</v>
      </c>
      <c r="BP4" s="110">
        <f>BN4+AW4</f>
        <v>692.666666666667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70"/>
    <col min="2" max="2" width="21.1363636363636" style="70" customWidth="1"/>
    <col min="3" max="3" width="21.2818181818182" style="70" customWidth="1"/>
    <col min="4" max="19" width="8.70909090909091" style="70"/>
    <col min="20" max="20" width="10.1363636363636" style="70" customWidth="1"/>
    <col min="21" max="16384" width="8.70909090909091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2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103"/>
      <c r="BQ2" s="103"/>
    </row>
    <row r="3" ht="45" spans="1:69">
      <c r="A3" s="76" t="s">
        <v>92</v>
      </c>
      <c r="B3" s="76" t="s">
        <v>10</v>
      </c>
      <c r="C3" s="76" t="s">
        <v>93</v>
      </c>
      <c r="D3" s="76" t="s">
        <v>12</v>
      </c>
      <c r="E3" s="76" t="s">
        <v>13</v>
      </c>
      <c r="F3" s="76" t="s">
        <v>94</v>
      </c>
      <c r="G3" s="76" t="s">
        <v>15</v>
      </c>
      <c r="H3" s="76" t="s">
        <v>16</v>
      </c>
      <c r="I3" s="86" t="s">
        <v>17</v>
      </c>
      <c r="J3" s="86" t="s">
        <v>19</v>
      </c>
      <c r="K3" s="86" t="s">
        <v>18</v>
      </c>
      <c r="L3" s="87" t="s">
        <v>20</v>
      </c>
      <c r="M3" s="87" t="s">
        <v>21</v>
      </c>
      <c r="N3" s="87" t="s">
        <v>24</v>
      </c>
      <c r="O3" s="87" t="s">
        <v>25</v>
      </c>
      <c r="P3" s="87" t="s">
        <v>95</v>
      </c>
      <c r="Q3" s="87" t="s">
        <v>23</v>
      </c>
      <c r="R3" s="86" t="s">
        <v>26</v>
      </c>
      <c r="S3" s="76" t="s">
        <v>96</v>
      </c>
      <c r="T3" s="76" t="s">
        <v>28</v>
      </c>
      <c r="U3" s="88" t="s">
        <v>97</v>
      </c>
      <c r="V3" s="88" t="s">
        <v>30</v>
      </c>
      <c r="W3" s="88" t="s">
        <v>31</v>
      </c>
      <c r="X3" s="88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93" t="s">
        <v>37</v>
      </c>
      <c r="AD3" s="93" t="s">
        <v>38</v>
      </c>
      <c r="AE3" s="93" t="s">
        <v>39</v>
      </c>
      <c r="AF3" s="93" t="s">
        <v>40</v>
      </c>
      <c r="AG3" s="93" t="s">
        <v>41</v>
      </c>
      <c r="AH3" s="93" t="s">
        <v>42</v>
      </c>
      <c r="AI3" s="93" t="s">
        <v>43</v>
      </c>
      <c r="AJ3" s="93" t="s">
        <v>44</v>
      </c>
      <c r="AK3" s="93" t="s">
        <v>45</v>
      </c>
      <c r="AL3" s="93" t="s">
        <v>46</v>
      </c>
      <c r="AM3" s="93" t="s">
        <v>47</v>
      </c>
      <c r="AN3" s="93" t="s">
        <v>48</v>
      </c>
      <c r="AO3" s="93" t="s">
        <v>49</v>
      </c>
      <c r="AP3" s="93" t="s">
        <v>50</v>
      </c>
      <c r="AQ3" s="93" t="s">
        <v>51</v>
      </c>
      <c r="AR3" s="98" t="s">
        <v>98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91</v>
      </c>
      <c r="C4" s="77" t="s">
        <v>91</v>
      </c>
      <c r="D4" s="77" t="s">
        <v>76</v>
      </c>
      <c r="E4" s="77" t="s">
        <v>76</v>
      </c>
      <c r="F4" s="78">
        <v>5</v>
      </c>
      <c r="G4" s="79" t="s">
        <v>99</v>
      </c>
      <c r="H4" s="78">
        <f>F4*G4</f>
        <v>250</v>
      </c>
      <c r="I4" s="79" t="s">
        <v>100</v>
      </c>
      <c r="J4" s="78">
        <v>8</v>
      </c>
      <c r="K4" s="78">
        <v>5</v>
      </c>
      <c r="L4" s="78">
        <f>IF(OR(I4=0,I4="0"),0,H4)</f>
        <v>250</v>
      </c>
      <c r="M4" s="78">
        <f>ROUND(L4*I4%,3)</f>
        <v>12.5</v>
      </c>
      <c r="N4" s="78">
        <f>H4-M4</f>
        <v>237.5</v>
      </c>
      <c r="O4" s="78">
        <f>ROUND(N4*J4%,3)</f>
        <v>19</v>
      </c>
      <c r="P4" s="78">
        <f>ROUND(N4-O4,2)</f>
        <v>218.5</v>
      </c>
      <c r="Q4" s="78">
        <f>ROUND(P4*K4%,2)</f>
        <v>10.93</v>
      </c>
      <c r="R4" s="89">
        <f>ROUND(M4+O4+Q4,3)</f>
        <v>42.43</v>
      </c>
      <c r="S4" s="89">
        <f>(H4-R4)</f>
        <v>207.57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94">
        <f>IF($V2=1,S4+AB4,S4)</f>
        <v>207.57</v>
      </c>
      <c r="AD4" s="89">
        <v>120</v>
      </c>
      <c r="AE4" s="89">
        <f>IF($P$2=1,(S4/$S$5)*$E$16,AD4/$AD$5*$E$16)</f>
        <v>0</v>
      </c>
      <c r="AF4" s="89"/>
      <c r="AG4" s="89">
        <f>IF($P$2=1,(S4/$S$5)*$E$18,AD4/$AD$5*$E$18)</f>
        <v>0</v>
      </c>
      <c r="AH4" s="89">
        <f>IF($P$2=1,(S4/$S$5)*$E$19,AD4/$AD$5*$E$19)</f>
        <v>0</v>
      </c>
      <c r="AI4" s="89">
        <f>S4*$M2</f>
        <v>207.57</v>
      </c>
      <c r="AJ4" s="89">
        <f>IF($C$2=3,0,AG4+AH4)</f>
        <v>0</v>
      </c>
      <c r="AK4" s="89">
        <f>IF($C$2=3,AE4+AG4+AH4,0)</f>
        <v>0</v>
      </c>
      <c r="AL4" s="97">
        <v>1</v>
      </c>
      <c r="AM4" s="89">
        <f>F4/AL4</f>
        <v>5</v>
      </c>
      <c r="AN4" s="89">
        <f>ROUND(AI4/AM4,5)</f>
        <v>41.514</v>
      </c>
      <c r="AO4" s="89">
        <f>AJ4/AM4</f>
        <v>0</v>
      </c>
      <c r="AP4" s="89">
        <f>AK4/AM4</f>
        <v>0</v>
      </c>
      <c r="AQ4" s="89" t="s">
        <v>76</v>
      </c>
      <c r="AR4" s="89">
        <f>ROUND(AN4+AO4+AP4,5)</f>
        <v>41.514</v>
      </c>
      <c r="AS4" s="101" t="s">
        <v>101</v>
      </c>
      <c r="AT4" s="102" t="s">
        <v>76</v>
      </c>
      <c r="AU4" s="79" t="s">
        <v>102</v>
      </c>
      <c r="AV4" s="79" t="s">
        <v>103</v>
      </c>
      <c r="AW4" s="102">
        <f>AM4</f>
        <v>5</v>
      </c>
      <c r="AX4" s="105">
        <f>AR4</f>
        <v>41.514</v>
      </c>
      <c r="AY4" s="102">
        <f>AU4+AW4</f>
        <v>20</v>
      </c>
      <c r="AZ4" s="102">
        <f>ROUND(((AU4*AV4)+(AW4*AX4))/(AU4+AW4),3)</f>
        <v>41.515</v>
      </c>
      <c r="BA4" s="106"/>
      <c r="BB4" s="106" t="s">
        <v>80</v>
      </c>
      <c r="BC4" s="107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2"/>
      <c r="BK4" s="102"/>
      <c r="BL4" s="109" t="s">
        <v>104</v>
      </c>
      <c r="BM4" s="79" t="s">
        <v>103</v>
      </c>
      <c r="BN4" s="79" t="s">
        <v>100</v>
      </c>
      <c r="BO4" s="102">
        <f>ROUND((((AW4*AZ4)+(BN4*BM4))/(AW4+BN4)),5)</f>
        <v>41.515</v>
      </c>
      <c r="BP4" s="110">
        <f>ROUND(BN4+AW4,3)</f>
        <v>10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250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42.43</v>
      </c>
      <c r="S5" s="84">
        <f t="shared" si="0"/>
        <v>207.57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207.57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>IF($P$2=1,(S5/$S$5)*$E$19,AD5/$AD$5*$E$19)</f>
        <v>0</v>
      </c>
      <c r="AI5" s="96">
        <f t="shared" si="2"/>
        <v>207.57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80"/>
      <c r="AU5" s="103"/>
      <c r="AV5" s="103"/>
      <c r="AW5" s="80"/>
      <c r="AX5" s="80"/>
      <c r="AY5" s="80"/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03"/>
      <c r="BQ5" s="103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107</v>
      </c>
      <c r="C4" s="43" t="s">
        <v>108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107</v>
      </c>
      <c r="C9" s="43" t="s">
        <v>108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107</v>
      </c>
      <c r="C4" s="43" t="s">
        <v>108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107</v>
      </c>
      <c r="C9" s="43" t="s">
        <v>108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89</v>
      </c>
      <c r="C4" s="43" t="s">
        <v>110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89</v>
      </c>
      <c r="C9" s="43" t="s">
        <v>110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68" t="s">
        <v>89</v>
      </c>
      <c r="C4" s="69" t="s">
        <v>110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89</v>
      </c>
      <c r="C9" s="43" t="s">
        <v>110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K16" sqref="K16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91</v>
      </c>
      <c r="C4" s="43" t="s">
        <v>91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91</v>
      </c>
      <c r="C9" s="43" t="s">
        <v>91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18</v>
      </c>
      <c r="V9" s="45">
        <f>IF(OR($C$7=1,$C$7=4),ROUND(((S9*U9)/(2*100)),2),0)</f>
        <v>58.42</v>
      </c>
      <c r="W9" s="45">
        <f>IF($C$7=1,ROUND(((S9*U9)/(2*100)),2),0)</f>
        <v>58.42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116.84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6490.9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58.42</v>
      </c>
      <c r="W10" s="62">
        <f t="shared" si="0"/>
        <v>58.42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116.84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topLeftCell="D1" workbookViewId="0">
      <selection activeCell="L13" sqref="L13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  <col min="14" max="14" width="13.8545454545455" customWidth="1"/>
  </cols>
  <sheetData>
    <row r="1" ht="18.5" spans="1:45">
      <c r="A1" s="39" t="s">
        <v>105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94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91</v>
      </c>
      <c r="C4" s="43" t="s">
        <v>91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109</v>
      </c>
    </row>
    <row r="9" ht="15.25" spans="1:45">
      <c r="A9" s="43">
        <v>1</v>
      </c>
      <c r="B9" s="44" t="s">
        <v>91</v>
      </c>
      <c r="C9" s="43" t="s">
        <v>91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49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111</v>
      </c>
      <c r="C4" s="7" t="s">
        <v>112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116</v>
      </c>
      <c r="C4" s="7" t="s">
        <v>116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1" sqref="C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118</v>
      </c>
      <c r="C4" s="7" t="s">
        <v>118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5" sqref="E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5" sqref="C15"/>
    </sheetView>
  </sheetViews>
  <sheetFormatPr defaultColWidth="8.70909090909091" defaultRowHeight="14.5" outlineLevelRow="4"/>
  <cols>
    <col min="2" max="2" width="25.8181818181818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120</v>
      </c>
      <c r="C4" s="7" t="s">
        <v>120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5" sqref="B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121</v>
      </c>
      <c r="C4" s="7" t="s">
        <v>121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122</v>
      </c>
      <c r="C4" s="7" t="s">
        <v>122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123</v>
      </c>
      <c r="C4" s="7" t="s">
        <v>123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5" sqref="F1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124</v>
      </c>
      <c r="C4" s="7" t="s">
        <v>124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125</v>
      </c>
      <c r="C4" s="7" t="s">
        <v>125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10" sqref="C10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126</v>
      </c>
      <c r="C4" s="7" t="s">
        <v>126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127</v>
      </c>
      <c r="C4" s="7" t="s">
        <v>127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8" sqref="C8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128</v>
      </c>
      <c r="C4" s="7" t="s">
        <v>128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129</v>
      </c>
      <c r="C4" s="7" t="s">
        <v>129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5" sqref="C5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130</v>
      </c>
      <c r="C4" s="7" t="s">
        <v>130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M12" sqref="M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131</v>
      </c>
      <c r="C4" s="7" t="s">
        <v>131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C9" sqref="C9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132</v>
      </c>
      <c r="C4" s="7" t="s">
        <v>132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133</v>
      </c>
      <c r="C4" s="7" t="s">
        <v>133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122</v>
      </c>
      <c r="C4" s="7" t="s">
        <v>122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H11" sqref="H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134</v>
      </c>
      <c r="C4" s="7" t="s">
        <v>134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2" sqref="F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135</v>
      </c>
      <c r="C4" s="7" t="s">
        <v>135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6" sqref="I16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136</v>
      </c>
      <c r="C4" s="7" t="s">
        <v>136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4" sqref="F14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137</v>
      </c>
      <c r="C4" s="7" t="s">
        <v>137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138</v>
      </c>
      <c r="C4" s="7" t="s">
        <v>138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cols>
    <col min="2" max="2" width="28.2727272727273" customWidth="1"/>
    <col min="3" max="3" width="24.9090909090909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126</v>
      </c>
      <c r="C4" s="7" t="s">
        <v>126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92</v>
      </c>
      <c r="B3" s="6" t="s">
        <v>10</v>
      </c>
      <c r="C3" s="6" t="s">
        <v>93</v>
      </c>
      <c r="D3" s="6" t="s">
        <v>12</v>
      </c>
      <c r="E3" s="6" t="s">
        <v>13</v>
      </c>
      <c r="F3" s="6" t="s">
        <v>94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95</v>
      </c>
      <c r="Q3" s="16" t="s">
        <v>23</v>
      </c>
      <c r="R3" s="15" t="s">
        <v>26</v>
      </c>
      <c r="S3" s="6" t="s">
        <v>96</v>
      </c>
      <c r="T3" s="6" t="s">
        <v>28</v>
      </c>
      <c r="U3" s="17" t="s">
        <v>97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98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127</v>
      </c>
      <c r="C4" s="7" t="s">
        <v>127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101</v>
      </c>
      <c r="AT4" s="28" t="s">
        <v>76</v>
      </c>
      <c r="AU4" s="29" t="s">
        <v>113</v>
      </c>
      <c r="AV4" s="29" t="s">
        <v>114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104</v>
      </c>
      <c r="BM4" s="29" t="s">
        <v>114</v>
      </c>
      <c r="BN4" s="29" t="s">
        <v>115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40</vt:i4>
      </vt:variant>
    </vt:vector>
  </HeadingPairs>
  <TitlesOfParts>
    <vt:vector size="40" baseType="lpstr">
      <vt:lpstr>DomesticPoFOCUDGeneralSameUOM</vt:lpstr>
      <vt:lpstr>DomesticPoFOCUDStkTrnSameUOM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  <vt:lpstr>D-PoToGRNFOCUDGeneralSameUOMWOI</vt:lpstr>
      <vt:lpstr>D-PoToGRNFOCUDStkTrnSameUOMWOI</vt:lpstr>
      <vt:lpstr>D-PoToGRNFOCRCStkTrnSameUOMWOI</vt:lpstr>
      <vt:lpstr>D-PoToGRNFOCPLStkTrnSameUOMWOI</vt:lpstr>
      <vt:lpstr>D-PoToGRNFOCPLStkTrnSameUOMWI</vt:lpstr>
      <vt:lpstr>D-PoToGRNFOCRCStkTrnSameUOMWI</vt:lpstr>
      <vt:lpstr>D-PoToGRNFOCUDStkTrnDiffUOMWOI</vt:lpstr>
      <vt:lpstr>D-PoToGRNFOCRCStkTrnDiffUOMWOI</vt:lpstr>
      <vt:lpstr>D-PoToGRNFOCPLStkTrnDiffUOMWOI</vt:lpstr>
      <vt:lpstr>D-PoToGRNFOCUDStkTrnSameUOMWI</vt:lpstr>
      <vt:lpstr>D-PoToGRNFOCUDStkTrnDiffUOMWI</vt:lpstr>
      <vt:lpstr>D-PoToGRNFOCRCStkTrnDiffUOMWI</vt:lpstr>
      <vt:lpstr>D-PoToGRNFOCPLStkTrnDiffUOMWI</vt:lpstr>
      <vt:lpstr>D-PoToGRNFOCUDServiceSameUOMWOI</vt:lpstr>
      <vt:lpstr>D-PoToGRNFOCRCGeneralSameUOMWOI</vt:lpstr>
      <vt:lpstr>D-PoToGRNFOCRCServiceSameUOMWOI</vt:lpstr>
      <vt:lpstr>D-PoToGRNFOCPLGeneralSameUOMWOI</vt:lpstr>
      <vt:lpstr>D-PoToGRNFOCPLServiceSameUOMWOI</vt:lpstr>
      <vt:lpstr>D-PoToGRNFOCUDGeneralDiffUOMWOI</vt:lpstr>
      <vt:lpstr>D-PoToGRNFOCRCGeneralDiffUOMWOI</vt:lpstr>
      <vt:lpstr>D-PoToGRNFOCPLGeneralDiffUOMWOI</vt:lpstr>
      <vt:lpstr>D-PoToGRNFOCUDGeneralSameUOMWI</vt:lpstr>
      <vt:lpstr>D-PoToGRNFOCRCGeneralSameUOMWI</vt:lpstr>
      <vt:lpstr>D-PoToGRNFOCPLGeneralSameUOMWI</vt:lpstr>
      <vt:lpstr>D-PoToGRNFOCUDGeneralDiffUOMWI</vt:lpstr>
      <vt:lpstr>D-PoToGRNFOCRCGeneralDiffUOMWI</vt:lpstr>
      <vt:lpstr>D-PoToGRNFOCPLGeneralDiffUOMWI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2026-02-11T15:08:35Z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