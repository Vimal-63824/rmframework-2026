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firstSheet="16" activeTab="17"/>
  </bookViews>
  <sheets>
    <sheet name="DomesticPoFOCUDGeneralSameUOM" sheetId="11" r:id="rId1"/>
    <sheet name="DomesticPoFOCUDGeneralDiffUOM" sheetId="22" r:id="rId2"/>
    <sheet name="ImportPoFOCUDGeneralDiffUOM" sheetId="23" r:id="rId3"/>
    <sheet name="DomesticPoFOCUDServiceSameUOM" sheetId="21" r:id="rId4"/>
    <sheet name="ImportPoFOCUDGeneralSameUOM" sheetId="17" r:id="rId5"/>
    <sheet name="ImportPoFOCUDServiceSameUOM" sheetId="13" r:id="rId6"/>
    <sheet name="DomesticPRPoFOCUDGeneralSameUOM" sheetId="24" r:id="rId7"/>
    <sheet name="ImportPRPoFOCUDGeneralSameUOM" sheetId="27" r:id="rId8"/>
    <sheet name="DomesticPRPoFOCUDGeneralDiffUOM" sheetId="26" r:id="rId9"/>
    <sheet name="ImportPRPoFOCUDGeneralDiffUOM" sheetId="28" r:id="rId10"/>
    <sheet name="DomesticPRPoFOCUDServiceSameUOM" sheetId="25" r:id="rId11"/>
    <sheet name="ImportPRPoFOCUDServiceSameUOM" sheetId="29" r:id="rId12"/>
    <sheet name="D-PoToGRNFOCUDGeneralSameUOMWOI" sheetId="30" r:id="rId13"/>
    <sheet name="D-PoToGRNFOCRCGeneralSameUOMWOI" sheetId="34" r:id="rId14"/>
    <sheet name="D-PoToGRNFOCPLGeneralSameUOMWOI" sheetId="37" r:id="rId15"/>
    <sheet name="D-PoToGRNFOCUDGeneralDiffUOMWOI" sheetId="31" r:id="rId16"/>
    <sheet name="D-PoToGRNFOCRCGeneralDiffUOMWOI" sheetId="38" r:id="rId17"/>
    <sheet name="D-PoToGRNFOCPLGeneralDiffUOMWOI" sheetId="41" r:id="rId18"/>
    <sheet name="D-PoToGRNFOCUDGeneralSameUOMWI" sheetId="32" r:id="rId19"/>
    <sheet name="D-PoToGRNFOCRCGeneralSameUOMWI" sheetId="35" r:id="rId20"/>
    <sheet name="D-PoToGRNFOCPLGeneralSameUOMWI" sheetId="36" r:id="rId21"/>
    <sheet name="D-PoToGRNFOCUDGeneralDiffUOMWI" sheetId="33" r:id="rId22"/>
    <sheet name="D-PoToGRNFOCRCGeneralDiffUOMWI" sheetId="39" r:id="rId23"/>
    <sheet name="D-PoToGRNFOCPLGeneralDiffUOMWI" sheetId="40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<sst xmlns="http://schemas.openxmlformats.org/spreadsheetml/2006/main" count="2162" uniqueCount="126">
  <si>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</si>
  <si>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</si>
  <si>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</si>
  <si>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</si>
  <si>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</si>
  <si>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</si>
  <si>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</si>
  <si>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</si>
  <si>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</si>
  <si>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</si>
  <si>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</si>
  <si>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</si>
  <si>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</si>
  <si>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</si>
  <si>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</si>
  <si>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</si>
  <si>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</si>
  <si>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</si>
  <si>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</si>
  <si>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</si>
  <si>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</si>
  <si>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</si>
  <si>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</si>
  <si>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</si>
  <si>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</si>
  <si>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</si>
  <si>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</si>
  <si>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</si>
  <si>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</si>
  <si>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</si>
  <si>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</si>
  <si>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</si>
  <si>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</si>
  <si>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</si>
  <si>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</si>
  <si>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</si>
  <si>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</si>
  <si>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</si>
  <si>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</si>
  <si>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</si>
  <si>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</si>
  <si>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</si>
  <si>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</si>
  <si>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</si>
  <si>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</si>
  <si>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</si>
  <si>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</si>
  <si>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</si>
  <si>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</si>
  <si>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</si>
  <si>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</si>
  <si>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</si>
  <si>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</si>
  <si>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</si>
  <si>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</si>
  <si>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</si>
  <si>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</si>
  <si>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</si>
  <si>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</si>
  <si>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</si>
  <si>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</si>
  <si>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</si>
  <si>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</si>
  <si>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</si>
  <si>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</si>
  <si>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</si>
  <si>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</si>
  <si>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</si>
  <si>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</si>
  <si>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</si>
  <si>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</si>
  <si>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</si>
  <si>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</si>
  <si>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</si>
  <si>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</si>
  <si>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GWL_Item_WoQ_UD_Similar_01</t>
  </si>
  <si>
    <t>NOS</t>
  </si>
  <si>
    <t>INS KD</t>
  </si>
  <si>
    <t>14090</t>
  </si>
  <si>
    <t>121.22038</t>
  </si>
  <si>
    <t>Receipt Qty &amp; Unit cost</t>
  </si>
  <si>
    <t>LOT</t>
  </si>
  <si>
    <t>RM</t>
  </si>
  <si>
    <t>RMS</t>
  </si>
  <si>
    <t>RM KD</t>
  </si>
  <si>
    <t>146.85967</t>
  </si>
  <si>
    <t>691</t>
  </si>
  <si>
    <t>Total</t>
  </si>
  <si>
    <t>GWL_ITEM_DISSIMILAR_UOM</t>
  </si>
  <si>
    <t>KGS</t>
  </si>
  <si>
    <t>GWL_Item_FP_service_01</t>
  </si>
  <si>
    <t>No.</t>
  </si>
  <si>
    <t>Item Desc</t>
  </si>
  <si>
    <t>Qty</t>
  </si>
  <si>
    <t>VD Asbl. Val.</t>
  </si>
  <si>
    <t>Pur. Value</t>
  </si>
  <si>
    <t>Tax%</t>
  </si>
  <si>
    <t>Unit cost (Stk. UOM)</t>
  </si>
  <si>
    <t>50</t>
  </si>
  <si>
    <t>5</t>
  </si>
  <si>
    <t>INS WH-1</t>
  </si>
  <si>
    <t>15</t>
  </si>
  <si>
    <t>41.515</t>
  </si>
  <si>
    <t>RM WH-49</t>
  </si>
  <si>
    <t>Scenario  : Local Purchase - Stock UOM and Purchase UOM (Similar)</t>
  </si>
  <si>
    <t xml:space="preserve">Purchase Request </t>
  </si>
  <si>
    <t>GWL_ITEM - Serial</t>
  </si>
  <si>
    <t>GWL ITEM SERIAL</t>
  </si>
  <si>
    <t>Gl Account Number</t>
  </si>
  <si>
    <t>GWL_ITEM_DISSIMILAR_UOM_DESC</t>
  </si>
  <si>
    <t>GWL_Item_Similar_05</t>
  </si>
  <si>
    <t>GWL_Item_Similar_05_Desc</t>
  </si>
  <si>
    <t>48</t>
  </si>
  <si>
    <t>82.12</t>
  </si>
  <si>
    <t>52</t>
  </si>
  <si>
    <t>GWL_Item_Similar_Rc_02</t>
  </si>
  <si>
    <t>GWL_Item_Similar_Pl_02</t>
  </si>
  <si>
    <t>GWL_Item_Dissimilar_05</t>
  </si>
  <si>
    <t>GWL_Item_Dissimilar_Rc_02</t>
  </si>
  <si>
    <t>GWL_Item_Dissimilar_Pl_02</t>
  </si>
  <si>
    <t>GWL_Item_Similar_2</t>
  </si>
  <si>
    <t>GWL_Item_Similar_Rc_01</t>
  </si>
  <si>
    <t>GWL_Item_Similar_Pl_01</t>
  </si>
  <si>
    <t>GWL_Item_Dissimilar_04</t>
  </si>
  <si>
    <t>GWL_Item_Dissimilar_Rc_01</t>
  </si>
  <si>
    <t>GWL_Item_Dissimilar_Pl_01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</si>
</sst>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0_);[Red]\(0.00\)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b/>
      <u/>
      <sz val="14"/>
      <color theme="1"/>
      <name val="Calibri Light"/>
      <charset val="134"/>
      <scheme val="major"/>
    </font>
    <font>
      <sz val="11"/>
      <color rgb="FF000000"/>
      <name val="Calibri"/>
      <charset val="134"/>
    </font>
    <font>
      <sz val="11"/>
      <color rgb="FF000000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theme="7" tint="0.799676503799554"/>
        <bgColor indexed="64"/>
      </patternFill>
    </fill>
    <fill>
      <patternFill patternType="solid">
        <fgColor theme="7" tint="0.7996459852900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1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5" applyNumberFormat="0" applyFill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17" applyNumberFormat="0" applyAlignment="0" applyProtection="0">
      <alignment vertical="center"/>
    </xf>
    <xf numFmtId="0" fontId="16" fillId="15" borderId="18" applyNumberFormat="0" applyAlignment="0" applyProtection="0">
      <alignment vertical="center"/>
    </xf>
    <xf numFmtId="0" fontId="17" fillId="15" borderId="17" applyNumberFormat="0" applyAlignment="0" applyProtection="0">
      <alignment vertical="center"/>
    </xf>
    <xf numFmtId="0" fontId="18" fillId="16" borderId="19" applyNumberFormat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0" fontId="20" fillId="0" borderId="2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21">
    <xf numFmtId="0" fontId="0" fillId="0" borderId="0" xfId="0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/>
    <xf numFmtId="0" fontId="1" fillId="6" borderId="4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0" fontId="1" fillId="7" borderId="1" xfId="0" applyFont="1" applyFill="1" applyBorder="1" applyAlignment="1"/>
    <xf numFmtId="0" fontId="1" fillId="8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/>
    <xf numFmtId="0" fontId="3" fillId="9" borderId="6" xfId="0" applyFont="1" applyFill="1" applyBorder="1" applyAlignment="1">
      <alignment vertical="center"/>
    </xf>
    <xf numFmtId="0" fontId="2" fillId="0" borderId="7" xfId="0" applyNumberFormat="1" applyFont="1" applyFill="1" applyBorder="1" applyAlignment="1"/>
    <xf numFmtId="0" fontId="0" fillId="0" borderId="0" xfId="0" applyFill="1" applyAlignment="1">
      <alignment vertical="center"/>
    </xf>
    <xf numFmtId="0" fontId="0" fillId="0" borderId="0" xfId="0" applyFill="1" applyAlignment="1"/>
    <xf numFmtId="0" fontId="2" fillId="2" borderId="8" xfId="0" applyFont="1" applyFill="1" applyBorder="1" applyAlignment="1"/>
    <xf numFmtId="0" fontId="0" fillId="0" borderId="7" xfId="0" applyNumberFormat="1" applyFill="1" applyBorder="1" applyAlignment="1"/>
    <xf numFmtId="0" fontId="0" fillId="0" borderId="9" xfId="0" applyNumberFormat="1" applyFill="1" applyBorder="1" applyAlignment="1"/>
    <xf numFmtId="0" fontId="0" fillId="0" borderId="9" xfId="0" applyNumberFormat="1" applyFont="1" applyFill="1" applyBorder="1" applyAlignment="1">
      <alignment vertical="center"/>
    </xf>
    <xf numFmtId="0" fontId="3" fillId="0" borderId="0" xfId="0" applyFont="1" applyFill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2" fontId="1" fillId="3" borderId="1" xfId="0" applyNumberFormat="1" applyFont="1" applyFill="1" applyBorder="1" applyAlignment="1"/>
    <xf numFmtId="0" fontId="4" fillId="0" borderId="0" xfId="0" applyFont="1" applyBorder="1" applyAlignment="1">
      <alignment horizontal="left" vertical="top"/>
    </xf>
    <xf numFmtId="0" fontId="1" fillId="2" borderId="10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11" xfId="0" applyFont="1" applyFill="1" applyBorder="1" applyAlignment="1">
      <alignment horizontal="center" vertical="center"/>
    </xf>
    <xf numFmtId="0" fontId="2" fillId="0" borderId="1" xfId="0" applyFont="1" applyBorder="1"/>
    <xf numFmtId="0" fontId="0" fillId="0" borderId="9" xfId="0" applyFont="1" applyFill="1" applyBorder="1" applyAlignment="1">
      <alignment vertical="center"/>
    </xf>
    <xf numFmtId="0" fontId="2" fillId="0" borderId="1" xfId="0" applyNumberFormat="1" applyFont="1" applyBorder="1"/>
    <xf numFmtId="2" fontId="2" fillId="0" borderId="1" xfId="0" applyNumberFormat="1" applyFont="1" applyBorder="1"/>
    <xf numFmtId="0" fontId="2" fillId="0" borderId="0" xfId="0" applyFont="1"/>
    <xf numFmtId="0" fontId="1" fillId="3" borderId="12" xfId="0" applyFont="1" applyFill="1" applyBorder="1" applyAlignment="1">
      <alignment horizontal="center" vertical="top"/>
    </xf>
    <xf numFmtId="0" fontId="1" fillId="3" borderId="1" xfId="0" applyNumberFormat="1" applyFont="1" applyFill="1" applyBorder="1"/>
    <xf numFmtId="0" fontId="1" fillId="0" borderId="0" xfId="0" applyFont="1" applyFill="1" applyBorder="1"/>
    <xf numFmtId="0" fontId="1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center" vertical="center" wrapText="1"/>
    </xf>
    <xf numFmtId="0" fontId="0" fillId="0" borderId="0" xfId="0" applyBorder="1" applyAlignment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0" xfId="0" applyFont="1" applyBorder="1"/>
    <xf numFmtId="0" fontId="2" fillId="0" borderId="0" xfId="0" applyFont="1" applyFill="1" applyBorder="1"/>
    <xf numFmtId="0" fontId="1" fillId="4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3" borderId="1" xfId="0" applyFont="1" applyFill="1" applyBorder="1"/>
    <xf numFmtId="2" fontId="1" fillId="3" borderId="1" xfId="0" applyNumberFormat="1" applyFont="1" applyFill="1" applyBorder="1"/>
    <xf numFmtId="0" fontId="1" fillId="7" borderId="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 wrapText="1"/>
    </xf>
    <xf numFmtId="0" fontId="1" fillId="7" borderId="1" xfId="0" applyFont="1" applyFill="1" applyBorder="1"/>
    <xf numFmtId="2" fontId="1" fillId="7" borderId="1" xfId="0" applyNumberFormat="1" applyFont="1" applyFill="1" applyBorder="1"/>
    <xf numFmtId="0" fontId="1" fillId="8" borderId="4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6" fillId="0" borderId="1" xfId="0" applyFont="1" applyBorder="1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2" fillId="0" borderId="1" xfId="49" applyFont="1" applyFill="1" applyBorder="1" applyAlignment="1"/>
    <xf numFmtId="0" fontId="2" fillId="0" borderId="1" xfId="49" applyNumberFormat="1" applyFont="1" applyFill="1" applyBorder="1" applyAlignment="1"/>
    <xf numFmtId="0" fontId="0" fillId="0" borderId="0" xfId="49" applyFill="1" applyAlignment="1">
      <alignment vertical="center"/>
    </xf>
    <xf numFmtId="0" fontId="2" fillId="0" borderId="0" xfId="49" applyFont="1" applyFill="1" applyAlignment="1"/>
    <xf numFmtId="0" fontId="0" fillId="0" borderId="0" xfId="49" applyFill="1" applyBorder="1" applyAlignment="1"/>
    <xf numFmtId="0" fontId="1" fillId="3" borderId="2" xfId="49" applyFont="1" applyFill="1" applyBorder="1" applyAlignment="1"/>
    <xf numFmtId="0" fontId="1" fillId="3" borderId="3" xfId="49" applyFont="1" applyFill="1" applyBorder="1" applyAlignment="1"/>
    <xf numFmtId="0" fontId="1" fillId="3" borderId="1" xfId="49" applyNumberFormat="1" applyFont="1" applyFill="1" applyBorder="1" applyAlignment="1"/>
    <xf numFmtId="0" fontId="2" fillId="0" borderId="0" xfId="49" applyFont="1" applyFill="1" applyBorder="1" applyAlignment="1"/>
    <xf numFmtId="0" fontId="1" fillId="4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2" fontId="2" fillId="0" borderId="1" xfId="49" applyNumberFormat="1" applyFont="1" applyFill="1" applyBorder="1" applyAlignment="1"/>
    <xf numFmtId="0" fontId="1" fillId="3" borderId="1" xfId="49" applyFont="1" applyFill="1" applyBorder="1" applyAlignment="1"/>
    <xf numFmtId="2" fontId="1" fillId="3" borderId="1" xfId="49" applyNumberFormat="1" applyFont="1" applyFill="1" applyBorder="1" applyAlignment="1"/>
    <xf numFmtId="0" fontId="1" fillId="6" borderId="4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/>
    </xf>
    <xf numFmtId="181" fontId="2" fillId="0" borderId="1" xfId="49" applyNumberFormat="1" applyFont="1" applyFill="1" applyBorder="1" applyAlignment="1"/>
    <xf numFmtId="0" fontId="1" fillId="7" borderId="1" xfId="49" applyFont="1" applyFill="1" applyBorder="1" applyAlignment="1"/>
    <xf numFmtId="2" fontId="1" fillId="7" borderId="1" xfId="49" applyNumberFormat="1" applyFont="1" applyFill="1" applyBorder="1" applyAlignment="1"/>
    <xf numFmtId="180" fontId="2" fillId="0" borderId="1" xfId="49" applyNumberFormat="1" applyFont="1" applyFill="1" applyBorder="1" applyAlignment="1"/>
    <xf numFmtId="0" fontId="1" fillId="8" borderId="1" xfId="49" applyFont="1" applyFill="1" applyBorder="1" applyAlignment="1">
      <alignment horizontal="center" vertical="center" wrapText="1"/>
    </xf>
    <xf numFmtId="0" fontId="1" fillId="2" borderId="5" xfId="49" applyFont="1" applyFill="1" applyBorder="1" applyAlignment="1">
      <alignment horizontal="center" vertical="center"/>
    </xf>
    <xf numFmtId="0" fontId="2" fillId="2" borderId="5" xfId="49" applyFont="1" applyFill="1" applyBorder="1" applyAlignment="1"/>
    <xf numFmtId="0" fontId="3" fillId="9" borderId="6" xfId="49" applyFont="1" applyFill="1" applyBorder="1" applyAlignment="1">
      <alignment vertical="center"/>
    </xf>
    <xf numFmtId="0" fontId="2" fillId="0" borderId="7" xfId="49" applyNumberFormat="1" applyFont="1" applyFill="1" applyBorder="1" applyAlignment="1"/>
    <xf numFmtId="0" fontId="0" fillId="0" borderId="0" xfId="49" applyFill="1" applyAlignment="1"/>
    <xf numFmtId="0" fontId="2" fillId="2" borderId="8" xfId="49" applyFont="1" applyFill="1" applyBorder="1" applyAlignment="1"/>
    <xf numFmtId="2" fontId="2" fillId="0" borderId="7" xfId="49" applyNumberFormat="1" applyFont="1" applyFill="1" applyBorder="1" applyAlignment="1"/>
    <xf numFmtId="0" fontId="0" fillId="0" borderId="7" xfId="49" applyNumberFormat="1" applyFill="1" applyBorder="1" applyAlignment="1"/>
    <xf numFmtId="0" fontId="0" fillId="0" borderId="9" xfId="49" applyNumberFormat="1" applyFill="1" applyBorder="1" applyAlignment="1"/>
    <xf numFmtId="0" fontId="0" fillId="0" borderId="9" xfId="49" applyNumberFormat="1" applyFont="1" applyFill="1" applyBorder="1" applyAlignment="1">
      <alignment vertical="center"/>
    </xf>
    <xf numFmtId="0" fontId="3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1" fillId="2" borderId="4" xfId="49" applyFont="1" applyFill="1" applyBorder="1" applyAlignment="1">
      <alignment horizontal="center" vertical="center"/>
    </xf>
    <xf numFmtId="0" fontId="1" fillId="2" borderId="4" xfId="49" applyFont="1" applyFill="1" applyBorder="1" applyAlignment="1">
      <alignment horizontal="left" vertical="center"/>
    </xf>
    <xf numFmtId="0" fontId="1" fillId="2" borderId="4" xfId="49" applyFont="1" applyFill="1" applyBorder="1" applyAlignment="1">
      <alignment horizontal="center" vertical="center" wrapText="1"/>
    </xf>
    <xf numFmtId="0" fontId="1" fillId="4" borderId="4" xfId="49" applyFont="1" applyFill="1" applyBorder="1" applyAlignment="1">
      <alignment horizontal="center" vertical="center"/>
    </xf>
    <xf numFmtId="0" fontId="1" fillId="12" borderId="4" xfId="49" applyFont="1" applyFill="1" applyBorder="1" applyAlignment="1">
      <alignment horizontal="center" vertical="center"/>
    </xf>
    <xf numFmtId="0" fontId="1" fillId="7" borderId="4" xfId="49" applyFont="1" applyFill="1" applyBorder="1" applyAlignment="1">
      <alignment horizontal="center" vertical="center"/>
    </xf>
    <xf numFmtId="0" fontId="1" fillId="7" borderId="4" xfId="49" applyFont="1" applyFill="1" applyBorder="1" applyAlignment="1">
      <alignment horizontal="center" vertical="center" wrapText="1"/>
    </xf>
    <xf numFmtId="0" fontId="1" fillId="8" borderId="4" xfId="49" applyFont="1" applyFill="1" applyBorder="1" applyAlignment="1">
      <alignment horizontal="center" vertical="center"/>
    </xf>
    <xf numFmtId="0" fontId="0" fillId="0" borderId="9" xfId="49" applyFill="1" applyBorder="1" applyAlignment="1">
      <alignment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7" Type="http://schemas.openxmlformats.org/officeDocument/2006/relationships/styles" Target="styles.xml"/><Relationship Id="rId26" Type="http://schemas.openxmlformats.org/officeDocument/2006/relationships/sharedStrings" Target="sharedStrings.xml"/><Relationship Id="rId25" Type="http://schemas.openxmlformats.org/officeDocument/2006/relationships/theme" Target="theme/theme1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K1" workbookViewId="0">
      <selection activeCell="X4" sqref="X4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2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75</v>
      </c>
      <c r="C4" s="77" t="s">
        <v>75</v>
      </c>
      <c r="D4" s="77" t="s">
        <v>76</v>
      </c>
      <c r="E4" s="77" t="s">
        <v>76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18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112.09</v>
      </c>
      <c r="Y4" s="78">
        <f>IF($C$2=4,ROUND((((S4*U4)/100)/2),2),0)</f>
        <v>0</v>
      </c>
      <c r="Z4" s="78">
        <v>0</v>
      </c>
      <c r="AA4" s="78">
        <f>IF($C2=3,0,(S4*Z4)/100)</f>
        <v>0</v>
      </c>
      <c r="AB4" s="78">
        <f>V4+W4+X4+Y4+AA4</f>
        <v>112.09</v>
      </c>
      <c r="AC4" s="78">
        <f>IF($V2=1,S4+AB4,S4)</f>
        <v>734.81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1</v>
      </c>
      <c r="AM4" s="78">
        <f>F4/AL4</f>
        <v>5</v>
      </c>
      <c r="AN4" s="78">
        <f>AI4/AM4</f>
        <v>124.544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124.544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5</v>
      </c>
      <c r="AX4" s="102">
        <f>AR4</f>
        <v>124.544</v>
      </c>
      <c r="AY4" s="102">
        <f>AU4+AW4</f>
        <v>14095</v>
      </c>
      <c r="AZ4" s="102">
        <f>ROUND(((AU4*AV4)+(AW4*AX4))/(AU4+AW4),5)</f>
        <v>121.22156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146.67549</v>
      </c>
      <c r="BP4" s="110">
        <f>BN4+AW4</f>
        <v>696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112.09</v>
      </c>
      <c r="Y5" s="91"/>
      <c r="Z5" s="91"/>
      <c r="AA5" s="91"/>
      <c r="AB5" s="90">
        <f t="shared" ref="AB5:AE5" si="1">SUM(AB4:AB4)</f>
        <v>112.09</v>
      </c>
      <c r="AC5" s="95">
        <f t="shared" si="1"/>
        <v>734.81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S18" sqref="S18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1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88</v>
      </c>
      <c r="C4" s="77" t="s">
        <v>88</v>
      </c>
      <c r="D4" s="77" t="s">
        <v>76</v>
      </c>
      <c r="E4" s="77" t="s">
        <v>89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18</v>
      </c>
      <c r="V4" s="78">
        <f>IF(OR($C$2=1,$C$2=4),ROUND((((S4*U4)/100)/2),2),0)</f>
        <v>56.04</v>
      </c>
      <c r="W4" s="78">
        <f>IF($C$2=1,ROUND((((S4*U4)/100)/2),2),0)</f>
        <v>56.04</v>
      </c>
      <c r="X4" s="78">
        <f>IF($C$2=2,ROUND(((S4*U4)/100),2),0)</f>
        <v>0</v>
      </c>
      <c r="Y4" s="78">
        <f>IF($C$2=4,ROUND((((S4*U4)/100)/2),2),0)</f>
        <v>0</v>
      </c>
      <c r="Z4" s="78">
        <v>0</v>
      </c>
      <c r="AA4" s="78">
        <f>IF($C2=3,0,(S4*Z4)/100)</f>
        <v>0</v>
      </c>
      <c r="AB4" s="78">
        <f>V4+W4+X4+Y4+AA4</f>
        <v>112.08</v>
      </c>
      <c r="AC4" s="78">
        <f>IF($V2=1,S4+AB4,S4)</f>
        <v>734.8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1</v>
      </c>
      <c r="AM4" s="78">
        <f>F4/AL4</f>
        <v>5</v>
      </c>
      <c r="AN4" s="78">
        <f>AI4/AM4</f>
        <v>124.544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124.544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5</v>
      </c>
      <c r="AX4" s="102">
        <f>AR4</f>
        <v>124.544</v>
      </c>
      <c r="AY4" s="102">
        <f>AU4+AW4</f>
        <v>14095</v>
      </c>
      <c r="AZ4" s="102">
        <f>ROUND(((AU4*AV4)+(AW4*AX4))/(AU4+AW4),5)</f>
        <v>121.22156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146.67549</v>
      </c>
      <c r="BP4" s="110">
        <f>BN4+AW4</f>
        <v>696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56.04</v>
      </c>
      <c r="W5" s="91">
        <f t="shared" si="0"/>
        <v>56.04</v>
      </c>
      <c r="X5" s="91">
        <f t="shared" si="0"/>
        <v>0</v>
      </c>
      <c r="Y5" s="91"/>
      <c r="Z5" s="91"/>
      <c r="AA5" s="91"/>
      <c r="AB5" s="90">
        <f t="shared" ref="AB5:AE5" si="1">SUM(AB4:AB4)</f>
        <v>112.08</v>
      </c>
      <c r="AC5" s="95">
        <f t="shared" si="1"/>
        <v>734.8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T9" sqref="T9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3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88</v>
      </c>
      <c r="C4" s="77" t="s">
        <v>88</v>
      </c>
      <c r="D4" s="77" t="s">
        <v>76</v>
      </c>
      <c r="E4" s="77" t="s">
        <v>89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0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0</v>
      </c>
      <c r="Y4" s="78">
        <f>IF($C$2=4,ROUND((((S4*U4)/100)/2),2),0)</f>
        <v>0</v>
      </c>
      <c r="Z4" s="78">
        <v>0</v>
      </c>
      <c r="AA4" s="78">
        <f>IF($C2=3,0,(S4*Z4)/100)</f>
        <v>0</v>
      </c>
      <c r="AB4" s="78">
        <f>V4+W4+X4+Y4+AA4</f>
        <v>0</v>
      </c>
      <c r="AC4" s="78">
        <f>IF($V2=1,S4+AB4,S4)</f>
        <v>622.72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1</v>
      </c>
      <c r="AM4" s="78">
        <f>F4/AL4</f>
        <v>5</v>
      </c>
      <c r="AN4" s="78">
        <f>AI4/AM4</f>
        <v>124.544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124.544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5</v>
      </c>
      <c r="AX4" s="102">
        <f>AR4</f>
        <v>124.544</v>
      </c>
      <c r="AY4" s="102">
        <f>AU4+AW4</f>
        <v>14095</v>
      </c>
      <c r="AZ4" s="102">
        <f>ROUND(((AU4*AV4)+(AW4*AX4))/(AU4+AW4),5)</f>
        <v>121.22156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146.67549</v>
      </c>
      <c r="BP4" s="110">
        <f>BN4+AW4</f>
        <v>696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0</v>
      </c>
      <c r="Y5" s="91"/>
      <c r="Z5" s="91"/>
      <c r="AA5" s="91"/>
      <c r="AB5" s="90">
        <f t="shared" ref="AB5:AE5" si="1">SUM(AB4:AB4)</f>
        <v>0</v>
      </c>
      <c r="AC5" s="95">
        <f t="shared" si="1"/>
        <v>622.72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X8" sqref="X8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2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90</v>
      </c>
      <c r="C4" s="77" t="s">
        <v>90</v>
      </c>
      <c r="D4" s="77" t="s">
        <v>76</v>
      </c>
      <c r="E4" s="77" t="s">
        <v>76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18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112.09</v>
      </c>
      <c r="Y4" s="78">
        <f>IF($C$2=4,ROUND((((S4*U4)/100)/2),2),0)</f>
        <v>0</v>
      </c>
      <c r="Z4" s="78">
        <v>0</v>
      </c>
      <c r="AA4" s="78">
        <v>0</v>
      </c>
      <c r="AB4" s="78">
        <f>V4+W4+X4+Y4+AA4</f>
        <v>112.09</v>
      </c>
      <c r="AC4" s="78">
        <f>IF($V2=1,S4+AB4,S4)</f>
        <v>734.81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1</v>
      </c>
      <c r="AM4" s="78">
        <f>F4/AL4</f>
        <v>5</v>
      </c>
      <c r="AN4" s="78">
        <f>AI4/AM4</f>
        <v>124.544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124.544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5</v>
      </c>
      <c r="AX4" s="102">
        <f>AR4</f>
        <v>124.544</v>
      </c>
      <c r="AY4" s="102">
        <f>AU4+AW4</f>
        <v>14095</v>
      </c>
      <c r="AZ4" s="102">
        <f>ROUND(((AU4*AV4)+(AW4*AX4))/(AU4+AW4),5)</f>
        <v>121.22156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146.67549</v>
      </c>
      <c r="BP4" s="110">
        <f>BN4+AW4</f>
        <v>696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112.09</v>
      </c>
      <c r="Y5" s="91"/>
      <c r="Z5" s="91"/>
      <c r="AA5" s="91"/>
      <c r="AB5" s="90">
        <f t="shared" ref="AB5:AE5" si="1">SUM(AB4:AB4)</f>
        <v>112.09</v>
      </c>
      <c r="AC5" s="95">
        <f t="shared" si="1"/>
        <v>734.81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W9" sqref="W9"/>
    </sheetView>
  </sheetViews>
  <sheetFormatPr defaultColWidth="9.85454545454546" defaultRowHeight="14.5" outlineLevelRow="4"/>
  <cols>
    <col min="1" max="1" width="9.85454545454546" style="70"/>
    <col min="2" max="2" width="25.5727272727273" style="70" customWidth="1"/>
    <col min="3" max="3" width="26" style="70" customWidth="1"/>
    <col min="4" max="19" width="9.85454545454546" style="70"/>
    <col min="20" max="20" width="10.1363636363636" style="70" customWidth="1"/>
    <col min="21" max="16384" width="9.85454545454546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80"/>
      <c r="AT1" s="103"/>
      <c r="AU1" s="103"/>
      <c r="AV1" s="103"/>
      <c r="AW1" s="103"/>
      <c r="AX1" s="103"/>
      <c r="AY1" s="103"/>
      <c r="AZ1" s="103"/>
      <c r="BA1" s="103"/>
      <c r="BB1" s="103"/>
      <c r="BC1" s="103"/>
      <c r="BD1" s="103"/>
      <c r="BE1" s="103"/>
      <c r="BF1" s="103"/>
      <c r="BG1" s="103"/>
      <c r="BH1" s="103"/>
      <c r="BI1" s="103"/>
      <c r="BJ1" s="103"/>
      <c r="BK1" s="103"/>
      <c r="BL1" s="103"/>
      <c r="BM1" s="103"/>
      <c r="BN1" s="103"/>
      <c r="BO1" s="103"/>
      <c r="BP1" s="103"/>
      <c r="BQ1" s="103"/>
    </row>
    <row r="2" ht="15.25" spans="1:69">
      <c r="A2" s="73" t="s">
        <v>1</v>
      </c>
      <c r="B2" s="73"/>
      <c r="C2" s="74">
        <v>3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1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80"/>
      <c r="AT2" s="103"/>
      <c r="AU2" s="103"/>
      <c r="AV2" s="103"/>
      <c r="AW2" s="103"/>
      <c r="AX2" s="103"/>
      <c r="AY2" s="103"/>
      <c r="AZ2" s="103"/>
      <c r="BA2" s="103"/>
      <c r="BB2" s="103"/>
      <c r="BC2" s="103"/>
      <c r="BD2" s="103"/>
      <c r="BE2" s="103"/>
      <c r="BF2" s="103"/>
      <c r="BG2" s="103"/>
      <c r="BH2" s="103"/>
      <c r="BI2" s="103"/>
      <c r="BJ2" s="103"/>
      <c r="BK2" s="103"/>
      <c r="BL2" s="103"/>
      <c r="BM2" s="103"/>
      <c r="BN2" s="103"/>
      <c r="BO2" s="103"/>
      <c r="BP2" s="103"/>
      <c r="BQ2" s="103"/>
    </row>
    <row r="3" ht="45" spans="1:69">
      <c r="A3" s="112" t="s">
        <v>9</v>
      </c>
      <c r="B3" s="112" t="s">
        <v>10</v>
      </c>
      <c r="C3" s="113" t="s">
        <v>11</v>
      </c>
      <c r="D3" s="112" t="s">
        <v>12</v>
      </c>
      <c r="E3" s="112" t="s">
        <v>13</v>
      </c>
      <c r="F3" s="114" t="s">
        <v>14</v>
      </c>
      <c r="G3" s="112" t="s">
        <v>15</v>
      </c>
      <c r="H3" s="112" t="s">
        <v>16</v>
      </c>
      <c r="I3" s="115" t="s">
        <v>17</v>
      </c>
      <c r="J3" s="115" t="s">
        <v>18</v>
      </c>
      <c r="K3" s="115" t="s">
        <v>19</v>
      </c>
      <c r="L3" s="116" t="s">
        <v>20</v>
      </c>
      <c r="M3" s="116" t="s">
        <v>21</v>
      </c>
      <c r="N3" s="116" t="s">
        <v>22</v>
      </c>
      <c r="O3" s="116" t="s">
        <v>23</v>
      </c>
      <c r="P3" s="116" t="s">
        <v>24</v>
      </c>
      <c r="Q3" s="116" t="s">
        <v>25</v>
      </c>
      <c r="R3" s="115" t="s">
        <v>26</v>
      </c>
      <c r="S3" s="112" t="s">
        <v>27</v>
      </c>
      <c r="T3" s="112" t="s">
        <v>28</v>
      </c>
      <c r="U3" s="92" t="s">
        <v>29</v>
      </c>
      <c r="V3" s="92" t="s">
        <v>30</v>
      </c>
      <c r="W3" s="92" t="s">
        <v>31</v>
      </c>
      <c r="X3" s="92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52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75</v>
      </c>
      <c r="C4" s="77" t="s">
        <v>75</v>
      </c>
      <c r="D4" s="77" t="s">
        <v>76</v>
      </c>
      <c r="E4" s="77" t="s">
        <v>76</v>
      </c>
      <c r="F4" s="78">
        <v>5</v>
      </c>
      <c r="G4" s="78">
        <v>150</v>
      </c>
      <c r="H4" s="78">
        <f>F4*G4</f>
        <v>750</v>
      </c>
      <c r="I4" s="78">
        <v>5</v>
      </c>
      <c r="J4" s="78">
        <v>8</v>
      </c>
      <c r="K4" s="78">
        <v>5</v>
      </c>
      <c r="L4" s="78">
        <f>H4</f>
        <v>750</v>
      </c>
      <c r="M4" s="78">
        <f>ROUND(L4*I4%,2)</f>
        <v>37.5</v>
      </c>
      <c r="N4" s="78">
        <f>H4-M4</f>
        <v>712.5</v>
      </c>
      <c r="O4" s="78">
        <f>ROUND(N4*J4%,2)</f>
        <v>57</v>
      </c>
      <c r="P4" s="78">
        <f>ROUND(N4-O4,2)</f>
        <v>655.5</v>
      </c>
      <c r="Q4" s="78">
        <f>ROUND(P4*K4%,2)</f>
        <v>32.78</v>
      </c>
      <c r="R4" s="78">
        <f>M4+O4+Q4</f>
        <v>127.28</v>
      </c>
      <c r="S4" s="78">
        <f>(H4-R4)</f>
        <v>622.72</v>
      </c>
      <c r="T4" s="78">
        <v>88363222</v>
      </c>
      <c r="U4" s="78">
        <v>0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0</v>
      </c>
      <c r="Y4" s="78">
        <f>IF($C$2=4,ROUND((((S4*U4)/100)/2),2),0)</f>
        <v>0</v>
      </c>
      <c r="Z4" s="78">
        <v>4</v>
      </c>
      <c r="AA4" s="78">
        <f>IF($C2=3,0,(S4*Z4)/100)</f>
        <v>0</v>
      </c>
      <c r="AB4" s="78">
        <f>V4+W4+X4+Y4+AA4</f>
        <v>0</v>
      </c>
      <c r="AC4" s="78">
        <f>IF($V2=1,S4+AB4,S4)</f>
        <v>622.72</v>
      </c>
      <c r="AD4" s="78">
        <v>120</v>
      </c>
      <c r="AE4" s="78">
        <f>IF($P$2=1,(S4/$S$5)*$E$16,AD4/$AD$5*$E$16)</f>
        <v>0</v>
      </c>
      <c r="AF4" s="78"/>
      <c r="AG4" s="78">
        <f>IF($P$2=1,(S4/$S$5)*$E$18,AD4/$AD$5*$E$18)</f>
        <v>0</v>
      </c>
      <c r="AH4" s="78">
        <f>IF($P$2=1,(S4/$S$5)*$E$18,AD4/$AD$5*$E$18)</f>
        <v>0</v>
      </c>
      <c r="AI4" s="78">
        <f>S4*$M$2</f>
        <v>622.72</v>
      </c>
      <c r="AJ4" s="78">
        <f>IF($C$2=3,0,AG4+AH4)</f>
        <v>0</v>
      </c>
      <c r="AK4" s="78">
        <f>IF($C$2=3,AE4+AG4+AH4,0)</f>
        <v>0</v>
      </c>
      <c r="AL4" s="78">
        <v>3</v>
      </c>
      <c r="AM4" s="78">
        <f>F4/AL4</f>
        <v>1.66666666666667</v>
      </c>
      <c r="AN4" s="78">
        <f>AI4/AM4</f>
        <v>373.632</v>
      </c>
      <c r="AO4" s="78">
        <f>AJ4/AM4</f>
        <v>0</v>
      </c>
      <c r="AP4" s="78">
        <f>AK4/AM4</f>
        <v>0</v>
      </c>
      <c r="AQ4" s="78" t="s">
        <v>76</v>
      </c>
      <c r="AR4" s="103">
        <f>ROUND(AN4+AO4+AP4,5)</f>
        <v>373.632</v>
      </c>
      <c r="AS4" s="103" t="s">
        <v>77</v>
      </c>
      <c r="AT4" s="102" t="s">
        <v>76</v>
      </c>
      <c r="AU4" s="103" t="s">
        <v>78</v>
      </c>
      <c r="AV4" s="103" t="s">
        <v>79</v>
      </c>
      <c r="AW4" s="102">
        <f>AM4</f>
        <v>1.66666666666667</v>
      </c>
      <c r="AX4" s="102">
        <f>AR4</f>
        <v>373.632</v>
      </c>
      <c r="AY4" s="102">
        <f>AU4+AW4</f>
        <v>14091.6666666667</v>
      </c>
      <c r="AZ4" s="102">
        <f>ROUND(((AU4*AV4)+(AW4*AX4))/(AU4+AW4),5)</f>
        <v>121.25023</v>
      </c>
      <c r="BA4" s="106"/>
      <c r="BB4" s="106" t="s">
        <v>80</v>
      </c>
      <c r="BC4" s="120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3"/>
      <c r="BK4" s="103"/>
      <c r="BL4" s="102" t="s">
        <v>84</v>
      </c>
      <c r="BM4" s="103" t="s">
        <v>85</v>
      </c>
      <c r="BN4" s="103" t="s">
        <v>86</v>
      </c>
      <c r="BO4" s="102">
        <f>ROUND((((AW4*AZ4)+(BN4*BM4))/(AW4+BN4)),5)</f>
        <v>146.79805</v>
      </c>
      <c r="BP4" s="110">
        <f>BN4+AW4</f>
        <v>692.666666666667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750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127.28</v>
      </c>
      <c r="S5" s="84">
        <f t="shared" si="0"/>
        <v>622.72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0</v>
      </c>
      <c r="Y5" s="91"/>
      <c r="Z5" s="91"/>
      <c r="AA5" s="91"/>
      <c r="AB5" s="90">
        <f t="shared" ref="AB5:AE5" si="1">SUM(AB4:AB4)</f>
        <v>0</v>
      </c>
      <c r="AC5" s="95">
        <f t="shared" si="1"/>
        <v>622.72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 t="shared" si="2"/>
        <v>0</v>
      </c>
      <c r="AI5" s="96">
        <f t="shared" si="2"/>
        <v>622.72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/>
    </row>
  </sheetData>
  <mergeCells count="1">
    <mergeCell ref="A2:B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I1" workbookViewId="0">
      <selection activeCell="U4" sqref="U4"/>
    </sheetView>
  </sheetViews>
  <sheetFormatPr defaultColWidth="8.70909090909091" defaultRowHeight="14.5" outlineLevelRow="4"/>
  <cols>
    <col min="1" max="1" width="8.70909090909091" style="70"/>
    <col min="2" max="2" width="21.1363636363636" style="70" customWidth="1"/>
    <col min="3" max="3" width="21.2818181818182" style="70" customWidth="1"/>
    <col min="4" max="19" width="8.70909090909091" style="70"/>
    <col min="20" max="20" width="10.1363636363636" style="70" customWidth="1"/>
    <col min="21" max="16384" width="8.70909090909091" style="70"/>
  </cols>
  <sheetData>
    <row r="1" spans="1:69">
      <c r="A1" s="71" t="s">
        <v>0</v>
      </c>
      <c r="B1" s="72"/>
      <c r="C1" s="72"/>
      <c r="D1" s="72"/>
      <c r="E1" s="72"/>
      <c r="F1" s="72"/>
      <c r="G1" s="72"/>
      <c r="H1" s="71"/>
      <c r="I1" s="85"/>
      <c r="J1" s="85"/>
      <c r="K1" s="85"/>
      <c r="L1" s="85"/>
      <c r="M1" s="85"/>
      <c r="N1" s="85"/>
      <c r="O1" s="85"/>
      <c r="P1" s="85"/>
      <c r="Q1" s="85"/>
      <c r="R1" s="71"/>
      <c r="S1" s="71"/>
      <c r="T1" s="71"/>
      <c r="U1" s="71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80"/>
      <c r="BJ1" s="80"/>
      <c r="BK1" s="80"/>
      <c r="BL1" s="80"/>
      <c r="BM1" s="80"/>
      <c r="BN1" s="80"/>
      <c r="BO1" s="80"/>
      <c r="BP1" s="103"/>
      <c r="BQ1" s="103"/>
    </row>
    <row r="2" ht="15.25" spans="1:69">
      <c r="A2" s="73" t="s">
        <v>1</v>
      </c>
      <c r="B2" s="73"/>
      <c r="C2" s="74">
        <v>3</v>
      </c>
      <c r="D2" s="75" t="s">
        <v>2</v>
      </c>
      <c r="E2" s="72"/>
      <c r="F2" s="72"/>
      <c r="G2" s="72"/>
      <c r="H2" s="71"/>
      <c r="I2" s="85" t="s">
        <v>3</v>
      </c>
      <c r="J2" s="85" t="s">
        <v>4</v>
      </c>
      <c r="K2" s="85"/>
      <c r="L2" s="85" t="s">
        <v>5</v>
      </c>
      <c r="M2" s="85">
        <v>1</v>
      </c>
      <c r="N2" s="85"/>
      <c r="O2" s="85" t="s">
        <v>6</v>
      </c>
      <c r="P2" s="85">
        <v>2</v>
      </c>
      <c r="Q2" s="85" t="s">
        <v>7</v>
      </c>
      <c r="R2" s="71"/>
      <c r="S2" s="71"/>
      <c r="T2" s="71"/>
      <c r="U2" s="71"/>
      <c r="V2" s="71">
        <v>1</v>
      </c>
      <c r="W2" s="71" t="s">
        <v>8</v>
      </c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0"/>
      <c r="AP2" s="80"/>
      <c r="AQ2" s="80"/>
      <c r="AR2" s="80"/>
      <c r="AS2" s="80"/>
      <c r="AT2" s="80"/>
      <c r="AU2" s="80"/>
      <c r="AV2" s="80"/>
      <c r="AW2" s="80"/>
      <c r="AX2" s="80"/>
      <c r="AY2" s="80"/>
      <c r="AZ2" s="80"/>
      <c r="BA2" s="80"/>
      <c r="BB2" s="80"/>
      <c r="BC2" s="80"/>
      <c r="BD2" s="80"/>
      <c r="BE2" s="80"/>
      <c r="BF2" s="80"/>
      <c r="BG2" s="80"/>
      <c r="BH2" s="80"/>
      <c r="BI2" s="80"/>
      <c r="BJ2" s="80"/>
      <c r="BK2" s="80"/>
      <c r="BL2" s="80"/>
      <c r="BM2" s="80"/>
      <c r="BN2" s="80"/>
      <c r="BO2" s="80"/>
      <c r="BP2" s="103"/>
      <c r="BQ2" s="103"/>
    </row>
    <row r="3" ht="45" spans="1:69">
      <c r="A3" s="76" t="s">
        <v>91</v>
      </c>
      <c r="B3" s="76" t="s">
        <v>10</v>
      </c>
      <c r="C3" s="76" t="s">
        <v>92</v>
      </c>
      <c r="D3" s="76" t="s">
        <v>12</v>
      </c>
      <c r="E3" s="76" t="s">
        <v>13</v>
      </c>
      <c r="F3" s="76" t="s">
        <v>93</v>
      </c>
      <c r="G3" s="76" t="s">
        <v>15</v>
      </c>
      <c r="H3" s="76" t="s">
        <v>16</v>
      </c>
      <c r="I3" s="86" t="s">
        <v>17</v>
      </c>
      <c r="J3" s="86" t="s">
        <v>19</v>
      </c>
      <c r="K3" s="86" t="s">
        <v>18</v>
      </c>
      <c r="L3" s="87" t="s">
        <v>20</v>
      </c>
      <c r="M3" s="87" t="s">
        <v>21</v>
      </c>
      <c r="N3" s="87" t="s">
        <v>24</v>
      </c>
      <c r="O3" s="87" t="s">
        <v>25</v>
      </c>
      <c r="P3" s="87" t="s">
        <v>94</v>
      </c>
      <c r="Q3" s="87" t="s">
        <v>23</v>
      </c>
      <c r="R3" s="86" t="s">
        <v>26</v>
      </c>
      <c r="S3" s="76" t="s">
        <v>95</v>
      </c>
      <c r="T3" s="76" t="s">
        <v>28</v>
      </c>
      <c r="U3" s="88" t="s">
        <v>96</v>
      </c>
      <c r="V3" s="88" t="s">
        <v>30</v>
      </c>
      <c r="W3" s="88" t="s">
        <v>31</v>
      </c>
      <c r="X3" s="88" t="s">
        <v>32</v>
      </c>
      <c r="Y3" s="92" t="s">
        <v>33</v>
      </c>
      <c r="Z3" s="92" t="s">
        <v>34</v>
      </c>
      <c r="AA3" s="92" t="s">
        <v>35</v>
      </c>
      <c r="AB3" s="92" t="s">
        <v>36</v>
      </c>
      <c r="AC3" s="93" t="s">
        <v>37</v>
      </c>
      <c r="AD3" s="93" t="s">
        <v>38</v>
      </c>
      <c r="AE3" s="93" t="s">
        <v>39</v>
      </c>
      <c r="AF3" s="93" t="s">
        <v>40</v>
      </c>
      <c r="AG3" s="93" t="s">
        <v>41</v>
      </c>
      <c r="AH3" s="93" t="s">
        <v>42</v>
      </c>
      <c r="AI3" s="93" t="s">
        <v>43</v>
      </c>
      <c r="AJ3" s="93" t="s">
        <v>44</v>
      </c>
      <c r="AK3" s="93" t="s">
        <v>45</v>
      </c>
      <c r="AL3" s="93" t="s">
        <v>46</v>
      </c>
      <c r="AM3" s="93" t="s">
        <v>47</v>
      </c>
      <c r="AN3" s="93" t="s">
        <v>48</v>
      </c>
      <c r="AO3" s="93" t="s">
        <v>49</v>
      </c>
      <c r="AP3" s="93" t="s">
        <v>50</v>
      </c>
      <c r="AQ3" s="93" t="s">
        <v>51</v>
      </c>
      <c r="AR3" s="98" t="s">
        <v>97</v>
      </c>
      <c r="AS3" s="99" t="s">
        <v>53</v>
      </c>
      <c r="AT3" s="99" t="s">
        <v>51</v>
      </c>
      <c r="AU3" s="100" t="s">
        <v>54</v>
      </c>
      <c r="AV3" s="100" t="s">
        <v>55</v>
      </c>
      <c r="AW3" s="100" t="s">
        <v>56</v>
      </c>
      <c r="AX3" s="100" t="s">
        <v>57</v>
      </c>
      <c r="AY3" s="100" t="s">
        <v>58</v>
      </c>
      <c r="AZ3" s="100" t="s">
        <v>59</v>
      </c>
      <c r="BA3" s="100" t="s">
        <v>60</v>
      </c>
      <c r="BB3" s="100" t="s">
        <v>61</v>
      </c>
      <c r="BC3" s="104" t="s">
        <v>62</v>
      </c>
      <c r="BD3" s="104" t="s">
        <v>63</v>
      </c>
      <c r="BE3" s="104" t="s">
        <v>64</v>
      </c>
      <c r="BF3" s="100" t="s">
        <v>65</v>
      </c>
      <c r="BG3" s="100" t="s">
        <v>66</v>
      </c>
      <c r="BH3" s="100" t="s">
        <v>67</v>
      </c>
      <c r="BI3" s="100" t="s">
        <v>68</v>
      </c>
      <c r="BJ3" s="100" t="s">
        <v>69</v>
      </c>
      <c r="BK3" s="100" t="s">
        <v>70</v>
      </c>
      <c r="BL3" s="100" t="s">
        <v>71</v>
      </c>
      <c r="BM3" s="100" t="s">
        <v>72</v>
      </c>
      <c r="BN3" s="100" t="s">
        <v>73</v>
      </c>
      <c r="BO3" s="100" t="s">
        <v>59</v>
      </c>
      <c r="BP3" s="100" t="s">
        <v>74</v>
      </c>
      <c r="BQ3" s="100" t="s">
        <v>28</v>
      </c>
    </row>
    <row r="4" ht="15.25" spans="1:69">
      <c r="A4" s="77">
        <v>1</v>
      </c>
      <c r="B4" s="77" t="s">
        <v>90</v>
      </c>
      <c r="C4" s="77" t="s">
        <v>90</v>
      </c>
      <c r="D4" s="77" t="s">
        <v>76</v>
      </c>
      <c r="E4" s="77" t="s">
        <v>76</v>
      </c>
      <c r="F4" s="78">
        <v>5</v>
      </c>
      <c r="G4" s="79" t="s">
        <v>98</v>
      </c>
      <c r="H4" s="78">
        <f>F4*G4</f>
        <v>250</v>
      </c>
      <c r="I4" s="79" t="s">
        <v>99</v>
      </c>
      <c r="J4" s="78">
        <v>8</v>
      </c>
      <c r="K4" s="78">
        <v>5</v>
      </c>
      <c r="L4" s="78">
        <f>IF(OR(I4=0,I4="0"),0,H4)</f>
        <v>250</v>
      </c>
      <c r="M4" s="78">
        <f>ROUND(L4*I4%,3)</f>
        <v>12.5</v>
      </c>
      <c r="N4" s="78">
        <f>H4-M4</f>
        <v>237.5</v>
      </c>
      <c r="O4" s="78">
        <f>ROUND(N4*J4%,3)</f>
        <v>19</v>
      </c>
      <c r="P4" s="78">
        <f>ROUND(N4-O4,2)</f>
        <v>218.5</v>
      </c>
      <c r="Q4" s="78">
        <f>ROUND(P4*K4%,2)</f>
        <v>10.93</v>
      </c>
      <c r="R4" s="89">
        <f>ROUND(M4+O4+Q4,3)</f>
        <v>42.43</v>
      </c>
      <c r="S4" s="89">
        <f>(H4-R4)</f>
        <v>207.57</v>
      </c>
      <c r="T4" s="78">
        <v>88363222</v>
      </c>
      <c r="U4" s="78">
        <v>0</v>
      </c>
      <c r="V4" s="78">
        <f>IF(OR($C$2=1,$C$2=4),ROUND((((S4*U4)/100)/2),2),0)</f>
        <v>0</v>
      </c>
      <c r="W4" s="78">
        <f>IF($C$2=1,ROUND((((S4*U4)/100)/2),2),0)</f>
        <v>0</v>
      </c>
      <c r="X4" s="78">
        <f>IF($C$2=2,ROUND(((S4*U4)/100),2),0)</f>
        <v>0</v>
      </c>
      <c r="Y4" s="78">
        <f>IF($C$2=4,ROUND((((S4*U4)/100)/2),2),0)</f>
        <v>0</v>
      </c>
      <c r="Z4" s="78">
        <v>0</v>
      </c>
      <c r="AA4" s="78">
        <f>IF($C2=3,0,(S4*Z4)/100)</f>
        <v>0</v>
      </c>
      <c r="AB4" s="78">
        <f>V4+W4+X4+Y4+AA4</f>
        <v>0</v>
      </c>
      <c r="AC4" s="94">
        <f>IF($V2=1,S4+AB4,S4)</f>
        <v>207.57</v>
      </c>
      <c r="AD4" s="89">
        <v>120</v>
      </c>
      <c r="AE4" s="89">
        <f>IF($P$2=1,(S4/$S$5)*$E$16,AD4/$AD$5*$E$16)</f>
        <v>0</v>
      </c>
      <c r="AF4" s="89"/>
      <c r="AG4" s="89">
        <f>IF($P$2=1,(S4/$S$5)*$E$18,AD4/$AD$5*$E$18)</f>
        <v>0</v>
      </c>
      <c r="AH4" s="89">
        <f>IF($P$2=1,(S4/$S$5)*$E$19,AD4/$AD$5*$E$19)</f>
        <v>0</v>
      </c>
      <c r="AI4" s="89">
        <f>S4*$M2</f>
        <v>207.57</v>
      </c>
      <c r="AJ4" s="89">
        <f>IF($C$2=3,0,AG4+AH4)</f>
        <v>0</v>
      </c>
      <c r="AK4" s="89">
        <f>IF($C$2=3,AE4+AG4+AH4,0)</f>
        <v>0</v>
      </c>
      <c r="AL4" s="97">
        <v>1</v>
      </c>
      <c r="AM4" s="89">
        <f>F4/AL4</f>
        <v>5</v>
      </c>
      <c r="AN4" s="89">
        <f>ROUND(AI4/AM4,5)</f>
        <v>41.514</v>
      </c>
      <c r="AO4" s="89">
        <f>AJ4/AM4</f>
        <v>0</v>
      </c>
      <c r="AP4" s="89">
        <f>AK4/AM4</f>
        <v>0</v>
      </c>
      <c r="AQ4" s="89" t="s">
        <v>76</v>
      </c>
      <c r="AR4" s="89">
        <f>ROUND(AN4+AO4+AP4,5)</f>
        <v>41.514</v>
      </c>
      <c r="AS4" s="101" t="s">
        <v>100</v>
      </c>
      <c r="AT4" s="102" t="s">
        <v>76</v>
      </c>
      <c r="AU4" s="79" t="s">
        <v>101</v>
      </c>
      <c r="AV4" s="79" t="s">
        <v>102</v>
      </c>
      <c r="AW4" s="102">
        <f>AM4</f>
        <v>5</v>
      </c>
      <c r="AX4" s="105">
        <f>AR4</f>
        <v>41.514</v>
      </c>
      <c r="AY4" s="102">
        <f>AU4+AW4</f>
        <v>20</v>
      </c>
      <c r="AZ4" s="102">
        <f>ROUND(((AU4*AV4)+(AW4*AX4))/(AU4+AW4),3)</f>
        <v>41.515</v>
      </c>
      <c r="BA4" s="106"/>
      <c r="BB4" s="106" t="s">
        <v>80</v>
      </c>
      <c r="BC4" s="107" t="s">
        <v>81</v>
      </c>
      <c r="BD4" s="108" t="s">
        <v>82</v>
      </c>
      <c r="BE4" s="108" t="s">
        <v>83</v>
      </c>
      <c r="BF4" s="106"/>
      <c r="BG4" s="106"/>
      <c r="BH4" s="106"/>
      <c r="BI4" s="102"/>
      <c r="BJ4" s="102"/>
      <c r="BK4" s="102"/>
      <c r="BL4" s="109" t="s">
        <v>103</v>
      </c>
      <c r="BM4" s="79" t="s">
        <v>102</v>
      </c>
      <c r="BN4" s="79" t="s">
        <v>99</v>
      </c>
      <c r="BO4" s="102">
        <f>ROUND((((AW4*AZ4)+(BN4*BM4))/(AW4+BN4)),5)</f>
        <v>41.515</v>
      </c>
      <c r="BP4" s="110">
        <f>ROUND(BN4+AW4,3)</f>
        <v>10</v>
      </c>
      <c r="BQ4" s="111">
        <v>123562</v>
      </c>
    </row>
    <row r="5" ht="15.25" spans="1:69">
      <c r="A5" s="80"/>
      <c r="B5" s="81"/>
      <c r="C5" s="81"/>
      <c r="D5" s="82" t="s">
        <v>87</v>
      </c>
      <c r="E5" s="82"/>
      <c r="F5" s="82"/>
      <c r="G5" s="83"/>
      <c r="H5" s="84">
        <f>SUM(H4:H4)</f>
        <v>250</v>
      </c>
      <c r="I5" s="77"/>
      <c r="J5" s="77"/>
      <c r="K5" s="77"/>
      <c r="L5" s="77"/>
      <c r="M5" s="77"/>
      <c r="N5" s="77"/>
      <c r="O5" s="77"/>
      <c r="P5" s="77"/>
      <c r="Q5" s="77"/>
      <c r="R5" s="90">
        <f t="shared" ref="R5:X5" si="0">SUM(R4:R4)</f>
        <v>42.43</v>
      </c>
      <c r="S5" s="84">
        <f t="shared" si="0"/>
        <v>207.57</v>
      </c>
      <c r="T5" s="90"/>
      <c r="U5" s="90"/>
      <c r="V5" s="91">
        <f t="shared" si="0"/>
        <v>0</v>
      </c>
      <c r="W5" s="91">
        <f t="shared" si="0"/>
        <v>0</v>
      </c>
      <c r="X5" s="91">
        <f t="shared" si="0"/>
        <v>0</v>
      </c>
      <c r="Y5" s="91"/>
      <c r="Z5" s="91"/>
      <c r="AA5" s="91"/>
      <c r="AB5" s="90">
        <f t="shared" ref="AB5:AE5" si="1">SUM(AB4:AB4)</f>
        <v>0</v>
      </c>
      <c r="AC5" s="95">
        <f t="shared" si="1"/>
        <v>207.57</v>
      </c>
      <c r="AD5" s="96">
        <f t="shared" si="1"/>
        <v>120</v>
      </c>
      <c r="AE5" s="96">
        <f t="shared" si="1"/>
        <v>0</v>
      </c>
      <c r="AF5" s="95"/>
      <c r="AG5" s="96">
        <f t="shared" ref="AG5:AK5" si="2">SUM(AG4:AG4)</f>
        <v>0</v>
      </c>
      <c r="AH5" s="96">
        <f>IF($P$2=1,(S5/$S$5)*$E$19,AD5/$AD$5*$E$19)</f>
        <v>0</v>
      </c>
      <c r="AI5" s="96">
        <f t="shared" si="2"/>
        <v>207.57</v>
      </c>
      <c r="AJ5" s="96">
        <f t="shared" si="2"/>
        <v>0</v>
      </c>
      <c r="AK5" s="96">
        <f t="shared" si="2"/>
        <v>0</v>
      </c>
      <c r="AL5" s="95"/>
      <c r="AM5" s="95"/>
      <c r="AN5" s="95"/>
      <c r="AO5" s="95"/>
      <c r="AP5" s="95"/>
      <c r="AQ5" s="95"/>
      <c r="AR5" s="95"/>
      <c r="AS5" s="80"/>
      <c r="AT5" s="80"/>
      <c r="AU5" s="103"/>
      <c r="AV5" s="103"/>
      <c r="AW5" s="80"/>
      <c r="AX5" s="80"/>
      <c r="AY5" s="80"/>
      <c r="AZ5" s="80"/>
      <c r="BA5" s="80"/>
      <c r="BB5" s="80"/>
      <c r="BC5" s="80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03"/>
      <c r="BQ5" s="103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H15" sqref="H15"/>
    </sheetView>
  </sheetViews>
  <sheetFormatPr defaultColWidth="8.70909090909091" defaultRowHeight="14.5"/>
  <cols>
    <col min="2" max="2" width="17.8545454545455" customWidth="1"/>
    <col min="3" max="3" width="22" customWidth="1"/>
    <col min="24" max="24" width="10.2818181818182"/>
  </cols>
  <sheetData>
    <row r="1" ht="18.5" spans="1:45">
      <c r="A1" s="39" t="s">
        <v>104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105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93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44" t="s">
        <v>106</v>
      </c>
      <c r="C4" s="43" t="s">
        <v>107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1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108</v>
      </c>
    </row>
    <row r="9" ht="15.25" spans="1:45">
      <c r="A9" s="43">
        <v>1</v>
      </c>
      <c r="B9" s="44" t="s">
        <v>106</v>
      </c>
      <c r="C9" s="43" t="s">
        <v>107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5</v>
      </c>
      <c r="J9" s="45">
        <v>6</v>
      </c>
      <c r="K9" s="45">
        <v>7</v>
      </c>
      <c r="L9" s="45">
        <f>H9</f>
        <v>750</v>
      </c>
      <c r="M9" s="45">
        <f>ROUND(L9*I9%,2)</f>
        <v>37.5</v>
      </c>
      <c r="N9" s="45">
        <f>H9-M9</f>
        <v>712.5</v>
      </c>
      <c r="O9" s="45">
        <f>ROUND(N9*J9%,2)</f>
        <v>42.75</v>
      </c>
      <c r="P9" s="45">
        <f>ROUND(N9-O9,2)</f>
        <v>669.75</v>
      </c>
      <c r="Q9" s="45">
        <f>ROUND(P9*K9%,2)</f>
        <v>46.88</v>
      </c>
      <c r="R9" s="45">
        <f>M9+O9+Q9</f>
        <v>127.13</v>
      </c>
      <c r="S9" s="45">
        <f>(H9-R9)</f>
        <v>622.87</v>
      </c>
      <c r="T9" s="45">
        <v>850801</v>
      </c>
      <c r="U9" s="45">
        <v>18</v>
      </c>
      <c r="V9" s="45">
        <f>IF(OR($C$7=1,$C$7=4),ROUND(((S9*U9)/(2*100)),2),0)</f>
        <v>56.06</v>
      </c>
      <c r="W9" s="45">
        <f>IF($C$7=1,ROUND(((S9*U9)/(2*100)),2),0)</f>
        <v>56.06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112.12</v>
      </c>
      <c r="AC9" s="46">
        <f>IF($V7=1,S9+AB9,S9)</f>
        <v>622.87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31143.5</v>
      </c>
      <c r="AJ9" s="45">
        <f>IF($C$7=3,0,AG9+AH9)</f>
        <v>0</v>
      </c>
      <c r="AK9" s="45">
        <f>IF($C$7=3,AE9+AG9+AH9,0)</f>
        <v>0</v>
      </c>
      <c r="AL9" s="45">
        <v>1</v>
      </c>
      <c r="AM9" s="45">
        <f>F9/AL9</f>
        <v>5</v>
      </c>
      <c r="AN9" s="45">
        <f>AI9/AM9</f>
        <v>6228.7</v>
      </c>
      <c r="AO9" s="45">
        <f>AJ9/AM9</f>
        <v>0</v>
      </c>
      <c r="AP9" s="45">
        <f>AK9/AM9</f>
        <v>0</v>
      </c>
      <c r="AQ9" s="45" t="s">
        <v>76</v>
      </c>
      <c r="AR9" s="45">
        <f>AN9+AO9+AP9</f>
        <v>6228.7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61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127.13</v>
      </c>
      <c r="S10" s="49">
        <f t="shared" si="0"/>
        <v>622.87</v>
      </c>
      <c r="T10" s="61"/>
      <c r="U10" s="61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61">
        <f t="shared" ref="AB10:AE10" si="1">SUM(AB9:AB9)</f>
        <v>112.12</v>
      </c>
      <c r="AC10" s="65">
        <f t="shared" si="1"/>
        <v>622.87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31143.5</v>
      </c>
      <c r="AJ10" s="66">
        <f t="shared" si="2"/>
        <v>0</v>
      </c>
      <c r="AK10" s="66">
        <f t="shared" si="2"/>
        <v>0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H15" sqref="H15"/>
    </sheetView>
  </sheetViews>
  <sheetFormatPr defaultColWidth="8.70909090909091" defaultRowHeight="14.5"/>
  <cols>
    <col min="2" max="2" width="17.8545454545455" customWidth="1"/>
    <col min="3" max="3" width="22" customWidth="1"/>
  </cols>
  <sheetData>
    <row r="1" ht="18.5" spans="1:45">
      <c r="A1" s="39" t="s">
        <v>104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105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93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44" t="s">
        <v>106</v>
      </c>
      <c r="C4" s="43" t="s">
        <v>107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3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108</v>
      </c>
    </row>
    <row r="9" ht="15.25" spans="1:45">
      <c r="A9" s="43">
        <v>1</v>
      </c>
      <c r="B9" s="44" t="s">
        <v>106</v>
      </c>
      <c r="C9" s="43" t="s">
        <v>107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5</v>
      </c>
      <c r="J9" s="45">
        <v>6</v>
      </c>
      <c r="K9" s="45">
        <v>7</v>
      </c>
      <c r="L9" s="45">
        <f>H9</f>
        <v>750</v>
      </c>
      <c r="M9" s="45">
        <f>ROUND(L9*I9%,2)</f>
        <v>37.5</v>
      </c>
      <c r="N9" s="45">
        <f>H9-M9</f>
        <v>712.5</v>
      </c>
      <c r="O9" s="45">
        <f>ROUND(N9*J9%,2)</f>
        <v>42.75</v>
      </c>
      <c r="P9" s="45">
        <f>ROUND(N9-O9,2)</f>
        <v>669.75</v>
      </c>
      <c r="Q9" s="45">
        <f>ROUND(P9*K9%,2)</f>
        <v>46.88</v>
      </c>
      <c r="R9" s="45">
        <f>M9+O9+Q9</f>
        <v>127.13</v>
      </c>
      <c r="S9" s="45">
        <f>(H9-R9)</f>
        <v>622.87</v>
      </c>
      <c r="T9" s="45">
        <v>850801</v>
      </c>
      <c r="U9" s="45">
        <v>0</v>
      </c>
      <c r="V9" s="45">
        <f>IF(OR($C$7=1,$C$7=4),ROUND(((S9*U9)/(2*100)),2),0)</f>
        <v>0</v>
      </c>
      <c r="W9" s="45">
        <f>IF($C$7=1,ROUND(((S9*U9)/(2*100)),2),0)</f>
        <v>0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0</v>
      </c>
      <c r="AC9" s="46">
        <f>IF($V7=1,S9+AB9,S9)</f>
        <v>622.87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31143.5</v>
      </c>
      <c r="AJ9" s="45">
        <f>IF($C$7=3,0,AG9+AH9)</f>
        <v>0</v>
      </c>
      <c r="AK9" s="45" t="e">
        <f>IF($C$7=3,AE9+AG9+AH9,0)</f>
        <v>#REF!</v>
      </c>
      <c r="AL9" s="45">
        <v>1</v>
      </c>
      <c r="AM9" s="45">
        <f>F9/AL9</f>
        <v>5</v>
      </c>
      <c r="AN9" s="45">
        <f>AI9/AM9</f>
        <v>6228.7</v>
      </c>
      <c r="AO9" s="45">
        <f>AJ9/AM9</f>
        <v>0</v>
      </c>
      <c r="AP9" s="45" t="e">
        <f>AK9/AM9</f>
        <v>#REF!</v>
      </c>
      <c r="AQ9" s="45" t="s">
        <v>76</v>
      </c>
      <c r="AR9" s="45" t="e">
        <f>AN9+AO9+AP9</f>
        <v>#REF!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61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127.13</v>
      </c>
      <c r="S10" s="49">
        <f t="shared" si="0"/>
        <v>622.87</v>
      </c>
      <c r="T10" s="61"/>
      <c r="U10" s="61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61">
        <f t="shared" ref="AB10:AE10" si="1">SUM(AB9:AB9)</f>
        <v>0</v>
      </c>
      <c r="AC10" s="65">
        <f t="shared" si="1"/>
        <v>622.87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31143.5</v>
      </c>
      <c r="AJ10" s="66">
        <f t="shared" si="2"/>
        <v>0</v>
      </c>
      <c r="AK10" s="66" t="e">
        <f t="shared" si="2"/>
        <v>#REF!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H13" sqref="H13"/>
    </sheetView>
  </sheetViews>
  <sheetFormatPr defaultColWidth="8.70909090909091" defaultRowHeight="14.5"/>
  <cols>
    <col min="2" max="2" width="17.8545454545455" customWidth="1"/>
    <col min="3" max="3" width="22" customWidth="1"/>
  </cols>
  <sheetData>
    <row r="1" ht="18.5" spans="1:45">
      <c r="A1" s="39" t="s">
        <v>104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105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93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44" t="s">
        <v>88</v>
      </c>
      <c r="C4" s="43" t="s">
        <v>109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1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108</v>
      </c>
    </row>
    <row r="9" ht="15.25" spans="1:45">
      <c r="A9" s="43">
        <v>1</v>
      </c>
      <c r="B9" s="44" t="s">
        <v>88</v>
      </c>
      <c r="C9" s="43" t="s">
        <v>109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5</v>
      </c>
      <c r="J9" s="45">
        <v>6</v>
      </c>
      <c r="K9" s="45">
        <v>7</v>
      </c>
      <c r="L9" s="45">
        <f>H9</f>
        <v>750</v>
      </c>
      <c r="M9" s="45">
        <f>ROUND(L9*I9%,2)</f>
        <v>37.5</v>
      </c>
      <c r="N9" s="45">
        <f>H9-M9</f>
        <v>712.5</v>
      </c>
      <c r="O9" s="45">
        <f>ROUND(N9*J9%,2)</f>
        <v>42.75</v>
      </c>
      <c r="P9" s="45">
        <f>ROUND(N9-O9,2)</f>
        <v>669.75</v>
      </c>
      <c r="Q9" s="45">
        <f>ROUND(P9*K9%,2)</f>
        <v>46.88</v>
      </c>
      <c r="R9" s="45">
        <f>M9+O9+Q9</f>
        <v>127.13</v>
      </c>
      <c r="S9" s="45">
        <f>(H9-R9)</f>
        <v>622.87</v>
      </c>
      <c r="T9" s="45">
        <v>850801</v>
      </c>
      <c r="U9" s="45">
        <v>18</v>
      </c>
      <c r="V9" s="45">
        <f>IF(OR($C$7=1,$C$7=4),ROUND(((S9*U9)/(2*100)),2),0)</f>
        <v>56.06</v>
      </c>
      <c r="W9" s="45">
        <f>IF($C$7=1,ROUND(((S9*U9)/(2*100)),2),0)</f>
        <v>56.06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112.12</v>
      </c>
      <c r="AC9" s="46">
        <f>IF($V7=1,S9+AB9,S9)</f>
        <v>622.87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31143.5</v>
      </c>
      <c r="AJ9" s="45">
        <f>IF($C$7=3,0,AG9+AH9)</f>
        <v>0</v>
      </c>
      <c r="AK9" s="45">
        <f>IF($C$7=3,AE9+AG9+AH9,0)</f>
        <v>0</v>
      </c>
      <c r="AL9" s="45">
        <v>1</v>
      </c>
      <c r="AM9" s="45">
        <f>F9/AL9</f>
        <v>5</v>
      </c>
      <c r="AN9" s="45">
        <f>AI9/AM9</f>
        <v>6228.7</v>
      </c>
      <c r="AO9" s="45">
        <f>AJ9/AM9</f>
        <v>0</v>
      </c>
      <c r="AP9" s="45">
        <f>AK9/AM9</f>
        <v>0</v>
      </c>
      <c r="AQ9" s="45" t="s">
        <v>76</v>
      </c>
      <c r="AR9" s="45">
        <f>AN9+AO9+AP9</f>
        <v>6228.7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61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127.13</v>
      </c>
      <c r="S10" s="49">
        <f t="shared" si="0"/>
        <v>622.87</v>
      </c>
      <c r="T10" s="61"/>
      <c r="U10" s="61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61">
        <f t="shared" ref="AB10:AE10" si="1">SUM(AB9:AB9)</f>
        <v>112.12</v>
      </c>
      <c r="AC10" s="65">
        <f t="shared" si="1"/>
        <v>622.87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31143.5</v>
      </c>
      <c r="AJ10" s="66">
        <f t="shared" si="2"/>
        <v>0</v>
      </c>
      <c r="AK10" s="66">
        <f t="shared" si="2"/>
        <v>0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F4" sqref="F9 F4"/>
    </sheetView>
  </sheetViews>
  <sheetFormatPr defaultColWidth="8.70909090909091" defaultRowHeight="14.5"/>
  <cols>
    <col min="2" max="2" width="17.8545454545455" customWidth="1"/>
    <col min="3" max="3" width="22" customWidth="1"/>
  </cols>
  <sheetData>
    <row r="1" ht="18.5" spans="1:45">
      <c r="A1" s="39" t="s">
        <v>104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105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93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68" t="s">
        <v>88</v>
      </c>
      <c r="C4" s="69" t="s">
        <v>109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3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108</v>
      </c>
    </row>
    <row r="9" ht="15.25" spans="1:45">
      <c r="A9" s="43">
        <v>1</v>
      </c>
      <c r="B9" s="44" t="s">
        <v>88</v>
      </c>
      <c r="C9" s="43" t="s">
        <v>109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5</v>
      </c>
      <c r="J9" s="45">
        <v>6</v>
      </c>
      <c r="K9" s="45">
        <v>7</v>
      </c>
      <c r="L9" s="45">
        <f>H9</f>
        <v>750</v>
      </c>
      <c r="M9" s="45">
        <f>ROUND(L9*I9%,2)</f>
        <v>37.5</v>
      </c>
      <c r="N9" s="45">
        <f>H9-M9</f>
        <v>712.5</v>
      </c>
      <c r="O9" s="45">
        <f>ROUND(N9*J9%,2)</f>
        <v>42.75</v>
      </c>
      <c r="P9" s="45">
        <f>ROUND(N9-O9,2)</f>
        <v>669.75</v>
      </c>
      <c r="Q9" s="45">
        <f>ROUND(P9*K9%,2)</f>
        <v>46.88</v>
      </c>
      <c r="R9" s="45">
        <f>M9+O9+Q9</f>
        <v>127.13</v>
      </c>
      <c r="S9" s="45">
        <f>(H9-R9)</f>
        <v>622.87</v>
      </c>
      <c r="T9" s="45">
        <v>850801</v>
      </c>
      <c r="U9" s="45">
        <v>0</v>
      </c>
      <c r="V9" s="45">
        <f>IF(OR($C$7=1,$C$7=4),ROUND(((S9*U9)/(2*100)),2),0)</f>
        <v>0</v>
      </c>
      <c r="W9" s="45">
        <f>IF($C$7=1,ROUND(((S9*U9)/(2*100)),2),0)</f>
        <v>0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0</v>
      </c>
      <c r="AC9" s="46">
        <f>IF($V7=1,S9+AB9,S9)</f>
        <v>622.87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31143.5</v>
      </c>
      <c r="AJ9" s="45">
        <f>IF($C$7=3,0,AG9+AH9)</f>
        <v>0</v>
      </c>
      <c r="AK9" s="45" t="e">
        <f>IF($C$7=3,AE9+AG9+AH9,0)</f>
        <v>#REF!</v>
      </c>
      <c r="AL9" s="45">
        <v>1</v>
      </c>
      <c r="AM9" s="45">
        <f>F9/AL9</f>
        <v>5</v>
      </c>
      <c r="AN9" s="45">
        <f>AI9/AM9</f>
        <v>6228.7</v>
      </c>
      <c r="AO9" s="45">
        <f>AJ9/AM9</f>
        <v>0</v>
      </c>
      <c r="AP9" s="45" t="e">
        <f>AK9/AM9</f>
        <v>#REF!</v>
      </c>
      <c r="AQ9" s="45" t="s">
        <v>76</v>
      </c>
      <c r="AR9" s="45" t="e">
        <f>AN9+AO9+AP9</f>
        <v>#REF!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61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127.13</v>
      </c>
      <c r="S10" s="49">
        <f t="shared" si="0"/>
        <v>622.87</v>
      </c>
      <c r="T10" s="61"/>
      <c r="U10" s="61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61">
        <f t="shared" ref="AB10:AE10" si="1">SUM(AB9:AB9)</f>
        <v>0</v>
      </c>
      <c r="AC10" s="65">
        <f t="shared" si="1"/>
        <v>622.87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31143.5</v>
      </c>
      <c r="AJ10" s="66">
        <f t="shared" si="2"/>
        <v>0</v>
      </c>
      <c r="AK10" s="66" t="e">
        <f t="shared" si="2"/>
        <v>#REF!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workbookViewId="0">
      <selection activeCell="K16" sqref="K16"/>
    </sheetView>
  </sheetViews>
  <sheetFormatPr defaultColWidth="8.70909090909091" defaultRowHeight="14.5"/>
  <cols>
    <col min="2" max="2" width="17.8545454545455" customWidth="1"/>
    <col min="3" max="3" width="22" customWidth="1"/>
    <col min="24" max="24" width="9.70909090909091" customWidth="1"/>
  </cols>
  <sheetData>
    <row r="1" ht="18.5" spans="1:45">
      <c r="A1" s="39" t="s">
        <v>104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105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93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44" t="s">
        <v>90</v>
      </c>
      <c r="C4" s="43" t="s">
        <v>90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1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108</v>
      </c>
    </row>
    <row r="9" ht="15.25" spans="1:45">
      <c r="A9" s="43">
        <v>1</v>
      </c>
      <c r="B9" s="44" t="s">
        <v>90</v>
      </c>
      <c r="C9" s="43" t="s">
        <v>90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1</v>
      </c>
      <c r="J9" s="45">
        <v>6</v>
      </c>
      <c r="K9" s="45">
        <v>7</v>
      </c>
      <c r="L9" s="45">
        <f>H9</f>
        <v>750</v>
      </c>
      <c r="M9" s="45">
        <f>ROUND(L9*I9%,2)</f>
        <v>7.5</v>
      </c>
      <c r="N9" s="45">
        <f>H9-M9</f>
        <v>742.5</v>
      </c>
      <c r="O9" s="45">
        <f>ROUND(N9*J9%,2)</f>
        <v>44.55</v>
      </c>
      <c r="P9" s="45">
        <f>ROUND(N9-O9,2)</f>
        <v>697.95</v>
      </c>
      <c r="Q9" s="45">
        <f>ROUND(P9*K9%,2)</f>
        <v>48.86</v>
      </c>
      <c r="R9" s="45">
        <f>M9+O9+Q9</f>
        <v>100.91</v>
      </c>
      <c r="S9" s="45">
        <f>(H9-R9)</f>
        <v>649.09</v>
      </c>
      <c r="T9" s="45">
        <v>850801</v>
      </c>
      <c r="U9" s="45">
        <v>18</v>
      </c>
      <c r="V9" s="45">
        <f>IF(OR($C$7=1,$C$7=4),ROUND(((S9*U9)/(2*100)),2),0)</f>
        <v>58.42</v>
      </c>
      <c r="W9" s="45">
        <f>IF($C$7=1,ROUND(((S9*U9)/(2*100)),2),0)</f>
        <v>58.42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116.84</v>
      </c>
      <c r="AC9" s="46">
        <f>IF($V7=1,S9+AB9,S9)</f>
        <v>649.09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32454.5</v>
      </c>
      <c r="AJ9" s="45">
        <f>IF($C$7=3,0,AG9+AH9)</f>
        <v>0</v>
      </c>
      <c r="AK9" s="45">
        <f>IF($C$7=3,AE9+AG9+AH9,0)</f>
        <v>0</v>
      </c>
      <c r="AL9" s="45">
        <v>1</v>
      </c>
      <c r="AM9" s="45">
        <f>F9/AL9</f>
        <v>5</v>
      </c>
      <c r="AN9" s="45">
        <f>AI9/AM9</f>
        <v>6490.9</v>
      </c>
      <c r="AO9" s="45">
        <f>AJ9/AM9</f>
        <v>0</v>
      </c>
      <c r="AP9" s="45">
        <f>AK9/AM9</f>
        <v>0</v>
      </c>
      <c r="AQ9" s="45" t="s">
        <v>76</v>
      </c>
      <c r="AR9" s="45">
        <f>AN9+AO9+AP9</f>
        <v>6490.9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61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100.91</v>
      </c>
      <c r="S10" s="49">
        <f t="shared" si="0"/>
        <v>649.09</v>
      </c>
      <c r="T10" s="61"/>
      <c r="U10" s="61"/>
      <c r="V10" s="62">
        <f t="shared" si="0"/>
        <v>58.42</v>
      </c>
      <c r="W10" s="62">
        <f t="shared" si="0"/>
        <v>58.42</v>
      </c>
      <c r="X10" s="62">
        <f t="shared" si="0"/>
        <v>0</v>
      </c>
      <c r="Y10" s="62"/>
      <c r="Z10" s="62"/>
      <c r="AA10" s="62"/>
      <c r="AB10" s="61">
        <f t="shared" ref="AB10:AE10" si="1">SUM(AB9:AB9)</f>
        <v>116.84</v>
      </c>
      <c r="AC10" s="65">
        <f t="shared" si="1"/>
        <v>649.09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32454.5</v>
      </c>
      <c r="AJ10" s="66">
        <f t="shared" si="2"/>
        <v>0</v>
      </c>
      <c r="AK10" s="66">
        <f t="shared" si="2"/>
        <v>0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"/>
  <sheetViews>
    <sheetView topLeftCell="D1" workbookViewId="0">
      <selection activeCell="L13" sqref="L13"/>
    </sheetView>
  </sheetViews>
  <sheetFormatPr defaultColWidth="8.70909090909091" defaultRowHeight="14.5"/>
  <cols>
    <col min="2" max="2" width="17.8545454545455" customWidth="1"/>
    <col min="3" max="3" width="22" customWidth="1"/>
    <col min="12" max="12" width="15.8545454545455" customWidth="1"/>
    <col min="13" max="13" width="14.2818181818182" customWidth="1"/>
    <col min="14" max="14" width="13.8545454545455" customWidth="1"/>
  </cols>
  <sheetData>
    <row r="1" ht="18.5" spans="1:45">
      <c r="A1" s="39" t="s">
        <v>104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25" spans="1:45">
      <c r="A2" s="39" t="s">
        <v>105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" spans="1:45">
      <c r="A3" s="40" t="s">
        <v>9</v>
      </c>
      <c r="B3" s="25" t="s">
        <v>10</v>
      </c>
      <c r="C3" s="41" t="s">
        <v>11</v>
      </c>
      <c r="D3" s="25" t="s">
        <v>12</v>
      </c>
      <c r="E3" s="25" t="s">
        <v>13</v>
      </c>
      <c r="F3" s="25" t="s">
        <v>93</v>
      </c>
      <c r="G3" s="25" t="s">
        <v>15</v>
      </c>
      <c r="H3" s="42" t="s">
        <v>16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25" spans="1:45">
      <c r="A4" s="43">
        <v>1</v>
      </c>
      <c r="B4" s="44" t="s">
        <v>90</v>
      </c>
      <c r="C4" s="43" t="s">
        <v>90</v>
      </c>
      <c r="D4" s="43" t="s">
        <v>76</v>
      </c>
      <c r="E4" s="43" t="s">
        <v>76</v>
      </c>
      <c r="F4" s="45">
        <v>5</v>
      </c>
      <c r="G4" s="46">
        <v>150</v>
      </c>
      <c r="H4" s="45">
        <f>F4*G4</f>
        <v>750</v>
      </c>
      <c r="I4" s="55"/>
      <c r="J4" s="55"/>
      <c r="K4" s="55"/>
      <c r="L4" s="56"/>
      <c r="M4" s="56"/>
      <c r="N4" s="56"/>
      <c r="O4" s="56"/>
      <c r="P4" s="56"/>
      <c r="Q4" s="56"/>
      <c r="R4" s="56"/>
      <c r="S4" s="56"/>
      <c r="T4" s="56"/>
      <c r="U4" s="55"/>
      <c r="V4" s="55"/>
      <c r="W4" s="55"/>
      <c r="X4" s="55"/>
      <c r="Y4" s="56"/>
      <c r="Z4" s="56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2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57"/>
      <c r="J5" s="57"/>
      <c r="K5" s="57"/>
      <c r="L5" s="57"/>
      <c r="M5" s="57"/>
      <c r="N5" s="57"/>
      <c r="O5" s="57"/>
      <c r="P5" s="57"/>
      <c r="Q5" s="57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2"/>
      <c r="C6" s="2"/>
      <c r="D6" s="2"/>
      <c r="E6" s="2"/>
      <c r="F6" s="2"/>
      <c r="G6" s="2"/>
      <c r="H6" s="50"/>
      <c r="I6" s="58"/>
      <c r="J6" s="58"/>
      <c r="K6" s="58"/>
      <c r="L6" s="58"/>
      <c r="M6" s="58"/>
      <c r="N6" s="58"/>
      <c r="O6" s="58"/>
      <c r="P6" s="58"/>
      <c r="Q6" s="58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25" spans="1:44">
      <c r="A7" s="3" t="s">
        <v>1</v>
      </c>
      <c r="B7" s="3"/>
      <c r="C7" s="4">
        <v>3</v>
      </c>
      <c r="D7" s="5" t="s">
        <v>2</v>
      </c>
      <c r="E7" s="2"/>
      <c r="F7" s="2"/>
      <c r="G7" s="2"/>
      <c r="H7" s="50"/>
      <c r="I7" s="58" t="s">
        <v>3</v>
      </c>
      <c r="J7" s="58" t="s">
        <v>4</v>
      </c>
      <c r="K7" s="58"/>
      <c r="L7" s="58" t="s">
        <v>5</v>
      </c>
      <c r="M7" s="58">
        <v>50</v>
      </c>
      <c r="N7" s="58"/>
      <c r="O7" s="58" t="s">
        <v>6</v>
      </c>
      <c r="P7" s="58">
        <v>1</v>
      </c>
      <c r="Q7" s="58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ht="59.5" spans="1:45">
      <c r="A8" s="51" t="s">
        <v>9</v>
      </c>
      <c r="B8" s="51" t="s">
        <v>10</v>
      </c>
      <c r="C8" s="52" t="s">
        <v>11</v>
      </c>
      <c r="D8" s="51" t="s">
        <v>12</v>
      </c>
      <c r="E8" s="51" t="s">
        <v>13</v>
      </c>
      <c r="F8" s="53" t="s">
        <v>14</v>
      </c>
      <c r="G8" s="51" t="s">
        <v>15</v>
      </c>
      <c r="H8" s="51" t="s">
        <v>16</v>
      </c>
      <c r="I8" s="59" t="s">
        <v>17</v>
      </c>
      <c r="J8" s="59" t="s">
        <v>18</v>
      </c>
      <c r="K8" s="59" t="s">
        <v>19</v>
      </c>
      <c r="L8" s="60" t="s">
        <v>20</v>
      </c>
      <c r="M8" s="60" t="s">
        <v>21</v>
      </c>
      <c r="N8" s="60" t="s">
        <v>22</v>
      </c>
      <c r="O8" s="60" t="s">
        <v>23</v>
      </c>
      <c r="P8" s="60" t="s">
        <v>24</v>
      </c>
      <c r="Q8" s="60" t="s">
        <v>25</v>
      </c>
      <c r="R8" s="59" t="s">
        <v>26</v>
      </c>
      <c r="S8" s="51" t="s">
        <v>27</v>
      </c>
      <c r="T8" s="51" t="s">
        <v>28</v>
      </c>
      <c r="U8" s="19" t="s">
        <v>29</v>
      </c>
      <c r="V8" s="19" t="s">
        <v>30</v>
      </c>
      <c r="W8" s="19" t="s">
        <v>31</v>
      </c>
      <c r="X8" s="19" t="s">
        <v>32</v>
      </c>
      <c r="Y8" s="19" t="s">
        <v>33</v>
      </c>
      <c r="Z8" s="19" t="s">
        <v>34</v>
      </c>
      <c r="AA8" s="19" t="s">
        <v>35</v>
      </c>
      <c r="AB8" s="19" t="s">
        <v>36</v>
      </c>
      <c r="AC8" s="63" t="s">
        <v>37</v>
      </c>
      <c r="AD8" s="63" t="s">
        <v>38</v>
      </c>
      <c r="AE8" s="64" t="s">
        <v>39</v>
      </c>
      <c r="AF8" s="64" t="s">
        <v>40</v>
      </c>
      <c r="AG8" s="64" t="s">
        <v>41</v>
      </c>
      <c r="AH8" s="63" t="s">
        <v>42</v>
      </c>
      <c r="AI8" s="63" t="s">
        <v>43</v>
      </c>
      <c r="AJ8" s="64" t="s">
        <v>44</v>
      </c>
      <c r="AK8" s="64" t="s">
        <v>45</v>
      </c>
      <c r="AL8" s="63" t="s">
        <v>46</v>
      </c>
      <c r="AM8" s="63" t="s">
        <v>47</v>
      </c>
      <c r="AN8" s="64" t="s">
        <v>48</v>
      </c>
      <c r="AO8" s="64" t="s">
        <v>49</v>
      </c>
      <c r="AP8" s="64" t="s">
        <v>50</v>
      </c>
      <c r="AQ8" s="63" t="s">
        <v>51</v>
      </c>
      <c r="AR8" s="67" t="s">
        <v>52</v>
      </c>
      <c r="AS8" s="42" t="s">
        <v>108</v>
      </c>
    </row>
    <row r="9" ht="15.25" spans="1:45">
      <c r="A9" s="43">
        <v>1</v>
      </c>
      <c r="B9" s="44" t="s">
        <v>90</v>
      </c>
      <c r="C9" s="43" t="s">
        <v>90</v>
      </c>
      <c r="D9" s="43" t="s">
        <v>76</v>
      </c>
      <c r="E9" s="43" t="s">
        <v>76</v>
      </c>
      <c r="F9" s="45">
        <v>5</v>
      </c>
      <c r="G9" s="46">
        <v>150</v>
      </c>
      <c r="H9" s="45">
        <f>F9*G9</f>
        <v>750</v>
      </c>
      <c r="I9" s="45">
        <v>1</v>
      </c>
      <c r="J9" s="45">
        <v>6</v>
      </c>
      <c r="K9" s="45">
        <v>7</v>
      </c>
      <c r="L9" s="45">
        <f>H9</f>
        <v>750</v>
      </c>
      <c r="M9" s="45">
        <f>ROUND(L9*I9%,2)</f>
        <v>7.5</v>
      </c>
      <c r="N9" s="45">
        <f>H9-M9</f>
        <v>742.5</v>
      </c>
      <c r="O9" s="45">
        <f>ROUND(N9*J9%,2)</f>
        <v>44.55</v>
      </c>
      <c r="P9" s="45">
        <f>ROUND(N9-O9,2)</f>
        <v>697.95</v>
      </c>
      <c r="Q9" s="45">
        <f>ROUND(P9*K9%,2)</f>
        <v>48.86</v>
      </c>
      <c r="R9" s="45">
        <f>M9+O9+Q9</f>
        <v>100.91</v>
      </c>
      <c r="S9" s="45">
        <f>(H9-R9)</f>
        <v>649.09</v>
      </c>
      <c r="T9" s="45">
        <v>850801</v>
      </c>
      <c r="U9" s="45">
        <v>0</v>
      </c>
      <c r="V9" s="45">
        <f>IF(OR($C$7=1,$C$7=4),ROUND(((S9*U9)/(2*100)),2),0)</f>
        <v>0</v>
      </c>
      <c r="W9" s="45">
        <f>IF($C$7=1,ROUND(((S9*U9)/(2*100)),2),0)</f>
        <v>0</v>
      </c>
      <c r="X9" s="45">
        <f>IF($C$7=2,ROUND(((S9*U9)/100),2),0)</f>
        <v>0</v>
      </c>
      <c r="Y9" s="45">
        <f>IF($C$7=4,ROUND(((S9*U9)/(2*100)),2),0)</f>
        <v>0</v>
      </c>
      <c r="Z9" s="45">
        <v>0</v>
      </c>
      <c r="AA9" s="46">
        <f>IF($C7=3,0,(S9*Z9)/100)</f>
        <v>0</v>
      </c>
      <c r="AB9" s="46">
        <f>V9+W9+X9+Y9+AA9</f>
        <v>0</v>
      </c>
      <c r="AC9" s="46">
        <f>IF($V7=1,S9+AB9,S9)</f>
        <v>649.09</v>
      </c>
      <c r="AD9" s="45">
        <v>120</v>
      </c>
      <c r="AE9" s="45" t="e">
        <f>IF($P$7=1,(S9/$S$10)*#REF!,AD9/$AD$10*#REF!)</f>
        <v>#REF!</v>
      </c>
      <c r="AF9" s="45"/>
      <c r="AG9" s="45">
        <f>IF($P$7=1,(S9/$S$10)*$E$22,AD9/$AD$10*$E$22)</f>
        <v>0</v>
      </c>
      <c r="AH9" s="45">
        <f>IF($P$7=1,(S9/$S$10)*$E$22,AD9/$AD$10*$E$22)</f>
        <v>0</v>
      </c>
      <c r="AI9" s="45">
        <f>S9*$M$7</f>
        <v>32454.5</v>
      </c>
      <c r="AJ9" s="45">
        <f>IF($C$7=3,0,AG9+AH9)</f>
        <v>0</v>
      </c>
      <c r="AK9" s="45" t="e">
        <f>IF($C$7=3,AE9+AG9+AH9,0)</f>
        <v>#REF!</v>
      </c>
      <c r="AL9" s="45">
        <v>1</v>
      </c>
      <c r="AM9" s="45">
        <f>F9/AL9</f>
        <v>5</v>
      </c>
      <c r="AN9" s="45">
        <f>AI9/AM9</f>
        <v>6490.9</v>
      </c>
      <c r="AO9" s="45">
        <f>AJ9/AM9</f>
        <v>0</v>
      </c>
      <c r="AP9" s="45" t="e">
        <f>AK9/AM9</f>
        <v>#REF!</v>
      </c>
      <c r="AQ9" s="45" t="s">
        <v>76</v>
      </c>
      <c r="AR9" s="45" t="e">
        <f>AN9+AO9+AP9</f>
        <v>#REF!</v>
      </c>
      <c r="AS9" s="45">
        <v>1000000005</v>
      </c>
    </row>
    <row r="10" ht="15.25" spans="1:44">
      <c r="A10" s="47"/>
      <c r="B10" s="54"/>
      <c r="C10" s="54"/>
      <c r="D10" s="11" t="s">
        <v>87</v>
      </c>
      <c r="E10" s="11"/>
      <c r="F10" s="11"/>
      <c r="G10" s="12"/>
      <c r="H10" s="49">
        <f>SUM(H9:H9)</f>
        <v>750</v>
      </c>
      <c r="I10" s="43"/>
      <c r="J10" s="43"/>
      <c r="K10" s="43"/>
      <c r="L10" s="43"/>
      <c r="M10" s="43"/>
      <c r="N10" s="43"/>
      <c r="O10" s="43"/>
      <c r="P10" s="43"/>
      <c r="Q10" s="43"/>
      <c r="R10" s="61">
        <f t="shared" ref="R10:X10" si="0">SUM(R9:R9)</f>
        <v>100.91</v>
      </c>
      <c r="S10" s="49">
        <f t="shared" si="0"/>
        <v>649.09</v>
      </c>
      <c r="T10" s="61"/>
      <c r="U10" s="61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61">
        <f t="shared" ref="AB10:AE10" si="1">SUM(AB9:AB9)</f>
        <v>0</v>
      </c>
      <c r="AC10" s="65">
        <f t="shared" si="1"/>
        <v>649.09</v>
      </c>
      <c r="AD10" s="66">
        <f t="shared" si="1"/>
        <v>120</v>
      </c>
      <c r="AE10" s="66" t="e">
        <f t="shared" si="1"/>
        <v>#REF!</v>
      </c>
      <c r="AF10" s="65"/>
      <c r="AG10" s="66">
        <f t="shared" ref="AG10:AK10" si="2">SUM(AG9:AG9)</f>
        <v>0</v>
      </c>
      <c r="AH10" s="66">
        <f t="shared" si="2"/>
        <v>0</v>
      </c>
      <c r="AI10" s="66">
        <f t="shared" si="2"/>
        <v>32454.5</v>
      </c>
      <c r="AJ10" s="66">
        <f t="shared" si="2"/>
        <v>0</v>
      </c>
      <c r="AK10" s="66" t="e">
        <f t="shared" si="2"/>
        <v>#REF!</v>
      </c>
      <c r="AL10" s="65"/>
      <c r="AM10" s="65"/>
      <c r="AN10" s="65"/>
      <c r="AO10" s="65"/>
      <c r="AP10" s="65"/>
      <c r="AQ10" s="65"/>
      <c r="AR10" s="65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12" sqref="E12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91</v>
      </c>
      <c r="B3" s="6" t="s">
        <v>10</v>
      </c>
      <c r="C3" s="6" t="s">
        <v>92</v>
      </c>
      <c r="D3" s="6" t="s">
        <v>12</v>
      </c>
      <c r="E3" s="6" t="s">
        <v>13</v>
      </c>
      <c r="F3" s="6" t="s">
        <v>93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94</v>
      </c>
      <c r="Q3" s="16" t="s">
        <v>23</v>
      </c>
      <c r="R3" s="15" t="s">
        <v>26</v>
      </c>
      <c r="S3" s="6" t="s">
        <v>95</v>
      </c>
      <c r="T3" s="6" t="s">
        <v>28</v>
      </c>
      <c r="U3" s="17" t="s">
        <v>96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97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110</v>
      </c>
      <c r="C4" s="7" t="s">
        <v>111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100</v>
      </c>
      <c r="AT4" s="28" t="s">
        <v>76</v>
      </c>
      <c r="AU4" s="29" t="s">
        <v>112</v>
      </c>
      <c r="AV4" s="29" t="s">
        <v>113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103</v>
      </c>
      <c r="BM4" s="29" t="s">
        <v>113</v>
      </c>
      <c r="BN4" s="29" t="s">
        <v>114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11" sqref="D11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91</v>
      </c>
      <c r="B3" s="6" t="s">
        <v>10</v>
      </c>
      <c r="C3" s="6" t="s">
        <v>92</v>
      </c>
      <c r="D3" s="6" t="s">
        <v>12</v>
      </c>
      <c r="E3" s="6" t="s">
        <v>13</v>
      </c>
      <c r="F3" s="6" t="s">
        <v>93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94</v>
      </c>
      <c r="Q3" s="16" t="s">
        <v>23</v>
      </c>
      <c r="R3" s="15" t="s">
        <v>26</v>
      </c>
      <c r="S3" s="6" t="s">
        <v>95</v>
      </c>
      <c r="T3" s="6" t="s">
        <v>28</v>
      </c>
      <c r="U3" s="17" t="s">
        <v>96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97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115</v>
      </c>
      <c r="C4" s="7" t="s">
        <v>115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100</v>
      </c>
      <c r="AT4" s="28" t="s">
        <v>76</v>
      </c>
      <c r="AU4" s="29" t="s">
        <v>112</v>
      </c>
      <c r="AV4" s="29" t="s">
        <v>113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103</v>
      </c>
      <c r="BM4" s="29" t="s">
        <v>113</v>
      </c>
      <c r="BN4" s="29" t="s">
        <v>114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M12" sqref="M12"/>
    </sheetView>
  </sheetViews>
  <sheetFormatPr defaultColWidth="8.70909090909091" defaultRowHeight="14.5" outlineLevelRow="4"/>
  <cols>
    <col min="2" max="2" width="21.5454545454545" customWidth="1"/>
    <col min="3" max="3" width="27.8181818181818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91</v>
      </c>
      <c r="B3" s="6" t="s">
        <v>10</v>
      </c>
      <c r="C3" s="6" t="s">
        <v>92</v>
      </c>
      <c r="D3" s="6" t="s">
        <v>12</v>
      </c>
      <c r="E3" s="6" t="s">
        <v>13</v>
      </c>
      <c r="F3" s="6" t="s">
        <v>93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94</v>
      </c>
      <c r="Q3" s="16" t="s">
        <v>23</v>
      </c>
      <c r="R3" s="15" t="s">
        <v>26</v>
      </c>
      <c r="S3" s="6" t="s">
        <v>95</v>
      </c>
      <c r="T3" s="6" t="s">
        <v>28</v>
      </c>
      <c r="U3" s="17" t="s">
        <v>96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97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116</v>
      </c>
      <c r="C4" s="7" t="s">
        <v>116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100</v>
      </c>
      <c r="AT4" s="28" t="s">
        <v>76</v>
      </c>
      <c r="AU4" s="29" t="s">
        <v>112</v>
      </c>
      <c r="AV4" s="29" t="s">
        <v>113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103</v>
      </c>
      <c r="BM4" s="29" t="s">
        <v>113</v>
      </c>
      <c r="BN4" s="29" t="s">
        <v>114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X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38"/>
      <c r="Z5" s="38"/>
      <c r="AA5" s="38"/>
      <c r="AB5" s="13">
        <f t="shared" ref="AB5:AE5" si="1">SUM(AB4:AB4)</f>
        <v>59.12</v>
      </c>
      <c r="AC5" s="13">
        <f t="shared" si="1"/>
        <v>328.47</v>
      </c>
      <c r="AD5" s="13">
        <f t="shared" si="1"/>
        <v>120</v>
      </c>
      <c r="AE5" s="13">
        <f t="shared" si="1"/>
        <v>0</v>
      </c>
      <c r="AF5" s="23"/>
      <c r="AG5" s="13">
        <f t="shared" ref="AG5:AK5" si="2">SUM(AG4:AG4)</f>
        <v>0</v>
      </c>
      <c r="AH5" s="13">
        <f t="shared" si="2"/>
        <v>0</v>
      </c>
      <c r="AI5" s="13">
        <f t="shared" si="2"/>
        <v>328.47</v>
      </c>
      <c r="AJ5" s="13">
        <f t="shared" si="2"/>
        <v>0</v>
      </c>
      <c r="AK5" s="13">
        <f t="shared" si="2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12" sqref="E12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91</v>
      </c>
      <c r="B3" s="6" t="s">
        <v>10</v>
      </c>
      <c r="C3" s="6" t="s">
        <v>92</v>
      </c>
      <c r="D3" s="6" t="s">
        <v>12</v>
      </c>
      <c r="E3" s="6" t="s">
        <v>13</v>
      </c>
      <c r="F3" s="6" t="s">
        <v>93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94</v>
      </c>
      <c r="Q3" s="16" t="s">
        <v>23</v>
      </c>
      <c r="R3" s="15" t="s">
        <v>26</v>
      </c>
      <c r="S3" s="6" t="s">
        <v>95</v>
      </c>
      <c r="T3" s="6" t="s">
        <v>28</v>
      </c>
      <c r="U3" s="17" t="s">
        <v>96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97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spans="1:69">
      <c r="A4" s="7">
        <v>1</v>
      </c>
      <c r="B4" s="7" t="s">
        <v>117</v>
      </c>
      <c r="C4" s="7" t="s">
        <v>117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100</v>
      </c>
      <c r="AT4" s="28" t="s">
        <v>76</v>
      </c>
      <c r="AU4" s="29" t="s">
        <v>112</v>
      </c>
      <c r="AV4" s="29" t="s">
        <v>113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103</v>
      </c>
      <c r="BM4" s="29" t="s">
        <v>113</v>
      </c>
      <c r="BN4" s="29" t="s">
        <v>114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G11" sqref="G11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91</v>
      </c>
      <c r="B3" s="6" t="s">
        <v>10</v>
      </c>
      <c r="C3" s="6" t="s">
        <v>92</v>
      </c>
      <c r="D3" s="6" t="s">
        <v>12</v>
      </c>
      <c r="E3" s="6" t="s">
        <v>13</v>
      </c>
      <c r="F3" s="6" t="s">
        <v>93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94</v>
      </c>
      <c r="Q3" s="16" t="s">
        <v>23</v>
      </c>
      <c r="R3" s="15" t="s">
        <v>26</v>
      </c>
      <c r="S3" s="6" t="s">
        <v>95</v>
      </c>
      <c r="T3" s="6" t="s">
        <v>28</v>
      </c>
      <c r="U3" s="17" t="s">
        <v>96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97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118</v>
      </c>
      <c r="C4" s="7" t="s">
        <v>118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100</v>
      </c>
      <c r="AT4" s="28" t="s">
        <v>76</v>
      </c>
      <c r="AU4" s="29" t="s">
        <v>112</v>
      </c>
      <c r="AV4" s="29" t="s">
        <v>113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103</v>
      </c>
      <c r="BM4" s="29" t="s">
        <v>113</v>
      </c>
      <c r="BN4" s="29" t="s">
        <v>114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workbookViewId="0">
      <selection activeCell="H11" sqref="H11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91</v>
      </c>
      <c r="B3" s="6" t="s">
        <v>10</v>
      </c>
      <c r="C3" s="6" t="s">
        <v>92</v>
      </c>
      <c r="D3" s="6" t="s">
        <v>12</v>
      </c>
      <c r="E3" s="6" t="s">
        <v>13</v>
      </c>
      <c r="F3" s="6" t="s">
        <v>93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94</v>
      </c>
      <c r="Q3" s="16" t="s">
        <v>23</v>
      </c>
      <c r="R3" s="15" t="s">
        <v>26</v>
      </c>
      <c r="S3" s="6" t="s">
        <v>95</v>
      </c>
      <c r="T3" s="6" t="s">
        <v>28</v>
      </c>
      <c r="U3" s="17" t="s">
        <v>96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97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119</v>
      </c>
      <c r="C4" s="7" t="s">
        <v>119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100</v>
      </c>
      <c r="AT4" s="28" t="s">
        <v>76</v>
      </c>
      <c r="AU4" s="29" t="s">
        <v>112</v>
      </c>
      <c r="AV4" s="29" t="s">
        <v>113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103</v>
      </c>
      <c r="BM4" s="29" t="s">
        <v>113</v>
      </c>
      <c r="BN4" s="29" t="s">
        <v>114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F12" sqref="F12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91</v>
      </c>
      <c r="B3" s="6" t="s">
        <v>10</v>
      </c>
      <c r="C3" s="6" t="s">
        <v>92</v>
      </c>
      <c r="D3" s="6" t="s">
        <v>12</v>
      </c>
      <c r="E3" s="6" t="s">
        <v>13</v>
      </c>
      <c r="F3" s="6" t="s">
        <v>93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94</v>
      </c>
      <c r="Q3" s="16" t="s">
        <v>23</v>
      </c>
      <c r="R3" s="15" t="s">
        <v>26</v>
      </c>
      <c r="S3" s="6" t="s">
        <v>95</v>
      </c>
      <c r="T3" s="6" t="s">
        <v>28</v>
      </c>
      <c r="U3" s="17" t="s">
        <v>96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97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120</v>
      </c>
      <c r="C4" s="7" t="s">
        <v>120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100</v>
      </c>
      <c r="AT4" s="28" t="s">
        <v>76</v>
      </c>
      <c r="AU4" s="29" t="s">
        <v>112</v>
      </c>
      <c r="AV4" s="29" t="s">
        <v>113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103</v>
      </c>
      <c r="BM4" s="29" t="s">
        <v>113</v>
      </c>
      <c r="BN4" s="29" t="s">
        <v>114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16" sqref="I16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91</v>
      </c>
      <c r="B3" s="6" t="s">
        <v>10</v>
      </c>
      <c r="C3" s="6" t="s">
        <v>92</v>
      </c>
      <c r="D3" s="6" t="s">
        <v>12</v>
      </c>
      <c r="E3" s="6" t="s">
        <v>13</v>
      </c>
      <c r="F3" s="6" t="s">
        <v>93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94</v>
      </c>
      <c r="Q3" s="16" t="s">
        <v>23</v>
      </c>
      <c r="R3" s="15" t="s">
        <v>26</v>
      </c>
      <c r="S3" s="6" t="s">
        <v>95</v>
      </c>
      <c r="T3" s="6" t="s">
        <v>28</v>
      </c>
      <c r="U3" s="17" t="s">
        <v>96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97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121</v>
      </c>
      <c r="C4" s="7" t="s">
        <v>121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100</v>
      </c>
      <c r="AT4" s="28" t="s">
        <v>76</v>
      </c>
      <c r="AU4" s="29" t="s">
        <v>112</v>
      </c>
      <c r="AV4" s="29" t="s">
        <v>113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103</v>
      </c>
      <c r="BM4" s="29" t="s">
        <v>113</v>
      </c>
      <c r="BN4" s="29" t="s">
        <v>114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F14" sqref="F14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91</v>
      </c>
      <c r="B3" s="6" t="s">
        <v>10</v>
      </c>
      <c r="C3" s="6" t="s">
        <v>92</v>
      </c>
      <c r="D3" s="6" t="s">
        <v>12</v>
      </c>
      <c r="E3" s="6" t="s">
        <v>13</v>
      </c>
      <c r="F3" s="6" t="s">
        <v>93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94</v>
      </c>
      <c r="Q3" s="16" t="s">
        <v>23</v>
      </c>
      <c r="R3" s="15" t="s">
        <v>26</v>
      </c>
      <c r="S3" s="6" t="s">
        <v>95</v>
      </c>
      <c r="T3" s="6" t="s">
        <v>28</v>
      </c>
      <c r="U3" s="17" t="s">
        <v>96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97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122</v>
      </c>
      <c r="C4" s="7" t="s">
        <v>122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100</v>
      </c>
      <c r="AT4" s="28" t="s">
        <v>76</v>
      </c>
      <c r="AU4" s="29" t="s">
        <v>112</v>
      </c>
      <c r="AV4" s="29" t="s">
        <v>113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103</v>
      </c>
      <c r="BM4" s="29" t="s">
        <v>113</v>
      </c>
      <c r="BN4" s="29" t="s">
        <v>114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10" sqref="E10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91</v>
      </c>
      <c r="B3" s="6" t="s">
        <v>10</v>
      </c>
      <c r="C3" s="6" t="s">
        <v>92</v>
      </c>
      <c r="D3" s="6" t="s">
        <v>12</v>
      </c>
      <c r="E3" s="6" t="s">
        <v>13</v>
      </c>
      <c r="F3" s="6" t="s">
        <v>93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94</v>
      </c>
      <c r="Q3" s="16" t="s">
        <v>23</v>
      </c>
      <c r="R3" s="15" t="s">
        <v>26</v>
      </c>
      <c r="S3" s="6" t="s">
        <v>95</v>
      </c>
      <c r="T3" s="6" t="s">
        <v>28</v>
      </c>
      <c r="U3" s="17" t="s">
        <v>96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97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spans="1:69">
      <c r="A4" s="7">
        <v>1</v>
      </c>
      <c r="B4" s="7" t="s">
        <v>123</v>
      </c>
      <c r="C4" s="7" t="s">
        <v>123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100</v>
      </c>
      <c r="AT4" s="28" t="s">
        <v>76</v>
      </c>
      <c r="AU4" s="29" t="s">
        <v>112</v>
      </c>
      <c r="AV4" s="29" t="s">
        <v>113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103</v>
      </c>
      <c r="BM4" s="29" t="s">
        <v>113</v>
      </c>
      <c r="BN4" s="29" t="s">
        <v>114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G11" sqref="G11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91</v>
      </c>
      <c r="B3" s="6" t="s">
        <v>10</v>
      </c>
      <c r="C3" s="6" t="s">
        <v>92</v>
      </c>
      <c r="D3" s="6" t="s">
        <v>12</v>
      </c>
      <c r="E3" s="6" t="s">
        <v>13</v>
      </c>
      <c r="F3" s="6" t="s">
        <v>93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94</v>
      </c>
      <c r="Q3" s="16" t="s">
        <v>23</v>
      </c>
      <c r="R3" s="15" t="s">
        <v>26</v>
      </c>
      <c r="S3" s="6" t="s">
        <v>95</v>
      </c>
      <c r="T3" s="6" t="s">
        <v>28</v>
      </c>
      <c r="U3" s="17" t="s">
        <v>96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97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124</v>
      </c>
      <c r="C4" s="7" t="s">
        <v>124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100</v>
      </c>
      <c r="AT4" s="28" t="s">
        <v>76</v>
      </c>
      <c r="AU4" s="29" t="s">
        <v>112</v>
      </c>
      <c r="AV4" s="29" t="s">
        <v>113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103</v>
      </c>
      <c r="BM4" s="29" t="s">
        <v>113</v>
      </c>
      <c r="BN4" s="29" t="s">
        <v>114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E10" sqref="E10"/>
    </sheetView>
  </sheetViews>
  <sheetFormatPr defaultColWidth="8.70909090909091" defaultRowHeight="14.5" outlineLevelRow="4"/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4"/>
      <c r="J1" s="14"/>
      <c r="K1" s="14"/>
      <c r="L1" s="14"/>
      <c r="M1" s="14"/>
      <c r="N1" s="14"/>
      <c r="O1" s="14"/>
      <c r="P1" s="14"/>
      <c r="Q1" s="14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30"/>
      <c r="BQ1" s="30"/>
    </row>
    <row r="2" ht="15.2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4" t="s">
        <v>3</v>
      </c>
      <c r="J2" s="14" t="s">
        <v>4</v>
      </c>
      <c r="K2" s="14"/>
      <c r="L2" s="14" t="s">
        <v>5</v>
      </c>
      <c r="M2" s="14">
        <v>1</v>
      </c>
      <c r="N2" s="14"/>
      <c r="O2" s="14" t="s">
        <v>6</v>
      </c>
      <c r="P2" s="14">
        <v>2</v>
      </c>
      <c r="Q2" s="14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30"/>
      <c r="BQ2" s="30"/>
    </row>
    <row r="3" ht="45" spans="1:69">
      <c r="A3" s="6" t="s">
        <v>91</v>
      </c>
      <c r="B3" s="6" t="s">
        <v>10</v>
      </c>
      <c r="C3" s="6" t="s">
        <v>92</v>
      </c>
      <c r="D3" s="6" t="s">
        <v>12</v>
      </c>
      <c r="E3" s="6" t="s">
        <v>13</v>
      </c>
      <c r="F3" s="6" t="s">
        <v>93</v>
      </c>
      <c r="G3" s="6" t="s">
        <v>15</v>
      </c>
      <c r="H3" s="6" t="s">
        <v>16</v>
      </c>
      <c r="I3" s="15" t="s">
        <v>17</v>
      </c>
      <c r="J3" s="15" t="s">
        <v>19</v>
      </c>
      <c r="K3" s="15" t="s">
        <v>18</v>
      </c>
      <c r="L3" s="16" t="s">
        <v>20</v>
      </c>
      <c r="M3" s="16" t="s">
        <v>21</v>
      </c>
      <c r="N3" s="16" t="s">
        <v>24</v>
      </c>
      <c r="O3" s="16" t="s">
        <v>25</v>
      </c>
      <c r="P3" s="16" t="s">
        <v>94</v>
      </c>
      <c r="Q3" s="16" t="s">
        <v>23</v>
      </c>
      <c r="R3" s="15" t="s">
        <v>26</v>
      </c>
      <c r="S3" s="6" t="s">
        <v>95</v>
      </c>
      <c r="T3" s="6" t="s">
        <v>28</v>
      </c>
      <c r="U3" s="17" t="s">
        <v>96</v>
      </c>
      <c r="V3" s="17" t="s">
        <v>30</v>
      </c>
      <c r="W3" s="17" t="s">
        <v>31</v>
      </c>
      <c r="X3" s="17" t="s">
        <v>32</v>
      </c>
      <c r="Y3" s="19" t="s">
        <v>33</v>
      </c>
      <c r="Z3" s="19" t="s">
        <v>34</v>
      </c>
      <c r="AA3" s="19" t="s">
        <v>35</v>
      </c>
      <c r="AB3" s="19" t="s">
        <v>36</v>
      </c>
      <c r="AC3" s="20" t="s">
        <v>37</v>
      </c>
      <c r="AD3" s="20" t="s">
        <v>38</v>
      </c>
      <c r="AE3" s="20" t="s">
        <v>39</v>
      </c>
      <c r="AF3" s="20" t="s">
        <v>40</v>
      </c>
      <c r="AG3" s="20" t="s">
        <v>41</v>
      </c>
      <c r="AH3" s="20" t="s">
        <v>42</v>
      </c>
      <c r="AI3" s="20" t="s">
        <v>43</v>
      </c>
      <c r="AJ3" s="20" t="s">
        <v>44</v>
      </c>
      <c r="AK3" s="20" t="s">
        <v>45</v>
      </c>
      <c r="AL3" s="20" t="s">
        <v>46</v>
      </c>
      <c r="AM3" s="20" t="s">
        <v>47</v>
      </c>
      <c r="AN3" s="20" t="s">
        <v>48</v>
      </c>
      <c r="AO3" s="20" t="s">
        <v>49</v>
      </c>
      <c r="AP3" s="20" t="s">
        <v>50</v>
      </c>
      <c r="AQ3" s="20" t="s">
        <v>51</v>
      </c>
      <c r="AR3" s="24" t="s">
        <v>97</v>
      </c>
      <c r="AS3" s="25" t="s">
        <v>53</v>
      </c>
      <c r="AT3" s="25" t="s">
        <v>51</v>
      </c>
      <c r="AU3" s="26" t="s">
        <v>54</v>
      </c>
      <c r="AV3" s="26" t="s">
        <v>55</v>
      </c>
      <c r="AW3" s="26" t="s">
        <v>56</v>
      </c>
      <c r="AX3" s="26" t="s">
        <v>57</v>
      </c>
      <c r="AY3" s="26" t="s">
        <v>58</v>
      </c>
      <c r="AZ3" s="26" t="s">
        <v>59</v>
      </c>
      <c r="BA3" s="26" t="s">
        <v>60</v>
      </c>
      <c r="BB3" s="26" t="s">
        <v>61</v>
      </c>
      <c r="BC3" s="31" t="s">
        <v>62</v>
      </c>
      <c r="BD3" s="31" t="s">
        <v>63</v>
      </c>
      <c r="BE3" s="31" t="s">
        <v>64</v>
      </c>
      <c r="BF3" s="26" t="s">
        <v>65</v>
      </c>
      <c r="BG3" s="26" t="s">
        <v>66</v>
      </c>
      <c r="BH3" s="26" t="s">
        <v>67</v>
      </c>
      <c r="BI3" s="26" t="s">
        <v>68</v>
      </c>
      <c r="BJ3" s="26" t="s">
        <v>69</v>
      </c>
      <c r="BK3" s="26" t="s">
        <v>70</v>
      </c>
      <c r="BL3" s="26" t="s">
        <v>71</v>
      </c>
      <c r="BM3" s="26" t="s">
        <v>72</v>
      </c>
      <c r="BN3" s="26" t="s">
        <v>73</v>
      </c>
      <c r="BO3" s="26" t="s">
        <v>59</v>
      </c>
      <c r="BP3" s="26" t="s">
        <v>74</v>
      </c>
      <c r="BQ3" s="26" t="s">
        <v>28</v>
      </c>
    </row>
    <row r="4" ht="15.25" spans="1:69">
      <c r="A4" s="7">
        <v>1</v>
      </c>
      <c r="B4" s="7" t="s">
        <v>125</v>
      </c>
      <c r="C4" s="7" t="s">
        <v>125</v>
      </c>
      <c r="D4" s="7" t="s">
        <v>76</v>
      </c>
      <c r="E4" s="7" t="s">
        <v>76</v>
      </c>
      <c r="F4" s="8">
        <v>4</v>
      </c>
      <c r="G4" s="8">
        <v>100</v>
      </c>
      <c r="H4" s="8">
        <v>400</v>
      </c>
      <c r="I4" s="8">
        <v>4</v>
      </c>
      <c r="J4" s="8">
        <v>9</v>
      </c>
      <c r="K4" s="8">
        <v>6</v>
      </c>
      <c r="L4" s="8">
        <v>400</v>
      </c>
      <c r="M4" s="8">
        <v>16</v>
      </c>
      <c r="N4" s="8">
        <v>384</v>
      </c>
      <c r="O4" s="8">
        <v>34.56</v>
      </c>
      <c r="P4" s="8">
        <v>349.44</v>
      </c>
      <c r="Q4" s="8">
        <v>20.97</v>
      </c>
      <c r="R4" s="8">
        <v>71.53</v>
      </c>
      <c r="S4" s="8">
        <v>328.47</v>
      </c>
      <c r="T4" s="8">
        <v>88363222</v>
      </c>
      <c r="U4" s="8">
        <v>18</v>
      </c>
      <c r="V4" s="8">
        <v>0</v>
      </c>
      <c r="W4" s="8">
        <v>0</v>
      </c>
      <c r="X4" s="8">
        <v>59.12</v>
      </c>
      <c r="Y4" s="8">
        <v>0</v>
      </c>
      <c r="Z4" s="8">
        <v>0</v>
      </c>
      <c r="AA4" s="8">
        <v>0</v>
      </c>
      <c r="AB4" s="8">
        <v>59.12</v>
      </c>
      <c r="AC4" s="8">
        <v>328.47</v>
      </c>
      <c r="AD4" s="21">
        <v>120</v>
      </c>
      <c r="AE4" s="21">
        <v>0</v>
      </c>
      <c r="AF4" s="21"/>
      <c r="AG4" s="21">
        <v>0</v>
      </c>
      <c r="AH4" s="21">
        <v>0</v>
      </c>
      <c r="AI4" s="21">
        <v>328.47</v>
      </c>
      <c r="AJ4" s="21">
        <v>0</v>
      </c>
      <c r="AK4" s="21">
        <v>0</v>
      </c>
      <c r="AL4" s="22">
        <v>1</v>
      </c>
      <c r="AM4" s="21">
        <v>4</v>
      </c>
      <c r="AN4" s="21">
        <v>82.1175</v>
      </c>
      <c r="AO4" s="21">
        <v>0</v>
      </c>
      <c r="AP4" s="21">
        <v>0</v>
      </c>
      <c r="AQ4" s="21" t="s">
        <v>76</v>
      </c>
      <c r="AR4" s="21">
        <v>82.1175</v>
      </c>
      <c r="AS4" s="27" t="s">
        <v>100</v>
      </c>
      <c r="AT4" s="28" t="s">
        <v>76</v>
      </c>
      <c r="AU4" s="29" t="s">
        <v>112</v>
      </c>
      <c r="AV4" s="29" t="s">
        <v>113</v>
      </c>
      <c r="AW4" s="28">
        <v>4</v>
      </c>
      <c r="AX4" s="28">
        <v>82.1175</v>
      </c>
      <c r="AY4" s="28">
        <v>52</v>
      </c>
      <c r="AZ4" s="28">
        <v>82.12</v>
      </c>
      <c r="BA4" s="32"/>
      <c r="BB4" s="32" t="s">
        <v>80</v>
      </c>
      <c r="BC4" s="33" t="s">
        <v>81</v>
      </c>
      <c r="BD4" s="34" t="s">
        <v>82</v>
      </c>
      <c r="BE4" s="34" t="s">
        <v>83</v>
      </c>
      <c r="BF4" s="32"/>
      <c r="BG4" s="32"/>
      <c r="BH4" s="32"/>
      <c r="BI4" s="28"/>
      <c r="BJ4" s="28"/>
      <c r="BK4" s="28"/>
      <c r="BL4" s="35" t="s">
        <v>103</v>
      </c>
      <c r="BM4" s="29" t="s">
        <v>113</v>
      </c>
      <c r="BN4" s="29" t="s">
        <v>114</v>
      </c>
      <c r="BO4" s="28">
        <v>82.12</v>
      </c>
      <c r="BP4" s="36">
        <v>56</v>
      </c>
      <c r="BQ4" s="37">
        <v>123562</v>
      </c>
    </row>
    <row r="5" ht="15.25" spans="1:69">
      <c r="A5" s="9"/>
      <c r="B5" s="10"/>
      <c r="C5" s="10"/>
      <c r="D5" s="11" t="s">
        <v>87</v>
      </c>
      <c r="E5" s="11"/>
      <c r="F5" s="11"/>
      <c r="G5" s="12"/>
      <c r="H5" s="13">
        <f>SUM(H4:H4)</f>
        <v>400</v>
      </c>
      <c r="I5" s="7"/>
      <c r="J5" s="7"/>
      <c r="K5" s="7"/>
      <c r="L5" s="7"/>
      <c r="M5" s="7"/>
      <c r="N5" s="7"/>
      <c r="O5" s="7"/>
      <c r="P5" s="7"/>
      <c r="Q5" s="7"/>
      <c r="R5" s="13">
        <f t="shared" ref="R5:AK5" si="0">SUM(R4:R4)</f>
        <v>71.53</v>
      </c>
      <c r="S5" s="13">
        <f t="shared" si="0"/>
        <v>328.47</v>
      </c>
      <c r="T5" s="18"/>
      <c r="U5" s="18"/>
      <c r="V5" s="13">
        <f t="shared" si="0"/>
        <v>0</v>
      </c>
      <c r="W5" s="13">
        <f t="shared" si="0"/>
        <v>0</v>
      </c>
      <c r="X5" s="13">
        <f t="shared" si="0"/>
        <v>59.12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59.12</v>
      </c>
      <c r="AC5" s="13">
        <f t="shared" si="0"/>
        <v>328.47</v>
      </c>
      <c r="AD5" s="13">
        <f t="shared" si="0"/>
        <v>120</v>
      </c>
      <c r="AE5" s="13">
        <f t="shared" si="0"/>
        <v>0</v>
      </c>
      <c r="AF5" s="13">
        <f t="shared" si="0"/>
        <v>0</v>
      </c>
      <c r="AG5" s="13">
        <f t="shared" si="0"/>
        <v>0</v>
      </c>
      <c r="AH5" s="13">
        <f t="shared" si="0"/>
        <v>0</v>
      </c>
      <c r="AI5" s="13">
        <f t="shared" si="0"/>
        <v>328.47</v>
      </c>
      <c r="AJ5" s="13">
        <f t="shared" si="0"/>
        <v>0</v>
      </c>
      <c r="AK5" s="13">
        <f t="shared" si="0"/>
        <v>0</v>
      </c>
      <c r="AL5" s="23"/>
      <c r="AM5" s="23"/>
      <c r="AN5" s="23"/>
      <c r="AO5" s="23"/>
      <c r="AP5" s="23"/>
      <c r="AQ5" s="23"/>
      <c r="AR5" s="23"/>
      <c r="AS5" s="9"/>
      <c r="AT5" s="9"/>
      <c r="AU5" s="30"/>
      <c r="AV5" s="3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30"/>
      <c r="BQ5" s="30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24</vt:i4>
      </vt:variant>
    </vt:vector>
  </HeadingPairs>
  <TitlesOfParts>
    <vt:vector size="24" baseType="lpstr">
      <vt:lpstr>DomesticPoFOCUDGeneralSameUOM</vt:lpstr>
      <vt:lpstr>DomesticPoFOCUDGeneralDiffUOM</vt:lpstr>
      <vt:lpstr>ImportPoFOCUDGeneralDiffUOM</vt:lpstr>
      <vt:lpstr>DomesticPoFOCUDServiceSameUOM</vt:lpstr>
      <vt:lpstr>ImportPoFOCUDGeneralSameUOM</vt:lpstr>
      <vt:lpstr>ImportPoFOCUDServiceSameUOM</vt:lpstr>
      <vt:lpstr>DomesticPRPoFOCUDGeneralSameUOM</vt:lpstr>
      <vt:lpstr>ImportPRPoFOCUDGeneralSameUOM</vt:lpstr>
      <vt:lpstr>DomesticPRPoFOCUDGeneralDiffUOM</vt:lpstr>
      <vt:lpstr>ImportPRPoFOCUDGeneralDiffUOM</vt:lpstr>
      <vt:lpstr>DomesticPRPoFOCUDServiceSameUOM</vt:lpstr>
      <vt:lpstr>ImportPRPoFOCUDServiceSameUOM</vt:lpstr>
      <vt:lpstr>D-PoToGRNFOCUDGeneralSameUOMWOI</vt:lpstr>
      <vt:lpstr>D-PoToGRNFOCRCGeneralSameUOMWOI</vt:lpstr>
      <vt:lpstr>D-PoToGRNFOCPLGeneralSameUOMWOI</vt:lpstr>
      <vt:lpstr>D-PoToGRNFOCUDGeneralDiffUOMWOI</vt:lpstr>
      <vt:lpstr>D-PoToGRNFOCRCGeneralDiffUOMWOI</vt:lpstr>
      <vt:lpstr>D-PoToGRNFOCPLGeneralDiffUOMWOI</vt:lpstr>
      <vt:lpstr>D-PoToGRNFOCUDGeneralSameUOMWI</vt:lpstr>
      <vt:lpstr>D-PoToGRNFOCRCGeneralSameUOMWI</vt:lpstr>
      <vt:lpstr>D-PoToGRNFOCPLGeneralSameUOMWI</vt:lpstr>
      <vt:lpstr>D-PoToGRNFOCUDGeneralDiffUOMWI</vt:lpstr>
      <vt:lpstr>D-PoToGRNFOCRCGeneralDiffUOMWI</vt:lpstr>
      <vt:lpstr>D-PoToGRNFOCPLGeneralDiffUOMWI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Sakthi R</cp:lastModifiedBy>
  <dcterms:created xsi:type="dcterms:W3CDTF">2025-12-11T12:04:00Z</dcterms:created>
  <dcterms:modified xsi:type="dcterms:W3CDTF">2026-01-22T10:06:29Z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1033-12.2.0.23196</vt:lpwstr>
  </property>
</Properties>
</file>