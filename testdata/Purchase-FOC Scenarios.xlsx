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Administrator\Documents\GitHub - Repos\roadmap\testdata\"/>
    </mc:Choice>
  </mc:AlternateContent>
  <bookViews>
    <workbookView xWindow="0" yWindow="0" windowWidth="19200" windowHeight="6915" firstSheet="1" activeTab="1"/>
  </bookViews>
  <sheets>
    <sheet name="DomesticPoFOCUDGeneralSameUOM" sheetId="11" r:id="rId1"/>
    <sheet name="DomesticPoFOCUDGeneralDiffUOM" sheetId="22" r:id="rId2"/>
    <sheet name="ImportPoFOCUDGeneralDiffUOM" sheetId="23" r:id="rId3"/>
    <sheet name="DomesticPoFOCUDServiceSameUOM" sheetId="21" r:id="rId4"/>
    <sheet name="ImportPoFOCUDGeneralSameUOM" sheetId="17" r:id="rId5"/>
    <sheet name="ImportPoFOCUDServiceSameUOM" sheetId="13" r:id="rId6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5" i="13" l="1"/>
  <c r="AJ5" i="13"/>
  <c r="AI5" i="13"/>
  <c r="AH5" i="13"/>
  <c r="AG5" i="13"/>
  <c r="AE5" i="13"/>
  <c r="AD5" i="13"/>
  <c r="AC5" i="13"/>
  <c r="AB5" i="13"/>
  <c r="X5" i="13"/>
  <c r="W5" i="13"/>
  <c r="V5" i="13"/>
  <c r="S5" i="13"/>
  <c r="R5" i="13"/>
  <c r="H5" i="13"/>
  <c r="BP4" i="13"/>
  <c r="BO4" i="13"/>
  <c r="AZ4" i="13"/>
  <c r="AY4" i="13"/>
  <c r="AX4" i="13"/>
  <c r="AW4" i="13"/>
  <c r="AR4" i="13"/>
  <c r="AP4" i="13"/>
  <c r="AO4" i="13"/>
  <c r="AN4" i="13"/>
  <c r="AM4" i="13"/>
  <c r="AK4" i="13"/>
  <c r="AJ4" i="13"/>
  <c r="AI4" i="13"/>
  <c r="AH4" i="13"/>
  <c r="AG4" i="13"/>
  <c r="AE4" i="13"/>
  <c r="AC4" i="13"/>
  <c r="AB4" i="13"/>
  <c r="AA4" i="13"/>
  <c r="Y4" i="13"/>
  <c r="X4" i="13"/>
  <c r="W4" i="13"/>
  <c r="V4" i="13"/>
  <c r="S4" i="13"/>
  <c r="R4" i="13"/>
  <c r="Q4" i="13"/>
  <c r="P4" i="13"/>
  <c r="O4" i="13"/>
  <c r="N4" i="13"/>
  <c r="M4" i="13"/>
  <c r="L4" i="13"/>
  <c r="H4" i="13"/>
  <c r="AK5" i="17"/>
  <c r="AJ5" i="17"/>
  <c r="AI5" i="17"/>
  <c r="AH5" i="17"/>
  <c r="AG5" i="17"/>
  <c r="AE5" i="17"/>
  <c r="AD5" i="17"/>
  <c r="AC5" i="17"/>
  <c r="AB5" i="17"/>
  <c r="X5" i="17"/>
  <c r="W5" i="17"/>
  <c r="V5" i="17"/>
  <c r="S5" i="17"/>
  <c r="R5" i="17"/>
  <c r="H5" i="17"/>
  <c r="BP4" i="17"/>
  <c r="BO4" i="17"/>
  <c r="AZ4" i="17"/>
  <c r="AY4" i="17"/>
  <c r="AX4" i="17"/>
  <c r="AW4" i="17"/>
  <c r="AR4" i="17"/>
  <c r="AP4" i="17"/>
  <c r="AO4" i="17"/>
  <c r="AN4" i="17"/>
  <c r="AM4" i="17"/>
  <c r="AK4" i="17"/>
  <c r="AJ4" i="17"/>
  <c r="AI4" i="17"/>
  <c r="AH4" i="17"/>
  <c r="AG4" i="17"/>
  <c r="AE4" i="17"/>
  <c r="AC4" i="17"/>
  <c r="AB4" i="17"/>
  <c r="AA4" i="17"/>
  <c r="Y4" i="17"/>
  <c r="X4" i="17"/>
  <c r="W4" i="17"/>
  <c r="V4" i="17"/>
  <c r="S4" i="17"/>
  <c r="R4" i="17"/>
  <c r="Q4" i="17"/>
  <c r="P4" i="17"/>
  <c r="O4" i="17"/>
  <c r="N4" i="17"/>
  <c r="M4" i="17"/>
  <c r="L4" i="17"/>
  <c r="H4" i="17"/>
  <c r="AK5" i="21"/>
  <c r="AJ5" i="21"/>
  <c r="AI5" i="21"/>
  <c r="AH5" i="21"/>
  <c r="AG5" i="21"/>
  <c r="AE5" i="21"/>
  <c r="AD5" i="21"/>
  <c r="AC5" i="21"/>
  <c r="AB5" i="21"/>
  <c r="X5" i="21"/>
  <c r="W5" i="21"/>
  <c r="V5" i="21"/>
  <c r="S5" i="21"/>
  <c r="R5" i="21"/>
  <c r="H5" i="21"/>
  <c r="BP4" i="21"/>
  <c r="BO4" i="21"/>
  <c r="AZ4" i="21"/>
  <c r="AY4" i="21"/>
  <c r="AX4" i="21"/>
  <c r="AW4" i="21"/>
  <c r="AR4" i="21"/>
  <c r="AP4" i="21"/>
  <c r="AO4" i="21"/>
  <c r="AN4" i="21"/>
  <c r="AM4" i="21"/>
  <c r="AK4" i="21"/>
  <c r="AJ4" i="21"/>
  <c r="AI4" i="21"/>
  <c r="AH4" i="21"/>
  <c r="AG4" i="21"/>
  <c r="AE4" i="21"/>
  <c r="AC4" i="21"/>
  <c r="AB4" i="21"/>
  <c r="Y4" i="21"/>
  <c r="X4" i="21"/>
  <c r="W4" i="21"/>
  <c r="V4" i="21"/>
  <c r="S4" i="21"/>
  <c r="R4" i="21"/>
  <c r="Q4" i="21"/>
  <c r="P4" i="21"/>
  <c r="O4" i="21"/>
  <c r="N4" i="21"/>
  <c r="M4" i="21"/>
  <c r="L4" i="21"/>
  <c r="H4" i="21"/>
  <c r="AK5" i="23"/>
  <c r="AJ5" i="23"/>
  <c r="AI5" i="23"/>
  <c r="AH5" i="23"/>
  <c r="AG5" i="23"/>
  <c r="AE5" i="23"/>
  <c r="AD5" i="23"/>
  <c r="S5" i="23"/>
  <c r="R5" i="23"/>
  <c r="H5" i="23"/>
  <c r="BP4" i="23"/>
  <c r="BO4" i="23"/>
  <c r="AZ4" i="23"/>
  <c r="AY4" i="23"/>
  <c r="AX4" i="23"/>
  <c r="AW4" i="23"/>
  <c r="AR4" i="23"/>
  <c r="AP4" i="23"/>
  <c r="AO4" i="23"/>
  <c r="AN4" i="23"/>
  <c r="AM4" i="23"/>
  <c r="AK4" i="23"/>
  <c r="AJ4" i="23"/>
  <c r="AI4" i="23"/>
  <c r="AH4" i="23"/>
  <c r="AG4" i="23"/>
  <c r="AE4" i="23"/>
  <c r="AA4" i="23"/>
  <c r="Y4" i="23"/>
  <c r="X4" i="23"/>
  <c r="X5" i="23" s="1"/>
  <c r="W4" i="23"/>
  <c r="W5" i="23" s="1"/>
  <c r="V4" i="23"/>
  <c r="AB4" i="23" s="1"/>
  <c r="S4" i="23"/>
  <c r="R4" i="23"/>
  <c r="Q4" i="23"/>
  <c r="P4" i="23"/>
  <c r="O4" i="23"/>
  <c r="N4" i="23"/>
  <c r="M4" i="23"/>
  <c r="L4" i="23"/>
  <c r="H4" i="23"/>
  <c r="AJ5" i="22"/>
  <c r="AI5" i="22"/>
  <c r="AH5" i="22"/>
  <c r="AG5" i="22"/>
  <c r="AE5" i="22"/>
  <c r="AD5" i="22"/>
  <c r="X5" i="22"/>
  <c r="S5" i="22"/>
  <c r="R5" i="22"/>
  <c r="H5" i="22"/>
  <c r="BP4" i="22"/>
  <c r="AY4" i="22"/>
  <c r="AW4" i="22"/>
  <c r="AN4" i="22"/>
  <c r="AM4" i="22"/>
  <c r="AK4" i="22"/>
  <c r="AP4" i="22" s="1"/>
  <c r="AJ4" i="22"/>
  <c r="AO4" i="22" s="1"/>
  <c r="AR4" i="22" s="1"/>
  <c r="AX4" i="22" s="1"/>
  <c r="AZ4" i="22" s="1"/>
  <c r="BO4" i="22" s="1"/>
  <c r="AI4" i="22"/>
  <c r="AH4" i="22"/>
  <c r="AG4" i="22"/>
  <c r="AE4" i="22"/>
  <c r="AA4" i="22"/>
  <c r="Y4" i="22"/>
  <c r="X4" i="22"/>
  <c r="W4" i="22"/>
  <c r="W5" i="22" s="1"/>
  <c r="V4" i="22"/>
  <c r="AB4" i="22" s="1"/>
  <c r="S4" i="22"/>
  <c r="R4" i="22"/>
  <c r="Q4" i="22"/>
  <c r="P4" i="22"/>
  <c r="O4" i="22"/>
  <c r="N4" i="22"/>
  <c r="M4" i="22"/>
  <c r="L4" i="22"/>
  <c r="H4" i="22"/>
  <c r="AK5" i="11"/>
  <c r="AJ5" i="11"/>
  <c r="AI5" i="11"/>
  <c r="AH5" i="11"/>
  <c r="AG5" i="11"/>
  <c r="AE5" i="11"/>
  <c r="AD5" i="11"/>
  <c r="AC5" i="11"/>
  <c r="AB5" i="11"/>
  <c r="X5" i="11"/>
  <c r="W5" i="11"/>
  <c r="V5" i="11"/>
  <c r="S5" i="11"/>
  <c r="R5" i="11"/>
  <c r="H5" i="11"/>
  <c r="BP4" i="11"/>
  <c r="BO4" i="11"/>
  <c r="AZ4" i="11"/>
  <c r="AY4" i="11"/>
  <c r="AX4" i="11"/>
  <c r="AW4" i="11"/>
  <c r="AR4" i="11"/>
  <c r="AP4" i="11"/>
  <c r="AO4" i="11"/>
  <c r="AN4" i="11"/>
  <c r="AM4" i="11"/>
  <c r="AK4" i="11"/>
  <c r="AJ4" i="11"/>
  <c r="AI4" i="11"/>
  <c r="AH4" i="11"/>
  <c r="AG4" i="11"/>
  <c r="AE4" i="11"/>
  <c r="AC4" i="11"/>
  <c r="AB4" i="11"/>
  <c r="AA4" i="11"/>
  <c r="Y4" i="11"/>
  <c r="X4" i="11"/>
  <c r="W4" i="11"/>
  <c r="V4" i="11"/>
  <c r="S4" i="11"/>
  <c r="R4" i="11"/>
  <c r="Q4" i="11"/>
  <c r="P4" i="11"/>
  <c r="O4" i="11"/>
  <c r="N4" i="11"/>
  <c r="M4" i="11"/>
  <c r="L4" i="11"/>
  <c r="H4" i="11"/>
  <c r="AB5" i="22" l="1"/>
  <c r="AC4" i="22"/>
  <c r="AC5" i="22" s="1"/>
  <c r="AK5" i="22"/>
  <c r="V5" i="22"/>
  <c r="AB5" i="23"/>
  <c r="AC4" i="23"/>
  <c r="AC5" i="23" s="1"/>
  <c r="V5" i="23"/>
</calcChain>
</file>

<file path=xl/sharedStrings.xml><?xml version="1.0" encoding="utf-8"?>
<sst xmlns="http://schemas.openxmlformats.org/spreadsheetml/2006/main" count="572" uniqueCount="105">
  <si>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</si>
  <si>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</si>
  <si>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</si>
  <si>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</si>
  <si>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</si>
  <si>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</si>
  <si>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</si>
  <si>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</si>
  <si>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</si>
  <si>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S. No.</t>
  </si>
  <si>
    <t>Item</t>
  </si>
  <si>
    <t>Item Desc.</t>
  </si>
  <si>
    <t>Stk. UOM</t>
  </si>
  <si>
    <t>Pur. UOM</t>
  </si>
  <si>
    <t>Order Qty (Pur UOM)</t>
  </si>
  <si>
    <t>Unit Cost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</si>
  <si>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</si>
  <si>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</si>
  <si>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</si>
  <si>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</si>
  <si>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</si>
  <si>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</si>
  <si>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</si>
  <si>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</si>
  <si>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</si>
  <si>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</si>
  <si>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</si>
  <si>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</si>
  <si>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</si>
  <si>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</si>
  <si>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</si>
  <si>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</si>
  <si>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</si>
  <si>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</si>
  <si>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</si>
  <si>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</si>
  <si>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</si>
  <si>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</si>
  <si>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</si>
  <si>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</si>
  <si>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</si>
  <si>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</si>
  <si>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</si>
  <si>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</si>
  <si>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</si>
  <si>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</si>
  <si>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</si>
  <si>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</si>
  <si>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</si>
  <si>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</si>
  <si>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</si>
  <si>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</si>
  <si>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</si>
  <si>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</si>
  <si>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</si>
  <si>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</si>
  <si>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</si>
  <si>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</si>
  <si>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</si>
  <si>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</si>
  <si>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</si>
  <si>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</si>
  <si>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</si>
  <si>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</si>
  <si>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</si>
  <si>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</si>
  <si>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</si>
  <si>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</si>
  <si>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</si>
  <si>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</si>
  <si>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</si>
  <si>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</si>
  <si>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</si>
  <si>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</si>
  <si>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</si>
  <si>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GWL_Item_WoQ_UD_Similar_01</t>
  </si>
  <si>
    <t>NOS</t>
  </si>
  <si>
    <t>INS KD</t>
  </si>
  <si>
    <t>14090</t>
  </si>
  <si>
    <t>121.22038</t>
  </si>
  <si>
    <t>Receipt Qty &amp; Unit cost</t>
  </si>
  <si>
    <t>LOT</t>
  </si>
  <si>
    <t>RM</t>
  </si>
  <si>
    <t>RMS</t>
  </si>
  <si>
    <t>RM KD</t>
  </si>
  <si>
    <t>146.85967</t>
  </si>
  <si>
    <t>691</t>
  </si>
  <si>
    <t>Total</t>
  </si>
  <si>
    <t>GWL_ITEM_DISSIMILAR_UOM</t>
  </si>
  <si>
    <t>KGS</t>
  </si>
  <si>
    <t>GWL_Item_FP_service_01</t>
  </si>
  <si>
    <t>No.</t>
  </si>
  <si>
    <t>Item Desc</t>
  </si>
  <si>
    <t>Qty</t>
  </si>
  <si>
    <t>VD Asbl. Val.</t>
  </si>
  <si>
    <t>Pur. Value</t>
  </si>
  <si>
    <t>Tax%</t>
  </si>
  <si>
    <t>Unit cost (Stk. UOM)</t>
  </si>
  <si>
    <t>50</t>
  </si>
  <si>
    <t>5</t>
  </si>
  <si>
    <t>INS WH-1</t>
  </si>
  <si>
    <t>15</t>
  </si>
  <si>
    <t>41.515</t>
  </si>
  <si>
    <t>RM WH-49</t>
  </si>
  <si>
    <t>GWL_ITEM_DISSIMILAR_UOM_DESC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</si>
</sst>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0_);[Red]\(0.00\)"/>
    <numFmt numFmtId="165" formatCode="0.000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9"/>
      <color rgb="FF004153"/>
      <name val="Arial"/>
      <charset val="134"/>
    </font>
    <font>
      <sz val="11"/>
      <color theme="1"/>
      <name val="Calibri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7375408185064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7" tint="0.79970702230903046"/>
        <bgColor indexed="64"/>
      </patternFill>
    </fill>
  </fills>
  <borders count="10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4" fillId="0" borderId="0">
      <alignment vertical="center"/>
    </xf>
  </cellStyleXfs>
  <cellXfs count="52">
    <xf numFmtId="0" fontId="0" fillId="0" borderId="0" xfId="0"/>
    <xf numFmtId="0" fontId="4" fillId="0" borderId="0" xfId="1">
      <alignment vertical="center"/>
    </xf>
    <xf numFmtId="0" fontId="1" fillId="0" borderId="0" xfId="1" applyFont="1" applyFill="1" applyBorder="1" applyAlignment="1"/>
    <xf numFmtId="0" fontId="1" fillId="0" borderId="0" xfId="1" applyFont="1" applyFill="1" applyBorder="1" applyAlignment="1">
      <alignment horizontal="center"/>
    </xf>
    <xf numFmtId="0" fontId="1" fillId="0" borderId="0" xfId="1" applyFont="1" applyFill="1" applyBorder="1" applyAlignment="1">
      <alignment horizontal="center" vertical="center"/>
    </xf>
    <xf numFmtId="0" fontId="1" fillId="0" borderId="0" xfId="1" applyFont="1" applyFill="1" applyBorder="1" applyAlignment="1">
      <alignment horizontal="left" vertical="center"/>
    </xf>
    <xf numFmtId="0" fontId="1" fillId="2" borderId="1" xfId="1" applyFont="1" applyFill="1" applyBorder="1" applyAlignment="1">
      <alignment horizontal="center" vertical="center"/>
    </xf>
    <xf numFmtId="0" fontId="2" fillId="0" borderId="1" xfId="1" applyFont="1" applyFill="1" applyBorder="1" applyAlignment="1"/>
    <xf numFmtId="0" fontId="2" fillId="0" borderId="1" xfId="1" applyNumberFormat="1" applyFont="1" applyFill="1" applyBorder="1" applyAlignment="1"/>
    <xf numFmtId="0" fontId="4" fillId="0" borderId="0" xfId="1" applyFill="1" applyAlignment="1">
      <alignment vertical="center"/>
    </xf>
    <xf numFmtId="0" fontId="2" fillId="0" borderId="0" xfId="1" applyFont="1" applyFill="1" applyAlignment="1"/>
    <xf numFmtId="0" fontId="4" fillId="0" borderId="0" xfId="1" applyFill="1" applyBorder="1" applyAlignment="1"/>
    <xf numFmtId="0" fontId="1" fillId="3" borderId="2" xfId="1" applyFont="1" applyFill="1" applyBorder="1" applyAlignment="1"/>
    <xf numFmtId="0" fontId="1" fillId="3" borderId="3" xfId="1" applyFont="1" applyFill="1" applyBorder="1" applyAlignment="1"/>
    <xf numFmtId="0" fontId="1" fillId="3" borderId="1" xfId="1" applyNumberFormat="1" applyFont="1" applyFill="1" applyBorder="1" applyAlignment="1"/>
    <xf numFmtId="0" fontId="2" fillId="0" borderId="0" xfId="1" applyFont="1" applyFill="1" applyBorder="1" applyAlignment="1"/>
    <xf numFmtId="0" fontId="1" fillId="4" borderId="1" xfId="1" applyFont="1" applyFill="1" applyBorder="1" applyAlignment="1">
      <alignment horizontal="center" vertical="center"/>
    </xf>
    <xf numFmtId="0" fontId="1" fillId="5" borderId="1" xfId="1" applyFont="1" applyFill="1" applyBorder="1" applyAlignment="1">
      <alignment horizontal="center" vertical="center"/>
    </xf>
    <xf numFmtId="0" fontId="1" fillId="6" borderId="1" xfId="1" applyFont="1" applyFill="1" applyBorder="1" applyAlignment="1">
      <alignment horizontal="center" vertical="center"/>
    </xf>
    <xf numFmtId="2" fontId="2" fillId="0" borderId="1" xfId="1" applyNumberFormat="1" applyFont="1" applyFill="1" applyBorder="1" applyAlignment="1"/>
    <xf numFmtId="0" fontId="1" fillId="3" borderId="1" xfId="1" applyFont="1" applyFill="1" applyBorder="1" applyAlignment="1"/>
    <xf numFmtId="2" fontId="1" fillId="3" borderId="1" xfId="1" applyNumberFormat="1" applyFont="1" applyFill="1" applyBorder="1" applyAlignment="1"/>
    <xf numFmtId="0" fontId="1" fillId="6" borderId="4" xfId="1" applyFont="1" applyFill="1" applyBorder="1" applyAlignment="1">
      <alignment horizontal="center" vertical="center"/>
    </xf>
    <xf numFmtId="0" fontId="1" fillId="7" borderId="1" xfId="1" applyFont="1" applyFill="1" applyBorder="1" applyAlignment="1">
      <alignment horizontal="center" vertical="center"/>
    </xf>
    <xf numFmtId="164" fontId="2" fillId="0" borderId="1" xfId="1" applyNumberFormat="1" applyFont="1" applyFill="1" applyBorder="1" applyAlignment="1"/>
    <xf numFmtId="0" fontId="1" fillId="7" borderId="1" xfId="1" applyFont="1" applyFill="1" applyBorder="1" applyAlignment="1"/>
    <xf numFmtId="2" fontId="1" fillId="7" borderId="1" xfId="1" applyNumberFormat="1" applyFont="1" applyFill="1" applyBorder="1" applyAlignment="1"/>
    <xf numFmtId="165" fontId="2" fillId="0" borderId="1" xfId="1" applyNumberFormat="1" applyFont="1" applyFill="1" applyBorder="1" applyAlignment="1"/>
    <xf numFmtId="0" fontId="1" fillId="8" borderId="1" xfId="1" applyFont="1" applyFill="1" applyBorder="1" applyAlignment="1">
      <alignment horizontal="center" vertical="center" wrapText="1"/>
    </xf>
    <xf numFmtId="0" fontId="1" fillId="2" borderId="5" xfId="1" applyFont="1" applyFill="1" applyBorder="1" applyAlignment="1">
      <alignment horizontal="center" vertical="center"/>
    </xf>
    <xf numFmtId="0" fontId="2" fillId="2" borderId="5" xfId="1" applyFont="1" applyFill="1" applyBorder="1" applyAlignment="1"/>
    <xf numFmtId="0" fontId="3" fillId="9" borderId="6" xfId="1" applyFont="1" applyFill="1" applyBorder="1" applyAlignment="1">
      <alignment vertical="center"/>
    </xf>
    <xf numFmtId="0" fontId="2" fillId="0" borderId="7" xfId="1" applyNumberFormat="1" applyFont="1" applyFill="1" applyBorder="1" applyAlignment="1"/>
    <xf numFmtId="0" fontId="4" fillId="0" borderId="0" xfId="1" applyFill="1" applyAlignment="1"/>
    <xf numFmtId="0" fontId="2" fillId="2" borderId="8" xfId="1" applyFont="1" applyFill="1" applyBorder="1" applyAlignment="1"/>
    <xf numFmtId="2" fontId="2" fillId="0" borderId="7" xfId="1" applyNumberFormat="1" applyFont="1" applyFill="1" applyBorder="1" applyAlignment="1"/>
    <xf numFmtId="0" fontId="4" fillId="0" borderId="7" xfId="1" applyNumberFormat="1" applyFill="1" applyBorder="1" applyAlignment="1"/>
    <xf numFmtId="0" fontId="4" fillId="0" borderId="9" xfId="1" applyNumberFormat="1" applyFill="1" applyBorder="1" applyAlignment="1"/>
    <xf numFmtId="0" fontId="0" fillId="0" borderId="9" xfId="1" applyNumberFormat="1" applyFont="1" applyFill="1" applyBorder="1" applyAlignment="1">
      <alignment vertical="center"/>
    </xf>
    <xf numFmtId="0" fontId="3" fillId="0" borderId="0" xfId="1" applyFont="1" applyFill="1" applyAlignment="1">
      <alignment vertical="center"/>
    </xf>
    <xf numFmtId="0" fontId="4" fillId="0" borderId="0" xfId="1" applyNumberFormat="1" applyFill="1" applyAlignment="1"/>
    <xf numFmtId="0" fontId="4" fillId="0" borderId="0" xfId="1" applyNumberFormat="1" applyFill="1" applyAlignment="1">
      <alignment horizontal="center"/>
    </xf>
    <xf numFmtId="0" fontId="1" fillId="2" borderId="4" xfId="1" applyFont="1" applyFill="1" applyBorder="1" applyAlignment="1">
      <alignment horizontal="center" vertical="center"/>
    </xf>
    <xf numFmtId="0" fontId="1" fillId="2" borderId="4" xfId="1" applyFont="1" applyFill="1" applyBorder="1" applyAlignment="1">
      <alignment horizontal="left" vertical="center"/>
    </xf>
    <xf numFmtId="0" fontId="1" fillId="2" borderId="4" xfId="1" applyFont="1" applyFill="1" applyBorder="1" applyAlignment="1">
      <alignment horizontal="center" vertical="center" wrapText="1"/>
    </xf>
    <xf numFmtId="0" fontId="1" fillId="4" borderId="4" xfId="1" applyFont="1" applyFill="1" applyBorder="1" applyAlignment="1">
      <alignment horizontal="center" vertical="center"/>
    </xf>
    <xf numFmtId="0" fontId="1" fillId="10" borderId="4" xfId="1" applyFont="1" applyFill="1" applyBorder="1" applyAlignment="1">
      <alignment horizontal="center" vertical="center"/>
    </xf>
    <xf numFmtId="0" fontId="1" fillId="7" borderId="4" xfId="1" applyFont="1" applyFill="1" applyBorder="1" applyAlignment="1">
      <alignment horizontal="center" vertical="center"/>
    </xf>
    <xf numFmtId="0" fontId="1" fillId="7" borderId="4" xfId="1" applyFont="1" applyFill="1" applyBorder="1" applyAlignment="1">
      <alignment horizontal="center" vertical="center" wrapText="1"/>
    </xf>
    <xf numFmtId="0" fontId="1" fillId="8" borderId="4" xfId="1" applyFont="1" applyFill="1" applyBorder="1" applyAlignment="1">
      <alignment horizontal="center" vertical="center"/>
    </xf>
    <xf numFmtId="0" fontId="4" fillId="0" borderId="9" xfId="1" applyFill="1" applyBorder="1" applyAlignment="1">
      <alignment vertical="center"/>
    </xf>
    <xf numFmtId="0" fontId="2" fillId="0" borderId="0" xfId="1" applyFont="1" applyFill="1" applyBorder="1" applyAlignment="1">
      <alignment horizontal="left" vertical="center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5"/>
  <sheetViews>
    <sheetView workbookViewId="0">
      <selection activeCell="Z4" sqref="Z4"/>
    </sheetView>
  </sheetViews>
  <sheetFormatPr defaultColWidth="9.85546875" defaultRowHeight="15"/>
  <cols>
    <col min="1" max="1" width="9.85546875" style="1"/>
    <col min="2" max="2" width="25.5703125" style="1" customWidth="1"/>
    <col min="3" max="3" width="26" style="1" customWidth="1"/>
    <col min="4" max="19" width="9.85546875" style="1"/>
    <col min="20" max="20" width="10.140625" style="1" customWidth="1"/>
    <col min="21" max="16384" width="9.85546875" style="1"/>
  </cols>
  <sheetData>
    <row r="1" spans="1:69">
      <c r="A1" s="2" t="s">
        <v>0</v>
      </c>
      <c r="B1" s="3"/>
      <c r="C1" s="3"/>
      <c r="D1" s="3"/>
      <c r="E1" s="3"/>
      <c r="F1" s="3"/>
      <c r="G1" s="3"/>
      <c r="H1" s="2"/>
      <c r="I1" s="15"/>
      <c r="J1" s="15"/>
      <c r="K1" s="15"/>
      <c r="L1" s="15"/>
      <c r="M1" s="15"/>
      <c r="N1" s="15"/>
      <c r="O1" s="15"/>
      <c r="P1" s="15"/>
      <c r="Q1" s="15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10"/>
      <c r="AT1" s="33"/>
      <c r="AU1" s="33"/>
      <c r="AV1" s="33"/>
      <c r="AW1" s="33"/>
      <c r="AX1" s="33"/>
      <c r="AY1" s="33"/>
      <c r="AZ1" s="33"/>
      <c r="BA1" s="33"/>
      <c r="BB1" s="33"/>
      <c r="BC1" s="33"/>
      <c r="BD1" s="33"/>
      <c r="BE1" s="33"/>
      <c r="BF1" s="33"/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</row>
    <row r="2" spans="1:69">
      <c r="A2" s="51" t="s">
        <v>1</v>
      </c>
      <c r="B2" s="51"/>
      <c r="C2" s="4">
        <v>2</v>
      </c>
      <c r="D2" s="5" t="s">
        <v>2</v>
      </c>
      <c r="E2" s="3"/>
      <c r="F2" s="3"/>
      <c r="G2" s="3"/>
      <c r="H2" s="2"/>
      <c r="I2" s="15" t="s">
        <v>3</v>
      </c>
      <c r="J2" s="15" t="s">
        <v>4</v>
      </c>
      <c r="K2" s="15"/>
      <c r="L2" s="15" t="s">
        <v>5</v>
      </c>
      <c r="M2" s="15">
        <v>1</v>
      </c>
      <c r="N2" s="15"/>
      <c r="O2" s="15" t="s">
        <v>6</v>
      </c>
      <c r="P2" s="15">
        <v>1</v>
      </c>
      <c r="Q2" s="15" t="s">
        <v>7</v>
      </c>
      <c r="R2" s="2"/>
      <c r="S2" s="2"/>
      <c r="T2" s="2"/>
      <c r="U2" s="2"/>
      <c r="V2" s="2">
        <v>1</v>
      </c>
      <c r="W2" s="2" t="s">
        <v>8</v>
      </c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10"/>
      <c r="AT2" s="33"/>
      <c r="AU2" s="33"/>
      <c r="AV2" s="33"/>
      <c r="AW2" s="33"/>
      <c r="AX2" s="33"/>
      <c r="AY2" s="33"/>
      <c r="AZ2" s="33"/>
      <c r="BA2" s="33"/>
      <c r="BB2" s="33"/>
      <c r="BC2" s="33"/>
      <c r="BD2" s="33"/>
      <c r="BE2" s="33"/>
      <c r="BF2" s="33"/>
      <c r="BG2" s="33"/>
      <c r="BH2" s="33"/>
      <c r="BI2" s="33"/>
      <c r="BJ2" s="33"/>
      <c r="BK2" s="33"/>
      <c r="BL2" s="33"/>
      <c r="BM2" s="33"/>
      <c r="BN2" s="33"/>
      <c r="BO2" s="33"/>
      <c r="BP2" s="33"/>
      <c r="BQ2" s="33"/>
    </row>
    <row r="3" spans="1:69" ht="60">
      <c r="A3" s="42" t="s">
        <v>9</v>
      </c>
      <c r="B3" s="42" t="s">
        <v>10</v>
      </c>
      <c r="C3" s="43" t="s">
        <v>11</v>
      </c>
      <c r="D3" s="42" t="s">
        <v>12</v>
      </c>
      <c r="E3" s="42" t="s">
        <v>13</v>
      </c>
      <c r="F3" s="44" t="s">
        <v>14</v>
      </c>
      <c r="G3" s="42" t="s">
        <v>15</v>
      </c>
      <c r="H3" s="42" t="s">
        <v>16</v>
      </c>
      <c r="I3" s="45" t="s">
        <v>17</v>
      </c>
      <c r="J3" s="45" t="s">
        <v>18</v>
      </c>
      <c r="K3" s="45" t="s">
        <v>19</v>
      </c>
      <c r="L3" s="46" t="s">
        <v>20</v>
      </c>
      <c r="M3" s="46" t="s">
        <v>21</v>
      </c>
      <c r="N3" s="46" t="s">
        <v>22</v>
      </c>
      <c r="O3" s="46" t="s">
        <v>23</v>
      </c>
      <c r="P3" s="46" t="s">
        <v>24</v>
      </c>
      <c r="Q3" s="46" t="s">
        <v>25</v>
      </c>
      <c r="R3" s="45" t="s">
        <v>26</v>
      </c>
      <c r="S3" s="42" t="s">
        <v>27</v>
      </c>
      <c r="T3" s="42" t="s">
        <v>28</v>
      </c>
      <c r="U3" s="22" t="s">
        <v>29</v>
      </c>
      <c r="V3" s="22" t="s">
        <v>30</v>
      </c>
      <c r="W3" s="22" t="s">
        <v>31</v>
      </c>
      <c r="X3" s="22" t="s">
        <v>32</v>
      </c>
      <c r="Y3" s="22" t="s">
        <v>33</v>
      </c>
      <c r="Z3" s="22" t="s">
        <v>34</v>
      </c>
      <c r="AA3" s="22" t="s">
        <v>35</v>
      </c>
      <c r="AB3" s="22" t="s">
        <v>36</v>
      </c>
      <c r="AC3" s="47" t="s">
        <v>37</v>
      </c>
      <c r="AD3" s="47" t="s">
        <v>38</v>
      </c>
      <c r="AE3" s="48" t="s">
        <v>39</v>
      </c>
      <c r="AF3" s="48" t="s">
        <v>40</v>
      </c>
      <c r="AG3" s="48" t="s">
        <v>41</v>
      </c>
      <c r="AH3" s="47" t="s">
        <v>42</v>
      </c>
      <c r="AI3" s="47" t="s">
        <v>43</v>
      </c>
      <c r="AJ3" s="48" t="s">
        <v>44</v>
      </c>
      <c r="AK3" s="48" t="s">
        <v>45</v>
      </c>
      <c r="AL3" s="47" t="s">
        <v>46</v>
      </c>
      <c r="AM3" s="47" t="s">
        <v>47</v>
      </c>
      <c r="AN3" s="48" t="s">
        <v>48</v>
      </c>
      <c r="AO3" s="48" t="s">
        <v>49</v>
      </c>
      <c r="AP3" s="48" t="s">
        <v>50</v>
      </c>
      <c r="AQ3" s="47" t="s">
        <v>51</v>
      </c>
      <c r="AR3" s="49" t="s">
        <v>52</v>
      </c>
      <c r="AS3" s="29" t="s">
        <v>53</v>
      </c>
      <c r="AT3" s="29" t="s">
        <v>51</v>
      </c>
      <c r="AU3" s="30" t="s">
        <v>54</v>
      </c>
      <c r="AV3" s="30" t="s">
        <v>55</v>
      </c>
      <c r="AW3" s="30" t="s">
        <v>56</v>
      </c>
      <c r="AX3" s="30" t="s">
        <v>57</v>
      </c>
      <c r="AY3" s="30" t="s">
        <v>58</v>
      </c>
      <c r="AZ3" s="30" t="s">
        <v>59</v>
      </c>
      <c r="BA3" s="30" t="s">
        <v>60</v>
      </c>
      <c r="BB3" s="30" t="s">
        <v>61</v>
      </c>
      <c r="BC3" s="34" t="s">
        <v>62</v>
      </c>
      <c r="BD3" s="34" t="s">
        <v>63</v>
      </c>
      <c r="BE3" s="34" t="s">
        <v>64</v>
      </c>
      <c r="BF3" s="30" t="s">
        <v>65</v>
      </c>
      <c r="BG3" s="30" t="s">
        <v>66</v>
      </c>
      <c r="BH3" s="30" t="s">
        <v>67</v>
      </c>
      <c r="BI3" s="30" t="s">
        <v>68</v>
      </c>
      <c r="BJ3" s="30" t="s">
        <v>69</v>
      </c>
      <c r="BK3" s="30" t="s">
        <v>70</v>
      </c>
      <c r="BL3" s="30" t="s">
        <v>71</v>
      </c>
      <c r="BM3" s="30" t="s">
        <v>72</v>
      </c>
      <c r="BN3" s="30" t="s">
        <v>73</v>
      </c>
      <c r="BO3" s="30" t="s">
        <v>59</v>
      </c>
      <c r="BP3" s="30" t="s">
        <v>74</v>
      </c>
      <c r="BQ3" s="30" t="s">
        <v>28</v>
      </c>
    </row>
    <row r="4" spans="1:69">
      <c r="A4" s="7">
        <v>1</v>
      </c>
      <c r="B4" s="7" t="s">
        <v>75</v>
      </c>
      <c r="C4" s="7" t="s">
        <v>75</v>
      </c>
      <c r="D4" s="7" t="s">
        <v>76</v>
      </c>
      <c r="E4" s="7" t="s">
        <v>76</v>
      </c>
      <c r="F4" s="8">
        <v>5</v>
      </c>
      <c r="G4" s="8">
        <v>150</v>
      </c>
      <c r="H4" s="8">
        <f>F4*G4</f>
        <v>750</v>
      </c>
      <c r="I4" s="8">
        <v>5</v>
      </c>
      <c r="J4" s="8">
        <v>8</v>
      </c>
      <c r="K4" s="8">
        <v>5</v>
      </c>
      <c r="L4" s="8">
        <f>H4</f>
        <v>750</v>
      </c>
      <c r="M4" s="8">
        <f>ROUND(L4*I4%,2)</f>
        <v>37.5</v>
      </c>
      <c r="N4" s="8">
        <f>H4-M4</f>
        <v>712.5</v>
      </c>
      <c r="O4" s="8">
        <f>ROUND(N4*J4%,2)</f>
        <v>57</v>
      </c>
      <c r="P4" s="8">
        <f>ROUND(N4-O4,2)</f>
        <v>655.5</v>
      </c>
      <c r="Q4" s="8">
        <f>ROUND(P4*K4%,2)</f>
        <v>32.78</v>
      </c>
      <c r="R4" s="8">
        <f>M4+O4+Q4</f>
        <v>127.28</v>
      </c>
      <c r="S4" s="8">
        <f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112.09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112.09</v>
      </c>
      <c r="AC4" s="8">
        <f>IF($V2=1,S4+AB4,S4)</f>
        <v>734.81</v>
      </c>
      <c r="AD4" s="8">
        <v>120</v>
      </c>
      <c r="AE4" s="8">
        <f>IF($P$2=1,(S4/$S$5)*$E$16,AD4/$AD$5*$E$16)</f>
        <v>0</v>
      </c>
      <c r="AF4" s="8"/>
      <c r="AG4" s="8">
        <f>IF($P$2=1,(S4/$S$5)*$E$18,AD4/$AD$5*$E$18)</f>
        <v>0</v>
      </c>
      <c r="AH4" s="8">
        <f>IF($P$2=1,(S4/$S$5)*$E$18,AD4/$AD$5*$E$18)</f>
        <v>0</v>
      </c>
      <c r="AI4" s="8">
        <f>S4*$M$2</f>
        <v>622.72</v>
      </c>
      <c r="AJ4" s="8">
        <f>IF($C$2=3,0,AG4+AH4)</f>
        <v>0</v>
      </c>
      <c r="AK4" s="8">
        <f>IF($C$2=3,AE4+AG4+AH4,0)</f>
        <v>0</v>
      </c>
      <c r="AL4" s="8">
        <v>1</v>
      </c>
      <c r="AM4" s="8">
        <f>F4/AL4</f>
        <v>5</v>
      </c>
      <c r="AN4" s="8">
        <f>AI4/AM4</f>
        <v>124.544</v>
      </c>
      <c r="AO4" s="8">
        <f>AJ4/AM4</f>
        <v>0</v>
      </c>
      <c r="AP4" s="8">
        <f>AK4/AM4</f>
        <v>0</v>
      </c>
      <c r="AQ4" s="8" t="s">
        <v>76</v>
      </c>
      <c r="AR4" s="33">
        <f>ROUND(AN4+AO4+AP4,5)</f>
        <v>124.544</v>
      </c>
      <c r="AS4" s="33" t="s">
        <v>77</v>
      </c>
      <c r="AT4" s="32" t="s">
        <v>76</v>
      </c>
      <c r="AU4" s="33" t="s">
        <v>78</v>
      </c>
      <c r="AV4" s="33" t="s">
        <v>79</v>
      </c>
      <c r="AW4" s="32">
        <f>AM4</f>
        <v>5</v>
      </c>
      <c r="AX4" s="32">
        <f>AR4</f>
        <v>124.544</v>
      </c>
      <c r="AY4" s="32">
        <f>AU4+AW4</f>
        <v>14095</v>
      </c>
      <c r="AZ4" s="32">
        <f>ROUND(((AU4*AV4)+(AW4*AX4))/(AU4+AW4),5)</f>
        <v>121.22156</v>
      </c>
      <c r="BA4" s="36"/>
      <c r="BB4" s="36" t="s">
        <v>80</v>
      </c>
      <c r="BC4" s="50" t="s">
        <v>81</v>
      </c>
      <c r="BD4" s="38" t="s">
        <v>82</v>
      </c>
      <c r="BE4" s="38" t="s">
        <v>83</v>
      </c>
      <c r="BF4" s="36"/>
      <c r="BG4" s="36"/>
      <c r="BH4" s="36"/>
      <c r="BI4" s="32"/>
      <c r="BJ4" s="33"/>
      <c r="BK4" s="33"/>
      <c r="BL4" s="32" t="s">
        <v>84</v>
      </c>
      <c r="BM4" s="33" t="s">
        <v>85</v>
      </c>
      <c r="BN4" s="33" t="s">
        <v>86</v>
      </c>
      <c r="BO4" s="32">
        <f>ROUND((((AW4*AZ4)+(BN4*BM4))/(AW4+BN4)),5)</f>
        <v>146.67549</v>
      </c>
      <c r="BP4" s="40">
        <f>BN4+AW4</f>
        <v>696</v>
      </c>
      <c r="BQ4" s="41">
        <v>123562</v>
      </c>
    </row>
    <row r="5" spans="1:69">
      <c r="A5" s="10"/>
      <c r="B5" s="11"/>
      <c r="C5" s="11"/>
      <c r="D5" s="12" t="s">
        <v>87</v>
      </c>
      <c r="E5" s="12"/>
      <c r="F5" s="12"/>
      <c r="G5" s="13"/>
      <c r="H5" s="14">
        <f>SUM(H4:H4)</f>
        <v>750</v>
      </c>
      <c r="I5" s="7"/>
      <c r="J5" s="7"/>
      <c r="K5" s="7"/>
      <c r="L5" s="7"/>
      <c r="M5" s="7"/>
      <c r="N5" s="7"/>
      <c r="O5" s="7"/>
      <c r="P5" s="7"/>
      <c r="Q5" s="7"/>
      <c r="R5" s="20">
        <f t="shared" ref="R5:X5" si="0">SUM(R4:R4)</f>
        <v>127.28</v>
      </c>
      <c r="S5" s="14">
        <f t="shared" si="0"/>
        <v>622.72</v>
      </c>
      <c r="T5" s="20"/>
      <c r="U5" s="20"/>
      <c r="V5" s="21">
        <f t="shared" si="0"/>
        <v>0</v>
      </c>
      <c r="W5" s="21">
        <f t="shared" si="0"/>
        <v>0</v>
      </c>
      <c r="X5" s="21">
        <f t="shared" si="0"/>
        <v>112.09</v>
      </c>
      <c r="Y5" s="21"/>
      <c r="Z5" s="21"/>
      <c r="AA5" s="21"/>
      <c r="AB5" s="20">
        <f t="shared" ref="AB5:AE5" si="1">SUM(AB4:AB4)</f>
        <v>112.09</v>
      </c>
      <c r="AC5" s="25">
        <f t="shared" si="1"/>
        <v>734.81</v>
      </c>
      <c r="AD5" s="26">
        <f t="shared" si="1"/>
        <v>120</v>
      </c>
      <c r="AE5" s="26">
        <f t="shared" si="1"/>
        <v>0</v>
      </c>
      <c r="AF5" s="25"/>
      <c r="AG5" s="26">
        <f t="shared" ref="AG5:AK5" si="2">SUM(AG4:AG4)</f>
        <v>0</v>
      </c>
      <c r="AH5" s="26">
        <f t="shared" si="2"/>
        <v>0</v>
      </c>
      <c r="AI5" s="26">
        <f t="shared" si="2"/>
        <v>622.72</v>
      </c>
      <c r="AJ5" s="26">
        <f t="shared" si="2"/>
        <v>0</v>
      </c>
      <c r="AK5" s="26">
        <f t="shared" si="2"/>
        <v>0</v>
      </c>
      <c r="AL5" s="25"/>
      <c r="AM5" s="25"/>
      <c r="AN5" s="25"/>
      <c r="AO5" s="25"/>
      <c r="AP5" s="25"/>
      <c r="AQ5" s="25"/>
      <c r="AR5" s="25"/>
      <c r="AS5" s="10"/>
      <c r="AT5" s="33"/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</row>
  </sheetData>
  <mergeCells count="1"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5"/>
  <sheetViews>
    <sheetView tabSelected="1" topLeftCell="O1" workbookViewId="0">
      <selection activeCell="C2" sqref="C2"/>
    </sheetView>
  </sheetViews>
  <sheetFormatPr defaultColWidth="9.85546875" defaultRowHeight="15"/>
  <cols>
    <col min="1" max="1" width="9.85546875" style="1"/>
    <col min="2" max="2" width="25.5703125" style="1" customWidth="1"/>
    <col min="3" max="3" width="26" style="1" customWidth="1"/>
    <col min="4" max="19" width="9.85546875" style="1"/>
    <col min="20" max="20" width="10.140625" style="1" customWidth="1"/>
    <col min="21" max="16384" width="9.85546875" style="1"/>
  </cols>
  <sheetData>
    <row r="1" spans="1:69">
      <c r="A1" s="2" t="s">
        <v>0</v>
      </c>
      <c r="B1" s="3"/>
      <c r="C1" s="3"/>
      <c r="D1" s="3"/>
      <c r="E1" s="3"/>
      <c r="F1" s="3"/>
      <c r="G1" s="3"/>
      <c r="H1" s="2"/>
      <c r="I1" s="15"/>
      <c r="J1" s="15"/>
      <c r="K1" s="15"/>
      <c r="L1" s="15"/>
      <c r="M1" s="15"/>
      <c r="N1" s="15"/>
      <c r="O1" s="15"/>
      <c r="P1" s="15"/>
      <c r="Q1" s="15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10"/>
      <c r="AT1" s="33"/>
      <c r="AU1" s="33"/>
      <c r="AV1" s="33"/>
      <c r="AW1" s="33"/>
      <c r="AX1" s="33"/>
      <c r="AY1" s="33"/>
      <c r="AZ1" s="33"/>
      <c r="BA1" s="33"/>
      <c r="BB1" s="33"/>
      <c r="BC1" s="33"/>
      <c r="BD1" s="33"/>
      <c r="BE1" s="33"/>
      <c r="BF1" s="33"/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</row>
    <row r="2" spans="1:69">
      <c r="A2" s="51" t="s">
        <v>1</v>
      </c>
      <c r="B2" s="51"/>
      <c r="C2" s="4">
        <v>1</v>
      </c>
      <c r="D2" s="5" t="s">
        <v>2</v>
      </c>
      <c r="E2" s="3"/>
      <c r="F2" s="3"/>
      <c r="G2" s="3"/>
      <c r="H2" s="2"/>
      <c r="I2" s="15" t="s">
        <v>3</v>
      </c>
      <c r="J2" s="15" t="s">
        <v>4</v>
      </c>
      <c r="K2" s="15"/>
      <c r="L2" s="15" t="s">
        <v>5</v>
      </c>
      <c r="M2" s="15">
        <v>1</v>
      </c>
      <c r="N2" s="15"/>
      <c r="O2" s="15" t="s">
        <v>6</v>
      </c>
      <c r="P2" s="15">
        <v>1</v>
      </c>
      <c r="Q2" s="15" t="s">
        <v>7</v>
      </c>
      <c r="R2" s="2"/>
      <c r="S2" s="2"/>
      <c r="T2" s="2"/>
      <c r="U2" s="2"/>
      <c r="V2" s="2">
        <v>1</v>
      </c>
      <c r="W2" s="2" t="s">
        <v>8</v>
      </c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10"/>
      <c r="AT2" s="33"/>
      <c r="AU2" s="33"/>
      <c r="AV2" s="33"/>
      <c r="AW2" s="33"/>
      <c r="AX2" s="33"/>
      <c r="AY2" s="33"/>
      <c r="AZ2" s="33"/>
      <c r="BA2" s="33"/>
      <c r="BB2" s="33"/>
      <c r="BC2" s="33"/>
      <c r="BD2" s="33"/>
      <c r="BE2" s="33"/>
      <c r="BF2" s="33"/>
      <c r="BG2" s="33"/>
      <c r="BH2" s="33"/>
      <c r="BI2" s="33"/>
      <c r="BJ2" s="33"/>
      <c r="BK2" s="33"/>
      <c r="BL2" s="33"/>
      <c r="BM2" s="33"/>
      <c r="BN2" s="33"/>
      <c r="BO2" s="33"/>
      <c r="BP2" s="33"/>
      <c r="BQ2" s="33"/>
    </row>
    <row r="3" spans="1:69" ht="60">
      <c r="A3" s="42" t="s">
        <v>9</v>
      </c>
      <c r="B3" s="42" t="s">
        <v>10</v>
      </c>
      <c r="C3" s="43" t="s">
        <v>11</v>
      </c>
      <c r="D3" s="42" t="s">
        <v>12</v>
      </c>
      <c r="E3" s="42" t="s">
        <v>13</v>
      </c>
      <c r="F3" s="44" t="s">
        <v>14</v>
      </c>
      <c r="G3" s="42" t="s">
        <v>15</v>
      </c>
      <c r="H3" s="42" t="s">
        <v>16</v>
      </c>
      <c r="I3" s="45" t="s">
        <v>17</v>
      </c>
      <c r="J3" s="45" t="s">
        <v>18</v>
      </c>
      <c r="K3" s="45" t="s">
        <v>19</v>
      </c>
      <c r="L3" s="46" t="s">
        <v>20</v>
      </c>
      <c r="M3" s="46" t="s">
        <v>21</v>
      </c>
      <c r="N3" s="46" t="s">
        <v>22</v>
      </c>
      <c r="O3" s="46" t="s">
        <v>23</v>
      </c>
      <c r="P3" s="46" t="s">
        <v>24</v>
      </c>
      <c r="Q3" s="46" t="s">
        <v>25</v>
      </c>
      <c r="R3" s="45" t="s">
        <v>26</v>
      </c>
      <c r="S3" s="42" t="s">
        <v>27</v>
      </c>
      <c r="T3" s="42" t="s">
        <v>28</v>
      </c>
      <c r="U3" s="22" t="s">
        <v>29</v>
      </c>
      <c r="V3" s="22" t="s">
        <v>30</v>
      </c>
      <c r="W3" s="22" t="s">
        <v>31</v>
      </c>
      <c r="X3" s="22" t="s">
        <v>32</v>
      </c>
      <c r="Y3" s="22" t="s">
        <v>33</v>
      </c>
      <c r="Z3" s="22" t="s">
        <v>34</v>
      </c>
      <c r="AA3" s="22" t="s">
        <v>35</v>
      </c>
      <c r="AB3" s="22" t="s">
        <v>36</v>
      </c>
      <c r="AC3" s="47" t="s">
        <v>37</v>
      </c>
      <c r="AD3" s="47" t="s">
        <v>38</v>
      </c>
      <c r="AE3" s="48" t="s">
        <v>39</v>
      </c>
      <c r="AF3" s="48" t="s">
        <v>40</v>
      </c>
      <c r="AG3" s="48" t="s">
        <v>41</v>
      </c>
      <c r="AH3" s="47" t="s">
        <v>42</v>
      </c>
      <c r="AI3" s="47" t="s">
        <v>43</v>
      </c>
      <c r="AJ3" s="48" t="s">
        <v>44</v>
      </c>
      <c r="AK3" s="48" t="s">
        <v>45</v>
      </c>
      <c r="AL3" s="47" t="s">
        <v>46</v>
      </c>
      <c r="AM3" s="47" t="s">
        <v>47</v>
      </c>
      <c r="AN3" s="48" t="s">
        <v>48</v>
      </c>
      <c r="AO3" s="48" t="s">
        <v>49</v>
      </c>
      <c r="AP3" s="48" t="s">
        <v>50</v>
      </c>
      <c r="AQ3" s="47" t="s">
        <v>51</v>
      </c>
      <c r="AR3" s="49" t="s">
        <v>52</v>
      </c>
      <c r="AS3" s="29" t="s">
        <v>53</v>
      </c>
      <c r="AT3" s="29" t="s">
        <v>51</v>
      </c>
      <c r="AU3" s="30" t="s">
        <v>54</v>
      </c>
      <c r="AV3" s="30" t="s">
        <v>55</v>
      </c>
      <c r="AW3" s="30" t="s">
        <v>56</v>
      </c>
      <c r="AX3" s="30" t="s">
        <v>57</v>
      </c>
      <c r="AY3" s="30" t="s">
        <v>58</v>
      </c>
      <c r="AZ3" s="30" t="s">
        <v>59</v>
      </c>
      <c r="BA3" s="30" t="s">
        <v>60</v>
      </c>
      <c r="BB3" s="30" t="s">
        <v>61</v>
      </c>
      <c r="BC3" s="34" t="s">
        <v>62</v>
      </c>
      <c r="BD3" s="34" t="s">
        <v>63</v>
      </c>
      <c r="BE3" s="34" t="s">
        <v>64</v>
      </c>
      <c r="BF3" s="30" t="s">
        <v>65</v>
      </c>
      <c r="BG3" s="30" t="s">
        <v>66</v>
      </c>
      <c r="BH3" s="30" t="s">
        <v>67</v>
      </c>
      <c r="BI3" s="30" t="s">
        <v>68</v>
      </c>
      <c r="BJ3" s="30" t="s">
        <v>69</v>
      </c>
      <c r="BK3" s="30" t="s">
        <v>70</v>
      </c>
      <c r="BL3" s="30" t="s">
        <v>71</v>
      </c>
      <c r="BM3" s="30" t="s">
        <v>72</v>
      </c>
      <c r="BN3" s="30" t="s">
        <v>73</v>
      </c>
      <c r="BO3" s="30" t="s">
        <v>59</v>
      </c>
      <c r="BP3" s="30" t="s">
        <v>74</v>
      </c>
      <c r="BQ3" s="30" t="s">
        <v>28</v>
      </c>
    </row>
    <row r="4" spans="1:69">
      <c r="A4" s="7">
        <v>1</v>
      </c>
      <c r="B4" s="7" t="s">
        <v>88</v>
      </c>
      <c r="C4" s="7" t="s">
        <v>104</v>
      </c>
      <c r="D4" s="7" t="s">
        <v>76</v>
      </c>
      <c r="E4" s="7" t="s">
        <v>89</v>
      </c>
      <c r="F4" s="8">
        <v>5</v>
      </c>
      <c r="G4" s="8">
        <v>150</v>
      </c>
      <c r="H4" s="8">
        <f>F4*G4</f>
        <v>750</v>
      </c>
      <c r="I4" s="8">
        <v>5</v>
      </c>
      <c r="J4" s="8">
        <v>8</v>
      </c>
      <c r="K4" s="8">
        <v>5</v>
      </c>
      <c r="L4" s="8">
        <f>H4</f>
        <v>750</v>
      </c>
      <c r="M4" s="8">
        <f>ROUND(L4*I4%,2)</f>
        <v>37.5</v>
      </c>
      <c r="N4" s="8">
        <f>H4-M4</f>
        <v>712.5</v>
      </c>
      <c r="O4" s="8">
        <f>ROUND(N4*J4%,2)</f>
        <v>57</v>
      </c>
      <c r="P4" s="8">
        <f>ROUND(N4-O4,2)</f>
        <v>655.5</v>
      </c>
      <c r="Q4" s="8">
        <f>ROUND(P4*K4%,2)</f>
        <v>32.78</v>
      </c>
      <c r="R4" s="8">
        <f>M4+O4+Q4</f>
        <v>127.28</v>
      </c>
      <c r="S4" s="8">
        <f>(H4-R4)</f>
        <v>622.72</v>
      </c>
      <c r="T4" s="8">
        <v>88363222</v>
      </c>
      <c r="U4" s="8">
        <v>18</v>
      </c>
      <c r="V4" s="8">
        <f>IF(OR($C$2=1,$C$2=4),ROUND((((S4*U4)/100)/2),2),0)</f>
        <v>56.04</v>
      </c>
      <c r="W4" s="8">
        <f>IF($C$2=1,ROUND((((S4*U4)/100)/2),2),0)</f>
        <v>56.04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112.08</v>
      </c>
      <c r="AC4" s="8">
        <f>IF($V2=1,S4+AB4,S4)</f>
        <v>734.80000000000007</v>
      </c>
      <c r="AD4" s="8">
        <v>120</v>
      </c>
      <c r="AE4" s="8">
        <f>IF($P$2=1,(S4/$S$5)*$E$16,AD4/$AD$5*$E$16)</f>
        <v>0</v>
      </c>
      <c r="AF4" s="8"/>
      <c r="AG4" s="8">
        <f>IF($P$2=1,(S4/$S$5)*$E$18,AD4/$AD$5*$E$18)</f>
        <v>0</v>
      </c>
      <c r="AH4" s="8">
        <f>IF($P$2=1,(S4/$S$5)*$E$18,AD4/$AD$5*$E$18)</f>
        <v>0</v>
      </c>
      <c r="AI4" s="8">
        <f>S4*$M$2</f>
        <v>622.72</v>
      </c>
      <c r="AJ4" s="8">
        <f>IF($C$2=3,0,AG4+AH4)</f>
        <v>0</v>
      </c>
      <c r="AK4" s="8">
        <f>IF($C$2=3,AE4+AG4+AH4,0)</f>
        <v>0</v>
      </c>
      <c r="AL4" s="8">
        <v>1</v>
      </c>
      <c r="AM4" s="8">
        <f>F4/AL4</f>
        <v>5</v>
      </c>
      <c r="AN4" s="8">
        <f>AI4/AM4</f>
        <v>124.544</v>
      </c>
      <c r="AO4" s="8">
        <f>AJ4/AM4</f>
        <v>0</v>
      </c>
      <c r="AP4" s="8">
        <f>AK4/AM4</f>
        <v>0</v>
      </c>
      <c r="AQ4" s="8" t="s">
        <v>76</v>
      </c>
      <c r="AR4" s="33">
        <f>ROUND(AN4+AO4+AP4,5)</f>
        <v>124.544</v>
      </c>
      <c r="AS4" s="33" t="s">
        <v>77</v>
      </c>
      <c r="AT4" s="32" t="s">
        <v>76</v>
      </c>
      <c r="AU4" s="33" t="s">
        <v>78</v>
      </c>
      <c r="AV4" s="33" t="s">
        <v>79</v>
      </c>
      <c r="AW4" s="32">
        <f>AM4</f>
        <v>5</v>
      </c>
      <c r="AX4" s="32">
        <f>AR4</f>
        <v>124.544</v>
      </c>
      <c r="AY4" s="32">
        <f>AU4+AW4</f>
        <v>14095</v>
      </c>
      <c r="AZ4" s="32">
        <f>ROUND(((AU4*AV4)+(AW4*AX4))/(AU4+AW4),5)</f>
        <v>121.22156</v>
      </c>
      <c r="BA4" s="36"/>
      <c r="BB4" s="36" t="s">
        <v>80</v>
      </c>
      <c r="BC4" s="50" t="s">
        <v>81</v>
      </c>
      <c r="BD4" s="38" t="s">
        <v>82</v>
      </c>
      <c r="BE4" s="38" t="s">
        <v>83</v>
      </c>
      <c r="BF4" s="36"/>
      <c r="BG4" s="36"/>
      <c r="BH4" s="36"/>
      <c r="BI4" s="32"/>
      <c r="BJ4" s="33"/>
      <c r="BK4" s="33"/>
      <c r="BL4" s="32" t="s">
        <v>84</v>
      </c>
      <c r="BM4" s="33" t="s">
        <v>85</v>
      </c>
      <c r="BN4" s="33" t="s">
        <v>86</v>
      </c>
      <c r="BO4" s="32">
        <f>ROUND((((AW4*AZ4)+(BN4*BM4))/(AW4+BN4)),5)</f>
        <v>146.67549</v>
      </c>
      <c r="BP4" s="40">
        <f>BN4+AW4</f>
        <v>696</v>
      </c>
      <c r="BQ4" s="41">
        <v>123562</v>
      </c>
    </row>
    <row r="5" spans="1:69">
      <c r="A5" s="10"/>
      <c r="B5" s="11"/>
      <c r="C5" s="11"/>
      <c r="D5" s="12" t="s">
        <v>87</v>
      </c>
      <c r="E5" s="12"/>
      <c r="F5" s="12"/>
      <c r="G5" s="13"/>
      <c r="H5" s="14">
        <f>SUM(H4:H4)</f>
        <v>750</v>
      </c>
      <c r="I5" s="7"/>
      <c r="J5" s="7"/>
      <c r="K5" s="7"/>
      <c r="L5" s="7"/>
      <c r="M5" s="7"/>
      <c r="N5" s="7"/>
      <c r="O5" s="7"/>
      <c r="P5" s="7"/>
      <c r="Q5" s="7"/>
      <c r="R5" s="20">
        <f t="shared" ref="R5:X5" si="0">SUM(R4:R4)</f>
        <v>127.28</v>
      </c>
      <c r="S5" s="14">
        <f t="shared" si="0"/>
        <v>622.72</v>
      </c>
      <c r="T5" s="20"/>
      <c r="U5" s="20"/>
      <c r="V5" s="21">
        <f t="shared" si="0"/>
        <v>56.04</v>
      </c>
      <c r="W5" s="21">
        <f t="shared" si="0"/>
        <v>56.04</v>
      </c>
      <c r="X5" s="21">
        <f t="shared" si="0"/>
        <v>0</v>
      </c>
      <c r="Y5" s="21"/>
      <c r="Z5" s="21"/>
      <c r="AA5" s="21"/>
      <c r="AB5" s="20">
        <f t="shared" ref="AB5:AE5" si="1">SUM(AB4:AB4)</f>
        <v>112.08</v>
      </c>
      <c r="AC5" s="25">
        <f t="shared" si="1"/>
        <v>734.80000000000007</v>
      </c>
      <c r="AD5" s="26">
        <f t="shared" si="1"/>
        <v>120</v>
      </c>
      <c r="AE5" s="26">
        <f t="shared" si="1"/>
        <v>0</v>
      </c>
      <c r="AF5" s="25"/>
      <c r="AG5" s="26">
        <f t="shared" ref="AG5:AK5" si="2">SUM(AG4:AG4)</f>
        <v>0</v>
      </c>
      <c r="AH5" s="26">
        <f t="shared" si="2"/>
        <v>0</v>
      </c>
      <c r="AI5" s="26">
        <f t="shared" si="2"/>
        <v>622.72</v>
      </c>
      <c r="AJ5" s="26">
        <f t="shared" si="2"/>
        <v>0</v>
      </c>
      <c r="AK5" s="26">
        <f t="shared" si="2"/>
        <v>0</v>
      </c>
      <c r="AL5" s="25"/>
      <c r="AM5" s="25"/>
      <c r="AN5" s="25"/>
      <c r="AO5" s="25"/>
      <c r="AP5" s="25"/>
      <c r="AQ5" s="25"/>
      <c r="AR5" s="25"/>
      <c r="AS5" s="10"/>
      <c r="AT5" s="33"/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</row>
  </sheetData>
  <mergeCells count="1">
    <mergeCell ref="A2:B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5"/>
  <sheetViews>
    <sheetView workbookViewId="0">
      <selection activeCell="C9" sqref="C9"/>
    </sheetView>
  </sheetViews>
  <sheetFormatPr defaultColWidth="9.85546875" defaultRowHeight="15"/>
  <cols>
    <col min="1" max="1" width="9.85546875" style="1"/>
    <col min="2" max="2" width="25.5703125" style="1" customWidth="1"/>
    <col min="3" max="3" width="26" style="1" customWidth="1"/>
    <col min="4" max="19" width="9.85546875" style="1"/>
    <col min="20" max="20" width="10.140625" style="1" customWidth="1"/>
    <col min="21" max="16384" width="9.85546875" style="1"/>
  </cols>
  <sheetData>
    <row r="1" spans="1:69">
      <c r="A1" s="2" t="s">
        <v>0</v>
      </c>
      <c r="B1" s="3"/>
      <c r="C1" s="3"/>
      <c r="D1" s="3"/>
      <c r="E1" s="3"/>
      <c r="F1" s="3"/>
      <c r="G1" s="3"/>
      <c r="H1" s="2"/>
      <c r="I1" s="15"/>
      <c r="J1" s="15"/>
      <c r="K1" s="15"/>
      <c r="L1" s="15"/>
      <c r="M1" s="15"/>
      <c r="N1" s="15"/>
      <c r="O1" s="15"/>
      <c r="P1" s="15"/>
      <c r="Q1" s="15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10"/>
      <c r="AT1" s="33"/>
      <c r="AU1" s="33"/>
      <c r="AV1" s="33"/>
      <c r="AW1" s="33"/>
      <c r="AX1" s="33"/>
      <c r="AY1" s="33"/>
      <c r="AZ1" s="33"/>
      <c r="BA1" s="33"/>
      <c r="BB1" s="33"/>
      <c r="BC1" s="33"/>
      <c r="BD1" s="33"/>
      <c r="BE1" s="33"/>
      <c r="BF1" s="33"/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</row>
    <row r="2" spans="1:69">
      <c r="A2" s="51" t="s">
        <v>1</v>
      </c>
      <c r="B2" s="51"/>
      <c r="C2" s="4">
        <v>3</v>
      </c>
      <c r="D2" s="5" t="s">
        <v>2</v>
      </c>
      <c r="E2" s="3"/>
      <c r="F2" s="3"/>
      <c r="G2" s="3"/>
      <c r="H2" s="2"/>
      <c r="I2" s="15" t="s">
        <v>3</v>
      </c>
      <c r="J2" s="15" t="s">
        <v>4</v>
      </c>
      <c r="K2" s="15"/>
      <c r="L2" s="15" t="s">
        <v>5</v>
      </c>
      <c r="M2" s="15">
        <v>1</v>
      </c>
      <c r="N2" s="15"/>
      <c r="O2" s="15" t="s">
        <v>6</v>
      </c>
      <c r="P2" s="15">
        <v>1</v>
      </c>
      <c r="Q2" s="15" t="s">
        <v>7</v>
      </c>
      <c r="R2" s="2"/>
      <c r="S2" s="2"/>
      <c r="T2" s="2"/>
      <c r="U2" s="2"/>
      <c r="V2" s="2">
        <v>1</v>
      </c>
      <c r="W2" s="2" t="s">
        <v>8</v>
      </c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10"/>
      <c r="AT2" s="33"/>
      <c r="AU2" s="33"/>
      <c r="AV2" s="33"/>
      <c r="AW2" s="33"/>
      <c r="AX2" s="33"/>
      <c r="AY2" s="33"/>
      <c r="AZ2" s="33"/>
      <c r="BA2" s="33"/>
      <c r="BB2" s="33"/>
      <c r="BC2" s="33"/>
      <c r="BD2" s="33"/>
      <c r="BE2" s="33"/>
      <c r="BF2" s="33"/>
      <c r="BG2" s="33"/>
      <c r="BH2" s="33"/>
      <c r="BI2" s="33"/>
      <c r="BJ2" s="33"/>
      <c r="BK2" s="33"/>
      <c r="BL2" s="33"/>
      <c r="BM2" s="33"/>
      <c r="BN2" s="33"/>
      <c r="BO2" s="33"/>
      <c r="BP2" s="33"/>
      <c r="BQ2" s="33"/>
    </row>
    <row r="3" spans="1:69" ht="60">
      <c r="A3" s="42" t="s">
        <v>9</v>
      </c>
      <c r="B3" s="42" t="s">
        <v>10</v>
      </c>
      <c r="C3" s="43" t="s">
        <v>11</v>
      </c>
      <c r="D3" s="42" t="s">
        <v>12</v>
      </c>
      <c r="E3" s="42" t="s">
        <v>13</v>
      </c>
      <c r="F3" s="44" t="s">
        <v>14</v>
      </c>
      <c r="G3" s="42" t="s">
        <v>15</v>
      </c>
      <c r="H3" s="42" t="s">
        <v>16</v>
      </c>
      <c r="I3" s="45" t="s">
        <v>17</v>
      </c>
      <c r="J3" s="45" t="s">
        <v>18</v>
      </c>
      <c r="K3" s="45" t="s">
        <v>19</v>
      </c>
      <c r="L3" s="46" t="s">
        <v>20</v>
      </c>
      <c r="M3" s="46" t="s">
        <v>21</v>
      </c>
      <c r="N3" s="46" t="s">
        <v>22</v>
      </c>
      <c r="O3" s="46" t="s">
        <v>23</v>
      </c>
      <c r="P3" s="46" t="s">
        <v>24</v>
      </c>
      <c r="Q3" s="46" t="s">
        <v>25</v>
      </c>
      <c r="R3" s="45" t="s">
        <v>26</v>
      </c>
      <c r="S3" s="42" t="s">
        <v>27</v>
      </c>
      <c r="T3" s="42" t="s">
        <v>28</v>
      </c>
      <c r="U3" s="22" t="s">
        <v>29</v>
      </c>
      <c r="V3" s="22" t="s">
        <v>30</v>
      </c>
      <c r="W3" s="22" t="s">
        <v>31</v>
      </c>
      <c r="X3" s="22" t="s">
        <v>32</v>
      </c>
      <c r="Y3" s="22" t="s">
        <v>33</v>
      </c>
      <c r="Z3" s="22" t="s">
        <v>34</v>
      </c>
      <c r="AA3" s="22" t="s">
        <v>35</v>
      </c>
      <c r="AB3" s="22" t="s">
        <v>36</v>
      </c>
      <c r="AC3" s="47" t="s">
        <v>37</v>
      </c>
      <c r="AD3" s="47" t="s">
        <v>38</v>
      </c>
      <c r="AE3" s="48" t="s">
        <v>39</v>
      </c>
      <c r="AF3" s="48" t="s">
        <v>40</v>
      </c>
      <c r="AG3" s="48" t="s">
        <v>41</v>
      </c>
      <c r="AH3" s="47" t="s">
        <v>42</v>
      </c>
      <c r="AI3" s="47" t="s">
        <v>43</v>
      </c>
      <c r="AJ3" s="48" t="s">
        <v>44</v>
      </c>
      <c r="AK3" s="48" t="s">
        <v>45</v>
      </c>
      <c r="AL3" s="47" t="s">
        <v>46</v>
      </c>
      <c r="AM3" s="47" t="s">
        <v>47</v>
      </c>
      <c r="AN3" s="48" t="s">
        <v>48</v>
      </c>
      <c r="AO3" s="48" t="s">
        <v>49</v>
      </c>
      <c r="AP3" s="48" t="s">
        <v>50</v>
      </c>
      <c r="AQ3" s="47" t="s">
        <v>51</v>
      </c>
      <c r="AR3" s="49" t="s">
        <v>52</v>
      </c>
      <c r="AS3" s="29" t="s">
        <v>53</v>
      </c>
      <c r="AT3" s="29" t="s">
        <v>51</v>
      </c>
      <c r="AU3" s="30" t="s">
        <v>54</v>
      </c>
      <c r="AV3" s="30" t="s">
        <v>55</v>
      </c>
      <c r="AW3" s="30" t="s">
        <v>56</v>
      </c>
      <c r="AX3" s="30" t="s">
        <v>57</v>
      </c>
      <c r="AY3" s="30" t="s">
        <v>58</v>
      </c>
      <c r="AZ3" s="30" t="s">
        <v>59</v>
      </c>
      <c r="BA3" s="30" t="s">
        <v>60</v>
      </c>
      <c r="BB3" s="30" t="s">
        <v>61</v>
      </c>
      <c r="BC3" s="34" t="s">
        <v>62</v>
      </c>
      <c r="BD3" s="34" t="s">
        <v>63</v>
      </c>
      <c r="BE3" s="34" t="s">
        <v>64</v>
      </c>
      <c r="BF3" s="30" t="s">
        <v>65</v>
      </c>
      <c r="BG3" s="30" t="s">
        <v>66</v>
      </c>
      <c r="BH3" s="30" t="s">
        <v>67</v>
      </c>
      <c r="BI3" s="30" t="s">
        <v>68</v>
      </c>
      <c r="BJ3" s="30" t="s">
        <v>69</v>
      </c>
      <c r="BK3" s="30" t="s">
        <v>70</v>
      </c>
      <c r="BL3" s="30" t="s">
        <v>71</v>
      </c>
      <c r="BM3" s="30" t="s">
        <v>72</v>
      </c>
      <c r="BN3" s="30" t="s">
        <v>73</v>
      </c>
      <c r="BO3" s="30" t="s">
        <v>59</v>
      </c>
      <c r="BP3" s="30" t="s">
        <v>74</v>
      </c>
      <c r="BQ3" s="30" t="s">
        <v>28</v>
      </c>
    </row>
    <row r="4" spans="1:69">
      <c r="A4" s="7">
        <v>1</v>
      </c>
      <c r="B4" s="7" t="s">
        <v>88</v>
      </c>
      <c r="C4" s="7" t="s">
        <v>104</v>
      </c>
      <c r="D4" s="7" t="s">
        <v>76</v>
      </c>
      <c r="E4" s="7" t="s">
        <v>89</v>
      </c>
      <c r="F4" s="8">
        <v>5</v>
      </c>
      <c r="G4" s="8">
        <v>150</v>
      </c>
      <c r="H4" s="8">
        <f>F4*G4</f>
        <v>750</v>
      </c>
      <c r="I4" s="8">
        <v>5</v>
      </c>
      <c r="J4" s="8">
        <v>8</v>
      </c>
      <c r="K4" s="8">
        <v>5</v>
      </c>
      <c r="L4" s="8">
        <f>H4</f>
        <v>750</v>
      </c>
      <c r="M4" s="8">
        <f>ROUND(L4*I4%,2)</f>
        <v>37.5</v>
      </c>
      <c r="N4" s="8">
        <f>H4-M4</f>
        <v>712.5</v>
      </c>
      <c r="O4" s="8">
        <f>ROUND(N4*J4%,2)</f>
        <v>57</v>
      </c>
      <c r="P4" s="8">
        <f>ROUND(N4-O4,2)</f>
        <v>655.5</v>
      </c>
      <c r="Q4" s="8">
        <f>ROUND(P4*K4%,2)</f>
        <v>32.78</v>
      </c>
      <c r="R4" s="8">
        <f>M4+O4+Q4</f>
        <v>127.28</v>
      </c>
      <c r="S4" s="8">
        <f>(H4-R4)</f>
        <v>622.72</v>
      </c>
      <c r="T4" s="8">
        <v>88363222</v>
      </c>
      <c r="U4" s="8">
        <v>0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0</v>
      </c>
      <c r="AC4" s="8">
        <f>IF($V2=1,S4+AB4,S4)</f>
        <v>622.72</v>
      </c>
      <c r="AD4" s="8">
        <v>120</v>
      </c>
      <c r="AE4" s="8">
        <f>IF($P$2=1,(S4/$S$5)*$E$16,AD4/$AD$5*$E$16)</f>
        <v>0</v>
      </c>
      <c r="AF4" s="8"/>
      <c r="AG4" s="8">
        <f>IF($P$2=1,(S4/$S$5)*$E$18,AD4/$AD$5*$E$18)</f>
        <v>0</v>
      </c>
      <c r="AH4" s="8">
        <f>IF($P$2=1,(S4/$S$5)*$E$18,AD4/$AD$5*$E$18)</f>
        <v>0</v>
      </c>
      <c r="AI4" s="8">
        <f>S4*$M$2</f>
        <v>622.72</v>
      </c>
      <c r="AJ4" s="8">
        <f>IF($C$2=3,0,AG4+AH4)</f>
        <v>0</v>
      </c>
      <c r="AK4" s="8">
        <f>IF($C$2=3,AE4+AG4+AH4,0)</f>
        <v>0</v>
      </c>
      <c r="AL4" s="8">
        <v>1</v>
      </c>
      <c r="AM4" s="8">
        <f>F4/AL4</f>
        <v>5</v>
      </c>
      <c r="AN4" s="8">
        <f>AI4/AM4</f>
        <v>124.544</v>
      </c>
      <c r="AO4" s="8">
        <f>AJ4/AM4</f>
        <v>0</v>
      </c>
      <c r="AP4" s="8">
        <f>AK4/AM4</f>
        <v>0</v>
      </c>
      <c r="AQ4" s="8" t="s">
        <v>76</v>
      </c>
      <c r="AR4" s="33">
        <f>ROUND(AN4+AO4+AP4,5)</f>
        <v>124.544</v>
      </c>
      <c r="AS4" s="33" t="s">
        <v>77</v>
      </c>
      <c r="AT4" s="32" t="s">
        <v>76</v>
      </c>
      <c r="AU4" s="33" t="s">
        <v>78</v>
      </c>
      <c r="AV4" s="33" t="s">
        <v>79</v>
      </c>
      <c r="AW4" s="32">
        <f>AM4</f>
        <v>5</v>
      </c>
      <c r="AX4" s="32">
        <f>AR4</f>
        <v>124.544</v>
      </c>
      <c r="AY4" s="32">
        <f>AU4+AW4</f>
        <v>14095</v>
      </c>
      <c r="AZ4" s="32">
        <f>ROUND(((AU4*AV4)+(AW4*AX4))/(AU4+AW4),5)</f>
        <v>121.22156</v>
      </c>
      <c r="BA4" s="36"/>
      <c r="BB4" s="36" t="s">
        <v>80</v>
      </c>
      <c r="BC4" s="50" t="s">
        <v>81</v>
      </c>
      <c r="BD4" s="38" t="s">
        <v>82</v>
      </c>
      <c r="BE4" s="38" t="s">
        <v>83</v>
      </c>
      <c r="BF4" s="36"/>
      <c r="BG4" s="36"/>
      <c r="BH4" s="36"/>
      <c r="BI4" s="32"/>
      <c r="BJ4" s="33"/>
      <c r="BK4" s="33"/>
      <c r="BL4" s="32" t="s">
        <v>84</v>
      </c>
      <c r="BM4" s="33" t="s">
        <v>85</v>
      </c>
      <c r="BN4" s="33" t="s">
        <v>86</v>
      </c>
      <c r="BO4" s="32">
        <f>ROUND((((AW4*AZ4)+(BN4*BM4))/(AW4+BN4)),5)</f>
        <v>146.67549</v>
      </c>
      <c r="BP4" s="40">
        <f>BN4+AW4</f>
        <v>696</v>
      </c>
      <c r="BQ4" s="41">
        <v>123562</v>
      </c>
    </row>
    <row r="5" spans="1:69">
      <c r="A5" s="10"/>
      <c r="B5" s="11"/>
      <c r="C5" s="11"/>
      <c r="D5" s="12" t="s">
        <v>87</v>
      </c>
      <c r="E5" s="12"/>
      <c r="F5" s="12"/>
      <c r="G5" s="13"/>
      <c r="H5" s="14">
        <f>SUM(H4:H4)</f>
        <v>750</v>
      </c>
      <c r="I5" s="7"/>
      <c r="J5" s="7"/>
      <c r="K5" s="7"/>
      <c r="L5" s="7"/>
      <c r="M5" s="7"/>
      <c r="N5" s="7"/>
      <c r="O5" s="7"/>
      <c r="P5" s="7"/>
      <c r="Q5" s="7"/>
      <c r="R5" s="20">
        <f t="shared" ref="R5:X5" si="0">SUM(R4:R4)</f>
        <v>127.28</v>
      </c>
      <c r="S5" s="14">
        <f t="shared" si="0"/>
        <v>622.72</v>
      </c>
      <c r="T5" s="20"/>
      <c r="U5" s="20"/>
      <c r="V5" s="21">
        <f t="shared" si="0"/>
        <v>0</v>
      </c>
      <c r="W5" s="21">
        <f t="shared" si="0"/>
        <v>0</v>
      </c>
      <c r="X5" s="21">
        <f t="shared" si="0"/>
        <v>0</v>
      </c>
      <c r="Y5" s="21"/>
      <c r="Z5" s="21"/>
      <c r="AA5" s="21"/>
      <c r="AB5" s="20">
        <f t="shared" ref="AB5:AE5" si="1">SUM(AB4:AB4)</f>
        <v>0</v>
      </c>
      <c r="AC5" s="25">
        <f t="shared" si="1"/>
        <v>622.72</v>
      </c>
      <c r="AD5" s="26">
        <f t="shared" si="1"/>
        <v>120</v>
      </c>
      <c r="AE5" s="26">
        <f t="shared" si="1"/>
        <v>0</v>
      </c>
      <c r="AF5" s="25"/>
      <c r="AG5" s="26">
        <f t="shared" ref="AG5:AK5" si="2">SUM(AG4:AG4)</f>
        <v>0</v>
      </c>
      <c r="AH5" s="26">
        <f t="shared" si="2"/>
        <v>0</v>
      </c>
      <c r="AI5" s="26">
        <f t="shared" si="2"/>
        <v>622.72</v>
      </c>
      <c r="AJ5" s="26">
        <f t="shared" si="2"/>
        <v>0</v>
      </c>
      <c r="AK5" s="26">
        <f t="shared" si="2"/>
        <v>0</v>
      </c>
      <c r="AL5" s="25"/>
      <c r="AM5" s="25"/>
      <c r="AN5" s="25"/>
      <c r="AO5" s="25"/>
      <c r="AP5" s="25"/>
      <c r="AQ5" s="25"/>
      <c r="AR5" s="25"/>
      <c r="AS5" s="10"/>
      <c r="AT5" s="33"/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</row>
  </sheetData>
  <mergeCells count="1">
    <mergeCell ref="A2:B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5"/>
  <sheetViews>
    <sheetView workbookViewId="0">
      <selection activeCell="AA4" sqref="AA4"/>
    </sheetView>
  </sheetViews>
  <sheetFormatPr defaultColWidth="9.85546875" defaultRowHeight="15"/>
  <cols>
    <col min="1" max="1" width="9.85546875" style="1"/>
    <col min="2" max="2" width="25.5703125" style="1" customWidth="1"/>
    <col min="3" max="3" width="26" style="1" customWidth="1"/>
    <col min="4" max="19" width="9.85546875" style="1"/>
    <col min="20" max="20" width="10.140625" style="1" customWidth="1"/>
    <col min="21" max="16384" width="9.85546875" style="1"/>
  </cols>
  <sheetData>
    <row r="1" spans="1:69">
      <c r="A1" s="2" t="s">
        <v>0</v>
      </c>
      <c r="B1" s="3"/>
      <c r="C1" s="3"/>
      <c r="D1" s="3"/>
      <c r="E1" s="3"/>
      <c r="F1" s="3"/>
      <c r="G1" s="3"/>
      <c r="H1" s="2"/>
      <c r="I1" s="15"/>
      <c r="J1" s="15"/>
      <c r="K1" s="15"/>
      <c r="L1" s="15"/>
      <c r="M1" s="15"/>
      <c r="N1" s="15"/>
      <c r="O1" s="15"/>
      <c r="P1" s="15"/>
      <c r="Q1" s="15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10"/>
      <c r="AT1" s="33"/>
      <c r="AU1" s="33"/>
      <c r="AV1" s="33"/>
      <c r="AW1" s="33"/>
      <c r="AX1" s="33"/>
      <c r="AY1" s="33"/>
      <c r="AZ1" s="33"/>
      <c r="BA1" s="33"/>
      <c r="BB1" s="33"/>
      <c r="BC1" s="33"/>
      <c r="BD1" s="33"/>
      <c r="BE1" s="33"/>
      <c r="BF1" s="33"/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</row>
    <row r="2" spans="1:69">
      <c r="A2" s="51" t="s">
        <v>1</v>
      </c>
      <c r="B2" s="51"/>
      <c r="C2" s="4">
        <v>2</v>
      </c>
      <c r="D2" s="5" t="s">
        <v>2</v>
      </c>
      <c r="E2" s="3"/>
      <c r="F2" s="3"/>
      <c r="G2" s="3"/>
      <c r="H2" s="2"/>
      <c r="I2" s="15" t="s">
        <v>3</v>
      </c>
      <c r="J2" s="15" t="s">
        <v>4</v>
      </c>
      <c r="K2" s="15"/>
      <c r="L2" s="15" t="s">
        <v>5</v>
      </c>
      <c r="M2" s="15">
        <v>1</v>
      </c>
      <c r="N2" s="15"/>
      <c r="O2" s="15" t="s">
        <v>6</v>
      </c>
      <c r="P2" s="15">
        <v>1</v>
      </c>
      <c r="Q2" s="15" t="s">
        <v>7</v>
      </c>
      <c r="R2" s="2"/>
      <c r="S2" s="2"/>
      <c r="T2" s="2"/>
      <c r="U2" s="2"/>
      <c r="V2" s="2">
        <v>1</v>
      </c>
      <c r="W2" s="2" t="s">
        <v>8</v>
      </c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10"/>
      <c r="AT2" s="33"/>
      <c r="AU2" s="33"/>
      <c r="AV2" s="33"/>
      <c r="AW2" s="33"/>
      <c r="AX2" s="33"/>
      <c r="AY2" s="33"/>
      <c r="AZ2" s="33"/>
      <c r="BA2" s="33"/>
      <c r="BB2" s="33"/>
      <c r="BC2" s="33"/>
      <c r="BD2" s="33"/>
      <c r="BE2" s="33"/>
      <c r="BF2" s="33"/>
      <c r="BG2" s="33"/>
      <c r="BH2" s="33"/>
      <c r="BI2" s="33"/>
      <c r="BJ2" s="33"/>
      <c r="BK2" s="33"/>
      <c r="BL2" s="33"/>
      <c r="BM2" s="33"/>
      <c r="BN2" s="33"/>
      <c r="BO2" s="33"/>
      <c r="BP2" s="33"/>
      <c r="BQ2" s="33"/>
    </row>
    <row r="3" spans="1:69" ht="60">
      <c r="A3" s="42" t="s">
        <v>9</v>
      </c>
      <c r="B3" s="42" t="s">
        <v>10</v>
      </c>
      <c r="C3" s="43" t="s">
        <v>11</v>
      </c>
      <c r="D3" s="42" t="s">
        <v>12</v>
      </c>
      <c r="E3" s="42" t="s">
        <v>13</v>
      </c>
      <c r="F3" s="44" t="s">
        <v>14</v>
      </c>
      <c r="G3" s="42" t="s">
        <v>15</v>
      </c>
      <c r="H3" s="42" t="s">
        <v>16</v>
      </c>
      <c r="I3" s="45" t="s">
        <v>17</v>
      </c>
      <c r="J3" s="45" t="s">
        <v>18</v>
      </c>
      <c r="K3" s="45" t="s">
        <v>19</v>
      </c>
      <c r="L3" s="46" t="s">
        <v>20</v>
      </c>
      <c r="M3" s="46" t="s">
        <v>21</v>
      </c>
      <c r="N3" s="46" t="s">
        <v>22</v>
      </c>
      <c r="O3" s="46" t="s">
        <v>23</v>
      </c>
      <c r="P3" s="46" t="s">
        <v>24</v>
      </c>
      <c r="Q3" s="46" t="s">
        <v>25</v>
      </c>
      <c r="R3" s="45" t="s">
        <v>26</v>
      </c>
      <c r="S3" s="42" t="s">
        <v>27</v>
      </c>
      <c r="T3" s="42" t="s">
        <v>28</v>
      </c>
      <c r="U3" s="22" t="s">
        <v>29</v>
      </c>
      <c r="V3" s="22" t="s">
        <v>30</v>
      </c>
      <c r="W3" s="22" t="s">
        <v>31</v>
      </c>
      <c r="X3" s="22" t="s">
        <v>32</v>
      </c>
      <c r="Y3" s="22" t="s">
        <v>33</v>
      </c>
      <c r="Z3" s="22" t="s">
        <v>34</v>
      </c>
      <c r="AA3" s="22" t="s">
        <v>35</v>
      </c>
      <c r="AB3" s="22" t="s">
        <v>36</v>
      </c>
      <c r="AC3" s="47" t="s">
        <v>37</v>
      </c>
      <c r="AD3" s="47" t="s">
        <v>38</v>
      </c>
      <c r="AE3" s="48" t="s">
        <v>39</v>
      </c>
      <c r="AF3" s="48" t="s">
        <v>40</v>
      </c>
      <c r="AG3" s="48" t="s">
        <v>41</v>
      </c>
      <c r="AH3" s="47" t="s">
        <v>42</v>
      </c>
      <c r="AI3" s="47" t="s">
        <v>43</v>
      </c>
      <c r="AJ3" s="48" t="s">
        <v>44</v>
      </c>
      <c r="AK3" s="48" t="s">
        <v>45</v>
      </c>
      <c r="AL3" s="47" t="s">
        <v>46</v>
      </c>
      <c r="AM3" s="47" t="s">
        <v>47</v>
      </c>
      <c r="AN3" s="48" t="s">
        <v>48</v>
      </c>
      <c r="AO3" s="48" t="s">
        <v>49</v>
      </c>
      <c r="AP3" s="48" t="s">
        <v>50</v>
      </c>
      <c r="AQ3" s="47" t="s">
        <v>51</v>
      </c>
      <c r="AR3" s="49" t="s">
        <v>52</v>
      </c>
      <c r="AS3" s="29" t="s">
        <v>53</v>
      </c>
      <c r="AT3" s="29" t="s">
        <v>51</v>
      </c>
      <c r="AU3" s="30" t="s">
        <v>54</v>
      </c>
      <c r="AV3" s="30" t="s">
        <v>55</v>
      </c>
      <c r="AW3" s="30" t="s">
        <v>56</v>
      </c>
      <c r="AX3" s="30" t="s">
        <v>57</v>
      </c>
      <c r="AY3" s="30" t="s">
        <v>58</v>
      </c>
      <c r="AZ3" s="30" t="s">
        <v>59</v>
      </c>
      <c r="BA3" s="30" t="s">
        <v>60</v>
      </c>
      <c r="BB3" s="30" t="s">
        <v>61</v>
      </c>
      <c r="BC3" s="34" t="s">
        <v>62</v>
      </c>
      <c r="BD3" s="34" t="s">
        <v>63</v>
      </c>
      <c r="BE3" s="34" t="s">
        <v>64</v>
      </c>
      <c r="BF3" s="30" t="s">
        <v>65</v>
      </c>
      <c r="BG3" s="30" t="s">
        <v>66</v>
      </c>
      <c r="BH3" s="30" t="s">
        <v>67</v>
      </c>
      <c r="BI3" s="30" t="s">
        <v>68</v>
      </c>
      <c r="BJ3" s="30" t="s">
        <v>69</v>
      </c>
      <c r="BK3" s="30" t="s">
        <v>70</v>
      </c>
      <c r="BL3" s="30" t="s">
        <v>71</v>
      </c>
      <c r="BM3" s="30" t="s">
        <v>72</v>
      </c>
      <c r="BN3" s="30" t="s">
        <v>73</v>
      </c>
      <c r="BO3" s="30" t="s">
        <v>59</v>
      </c>
      <c r="BP3" s="30" t="s">
        <v>74</v>
      </c>
      <c r="BQ3" s="30" t="s">
        <v>28</v>
      </c>
    </row>
    <row r="4" spans="1:69">
      <c r="A4" s="7">
        <v>1</v>
      </c>
      <c r="B4" s="7" t="s">
        <v>90</v>
      </c>
      <c r="C4" s="7" t="s">
        <v>90</v>
      </c>
      <c r="D4" s="7" t="s">
        <v>76</v>
      </c>
      <c r="E4" s="7" t="s">
        <v>76</v>
      </c>
      <c r="F4" s="8">
        <v>5</v>
      </c>
      <c r="G4" s="8">
        <v>150</v>
      </c>
      <c r="H4" s="8">
        <f>F4*G4</f>
        <v>750</v>
      </c>
      <c r="I4" s="8">
        <v>5</v>
      </c>
      <c r="J4" s="8">
        <v>8</v>
      </c>
      <c r="K4" s="8">
        <v>5</v>
      </c>
      <c r="L4" s="8">
        <f>H4</f>
        <v>750</v>
      </c>
      <c r="M4" s="8">
        <f>ROUND(L4*I4%,2)</f>
        <v>37.5</v>
      </c>
      <c r="N4" s="8">
        <f>H4-M4</f>
        <v>712.5</v>
      </c>
      <c r="O4" s="8">
        <f>ROUND(N4*J4%,2)</f>
        <v>57</v>
      </c>
      <c r="P4" s="8">
        <f>ROUND(N4-O4,2)</f>
        <v>655.5</v>
      </c>
      <c r="Q4" s="8">
        <f>ROUND(P4*K4%,2)</f>
        <v>32.78</v>
      </c>
      <c r="R4" s="8">
        <f>M4+O4+Q4</f>
        <v>127.28</v>
      </c>
      <c r="S4" s="8">
        <f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112.09</v>
      </c>
      <c r="Y4" s="8">
        <f>IF($C$2=4,ROUND((((S4*U4)/100)/2),2),0)</f>
        <v>0</v>
      </c>
      <c r="Z4" s="8">
        <v>0</v>
      </c>
      <c r="AA4" s="8">
        <v>0</v>
      </c>
      <c r="AB4" s="8">
        <f>V4+W4+X4+Y4+AA4</f>
        <v>112.09</v>
      </c>
      <c r="AC4" s="8">
        <f>IF($V2=1,S4+AB4,S4)</f>
        <v>734.81</v>
      </c>
      <c r="AD4" s="8">
        <v>120</v>
      </c>
      <c r="AE4" s="8">
        <f>IF($P$2=1,(S4/$S$5)*$E$16,AD4/$AD$5*$E$16)</f>
        <v>0</v>
      </c>
      <c r="AF4" s="8"/>
      <c r="AG4" s="8">
        <f>IF($P$2=1,(S4/$S$5)*$E$18,AD4/$AD$5*$E$18)</f>
        <v>0</v>
      </c>
      <c r="AH4" s="8">
        <f>IF($P$2=1,(S4/$S$5)*$E$18,AD4/$AD$5*$E$18)</f>
        <v>0</v>
      </c>
      <c r="AI4" s="8">
        <f>S4*$M$2</f>
        <v>622.72</v>
      </c>
      <c r="AJ4" s="8">
        <f>IF($C$2=3,0,AG4+AH4)</f>
        <v>0</v>
      </c>
      <c r="AK4" s="8">
        <f>IF($C$2=3,AE4+AG4+AH4,0)</f>
        <v>0</v>
      </c>
      <c r="AL4" s="8">
        <v>1</v>
      </c>
      <c r="AM4" s="8">
        <f>F4/AL4</f>
        <v>5</v>
      </c>
      <c r="AN4" s="8">
        <f>AI4/AM4</f>
        <v>124.544</v>
      </c>
      <c r="AO4" s="8">
        <f>AJ4/AM4</f>
        <v>0</v>
      </c>
      <c r="AP4" s="8">
        <f>AK4/AM4</f>
        <v>0</v>
      </c>
      <c r="AQ4" s="8" t="s">
        <v>76</v>
      </c>
      <c r="AR4" s="33">
        <f>ROUND(AN4+AO4+AP4,5)</f>
        <v>124.544</v>
      </c>
      <c r="AS4" s="33" t="s">
        <v>77</v>
      </c>
      <c r="AT4" s="32" t="s">
        <v>76</v>
      </c>
      <c r="AU4" s="33" t="s">
        <v>78</v>
      </c>
      <c r="AV4" s="33" t="s">
        <v>79</v>
      </c>
      <c r="AW4" s="32">
        <f>AM4</f>
        <v>5</v>
      </c>
      <c r="AX4" s="32">
        <f>AR4</f>
        <v>124.544</v>
      </c>
      <c r="AY4" s="32">
        <f>AU4+AW4</f>
        <v>14095</v>
      </c>
      <c r="AZ4" s="32">
        <f>ROUND(((AU4*AV4)+(AW4*AX4))/(AU4+AW4),5)</f>
        <v>121.22156</v>
      </c>
      <c r="BA4" s="36"/>
      <c r="BB4" s="36" t="s">
        <v>80</v>
      </c>
      <c r="BC4" s="50" t="s">
        <v>81</v>
      </c>
      <c r="BD4" s="38" t="s">
        <v>82</v>
      </c>
      <c r="BE4" s="38" t="s">
        <v>83</v>
      </c>
      <c r="BF4" s="36"/>
      <c r="BG4" s="36"/>
      <c r="BH4" s="36"/>
      <c r="BI4" s="32"/>
      <c r="BJ4" s="33"/>
      <c r="BK4" s="33"/>
      <c r="BL4" s="32" t="s">
        <v>84</v>
      </c>
      <c r="BM4" s="33" t="s">
        <v>85</v>
      </c>
      <c r="BN4" s="33" t="s">
        <v>86</v>
      </c>
      <c r="BO4" s="32">
        <f>ROUND((((AW4*AZ4)+(BN4*BM4))/(AW4+BN4)),5)</f>
        <v>146.67549</v>
      </c>
      <c r="BP4" s="40">
        <f>BN4+AW4</f>
        <v>696</v>
      </c>
      <c r="BQ4" s="41">
        <v>123562</v>
      </c>
    </row>
    <row r="5" spans="1:69">
      <c r="A5" s="10"/>
      <c r="B5" s="11"/>
      <c r="C5" s="11"/>
      <c r="D5" s="12" t="s">
        <v>87</v>
      </c>
      <c r="E5" s="12"/>
      <c r="F5" s="12"/>
      <c r="G5" s="13"/>
      <c r="H5" s="14">
        <f>SUM(H4:H4)</f>
        <v>750</v>
      </c>
      <c r="I5" s="7"/>
      <c r="J5" s="7"/>
      <c r="K5" s="7"/>
      <c r="L5" s="7"/>
      <c r="M5" s="7"/>
      <c r="N5" s="7"/>
      <c r="O5" s="7"/>
      <c r="P5" s="7"/>
      <c r="Q5" s="7"/>
      <c r="R5" s="20">
        <f t="shared" ref="R5:X5" si="0">SUM(R4:R4)</f>
        <v>127.28</v>
      </c>
      <c r="S5" s="14">
        <f t="shared" si="0"/>
        <v>622.72</v>
      </c>
      <c r="T5" s="20"/>
      <c r="U5" s="20"/>
      <c r="V5" s="21">
        <f t="shared" si="0"/>
        <v>0</v>
      </c>
      <c r="W5" s="21">
        <f t="shared" si="0"/>
        <v>0</v>
      </c>
      <c r="X5" s="21">
        <f t="shared" si="0"/>
        <v>112.09</v>
      </c>
      <c r="Y5" s="21"/>
      <c r="Z5" s="21"/>
      <c r="AA5" s="21"/>
      <c r="AB5" s="20">
        <f t="shared" ref="AB5:AE5" si="1">SUM(AB4:AB4)</f>
        <v>112.09</v>
      </c>
      <c r="AC5" s="25">
        <f t="shared" si="1"/>
        <v>734.81</v>
      </c>
      <c r="AD5" s="26">
        <f t="shared" si="1"/>
        <v>120</v>
      </c>
      <c r="AE5" s="26">
        <f t="shared" si="1"/>
        <v>0</v>
      </c>
      <c r="AF5" s="25"/>
      <c r="AG5" s="26">
        <f t="shared" ref="AG5:AK5" si="2">SUM(AG4:AG4)</f>
        <v>0</v>
      </c>
      <c r="AH5" s="26">
        <f t="shared" si="2"/>
        <v>0</v>
      </c>
      <c r="AI5" s="26">
        <f t="shared" si="2"/>
        <v>622.72</v>
      </c>
      <c r="AJ5" s="26">
        <f t="shared" si="2"/>
        <v>0</v>
      </c>
      <c r="AK5" s="26">
        <f t="shared" si="2"/>
        <v>0</v>
      </c>
      <c r="AL5" s="25"/>
      <c r="AM5" s="25"/>
      <c r="AN5" s="25"/>
      <c r="AO5" s="25"/>
      <c r="AP5" s="25"/>
      <c r="AQ5" s="25"/>
      <c r="AR5" s="25"/>
      <c r="AS5" s="10"/>
      <c r="AT5" s="33"/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</row>
  </sheetData>
  <mergeCells count="1">
    <mergeCell ref="A2:B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5"/>
  <sheetViews>
    <sheetView workbookViewId="0">
      <selection activeCell="W9" sqref="W9"/>
    </sheetView>
  </sheetViews>
  <sheetFormatPr defaultColWidth="9.85546875" defaultRowHeight="15"/>
  <cols>
    <col min="1" max="1" width="9.85546875" style="1"/>
    <col min="2" max="2" width="25.5703125" style="1" customWidth="1"/>
    <col min="3" max="3" width="26" style="1" customWidth="1"/>
    <col min="4" max="19" width="9.85546875" style="1"/>
    <col min="20" max="20" width="10.140625" style="1" customWidth="1"/>
    <col min="21" max="16384" width="9.85546875" style="1"/>
  </cols>
  <sheetData>
    <row r="1" spans="1:69">
      <c r="A1" s="2" t="s">
        <v>0</v>
      </c>
      <c r="B1" s="3"/>
      <c r="C1" s="3"/>
      <c r="D1" s="3"/>
      <c r="E1" s="3"/>
      <c r="F1" s="3"/>
      <c r="G1" s="3"/>
      <c r="H1" s="2"/>
      <c r="I1" s="15"/>
      <c r="J1" s="15"/>
      <c r="K1" s="15"/>
      <c r="L1" s="15"/>
      <c r="M1" s="15"/>
      <c r="N1" s="15"/>
      <c r="O1" s="15"/>
      <c r="P1" s="15"/>
      <c r="Q1" s="15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10"/>
      <c r="AT1" s="33"/>
      <c r="AU1" s="33"/>
      <c r="AV1" s="33"/>
      <c r="AW1" s="33"/>
      <c r="AX1" s="33"/>
      <c r="AY1" s="33"/>
      <c r="AZ1" s="33"/>
      <c r="BA1" s="33"/>
      <c r="BB1" s="33"/>
      <c r="BC1" s="33"/>
      <c r="BD1" s="33"/>
      <c r="BE1" s="33"/>
      <c r="BF1" s="33"/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</row>
    <row r="2" spans="1:69">
      <c r="A2" s="51" t="s">
        <v>1</v>
      </c>
      <c r="B2" s="51"/>
      <c r="C2" s="4">
        <v>3</v>
      </c>
      <c r="D2" s="5" t="s">
        <v>2</v>
      </c>
      <c r="E2" s="3"/>
      <c r="F2" s="3"/>
      <c r="G2" s="3"/>
      <c r="H2" s="2"/>
      <c r="I2" s="15" t="s">
        <v>3</v>
      </c>
      <c r="J2" s="15" t="s">
        <v>4</v>
      </c>
      <c r="K2" s="15"/>
      <c r="L2" s="15" t="s">
        <v>5</v>
      </c>
      <c r="M2" s="15">
        <v>1</v>
      </c>
      <c r="N2" s="15"/>
      <c r="O2" s="15" t="s">
        <v>6</v>
      </c>
      <c r="P2" s="15">
        <v>1</v>
      </c>
      <c r="Q2" s="15" t="s">
        <v>7</v>
      </c>
      <c r="R2" s="2"/>
      <c r="S2" s="2"/>
      <c r="T2" s="2"/>
      <c r="U2" s="2"/>
      <c r="V2" s="2">
        <v>1</v>
      </c>
      <c r="W2" s="2" t="s">
        <v>8</v>
      </c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10"/>
      <c r="AT2" s="33"/>
      <c r="AU2" s="33"/>
      <c r="AV2" s="33"/>
      <c r="AW2" s="33"/>
      <c r="AX2" s="33"/>
      <c r="AY2" s="33"/>
      <c r="AZ2" s="33"/>
      <c r="BA2" s="33"/>
      <c r="BB2" s="33"/>
      <c r="BC2" s="33"/>
      <c r="BD2" s="33"/>
      <c r="BE2" s="33"/>
      <c r="BF2" s="33"/>
      <c r="BG2" s="33"/>
      <c r="BH2" s="33"/>
      <c r="BI2" s="33"/>
      <c r="BJ2" s="33"/>
      <c r="BK2" s="33"/>
      <c r="BL2" s="33"/>
      <c r="BM2" s="33"/>
      <c r="BN2" s="33"/>
      <c r="BO2" s="33"/>
      <c r="BP2" s="33"/>
      <c r="BQ2" s="33"/>
    </row>
    <row r="3" spans="1:69" ht="60">
      <c r="A3" s="42" t="s">
        <v>9</v>
      </c>
      <c r="B3" s="42" t="s">
        <v>10</v>
      </c>
      <c r="C3" s="43" t="s">
        <v>11</v>
      </c>
      <c r="D3" s="42" t="s">
        <v>12</v>
      </c>
      <c r="E3" s="42" t="s">
        <v>13</v>
      </c>
      <c r="F3" s="44" t="s">
        <v>14</v>
      </c>
      <c r="G3" s="42" t="s">
        <v>15</v>
      </c>
      <c r="H3" s="42" t="s">
        <v>16</v>
      </c>
      <c r="I3" s="45" t="s">
        <v>17</v>
      </c>
      <c r="J3" s="45" t="s">
        <v>18</v>
      </c>
      <c r="K3" s="45" t="s">
        <v>19</v>
      </c>
      <c r="L3" s="46" t="s">
        <v>20</v>
      </c>
      <c r="M3" s="46" t="s">
        <v>21</v>
      </c>
      <c r="N3" s="46" t="s">
        <v>22</v>
      </c>
      <c r="O3" s="46" t="s">
        <v>23</v>
      </c>
      <c r="P3" s="46" t="s">
        <v>24</v>
      </c>
      <c r="Q3" s="46" t="s">
        <v>25</v>
      </c>
      <c r="R3" s="45" t="s">
        <v>26</v>
      </c>
      <c r="S3" s="42" t="s">
        <v>27</v>
      </c>
      <c r="T3" s="42" t="s">
        <v>28</v>
      </c>
      <c r="U3" s="22" t="s">
        <v>29</v>
      </c>
      <c r="V3" s="22" t="s">
        <v>30</v>
      </c>
      <c r="W3" s="22" t="s">
        <v>31</v>
      </c>
      <c r="X3" s="22" t="s">
        <v>32</v>
      </c>
      <c r="Y3" s="22" t="s">
        <v>33</v>
      </c>
      <c r="Z3" s="22" t="s">
        <v>34</v>
      </c>
      <c r="AA3" s="22" t="s">
        <v>35</v>
      </c>
      <c r="AB3" s="22" t="s">
        <v>36</v>
      </c>
      <c r="AC3" s="47" t="s">
        <v>37</v>
      </c>
      <c r="AD3" s="47" t="s">
        <v>38</v>
      </c>
      <c r="AE3" s="48" t="s">
        <v>39</v>
      </c>
      <c r="AF3" s="48" t="s">
        <v>40</v>
      </c>
      <c r="AG3" s="48" t="s">
        <v>41</v>
      </c>
      <c r="AH3" s="47" t="s">
        <v>42</v>
      </c>
      <c r="AI3" s="47" t="s">
        <v>43</v>
      </c>
      <c r="AJ3" s="48" t="s">
        <v>44</v>
      </c>
      <c r="AK3" s="48" t="s">
        <v>45</v>
      </c>
      <c r="AL3" s="47" t="s">
        <v>46</v>
      </c>
      <c r="AM3" s="47" t="s">
        <v>47</v>
      </c>
      <c r="AN3" s="48" t="s">
        <v>48</v>
      </c>
      <c r="AO3" s="48" t="s">
        <v>49</v>
      </c>
      <c r="AP3" s="48" t="s">
        <v>50</v>
      </c>
      <c r="AQ3" s="47" t="s">
        <v>51</v>
      </c>
      <c r="AR3" s="49" t="s">
        <v>52</v>
      </c>
      <c r="AS3" s="29" t="s">
        <v>53</v>
      </c>
      <c r="AT3" s="29" t="s">
        <v>51</v>
      </c>
      <c r="AU3" s="30" t="s">
        <v>54</v>
      </c>
      <c r="AV3" s="30" t="s">
        <v>55</v>
      </c>
      <c r="AW3" s="30" t="s">
        <v>56</v>
      </c>
      <c r="AX3" s="30" t="s">
        <v>57</v>
      </c>
      <c r="AY3" s="30" t="s">
        <v>58</v>
      </c>
      <c r="AZ3" s="30" t="s">
        <v>59</v>
      </c>
      <c r="BA3" s="30" t="s">
        <v>60</v>
      </c>
      <c r="BB3" s="30" t="s">
        <v>61</v>
      </c>
      <c r="BC3" s="34" t="s">
        <v>62</v>
      </c>
      <c r="BD3" s="34" t="s">
        <v>63</v>
      </c>
      <c r="BE3" s="34" t="s">
        <v>64</v>
      </c>
      <c r="BF3" s="30" t="s">
        <v>65</v>
      </c>
      <c r="BG3" s="30" t="s">
        <v>66</v>
      </c>
      <c r="BH3" s="30" t="s">
        <v>67</v>
      </c>
      <c r="BI3" s="30" t="s">
        <v>68</v>
      </c>
      <c r="BJ3" s="30" t="s">
        <v>69</v>
      </c>
      <c r="BK3" s="30" t="s">
        <v>70</v>
      </c>
      <c r="BL3" s="30" t="s">
        <v>71</v>
      </c>
      <c r="BM3" s="30" t="s">
        <v>72</v>
      </c>
      <c r="BN3" s="30" t="s">
        <v>73</v>
      </c>
      <c r="BO3" s="30" t="s">
        <v>59</v>
      </c>
      <c r="BP3" s="30" t="s">
        <v>74</v>
      </c>
      <c r="BQ3" s="30" t="s">
        <v>28</v>
      </c>
    </row>
    <row r="4" spans="1:69">
      <c r="A4" s="7">
        <v>1</v>
      </c>
      <c r="B4" s="7" t="s">
        <v>75</v>
      </c>
      <c r="C4" s="7" t="s">
        <v>75</v>
      </c>
      <c r="D4" s="7" t="s">
        <v>76</v>
      </c>
      <c r="E4" s="7" t="s">
        <v>76</v>
      </c>
      <c r="F4" s="8">
        <v>5</v>
      </c>
      <c r="G4" s="8">
        <v>150</v>
      </c>
      <c r="H4" s="8">
        <f>F4*G4</f>
        <v>750</v>
      </c>
      <c r="I4" s="8">
        <v>5</v>
      </c>
      <c r="J4" s="8">
        <v>8</v>
      </c>
      <c r="K4" s="8">
        <v>5</v>
      </c>
      <c r="L4" s="8">
        <f>H4</f>
        <v>750</v>
      </c>
      <c r="M4" s="8">
        <f>ROUND(L4*I4%,2)</f>
        <v>37.5</v>
      </c>
      <c r="N4" s="8">
        <f>H4-M4</f>
        <v>712.5</v>
      </c>
      <c r="O4" s="8">
        <f>ROUND(N4*J4%,2)</f>
        <v>57</v>
      </c>
      <c r="P4" s="8">
        <f>ROUND(N4-O4,2)</f>
        <v>655.5</v>
      </c>
      <c r="Q4" s="8">
        <f>ROUND(P4*K4%,2)</f>
        <v>32.78</v>
      </c>
      <c r="R4" s="8">
        <f>M4+O4+Q4</f>
        <v>127.28</v>
      </c>
      <c r="S4" s="8">
        <f>(H4-R4)</f>
        <v>622.72</v>
      </c>
      <c r="T4" s="8">
        <v>88363222</v>
      </c>
      <c r="U4" s="8">
        <v>0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4</v>
      </c>
      <c r="AA4" s="8">
        <f>IF($C2=3,0,(S4*Z4)/100)</f>
        <v>0</v>
      </c>
      <c r="AB4" s="8">
        <f>V4+W4+X4+Y4+AA4</f>
        <v>0</v>
      </c>
      <c r="AC4" s="8">
        <f>IF($V2=1,S4+AB4,S4)</f>
        <v>622.72</v>
      </c>
      <c r="AD4" s="8">
        <v>120</v>
      </c>
      <c r="AE4" s="8">
        <f>IF($P$2=1,(S4/$S$5)*$E$16,AD4/$AD$5*$E$16)</f>
        <v>0</v>
      </c>
      <c r="AF4" s="8"/>
      <c r="AG4" s="8">
        <f>IF($P$2=1,(S4/$S$5)*$E$18,AD4/$AD$5*$E$18)</f>
        <v>0</v>
      </c>
      <c r="AH4" s="8">
        <f>IF($P$2=1,(S4/$S$5)*$E$18,AD4/$AD$5*$E$18)</f>
        <v>0</v>
      </c>
      <c r="AI4" s="8">
        <f>S4*$M$2</f>
        <v>622.72</v>
      </c>
      <c r="AJ4" s="8">
        <f>IF($C$2=3,0,AG4+AH4)</f>
        <v>0</v>
      </c>
      <c r="AK4" s="8">
        <f>IF($C$2=3,AE4+AG4+AH4,0)</f>
        <v>0</v>
      </c>
      <c r="AL4" s="8">
        <v>3</v>
      </c>
      <c r="AM4" s="8">
        <f>F4/AL4</f>
        <v>1.6666666666666701</v>
      </c>
      <c r="AN4" s="8">
        <f>AI4/AM4</f>
        <v>373.63200000000001</v>
      </c>
      <c r="AO4" s="8">
        <f>AJ4/AM4</f>
        <v>0</v>
      </c>
      <c r="AP4" s="8">
        <f>AK4/AM4</f>
        <v>0</v>
      </c>
      <c r="AQ4" s="8" t="s">
        <v>76</v>
      </c>
      <c r="AR4" s="33">
        <f>ROUND(AN4+AO4+AP4,5)</f>
        <v>373.63200000000001</v>
      </c>
      <c r="AS4" s="33" t="s">
        <v>77</v>
      </c>
      <c r="AT4" s="32" t="s">
        <v>76</v>
      </c>
      <c r="AU4" s="33" t="s">
        <v>78</v>
      </c>
      <c r="AV4" s="33" t="s">
        <v>79</v>
      </c>
      <c r="AW4" s="32">
        <f>AM4</f>
        <v>1.6666666666666701</v>
      </c>
      <c r="AX4" s="32">
        <f>AR4</f>
        <v>373.63200000000001</v>
      </c>
      <c r="AY4" s="32">
        <f>AU4+AW4</f>
        <v>14091.666666666701</v>
      </c>
      <c r="AZ4" s="32">
        <f>ROUND(((AU4*AV4)+(AW4*AX4))/(AU4+AW4),5)</f>
        <v>121.25023</v>
      </c>
      <c r="BA4" s="36"/>
      <c r="BB4" s="36" t="s">
        <v>80</v>
      </c>
      <c r="BC4" s="50" t="s">
        <v>81</v>
      </c>
      <c r="BD4" s="38" t="s">
        <v>82</v>
      </c>
      <c r="BE4" s="38" t="s">
        <v>83</v>
      </c>
      <c r="BF4" s="36"/>
      <c r="BG4" s="36"/>
      <c r="BH4" s="36"/>
      <c r="BI4" s="32"/>
      <c r="BJ4" s="33"/>
      <c r="BK4" s="33"/>
      <c r="BL4" s="32" t="s">
        <v>84</v>
      </c>
      <c r="BM4" s="33" t="s">
        <v>85</v>
      </c>
      <c r="BN4" s="33" t="s">
        <v>86</v>
      </c>
      <c r="BO4" s="32">
        <f>ROUND((((AW4*AZ4)+(BN4*BM4))/(AW4+BN4)),5)</f>
        <v>146.79804999999999</v>
      </c>
      <c r="BP4" s="40">
        <f>BN4+AW4</f>
        <v>692.66666666666697</v>
      </c>
      <c r="BQ4" s="41">
        <v>123562</v>
      </c>
    </row>
    <row r="5" spans="1:69">
      <c r="A5" s="10"/>
      <c r="B5" s="11"/>
      <c r="C5" s="11"/>
      <c r="D5" s="12" t="s">
        <v>87</v>
      </c>
      <c r="E5" s="12"/>
      <c r="F5" s="12"/>
      <c r="G5" s="13"/>
      <c r="H5" s="14">
        <f>SUM(H4:H4)</f>
        <v>750</v>
      </c>
      <c r="I5" s="7"/>
      <c r="J5" s="7"/>
      <c r="K5" s="7"/>
      <c r="L5" s="7"/>
      <c r="M5" s="7"/>
      <c r="N5" s="7"/>
      <c r="O5" s="7"/>
      <c r="P5" s="7"/>
      <c r="Q5" s="7"/>
      <c r="R5" s="20">
        <f t="shared" ref="R5:X5" si="0">SUM(R4:R4)</f>
        <v>127.28</v>
      </c>
      <c r="S5" s="14">
        <f t="shared" si="0"/>
        <v>622.72</v>
      </c>
      <c r="T5" s="20"/>
      <c r="U5" s="20"/>
      <c r="V5" s="21">
        <f t="shared" si="0"/>
        <v>0</v>
      </c>
      <c r="W5" s="21">
        <f t="shared" si="0"/>
        <v>0</v>
      </c>
      <c r="X5" s="21">
        <f t="shared" si="0"/>
        <v>0</v>
      </c>
      <c r="Y5" s="21"/>
      <c r="Z5" s="21"/>
      <c r="AA5" s="21"/>
      <c r="AB5" s="20">
        <f t="shared" ref="AB5:AE5" si="1">SUM(AB4:AB4)</f>
        <v>0</v>
      </c>
      <c r="AC5" s="25">
        <f t="shared" si="1"/>
        <v>622.72</v>
      </c>
      <c r="AD5" s="26">
        <f t="shared" si="1"/>
        <v>120</v>
      </c>
      <c r="AE5" s="26">
        <f t="shared" si="1"/>
        <v>0</v>
      </c>
      <c r="AF5" s="25"/>
      <c r="AG5" s="26">
        <f t="shared" ref="AG5:AK5" si="2">SUM(AG4:AG4)</f>
        <v>0</v>
      </c>
      <c r="AH5" s="26">
        <f t="shared" si="2"/>
        <v>0</v>
      </c>
      <c r="AI5" s="26">
        <f t="shared" si="2"/>
        <v>622.72</v>
      </c>
      <c r="AJ5" s="26">
        <f t="shared" si="2"/>
        <v>0</v>
      </c>
      <c r="AK5" s="26">
        <f t="shared" si="2"/>
        <v>0</v>
      </c>
      <c r="AL5" s="25"/>
      <c r="AM5" s="25"/>
      <c r="AN5" s="25"/>
      <c r="AO5" s="25"/>
      <c r="AP5" s="25"/>
      <c r="AQ5" s="25"/>
      <c r="AR5" s="25"/>
      <c r="AS5" s="10"/>
      <c r="AT5" s="33"/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</row>
  </sheetData>
  <mergeCells count="1">
    <mergeCell ref="A2:B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5"/>
  <sheetViews>
    <sheetView topLeftCell="I1" workbookViewId="0">
      <selection activeCell="U4" sqref="U4"/>
    </sheetView>
  </sheetViews>
  <sheetFormatPr defaultColWidth="8.7109375" defaultRowHeight="15"/>
  <cols>
    <col min="1" max="1" width="8.7109375" style="1"/>
    <col min="2" max="2" width="21.140625" style="1" customWidth="1"/>
    <col min="3" max="3" width="21.28515625" style="1" customWidth="1"/>
    <col min="4" max="19" width="8.7109375" style="1"/>
    <col min="20" max="20" width="10.140625" style="1" customWidth="1"/>
    <col min="21" max="16384" width="8.7109375" style="1"/>
  </cols>
  <sheetData>
    <row r="1" spans="1:69">
      <c r="A1" s="2" t="s">
        <v>0</v>
      </c>
      <c r="B1" s="3"/>
      <c r="C1" s="3"/>
      <c r="D1" s="3"/>
      <c r="E1" s="3"/>
      <c r="F1" s="3"/>
      <c r="G1" s="3"/>
      <c r="H1" s="2"/>
      <c r="I1" s="15"/>
      <c r="J1" s="15"/>
      <c r="K1" s="15"/>
      <c r="L1" s="15"/>
      <c r="M1" s="15"/>
      <c r="N1" s="15"/>
      <c r="O1" s="15"/>
      <c r="P1" s="15"/>
      <c r="Q1" s="15"/>
      <c r="R1" s="2"/>
      <c r="S1" s="2"/>
      <c r="T1" s="2"/>
      <c r="U1" s="2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  <c r="AS1" s="10"/>
      <c r="AT1" s="10"/>
      <c r="AU1" s="10"/>
      <c r="AV1" s="10"/>
      <c r="AW1" s="10"/>
      <c r="AX1" s="10"/>
      <c r="AY1" s="10"/>
      <c r="AZ1" s="10"/>
      <c r="BA1" s="10"/>
      <c r="BB1" s="10"/>
      <c r="BC1" s="10"/>
      <c r="BD1" s="10"/>
      <c r="BE1" s="10"/>
      <c r="BF1" s="10"/>
      <c r="BG1" s="10"/>
      <c r="BH1" s="10"/>
      <c r="BI1" s="10"/>
      <c r="BJ1" s="10"/>
      <c r="BK1" s="10"/>
      <c r="BL1" s="10"/>
      <c r="BM1" s="10"/>
      <c r="BN1" s="10"/>
      <c r="BO1" s="10"/>
      <c r="BP1" s="33"/>
      <c r="BQ1" s="33"/>
    </row>
    <row r="2" spans="1:69">
      <c r="A2" s="51" t="s">
        <v>1</v>
      </c>
      <c r="B2" s="51"/>
      <c r="C2" s="4">
        <v>3</v>
      </c>
      <c r="D2" s="5" t="s">
        <v>2</v>
      </c>
      <c r="E2" s="3"/>
      <c r="F2" s="3"/>
      <c r="G2" s="3"/>
      <c r="H2" s="2"/>
      <c r="I2" s="15" t="s">
        <v>3</v>
      </c>
      <c r="J2" s="15" t="s">
        <v>4</v>
      </c>
      <c r="K2" s="15"/>
      <c r="L2" s="15" t="s">
        <v>5</v>
      </c>
      <c r="M2" s="15">
        <v>1</v>
      </c>
      <c r="N2" s="15"/>
      <c r="O2" s="15" t="s">
        <v>6</v>
      </c>
      <c r="P2" s="15">
        <v>2</v>
      </c>
      <c r="Q2" s="15" t="s">
        <v>7</v>
      </c>
      <c r="R2" s="2"/>
      <c r="S2" s="2"/>
      <c r="T2" s="2"/>
      <c r="U2" s="2"/>
      <c r="V2" s="2">
        <v>1</v>
      </c>
      <c r="W2" s="2" t="s">
        <v>8</v>
      </c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33"/>
      <c r="BQ2" s="33"/>
    </row>
    <row r="3" spans="1:69" ht="60">
      <c r="A3" s="6" t="s">
        <v>91</v>
      </c>
      <c r="B3" s="6" t="s">
        <v>10</v>
      </c>
      <c r="C3" s="6" t="s">
        <v>92</v>
      </c>
      <c r="D3" s="6" t="s">
        <v>12</v>
      </c>
      <c r="E3" s="6" t="s">
        <v>13</v>
      </c>
      <c r="F3" s="6" t="s">
        <v>93</v>
      </c>
      <c r="G3" s="6" t="s">
        <v>15</v>
      </c>
      <c r="H3" s="6" t="s">
        <v>16</v>
      </c>
      <c r="I3" s="16" t="s">
        <v>17</v>
      </c>
      <c r="J3" s="16" t="s">
        <v>19</v>
      </c>
      <c r="K3" s="16" t="s">
        <v>18</v>
      </c>
      <c r="L3" s="17" t="s">
        <v>20</v>
      </c>
      <c r="M3" s="17" t="s">
        <v>21</v>
      </c>
      <c r="N3" s="17" t="s">
        <v>24</v>
      </c>
      <c r="O3" s="17" t="s">
        <v>25</v>
      </c>
      <c r="P3" s="17" t="s">
        <v>94</v>
      </c>
      <c r="Q3" s="17" t="s">
        <v>23</v>
      </c>
      <c r="R3" s="16" t="s">
        <v>26</v>
      </c>
      <c r="S3" s="6" t="s">
        <v>95</v>
      </c>
      <c r="T3" s="6" t="s">
        <v>28</v>
      </c>
      <c r="U3" s="18" t="s">
        <v>96</v>
      </c>
      <c r="V3" s="18" t="s">
        <v>30</v>
      </c>
      <c r="W3" s="18" t="s">
        <v>31</v>
      </c>
      <c r="X3" s="18" t="s">
        <v>32</v>
      </c>
      <c r="Y3" s="22" t="s">
        <v>33</v>
      </c>
      <c r="Z3" s="22" t="s">
        <v>34</v>
      </c>
      <c r="AA3" s="22" t="s">
        <v>35</v>
      </c>
      <c r="AB3" s="22" t="s">
        <v>36</v>
      </c>
      <c r="AC3" s="23" t="s">
        <v>37</v>
      </c>
      <c r="AD3" s="23" t="s">
        <v>38</v>
      </c>
      <c r="AE3" s="23" t="s">
        <v>39</v>
      </c>
      <c r="AF3" s="23" t="s">
        <v>40</v>
      </c>
      <c r="AG3" s="23" t="s">
        <v>41</v>
      </c>
      <c r="AH3" s="23" t="s">
        <v>42</v>
      </c>
      <c r="AI3" s="23" t="s">
        <v>43</v>
      </c>
      <c r="AJ3" s="23" t="s">
        <v>44</v>
      </c>
      <c r="AK3" s="23" t="s">
        <v>45</v>
      </c>
      <c r="AL3" s="23" t="s">
        <v>46</v>
      </c>
      <c r="AM3" s="23" t="s">
        <v>47</v>
      </c>
      <c r="AN3" s="23" t="s">
        <v>48</v>
      </c>
      <c r="AO3" s="23" t="s">
        <v>49</v>
      </c>
      <c r="AP3" s="23" t="s">
        <v>50</v>
      </c>
      <c r="AQ3" s="23" t="s">
        <v>51</v>
      </c>
      <c r="AR3" s="28" t="s">
        <v>97</v>
      </c>
      <c r="AS3" s="29" t="s">
        <v>53</v>
      </c>
      <c r="AT3" s="29" t="s">
        <v>51</v>
      </c>
      <c r="AU3" s="30" t="s">
        <v>54</v>
      </c>
      <c r="AV3" s="30" t="s">
        <v>55</v>
      </c>
      <c r="AW3" s="30" t="s">
        <v>56</v>
      </c>
      <c r="AX3" s="30" t="s">
        <v>57</v>
      </c>
      <c r="AY3" s="30" t="s">
        <v>58</v>
      </c>
      <c r="AZ3" s="30" t="s">
        <v>59</v>
      </c>
      <c r="BA3" s="30" t="s">
        <v>60</v>
      </c>
      <c r="BB3" s="30" t="s">
        <v>61</v>
      </c>
      <c r="BC3" s="34" t="s">
        <v>62</v>
      </c>
      <c r="BD3" s="34" t="s">
        <v>63</v>
      </c>
      <c r="BE3" s="34" t="s">
        <v>64</v>
      </c>
      <c r="BF3" s="30" t="s">
        <v>65</v>
      </c>
      <c r="BG3" s="30" t="s">
        <v>66</v>
      </c>
      <c r="BH3" s="30" t="s">
        <v>67</v>
      </c>
      <c r="BI3" s="30" t="s">
        <v>68</v>
      </c>
      <c r="BJ3" s="30" t="s">
        <v>69</v>
      </c>
      <c r="BK3" s="30" t="s">
        <v>70</v>
      </c>
      <c r="BL3" s="30" t="s">
        <v>71</v>
      </c>
      <c r="BM3" s="30" t="s">
        <v>72</v>
      </c>
      <c r="BN3" s="30" t="s">
        <v>73</v>
      </c>
      <c r="BO3" s="30" t="s">
        <v>59</v>
      </c>
      <c r="BP3" s="30" t="s">
        <v>74</v>
      </c>
      <c r="BQ3" s="30" t="s">
        <v>28</v>
      </c>
    </row>
    <row r="4" spans="1:69">
      <c r="A4" s="7">
        <v>1</v>
      </c>
      <c r="B4" s="7" t="s">
        <v>90</v>
      </c>
      <c r="C4" s="7" t="s">
        <v>90</v>
      </c>
      <c r="D4" s="7" t="s">
        <v>76</v>
      </c>
      <c r="E4" s="7" t="s">
        <v>76</v>
      </c>
      <c r="F4" s="8">
        <v>5</v>
      </c>
      <c r="G4" s="9" t="s">
        <v>98</v>
      </c>
      <c r="H4" s="8">
        <f>F4*G4</f>
        <v>250</v>
      </c>
      <c r="I4" s="9" t="s">
        <v>99</v>
      </c>
      <c r="J4" s="8">
        <v>8</v>
      </c>
      <c r="K4" s="8">
        <v>5</v>
      </c>
      <c r="L4" s="8">
        <f>IF(OR(I4=0,I4="0"),0,H4)</f>
        <v>250</v>
      </c>
      <c r="M4" s="8">
        <f>ROUND(L4*I4%,3)</f>
        <v>12.5</v>
      </c>
      <c r="N4" s="8">
        <f>H4-M4</f>
        <v>237.5</v>
      </c>
      <c r="O4" s="8">
        <f>ROUND(N4*J4%,3)</f>
        <v>19</v>
      </c>
      <c r="P4" s="8">
        <f>ROUND(N4-O4,2)</f>
        <v>218.5</v>
      </c>
      <c r="Q4" s="8">
        <f>ROUND(P4*K4%,2)</f>
        <v>10.93</v>
      </c>
      <c r="R4" s="19">
        <f>ROUND(M4+O4+Q4,3)</f>
        <v>42.43</v>
      </c>
      <c r="S4" s="19">
        <f>(H4-R4)</f>
        <v>207.57</v>
      </c>
      <c r="T4" s="8">
        <v>88363222</v>
      </c>
      <c r="U4" s="8">
        <v>0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0</v>
      </c>
      <c r="AC4" s="24">
        <f>IF($V2=1,S4+AB4,S4)</f>
        <v>207.57</v>
      </c>
      <c r="AD4" s="19">
        <v>120</v>
      </c>
      <c r="AE4" s="19">
        <f>IF($P$2=1,(S4/$S$5)*$E$16,AD4/$AD$5*$E$16)</f>
        <v>0</v>
      </c>
      <c r="AF4" s="19"/>
      <c r="AG4" s="19">
        <f>IF($P$2=1,(S4/$S$5)*$E$18,AD4/$AD$5*$E$18)</f>
        <v>0</v>
      </c>
      <c r="AH4" s="19">
        <f>IF($P$2=1,(S4/$S$5)*$E$19,AD4/$AD$5*$E$19)</f>
        <v>0</v>
      </c>
      <c r="AI4" s="19">
        <f>S4*$M2</f>
        <v>207.57</v>
      </c>
      <c r="AJ4" s="19">
        <f>IF($C$2=3,0,AG4+AH4)</f>
        <v>0</v>
      </c>
      <c r="AK4" s="19">
        <f>IF($C$2=3,AE4+AG4+AH4,0)</f>
        <v>0</v>
      </c>
      <c r="AL4" s="27">
        <v>1</v>
      </c>
      <c r="AM4" s="19">
        <f>F4/AL4</f>
        <v>5</v>
      </c>
      <c r="AN4" s="19">
        <f>ROUND(AI4/AM4,5)</f>
        <v>41.514000000000003</v>
      </c>
      <c r="AO4" s="19">
        <f>AJ4/AM4</f>
        <v>0</v>
      </c>
      <c r="AP4" s="19">
        <f>AK4/AM4</f>
        <v>0</v>
      </c>
      <c r="AQ4" s="19" t="s">
        <v>76</v>
      </c>
      <c r="AR4" s="19">
        <f>ROUND(AN4+AO4+AP4,5)</f>
        <v>41.514000000000003</v>
      </c>
      <c r="AS4" s="31" t="s">
        <v>100</v>
      </c>
      <c r="AT4" s="32" t="s">
        <v>76</v>
      </c>
      <c r="AU4" s="9" t="s">
        <v>101</v>
      </c>
      <c r="AV4" s="9" t="s">
        <v>102</v>
      </c>
      <c r="AW4" s="32">
        <f>AM4</f>
        <v>5</v>
      </c>
      <c r="AX4" s="35">
        <f>AR4</f>
        <v>41.514000000000003</v>
      </c>
      <c r="AY4" s="32">
        <f>AU4+AW4</f>
        <v>20</v>
      </c>
      <c r="AZ4" s="32">
        <f>ROUND(((AU4*AV4)+(AW4*AX4))/(AU4+AW4),3)</f>
        <v>41.515000000000001</v>
      </c>
      <c r="BA4" s="36"/>
      <c r="BB4" s="36" t="s">
        <v>80</v>
      </c>
      <c r="BC4" s="37" t="s">
        <v>81</v>
      </c>
      <c r="BD4" s="38" t="s">
        <v>82</v>
      </c>
      <c r="BE4" s="38" t="s">
        <v>83</v>
      </c>
      <c r="BF4" s="36"/>
      <c r="BG4" s="36"/>
      <c r="BH4" s="36"/>
      <c r="BI4" s="32"/>
      <c r="BJ4" s="32"/>
      <c r="BK4" s="32"/>
      <c r="BL4" s="39" t="s">
        <v>103</v>
      </c>
      <c r="BM4" s="9" t="s">
        <v>102</v>
      </c>
      <c r="BN4" s="9" t="s">
        <v>99</v>
      </c>
      <c r="BO4" s="32">
        <f>ROUND((((AW4*AZ4)+(BN4*BM4))/(AW4+BN4)),5)</f>
        <v>41.515000000000001</v>
      </c>
      <c r="BP4" s="40">
        <f>ROUND(BN4+AW4,3)</f>
        <v>10</v>
      </c>
      <c r="BQ4" s="41">
        <v>123562</v>
      </c>
    </row>
    <row r="5" spans="1:69">
      <c r="A5" s="10"/>
      <c r="B5" s="11"/>
      <c r="C5" s="11"/>
      <c r="D5" s="12" t="s">
        <v>87</v>
      </c>
      <c r="E5" s="12"/>
      <c r="F5" s="12"/>
      <c r="G5" s="13"/>
      <c r="H5" s="14">
        <f>SUM(H4:H4)</f>
        <v>250</v>
      </c>
      <c r="I5" s="7"/>
      <c r="J5" s="7"/>
      <c r="K5" s="7"/>
      <c r="L5" s="7"/>
      <c r="M5" s="7"/>
      <c r="N5" s="7"/>
      <c r="O5" s="7"/>
      <c r="P5" s="7"/>
      <c r="Q5" s="7"/>
      <c r="R5" s="20">
        <f t="shared" ref="R5:X5" si="0">SUM(R4:R4)</f>
        <v>42.43</v>
      </c>
      <c r="S5" s="14">
        <f t="shared" si="0"/>
        <v>207.57</v>
      </c>
      <c r="T5" s="20"/>
      <c r="U5" s="20"/>
      <c r="V5" s="21">
        <f t="shared" si="0"/>
        <v>0</v>
      </c>
      <c r="W5" s="21">
        <f t="shared" si="0"/>
        <v>0</v>
      </c>
      <c r="X5" s="21">
        <f t="shared" si="0"/>
        <v>0</v>
      </c>
      <c r="Y5" s="21"/>
      <c r="Z5" s="21"/>
      <c r="AA5" s="21"/>
      <c r="AB5" s="20">
        <f t="shared" ref="AB5:AE5" si="1">SUM(AB4:AB4)</f>
        <v>0</v>
      </c>
      <c r="AC5" s="25">
        <f t="shared" si="1"/>
        <v>207.57</v>
      </c>
      <c r="AD5" s="26">
        <f t="shared" si="1"/>
        <v>120</v>
      </c>
      <c r="AE5" s="26">
        <f t="shared" si="1"/>
        <v>0</v>
      </c>
      <c r="AF5" s="25"/>
      <c r="AG5" s="26">
        <f t="shared" ref="AG5:AK5" si="2">SUM(AG4:AG4)</f>
        <v>0</v>
      </c>
      <c r="AH5" s="26">
        <f>IF($P$2=1,(S5/$S$5)*$E$19,AD5/$AD$5*$E$19)</f>
        <v>0</v>
      </c>
      <c r="AI5" s="26">
        <f t="shared" si="2"/>
        <v>207.57</v>
      </c>
      <c r="AJ5" s="26">
        <f t="shared" si="2"/>
        <v>0</v>
      </c>
      <c r="AK5" s="26">
        <f t="shared" si="2"/>
        <v>0</v>
      </c>
      <c r="AL5" s="25"/>
      <c r="AM5" s="25"/>
      <c r="AN5" s="25"/>
      <c r="AO5" s="25"/>
      <c r="AP5" s="25"/>
      <c r="AQ5" s="25"/>
      <c r="AR5" s="25"/>
      <c r="AS5" s="10"/>
      <c r="AT5" s="10"/>
      <c r="AU5" s="33"/>
      <c r="AV5" s="33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33"/>
      <c r="BQ5" s="33"/>
    </row>
  </sheetData>
  <mergeCells count="1">
    <mergeCell ref="A2:B2"/>
  </mergeCells>
  <hyperlinks>
    <hyperlink ref="AS4" r:id="rId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DomesticPoFOCUDGeneralSameUOM</vt:lpstr>
      <vt:lpstr>DomesticPoFOCUDGeneralDiffUOM</vt:lpstr>
      <vt:lpstr>ImportPoFOCUDGeneralDiffUOM</vt:lpstr>
      <vt:lpstr>DomesticPoFOCUDServiceSameUOM</vt:lpstr>
      <vt:lpstr>ImportPoFOCUDGeneralSameUOM</vt:lpstr>
      <vt:lpstr>ImportPoFOCUDServiceSameUOM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2025-12-11T12:04:00Z</dcterms:created>
  <dcterms:modified xsi:type="dcterms:W3CDTF">2025-12-23T13:25:14Z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4E9ECC40A3E54A168E585F45F91ADEB2_12</vt:lpwstr>
  </property>
  <property fmtid="{D5CDD505-2E9C-101B-9397-08002B2CF9AE}" pid="3" name="KSOProductBuildVer">
    <vt:lpwstr>1033-12.2.0.23155</vt:lpwstr>
  </property>
</Properties>
</file>