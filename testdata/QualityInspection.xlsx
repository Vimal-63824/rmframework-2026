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00" tabRatio="703"/>
  </bookViews>
  <sheets>
    <sheet name="Insp-Incomming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<sst xmlns="http://schemas.openxmlformats.org/spreadsheetml/2006/main" count="122" uniqueCount="112">
  <si>
    <t>Purchase Order &amp; GRN</t>
  </si>
  <si>
    <t>GST Purchase</t>
  </si>
  <si>
    <t>(1 - Local Purchase,2 Interstate Purchase, 3 Import Purchase,4-UTGST)</t>
  </si>
  <si>
    <t xml:space="preserve">Cur. </t>
  </si>
  <si>
    <t>INR</t>
  </si>
  <si>
    <t>Ex. Rate</t>
  </si>
  <si>
    <t>Apportion Basis</t>
  </si>
  <si>
    <t>1 - Value Based, 2 Weight/Volume Based</t>
  </si>
  <si>
    <t>(1 - Registered, 2 - Unregistered)</t>
  </si>
  <si>
    <t>No.</t>
  </si>
  <si>
    <t>Item</t>
  </si>
  <si>
    <t>Item Desc</t>
  </si>
  <si>
    <t>Stk. UOM</t>
  </si>
  <si>
    <t>Pur. UOM</t>
  </si>
  <si>
    <t>Qty</t>
  </si>
  <si>
    <t>Unit Cost</t>
  </si>
  <si>
    <t>Gross Amt.</t>
  </si>
  <si>
    <t>TD%</t>
  </si>
  <si>
    <t>CD%</t>
  </si>
  <si>
    <t>SD%</t>
  </si>
  <si>
    <t>TD Asbl. Val.</t>
  </si>
  <si>
    <t>TD Amt.</t>
  </si>
  <si>
    <t>CD Asbl. Val.</t>
  </si>
  <si>
    <t>CD Amt.</t>
  </si>
  <si>
    <t>VD Asbl. Val.</t>
  </si>
  <si>
    <t>SD Amt.</t>
  </si>
  <si>
    <t>Disc. Amt.</t>
  </si>
  <si>
    <t>Pur. Value</t>
  </si>
  <si>
    <t>HSN</t>
  </si>
  <si>
    <t>Tax%</t>
  </si>
  <si>
    <t>CGST</t>
  </si>
  <si>
    <t>SGST</t>
  </si>
  <si>
    <t>IGST</t>
  </si>
  <si>
    <t>UTGST</t>
  </si>
  <si>
    <t>Cess%</t>
  </si>
  <si>
    <t>CESS</t>
  </si>
  <si>
    <t>Tax amt</t>
  </si>
  <si>
    <t>Net Amt</t>
  </si>
  <si>
    <t>Weight/Vol</t>
  </si>
  <si>
    <t>Customs Duty</t>
  </si>
  <si>
    <t>IGST (Import)</t>
  </si>
  <si>
    <t>Packing &amp; Forwarding</t>
  </si>
  <si>
    <t>Freight</t>
  </si>
  <si>
    <t>Pur Amt (BC)</t>
  </si>
  <si>
    <t>Chargeable Cost</t>
  </si>
  <si>
    <t>Landed Cost</t>
  </si>
  <si>
    <t>Conv. Factor</t>
  </si>
  <si>
    <t>Eqv.  Stock Qty</t>
  </si>
  <si>
    <t>Pur. Unit Cost (chr)</t>
  </si>
  <si>
    <t>Chrg. Unit Cost</t>
  </si>
  <si>
    <t>Landed Cost Unit Cost</t>
  </si>
  <si>
    <t>Stock UOM</t>
  </si>
  <si>
    <t>Unit cost (Stk. UOM)</t>
  </si>
  <si>
    <t>Ins. WH</t>
  </si>
  <si>
    <t>Qty Before Post</t>
  </si>
  <si>
    <t>Unit Cost Before Post</t>
  </si>
  <si>
    <t>Receipt Qty</t>
  </si>
  <si>
    <t>Receipt Unit cost</t>
  </si>
  <si>
    <t>Qty After Post</t>
  </si>
  <si>
    <t>Unit Cost After Post</t>
  </si>
  <si>
    <t>Result (Ok/Not OK)</t>
  </si>
  <si>
    <t>Stock Transaction</t>
  </si>
  <si>
    <t>Lot / Serial Type</t>
  </si>
  <si>
    <t>LOT_NUMBER</t>
  </si>
  <si>
    <t>SERIAL_NUMBER</t>
  </si>
  <si>
    <t>Lot / Serial Trans</t>
  </si>
  <si>
    <t>Locator Trans</t>
  </si>
  <si>
    <t>Batch Stocks</t>
  </si>
  <si>
    <t>Stock Ledger</t>
  </si>
  <si>
    <t>Stock As on Date (Qty)</t>
  </si>
  <si>
    <t>Stock As on Date (Qty &amp; vALUE)</t>
  </si>
  <si>
    <t>Sou.WH</t>
  </si>
  <si>
    <t>Unitcost Before Post For Source Warehouse</t>
  </si>
  <si>
    <t>Qty Before Post For Source WareHouse</t>
  </si>
  <si>
    <t>Qty After Post forSource Warehouse</t>
  </si>
  <si>
    <t>GWL_Item_Inspection_incoming</t>
  </si>
  <si>
    <t>NOS</t>
  </si>
  <si>
    <t>150</t>
  </si>
  <si>
    <t>5</t>
  </si>
  <si>
    <t>INS</t>
  </si>
  <si>
    <t>687</t>
  </si>
  <si>
    <t>4527.08809</t>
  </si>
  <si>
    <t>Receipt Qty &amp; Unit cost</t>
  </si>
  <si>
    <t>LOT</t>
  </si>
  <si>
    <t>RM</t>
  </si>
  <si>
    <t>RMS</t>
  </si>
  <si>
    <t>RM WH</t>
  </si>
  <si>
    <t>124.545</t>
  </si>
  <si>
    <t>80</t>
  </si>
  <si>
    <t>Total</t>
  </si>
  <si>
    <t>Gross Purchase</t>
  </si>
  <si>
    <t>Conv factor</t>
  </si>
  <si>
    <t>ACPT</t>
  </si>
  <si>
    <t>Acpt Qty. * Insp. Unit Cost + OLD. Qty in GRN WH * OLD Unitcost in GRN WH / Acpt. Qty + OLD. Qty in GRN WH</t>
  </si>
  <si>
    <t>Disc amt</t>
  </si>
  <si>
    <t>KGS</t>
  </si>
  <si>
    <t>REJ</t>
  </si>
  <si>
    <t>Rej Qty. * Insp. Unit Cost + OLD. Qty in REJ WH * OLD Unitcost in REJ WH / Acpt. Qty + OLD. Qty in REJ WH</t>
  </si>
  <si>
    <t>Net Purchase</t>
  </si>
  <si>
    <t>MTR</t>
  </si>
  <si>
    <t>Tax Amt</t>
  </si>
  <si>
    <t>MT</t>
  </si>
  <si>
    <t>Gross Amont</t>
  </si>
  <si>
    <t>old</t>
  </si>
  <si>
    <t>new</t>
  </si>
  <si>
    <t>acpt Qty</t>
  </si>
  <si>
    <t>Inspection Unit Cost</t>
  </si>
  <si>
    <t>old Qty</t>
  </si>
  <si>
    <t>old UnitCost</t>
  </si>
  <si>
    <t>ROAU-SIM-729261</t>
  </si>
  <si>
    <t>ROAU-SIM-877037</t>
  </si>
  <si>
    <t>ROAU-SIM-374158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</si>
</sst>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  <numFmt numFmtId="181" formatCode="0.000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 Light"/>
      <charset val="134"/>
      <scheme val="major"/>
    </font>
    <font>
      <sz val="11"/>
      <color theme="1"/>
      <name val="Calibri Light"/>
      <charset val="134"/>
      <scheme val="major"/>
    </font>
    <font>
      <sz val="9"/>
      <color rgb="FF004153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1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2" borderId="14" applyNumberFormat="0" applyAlignment="0" applyProtection="0">
      <alignment vertical="center"/>
    </xf>
    <xf numFmtId="0" fontId="13" fillId="13" borderId="15" applyNumberFormat="0" applyAlignment="0" applyProtection="0">
      <alignment vertical="center"/>
    </xf>
    <xf numFmtId="0" fontId="14" fillId="13" borderId="14" applyNumberFormat="0" applyAlignment="0" applyProtection="0">
      <alignment vertical="center"/>
    </xf>
    <xf numFmtId="0" fontId="15" fillId="14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Fill="1" applyAlignment="1"/>
    <xf numFmtId="0" fontId="0" fillId="0" borderId="0" xfId="0" applyFill="1" applyAlignment="1"/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/>
    <xf numFmtId="0" fontId="2" fillId="2" borderId="4" xfId="0" applyFont="1" applyFill="1" applyBorder="1" applyAlignment="1"/>
    <xf numFmtId="0" fontId="2" fillId="0" borderId="1" xfId="0" applyFont="1" applyFill="1" applyBorder="1" applyAlignment="1"/>
    <xf numFmtId="0" fontId="2" fillId="0" borderId="1" xfId="0" applyNumberFormat="1" applyFont="1" applyFill="1" applyBorder="1" applyAlignment="1"/>
    <xf numFmtId="2" fontId="2" fillId="0" borderId="1" xfId="0" applyNumberFormat="1" applyFont="1" applyFill="1" applyBorder="1" applyAlignment="1"/>
    <xf numFmtId="180" fontId="2" fillId="0" borderId="1" xfId="0" applyNumberFormat="1" applyFont="1" applyFill="1" applyBorder="1" applyAlignment="1"/>
    <xf numFmtId="181" fontId="2" fillId="0" borderId="1" xfId="0" applyNumberFormat="1" applyFont="1" applyFill="1" applyBorder="1" applyAlignment="1"/>
    <xf numFmtId="0" fontId="3" fillId="8" borderId="5" xfId="0" applyFont="1" applyFill="1" applyBorder="1">
      <alignment vertical="center"/>
    </xf>
    <xf numFmtId="0" fontId="2" fillId="0" borderId="6" xfId="0" applyNumberFormat="1" applyFont="1" applyFill="1" applyBorder="1" applyAlignment="1"/>
    <xf numFmtId="2" fontId="2" fillId="0" borderId="6" xfId="0" applyNumberFormat="1" applyFont="1" applyFill="1" applyBorder="1" applyAlignment="1"/>
    <xf numFmtId="0" fontId="0" fillId="0" borderId="6" xfId="0" applyNumberFormat="1" applyFill="1" applyBorder="1" applyAlignment="1"/>
    <xf numFmtId="0" fontId="0" fillId="0" borderId="7" xfId="0" applyNumberFormat="1" applyFill="1" applyBorder="1" applyAlignment="1"/>
    <xf numFmtId="0" fontId="0" fillId="0" borderId="7" xfId="0" applyNumberFormat="1" applyFont="1" applyFill="1" applyBorder="1" applyAlignment="1">
      <alignment vertical="center"/>
    </xf>
    <xf numFmtId="0" fontId="3" fillId="0" borderId="0" xfId="0" applyFont="1">
      <alignment vertical="center"/>
    </xf>
    <xf numFmtId="0" fontId="0" fillId="0" borderId="0" xfId="0" applyNumberFormat="1" applyFill="1" applyAlignment="1"/>
    <xf numFmtId="0" fontId="0" fillId="0" borderId="0" xfId="0" applyNumberFormat="1" applyFill="1" applyAlignment="1">
      <alignment horizontal="center"/>
    </xf>
    <xf numFmtId="0" fontId="0" fillId="0" borderId="0" xfId="0" applyFill="1" applyBorder="1" applyAlignment="1"/>
    <xf numFmtId="0" fontId="1" fillId="9" borderId="8" xfId="0" applyFont="1" applyFill="1" applyBorder="1" applyAlignment="1"/>
    <xf numFmtId="0" fontId="1" fillId="9" borderId="9" xfId="0" applyFont="1" applyFill="1" applyBorder="1" applyAlignment="1"/>
    <xf numFmtId="0" fontId="1" fillId="9" borderId="1" xfId="0" applyNumberFormat="1" applyFont="1" applyFill="1" applyBorder="1" applyAlignment="1"/>
    <xf numFmtId="0" fontId="1" fillId="9" borderId="1" xfId="0" applyFont="1" applyFill="1" applyBorder="1" applyAlignment="1"/>
    <xf numFmtId="2" fontId="1" fillId="9" borderId="1" xfId="0" applyNumberFormat="1" applyFont="1" applyFill="1" applyBorder="1" applyAlignment="1"/>
    <xf numFmtId="0" fontId="1" fillId="6" borderId="1" xfId="0" applyFont="1" applyFill="1" applyBorder="1" applyAlignment="1"/>
    <xf numFmtId="2" fontId="1" fillId="6" borderId="1" xfId="0" applyNumberFormat="1" applyFont="1" applyFill="1" applyBorder="1" applyAlignment="1"/>
    <xf numFmtId="0" fontId="2" fillId="0" borderId="10" xfId="0" applyFont="1" applyFill="1" applyBorder="1" applyAlignment="1">
      <alignment horizontal="left"/>
    </xf>
    <xf numFmtId="0" fontId="2" fillId="0" borderId="9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right"/>
    </xf>
    <xf numFmtId="0" fontId="1" fillId="10" borderId="10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2" fillId="0" borderId="2" xfId="0" applyFont="1" applyFill="1" applyBorder="1" applyAlignment="1"/>
    <xf numFmtId="0" fontId="1" fillId="6" borderId="1" xfId="0" applyFont="1" applyFill="1" applyBorder="1" applyAlignment="1">
      <alignment horizontal="right"/>
    </xf>
    <xf numFmtId="0" fontId="2" fillId="0" borderId="0" xfId="0" applyFont="1" applyFill="1" applyAlignment="1" quotePrefix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8"/>
  <sheetViews>
    <sheetView tabSelected="1" workbookViewId="0">
      <selection activeCell="C2" sqref="C2"/>
    </sheetView>
  </sheetViews>
  <sheetFormatPr defaultColWidth="8.84761904761905" defaultRowHeight="15"/>
  <cols>
    <col min="2" max="3" customWidth="true" width="31.8571428571429"/>
    <col min="13" max="13" customWidth="true" width="9.14285714285714"/>
    <col min="14" max="14" customWidth="true" width="13.847619047619"/>
    <col min="18" max="19" width="9.28571428571429"/>
    <col min="20" max="20" width="10.7142857142857"/>
    <col min="29" max="29" width="9.28571428571429"/>
    <col min="35" max="35" width="11.4285714285714"/>
    <col min="40" max="40" width="10.1428571428571"/>
    <col min="44" max="44" width="10.1428571428571"/>
    <col min="48" max="48" width="11.7142857142857"/>
    <col min="50" max="50" customWidth="true" width="16.7142857142857"/>
    <col min="52" max="52" customWidth="true" width="19.4285714285714"/>
    <col min="64" max="64" customWidth="true" width="11.0"/>
    <col min="67" max="67" width="12.0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spans="1:69">
      <c r="A2" s="6" t="s">
        <v>1</v>
      </c>
      <c r="B2" s="6"/>
      <c r="C2" s="7">
        <v>1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46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t="s" s="0">
        <v>111</v>
      </c>
      <c r="C4" s="19" t="s">
        <v>75</v>
      </c>
      <c r="D4" s="19" t="s">
        <v>76</v>
      </c>
      <c r="E4" s="19" t="s">
        <v>76</v>
      </c>
      <c r="F4" s="20">
        <v>5</v>
      </c>
      <c r="G4" t="s" s="0">
        <v>77</v>
      </c>
      <c r="H4" s="20">
        <f>F4*G4</f>
        <v>750</v>
      </c>
      <c r="I4" t="s" s="0">
        <v>78</v>
      </c>
      <c r="J4" s="20">
        <v>8</v>
      </c>
      <c r="K4" s="20">
        <v>5</v>
      </c>
      <c r="L4" s="20">
        <f>IF(OR(I4=0,I4="0"),0,H4)</f>
        <v>750</v>
      </c>
      <c r="M4" s="20">
        <f>ROUND(L4*I4%,3)</f>
        <v>37.5</v>
      </c>
      <c r="N4" s="20">
        <f>H4-M4</f>
        <v>712.5</v>
      </c>
      <c r="O4" s="20">
        <f>ROUND(N4*J4%,3)</f>
        <v>57</v>
      </c>
      <c r="P4" s="20">
        <f>ROUND(N4-O4,2)</f>
        <v>655.5</v>
      </c>
      <c r="Q4" s="20">
        <f>ROUND(P4*K4%,2)</f>
        <v>32.78</v>
      </c>
      <c r="R4" s="21">
        <f>ROUND(M4+O4+Q4,3)</f>
        <v>127.28</v>
      </c>
      <c r="S4" s="21">
        <f>(H4-R4)</f>
        <v>622.72</v>
      </c>
      <c r="T4" s="20">
        <v>88363222</v>
      </c>
      <c r="U4" s="20">
        <v>18</v>
      </c>
      <c r="V4" s="20">
        <f>IF(OR($C$2=1,$C$2=4),ROUND((((S4*U4)/100)/2),2),0)</f>
        <v>56.04</v>
      </c>
      <c r="W4" s="20">
        <f>IF($C$2=1,ROUND((((S4*U4)/100)/2),2),0)</f>
        <v>56.04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112.08</v>
      </c>
      <c r="AC4" s="22">
        <f>IF($V2=1,S4+AB4,S4)</f>
        <v>734.8</v>
      </c>
      <c r="AD4" s="21">
        <v>120</v>
      </c>
      <c r="AE4" s="21">
        <f>IF($P$2=1,(S4/$S$5)*$E$16,AD4/$AD$5*$E$16)</f>
        <v>0</v>
      </c>
      <c r="AF4" s="21"/>
      <c r="AG4" s="21">
        <f>IF($P$2=1,(S4/$S$5)*$E$18,AD4/$AD$5*$E$18)</f>
        <v>0</v>
      </c>
      <c r="AH4" s="21">
        <f>IF($P$2=1,(S4/$S$5)*$E$19,AD4/$AD$5*$E$19)</f>
        <v>0</v>
      </c>
      <c r="AI4" s="21">
        <f>S4*$M2</f>
        <v>622.72</v>
      </c>
      <c r="AJ4" s="21">
        <f>IF($C$2=3,0,AG4+AH4)</f>
        <v>0</v>
      </c>
      <c r="AK4" s="21">
        <f>IF($C$2=3,AE4+AG4+AH4,0)</f>
        <v>0</v>
      </c>
      <c r="AL4" s="23">
        <v>1</v>
      </c>
      <c r="AM4" s="21">
        <f>F4/AL4</f>
        <v>5</v>
      </c>
      <c r="AN4" s="21">
        <f>ROUND(AI4/AM4,5)</f>
        <v>124.544</v>
      </c>
      <c r="AO4" s="21">
        <f>AJ4/AM4</f>
        <v>0</v>
      </c>
      <c r="AP4" s="21">
        <f>AK4/AM4</f>
        <v>0</v>
      </c>
      <c r="AQ4" s="21" t="s">
        <v>76</v>
      </c>
      <c r="AR4" s="21">
        <f>AN4+AO4+AP4</f>
        <v>124.544</v>
      </c>
      <c r="AS4" s="24" t="s">
        <v>79</v>
      </c>
      <c r="AT4" s="25" t="s">
        <v>76</v>
      </c>
      <c r="AU4" t="s" s="0">
        <v>80</v>
      </c>
      <c r="AV4" t="s" s="0">
        <v>81</v>
      </c>
      <c r="AW4" s="25">
        <f>AM4</f>
        <v>5</v>
      </c>
      <c r="AX4" s="26">
        <f>AR4</f>
        <v>124.544</v>
      </c>
      <c r="AY4" s="25">
        <f>AU4+AW4</f>
        <v>15</v>
      </c>
      <c r="AZ4" s="25">
        <f>ROUND(((AU4*AV4)+(AW4*AX4))/(AU4+AW4),5)</f>
        <v>4495.2778</v>
      </c>
      <c r="BA4" s="27"/>
      <c r="BB4" s="27" t="s">
        <v>82</v>
      </c>
      <c r="BC4" s="28" t="s">
        <v>83</v>
      </c>
      <c r="BD4" s="29" t="s">
        <v>84</v>
      </c>
      <c r="BE4" s="29" t="s">
        <v>85</v>
      </c>
      <c r="BF4" s="27"/>
      <c r="BG4" s="27"/>
      <c r="BH4" s="27"/>
      <c r="BI4" s="25"/>
      <c r="BJ4" s="25"/>
      <c r="BK4" s="25"/>
      <c r="BL4" s="30" t="s">
        <v>86</v>
      </c>
      <c r="BM4" t="s" s="0">
        <v>87</v>
      </c>
      <c r="BN4" t="s" s="0">
        <v>88</v>
      </c>
      <c r="BO4" s="25">
        <f>ROUND((((AW4*AZ4)+(BN4*BM4))/(AW4+BN4)),5)</f>
        <v>381.64693</v>
      </c>
      <c r="BP4" s="31">
        <f>ROUND(BN4+AW4,3)</f>
        <v>5</v>
      </c>
      <c r="BQ4" s="32">
        <v>123562</v>
      </c>
    </row>
    <row r="5" ht="15.75" spans="1:69">
      <c r="A5" s="4"/>
      <c r="B5" s="33"/>
      <c r="C5" s="33"/>
      <c r="D5" s="34" t="s">
        <v>89</v>
      </c>
      <c r="E5" s="34"/>
      <c r="F5" s="34"/>
      <c r="G5" s="35"/>
      <c r="H5" s="36">
        <f>SUM(H4:H4)</f>
        <v>750</v>
      </c>
      <c r="I5" s="19"/>
      <c r="J5" s="19"/>
      <c r="K5" s="19"/>
      <c r="L5" s="19"/>
      <c r="M5" s="19"/>
      <c r="N5" s="19"/>
      <c r="O5" s="19"/>
      <c r="P5" s="19"/>
      <c r="Q5" s="19"/>
      <c r="R5" s="37">
        <f t="shared" ref="R5:X5" si="0">SUM(R4:R4)</f>
        <v>127.28</v>
      </c>
      <c r="S5" s="36">
        <f t="shared" si="0"/>
        <v>622.72</v>
      </c>
      <c r="T5" s="37"/>
      <c r="U5" s="37"/>
      <c r="V5" s="38">
        <f t="shared" si="0"/>
        <v>56.04</v>
      </c>
      <c r="W5" s="38">
        <f t="shared" si="0"/>
        <v>56.04</v>
      </c>
      <c r="X5" s="38">
        <f t="shared" si="0"/>
        <v>0</v>
      </c>
      <c r="Y5" s="38"/>
      <c r="Z5" s="38"/>
      <c r="AA5" s="38"/>
      <c r="AB5" s="37">
        <f>SUM(AB4:AB4)</f>
        <v>112.08</v>
      </c>
      <c r="AC5" s="39">
        <f>SUM(AC4:AC4)</f>
        <v>734.8</v>
      </c>
      <c r="AD5" s="40">
        <f>SUM(AD4:AD4)</f>
        <v>120</v>
      </c>
      <c r="AE5" s="40">
        <f>SUM(AE4:AE4)</f>
        <v>0</v>
      </c>
      <c r="AF5" s="39"/>
      <c r="AG5" s="40">
        <f t="shared" ref="AG5:AK5" si="1">SUM(AG4:AG4)</f>
        <v>0</v>
      </c>
      <c r="AH5" s="40">
        <f>IF($P$2=1,(S5/$S$5)*$E$19,AD5/$AD$5*$E$19)</f>
        <v>0</v>
      </c>
      <c r="AI5" s="40">
        <f t="shared" si="1"/>
        <v>622.72</v>
      </c>
      <c r="AJ5" s="40">
        <f t="shared" si="1"/>
        <v>0</v>
      </c>
      <c r="AK5" s="40">
        <f t="shared" si="1"/>
        <v>0</v>
      </c>
      <c r="AL5" s="39"/>
      <c r="AM5" s="39"/>
      <c r="AN5" s="39"/>
      <c r="AO5" s="39"/>
      <c r="AP5" s="39"/>
      <c r="AQ5" s="39"/>
      <c r="AR5" s="39"/>
      <c r="AS5" s="4"/>
      <c r="AT5" s="4"/>
      <c r="AU5" s="5"/>
      <c r="AV5" s="5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5"/>
      <c r="BQ5" s="5"/>
    </row>
    <row r="6" ht="15.75" spans="1:69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1" t="s">
        <v>90</v>
      </c>
      <c r="H7" s="42"/>
      <c r="I7" s="43">
        <f>H5</f>
        <v>750</v>
      </c>
      <c r="J7" s="43"/>
      <c r="K7" s="4"/>
      <c r="L7" s="4"/>
      <c r="M7" s="44" t="s">
        <v>91</v>
      </c>
      <c r="N7" s="45"/>
      <c r="O7" s="45"/>
      <c r="P7" s="46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 t="s">
        <v>92</v>
      </c>
      <c r="BI7" s="49" t="s">
        <v>93</v>
      </c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1" t="s">
        <v>94</v>
      </c>
      <c r="H8" s="42"/>
      <c r="I8" s="43">
        <f>R5</f>
        <v>127.28</v>
      </c>
      <c r="J8" s="43"/>
      <c r="K8" s="4"/>
      <c r="L8" s="4"/>
      <c r="M8" s="47">
        <v>1</v>
      </c>
      <c r="N8" s="47" t="s">
        <v>76</v>
      </c>
      <c r="O8" s="47">
        <v>2</v>
      </c>
      <c r="P8" s="47" t="s">
        <v>95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96</v>
      </c>
      <c r="BI8" s="49" t="s">
        <v>97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1" t="s">
        <v>98</v>
      </c>
      <c r="H9" s="42"/>
      <c r="I9" s="43">
        <f>S5</f>
        <v>622.72</v>
      </c>
      <c r="J9" s="43"/>
      <c r="K9" s="4"/>
      <c r="L9" s="4"/>
      <c r="M9" s="19">
        <v>1</v>
      </c>
      <c r="N9" s="19" t="s">
        <v>76</v>
      </c>
      <c r="O9" s="19">
        <v>2.5</v>
      </c>
      <c r="P9" s="19" t="s">
        <v>99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1" t="s">
        <v>100</v>
      </c>
      <c r="H10" s="42"/>
      <c r="I10" s="43">
        <f>AB5</f>
        <v>112.08</v>
      </c>
      <c r="J10" s="43"/>
      <c r="K10" s="4"/>
      <c r="L10" s="4"/>
      <c r="M10" s="19">
        <v>1</v>
      </c>
      <c r="N10" s="19" t="s">
        <v>95</v>
      </c>
      <c r="O10" s="19">
        <v>0.001</v>
      </c>
      <c r="P10" s="19" t="s">
        <v>101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1" t="s">
        <v>102</v>
      </c>
      <c r="H11" s="42"/>
      <c r="I11" s="48">
        <f>I9+I10</f>
        <v>734.8</v>
      </c>
      <c r="J11" s="48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spans="1:6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 t="s">
        <v>103</v>
      </c>
      <c r="BN12" s="4" t="s">
        <v>104</v>
      </c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 t="s">
        <v>105</v>
      </c>
      <c r="BL13" s="4">
        <v>12.5</v>
      </c>
      <c r="BM13" s="4">
        <f>BL15*BL16</f>
        <v>18277.77</v>
      </c>
      <c r="BN13" s="4">
        <f>BL13*BL14</f>
        <v>6092.59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106</v>
      </c>
      <c r="BL14" s="4">
        <v>487.4072</v>
      </c>
      <c r="BM14" s="4">
        <f>BL13+BL15</f>
        <v>50</v>
      </c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107</v>
      </c>
      <c r="BL15" s="4">
        <v>37.5</v>
      </c>
      <c r="BM15" s="4"/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108</v>
      </c>
      <c r="BL16" s="4">
        <v>487.4072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>
        <f>BM13+BN13</f>
        <v>24370.36</v>
      </c>
      <c r="BN17" s="4">
        <f>BM17/BM14</f>
        <v>487.4072</v>
      </c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5"/>
      <c r="BQ18" s="5"/>
    </row>
  </sheetData>
  <mergeCells count="12">
    <mergeCell ref="A2:B2"/>
    <mergeCell ref="G7:H7"/>
    <mergeCell ref="I7:J7"/>
    <mergeCell ref="M7:P7"/>
    <mergeCell ref="G8:H8"/>
    <mergeCell ref="I8:J8"/>
    <mergeCell ref="G9:H9"/>
    <mergeCell ref="I9:J9"/>
    <mergeCell ref="G10:H10"/>
    <mergeCell ref="I10:J10"/>
    <mergeCell ref="G11:H11"/>
    <mergeCell ref="I11:J11"/>
  </mergeCells>
  <hyperlinks>
    <hyperlink ref="AS4" r:id="rId1" display="INS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Insp-Incomming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2025-10-30T08:14:00Z</dcterms:created>
  <dc:creator>Galaxy</dc:creator>
  <cp:lastModifiedBy>Administrator</cp:lastModifiedBy>
  <dcterms:modified xsi:type="dcterms:W3CDTF">2026-04-30T10:34:33Z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FEE8BF966D104914809F8EEF0568325F_11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