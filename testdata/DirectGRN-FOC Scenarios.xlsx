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7" activeTab="8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<sst xmlns="http://schemas.openxmlformats.org/spreadsheetml/2006/main" count="1483" uniqueCount="156">
  <si>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</si>
  <si>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</si>
  <si>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</si>
  <si>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</si>
  <si>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</si>
  <si>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</si>
  <si>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</si>
  <si>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</si>
  <si>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</si>
  <si>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</si>
  <si>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</si>
  <si>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</si>
  <si>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</si>
  <si>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</si>
  <si>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</si>
  <si>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</si>
  <si>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</si>
  <si>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</si>
  <si>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</si>
  <si>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</si>
  <si>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</si>
  <si>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</si>
  <si>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</si>
  <si>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</si>
  <si>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</si>
  <si>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</si>
  <si>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</si>
  <si>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</si>
  <si>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</si>
  <si>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</si>
  <si>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</si>
  <si>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</si>
  <si>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</si>
  <si>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</si>
  <si>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</si>
  <si>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</si>
  <si>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</si>
  <si>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</si>
  <si>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</si>
  <si>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</si>
  <si>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</si>
  <si>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</si>
  <si>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</si>
  <si>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</si>
  <si>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</si>
  <si>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</si>
  <si>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</si>
  <si>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</si>
  <si>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</si>
  <si>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</si>
  <si>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</si>
  <si>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</si>
  <si>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</si>
  <si>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</si>
  <si>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</si>
  <si>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</si>
  <si>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</si>
  <si>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</si>
  <si>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</si>
  <si>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</si>
  <si>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</si>
  <si>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</si>
  <si>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</si>
  <si>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</si>
  <si>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</si>
  <si>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</si>
  <si>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</si>
  <si>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</si>
  <si>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</si>
  <si>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</si>
  <si>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</si>
  <si>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</si>
  <si>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</si>
  <si>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</si>
  <si>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</si>
  <si>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</si>
  <si>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</si>
  <si>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</si>
  <si>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</si>
  <si>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</si>
  <si>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</si>
  <si>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</si>
  <si>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</si>
  <si>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</si>
  <si>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</si>
  <si>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</si>
  <si>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</si>
  <si>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</si>
  <si>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</si>
  <si>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Receipt Qty</t>
  </si>
  <si>
    <t>Receipt Unit cost</t>
  </si>
  <si>
    <t>Qty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</si>
  <si>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</si>
  <si>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</si>
  <si>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</si>
  <si>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</si>
  <si>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</si>
  <si>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</si>
  <si>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</si>
  <si>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</si>
  <si>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</si>
  <si>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</si>
  <si>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</si>
  <si>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</si>
  <si>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 Cost After Post</t>
  </si>
  <si>
    <t>Qty After Post forSource Warehouse</t>
  </si>
  <si>
    <t>ITEM-GWL-SIMILAR-01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</si>
  <si>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</si>
  <si>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</si>
  <si>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</si>
  <si>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</si>
  <si>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</si>
  <si>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</si>
  <si>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</si>
  <si>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</si>
  <si>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WH</t>
  </si>
  <si>
    <t>6026.20998</t>
  </si>
  <si>
    <t>82</t>
  </si>
  <si>
    <t>VD Asbl. Val.</t>
  </si>
  <si>
    <t>Pur. Value</t>
  </si>
  <si>
    <t>Tax%</t>
  </si>
  <si>
    <t>Unit cost (Stk. UOM)</t>
  </si>
  <si>
    <t>Qty Before Post</t>
  </si>
  <si>
    <t>Unit Cost Before Post</t>
  </si>
  <si>
    <t>Unitcost Before Post For Source Warehouse</t>
  </si>
  <si>
    <t>Qty Before Post For Source WareHouse</t>
  </si>
  <si>
    <t>ITEM-GWL-SERVICE-01</t>
  </si>
  <si>
    <t>INS WH-1</t>
  </si>
  <si>
    <t>116.334</t>
  </si>
  <si>
    <t>6294.86566</t>
  </si>
  <si>
    <t>246.36</t>
  </si>
  <si>
    <t>120</t>
  </si>
  <si>
    <t>Before Qty</t>
  </si>
  <si>
    <t>Before Unit Cost</t>
  </si>
  <si>
    <t>ITEM-GWL-SIMILAR-RC-01</t>
  </si>
  <si>
    <t>8106.9762</t>
  </si>
  <si>
    <t>42</t>
  </si>
  <si>
    <t>ITEM-GWL-SERVICE-RC-01</t>
  </si>
  <si>
    <t>ITEM-GWL-SIMILAR-PL-01</t>
  </si>
  <si>
    <t>8415</t>
  </si>
  <si>
    <t>RM KD</t>
  </si>
  <si>
    <t>8222.40646</t>
  </si>
  <si>
    <t>62</t>
  </si>
  <si>
    <t>ITEM-GWL-SERVICE-PL-01</t>
  </si>
  <si>
    <t>Unit Cost Before</t>
  </si>
  <si>
    <t>Unit Qunatity Before</t>
  </si>
  <si>
    <t>ITEM-GWL-DISSIMILAR-01</t>
  </si>
  <si>
    <t>23750.7</t>
  </si>
  <si>
    <t>20877.75495</t>
  </si>
  <si>
    <t>20.677</t>
  </si>
  <si>
    <t>ITEM-GWL-DISSIMILAR-RC-01</t>
  </si>
  <si>
    <t>24548.34001</t>
  </si>
  <si>
    <t>13.34</t>
  </si>
  <si>
    <t>ITEM-GWL-DISSIMILAR-PL-01</t>
  </si>
  <si>
    <t>25245</t>
  </si>
  <si>
    <t>24635.30322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</si>
</sst>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0_ "/>
    <numFmt numFmtId="182" formatCode="0.00_);[Red]\(0.00\)"/>
    <numFmt numFmtId="183" formatCode="0.00000_ "/>
  </numFmts>
  <fonts count="29">
    <font>
      <sz val="11"/>
      <color theme="1"/>
      <name val="Calibri"/>
      <charset val="134"/>
      <scheme val="minor"/>
    </font>
    <font>
      <b/>
      <u/>
      <sz val="14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b/>
      <sz val="11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sz val="9"/>
      <color rgb="FF000000"/>
      <name val="Arial"/>
      <charset val="134"/>
    </font>
    <font>
      <sz val="9"/>
      <name val="Times New Roman"/>
      <charset val="134"/>
    </font>
    <font>
      <b/>
      <sz val="11"/>
      <color theme="1"/>
      <name val="Calibri"/>
      <charset val="134"/>
      <scheme val="minor"/>
    </font>
    <font>
      <sz val="9"/>
      <color rgb="FF004153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3" borderId="17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0" borderId="18" applyNumberFormat="0" applyFill="0" applyAlignment="0" applyProtection="0">
      <alignment vertical="center"/>
    </xf>
    <xf numFmtId="0" fontId="17" fillId="0" borderId="1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4" borderId="20" applyNumberFormat="0" applyAlignment="0" applyProtection="0">
      <alignment vertical="center"/>
    </xf>
    <xf numFmtId="0" fontId="19" fillId="15" borderId="21" applyNumberFormat="0" applyAlignment="0" applyProtection="0">
      <alignment vertical="center"/>
    </xf>
    <xf numFmtId="0" fontId="20" fillId="15" borderId="20" applyNumberFormat="0" applyAlignment="0" applyProtection="0">
      <alignment vertical="center"/>
    </xf>
    <xf numFmtId="0" fontId="21" fillId="16" borderId="22" applyNumberFormat="0" applyAlignment="0" applyProtection="0">
      <alignment vertical="center"/>
    </xf>
    <xf numFmtId="0" fontId="22" fillId="0" borderId="23" applyNumberFormat="0" applyFill="0" applyAlignment="0" applyProtection="0">
      <alignment vertical="center"/>
    </xf>
    <xf numFmtId="0" fontId="23" fillId="0" borderId="24" applyNumberFormat="0" applyFill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03">
    <xf numFmtId="0" fontId="0" fillId="0" borderId="0" xfId="0"/>
    <xf numFmtId="0" fontId="0" fillId="0" borderId="0" xfId="0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Alignment="1"/>
    <xf numFmtId="0" fontId="0" fillId="0" borderId="0" xfId="0" applyFill="1" applyAlignment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4" xfId="0" applyFont="1" applyFill="1" applyBorder="1" applyAlignment="1"/>
    <xf numFmtId="0" fontId="2" fillId="0" borderId="5" xfId="0" applyFont="1" applyFill="1" applyBorder="1" applyAlignment="1"/>
    <xf numFmtId="180" fontId="2" fillId="0" borderId="5" xfId="0" applyNumberFormat="1" applyFont="1" applyFill="1" applyBorder="1" applyAlignment="1"/>
    <xf numFmtId="2" fontId="2" fillId="0" borderId="5" xfId="0" applyNumberFormat="1" applyFont="1" applyFill="1" applyBorder="1" applyAlignment="1"/>
    <xf numFmtId="2" fontId="2" fillId="0" borderId="6" xfId="0" applyNumberFormat="1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4" fillId="0" borderId="0" xfId="0" applyFont="1" applyFill="1" applyAlignment="1"/>
    <xf numFmtId="0" fontId="2" fillId="0" borderId="7" xfId="0" applyFont="1" applyFill="1" applyBorder="1" applyAlignment="1"/>
    <xf numFmtId="0" fontId="2" fillId="0" borderId="8" xfId="0" applyFont="1" applyFill="1" applyBorder="1" applyAlignment="1"/>
    <xf numFmtId="180" fontId="2" fillId="0" borderId="8" xfId="0" applyNumberFormat="1" applyFont="1" applyFill="1" applyBorder="1" applyAlignment="1"/>
    <xf numFmtId="2" fontId="2" fillId="0" borderId="8" xfId="0" applyNumberFormat="1" applyFont="1" applyFill="1" applyBorder="1" applyAlignment="1"/>
    <xf numFmtId="2" fontId="2" fillId="0" borderId="9" xfId="0" applyNumberFormat="1" applyFont="1" applyFill="1" applyBorder="1" applyAlignment="1"/>
    <xf numFmtId="0" fontId="3" fillId="3" borderId="10" xfId="0" applyFont="1" applyFill="1" applyBorder="1" applyAlignment="1">
      <alignment horizontal="center" vertical="top"/>
    </xf>
    <xf numFmtId="0" fontId="3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3" fillId="0" borderId="0" xfId="0" applyFont="1" applyFill="1" applyBorder="1" applyAlignment="1"/>
    <xf numFmtId="0" fontId="3" fillId="0" borderId="0" xfId="0" applyFont="1" applyFill="1" applyBorder="1" applyAlignment="1">
      <alignment horizontal="center"/>
    </xf>
    <xf numFmtId="0" fontId="2" fillId="0" borderId="12" xfId="0" applyFont="1" applyFill="1" applyBorder="1" applyAlignment="1">
      <alignment horizontal="left" vertical="top"/>
    </xf>
    <xf numFmtId="0" fontId="3" fillId="0" borderId="12" xfId="0" applyFont="1" applyFill="1" applyBorder="1" applyAlignment="1">
      <alignment horizontal="center" vertical="top"/>
    </xf>
    <xf numFmtId="0" fontId="3" fillId="0" borderId="12" xfId="0" applyFont="1" applyFill="1" applyBorder="1" applyAlignment="1">
      <alignment horizontal="left" vertical="top"/>
    </xf>
    <xf numFmtId="0" fontId="3" fillId="0" borderId="12" xfId="0" applyFont="1" applyFill="1" applyBorder="1" applyAlignment="1">
      <alignment vertical="top"/>
    </xf>
    <xf numFmtId="0" fontId="2" fillId="0" borderId="12" xfId="0" applyFont="1" applyFill="1" applyBorder="1" applyAlignment="1">
      <alignment vertical="top"/>
    </xf>
    <xf numFmtId="0" fontId="0" fillId="0" borderId="12" xfId="0" applyFill="1" applyBorder="1" applyAlignment="1">
      <alignment vertical="top"/>
    </xf>
    <xf numFmtId="0" fontId="3" fillId="2" borderId="12" xfId="0" applyFont="1" applyFill="1" applyBorder="1" applyAlignment="1">
      <alignment horizontal="left" vertical="top"/>
    </xf>
    <xf numFmtId="0" fontId="3" fillId="4" borderId="12" xfId="0" applyFont="1" applyFill="1" applyBorder="1" applyAlignment="1">
      <alignment horizontal="left" vertical="top"/>
    </xf>
    <xf numFmtId="0" fontId="3" fillId="5" borderId="12" xfId="0" applyFont="1" applyFill="1" applyBorder="1" applyAlignment="1">
      <alignment horizontal="left" vertical="top"/>
    </xf>
    <xf numFmtId="0" fontId="3" fillId="6" borderId="12" xfId="0" applyFont="1" applyFill="1" applyBorder="1" applyAlignment="1">
      <alignment horizontal="left" vertical="top"/>
    </xf>
    <xf numFmtId="0" fontId="3" fillId="7" borderId="12" xfId="0" applyFont="1" applyFill="1" applyBorder="1" applyAlignment="1">
      <alignment horizontal="left" vertical="top"/>
    </xf>
    <xf numFmtId="0" fontId="3" fillId="8" borderId="12" xfId="0" applyFont="1" applyFill="1" applyBorder="1" applyAlignment="1">
      <alignment horizontal="left" vertical="top"/>
    </xf>
    <xf numFmtId="0" fontId="5" fillId="9" borderId="12" xfId="0" applyFont="1" applyFill="1" applyBorder="1" applyAlignment="1">
      <alignment horizontal="center" vertical="top"/>
    </xf>
    <xf numFmtId="0" fontId="6" fillId="0" borderId="0" xfId="0" applyFont="1"/>
    <xf numFmtId="0" fontId="2" fillId="0" borderId="12" xfId="0" applyNumberFormat="1" applyFont="1" applyFill="1" applyBorder="1" applyAlignment="1">
      <alignment horizontal="left" vertical="top"/>
    </xf>
    <xf numFmtId="0" fontId="2" fillId="0" borderId="12" xfId="0" applyNumberFormat="1" applyFont="1" applyBorder="1" applyAlignment="1">
      <alignment vertical="top"/>
    </xf>
    <xf numFmtId="0" fontId="0" fillId="0" borderId="12" xfId="0" applyBorder="1" applyAlignment="1">
      <alignment vertical="top"/>
    </xf>
    <xf numFmtId="0" fontId="2" fillId="0" borderId="13" xfId="0" applyNumberFormat="1" applyFont="1" applyFill="1" applyBorder="1" applyAlignment="1"/>
    <xf numFmtId="0" fontId="0" fillId="0" borderId="12" xfId="0" applyNumberFormat="1" applyBorder="1" applyAlignment="1">
      <alignment vertical="top"/>
    </xf>
    <xf numFmtId="0" fontId="0" fillId="0" borderId="12" xfId="0" applyNumberFormat="1" applyFont="1" applyBorder="1" applyAlignment="1">
      <alignment vertical="top"/>
    </xf>
    <xf numFmtId="181" fontId="0" fillId="0" borderId="12" xfId="0" applyNumberFormat="1" applyBorder="1" applyAlignment="1">
      <alignment vertical="top"/>
    </xf>
    <xf numFmtId="0" fontId="0" fillId="0" borderId="12" xfId="0" applyNumberFormat="1" applyBorder="1" applyAlignment="1">
      <alignment horizontal="center" vertical="top"/>
    </xf>
    <xf numFmtId="0" fontId="3" fillId="3" borderId="12" xfId="0" applyFont="1" applyFill="1" applyBorder="1" applyAlignment="1">
      <alignment vertical="top"/>
    </xf>
    <xf numFmtId="0" fontId="3" fillId="3" borderId="12" xfId="0" applyNumberFormat="1" applyFont="1" applyFill="1" applyBorder="1" applyAlignment="1">
      <alignment vertical="top"/>
    </xf>
    <xf numFmtId="2" fontId="3" fillId="3" borderId="12" xfId="0" applyNumberFormat="1" applyFont="1" applyFill="1" applyBorder="1" applyAlignment="1">
      <alignment vertical="top"/>
    </xf>
    <xf numFmtId="0" fontId="3" fillId="7" borderId="12" xfId="0" applyFont="1" applyFill="1" applyBorder="1" applyAlignment="1">
      <alignment vertical="top"/>
    </xf>
    <xf numFmtId="2" fontId="3" fillId="7" borderId="12" xfId="0" applyNumberFormat="1" applyFont="1" applyFill="1" applyBorder="1" applyAlignment="1">
      <alignment vertical="top"/>
    </xf>
    <xf numFmtId="0" fontId="2" fillId="0" borderId="12" xfId="0" applyNumberFormat="1" applyFont="1" applyFill="1" applyBorder="1" applyAlignment="1">
      <alignment vertical="top"/>
    </xf>
    <xf numFmtId="0" fontId="7" fillId="0" borderId="0" xfId="0" applyFont="1" applyFill="1" applyAlignment="1"/>
    <xf numFmtId="0" fontId="8" fillId="0" borderId="0" xfId="0" applyFont="1" applyAlignment="1">
      <alignment horizontal="left" vertical="top"/>
    </xf>
    <xf numFmtId="0" fontId="8" fillId="0" borderId="12" xfId="0" applyFont="1" applyBorder="1" applyAlignment="1">
      <alignment horizontal="left" vertical="top"/>
    </xf>
    <xf numFmtId="0" fontId="3" fillId="3" borderId="14" xfId="0" applyFont="1" applyFill="1" applyBorder="1" applyAlignment="1">
      <alignment horizontal="center" vertical="top"/>
    </xf>
    <xf numFmtId="0" fontId="3" fillId="3" borderId="15" xfId="0" applyFont="1" applyFill="1" applyBorder="1" applyAlignment="1">
      <alignment horizontal="center" vertical="top"/>
    </xf>
    <xf numFmtId="0" fontId="3" fillId="3" borderId="16" xfId="0" applyFont="1" applyFill="1" applyBorder="1" applyAlignment="1">
      <alignment horizontal="center" vertical="top"/>
    </xf>
    <xf numFmtId="0" fontId="3" fillId="10" borderId="12" xfId="0" applyFont="1" applyFill="1" applyBorder="1" applyAlignment="1">
      <alignment horizontal="left" vertical="top"/>
    </xf>
    <xf numFmtId="2" fontId="2" fillId="0" borderId="12" xfId="0" applyNumberFormat="1" applyFont="1" applyFill="1" applyBorder="1" applyAlignment="1">
      <alignment vertical="top"/>
    </xf>
    <xf numFmtId="182" fontId="2" fillId="0" borderId="12" xfId="0" applyNumberFormat="1" applyFont="1" applyFill="1" applyBorder="1" applyAlignment="1">
      <alignment vertical="top"/>
    </xf>
    <xf numFmtId="180" fontId="2" fillId="0" borderId="12" xfId="0" applyNumberFormat="1" applyFont="1" applyFill="1" applyBorder="1" applyAlignment="1">
      <alignment vertical="top"/>
    </xf>
    <xf numFmtId="0" fontId="9" fillId="11" borderId="12" xfId="0" applyFont="1" applyFill="1" applyBorder="1" applyAlignment="1">
      <alignment vertical="top"/>
    </xf>
    <xf numFmtId="183" fontId="2" fillId="0" borderId="12" xfId="0" applyNumberFormat="1" applyFont="1" applyFill="1" applyBorder="1" applyAlignment="1">
      <alignment vertical="top"/>
    </xf>
    <xf numFmtId="0" fontId="0" fillId="0" borderId="12" xfId="0" applyNumberFormat="1" applyFill="1" applyBorder="1" applyAlignment="1">
      <alignment vertical="top"/>
    </xf>
    <xf numFmtId="0" fontId="0" fillId="0" borderId="12" xfId="0" applyNumberFormat="1" applyFont="1" applyFill="1" applyBorder="1" applyAlignment="1">
      <alignment vertical="top"/>
    </xf>
    <xf numFmtId="0" fontId="9" fillId="0" borderId="12" xfId="0" applyFont="1" applyFill="1" applyBorder="1" applyAlignment="1">
      <alignment vertical="top"/>
    </xf>
    <xf numFmtId="0" fontId="0" fillId="0" borderId="12" xfId="0" applyNumberFormat="1" applyFill="1" applyBorder="1" applyAlignment="1">
      <alignment horizontal="center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/>
    <xf numFmtId="0" fontId="2" fillId="0" borderId="4" xfId="0" applyFont="1" applyBorder="1"/>
    <xf numFmtId="0" fontId="2" fillId="0" borderId="5" xfId="0" applyFont="1" applyBorder="1"/>
    <xf numFmtId="180" fontId="2" fillId="0" borderId="5" xfId="0" applyNumberFormat="1" applyFont="1" applyBorder="1"/>
    <xf numFmtId="2" fontId="2" fillId="0" borderId="5" xfId="0" applyNumberFormat="1" applyFont="1" applyBorder="1"/>
    <xf numFmtId="2" fontId="2" fillId="0" borderId="6" xfId="0" applyNumberFormat="1" applyFont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4" fillId="0" borderId="0" xfId="0" applyFont="1"/>
    <xf numFmtId="0" fontId="2" fillId="0" borderId="7" xfId="0" applyFont="1" applyBorder="1"/>
    <xf numFmtId="0" fontId="2" fillId="0" borderId="8" xfId="0" applyFont="1" applyBorder="1"/>
    <xf numFmtId="180" fontId="2" fillId="0" borderId="8" xfId="0" applyNumberFormat="1" applyFont="1" applyBorder="1"/>
    <xf numFmtId="2" fontId="2" fillId="0" borderId="8" xfId="0" applyNumberFormat="1" applyFont="1" applyBorder="1"/>
    <xf numFmtId="2" fontId="2" fillId="0" borderId="9" xfId="0" applyNumberFormat="1" applyFont="1" applyBorder="1"/>
    <xf numFmtId="0" fontId="2" fillId="0" borderId="0" xfId="0" applyFont="1" applyBorder="1"/>
    <xf numFmtId="0" fontId="3" fillId="0" borderId="0" xfId="0" applyFont="1" applyFill="1" applyBorder="1"/>
    <xf numFmtId="0" fontId="3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3" fillId="12" borderId="12" xfId="0" applyFont="1" applyFill="1" applyBorder="1" applyAlignment="1">
      <alignment horizontal="left" vertical="top"/>
    </xf>
    <xf numFmtId="0" fontId="2" fillId="2" borderId="12" xfId="0" applyFont="1" applyFill="1" applyBorder="1" applyAlignment="1">
      <alignment horizontal="left" vertical="top"/>
    </xf>
    <xf numFmtId="0" fontId="2" fillId="0" borderId="12" xfId="0" applyNumberFormat="1" applyFont="1" applyBorder="1" applyAlignment="1">
      <alignment horizontal="left" vertical="top"/>
    </xf>
    <xf numFmtId="0" fontId="0" fillId="0" borderId="12" xfId="0" applyNumberFormat="1" applyBorder="1" applyAlignment="1">
      <alignment horizontal="left" vertical="top"/>
    </xf>
    <xf numFmtId="0" fontId="0" fillId="0" borderId="12" xfId="0" applyNumberFormat="1" applyFont="1" applyBorder="1" applyAlignment="1">
      <alignment horizontal="left" vertical="top"/>
    </xf>
    <xf numFmtId="0" fontId="3" fillId="3" borderId="12" xfId="0" applyFont="1" applyFill="1" applyBorder="1" applyAlignment="1">
      <alignment horizontal="left" vertical="top"/>
    </xf>
    <xf numFmtId="0" fontId="3" fillId="3" borderId="12" xfId="0" applyNumberFormat="1" applyFont="1" applyFill="1" applyBorder="1" applyAlignment="1">
      <alignment horizontal="left" vertical="top"/>
    </xf>
    <xf numFmtId="2" fontId="3" fillId="3" borderId="12" xfId="0" applyNumberFormat="1" applyFont="1" applyFill="1" applyBorder="1" applyAlignment="1">
      <alignment horizontal="left" vertical="top"/>
    </xf>
    <xf numFmtId="2" fontId="3" fillId="7" borderId="12" xfId="0" applyNumberFormat="1" applyFont="1" applyFill="1" applyBorder="1" applyAlignment="1">
      <alignment horizontal="left" vertical="top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4" workbookViewId="0">
      <selection activeCell="G23" sqref="G23"/>
    </sheetView>
  </sheetViews>
  <sheetFormatPr defaultColWidth="8.70909090909091" defaultRowHeight="14.5"/>
  <cols>
    <col min="1" max="1" width="7.57272727272727" customWidth="1"/>
    <col min="2" max="2" width="21.8545454545455" customWidth="1"/>
    <col min="3" max="3" width="27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8" width="2.57272727272727" customWidth="1"/>
    <col min="49" max="49" width="11.5727272727273" customWidth="1"/>
    <col min="50" max="50" width="16.7181818181818" customWidth="1"/>
    <col min="51" max="51" width="14" customWidth="1"/>
    <col min="52" max="52" width="8.42727272727273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8.57272727272727" customWidth="1"/>
    <col min="65" max="65" width="6.14545454545455" customWidth="1"/>
    <col min="66" max="66" width="2.57272727272727" customWidth="1"/>
    <col min="67" max="67" width="19.4272727272727" customWidth="1"/>
    <col min="68" max="68" width="35.4272727272727" customWidth="1"/>
    <col min="69" max="69" width="9.57272727272727" customWidth="1"/>
  </cols>
  <sheetData>
    <row r="1" ht="18.5" spans="1:45">
      <c r="A1" s="72" t="s">
        <v>0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3"/>
      <c r="AS1" s="73"/>
    </row>
    <row r="2" ht="19.25" spans="1:45">
      <c r="A2" s="72" t="s">
        <v>1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3"/>
      <c r="AS2" s="73"/>
    </row>
    <row r="3" ht="15.25" spans="1:45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73"/>
    </row>
    <row r="4" spans="1:45">
      <c r="A4" s="74">
        <v>1</v>
      </c>
      <c r="B4" s="75" t="s">
        <v>10</v>
      </c>
      <c r="C4" s="75" t="s">
        <v>11</v>
      </c>
      <c r="D4" s="75" t="s">
        <v>12</v>
      </c>
      <c r="E4" s="75" t="s">
        <v>12</v>
      </c>
      <c r="F4" s="76">
        <v>25</v>
      </c>
      <c r="G4" s="77">
        <v>257.63</v>
      </c>
      <c r="H4" s="78">
        <f t="shared" ref="H4:H18" si="0">F4*G4</f>
        <v>6440.75</v>
      </c>
      <c r="I4" s="79"/>
      <c r="J4" s="79"/>
      <c r="K4" s="79"/>
      <c r="L4" s="80"/>
      <c r="M4" s="80"/>
      <c r="N4" s="80"/>
      <c r="O4" s="80"/>
      <c r="P4" s="80"/>
      <c r="Q4" s="80"/>
      <c r="R4" s="80"/>
      <c r="S4" s="80"/>
      <c r="T4" s="80"/>
      <c r="U4" s="79"/>
      <c r="V4" s="79"/>
      <c r="W4" s="79"/>
      <c r="X4" s="79"/>
      <c r="Y4" s="79"/>
      <c r="Z4" s="79"/>
      <c r="AA4" s="79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73"/>
    </row>
    <row r="5" spans="1:45">
      <c r="A5" s="74">
        <v>2</v>
      </c>
      <c r="B5" s="75" t="s">
        <v>13</v>
      </c>
      <c r="C5" s="75" t="s">
        <v>14</v>
      </c>
      <c r="D5" s="75" t="s">
        <v>12</v>
      </c>
      <c r="E5" s="75" t="s">
        <v>12</v>
      </c>
      <c r="F5" s="76">
        <v>35</v>
      </c>
      <c r="G5" s="77">
        <v>125.45</v>
      </c>
      <c r="H5" s="78">
        <f t="shared" si="0"/>
        <v>4390.75</v>
      </c>
      <c r="I5" s="79"/>
      <c r="J5" s="79"/>
      <c r="K5" s="79"/>
      <c r="L5" s="80"/>
      <c r="M5" s="80"/>
      <c r="N5" s="80"/>
      <c r="O5" s="80"/>
      <c r="P5" s="80"/>
      <c r="Q5" s="80"/>
      <c r="R5" s="80"/>
      <c r="S5" s="80"/>
      <c r="T5" s="80"/>
      <c r="U5" s="79"/>
      <c r="V5" s="79"/>
      <c r="W5" s="79"/>
      <c r="X5" s="79"/>
      <c r="Y5" s="79"/>
      <c r="Z5" s="79"/>
      <c r="AA5" s="79"/>
      <c r="AB5" s="80"/>
      <c r="AC5" s="80"/>
      <c r="AD5" s="80"/>
      <c r="AE5" s="80"/>
      <c r="AF5" s="80"/>
      <c r="AG5" s="80"/>
      <c r="AH5" s="80"/>
      <c r="AI5" s="80"/>
      <c r="AJ5" s="80"/>
      <c r="AK5" s="80"/>
      <c r="AL5" s="80"/>
      <c r="AM5" s="80"/>
      <c r="AN5" s="80"/>
      <c r="AO5" s="80"/>
      <c r="AP5" s="80"/>
      <c r="AQ5" s="80"/>
      <c r="AR5" s="80"/>
      <c r="AS5" s="73"/>
    </row>
    <row r="6" spans="1:45">
      <c r="A6" s="74">
        <v>3</v>
      </c>
      <c r="B6" s="75" t="s">
        <v>15</v>
      </c>
      <c r="C6" s="75" t="s">
        <v>16</v>
      </c>
      <c r="D6" s="75" t="s">
        <v>12</v>
      </c>
      <c r="E6" s="75" t="s">
        <v>12</v>
      </c>
      <c r="F6" s="76">
        <v>45</v>
      </c>
      <c r="G6" s="77">
        <v>125.36</v>
      </c>
      <c r="H6" s="78">
        <f t="shared" si="0"/>
        <v>5641.2</v>
      </c>
      <c r="I6" s="79"/>
      <c r="J6" s="79"/>
      <c r="K6" s="79"/>
      <c r="L6" s="80"/>
      <c r="M6" s="80"/>
      <c r="N6" s="80"/>
      <c r="O6" s="80"/>
      <c r="P6" s="80"/>
      <c r="Q6" s="80"/>
      <c r="R6" s="80"/>
      <c r="S6" s="80"/>
      <c r="T6" s="80"/>
      <c r="U6" s="79"/>
      <c r="V6" s="79"/>
      <c r="W6" s="79"/>
      <c r="X6" s="79"/>
      <c r="Y6" s="79"/>
      <c r="Z6" s="79"/>
      <c r="AA6" s="79"/>
      <c r="AB6" s="80"/>
      <c r="AC6" s="80"/>
      <c r="AD6" s="80"/>
      <c r="AE6" s="80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80"/>
      <c r="AS6" s="73"/>
    </row>
    <row r="7" spans="1:45">
      <c r="A7" s="74">
        <v>4</v>
      </c>
      <c r="B7" s="75" t="s">
        <v>17</v>
      </c>
      <c r="C7" s="75" t="s">
        <v>18</v>
      </c>
      <c r="D7" s="75" t="s">
        <v>12</v>
      </c>
      <c r="E7" s="75" t="s">
        <v>12</v>
      </c>
      <c r="F7" s="76">
        <v>55</v>
      </c>
      <c r="G7" s="77">
        <v>45.25</v>
      </c>
      <c r="H7" s="78">
        <f t="shared" si="0"/>
        <v>2488.75</v>
      </c>
      <c r="I7" s="79"/>
      <c r="J7" s="79"/>
      <c r="K7" s="79"/>
      <c r="L7" s="80"/>
      <c r="M7" s="80"/>
      <c r="N7" s="80"/>
      <c r="O7" s="80"/>
      <c r="P7" s="80"/>
      <c r="Q7" s="80"/>
      <c r="R7" s="80"/>
      <c r="S7" s="80"/>
      <c r="T7" s="80"/>
      <c r="U7" s="79"/>
      <c r="V7" s="79"/>
      <c r="W7" s="79"/>
      <c r="X7" s="79"/>
      <c r="Y7" s="79"/>
      <c r="Z7" s="79"/>
      <c r="AA7" s="79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80"/>
      <c r="AS7" s="73"/>
    </row>
    <row r="8" spans="1:45">
      <c r="A8" s="74">
        <v>5</v>
      </c>
      <c r="B8" s="75" t="s">
        <v>19</v>
      </c>
      <c r="C8" s="75" t="s">
        <v>20</v>
      </c>
      <c r="D8" s="75" t="s">
        <v>12</v>
      </c>
      <c r="E8" s="75" t="s">
        <v>12</v>
      </c>
      <c r="F8" s="76">
        <v>60</v>
      </c>
      <c r="G8" s="77">
        <v>45.5</v>
      </c>
      <c r="H8" s="78">
        <f t="shared" si="0"/>
        <v>2730</v>
      </c>
      <c r="I8" s="79"/>
      <c r="J8" s="79"/>
      <c r="K8" s="79"/>
      <c r="L8" s="80"/>
      <c r="M8" s="80"/>
      <c r="N8" s="80"/>
      <c r="O8" s="80"/>
      <c r="P8" s="80"/>
      <c r="Q8" s="80"/>
      <c r="R8" s="80"/>
      <c r="S8" s="80"/>
      <c r="T8" s="80"/>
      <c r="U8" s="79"/>
      <c r="V8" s="79"/>
      <c r="W8" s="79"/>
      <c r="X8" s="79"/>
      <c r="Y8" s="79"/>
      <c r="Z8" s="79"/>
      <c r="AA8" s="79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80"/>
      <c r="AS8" s="73"/>
    </row>
    <row r="9" spans="1:45">
      <c r="A9" s="74">
        <v>6</v>
      </c>
      <c r="B9" s="75" t="s">
        <v>21</v>
      </c>
      <c r="C9" s="75" t="s">
        <v>22</v>
      </c>
      <c r="D9" s="75" t="s">
        <v>12</v>
      </c>
      <c r="E9" s="75" t="s">
        <v>12</v>
      </c>
      <c r="F9" s="76">
        <v>75</v>
      </c>
      <c r="G9" s="77">
        <v>125.25</v>
      </c>
      <c r="H9" s="78">
        <f t="shared" si="0"/>
        <v>9393.75</v>
      </c>
      <c r="I9" s="79"/>
      <c r="J9" s="79"/>
      <c r="K9" s="79"/>
      <c r="L9" s="80"/>
      <c r="M9" s="80"/>
      <c r="N9" s="80"/>
      <c r="O9" s="80"/>
      <c r="P9" s="80"/>
      <c r="Q9" s="80"/>
      <c r="R9" s="80"/>
      <c r="S9" s="80"/>
      <c r="T9" s="80"/>
      <c r="U9" s="79"/>
      <c r="V9" s="79"/>
      <c r="W9" s="79"/>
      <c r="X9" s="79"/>
      <c r="Y9" s="79"/>
      <c r="Z9" s="79"/>
      <c r="AA9" s="79"/>
      <c r="AB9" s="80"/>
      <c r="AC9" s="80"/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80"/>
      <c r="AS9" s="73"/>
    </row>
    <row r="10" spans="1:45">
      <c r="A10" s="74">
        <v>7</v>
      </c>
      <c r="B10" s="75" t="s">
        <v>23</v>
      </c>
      <c r="C10" s="75" t="s">
        <v>24</v>
      </c>
      <c r="D10" s="75" t="s">
        <v>12</v>
      </c>
      <c r="E10" s="75" t="s">
        <v>12</v>
      </c>
      <c r="F10" s="76">
        <v>28</v>
      </c>
      <c r="G10" s="77">
        <v>150.5</v>
      </c>
      <c r="H10" s="78">
        <f t="shared" si="0"/>
        <v>4214</v>
      </c>
      <c r="I10" s="79"/>
      <c r="J10" s="79"/>
      <c r="K10" s="79"/>
      <c r="L10" s="80"/>
      <c r="M10" s="80"/>
      <c r="N10" s="80"/>
      <c r="O10" s="80"/>
      <c r="P10" s="80"/>
      <c r="Q10" s="80"/>
      <c r="R10" s="80"/>
      <c r="S10" s="80"/>
      <c r="T10" s="80"/>
      <c r="U10" s="79"/>
      <c r="V10" s="79"/>
      <c r="W10" s="79"/>
      <c r="X10" s="79"/>
      <c r="Y10" s="79"/>
      <c r="Z10" s="79"/>
      <c r="AA10" s="79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80"/>
      <c r="AS10" s="73"/>
    </row>
    <row r="11" spans="1:45">
      <c r="A11" s="74">
        <v>8</v>
      </c>
      <c r="B11" s="75" t="s">
        <v>25</v>
      </c>
      <c r="C11" s="75" t="s">
        <v>26</v>
      </c>
      <c r="D11" s="75" t="s">
        <v>12</v>
      </c>
      <c r="E11" s="75" t="s">
        <v>12</v>
      </c>
      <c r="F11" s="76">
        <v>30</v>
      </c>
      <c r="G11" s="77">
        <v>65.32</v>
      </c>
      <c r="H11" s="78">
        <f t="shared" si="0"/>
        <v>1959.6</v>
      </c>
      <c r="I11" s="79"/>
      <c r="J11" s="79"/>
      <c r="K11" s="79"/>
      <c r="L11" s="80"/>
      <c r="M11" s="80"/>
      <c r="N11" s="80"/>
      <c r="O11" s="80"/>
      <c r="P11" s="80"/>
      <c r="Q11" s="80"/>
      <c r="R11" s="80"/>
      <c r="S11" s="80"/>
      <c r="T11" s="80"/>
      <c r="U11" s="79"/>
      <c r="V11" s="79"/>
      <c r="W11" s="79"/>
      <c r="X11" s="79"/>
      <c r="Y11" s="79"/>
      <c r="Z11" s="79"/>
      <c r="AA11" s="79"/>
      <c r="AB11" s="80"/>
      <c r="AC11" s="80"/>
      <c r="AD11" s="80"/>
      <c r="AE11" s="80"/>
      <c r="AF11" s="80"/>
      <c r="AG11" s="80"/>
      <c r="AH11" s="80"/>
      <c r="AI11" s="80"/>
      <c r="AJ11" s="80"/>
      <c r="AK11" s="80"/>
      <c r="AL11" s="80"/>
      <c r="AM11" s="80"/>
      <c r="AN11" s="80"/>
      <c r="AO11" s="80"/>
      <c r="AP11" s="80"/>
      <c r="AQ11" s="80"/>
      <c r="AR11" s="80"/>
      <c r="AS11" s="73"/>
    </row>
    <row r="12" spans="1:45">
      <c r="A12" s="74">
        <v>9</v>
      </c>
      <c r="B12" s="75" t="s">
        <v>27</v>
      </c>
      <c r="C12" s="75" t="s">
        <v>28</v>
      </c>
      <c r="D12" s="75" t="s">
        <v>12</v>
      </c>
      <c r="E12" s="75" t="s">
        <v>12</v>
      </c>
      <c r="F12" s="76">
        <v>25</v>
      </c>
      <c r="G12" s="77">
        <v>74.89</v>
      </c>
      <c r="H12" s="78">
        <f t="shared" si="0"/>
        <v>1872.25</v>
      </c>
      <c r="I12" s="79"/>
      <c r="J12" s="79"/>
      <c r="K12" s="79"/>
      <c r="L12" s="80"/>
      <c r="M12" s="80"/>
      <c r="N12" s="80"/>
      <c r="O12" s="80"/>
      <c r="P12" s="80"/>
      <c r="Q12" s="80"/>
      <c r="R12" s="80"/>
      <c r="S12" s="80"/>
      <c r="T12" s="80"/>
      <c r="U12" s="79"/>
      <c r="V12" s="79"/>
      <c r="W12" s="79"/>
      <c r="X12" s="79"/>
      <c r="Y12" s="79"/>
      <c r="Z12" s="79"/>
      <c r="AA12" s="79"/>
      <c r="AB12" s="80"/>
      <c r="AC12" s="80"/>
      <c r="AD12" s="80"/>
      <c r="AE12" s="80"/>
      <c r="AF12" s="80"/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80"/>
      <c r="AS12" s="73"/>
    </row>
    <row r="13" spans="1:45">
      <c r="A13" s="74">
        <v>10</v>
      </c>
      <c r="B13" s="75" t="s">
        <v>29</v>
      </c>
      <c r="C13" s="75" t="s">
        <v>30</v>
      </c>
      <c r="D13" s="75" t="s">
        <v>12</v>
      </c>
      <c r="E13" s="75" t="s">
        <v>12</v>
      </c>
      <c r="F13" s="76">
        <v>28</v>
      </c>
      <c r="G13" s="77">
        <v>89.56</v>
      </c>
      <c r="H13" s="78">
        <f t="shared" si="0"/>
        <v>2507.68</v>
      </c>
      <c r="I13" s="79"/>
      <c r="J13" s="79"/>
      <c r="K13" s="79"/>
      <c r="L13" s="80"/>
      <c r="M13" s="80"/>
      <c r="N13" s="80"/>
      <c r="O13" s="80"/>
      <c r="P13" s="80"/>
      <c r="Q13" s="80"/>
      <c r="R13" s="80"/>
      <c r="S13" s="80"/>
      <c r="T13" s="80"/>
      <c r="U13" s="79"/>
      <c r="V13" s="79"/>
      <c r="W13" s="79"/>
      <c r="X13" s="79"/>
      <c r="Y13" s="79"/>
      <c r="Z13" s="79"/>
      <c r="AA13" s="79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80"/>
      <c r="AS13" s="73"/>
    </row>
    <row r="14" spans="1:45">
      <c r="A14" s="74">
        <v>11</v>
      </c>
      <c r="B14" s="75" t="s">
        <v>31</v>
      </c>
      <c r="C14" s="75" t="s">
        <v>32</v>
      </c>
      <c r="D14" s="75" t="s">
        <v>12</v>
      </c>
      <c r="E14" s="75" t="s">
        <v>12</v>
      </c>
      <c r="F14" s="76">
        <v>37</v>
      </c>
      <c r="G14" s="77">
        <v>89.54</v>
      </c>
      <c r="H14" s="78">
        <f t="shared" si="0"/>
        <v>3312.98</v>
      </c>
      <c r="I14" s="79"/>
      <c r="J14" s="79"/>
      <c r="K14" s="79"/>
      <c r="L14" s="80"/>
      <c r="M14" s="80"/>
      <c r="N14" s="80"/>
      <c r="O14" s="80"/>
      <c r="P14" s="80"/>
      <c r="Q14" s="80"/>
      <c r="R14" s="80"/>
      <c r="S14" s="80"/>
      <c r="T14" s="80"/>
      <c r="U14" s="79"/>
      <c r="V14" s="79"/>
      <c r="W14" s="79"/>
      <c r="X14" s="79"/>
      <c r="Y14" s="79"/>
      <c r="Z14" s="79"/>
      <c r="AA14" s="79"/>
      <c r="AB14" s="80"/>
      <c r="AC14" s="80"/>
      <c r="AD14" s="80"/>
      <c r="AE14" s="80"/>
      <c r="AF14" s="80"/>
      <c r="AG14" s="80"/>
      <c r="AH14" s="80"/>
      <c r="AI14" s="80"/>
      <c r="AJ14" s="80"/>
      <c r="AK14" s="80"/>
      <c r="AL14" s="80"/>
      <c r="AM14" s="80"/>
      <c r="AN14" s="80"/>
      <c r="AO14" s="80"/>
      <c r="AP14" s="80"/>
      <c r="AQ14" s="80"/>
      <c r="AR14" s="80"/>
      <c r="AS14" s="73"/>
    </row>
    <row r="15" spans="1:45">
      <c r="A15" s="74">
        <v>12</v>
      </c>
      <c r="B15" s="75" t="s">
        <v>33</v>
      </c>
      <c r="C15" s="75" t="s">
        <v>34</v>
      </c>
      <c r="D15" s="75" t="s">
        <v>12</v>
      </c>
      <c r="E15" s="75" t="s">
        <v>12</v>
      </c>
      <c r="F15" s="76">
        <v>39</v>
      </c>
      <c r="G15" s="77">
        <v>98.25</v>
      </c>
      <c r="H15" s="78">
        <f t="shared" si="0"/>
        <v>3831.75</v>
      </c>
      <c r="I15" s="79"/>
      <c r="J15" s="79"/>
      <c r="K15" s="79"/>
      <c r="L15" s="80"/>
      <c r="M15" s="80"/>
      <c r="N15" s="80"/>
      <c r="O15" s="80"/>
      <c r="P15" s="80"/>
      <c r="Q15" s="80"/>
      <c r="R15" s="80"/>
      <c r="S15" s="80"/>
      <c r="T15" s="80"/>
      <c r="U15" s="79"/>
      <c r="V15" s="79"/>
      <c r="W15" s="79"/>
      <c r="X15" s="79"/>
      <c r="Y15" s="79"/>
      <c r="Z15" s="79"/>
      <c r="AA15" s="79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80"/>
      <c r="AS15" s="73"/>
    </row>
    <row r="16" spans="1:45">
      <c r="A16" s="74">
        <v>13</v>
      </c>
      <c r="B16" s="75" t="s">
        <v>35</v>
      </c>
      <c r="C16" s="75" t="s">
        <v>36</v>
      </c>
      <c r="D16" s="75" t="s">
        <v>12</v>
      </c>
      <c r="E16" s="75" t="s">
        <v>12</v>
      </c>
      <c r="F16" s="76">
        <v>70</v>
      </c>
      <c r="G16" s="77">
        <v>102.25</v>
      </c>
      <c r="H16" s="78">
        <f t="shared" si="0"/>
        <v>7157.5</v>
      </c>
      <c r="I16" s="79"/>
      <c r="J16" s="79"/>
      <c r="K16" s="79"/>
      <c r="L16" s="80"/>
      <c r="M16" s="80"/>
      <c r="N16" s="80"/>
      <c r="O16" s="80"/>
      <c r="P16" s="80"/>
      <c r="Q16" s="80"/>
      <c r="R16" s="80"/>
      <c r="S16" s="80"/>
      <c r="T16" s="80"/>
      <c r="U16" s="79"/>
      <c r="V16" s="79"/>
      <c r="W16" s="79"/>
      <c r="X16" s="79"/>
      <c r="Y16" s="79"/>
      <c r="Z16" s="79"/>
      <c r="AA16" s="79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73"/>
    </row>
    <row r="17" spans="1:69">
      <c r="A17" s="74">
        <v>14</v>
      </c>
      <c r="B17" s="75" t="s">
        <v>37</v>
      </c>
      <c r="C17" s="75" t="s">
        <v>38</v>
      </c>
      <c r="D17" s="75" t="s">
        <v>12</v>
      </c>
      <c r="E17" s="75" t="s">
        <v>12</v>
      </c>
      <c r="F17" s="76">
        <v>100</v>
      </c>
      <c r="G17" s="77">
        <v>103.5</v>
      </c>
      <c r="H17" s="78">
        <f t="shared" si="0"/>
        <v>10350</v>
      </c>
      <c r="I17" s="79"/>
      <c r="J17" s="79"/>
      <c r="K17" s="79"/>
      <c r="L17" s="80"/>
      <c r="M17" s="80"/>
      <c r="N17" s="80"/>
      <c r="O17" s="80"/>
      <c r="P17" s="80"/>
      <c r="Q17" s="80"/>
      <c r="R17" s="80"/>
      <c r="S17" s="81"/>
      <c r="T17" s="80"/>
      <c r="U17" s="79"/>
      <c r="V17" s="79"/>
      <c r="W17" s="79"/>
      <c r="X17" s="79"/>
      <c r="Y17" s="79"/>
      <c r="Z17" s="79"/>
      <c r="AA17" s="79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80"/>
      <c r="AR17" s="80"/>
      <c r="AS17" s="73"/>
    </row>
    <row r="18" ht="15.25" spans="1:69">
      <c r="A18" s="82">
        <v>15</v>
      </c>
      <c r="B18" s="83" t="s">
        <v>39</v>
      </c>
      <c r="C18" s="83" t="s">
        <v>40</v>
      </c>
      <c r="D18" s="83" t="s">
        <v>12</v>
      </c>
      <c r="E18" s="83" t="s">
        <v>12</v>
      </c>
      <c r="F18" s="84">
        <v>85</v>
      </c>
      <c r="G18" s="85">
        <v>65.48</v>
      </c>
      <c r="H18" s="86">
        <f t="shared" si="0"/>
        <v>5565.8</v>
      </c>
      <c r="I18" s="79"/>
      <c r="J18" s="79"/>
      <c r="K18" s="79"/>
      <c r="L18" s="80"/>
      <c r="M18" s="80"/>
      <c r="N18" s="80"/>
      <c r="O18" s="80"/>
      <c r="P18" s="80"/>
      <c r="Q18" s="80"/>
      <c r="R18" s="80"/>
      <c r="S18" s="80"/>
      <c r="T18" s="80"/>
      <c r="U18" s="79"/>
      <c r="V18" s="79"/>
      <c r="W18" s="79"/>
      <c r="X18" s="79"/>
      <c r="Y18" s="79"/>
      <c r="Z18" s="79"/>
      <c r="AA18" s="79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80"/>
      <c r="AS18" s="73"/>
    </row>
    <row r="19" ht="15.25" spans="1:69">
      <c r="A19" s="7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87"/>
      <c r="J19" s="87"/>
      <c r="K19" s="87"/>
      <c r="L19" s="87"/>
      <c r="M19" s="87"/>
      <c r="N19" s="87"/>
      <c r="O19" s="87"/>
      <c r="P19" s="87"/>
      <c r="Q19" s="87"/>
      <c r="R19" s="88"/>
      <c r="S19" s="88"/>
      <c r="T19" s="88"/>
      <c r="U19" s="88"/>
      <c r="V19" s="88"/>
      <c r="W19" s="88"/>
      <c r="X19" s="88"/>
      <c r="Y19" s="88"/>
      <c r="Z19" s="88"/>
      <c r="AA19" s="88"/>
      <c r="AB19" s="88"/>
      <c r="AC19" s="88"/>
      <c r="AD19" s="88"/>
      <c r="AE19" s="88"/>
      <c r="AF19" s="88"/>
      <c r="AG19" s="88"/>
      <c r="AH19" s="88"/>
      <c r="AI19" s="88"/>
      <c r="AJ19" s="88"/>
      <c r="AK19" s="88"/>
      <c r="AL19" s="88"/>
      <c r="AM19" s="88"/>
      <c r="AN19" s="88"/>
      <c r="AO19" s="88"/>
      <c r="AP19" s="88"/>
      <c r="AQ19" s="88"/>
      <c r="AR19" s="88"/>
      <c r="AS19" s="73"/>
    </row>
    <row r="20" s="1" customFormat="1" spans="1:69">
      <c r="A20" s="89" t="s">
        <v>42</v>
      </c>
      <c r="B20" s="89"/>
      <c r="C20" s="89"/>
      <c r="D20" s="89"/>
      <c r="E20" s="89"/>
      <c r="F20" s="89"/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89"/>
      <c r="S20" s="89"/>
      <c r="T20" s="89"/>
      <c r="U20" s="89"/>
      <c r="V20" s="89"/>
      <c r="W20" s="89"/>
      <c r="X20" s="89"/>
      <c r="Y20" s="89"/>
      <c r="Z20" s="89"/>
      <c r="AA20" s="89"/>
      <c r="AB20" s="89"/>
      <c r="AC20" s="89"/>
      <c r="AD20" s="89"/>
      <c r="AE20" s="89"/>
      <c r="AF20" s="89"/>
      <c r="AG20" s="89"/>
      <c r="AH20" s="89"/>
      <c r="AI20" s="89"/>
      <c r="AJ20" s="89"/>
      <c r="AK20" s="89"/>
      <c r="AL20" s="89"/>
      <c r="AM20" s="89"/>
      <c r="AN20" s="89"/>
      <c r="AO20" s="89"/>
      <c r="AP20" s="89"/>
      <c r="AQ20" s="89"/>
      <c r="AR20" s="89"/>
      <c r="AS20" s="91"/>
    </row>
    <row r="21" s="1" customFormat="1" spans="1:69">
      <c r="A21" s="28" t="s">
        <v>43</v>
      </c>
      <c r="B21" s="28"/>
      <c r="C21" s="30">
        <v>3</v>
      </c>
      <c r="D21" s="30" t="s">
        <v>44</v>
      </c>
      <c r="E21" s="30"/>
      <c r="F21" s="30"/>
      <c r="G21" s="30"/>
      <c r="H21" s="30"/>
      <c r="I21" s="28" t="s">
        <v>45</v>
      </c>
      <c r="J21" s="28" t="s">
        <v>46</v>
      </c>
      <c r="K21" s="28"/>
      <c r="L21" s="28" t="s">
        <v>47</v>
      </c>
      <c r="M21" s="28">
        <v>85</v>
      </c>
      <c r="N21" s="28"/>
      <c r="O21" s="28" t="s">
        <v>48</v>
      </c>
      <c r="P21" s="28">
        <v>1</v>
      </c>
      <c r="Q21" s="28" t="s">
        <v>49</v>
      </c>
      <c r="R21" s="30"/>
      <c r="S21" s="30"/>
      <c r="T21" s="30"/>
      <c r="U21" s="30"/>
      <c r="V21" s="30">
        <v>1</v>
      </c>
      <c r="W21" s="30" t="s">
        <v>50</v>
      </c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s="57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94" t="s">
        <v>55</v>
      </c>
      <c r="M22" s="94" t="s">
        <v>56</v>
      </c>
      <c r="N22" s="94" t="s">
        <v>57</v>
      </c>
      <c r="O22" s="94" t="s">
        <v>58</v>
      </c>
      <c r="P22" s="94" t="s">
        <v>59</v>
      </c>
      <c r="Q22" s="94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93"/>
      <c r="AV22" s="93"/>
      <c r="AW22" s="95" t="s">
        <v>89</v>
      </c>
      <c r="AX22" s="95" t="s">
        <v>90</v>
      </c>
      <c r="AY22" s="95" t="s">
        <v>91</v>
      </c>
      <c r="AZ22" s="93"/>
      <c r="BA22" s="95" t="s">
        <v>92</v>
      </c>
      <c r="BB22" s="95" t="s">
        <v>93</v>
      </c>
      <c r="BC22" s="95" t="s">
        <v>94</v>
      </c>
      <c r="BD22" s="95" t="s">
        <v>95</v>
      </c>
      <c r="BE22" s="95" t="s">
        <v>96</v>
      </c>
      <c r="BF22" s="95" t="s">
        <v>97</v>
      </c>
      <c r="BG22" s="95" t="s">
        <v>98</v>
      </c>
      <c r="BH22" s="95" t="s">
        <v>99</v>
      </c>
      <c r="BI22" s="95" t="s">
        <v>100</v>
      </c>
      <c r="BJ22" s="95" t="s">
        <v>101</v>
      </c>
      <c r="BK22" s="95" t="s">
        <v>102</v>
      </c>
      <c r="BL22" s="95" t="s">
        <v>103</v>
      </c>
      <c r="BM22" s="93"/>
      <c r="BN22" s="93"/>
      <c r="BO22" s="95" t="s">
        <v>104</v>
      </c>
      <c r="BP22" s="95" t="s">
        <v>105</v>
      </c>
      <c r="BQ22" s="95" t="s">
        <v>63</v>
      </c>
    </row>
    <row r="23" s="1" customFormat="1" ht="15.25" spans="1:69">
      <c r="A23" s="28">
        <v>1</v>
      </c>
      <c r="B23" s="28" t="s">
        <v>106</v>
      </c>
      <c r="C23" s="28" t="s">
        <v>106</v>
      </c>
      <c r="D23" s="28" t="s">
        <v>12</v>
      </c>
      <c r="E23" s="28" t="s">
        <v>12</v>
      </c>
      <c r="F23" s="42">
        <v>2</v>
      </c>
      <c r="G23" s="42">
        <v>100</v>
      </c>
      <c r="H23" s="96">
        <f>F23*G23</f>
        <v>200</v>
      </c>
      <c r="I23" s="93">
        <v>1</v>
      </c>
      <c r="J23" s="96">
        <v>2</v>
      </c>
      <c r="K23" s="96">
        <v>4</v>
      </c>
      <c r="L23" s="96">
        <f>H23</f>
        <v>200</v>
      </c>
      <c r="M23" s="96">
        <f>ROUND(L23*I23%,2)</f>
        <v>2</v>
      </c>
      <c r="N23" s="96">
        <f>H23-M23</f>
        <v>198</v>
      </c>
      <c r="O23" s="96">
        <f>ROUND(N23*J23%,2)</f>
        <v>3.96</v>
      </c>
      <c r="P23" s="96">
        <f>ROUND(N23-O23,2)</f>
        <v>194.04</v>
      </c>
      <c r="Q23" s="96">
        <f>ROUND(P23*K23%,2)</f>
        <v>7.76</v>
      </c>
      <c r="R23" s="96">
        <f>M23+O23+Q23</f>
        <v>13.72</v>
      </c>
      <c r="S23" s="96">
        <f>(H23-R23)</f>
        <v>186.28</v>
      </c>
      <c r="T23" s="96" t="s">
        <v>107</v>
      </c>
      <c r="U23" s="45">
        <v>18</v>
      </c>
      <c r="V23" s="45">
        <f>IF(OR($C$21=1,$C$21=4),ROUND((((S23*U23)/100)/2),2),0)</f>
        <v>0</v>
      </c>
      <c r="W23" s="45">
        <f>IF($C$21=1,ROUND((((S23*U23)/100)/2),2),0)</f>
        <v>0</v>
      </c>
      <c r="X23" s="45">
        <f>IF($C$21=2,ROUND(((S23*U23)/100),2),0)</f>
        <v>0</v>
      </c>
      <c r="Y23" s="45">
        <f>IF($C$21=4,ROUND((((S23*U23)/100)/2),2),0)</f>
        <v>0</v>
      </c>
      <c r="Z23" s="45">
        <v>0</v>
      </c>
      <c r="AA23" s="45">
        <f>IF($C21=3,0,(S23*Z23)/100)</f>
        <v>0</v>
      </c>
      <c r="AB23" s="45">
        <f>V23+W23+X23+Y23+AA23</f>
        <v>0</v>
      </c>
      <c r="AC23" s="96">
        <f>IF($V21=1,S23+AB23,S23)</f>
        <v>186.28</v>
      </c>
      <c r="AD23" s="96">
        <v>120</v>
      </c>
      <c r="AE23" s="96">
        <f>IF($P$21=1,(S23/$S$24)*$E$35,AD23/$AD$24*$E$35)</f>
        <v>0</v>
      </c>
      <c r="AF23" s="96"/>
      <c r="AG23" s="96">
        <f>IF($P$21=1,(S23/$S$24)*$E$37,AD23/$AD$24*$E$37)</f>
        <v>0</v>
      </c>
      <c r="AH23" s="96">
        <f>IF($P$21=1,(S23/$S$24)*$E$37,AD23/$AD$24*$E$37)</f>
        <v>0</v>
      </c>
      <c r="AI23" s="96">
        <f>S23*$M$21</f>
        <v>15833.8</v>
      </c>
      <c r="AJ23" s="96">
        <f>IF($C$21=3,0,AG23+AH23)</f>
        <v>0</v>
      </c>
      <c r="AK23" s="96">
        <f>IF($C$21=3,AE23+AG23+AH23,0)</f>
        <v>0</v>
      </c>
      <c r="AL23" s="96">
        <v>1</v>
      </c>
      <c r="AM23" s="96">
        <f>F23/AL23</f>
        <v>2</v>
      </c>
      <c r="AN23" s="96">
        <f>AI23/AM23</f>
        <v>7916.9</v>
      </c>
      <c r="AO23" s="96">
        <f>AJ23/AM23</f>
        <v>0</v>
      </c>
      <c r="AP23" s="96">
        <f>AK23/AM23</f>
        <v>0</v>
      </c>
      <c r="AQ23" s="96" t="s">
        <v>12</v>
      </c>
      <c r="AR23" s="96">
        <f>AN23+AO23+AP23</f>
        <v>7916.9</v>
      </c>
      <c r="AS23" s="96" t="s">
        <v>108</v>
      </c>
      <c r="AT23" s="96" t="s">
        <v>12</v>
      </c>
      <c r="AU23" t="s">
        <v>109</v>
      </c>
      <c r="AV23" t="s">
        <v>110</v>
      </c>
      <c r="AW23" s="96">
        <f>AM23</f>
        <v>2</v>
      </c>
      <c r="AX23" s="96">
        <f>AR23</f>
        <v>7916.9</v>
      </c>
      <c r="AY23" s="96">
        <f>AU23+AW23</f>
        <v>2</v>
      </c>
      <c r="AZ23" t="s">
        <v>110</v>
      </c>
      <c r="BA23" s="97"/>
      <c r="BB23" s="97" t="s">
        <v>111</v>
      </c>
      <c r="BC23" s="97" t="s">
        <v>112</v>
      </c>
      <c r="BD23" s="98" t="s">
        <v>113</v>
      </c>
      <c r="BE23" s="98" t="s">
        <v>114</v>
      </c>
      <c r="BF23" s="97"/>
      <c r="BG23" s="97"/>
      <c r="BH23" s="97"/>
      <c r="BI23" s="96"/>
      <c r="BJ23" s="96"/>
      <c r="BK23" s="96"/>
      <c r="BL23" s="96" t="s">
        <v>115</v>
      </c>
      <c r="BM23" t="s">
        <v>116</v>
      </c>
      <c r="BN23" t="s">
        <v>117</v>
      </c>
      <c r="BO23" s="96">
        <f>ROUND((((AW23*AZ23)+(BN23*BM23))/(AW23+BN23)),5)</f>
        <v>3958.4505</v>
      </c>
      <c r="BP23" s="97">
        <f>BN23+AW23</f>
        <v>2</v>
      </c>
      <c r="BQ23" s="97">
        <v>88363222</v>
      </c>
    </row>
    <row r="24" s="1" customFormat="1" spans="1:69">
      <c r="A24" s="92"/>
      <c r="B24" s="93"/>
      <c r="C24" s="93"/>
      <c r="D24" s="99" t="s">
        <v>41</v>
      </c>
      <c r="E24" s="99"/>
      <c r="F24" s="99"/>
      <c r="G24" s="99"/>
      <c r="H24" s="99">
        <f>SUM(H23:H23)</f>
        <v>200</v>
      </c>
      <c r="I24" s="92"/>
      <c r="J24" s="92"/>
      <c r="K24" s="92"/>
      <c r="L24" s="92"/>
      <c r="M24" s="92"/>
      <c r="N24" s="92"/>
      <c r="O24" s="92"/>
      <c r="P24" s="92"/>
      <c r="Q24" s="92"/>
      <c r="R24" s="99">
        <f t="shared" ref="R24:Y24" si="1">SUM(R23:R23)</f>
        <v>13.72</v>
      </c>
      <c r="S24" s="100">
        <f t="shared" si="1"/>
        <v>186.28</v>
      </c>
      <c r="T24" s="99"/>
      <c r="U24" s="99"/>
      <c r="V24" s="101">
        <f t="shared" si="1"/>
        <v>0</v>
      </c>
      <c r="W24" s="101">
        <f t="shared" si="1"/>
        <v>0</v>
      </c>
      <c r="X24" s="101">
        <f t="shared" si="1"/>
        <v>0</v>
      </c>
      <c r="Y24" s="101">
        <f t="shared" si="1"/>
        <v>0</v>
      </c>
      <c r="Z24" s="101"/>
      <c r="AA24" s="101">
        <f t="shared" ref="AA24:AE24" si="2">SUM(AA23:AA23)</f>
        <v>0</v>
      </c>
      <c r="AB24" s="99">
        <f t="shared" si="2"/>
        <v>0</v>
      </c>
      <c r="AC24" s="38">
        <f t="shared" si="2"/>
        <v>186.28</v>
      </c>
      <c r="AD24" s="102">
        <f t="shared" si="2"/>
        <v>120</v>
      </c>
      <c r="AE24" s="102">
        <f t="shared" si="2"/>
        <v>0</v>
      </c>
      <c r="AF24" s="38"/>
      <c r="AG24" s="102">
        <f>SUM(AG23:AG23)</f>
        <v>0</v>
      </c>
      <c r="AH24" s="102">
        <f t="shared" ref="AG24:AK24" si="3">SUM(AH23:AH23)</f>
        <v>0</v>
      </c>
      <c r="AI24" s="102">
        <f t="shared" si="3"/>
        <v>15833.8</v>
      </c>
      <c r="AJ24" s="102">
        <f t="shared" si="3"/>
        <v>0</v>
      </c>
      <c r="AK24" s="102">
        <f t="shared" si="3"/>
        <v>0</v>
      </c>
      <c r="AL24" s="38"/>
      <c r="AM24" s="38"/>
      <c r="AN24" s="38"/>
      <c r="AO24" s="38"/>
      <c r="AP24" s="38"/>
      <c r="AQ24" s="38"/>
      <c r="AR24" s="38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D27" sqref="D27"/>
    </sheetView>
  </sheetViews>
  <sheetFormatPr defaultColWidth="8.70909090909091" defaultRowHeight="14.5"/>
  <cols>
    <col min="1" max="1" width="7.57272727272727" customWidth="1"/>
    <col min="2" max="3" width="22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10.7181818181818" customWidth="1"/>
    <col min="21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9.28181818181818" customWidth="1"/>
    <col min="46" max="46" width="13" customWidth="1"/>
    <col min="47" max="47" width="18" customWidth="1"/>
    <col min="48" max="48" width="24.4272727272727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5" width="49.1454545454545" customWidth="1"/>
    <col min="66" max="66" width="43.8545454545455" customWidth="1"/>
    <col min="67" max="67" width="22.7181818181818" customWidth="1"/>
    <col min="68" max="68" width="40.8545454545455" customWidth="1"/>
    <col min="69" max="69" width="7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57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54</v>
      </c>
      <c r="K22" s="35" t="s">
        <v>53</v>
      </c>
      <c r="L22" s="62" t="s">
        <v>55</v>
      </c>
      <c r="M22" s="62" t="s">
        <v>56</v>
      </c>
      <c r="N22" s="62" t="s">
        <v>59</v>
      </c>
      <c r="O22" s="62" t="s">
        <v>60</v>
      </c>
      <c r="P22" s="62" t="s">
        <v>118</v>
      </c>
      <c r="Q22" s="62" t="s">
        <v>58</v>
      </c>
      <c r="R22" s="35" t="s">
        <v>61</v>
      </c>
      <c r="S22" s="34" t="s">
        <v>119</v>
      </c>
      <c r="T22" s="34" t="s">
        <v>63</v>
      </c>
      <c r="U22" s="37" t="s">
        <v>120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121</v>
      </c>
      <c r="AS22" s="34" t="s">
        <v>88</v>
      </c>
      <c r="AT22" s="34" t="s">
        <v>86</v>
      </c>
      <c r="AU22" s="34" t="s">
        <v>122</v>
      </c>
      <c r="AV22" s="34" t="s">
        <v>123</v>
      </c>
      <c r="AW22" s="34" t="s">
        <v>89</v>
      </c>
      <c r="AX22" s="34" t="s">
        <v>90</v>
      </c>
      <c r="AY22" s="34" t="s">
        <v>91</v>
      </c>
      <c r="AZ22" s="34" t="s">
        <v>104</v>
      </c>
      <c r="BA22" s="34" t="s">
        <v>92</v>
      </c>
      <c r="BB22" s="34" t="s">
        <v>93</v>
      </c>
      <c r="BC22" s="34" t="s">
        <v>94</v>
      </c>
      <c r="BD22" s="34" t="s">
        <v>95</v>
      </c>
      <c r="BE22" s="34" t="s">
        <v>96</v>
      </c>
      <c r="BF22" s="34" t="s">
        <v>97</v>
      </c>
      <c r="BG22" s="34" t="s">
        <v>98</v>
      </c>
      <c r="BH22" s="34" t="s">
        <v>99</v>
      </c>
      <c r="BI22" s="34" t="s">
        <v>100</v>
      </c>
      <c r="BJ22" s="34" t="s">
        <v>101</v>
      </c>
      <c r="BK22" s="34" t="s">
        <v>102</v>
      </c>
      <c r="BL22" s="34" t="s">
        <v>103</v>
      </c>
      <c r="BM22" s="34" t="s">
        <v>124</v>
      </c>
      <c r="BN22" s="34" t="s">
        <v>125</v>
      </c>
      <c r="BO22" s="34" t="s">
        <v>104</v>
      </c>
      <c r="BP22" s="34" t="s">
        <v>105</v>
      </c>
      <c r="BQ22" s="34" t="s">
        <v>63</v>
      </c>
    </row>
    <row r="23" s="1" customFormat="1" ht="15.25" spans="1:69">
      <c r="A23" s="28">
        <v>1</v>
      </c>
      <c r="B23" s="56" t="s">
        <v>126</v>
      </c>
      <c r="C23" s="56" t="s">
        <v>126</v>
      </c>
      <c r="D23" s="28" t="s">
        <v>12</v>
      </c>
      <c r="E23" s="28" t="s">
        <v>12</v>
      </c>
      <c r="F23" s="42">
        <v>2</v>
      </c>
      <c r="G23" s="42">
        <v>100</v>
      </c>
      <c r="H23" s="55">
        <f>F23*G23</f>
        <v>200</v>
      </c>
      <c r="I23" s="33">
        <v>1</v>
      </c>
      <c r="J23" s="55">
        <v>2</v>
      </c>
      <c r="K23" s="55">
        <v>4</v>
      </c>
      <c r="L23" s="55">
        <f>IF(OR(I23=0,I23="0"),0,H23)</f>
        <v>200</v>
      </c>
      <c r="M23" s="55">
        <f>ROUND(L23*I23%,3)</f>
        <v>2</v>
      </c>
      <c r="N23" s="55">
        <f>H23-M23</f>
        <v>198</v>
      </c>
      <c r="O23" s="55">
        <f>ROUND(N23*J23%,3)</f>
        <v>3.96</v>
      </c>
      <c r="P23" s="55">
        <f>ROUND(N23-O23,2)</f>
        <v>194.04</v>
      </c>
      <c r="Q23" s="55">
        <f>ROUND(P23*K23%,2)</f>
        <v>7.76</v>
      </c>
      <c r="R23" s="63">
        <f>ROUND(M23+O23+Q23,3)</f>
        <v>13.72</v>
      </c>
      <c r="S23" s="55">
        <f>(H23-R23)</f>
        <v>186.28</v>
      </c>
      <c r="T23" s="55">
        <v>88363222</v>
      </c>
      <c r="U23" s="45">
        <v>18</v>
      </c>
      <c r="V23" s="45">
        <f>IF(OR($C$21=1,$C$21=4),ROUND((((S23*U23)/100)/2),2),0)</f>
        <v>0</v>
      </c>
      <c r="W23" s="45">
        <f>IF($C$21=1,ROUND((((S23*U23)/100)/2),2),0)</f>
        <v>0</v>
      </c>
      <c r="X23" s="45">
        <f>IF($C$21=2,ROUND(((S23*U23)/100),2),0)</f>
        <v>0</v>
      </c>
      <c r="Y23" s="45">
        <f>IF($C$21=4,ROUND((((S23*U23)/100)/2),2),0)</f>
        <v>0</v>
      </c>
      <c r="Z23" s="45">
        <v>0</v>
      </c>
      <c r="AA23" s="45">
        <f>IF($C21=3,0,(S23*Z23)/100)</f>
        <v>0</v>
      </c>
      <c r="AB23" s="45">
        <f>V23+W23+X23+Y23+AA23</f>
        <v>0</v>
      </c>
      <c r="AC23" s="64">
        <f>IF($V21=1,S23+AB23,S23)</f>
        <v>186.28</v>
      </c>
      <c r="AD23" s="63">
        <v>120</v>
      </c>
      <c r="AE23" s="63">
        <f>IF($P$21=1,(S23/$S$23)*$E$30,AD23/$AD$4*$E$30)</f>
        <v>0</v>
      </c>
      <c r="AF23" s="63"/>
      <c r="AG23" s="63">
        <f>IF($P$21=1,(S23/$S$23)*$E$20,AD23/$AD$23*$E$20)</f>
        <v>0</v>
      </c>
      <c r="AH23" s="63">
        <f>IF($P$21=1,(S23/$S$23)*$E$21,AD23/$AD$23*$E$21)</f>
        <v>0</v>
      </c>
      <c r="AI23" s="63">
        <f>S23*$M21</f>
        <v>15833.8</v>
      </c>
      <c r="AJ23" s="63">
        <f>IF($C$2=3,0,AG23+AH23)</f>
        <v>0</v>
      </c>
      <c r="AK23" s="63">
        <f>IF($C$2=3,AE23+AG23+AH23,0)</f>
        <v>0</v>
      </c>
      <c r="AL23" s="65">
        <v>3</v>
      </c>
      <c r="AM23" s="63">
        <f>F23/AL23</f>
        <v>0.666666666666667</v>
      </c>
      <c r="AN23" s="63">
        <f>ROUND(AI23/AM23,5)</f>
        <v>23750.7</v>
      </c>
      <c r="AO23" s="63">
        <f>AJ23/AM23</f>
        <v>0</v>
      </c>
      <c r="AP23" s="63">
        <f>AK23/AM23</f>
        <v>0</v>
      </c>
      <c r="AQ23" s="63" t="s">
        <v>12</v>
      </c>
      <c r="AR23" s="63">
        <f>ROUND(AN23+AO23+AP23,5)</f>
        <v>23750.7</v>
      </c>
      <c r="AS23" s="66" t="s">
        <v>127</v>
      </c>
      <c r="AT23" s="55" t="s">
        <v>12</v>
      </c>
      <c r="AU23" s="44" t="s">
        <v>128</v>
      </c>
      <c r="AV23" s="44" t="s">
        <v>129</v>
      </c>
      <c r="AW23" s="55">
        <f>AM23</f>
        <v>0.666666666666667</v>
      </c>
      <c r="AX23" s="63">
        <f>AR23</f>
        <v>23750.7</v>
      </c>
      <c r="AY23" s="55">
        <f>AU23+AW23</f>
        <v>117.000666666667</v>
      </c>
      <c r="AZ23" s="67">
        <f>ROUND(((AU23*AV23)+(AW23*AX23))/(AU23+AW23),5)</f>
        <v>6394.32854</v>
      </c>
      <c r="BA23" s="68"/>
      <c r="BB23" s="68" t="s">
        <v>111</v>
      </c>
      <c r="BC23" s="68" t="s">
        <v>112</v>
      </c>
      <c r="BD23" s="69" t="s">
        <v>113</v>
      </c>
      <c r="BE23" s="69" t="s">
        <v>114</v>
      </c>
      <c r="BF23" s="68"/>
      <c r="BG23" s="68"/>
      <c r="BH23" s="68"/>
      <c r="BI23" s="55"/>
      <c r="BJ23" s="55"/>
      <c r="BK23" s="55"/>
      <c r="BL23" s="70" t="s">
        <v>115</v>
      </c>
      <c r="BM23" s="44" t="s">
        <v>130</v>
      </c>
      <c r="BN23" s="44" t="s">
        <v>131</v>
      </c>
      <c r="BO23" s="55">
        <f>ROUND((((AW23*AZ23)+(BN23*BM23))/(AW23+BN23)),5)</f>
        <v>280.32668</v>
      </c>
      <c r="BP23" s="68">
        <f>ROUND(BN23+AW23,3)</f>
        <v>120.667</v>
      </c>
      <c r="BQ23" s="71">
        <v>123562</v>
      </c>
    </row>
    <row r="24" spans="1:69">
      <c r="A24" s="32"/>
      <c r="B24" s="33"/>
      <c r="C24" s="33"/>
      <c r="D24" s="50" t="s">
        <v>41</v>
      </c>
      <c r="E24" s="50"/>
      <c r="F24" s="50"/>
      <c r="G24" s="50"/>
      <c r="H24" s="50">
        <f>SUM(H23:H23)</f>
        <v>200</v>
      </c>
      <c r="I24" s="32"/>
      <c r="J24" s="32"/>
      <c r="K24" s="32"/>
      <c r="L24" s="32"/>
      <c r="M24" s="32"/>
      <c r="N24" s="32"/>
      <c r="O24" s="32"/>
      <c r="P24" s="32"/>
      <c r="Q24" s="32"/>
      <c r="R24" s="50">
        <f t="shared" ref="R24:Y24" si="1">SUM(R23:R23)</f>
        <v>13.72</v>
      </c>
      <c r="S24" s="51">
        <f t="shared" si="1"/>
        <v>186.28</v>
      </c>
      <c r="T24" s="50"/>
      <c r="U24" s="50"/>
      <c r="V24" s="52">
        <f t="shared" si="1"/>
        <v>0</v>
      </c>
      <c r="W24" s="52">
        <f t="shared" si="1"/>
        <v>0</v>
      </c>
      <c r="X24" s="52">
        <f t="shared" si="1"/>
        <v>0</v>
      </c>
      <c r="Y24" s="52">
        <f t="shared" si="1"/>
        <v>0</v>
      </c>
      <c r="Z24" s="52"/>
      <c r="AA24" s="52">
        <f t="shared" ref="AA24:AE24" si="2">SUM(AA23:AA23)</f>
        <v>0</v>
      </c>
      <c r="AB24" s="50">
        <f t="shared" si="2"/>
        <v>0</v>
      </c>
      <c r="AC24" s="53">
        <f t="shared" si="2"/>
        <v>186.28</v>
      </c>
      <c r="AD24" s="54">
        <f t="shared" si="2"/>
        <v>120</v>
      </c>
      <c r="AE24" s="54">
        <f t="shared" si="2"/>
        <v>0</v>
      </c>
      <c r="AF24" s="53"/>
      <c r="AG24" s="54">
        <f t="shared" ref="AG24:AK24" si="3">SUM(AG23:AG23)</f>
        <v>0</v>
      </c>
      <c r="AH24" s="54">
        <f t="shared" si="3"/>
        <v>0</v>
      </c>
      <c r="AI24" s="54">
        <f t="shared" si="3"/>
        <v>15833.8</v>
      </c>
      <c r="AJ24" s="54">
        <f t="shared" si="3"/>
        <v>0</v>
      </c>
      <c r="AK24" s="54">
        <f t="shared" si="3"/>
        <v>0</v>
      </c>
      <c r="AL24" s="53"/>
      <c r="AM24" s="53"/>
      <c r="AN24" s="53"/>
      <c r="AO24" s="53"/>
      <c r="AP24" s="53"/>
      <c r="AQ24" s="53"/>
      <c r="AR24" s="53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hyperlinks>
    <hyperlink ref="AS23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D7" workbookViewId="0">
      <selection activeCell="J25" sqref="J25"/>
    </sheetView>
  </sheetViews>
  <sheetFormatPr defaultColWidth="8.70909090909091" defaultRowHeight="14.5"/>
  <cols>
    <col min="1" max="1" width="7.57272727272727" customWidth="1"/>
    <col min="2" max="3" width="25.2818181818182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6" width="2.57272727272727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40" t="s">
        <v>132</v>
      </c>
      <c r="AV22" s="40" t="s">
        <v>133</v>
      </c>
      <c r="AW22" s="40" t="s">
        <v>89</v>
      </c>
      <c r="AX22" s="40" t="s">
        <v>90</v>
      </c>
      <c r="AY22" s="40" t="s">
        <v>91</v>
      </c>
      <c r="AZ22" s="40" t="s">
        <v>104</v>
      </c>
      <c r="BA22" s="40" t="s">
        <v>92</v>
      </c>
      <c r="BB22" s="40" t="s">
        <v>93</v>
      </c>
      <c r="BC22" s="40" t="s">
        <v>94</v>
      </c>
      <c r="BD22" s="40" t="s">
        <v>95</v>
      </c>
      <c r="BE22" s="40" t="s">
        <v>96</v>
      </c>
      <c r="BF22" s="40" t="s">
        <v>97</v>
      </c>
      <c r="BG22" s="40" t="s">
        <v>98</v>
      </c>
      <c r="BH22" s="40" t="s">
        <v>99</v>
      </c>
      <c r="BI22" s="40" t="s">
        <v>100</v>
      </c>
      <c r="BJ22" s="40" t="s">
        <v>101</v>
      </c>
      <c r="BK22" s="40" t="s">
        <v>102</v>
      </c>
      <c r="BL22" s="40" t="s">
        <v>103</v>
      </c>
      <c r="BM22" s="40"/>
      <c r="BN22" s="40"/>
      <c r="BO22" s="40" t="s">
        <v>104</v>
      </c>
      <c r="BP22" s="40" t="s">
        <v>105</v>
      </c>
      <c r="BQ22" s="40" t="s">
        <v>63</v>
      </c>
    </row>
    <row r="23" s="1" customFormat="1" ht="15.25" spans="1:69">
      <c r="A23" s="28">
        <v>1</v>
      </c>
      <c r="B23" s="56" t="s">
        <v>134</v>
      </c>
      <c r="C23" s="56" t="s">
        <v>134</v>
      </c>
      <c r="D23" s="28" t="s">
        <v>12</v>
      </c>
      <c r="E23" s="28" t="s">
        <v>12</v>
      </c>
      <c r="F23" s="42">
        <v>2</v>
      </c>
      <c r="G23" s="42">
        <v>250</v>
      </c>
      <c r="H23" s="43">
        <f>F23*G23</f>
        <v>500</v>
      </c>
      <c r="I23" s="44">
        <v>1</v>
      </c>
      <c r="J23" s="43">
        <v>2</v>
      </c>
      <c r="K23" s="43">
        <v>4</v>
      </c>
      <c r="L23" s="43">
        <f>H23</f>
        <v>500</v>
      </c>
      <c r="M23" s="43">
        <f>ROUND(L23*I23%,2)</f>
        <v>5</v>
      </c>
      <c r="N23" s="43">
        <f>H23-M23</f>
        <v>495</v>
      </c>
      <c r="O23" s="43">
        <f>ROUND(N23*J23%,2)</f>
        <v>9.9</v>
      </c>
      <c r="P23" s="43">
        <f>ROUND(N23-O23,2)</f>
        <v>485.1</v>
      </c>
      <c r="Q23" s="43">
        <f>ROUND(P23*K23%,2)</f>
        <v>19.4</v>
      </c>
      <c r="R23" s="43">
        <f>M23+O23+Q23</f>
        <v>34.3</v>
      </c>
      <c r="S23" s="43">
        <f>(H23-R23)</f>
        <v>465.7</v>
      </c>
      <c r="T23" s="43" t="s">
        <v>107</v>
      </c>
      <c r="U23" s="45">
        <v>18</v>
      </c>
      <c r="V23" s="45">
        <f>IF(OR($C$21=1,$C$21=4),ROUND((((S23*U23)/100)/2),2),0)</f>
        <v>0</v>
      </c>
      <c r="W23" s="45">
        <f>IF($C$21=1,ROUND((((S23*U23)/100)/2),2),0)</f>
        <v>0</v>
      </c>
      <c r="X23" s="45">
        <f>IF($C$21=2,ROUND(((S23*U23)/100),2),0)</f>
        <v>0</v>
      </c>
      <c r="Y23" s="45">
        <f>IF($C$21=4,ROUND((((S23*U23)/100)/2),2),0)</f>
        <v>0</v>
      </c>
      <c r="Z23" s="45">
        <v>0</v>
      </c>
      <c r="AA23" s="45">
        <f>IF($C21=3,0,(S23*Z23)/100)</f>
        <v>0</v>
      </c>
      <c r="AB23" s="45">
        <f>V23+W23+X23+Y23+AA23</f>
        <v>0</v>
      </c>
      <c r="AC23" s="43">
        <f>IF($V21=1,S23+AB23,S23)</f>
        <v>465.7</v>
      </c>
      <c r="AD23" s="43">
        <v>120</v>
      </c>
      <c r="AE23" s="43">
        <f>IF($P$21=1,(S23/$S$24)*$E$35,AD23/$AD$24*$E$35)</f>
        <v>0</v>
      </c>
      <c r="AF23" s="43"/>
      <c r="AG23" s="43">
        <f>IF($P$21=1,(S23/$S$24)*$E$37,AD23/$AD$24*$E$37)</f>
        <v>0</v>
      </c>
      <c r="AH23" s="43">
        <f>IF($P$21=1,(S23/$S$24)*$E$37,AD23/$AD$24*$E$37)</f>
        <v>0</v>
      </c>
      <c r="AI23" s="43">
        <f>S23*$M$21</f>
        <v>39584.5</v>
      </c>
      <c r="AJ23" s="43">
        <f>IF($C$21=3,0,AG23+AH23)</f>
        <v>0</v>
      </c>
      <c r="AK23" s="43">
        <f>IF($C$21=3,AE23+AG23+AH23,0)</f>
        <v>0</v>
      </c>
      <c r="AL23" s="43">
        <v>1</v>
      </c>
      <c r="AM23" s="43">
        <f>F23/AL23</f>
        <v>2</v>
      </c>
      <c r="AN23" s="43">
        <f>AI23/AM23</f>
        <v>19792.25</v>
      </c>
      <c r="AO23" s="43">
        <f>AJ23/AM23</f>
        <v>0</v>
      </c>
      <c r="AP23" s="43">
        <f>AK23/AM23</f>
        <v>0</v>
      </c>
      <c r="AQ23" s="43" t="s">
        <v>12</v>
      </c>
      <c r="AR23" s="43">
        <f>AN23+AO23+AP23</f>
        <v>19792.25</v>
      </c>
      <c r="AS23" s="43" t="s">
        <v>108</v>
      </c>
      <c r="AT23" s="43" t="s">
        <v>12</v>
      </c>
      <c r="AU23" t="s">
        <v>109</v>
      </c>
      <c r="AV23" t="s">
        <v>110</v>
      </c>
      <c r="AW23" s="43">
        <f>AM23</f>
        <v>2</v>
      </c>
      <c r="AX23" s="43">
        <f>AR23</f>
        <v>19792.25</v>
      </c>
      <c r="AY23" s="43">
        <f>AU23+AW23</f>
        <v>2</v>
      </c>
      <c r="AZ23" t="s">
        <v>110</v>
      </c>
      <c r="BA23" s="46"/>
      <c r="BB23" s="46" t="s">
        <v>111</v>
      </c>
      <c r="BC23" s="46" t="s">
        <v>112</v>
      </c>
      <c r="BD23" s="47" t="s">
        <v>113</v>
      </c>
      <c r="BE23" s="47" t="s">
        <v>114</v>
      </c>
      <c r="BF23" s="46"/>
      <c r="BG23" s="46"/>
      <c r="BH23" s="46"/>
      <c r="BI23" s="43"/>
      <c r="BJ23" s="43"/>
      <c r="BK23" s="43"/>
      <c r="BL23" s="43" t="s">
        <v>115</v>
      </c>
      <c r="BM23" t="s">
        <v>135</v>
      </c>
      <c r="BN23" t="s">
        <v>136</v>
      </c>
      <c r="BO23" s="43">
        <f>ROUND((((AW23*AZ23)+(BN23*BM23))/(AW23+BN23)),5)</f>
        <v>8098.33637</v>
      </c>
      <c r="BP23" s="46">
        <f>BN23+AW23</f>
        <v>2</v>
      </c>
      <c r="BQ23" s="49">
        <v>88363222</v>
      </c>
    </row>
    <row r="24" spans="1:69">
      <c r="A24" s="32"/>
      <c r="B24" s="33"/>
      <c r="C24" s="33"/>
      <c r="D24" s="50" t="s">
        <v>41</v>
      </c>
      <c r="E24" s="50"/>
      <c r="F24" s="50"/>
      <c r="G24" s="50"/>
      <c r="H24" s="50">
        <f>SUM(H23:H23)</f>
        <v>500</v>
      </c>
      <c r="I24" s="32"/>
      <c r="J24" s="32"/>
      <c r="K24" s="32"/>
      <c r="L24" s="32"/>
      <c r="M24" s="32"/>
      <c r="N24" s="32"/>
      <c r="O24" s="32"/>
      <c r="P24" s="32"/>
      <c r="Q24" s="32"/>
      <c r="R24" s="50">
        <f t="shared" ref="R24:Y24" si="1">SUM(R23:R23)</f>
        <v>34.3</v>
      </c>
      <c r="S24" s="51">
        <f t="shared" si="1"/>
        <v>465.7</v>
      </c>
      <c r="T24" s="50"/>
      <c r="U24" s="50"/>
      <c r="V24" s="52">
        <f t="shared" si="1"/>
        <v>0</v>
      </c>
      <c r="W24" s="52">
        <f t="shared" si="1"/>
        <v>0</v>
      </c>
      <c r="X24" s="52">
        <f t="shared" si="1"/>
        <v>0</v>
      </c>
      <c r="Y24" s="52">
        <f t="shared" si="1"/>
        <v>0</v>
      </c>
      <c r="Z24" s="52"/>
      <c r="AA24" s="52">
        <f t="shared" ref="AA24:AE24" si="2">SUM(AA23:AA23)</f>
        <v>0</v>
      </c>
      <c r="AB24" s="50">
        <f t="shared" si="2"/>
        <v>0</v>
      </c>
      <c r="AC24" s="53">
        <f t="shared" si="2"/>
        <v>465.7</v>
      </c>
      <c r="AD24" s="54">
        <f t="shared" si="2"/>
        <v>120</v>
      </c>
      <c r="AE24" s="54">
        <f t="shared" si="2"/>
        <v>0</v>
      </c>
      <c r="AF24" s="53"/>
      <c r="AG24" s="54">
        <f t="shared" ref="AG24:AK24" si="3">SUM(AG23:AG23)</f>
        <v>0</v>
      </c>
      <c r="AH24" s="54">
        <f t="shared" si="3"/>
        <v>0</v>
      </c>
      <c r="AI24" s="54">
        <f t="shared" si="3"/>
        <v>39584.5</v>
      </c>
      <c r="AJ24" s="54">
        <f t="shared" si="3"/>
        <v>0</v>
      </c>
      <c r="AK24" s="54">
        <f t="shared" si="3"/>
        <v>0</v>
      </c>
      <c r="AL24" s="53"/>
      <c r="AM24" s="53"/>
      <c r="AN24" s="53"/>
      <c r="AO24" s="53"/>
      <c r="AP24" s="53"/>
      <c r="AQ24" s="53"/>
      <c r="AR24" s="53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C12" workbookViewId="0">
      <selection activeCell="F25" sqref="F25"/>
    </sheetView>
  </sheetViews>
  <sheetFormatPr defaultColWidth="8.70909090909091" defaultRowHeight="14.5"/>
  <cols>
    <col min="1" max="1" width="7.57272727272727" customWidth="1"/>
    <col min="2" max="3" width="25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59" t="s">
        <v>41</v>
      </c>
      <c r="C19" s="60"/>
      <c r="D19" s="60"/>
      <c r="E19" s="60"/>
      <c r="F19" s="60"/>
      <c r="G19" s="61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40" t="s">
        <v>132</v>
      </c>
      <c r="AV22" s="40" t="s">
        <v>133</v>
      </c>
      <c r="AW22" s="40" t="s">
        <v>89</v>
      </c>
      <c r="AX22" s="40" t="s">
        <v>90</v>
      </c>
      <c r="AY22" s="40" t="s">
        <v>91</v>
      </c>
      <c r="AZ22" s="40" t="s">
        <v>104</v>
      </c>
      <c r="BA22" s="40" t="s">
        <v>92</v>
      </c>
      <c r="BB22" s="40" t="s">
        <v>93</v>
      </c>
      <c r="BC22" s="40" t="s">
        <v>94</v>
      </c>
      <c r="BD22" s="40" t="s">
        <v>95</v>
      </c>
      <c r="BE22" s="40" t="s">
        <v>96</v>
      </c>
      <c r="BF22" s="40" t="s">
        <v>97</v>
      </c>
      <c r="BG22" s="40" t="s">
        <v>98</v>
      </c>
      <c r="BH22" s="40" t="s">
        <v>99</v>
      </c>
      <c r="BI22" s="40" t="s">
        <v>100</v>
      </c>
      <c r="BJ22" s="40" t="s">
        <v>101</v>
      </c>
      <c r="BK22" s="40" t="s">
        <v>102</v>
      </c>
      <c r="BL22" s="40" t="s">
        <v>103</v>
      </c>
      <c r="BM22" s="40"/>
      <c r="BN22" s="40"/>
      <c r="BO22" s="40" t="s">
        <v>104</v>
      </c>
      <c r="BP22" s="40" t="s">
        <v>105</v>
      </c>
      <c r="BQ22" s="40" t="s">
        <v>63</v>
      </c>
    </row>
    <row r="23" s="1" customFormat="1" ht="15.25" spans="1:69">
      <c r="A23" s="28">
        <v>1</v>
      </c>
      <c r="B23" s="56" t="s">
        <v>137</v>
      </c>
      <c r="C23" s="56" t="s">
        <v>137</v>
      </c>
      <c r="D23" s="28" t="s">
        <v>12</v>
      </c>
      <c r="E23" s="28" t="s">
        <v>12</v>
      </c>
      <c r="F23" s="42">
        <v>2</v>
      </c>
      <c r="G23" s="42">
        <v>250</v>
      </c>
      <c r="H23" s="43">
        <f>F23*G23</f>
        <v>500</v>
      </c>
      <c r="I23" s="44">
        <v>1</v>
      </c>
      <c r="J23" s="43">
        <v>2</v>
      </c>
      <c r="K23" s="43">
        <v>4</v>
      </c>
      <c r="L23" s="43">
        <f>H23</f>
        <v>500</v>
      </c>
      <c r="M23" s="43">
        <f>ROUND(L23*I23%,2)</f>
        <v>5</v>
      </c>
      <c r="N23" s="43">
        <f>H23-M23</f>
        <v>495</v>
      </c>
      <c r="O23" s="43">
        <f>ROUND(N23*J23%,2)</f>
        <v>9.9</v>
      </c>
      <c r="P23" s="43">
        <f>ROUND(N23-O23,2)</f>
        <v>485.1</v>
      </c>
      <c r="Q23" s="43">
        <f>ROUND(P23*K23%,2)</f>
        <v>19.4</v>
      </c>
      <c r="R23" s="43">
        <f>M23+O23+Q23</f>
        <v>34.3</v>
      </c>
      <c r="S23" s="43">
        <f>(H23-R23)</f>
        <v>465.7</v>
      </c>
      <c r="T23" s="43" t="s">
        <v>107</v>
      </c>
      <c r="U23" s="45">
        <v>18</v>
      </c>
      <c r="V23" s="45">
        <f>IF(OR($C$21=1,$C$21=4),ROUND((((S23*U23)/100)/2),2),0)</f>
        <v>0</v>
      </c>
      <c r="W23" s="45">
        <f>IF($C$21=1,ROUND((((S23*U23)/100)/2),2),0)</f>
        <v>0</v>
      </c>
      <c r="X23" s="45">
        <f>IF($C$21=2,ROUND(((S23*U23)/100),2),0)</f>
        <v>0</v>
      </c>
      <c r="Y23" s="45">
        <f>IF($C$21=4,ROUND((((S23*U23)/100)/2),2),0)</f>
        <v>0</v>
      </c>
      <c r="Z23" s="45">
        <v>0</v>
      </c>
      <c r="AA23" s="45">
        <f>IF($C21=3,0,(S23*Z23)/100)</f>
        <v>0</v>
      </c>
      <c r="AB23" s="45">
        <f>V23+W23+X23+Y23+AA23</f>
        <v>0</v>
      </c>
      <c r="AC23" s="43">
        <f>IF($V21=1,S23+AB23,S23)</f>
        <v>465.7</v>
      </c>
      <c r="AD23" s="43">
        <v>120</v>
      </c>
      <c r="AE23" s="43">
        <f>IF($P$21=1,(S23/$S$24)*$E$35,AD23/$AD$24*$E$35)</f>
        <v>0</v>
      </c>
      <c r="AF23" s="43"/>
      <c r="AG23" s="43">
        <f>IF($P$21=1,(S23/$S$24)*$E$37,AD23/$AD$24*$E$37)</f>
        <v>0</v>
      </c>
      <c r="AH23" s="43">
        <f>IF($P$21=1,(S23/$S$24)*$E$37,AD23/$AD$24*$E$37)</f>
        <v>0</v>
      </c>
      <c r="AI23" s="43">
        <f>S23*$M$21</f>
        <v>39584.5</v>
      </c>
      <c r="AJ23" s="43">
        <f>IF($C$21=3,0,AG23+AH23)</f>
        <v>0</v>
      </c>
      <c r="AK23" s="43">
        <f>IF($C$21=3,AE23+AG23+AH23,0)</f>
        <v>0</v>
      </c>
      <c r="AL23" s="43">
        <v>1</v>
      </c>
      <c r="AM23" s="43">
        <f>F23/AL23</f>
        <v>2</v>
      </c>
      <c r="AN23" s="43">
        <f>AI23/AM23</f>
        <v>19792.25</v>
      </c>
      <c r="AO23" s="43">
        <f>AJ23/AM23</f>
        <v>0</v>
      </c>
      <c r="AP23" s="43">
        <f>AK23/AM23</f>
        <v>0</v>
      </c>
      <c r="AQ23" s="43" t="s">
        <v>12</v>
      </c>
      <c r="AR23" s="43">
        <f>AN23+AO23+AP23</f>
        <v>19792.25</v>
      </c>
      <c r="AS23" s="43" t="s">
        <v>108</v>
      </c>
      <c r="AT23" s="43" t="s">
        <v>12</v>
      </c>
      <c r="AU23" s="44"/>
      <c r="AV23" s="44"/>
      <c r="AW23" s="43">
        <f>AM23</f>
        <v>2</v>
      </c>
      <c r="AX23" s="43">
        <f>AR23</f>
        <v>19792.25</v>
      </c>
      <c r="AY23" s="43">
        <f>AU23+AW23</f>
        <v>2</v>
      </c>
      <c r="AZ23" s="43">
        <f>ROUND(((AU23*AV23)+(AW23*AX23))/(AU23+AW23),5)</f>
        <v>19792.25</v>
      </c>
      <c r="BA23" s="46"/>
      <c r="BB23" s="46" t="s">
        <v>111</v>
      </c>
      <c r="BC23" s="46" t="s">
        <v>112</v>
      </c>
      <c r="BD23" s="47" t="s">
        <v>113</v>
      </c>
      <c r="BE23" s="47" t="s">
        <v>114</v>
      </c>
      <c r="BF23" s="46"/>
      <c r="BG23" s="46"/>
      <c r="BH23" s="46"/>
      <c r="BI23" s="43"/>
      <c r="BJ23" s="43"/>
      <c r="BK23" s="43"/>
      <c r="BL23" s="43" t="s">
        <v>115</v>
      </c>
      <c r="BM23" s="44"/>
      <c r="BN23" s="44"/>
      <c r="BO23" s="43">
        <f>ROUND((((AW23*AZ23)+(BN23*BM23))/(AW23+BN23)),5)</f>
        <v>19792.25</v>
      </c>
      <c r="BP23" s="46">
        <f>BN23+AW23</f>
        <v>2</v>
      </c>
      <c r="BQ23" s="49">
        <v>88363222</v>
      </c>
    </row>
    <row r="24" spans="1:69">
      <c r="A24" s="32"/>
      <c r="B24" s="33"/>
      <c r="C24" s="33"/>
      <c r="D24" s="50" t="s">
        <v>41</v>
      </c>
      <c r="E24" s="50"/>
      <c r="F24" s="50"/>
      <c r="G24" s="50"/>
      <c r="H24" s="50">
        <f>SUM(H23:H23)</f>
        <v>500</v>
      </c>
      <c r="I24" s="32"/>
      <c r="J24" s="32"/>
      <c r="K24" s="32"/>
      <c r="L24" s="32"/>
      <c r="M24" s="32"/>
      <c r="N24" s="32"/>
      <c r="O24" s="32"/>
      <c r="P24" s="32"/>
      <c r="Q24" s="32"/>
      <c r="R24" s="50">
        <f t="shared" ref="R24:X24" si="1">SUM(R23:R23)</f>
        <v>34.3</v>
      </c>
      <c r="S24" s="51">
        <f t="shared" si="1"/>
        <v>465.7</v>
      </c>
      <c r="T24" s="50"/>
      <c r="U24" s="50"/>
      <c r="V24" s="52">
        <f t="shared" si="1"/>
        <v>0</v>
      </c>
      <c r="W24" s="52">
        <f t="shared" si="1"/>
        <v>0</v>
      </c>
      <c r="X24" s="52">
        <f t="shared" si="1"/>
        <v>0</v>
      </c>
      <c r="Y24" s="52"/>
      <c r="Z24" s="52"/>
      <c r="AA24" s="52"/>
      <c r="AB24" s="50">
        <f t="shared" ref="AB24:AE24" si="2">SUM(AB23:AB23)</f>
        <v>0</v>
      </c>
      <c r="AC24" s="53">
        <f t="shared" si="2"/>
        <v>465.7</v>
      </c>
      <c r="AD24" s="54">
        <f t="shared" si="2"/>
        <v>120</v>
      </c>
      <c r="AE24" s="54">
        <f t="shared" si="2"/>
        <v>0</v>
      </c>
      <c r="AF24" s="53"/>
      <c r="AG24" s="54">
        <f t="shared" ref="AG24:AK24" si="3">SUM(AG23:AG23)</f>
        <v>0</v>
      </c>
      <c r="AH24" s="54">
        <f t="shared" si="3"/>
        <v>0</v>
      </c>
      <c r="AI24" s="54">
        <f t="shared" si="3"/>
        <v>39584.5</v>
      </c>
      <c r="AJ24" s="54">
        <f t="shared" si="3"/>
        <v>0</v>
      </c>
      <c r="AK24" s="54">
        <f t="shared" si="3"/>
        <v>0</v>
      </c>
      <c r="AL24" s="53"/>
      <c r="AM24" s="53"/>
      <c r="AN24" s="53"/>
      <c r="AO24" s="53"/>
      <c r="AP24" s="53"/>
      <c r="AQ24" s="53"/>
      <c r="AR24" s="53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D12" workbookViewId="0">
      <selection activeCell="H27" sqref="H27"/>
    </sheetView>
  </sheetViews>
  <sheetFormatPr defaultColWidth="8.70909090909091" defaultRowHeight="14.5"/>
  <cols>
    <col min="1" max="1" width="7.57272727272727" customWidth="1"/>
    <col min="2" max="3" width="24.7181818181818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5" width="12.3636363636364" customWidth="1"/>
    <col min="66" max="66" width="4.54545454545455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40" t="s">
        <v>132</v>
      </c>
      <c r="AV22" s="40" t="s">
        <v>133</v>
      </c>
      <c r="AW22" s="40" t="s">
        <v>89</v>
      </c>
      <c r="AX22" s="40" t="s">
        <v>90</v>
      </c>
      <c r="AY22" s="40" t="s">
        <v>91</v>
      </c>
      <c r="AZ22" s="40" t="s">
        <v>104</v>
      </c>
      <c r="BA22" s="40" t="s">
        <v>92</v>
      </c>
      <c r="BB22" s="40" t="s">
        <v>93</v>
      </c>
      <c r="BC22" s="40" t="s">
        <v>94</v>
      </c>
      <c r="BD22" s="40" t="s">
        <v>95</v>
      </c>
      <c r="BE22" s="40" t="s">
        <v>96</v>
      </c>
      <c r="BF22" s="40" t="s">
        <v>97</v>
      </c>
      <c r="BG22" s="40" t="s">
        <v>98</v>
      </c>
      <c r="BH22" s="40" t="s">
        <v>99</v>
      </c>
      <c r="BI22" s="40" t="s">
        <v>100</v>
      </c>
      <c r="BJ22" s="40" t="s">
        <v>101</v>
      </c>
      <c r="BK22" s="40" t="s">
        <v>102</v>
      </c>
      <c r="BL22" s="40" t="s">
        <v>103</v>
      </c>
      <c r="BM22" s="40"/>
      <c r="BN22" s="40"/>
      <c r="BO22" s="40" t="s">
        <v>104</v>
      </c>
      <c r="BP22" s="40" t="s">
        <v>105</v>
      </c>
      <c r="BQ22" s="40" t="s">
        <v>63</v>
      </c>
    </row>
    <row r="23" s="1" customFormat="1" ht="15.25" spans="1:69">
      <c r="A23" s="28">
        <v>1</v>
      </c>
      <c r="B23" s="28" t="s">
        <v>138</v>
      </c>
      <c r="C23" s="28" t="s">
        <v>138</v>
      </c>
      <c r="D23" s="28" t="s">
        <v>12</v>
      </c>
      <c r="E23" s="28" t="s">
        <v>12</v>
      </c>
      <c r="F23" s="42">
        <v>2</v>
      </c>
      <c r="G23" s="42">
        <v>250</v>
      </c>
      <c r="H23" s="43">
        <f>F23*G23</f>
        <v>500</v>
      </c>
      <c r="I23" s="44">
        <v>1</v>
      </c>
      <c r="J23" s="43">
        <v>2</v>
      </c>
      <c r="K23" s="43">
        <v>4</v>
      </c>
      <c r="L23" s="43">
        <f>H23</f>
        <v>500</v>
      </c>
      <c r="M23" s="43">
        <f>ROUND(L23*I23%,2)</f>
        <v>5</v>
      </c>
      <c r="N23" s="43">
        <f>H23-M23</f>
        <v>495</v>
      </c>
      <c r="O23" s="43">
        <f>ROUND(N23*J23%,2)</f>
        <v>9.9</v>
      </c>
      <c r="P23" s="43">
        <f>ROUND(N23-O23,2)</f>
        <v>485.1</v>
      </c>
      <c r="Q23" s="43">
        <f>ROUND(P23*K23%,2)</f>
        <v>19.4</v>
      </c>
      <c r="R23" s="43">
        <f>M23+O23+Q23</f>
        <v>34.3</v>
      </c>
      <c r="S23" s="43">
        <f>(H23-R23)</f>
        <v>465.7</v>
      </c>
      <c r="T23" s="43" t="s">
        <v>107</v>
      </c>
      <c r="U23" s="45">
        <v>18</v>
      </c>
      <c r="V23" s="45">
        <f>IF(OR($C$21=1,$C$21=4),ROUND((((S23*U23)/100)/2),2),0)</f>
        <v>0</v>
      </c>
      <c r="W23" s="45">
        <f>IF($C$21=1,ROUND((((S23*U23)/100)/2),2),0)</f>
        <v>0</v>
      </c>
      <c r="X23" s="45">
        <f>IF($C$21=2,ROUND(((S23*U23)/100),2),0)</f>
        <v>0</v>
      </c>
      <c r="Y23" s="45">
        <f>IF($C$21=4,ROUND((((S23*U23)/100)/2),2),0)</f>
        <v>0</v>
      </c>
      <c r="Z23" s="45">
        <v>0</v>
      </c>
      <c r="AA23" s="45">
        <f>IF($C21=3,0,(S23*Z23)/100)</f>
        <v>0</v>
      </c>
      <c r="AB23" s="45">
        <f>V23+W23+X23+Y23+AA23</f>
        <v>0</v>
      </c>
      <c r="AC23" s="43">
        <f>IF($V21=1,S23+AB23,S23)</f>
        <v>465.7</v>
      </c>
      <c r="AD23" s="43">
        <v>120</v>
      </c>
      <c r="AE23" s="43">
        <f>IF($P$21=1,(S23/$S$24)*$E$35,AD23/$AD$24*$E$35)</f>
        <v>0</v>
      </c>
      <c r="AF23" s="43"/>
      <c r="AG23" s="43">
        <f>IF($P$21=1,(S23/$S$24)*$E$37,AD23/$AD$24*$E$37)</f>
        <v>0</v>
      </c>
      <c r="AH23" s="43">
        <f>IF($P$21=1,(S23/$S$24)*$E$37,AD23/$AD$24*$E$37)</f>
        <v>0</v>
      </c>
      <c r="AI23" s="43">
        <f>S23*$M$21</f>
        <v>39584.5</v>
      </c>
      <c r="AJ23" s="43">
        <f>IF($C$21=3,0,AG23+AH23)</f>
        <v>0</v>
      </c>
      <c r="AK23" s="43">
        <f>IF($C$21=3,AE23+AG23+AH23,0)</f>
        <v>0</v>
      </c>
      <c r="AL23" s="43">
        <v>1</v>
      </c>
      <c r="AM23" s="43">
        <f>F23/AL23</f>
        <v>2</v>
      </c>
      <c r="AN23" s="43">
        <f>AI23/AM23</f>
        <v>19792.25</v>
      </c>
      <c r="AO23" s="43">
        <f>AJ23/AM23</f>
        <v>0</v>
      </c>
      <c r="AP23" s="43">
        <f>AK23/AM23</f>
        <v>0</v>
      </c>
      <c r="AQ23" s="43" t="s">
        <v>12</v>
      </c>
      <c r="AR23" s="43">
        <f>AN23+AO23+AP23</f>
        <v>19792.25</v>
      </c>
      <c r="AS23" s="43" t="s">
        <v>108</v>
      </c>
      <c r="AT23" s="43" t="s">
        <v>12</v>
      </c>
      <c r="AU23" t="s">
        <v>109</v>
      </c>
      <c r="AV23" t="s">
        <v>139</v>
      </c>
      <c r="AW23" s="43">
        <f>AM23</f>
        <v>2</v>
      </c>
      <c r="AX23" s="43">
        <f>AR23</f>
        <v>19792.25</v>
      </c>
      <c r="AY23" s="43">
        <f>AU23+AW23</f>
        <v>2</v>
      </c>
      <c r="AZ23" t="s">
        <v>139</v>
      </c>
      <c r="BA23" s="46"/>
      <c r="BB23" s="46" t="s">
        <v>111</v>
      </c>
      <c r="BC23" s="46" t="s">
        <v>112</v>
      </c>
      <c r="BD23" s="47" t="s">
        <v>113</v>
      </c>
      <c r="BE23" s="47" t="s">
        <v>114</v>
      </c>
      <c r="BF23" s="46"/>
      <c r="BG23" s="46"/>
      <c r="BH23" s="46"/>
      <c r="BI23" s="43"/>
      <c r="BJ23" s="43"/>
      <c r="BK23" s="43"/>
      <c r="BL23" s="43" t="s">
        <v>140</v>
      </c>
      <c r="BM23" t="s">
        <v>141</v>
      </c>
      <c r="BN23" t="s">
        <v>142</v>
      </c>
      <c r="BO23" s="43">
        <f>ROUND((((AW23*AZ23)+(BN23*BM23))/(AW23+BN23)),5)</f>
        <v>7916.9</v>
      </c>
      <c r="BP23" s="46">
        <f>BN23+AW23</f>
        <v>2</v>
      </c>
      <c r="BQ23" s="49">
        <v>88363222</v>
      </c>
    </row>
    <row r="24" spans="1:69">
      <c r="A24" s="32"/>
      <c r="B24" s="33"/>
      <c r="C24" s="33"/>
      <c r="D24" s="50" t="s">
        <v>41</v>
      </c>
      <c r="E24" s="50"/>
      <c r="F24" s="50"/>
      <c r="G24" s="50"/>
      <c r="H24" s="50">
        <f>SUM(H23:H23)</f>
        <v>500</v>
      </c>
      <c r="I24" s="32"/>
      <c r="J24" s="32"/>
      <c r="K24" s="32"/>
      <c r="L24" s="32"/>
      <c r="M24" s="32"/>
      <c r="N24" s="32"/>
      <c r="O24" s="32"/>
      <c r="P24" s="32"/>
      <c r="Q24" s="32"/>
      <c r="R24" s="50">
        <f t="shared" ref="R24:Y24" si="1">SUM(R23:R23)</f>
        <v>34.3</v>
      </c>
      <c r="S24" s="51">
        <f t="shared" si="1"/>
        <v>465.7</v>
      </c>
      <c r="T24" s="50"/>
      <c r="U24" s="50"/>
      <c r="V24" s="52">
        <f t="shared" si="1"/>
        <v>0</v>
      </c>
      <c r="W24" s="52">
        <f t="shared" si="1"/>
        <v>0</v>
      </c>
      <c r="X24" s="52">
        <f t="shared" si="1"/>
        <v>0</v>
      </c>
      <c r="Y24" s="52">
        <f t="shared" si="1"/>
        <v>0</v>
      </c>
      <c r="Z24" s="52"/>
      <c r="AA24" s="52">
        <f t="shared" ref="AA24:AE24" si="2">SUM(AA23:AA23)</f>
        <v>0</v>
      </c>
      <c r="AB24" s="50">
        <f t="shared" si="2"/>
        <v>0</v>
      </c>
      <c r="AC24" s="53">
        <f t="shared" si="2"/>
        <v>465.7</v>
      </c>
      <c r="AD24" s="54">
        <f t="shared" si="2"/>
        <v>120</v>
      </c>
      <c r="AE24" s="54">
        <f t="shared" si="2"/>
        <v>0</v>
      </c>
      <c r="AF24" s="53"/>
      <c r="AG24" s="54">
        <f t="shared" ref="AG24:AK24" si="3">SUM(AG23:AG23)</f>
        <v>0</v>
      </c>
      <c r="AH24" s="54">
        <f t="shared" si="3"/>
        <v>0</v>
      </c>
      <c r="AI24" s="54">
        <f t="shared" si="3"/>
        <v>39584.5</v>
      </c>
      <c r="AJ24" s="54">
        <f t="shared" si="3"/>
        <v>0</v>
      </c>
      <c r="AK24" s="54">
        <f t="shared" si="3"/>
        <v>0</v>
      </c>
      <c r="AL24" s="53"/>
      <c r="AM24" s="53"/>
      <c r="AN24" s="53"/>
      <c r="AO24" s="53"/>
      <c r="AP24" s="53"/>
      <c r="AQ24" s="53"/>
      <c r="AR24" s="53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D10" workbookViewId="0">
      <selection activeCell="E27" sqref="E27"/>
    </sheetView>
  </sheetViews>
  <sheetFormatPr defaultColWidth="8.70909090909091" defaultRowHeight="14.5"/>
  <cols>
    <col min="1" max="1" width="7.57272727272727" customWidth="1"/>
    <col min="2" max="3" width="25.1454545454545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3.4272727272727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40" t="s">
        <v>132</v>
      </c>
      <c r="AV22" s="40" t="s">
        <v>133</v>
      </c>
      <c r="AW22" s="40" t="s">
        <v>89</v>
      </c>
      <c r="AX22" s="40" t="s">
        <v>90</v>
      </c>
      <c r="AY22" s="40" t="s">
        <v>91</v>
      </c>
      <c r="AZ22" s="40" t="s">
        <v>104</v>
      </c>
      <c r="BA22" s="40" t="s">
        <v>92</v>
      </c>
      <c r="BB22" s="40" t="s">
        <v>93</v>
      </c>
      <c r="BC22" s="40" t="s">
        <v>94</v>
      </c>
      <c r="BD22" s="40" t="s">
        <v>95</v>
      </c>
      <c r="BE22" s="40" t="s">
        <v>96</v>
      </c>
      <c r="BF22" s="40" t="s">
        <v>97</v>
      </c>
      <c r="BG22" s="40" t="s">
        <v>98</v>
      </c>
      <c r="BH22" s="40" t="s">
        <v>99</v>
      </c>
      <c r="BI22" s="40" t="s">
        <v>100</v>
      </c>
      <c r="BJ22" s="40" t="s">
        <v>101</v>
      </c>
      <c r="BK22" s="40" t="s">
        <v>102</v>
      </c>
      <c r="BL22" s="40" t="s">
        <v>103</v>
      </c>
      <c r="BM22" s="40"/>
      <c r="BN22" s="40"/>
      <c r="BO22" s="40" t="s">
        <v>104</v>
      </c>
      <c r="BP22" s="40" t="s">
        <v>105</v>
      </c>
      <c r="BQ22" s="40" t="s">
        <v>63</v>
      </c>
    </row>
    <row r="23" s="1" customFormat="1" ht="15.25" spans="1:69">
      <c r="A23" s="28">
        <v>1</v>
      </c>
      <c r="B23" s="28" t="s">
        <v>143</v>
      </c>
      <c r="C23" s="28" t="s">
        <v>143</v>
      </c>
      <c r="D23" s="28" t="s">
        <v>12</v>
      </c>
      <c r="E23" s="28" t="s">
        <v>12</v>
      </c>
      <c r="F23" s="42">
        <v>2</v>
      </c>
      <c r="G23" s="42">
        <v>250</v>
      </c>
      <c r="H23" s="43">
        <f>F23*G23</f>
        <v>500</v>
      </c>
      <c r="I23" s="44">
        <v>1</v>
      </c>
      <c r="J23" s="43">
        <v>2</v>
      </c>
      <c r="K23" s="43">
        <v>4</v>
      </c>
      <c r="L23" s="43">
        <f>H23</f>
        <v>500</v>
      </c>
      <c r="M23" s="43">
        <f>ROUND(L23*I23%,2)</f>
        <v>5</v>
      </c>
      <c r="N23" s="43">
        <f>H23-M23</f>
        <v>495</v>
      </c>
      <c r="O23" s="43">
        <f>ROUND(N23*J23%,2)</f>
        <v>9.9</v>
      </c>
      <c r="P23" s="43">
        <f>ROUND(N23-O23,2)</f>
        <v>485.1</v>
      </c>
      <c r="Q23" s="43">
        <f>ROUND(P23*K23%,2)</f>
        <v>19.4</v>
      </c>
      <c r="R23" s="43">
        <f>M23+O23+Q23</f>
        <v>34.3</v>
      </c>
      <c r="S23" s="43">
        <f>(H23-R23)</f>
        <v>465.7</v>
      </c>
      <c r="T23" s="43" t="s">
        <v>107</v>
      </c>
      <c r="U23" s="45">
        <v>18</v>
      </c>
      <c r="V23" s="45">
        <f>IF(OR($C$21=1,$C$21=4),ROUND((((S23*U23)/100)/2),2),0)</f>
        <v>0</v>
      </c>
      <c r="W23" s="45">
        <f>IF($C$21=1,ROUND((((S23*U23)/100)/2),2),0)</f>
        <v>0</v>
      </c>
      <c r="X23" s="45">
        <f>IF($C$21=2,ROUND(((S23*U23)/100),2),0)</f>
        <v>0</v>
      </c>
      <c r="Y23" s="45">
        <f>IF($C$21=4,ROUND((((S23*U23)/100)/2),2),0)</f>
        <v>0</v>
      </c>
      <c r="Z23" s="45">
        <v>0</v>
      </c>
      <c r="AA23" s="45">
        <f>IF($C21=3,0,(S23*Z23)/100)</f>
        <v>0</v>
      </c>
      <c r="AB23" s="45">
        <f>V23+W23+X23+Y23+AA23</f>
        <v>0</v>
      </c>
      <c r="AC23" s="43">
        <f>IF($V21=1,S23+AB23,S23)</f>
        <v>465.7</v>
      </c>
      <c r="AD23" s="43">
        <v>120</v>
      </c>
      <c r="AE23" s="43">
        <f>IF($P$21=1,(S23/$S$24)*$E$35,AD23/$AD$24*$E$35)</f>
        <v>0</v>
      </c>
      <c r="AF23" s="43"/>
      <c r="AG23" s="43">
        <f>IF($P$21=1,(S23/$S$24)*$E$37,AD23/$AD$24*$E$37)</f>
        <v>0</v>
      </c>
      <c r="AH23" s="43">
        <f>IF($P$21=1,(S23/$S$24)*$E$37,AD23/$AD$24*$E$37)</f>
        <v>0</v>
      </c>
      <c r="AI23" s="43">
        <f>S23*$M$21</f>
        <v>39584.5</v>
      </c>
      <c r="AJ23" s="43">
        <f>IF($C$21=3,0,AG23+AH23)</f>
        <v>0</v>
      </c>
      <c r="AK23" s="43">
        <f>IF($C$21=3,AE23+AG23+AH23,0)</f>
        <v>0</v>
      </c>
      <c r="AL23" s="43">
        <v>1</v>
      </c>
      <c r="AM23" s="43">
        <f>F23/AL23</f>
        <v>2</v>
      </c>
      <c r="AN23" s="43">
        <f>AI23/AM23</f>
        <v>19792.25</v>
      </c>
      <c r="AO23" s="43">
        <f>AJ23/AM23</f>
        <v>0</v>
      </c>
      <c r="AP23" s="43">
        <f>AK23/AM23</f>
        <v>0</v>
      </c>
      <c r="AQ23" s="43" t="s">
        <v>12</v>
      </c>
      <c r="AR23" s="43">
        <f>AN23+AO23+AP23</f>
        <v>19792.25</v>
      </c>
      <c r="AS23" s="43" t="s">
        <v>108</v>
      </c>
      <c r="AT23" s="43" t="s">
        <v>12</v>
      </c>
      <c r="AU23" s="44"/>
      <c r="AV23" s="44"/>
      <c r="AW23" s="43">
        <f>AM23</f>
        <v>2</v>
      </c>
      <c r="AX23" s="43">
        <f>AR23</f>
        <v>19792.25</v>
      </c>
      <c r="AY23" s="43">
        <f>AU23+AW23</f>
        <v>2</v>
      </c>
      <c r="AZ23" s="43">
        <f>ROUND(((AU23*AV23)+(AW23*AX23))/(AU23+AW23),5)</f>
        <v>19792.25</v>
      </c>
      <c r="BA23" s="46"/>
      <c r="BB23" s="46" t="s">
        <v>111</v>
      </c>
      <c r="BC23" s="46" t="s">
        <v>112</v>
      </c>
      <c r="BD23" s="47" t="s">
        <v>113</v>
      </c>
      <c r="BE23" s="47" t="s">
        <v>114</v>
      </c>
      <c r="BF23" s="46"/>
      <c r="BG23" s="46"/>
      <c r="BH23" s="46"/>
      <c r="BI23" s="43"/>
      <c r="BJ23" s="43"/>
      <c r="BK23" s="43"/>
      <c r="BL23" s="43" t="s">
        <v>115</v>
      </c>
      <c r="BM23" s="44"/>
      <c r="BN23" s="44"/>
      <c r="BO23" s="43">
        <f>ROUND((((AW23*AZ23)+(BN23*BM23))/(AW23+BN23)),5)</f>
        <v>19792.25</v>
      </c>
      <c r="BP23" s="46">
        <f>BN23+AW23</f>
        <v>2</v>
      </c>
      <c r="BQ23" s="49">
        <v>88363222</v>
      </c>
    </row>
    <row r="24" spans="1:69">
      <c r="A24" s="32"/>
      <c r="B24" s="33"/>
      <c r="C24" s="33"/>
      <c r="D24" s="50" t="s">
        <v>41</v>
      </c>
      <c r="E24" s="50"/>
      <c r="F24" s="50"/>
      <c r="G24" s="50"/>
      <c r="H24" s="50">
        <f>SUM(H23:H23)</f>
        <v>500</v>
      </c>
      <c r="I24" s="32"/>
      <c r="J24" s="32"/>
      <c r="K24" s="32"/>
      <c r="L24" s="32"/>
      <c r="M24" s="32"/>
      <c r="N24" s="32"/>
      <c r="O24" s="32"/>
      <c r="P24" s="32"/>
      <c r="Q24" s="32"/>
      <c r="R24" s="50">
        <f t="shared" ref="R24:Y24" si="1">SUM(R23:R23)</f>
        <v>34.3</v>
      </c>
      <c r="S24" s="51">
        <f t="shared" si="1"/>
        <v>465.7</v>
      </c>
      <c r="T24" s="50"/>
      <c r="U24" s="50"/>
      <c r="V24" s="52">
        <f t="shared" si="1"/>
        <v>0</v>
      </c>
      <c r="W24" s="52">
        <f t="shared" si="1"/>
        <v>0</v>
      </c>
      <c r="X24" s="52">
        <f t="shared" si="1"/>
        <v>0</v>
      </c>
      <c r="Y24" s="52">
        <f t="shared" si="1"/>
        <v>0</v>
      </c>
      <c r="Z24" s="52"/>
      <c r="AA24" s="52">
        <f t="shared" ref="AA24:AE24" si="2">SUM(AA23:AA23)</f>
        <v>0</v>
      </c>
      <c r="AB24" s="50">
        <f t="shared" si="2"/>
        <v>0</v>
      </c>
      <c r="AC24" s="53">
        <f t="shared" si="2"/>
        <v>465.7</v>
      </c>
      <c r="AD24" s="54">
        <f t="shared" si="2"/>
        <v>120</v>
      </c>
      <c r="AE24" s="54">
        <f t="shared" si="2"/>
        <v>0</v>
      </c>
      <c r="AF24" s="53"/>
      <c r="AG24" s="54">
        <f t="shared" ref="AG24:AK24" si="3">SUM(AG23:AG23)</f>
        <v>0</v>
      </c>
      <c r="AH24" s="54">
        <f t="shared" si="3"/>
        <v>0</v>
      </c>
      <c r="AI24" s="54">
        <f t="shared" si="3"/>
        <v>39584.5</v>
      </c>
      <c r="AJ24" s="54">
        <f t="shared" si="3"/>
        <v>0</v>
      </c>
      <c r="AK24" s="54">
        <f t="shared" si="3"/>
        <v>0</v>
      </c>
      <c r="AL24" s="53"/>
      <c r="AM24" s="53"/>
      <c r="AN24" s="53"/>
      <c r="AO24" s="53"/>
      <c r="AP24" s="53"/>
      <c r="AQ24" s="53"/>
      <c r="AR24" s="53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6" workbookViewId="0">
      <selection activeCell="L25" sqref="L25"/>
    </sheetView>
  </sheetViews>
  <sheetFormatPr defaultColWidth="8.70909090909091" defaultRowHeight="14.5"/>
  <cols>
    <col min="1" max="1" width="7.57272727272727" customWidth="1"/>
    <col min="2" max="3" width="24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5" width="16.8545454545455" customWidth="1"/>
    <col min="66" max="66" width="21.2818181818182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57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40" t="s">
        <v>132</v>
      </c>
      <c r="AV22" s="40" t="s">
        <v>133</v>
      </c>
      <c r="AW22" s="34" t="s">
        <v>89</v>
      </c>
      <c r="AX22" s="34" t="s">
        <v>90</v>
      </c>
      <c r="AY22" s="34" t="s">
        <v>91</v>
      </c>
      <c r="AZ22" s="34" t="s">
        <v>104</v>
      </c>
      <c r="BA22" s="34" t="s">
        <v>92</v>
      </c>
      <c r="BB22" s="34" t="s">
        <v>93</v>
      </c>
      <c r="BC22" s="34" t="s">
        <v>94</v>
      </c>
      <c r="BD22" s="34" t="s">
        <v>95</v>
      </c>
      <c r="BE22" s="34" t="s">
        <v>96</v>
      </c>
      <c r="BF22" s="34" t="s">
        <v>97</v>
      </c>
      <c r="BG22" s="34" t="s">
        <v>98</v>
      </c>
      <c r="BH22" s="34" t="s">
        <v>99</v>
      </c>
      <c r="BI22" s="34" t="s">
        <v>100</v>
      </c>
      <c r="BJ22" s="34" t="s">
        <v>101</v>
      </c>
      <c r="BK22" s="34" t="s">
        <v>102</v>
      </c>
      <c r="BL22" s="34" t="s">
        <v>103</v>
      </c>
      <c r="BM22" s="58" t="s">
        <v>144</v>
      </c>
      <c r="BN22" s="58" t="s">
        <v>145</v>
      </c>
      <c r="BO22" s="34" t="s">
        <v>104</v>
      </c>
      <c r="BP22" s="34" t="s">
        <v>105</v>
      </c>
      <c r="BQ22" s="34" t="s">
        <v>63</v>
      </c>
    </row>
    <row r="23" s="1" customFormat="1" ht="15.25" spans="1:69">
      <c r="A23" s="28">
        <v>1</v>
      </c>
      <c r="B23" s="28" t="s">
        <v>146</v>
      </c>
      <c r="C23" s="28" t="s">
        <v>146</v>
      </c>
      <c r="D23" s="28" t="s">
        <v>12</v>
      </c>
      <c r="E23" s="28" t="s">
        <v>12</v>
      </c>
      <c r="F23" s="42">
        <v>3</v>
      </c>
      <c r="G23" s="42">
        <v>100</v>
      </c>
      <c r="H23" s="43">
        <f>F23*G23</f>
        <v>300</v>
      </c>
      <c r="I23" s="44">
        <v>1</v>
      </c>
      <c r="J23" s="43">
        <v>2</v>
      </c>
      <c r="K23" s="43">
        <v>4</v>
      </c>
      <c r="L23" s="43">
        <f>H23</f>
        <v>300</v>
      </c>
      <c r="M23" s="43">
        <f>ROUND(L23*I23%,2)</f>
        <v>3</v>
      </c>
      <c r="N23" s="43">
        <f>H23-M23</f>
        <v>297</v>
      </c>
      <c r="O23" s="43">
        <f>ROUND(N23*J23%,2)</f>
        <v>5.94</v>
      </c>
      <c r="P23" s="43">
        <f>ROUND(N23-O23,2)</f>
        <v>291.06</v>
      </c>
      <c r="Q23" s="43">
        <f>ROUND(P23*K23%,2)</f>
        <v>11.64</v>
      </c>
      <c r="R23" s="43">
        <f>M23+O23+Q23</f>
        <v>20.58</v>
      </c>
      <c r="S23" s="43">
        <f>(H23-R23)</f>
        <v>279.42</v>
      </c>
      <c r="T23" s="43" t="s">
        <v>107</v>
      </c>
      <c r="U23" s="45">
        <v>18</v>
      </c>
      <c r="V23" s="45">
        <f>IF(OR($C$21=1,$C$21=4),ROUND((((S23*U23)/100)/2),2),0)</f>
        <v>0</v>
      </c>
      <c r="W23" s="45">
        <f>IF($C$21=1,ROUND((((S23*U23)/100)/2),2),0)</f>
        <v>0</v>
      </c>
      <c r="X23" s="45">
        <f>IF($C$21=2,ROUND(((S23*U23)/100),2),0)</f>
        <v>0</v>
      </c>
      <c r="Y23" s="45">
        <f>IF($C$21=4,ROUND((((S23*U23)/100)/2),2),0)</f>
        <v>0</v>
      </c>
      <c r="Z23" s="45">
        <v>0</v>
      </c>
      <c r="AA23" s="45">
        <f>IF($C21=3,0,(S23*Z23)/100)</f>
        <v>0</v>
      </c>
      <c r="AB23" s="45">
        <f>V23+W23+X23+Y23+AA23</f>
        <v>0</v>
      </c>
      <c r="AC23" s="43">
        <f>IF($V21=1,S23+AB23,S23)</f>
        <v>279.42</v>
      </c>
      <c r="AD23" s="43">
        <v>120</v>
      </c>
      <c r="AE23" s="43">
        <f>IF($P$21=1,(S23/$S$24)*$E$35,AD23/$AD$24*$E$35)</f>
        <v>0</v>
      </c>
      <c r="AF23" s="43"/>
      <c r="AG23" s="43">
        <f>IF($P$21=1,(S23/$S$24)*$E$37,AD23/$AD$24*$E$37)</f>
        <v>0</v>
      </c>
      <c r="AH23" s="43">
        <f>IF($P$21=1,(S23/$S$24)*$E$37,AD23/$AD$24*$E$37)</f>
        <v>0</v>
      </c>
      <c r="AI23" s="43">
        <f>S23*$M$21</f>
        <v>23750.7</v>
      </c>
      <c r="AJ23" s="43">
        <f>IF($C$21=3,0,AG23+AH23)</f>
        <v>0</v>
      </c>
      <c r="AK23" s="43">
        <f>IF($C$21=3,AE23+AG23+AH23,0)</f>
        <v>0</v>
      </c>
      <c r="AL23" s="43">
        <v>3</v>
      </c>
      <c r="AM23" s="43">
        <f>F23/AL23</f>
        <v>1</v>
      </c>
      <c r="AN23" s="43">
        <f>AI23/AM23</f>
        <v>23750.7</v>
      </c>
      <c r="AO23" s="43">
        <f>AJ23/AM23</f>
        <v>0</v>
      </c>
      <c r="AP23" s="43">
        <f>AK23/AM23</f>
        <v>0</v>
      </c>
      <c r="AQ23" s="43" t="s">
        <v>12</v>
      </c>
      <c r="AR23" s="43">
        <f>AN23+AO23+AP23</f>
        <v>23750.7</v>
      </c>
      <c r="AS23" s="43" t="s">
        <v>108</v>
      </c>
      <c r="AT23" s="43" t="s">
        <v>12</v>
      </c>
      <c r="AU23" t="s">
        <v>109</v>
      </c>
      <c r="AV23" t="s">
        <v>147</v>
      </c>
      <c r="AW23" s="43">
        <f>AM23</f>
        <v>1</v>
      </c>
      <c r="AX23" s="43">
        <f>AR23</f>
        <v>23750.7</v>
      </c>
      <c r="AY23" s="43">
        <f>AU23+AW23</f>
        <v>1</v>
      </c>
      <c r="AZ23" t="s">
        <v>147</v>
      </c>
      <c r="BA23" s="46"/>
      <c r="BB23" s="46" t="s">
        <v>111</v>
      </c>
      <c r="BC23" s="46" t="s">
        <v>112</v>
      </c>
      <c r="BD23" s="47" t="s">
        <v>113</v>
      </c>
      <c r="BE23" s="47" t="s">
        <v>114</v>
      </c>
      <c r="BF23" s="46"/>
      <c r="BG23" s="46"/>
      <c r="BH23" s="46"/>
      <c r="BI23" s="43"/>
      <c r="BJ23" s="43"/>
      <c r="BK23" s="43"/>
      <c r="BL23" s="43" t="s">
        <v>115</v>
      </c>
      <c r="BM23" t="s">
        <v>148</v>
      </c>
      <c r="BN23" t="s">
        <v>149</v>
      </c>
      <c r="BO23" s="43">
        <f>ROUND((((AW23*AZ23)+(BN23*BM23))/(AW23+BN23)),5)</f>
        <v>21010.28921</v>
      </c>
      <c r="BP23" s="48">
        <f>BN23+AW23</f>
        <v>21.677</v>
      </c>
      <c r="BQ23" s="49">
        <v>88363222</v>
      </c>
    </row>
    <row r="24" spans="1:69">
      <c r="A24" s="32"/>
      <c r="B24" s="33"/>
      <c r="C24" s="33"/>
      <c r="D24" s="50" t="s">
        <v>41</v>
      </c>
      <c r="E24" s="50"/>
      <c r="F24" s="50"/>
      <c r="G24" s="50"/>
      <c r="H24" s="50">
        <f>SUM(H23:H23)</f>
        <v>300</v>
      </c>
      <c r="I24" s="32"/>
      <c r="J24" s="32"/>
      <c r="K24" s="32"/>
      <c r="L24" s="32"/>
      <c r="M24" s="32"/>
      <c r="N24" s="32"/>
      <c r="O24" s="32"/>
      <c r="P24" s="32"/>
      <c r="Q24" s="32"/>
      <c r="R24" s="50">
        <f t="shared" ref="R24:Y24" si="1">SUM(R23:R23)</f>
        <v>20.58</v>
      </c>
      <c r="S24" s="51">
        <f t="shared" si="1"/>
        <v>279.42</v>
      </c>
      <c r="T24" s="50"/>
      <c r="U24" s="50"/>
      <c r="V24" s="52">
        <f t="shared" si="1"/>
        <v>0</v>
      </c>
      <c r="W24" s="52">
        <f t="shared" si="1"/>
        <v>0</v>
      </c>
      <c r="X24" s="52">
        <f t="shared" si="1"/>
        <v>0</v>
      </c>
      <c r="Y24" s="52">
        <f t="shared" si="1"/>
        <v>0</v>
      </c>
      <c r="Z24" s="52"/>
      <c r="AA24" s="52">
        <f t="shared" ref="AA24:AE24" si="2">SUM(AA23:AA23)</f>
        <v>0</v>
      </c>
      <c r="AB24" s="50">
        <f t="shared" si="2"/>
        <v>0</v>
      </c>
      <c r="AC24" s="53">
        <f t="shared" si="2"/>
        <v>279.42</v>
      </c>
      <c r="AD24" s="54">
        <f t="shared" si="2"/>
        <v>120</v>
      </c>
      <c r="AE24" s="54">
        <f t="shared" si="2"/>
        <v>0</v>
      </c>
      <c r="AF24" s="53"/>
      <c r="AG24" s="54">
        <f t="shared" ref="AG24:AK24" si="3">SUM(AG23:AG23)</f>
        <v>0</v>
      </c>
      <c r="AH24" s="54">
        <f t="shared" si="3"/>
        <v>0</v>
      </c>
      <c r="AI24" s="54">
        <f t="shared" si="3"/>
        <v>23750.7</v>
      </c>
      <c r="AJ24" s="54">
        <f t="shared" si="3"/>
        <v>0</v>
      </c>
      <c r="AK24" s="54">
        <f t="shared" si="3"/>
        <v>0</v>
      </c>
      <c r="AL24" s="53"/>
      <c r="AM24" s="53"/>
      <c r="AN24" s="53"/>
      <c r="AO24" s="53"/>
      <c r="AP24" s="53"/>
      <c r="AQ24" s="53"/>
      <c r="AR24" s="53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F24" sqref="F24"/>
    </sheetView>
  </sheetViews>
  <sheetFormatPr defaultColWidth="8.70909090909091" defaultRowHeight="14.5"/>
  <cols>
    <col min="1" max="1" width="7.57272727272727" customWidth="1"/>
    <col min="2" max="3" width="28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6" width="2.57272727272727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40" t="s">
        <v>132</v>
      </c>
      <c r="AV22" s="40" t="s">
        <v>133</v>
      </c>
      <c r="AW22" s="40" t="s">
        <v>89</v>
      </c>
      <c r="AX22" s="40" t="s">
        <v>90</v>
      </c>
      <c r="AY22" s="40" t="s">
        <v>91</v>
      </c>
      <c r="AZ22" s="40" t="s">
        <v>104</v>
      </c>
      <c r="BA22" s="40" t="s">
        <v>92</v>
      </c>
      <c r="BB22" s="40" t="s">
        <v>93</v>
      </c>
      <c r="BC22" s="40" t="s">
        <v>94</v>
      </c>
      <c r="BD22" s="40" t="s">
        <v>95</v>
      </c>
      <c r="BE22" s="40" t="s">
        <v>96</v>
      </c>
      <c r="BF22" s="40" t="s">
        <v>97</v>
      </c>
      <c r="BG22" s="40" t="s">
        <v>98</v>
      </c>
      <c r="BH22" s="40" t="s">
        <v>99</v>
      </c>
      <c r="BI22" s="40" t="s">
        <v>100</v>
      </c>
      <c r="BJ22" s="40" t="s">
        <v>101</v>
      </c>
      <c r="BK22" s="40" t="s">
        <v>102</v>
      </c>
      <c r="BL22" s="40" t="s">
        <v>103</v>
      </c>
      <c r="BM22" s="40"/>
      <c r="BN22" s="40"/>
      <c r="BO22" s="40" t="s">
        <v>104</v>
      </c>
      <c r="BP22" s="40" t="s">
        <v>105</v>
      </c>
      <c r="BQ22" s="40" t="s">
        <v>63</v>
      </c>
    </row>
    <row r="23" s="1" customFormat="1" ht="15.25" spans="1:69">
      <c r="A23" s="28">
        <v>1</v>
      </c>
      <c r="B23" s="56" t="s">
        <v>150</v>
      </c>
      <c r="C23" s="56" t="s">
        <v>150</v>
      </c>
      <c r="D23" s="28" t="s">
        <v>12</v>
      </c>
      <c r="E23" s="28" t="s">
        <v>12</v>
      </c>
      <c r="F23" s="42">
        <v>3</v>
      </c>
      <c r="G23" s="42">
        <v>250</v>
      </c>
      <c r="H23" s="43">
        <f>F23*G23</f>
        <v>750</v>
      </c>
      <c r="I23" s="44">
        <v>1</v>
      </c>
      <c r="J23" s="43">
        <v>2</v>
      </c>
      <c r="K23" s="43">
        <v>4</v>
      </c>
      <c r="L23" s="43">
        <f>H23</f>
        <v>750</v>
      </c>
      <c r="M23" s="43">
        <f>ROUND(L23*I23%,2)</f>
        <v>7.5</v>
      </c>
      <c r="N23" s="43">
        <f>H23-M23</f>
        <v>742.5</v>
      </c>
      <c r="O23" s="43">
        <f>ROUND(N23*J23%,2)</f>
        <v>14.85</v>
      </c>
      <c r="P23" s="43">
        <f>ROUND(N23-O23,2)</f>
        <v>727.65</v>
      </c>
      <c r="Q23" s="43">
        <f>ROUND(P23*K23%,2)</f>
        <v>29.11</v>
      </c>
      <c r="R23" s="43">
        <f>M23+O23+Q23</f>
        <v>51.46</v>
      </c>
      <c r="S23" s="43">
        <f>(H23-R23)</f>
        <v>698.54</v>
      </c>
      <c r="T23" s="43" t="s">
        <v>107</v>
      </c>
      <c r="U23" s="45">
        <v>18</v>
      </c>
      <c r="V23" s="45">
        <f>IF(OR($C$21=1,$C$21=4),ROUND((((S23*U23)/100)/2),2),0)</f>
        <v>0</v>
      </c>
      <c r="W23" s="45">
        <f>IF($C$21=1,ROUND((((S23*U23)/100)/2),2),0)</f>
        <v>0</v>
      </c>
      <c r="X23" s="45">
        <f>IF($C$21=2,ROUND(((S23*U23)/100),2),0)</f>
        <v>0</v>
      </c>
      <c r="Y23" s="45">
        <f>IF($C$21=4,ROUND((((S23*U23)/100)/2),2),0)</f>
        <v>0</v>
      </c>
      <c r="Z23" s="45">
        <v>0</v>
      </c>
      <c r="AA23" s="45">
        <f>IF($C21=3,0,(S23*Z23)/100)</f>
        <v>0</v>
      </c>
      <c r="AB23" s="45">
        <f>V23+W23+X23+Y23+AA23</f>
        <v>0</v>
      </c>
      <c r="AC23" s="43">
        <f>IF($V21=1,S23+AB23,S23)</f>
        <v>698.54</v>
      </c>
      <c r="AD23" s="43">
        <v>120</v>
      </c>
      <c r="AE23" s="43">
        <f>IF($P$21=1,(S23/$S$24)*$E$35,AD23/$AD$24*$E$35)</f>
        <v>0</v>
      </c>
      <c r="AF23" s="43"/>
      <c r="AG23" s="43">
        <f>IF($P$21=1,(S23/$S$24)*$E$37,AD23/$AD$24*$E$37)</f>
        <v>0</v>
      </c>
      <c r="AH23" s="43">
        <f>IF($P$21=1,(S23/$S$24)*$E$37,AD23/$AD$24*$E$37)</f>
        <v>0</v>
      </c>
      <c r="AI23" s="43">
        <f>S23*$M$21</f>
        <v>59375.9</v>
      </c>
      <c r="AJ23" s="43">
        <f>IF($C$21=3,0,AG23+AH23)</f>
        <v>0</v>
      </c>
      <c r="AK23" s="43">
        <f>IF($C$21=3,AE23+AG23+AH23,0)</f>
        <v>0</v>
      </c>
      <c r="AL23" s="43">
        <v>3</v>
      </c>
      <c r="AM23" s="43">
        <f>F23/AL23</f>
        <v>1</v>
      </c>
      <c r="AN23" s="43">
        <f>AI23/AM23</f>
        <v>59375.9</v>
      </c>
      <c r="AO23" s="43">
        <f>AJ23/AM23</f>
        <v>0</v>
      </c>
      <c r="AP23" s="43">
        <f>AK23/AM23</f>
        <v>0</v>
      </c>
      <c r="AQ23" s="43" t="s">
        <v>12</v>
      </c>
      <c r="AR23" s="43">
        <f>AN23+AO23+AP23</f>
        <v>59375.9</v>
      </c>
      <c r="AS23" s="43" t="s">
        <v>108</v>
      </c>
      <c r="AT23" s="43" t="s">
        <v>12</v>
      </c>
      <c r="AU23" t="s">
        <v>109</v>
      </c>
      <c r="AV23" t="s">
        <v>147</v>
      </c>
      <c r="AW23" s="43">
        <f>AM23</f>
        <v>1</v>
      </c>
      <c r="AX23" s="43">
        <f>AR23</f>
        <v>59375.9</v>
      </c>
      <c r="AY23" s="43">
        <f>AU23+AW23</f>
        <v>1</v>
      </c>
      <c r="AZ23" t="s">
        <v>147</v>
      </c>
      <c r="BA23" s="46"/>
      <c r="BB23" s="46" t="s">
        <v>111</v>
      </c>
      <c r="BC23" s="46" t="s">
        <v>112</v>
      </c>
      <c r="BD23" s="47" t="s">
        <v>113</v>
      </c>
      <c r="BE23" s="47" t="s">
        <v>114</v>
      </c>
      <c r="BF23" s="46"/>
      <c r="BG23" s="46"/>
      <c r="BH23" s="46"/>
      <c r="BI23" s="43"/>
      <c r="BJ23" s="43"/>
      <c r="BK23" s="43"/>
      <c r="BL23" s="43" t="s">
        <v>115</v>
      </c>
      <c r="BM23" t="s">
        <v>151</v>
      </c>
      <c r="BN23" t="s">
        <v>152</v>
      </c>
      <c r="BO23" s="43">
        <f>ROUND((((AW23*AZ23)+(BN23*BM23))/(AW23+BN23)),5)</f>
        <v>24492.71658</v>
      </c>
      <c r="BP23" s="48">
        <f>BN23+AW23</f>
        <v>14.34</v>
      </c>
      <c r="BQ23" s="49">
        <v>88363222</v>
      </c>
    </row>
    <row r="24" spans="1:69">
      <c r="A24" s="32"/>
      <c r="B24" s="33"/>
      <c r="C24" s="33"/>
      <c r="D24" s="50" t="s">
        <v>41</v>
      </c>
      <c r="E24" s="50"/>
      <c r="F24" s="50"/>
      <c r="G24" s="50"/>
      <c r="H24" s="50">
        <f>SUM(H23:H23)</f>
        <v>750</v>
      </c>
      <c r="I24" s="32"/>
      <c r="J24" s="32"/>
      <c r="K24" s="32"/>
      <c r="L24" s="32"/>
      <c r="M24" s="32"/>
      <c r="N24" s="32"/>
      <c r="O24" s="32"/>
      <c r="P24" s="32"/>
      <c r="Q24" s="32"/>
      <c r="R24" s="50">
        <f t="shared" ref="R24:Y24" si="1">SUM(R23:R23)</f>
        <v>51.46</v>
      </c>
      <c r="S24" s="51">
        <f t="shared" si="1"/>
        <v>698.54</v>
      </c>
      <c r="T24" s="50"/>
      <c r="U24" s="50"/>
      <c r="V24" s="52">
        <f t="shared" si="1"/>
        <v>0</v>
      </c>
      <c r="W24" s="52">
        <f t="shared" si="1"/>
        <v>0</v>
      </c>
      <c r="X24" s="52">
        <f t="shared" si="1"/>
        <v>0</v>
      </c>
      <c r="Y24" s="52">
        <f t="shared" si="1"/>
        <v>0</v>
      </c>
      <c r="Z24" s="52"/>
      <c r="AA24" s="52">
        <f t="shared" ref="AA24:AE24" si="2">SUM(AA23:AA23)</f>
        <v>0</v>
      </c>
      <c r="AB24" s="50">
        <f t="shared" si="2"/>
        <v>0</v>
      </c>
      <c r="AC24" s="53">
        <f t="shared" si="2"/>
        <v>698.54</v>
      </c>
      <c r="AD24" s="54">
        <f t="shared" si="2"/>
        <v>120</v>
      </c>
      <c r="AE24" s="54">
        <f t="shared" si="2"/>
        <v>0</v>
      </c>
      <c r="AF24" s="53"/>
      <c r="AG24" s="54">
        <f t="shared" ref="AG24:AK24" si="3">SUM(AG23:AG23)</f>
        <v>0</v>
      </c>
      <c r="AH24" s="54">
        <f t="shared" si="3"/>
        <v>0</v>
      </c>
      <c r="AI24" s="54">
        <f t="shared" si="3"/>
        <v>59375.9</v>
      </c>
      <c r="AJ24" s="54">
        <f t="shared" si="3"/>
        <v>0</v>
      </c>
      <c r="AK24" s="54">
        <f t="shared" si="3"/>
        <v>0</v>
      </c>
      <c r="AL24" s="53"/>
      <c r="AM24" s="53"/>
      <c r="AN24" s="53"/>
      <c r="AO24" s="53"/>
      <c r="AP24" s="53"/>
      <c r="AQ24" s="53"/>
      <c r="AR24" s="53"/>
      <c r="AS24" s="32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abSelected="1" topLeftCell="C12" workbookViewId="0">
      <selection activeCell="F31" sqref="F31"/>
    </sheetView>
  </sheetViews>
  <sheetFormatPr defaultColWidth="8.70909090909091" defaultRowHeight="14.5"/>
  <cols>
    <col min="1" max="1" width="7.57272727272727" customWidth="1"/>
    <col min="2" max="3" width="27.5727272727273" customWidth="1"/>
    <col min="4" max="4" width="79.4272727272727" customWidth="1"/>
    <col min="5" max="5" width="11.5727272727273" customWidth="1"/>
    <col min="6" max="6" width="24.145454545454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4" width="6.14545454545455" customWidth="1"/>
    <col min="25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9.28181818181818" customWidth="1"/>
    <col min="46" max="46" width="13" customWidth="1"/>
    <col min="47" max="47" width="12.4272727272727" customWidth="1"/>
    <col min="48" max="48" width="18.8545454545455" customWidth="1"/>
    <col min="49" max="49" width="14.5727272727273" customWidth="1"/>
    <col min="50" max="50" width="19.4272727272727" customWidth="1"/>
    <col min="51" max="51" width="16.2818181818182" customWidth="1"/>
    <col min="52" max="52" width="22.7181818181818" customWidth="1"/>
    <col min="53" max="53" width="21.7181818181818" customWidth="1"/>
    <col min="54" max="54" width="23.2818181818182" customWidth="1"/>
    <col min="55" max="55" width="18.2818181818182" customWidth="1"/>
    <col min="56" max="56" width="16" customWidth="1"/>
    <col min="57" max="58" width="19.1454545454545" customWidth="1"/>
    <col min="59" max="59" width="15.5727272727273" customWidth="1"/>
    <col min="60" max="61" width="14.7181818181818" customWidth="1"/>
    <col min="62" max="62" width="25.4272727272727" customWidth="1"/>
    <col min="63" max="63" width="35.4272727272727" customWidth="1"/>
    <col min="64" max="64" width="9.42727272727273" customWidth="1"/>
    <col min="65" max="66" width="2.57272727272727" customWidth="1"/>
    <col min="67" max="67" width="22.7181818181818" customWidth="1"/>
    <col min="68" max="68" width="40.8545454545455" customWidth="1"/>
    <col min="69" max="69" width="9.57272727272727" customWidth="1"/>
  </cols>
  <sheetData>
    <row r="1" ht="18.5" spans="1:69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3"/>
      <c r="AS1" s="3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</row>
    <row r="2" ht="19.25" spans="1:69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3"/>
      <c r="AS2" s="3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</row>
    <row r="3" ht="15.25" spans="1:69">
      <c r="A3" s="5" t="s">
        <v>2</v>
      </c>
      <c r="B3" s="6" t="s">
        <v>3</v>
      </c>
      <c r="C3" s="7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8" t="s">
        <v>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3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</row>
    <row r="4" spans="1:69">
      <c r="A4" s="10">
        <v>1</v>
      </c>
      <c r="B4" s="11" t="s">
        <v>10</v>
      </c>
      <c r="C4" s="11" t="s">
        <v>11</v>
      </c>
      <c r="D4" s="11" t="s">
        <v>12</v>
      </c>
      <c r="E4" s="11" t="s">
        <v>12</v>
      </c>
      <c r="F4" s="12">
        <v>25</v>
      </c>
      <c r="G4" s="13">
        <v>257.63</v>
      </c>
      <c r="H4" s="14">
        <f t="shared" ref="H4:H18" si="0">F4*G4</f>
        <v>6440.75</v>
      </c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5"/>
      <c r="V4" s="15"/>
      <c r="W4" s="15"/>
      <c r="X4" s="15"/>
      <c r="Y4" s="15"/>
      <c r="Z4" s="15"/>
      <c r="AA4" s="15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3"/>
      <c r="AT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O4" s="4"/>
      <c r="BP4" s="4"/>
      <c r="BQ4" s="4"/>
    </row>
    <row r="5" spans="1:69">
      <c r="A5" s="10">
        <v>2</v>
      </c>
      <c r="B5" s="11" t="s">
        <v>13</v>
      </c>
      <c r="C5" s="11" t="s">
        <v>14</v>
      </c>
      <c r="D5" s="11" t="s">
        <v>12</v>
      </c>
      <c r="E5" s="11" t="s">
        <v>12</v>
      </c>
      <c r="F5" s="12">
        <v>35</v>
      </c>
      <c r="G5" s="13">
        <v>125.45</v>
      </c>
      <c r="H5" s="14">
        <f t="shared" si="0"/>
        <v>4390.75</v>
      </c>
      <c r="I5" s="15"/>
      <c r="J5" s="15"/>
      <c r="K5" s="15"/>
      <c r="L5" s="16"/>
      <c r="M5" s="16"/>
      <c r="N5" s="16"/>
      <c r="O5" s="16"/>
      <c r="P5" s="16"/>
      <c r="Q5" s="16"/>
      <c r="R5" s="16"/>
      <c r="S5" s="16"/>
      <c r="T5" s="16"/>
      <c r="U5" s="15"/>
      <c r="V5" s="15"/>
      <c r="W5" s="15"/>
      <c r="X5" s="15"/>
      <c r="Y5" s="15"/>
      <c r="Z5" s="15"/>
      <c r="AA5" s="15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3"/>
      <c r="AT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O5" s="4"/>
      <c r="BP5" s="4"/>
      <c r="BQ5" s="4"/>
    </row>
    <row r="6" spans="1:69">
      <c r="A6" s="10">
        <v>3</v>
      </c>
      <c r="B6" s="11" t="s">
        <v>15</v>
      </c>
      <c r="C6" s="11" t="s">
        <v>16</v>
      </c>
      <c r="D6" s="11" t="s">
        <v>12</v>
      </c>
      <c r="E6" s="11" t="s">
        <v>12</v>
      </c>
      <c r="F6" s="12">
        <v>45</v>
      </c>
      <c r="G6" s="13">
        <v>125.36</v>
      </c>
      <c r="H6" s="14">
        <f t="shared" si="0"/>
        <v>5641.2</v>
      </c>
      <c r="I6" s="15"/>
      <c r="J6" s="15"/>
      <c r="K6" s="15"/>
      <c r="L6" s="16"/>
      <c r="M6" s="16"/>
      <c r="N6" s="16"/>
      <c r="O6" s="16"/>
      <c r="P6" s="16"/>
      <c r="Q6" s="16"/>
      <c r="R6" s="16"/>
      <c r="S6" s="16"/>
      <c r="T6" s="16"/>
      <c r="U6" s="15"/>
      <c r="V6" s="15"/>
      <c r="W6" s="15"/>
      <c r="X6" s="15"/>
      <c r="Y6" s="15"/>
      <c r="Z6" s="15"/>
      <c r="AA6" s="15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3"/>
      <c r="AT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O6" s="4"/>
      <c r="BP6" s="4"/>
      <c r="BQ6" s="4"/>
    </row>
    <row r="7" spans="1:69">
      <c r="A7" s="10">
        <v>4</v>
      </c>
      <c r="B7" s="11" t="s">
        <v>17</v>
      </c>
      <c r="C7" s="11" t="s">
        <v>18</v>
      </c>
      <c r="D7" s="11" t="s">
        <v>12</v>
      </c>
      <c r="E7" s="11" t="s">
        <v>12</v>
      </c>
      <c r="F7" s="12">
        <v>55</v>
      </c>
      <c r="G7" s="13">
        <v>45.25</v>
      </c>
      <c r="H7" s="14">
        <f t="shared" si="0"/>
        <v>2488.75</v>
      </c>
      <c r="I7" s="15"/>
      <c r="J7" s="15"/>
      <c r="K7" s="15"/>
      <c r="L7" s="16"/>
      <c r="M7" s="16"/>
      <c r="N7" s="16"/>
      <c r="O7" s="16"/>
      <c r="P7" s="16"/>
      <c r="Q7" s="16"/>
      <c r="R7" s="16"/>
      <c r="S7" s="16"/>
      <c r="T7" s="16"/>
      <c r="U7" s="15"/>
      <c r="V7" s="15"/>
      <c r="W7" s="15"/>
      <c r="X7" s="15"/>
      <c r="Y7" s="15"/>
      <c r="Z7" s="15"/>
      <c r="AA7" s="15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3"/>
      <c r="AT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O7" s="4"/>
      <c r="BP7" s="4"/>
      <c r="BQ7" s="4"/>
    </row>
    <row r="8" spans="1:69">
      <c r="A8" s="10">
        <v>5</v>
      </c>
      <c r="B8" s="11" t="s">
        <v>19</v>
      </c>
      <c r="C8" s="11" t="s">
        <v>20</v>
      </c>
      <c r="D8" s="11" t="s">
        <v>12</v>
      </c>
      <c r="E8" s="11" t="s">
        <v>12</v>
      </c>
      <c r="F8" s="12">
        <v>60</v>
      </c>
      <c r="G8" s="13">
        <v>45.5</v>
      </c>
      <c r="H8" s="14">
        <f t="shared" si="0"/>
        <v>2730</v>
      </c>
      <c r="I8" s="15"/>
      <c r="J8" s="15"/>
      <c r="K8" s="15"/>
      <c r="L8" s="16"/>
      <c r="M8" s="16"/>
      <c r="N8" s="16"/>
      <c r="O8" s="16"/>
      <c r="P8" s="16"/>
      <c r="Q8" s="16"/>
      <c r="R8" s="16"/>
      <c r="S8" s="16"/>
      <c r="T8" s="16"/>
      <c r="U8" s="15"/>
      <c r="V8" s="15"/>
      <c r="W8" s="15"/>
      <c r="X8" s="15"/>
      <c r="Y8" s="15"/>
      <c r="Z8" s="15"/>
      <c r="AA8" s="15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3"/>
      <c r="AT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O8" s="4"/>
      <c r="BP8" s="4"/>
      <c r="BQ8" s="4"/>
    </row>
    <row r="9" spans="1:69">
      <c r="A9" s="10">
        <v>6</v>
      </c>
      <c r="B9" s="11" t="s">
        <v>21</v>
      </c>
      <c r="C9" s="11" t="s">
        <v>22</v>
      </c>
      <c r="D9" s="11" t="s">
        <v>12</v>
      </c>
      <c r="E9" s="11" t="s">
        <v>12</v>
      </c>
      <c r="F9" s="12">
        <v>75</v>
      </c>
      <c r="G9" s="13">
        <v>125.25</v>
      </c>
      <c r="H9" s="14">
        <f t="shared" si="0"/>
        <v>9393.75</v>
      </c>
      <c r="I9" s="15"/>
      <c r="J9" s="15"/>
      <c r="K9" s="15"/>
      <c r="L9" s="16"/>
      <c r="M9" s="16"/>
      <c r="N9" s="16"/>
      <c r="O9" s="16"/>
      <c r="P9" s="16"/>
      <c r="Q9" s="16"/>
      <c r="R9" s="16"/>
      <c r="S9" s="16"/>
      <c r="T9" s="16"/>
      <c r="U9" s="15"/>
      <c r="V9" s="15"/>
      <c r="W9" s="15"/>
      <c r="X9" s="15"/>
      <c r="Y9" s="15"/>
      <c r="Z9" s="15"/>
      <c r="AA9" s="15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3"/>
      <c r="AT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O9" s="4"/>
      <c r="BP9" s="4"/>
      <c r="BQ9" s="4"/>
    </row>
    <row r="10" spans="1:69">
      <c r="A10" s="10">
        <v>7</v>
      </c>
      <c r="B10" s="11" t="s">
        <v>23</v>
      </c>
      <c r="C10" s="11" t="s">
        <v>24</v>
      </c>
      <c r="D10" s="11" t="s">
        <v>12</v>
      </c>
      <c r="E10" s="11" t="s">
        <v>12</v>
      </c>
      <c r="F10" s="12">
        <v>28</v>
      </c>
      <c r="G10" s="13">
        <v>150.5</v>
      </c>
      <c r="H10" s="14">
        <f t="shared" si="0"/>
        <v>4214</v>
      </c>
      <c r="I10" s="15"/>
      <c r="J10" s="15"/>
      <c r="K10" s="15"/>
      <c r="L10" s="16"/>
      <c r="M10" s="16"/>
      <c r="N10" s="16"/>
      <c r="O10" s="16"/>
      <c r="P10" s="16"/>
      <c r="Q10" s="16"/>
      <c r="R10" s="16"/>
      <c r="S10" s="16"/>
      <c r="T10" s="16"/>
      <c r="U10" s="15"/>
      <c r="V10" s="15"/>
      <c r="W10" s="15"/>
      <c r="X10" s="15"/>
      <c r="Y10" s="15"/>
      <c r="Z10" s="15"/>
      <c r="AA10" s="15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3"/>
      <c r="AT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O10" s="4"/>
      <c r="BP10" s="4"/>
      <c r="BQ10" s="4"/>
    </row>
    <row r="11" spans="1:69">
      <c r="A11" s="10">
        <v>8</v>
      </c>
      <c r="B11" s="11" t="s">
        <v>25</v>
      </c>
      <c r="C11" s="11" t="s">
        <v>26</v>
      </c>
      <c r="D11" s="11" t="s">
        <v>12</v>
      </c>
      <c r="E11" s="11" t="s">
        <v>12</v>
      </c>
      <c r="F11" s="12">
        <v>30</v>
      </c>
      <c r="G11" s="13">
        <v>65.32</v>
      </c>
      <c r="H11" s="14">
        <f t="shared" si="0"/>
        <v>1959.6</v>
      </c>
      <c r="I11" s="15"/>
      <c r="J11" s="15"/>
      <c r="K11" s="15"/>
      <c r="L11" s="16"/>
      <c r="M11" s="16"/>
      <c r="N11" s="16"/>
      <c r="O11" s="16"/>
      <c r="P11" s="16"/>
      <c r="Q11" s="16"/>
      <c r="R11" s="16"/>
      <c r="S11" s="16"/>
      <c r="T11" s="16"/>
      <c r="U11" s="15"/>
      <c r="V11" s="15"/>
      <c r="W11" s="15"/>
      <c r="X11" s="15"/>
      <c r="Y11" s="15"/>
      <c r="Z11" s="15"/>
      <c r="AA11" s="15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3"/>
      <c r="AT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O11" s="4"/>
      <c r="BP11" s="4"/>
      <c r="BQ11" s="4"/>
    </row>
    <row r="12" spans="1:69">
      <c r="A12" s="10">
        <v>9</v>
      </c>
      <c r="B12" s="11" t="s">
        <v>27</v>
      </c>
      <c r="C12" s="11" t="s">
        <v>28</v>
      </c>
      <c r="D12" s="11" t="s">
        <v>12</v>
      </c>
      <c r="E12" s="11" t="s">
        <v>12</v>
      </c>
      <c r="F12" s="12">
        <v>25</v>
      </c>
      <c r="G12" s="13">
        <v>74.89</v>
      </c>
      <c r="H12" s="14">
        <f t="shared" si="0"/>
        <v>1872.25</v>
      </c>
      <c r="I12" s="15"/>
      <c r="J12" s="15"/>
      <c r="K12" s="15"/>
      <c r="L12" s="16"/>
      <c r="M12" s="16"/>
      <c r="N12" s="16"/>
      <c r="O12" s="16"/>
      <c r="P12" s="16"/>
      <c r="Q12" s="16"/>
      <c r="R12" s="16"/>
      <c r="S12" s="16"/>
      <c r="T12" s="16"/>
      <c r="U12" s="15"/>
      <c r="V12" s="15"/>
      <c r="W12" s="15"/>
      <c r="X12" s="15"/>
      <c r="Y12" s="15"/>
      <c r="Z12" s="15"/>
      <c r="AA12" s="15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3"/>
      <c r="AT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O12" s="4"/>
      <c r="BP12" s="4"/>
      <c r="BQ12" s="4"/>
    </row>
    <row r="13" spans="1:69">
      <c r="A13" s="10">
        <v>10</v>
      </c>
      <c r="B13" s="11" t="s">
        <v>29</v>
      </c>
      <c r="C13" s="11" t="s">
        <v>30</v>
      </c>
      <c r="D13" s="11" t="s">
        <v>12</v>
      </c>
      <c r="E13" s="11" t="s">
        <v>12</v>
      </c>
      <c r="F13" s="12">
        <v>28</v>
      </c>
      <c r="G13" s="13">
        <v>89.56</v>
      </c>
      <c r="H13" s="14">
        <f t="shared" si="0"/>
        <v>2507.68</v>
      </c>
      <c r="I13" s="15"/>
      <c r="J13" s="15"/>
      <c r="K13" s="15"/>
      <c r="L13" s="16"/>
      <c r="M13" s="16"/>
      <c r="N13" s="16"/>
      <c r="O13" s="16"/>
      <c r="P13" s="16"/>
      <c r="Q13" s="16"/>
      <c r="R13" s="16"/>
      <c r="S13" s="16"/>
      <c r="T13" s="16"/>
      <c r="U13" s="15"/>
      <c r="V13" s="15"/>
      <c r="W13" s="15"/>
      <c r="X13" s="15"/>
      <c r="Y13" s="15"/>
      <c r="Z13" s="15"/>
      <c r="AA13" s="15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3"/>
      <c r="AT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O13" s="4"/>
      <c r="BP13" s="4"/>
      <c r="BQ13" s="4"/>
    </row>
    <row r="14" spans="1:69">
      <c r="A14" s="10">
        <v>11</v>
      </c>
      <c r="B14" s="11" t="s">
        <v>31</v>
      </c>
      <c r="C14" s="11" t="s">
        <v>32</v>
      </c>
      <c r="D14" s="11" t="s">
        <v>12</v>
      </c>
      <c r="E14" s="11" t="s">
        <v>12</v>
      </c>
      <c r="F14" s="12">
        <v>37</v>
      </c>
      <c r="G14" s="13">
        <v>89.54</v>
      </c>
      <c r="H14" s="14">
        <f t="shared" si="0"/>
        <v>3312.98</v>
      </c>
      <c r="I14" s="15"/>
      <c r="J14" s="15"/>
      <c r="K14" s="15"/>
      <c r="L14" s="16"/>
      <c r="M14" s="16"/>
      <c r="N14" s="16"/>
      <c r="O14" s="16"/>
      <c r="P14" s="16"/>
      <c r="Q14" s="16"/>
      <c r="R14" s="16"/>
      <c r="S14" s="16"/>
      <c r="T14" s="16"/>
      <c r="U14" s="15"/>
      <c r="V14" s="15"/>
      <c r="W14" s="15"/>
      <c r="X14" s="15"/>
      <c r="Y14" s="15"/>
      <c r="Z14" s="15"/>
      <c r="AA14" s="15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3"/>
      <c r="AT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O14" s="4"/>
      <c r="BP14" s="4"/>
      <c r="BQ14" s="4"/>
    </row>
    <row r="15" spans="1:69">
      <c r="A15" s="10">
        <v>12</v>
      </c>
      <c r="B15" s="11" t="s">
        <v>33</v>
      </c>
      <c r="C15" s="11" t="s">
        <v>34</v>
      </c>
      <c r="D15" s="11" t="s">
        <v>12</v>
      </c>
      <c r="E15" s="11" t="s">
        <v>12</v>
      </c>
      <c r="F15" s="12">
        <v>39</v>
      </c>
      <c r="G15" s="13">
        <v>98.25</v>
      </c>
      <c r="H15" s="14">
        <f t="shared" si="0"/>
        <v>3831.75</v>
      </c>
      <c r="I15" s="15"/>
      <c r="J15" s="15"/>
      <c r="K15" s="15"/>
      <c r="L15" s="16"/>
      <c r="M15" s="16"/>
      <c r="N15" s="16"/>
      <c r="O15" s="16"/>
      <c r="P15" s="16"/>
      <c r="Q15" s="16"/>
      <c r="R15" s="16"/>
      <c r="S15" s="16"/>
      <c r="T15" s="16"/>
      <c r="U15" s="15"/>
      <c r="V15" s="15"/>
      <c r="W15" s="15"/>
      <c r="X15" s="15"/>
      <c r="Y15" s="15"/>
      <c r="Z15" s="15"/>
      <c r="AA15" s="15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3"/>
      <c r="AT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O15" s="4"/>
      <c r="BP15" s="4"/>
      <c r="BQ15" s="4"/>
    </row>
    <row r="16" spans="1:69">
      <c r="A16" s="10">
        <v>13</v>
      </c>
      <c r="B16" s="11" t="s">
        <v>35</v>
      </c>
      <c r="C16" s="11" t="s">
        <v>36</v>
      </c>
      <c r="D16" s="11" t="s">
        <v>12</v>
      </c>
      <c r="E16" s="11" t="s">
        <v>12</v>
      </c>
      <c r="F16" s="12">
        <v>70</v>
      </c>
      <c r="G16" s="13">
        <v>102.25</v>
      </c>
      <c r="H16" s="14">
        <f t="shared" si="0"/>
        <v>7157.5</v>
      </c>
      <c r="I16" s="15"/>
      <c r="J16" s="15"/>
      <c r="K16" s="15"/>
      <c r="L16" s="16"/>
      <c r="M16" s="16"/>
      <c r="N16" s="16"/>
      <c r="O16" s="16"/>
      <c r="P16" s="16"/>
      <c r="Q16" s="16"/>
      <c r="R16" s="16"/>
      <c r="S16" s="16"/>
      <c r="T16" s="16"/>
      <c r="U16" s="15"/>
      <c r="V16" s="15"/>
      <c r="W16" s="15"/>
      <c r="X16" s="15"/>
      <c r="Y16" s="15"/>
      <c r="Z16" s="15"/>
      <c r="AA16" s="15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"/>
      <c r="AT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O16" s="4"/>
      <c r="BP16" s="4"/>
      <c r="BQ16" s="4"/>
    </row>
    <row r="17" spans="1:69">
      <c r="A17" s="10">
        <v>14</v>
      </c>
      <c r="B17" s="11" t="s">
        <v>37</v>
      </c>
      <c r="C17" s="11" t="s">
        <v>38</v>
      </c>
      <c r="D17" s="11" t="s">
        <v>12</v>
      </c>
      <c r="E17" s="11" t="s">
        <v>12</v>
      </c>
      <c r="F17" s="12">
        <v>100</v>
      </c>
      <c r="G17" s="13">
        <v>103.5</v>
      </c>
      <c r="H17" s="14">
        <f t="shared" si="0"/>
        <v>10350</v>
      </c>
      <c r="I17" s="15"/>
      <c r="J17" s="15"/>
      <c r="K17" s="15"/>
      <c r="L17" s="16"/>
      <c r="M17" s="16"/>
      <c r="N17" s="16"/>
      <c r="O17" s="16"/>
      <c r="P17" s="16"/>
      <c r="Q17" s="16"/>
      <c r="R17" s="16"/>
      <c r="S17" s="17"/>
      <c r="T17" s="16"/>
      <c r="U17" s="15"/>
      <c r="V17" s="15"/>
      <c r="W17" s="15"/>
      <c r="X17" s="15"/>
      <c r="Y17" s="15"/>
      <c r="Z17" s="15"/>
      <c r="AA17" s="15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3"/>
      <c r="AT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O17" s="4"/>
      <c r="BP17" s="4"/>
      <c r="BQ17" s="4"/>
    </row>
    <row r="18" ht="15.25" spans="1:69">
      <c r="A18" s="18">
        <v>15</v>
      </c>
      <c r="B18" s="19" t="s">
        <v>39</v>
      </c>
      <c r="C18" s="19" t="s">
        <v>40</v>
      </c>
      <c r="D18" s="19" t="s">
        <v>12</v>
      </c>
      <c r="E18" s="19" t="s">
        <v>12</v>
      </c>
      <c r="F18" s="20">
        <v>85</v>
      </c>
      <c r="G18" s="21">
        <v>65.48</v>
      </c>
      <c r="H18" s="22">
        <f t="shared" si="0"/>
        <v>5565.8</v>
      </c>
      <c r="I18" s="15"/>
      <c r="J18" s="15"/>
      <c r="K18" s="15"/>
      <c r="L18" s="16"/>
      <c r="M18" s="16"/>
      <c r="N18" s="16"/>
      <c r="O18" s="16"/>
      <c r="P18" s="16"/>
      <c r="Q18" s="16"/>
      <c r="R18" s="16"/>
      <c r="S18" s="16"/>
      <c r="T18" s="16"/>
      <c r="U18" s="15"/>
      <c r="V18" s="15"/>
      <c r="W18" s="15"/>
      <c r="X18" s="15"/>
      <c r="Y18" s="15"/>
      <c r="Z18" s="15"/>
      <c r="AA18" s="15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3"/>
      <c r="AT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O18" s="4"/>
      <c r="BP18" s="4"/>
      <c r="BQ18" s="4"/>
    </row>
    <row r="19" ht="15.25" spans="1:69">
      <c r="A19" s="3"/>
      <c r="B19" s="23" t="s">
        <v>41</v>
      </c>
      <c r="C19" s="23"/>
      <c r="D19" s="23"/>
      <c r="E19" s="23"/>
      <c r="F19" s="23"/>
      <c r="G19" s="23"/>
      <c r="H19" s="24">
        <f>SUM(H4:H18)</f>
        <v>71856.76</v>
      </c>
      <c r="I19" s="25"/>
      <c r="J19" s="25"/>
      <c r="K19" s="25"/>
      <c r="L19" s="25"/>
      <c r="M19" s="25"/>
      <c r="N19" s="25"/>
      <c r="O19" s="25"/>
      <c r="P19" s="25"/>
      <c r="Q19" s="25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3"/>
      <c r="AT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O19" s="4"/>
      <c r="BP19" s="4"/>
      <c r="BQ19" s="4"/>
    </row>
    <row r="20" spans="1:69">
      <c r="A20" s="26" t="s">
        <v>42</v>
      </c>
      <c r="B20" s="27"/>
      <c r="C20" s="27"/>
      <c r="D20" s="27"/>
      <c r="E20" s="27"/>
      <c r="F20" s="27"/>
      <c r="G20" s="27"/>
      <c r="H20" s="26"/>
      <c r="I20" s="25"/>
      <c r="J20" s="25"/>
      <c r="K20" s="25"/>
      <c r="L20" s="25"/>
      <c r="M20" s="25"/>
      <c r="N20" s="25"/>
      <c r="O20" s="25"/>
      <c r="P20" s="25"/>
      <c r="Q20" s="25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3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</row>
    <row r="21" spans="1:69">
      <c r="A21" s="28" t="s">
        <v>43</v>
      </c>
      <c r="B21" s="28"/>
      <c r="C21" s="29">
        <v>3</v>
      </c>
      <c r="D21" s="30" t="s">
        <v>44</v>
      </c>
      <c r="E21" s="29"/>
      <c r="F21" s="29"/>
      <c r="G21" s="29"/>
      <c r="H21" s="31"/>
      <c r="I21" s="32" t="s">
        <v>45</v>
      </c>
      <c r="J21" s="32" t="s">
        <v>46</v>
      </c>
      <c r="K21" s="32"/>
      <c r="L21" s="32" t="s">
        <v>47</v>
      </c>
      <c r="M21" s="32">
        <v>85</v>
      </c>
      <c r="N21" s="32"/>
      <c r="O21" s="32" t="s">
        <v>48</v>
      </c>
      <c r="P21" s="32">
        <v>1</v>
      </c>
      <c r="Q21" s="32" t="s">
        <v>49</v>
      </c>
      <c r="R21" s="31"/>
      <c r="S21" s="31"/>
      <c r="T21" s="31"/>
      <c r="U21" s="31"/>
      <c r="V21" s="31">
        <v>1</v>
      </c>
      <c r="W21" s="31" t="s">
        <v>50</v>
      </c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2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="1" customFormat="1" ht="15.25" spans="1:69">
      <c r="A22" s="34" t="s">
        <v>2</v>
      </c>
      <c r="B22" s="34" t="s">
        <v>3</v>
      </c>
      <c r="C22" s="34" t="s">
        <v>4</v>
      </c>
      <c r="D22" s="34" t="s">
        <v>5</v>
      </c>
      <c r="E22" s="34" t="s">
        <v>6</v>
      </c>
      <c r="F22" s="34" t="s">
        <v>51</v>
      </c>
      <c r="G22" s="34" t="s">
        <v>8</v>
      </c>
      <c r="H22" s="34" t="s">
        <v>9</v>
      </c>
      <c r="I22" s="35" t="s">
        <v>52</v>
      </c>
      <c r="J22" s="35" t="s">
        <v>53</v>
      </c>
      <c r="K22" s="35" t="s">
        <v>54</v>
      </c>
      <c r="L22" s="36" t="s">
        <v>55</v>
      </c>
      <c r="M22" s="36" t="s">
        <v>56</v>
      </c>
      <c r="N22" s="36" t="s">
        <v>57</v>
      </c>
      <c r="O22" s="36" t="s">
        <v>58</v>
      </c>
      <c r="P22" s="36" t="s">
        <v>59</v>
      </c>
      <c r="Q22" s="36" t="s">
        <v>60</v>
      </c>
      <c r="R22" s="35" t="s">
        <v>61</v>
      </c>
      <c r="S22" s="34" t="s">
        <v>62</v>
      </c>
      <c r="T22" s="34" t="s">
        <v>63</v>
      </c>
      <c r="U22" s="37" t="s">
        <v>64</v>
      </c>
      <c r="V22" s="37" t="s">
        <v>65</v>
      </c>
      <c r="W22" s="37" t="s">
        <v>66</v>
      </c>
      <c r="X22" s="37" t="s">
        <v>67</v>
      </c>
      <c r="Y22" s="37" t="s">
        <v>68</v>
      </c>
      <c r="Z22" s="37" t="s">
        <v>69</v>
      </c>
      <c r="AA22" s="37" t="s">
        <v>70</v>
      </c>
      <c r="AB22" s="37" t="s">
        <v>71</v>
      </c>
      <c r="AC22" s="38" t="s">
        <v>72</v>
      </c>
      <c r="AD22" s="38" t="s">
        <v>73</v>
      </c>
      <c r="AE22" s="38" t="s">
        <v>74</v>
      </c>
      <c r="AF22" s="38" t="s">
        <v>75</v>
      </c>
      <c r="AG22" s="38" t="s">
        <v>76</v>
      </c>
      <c r="AH22" s="38" t="s">
        <v>77</v>
      </c>
      <c r="AI22" s="38" t="s">
        <v>78</v>
      </c>
      <c r="AJ22" s="38" t="s">
        <v>79</v>
      </c>
      <c r="AK22" s="38" t="s">
        <v>80</v>
      </c>
      <c r="AL22" s="38" t="s">
        <v>81</v>
      </c>
      <c r="AM22" s="38" t="s">
        <v>82</v>
      </c>
      <c r="AN22" s="38" t="s">
        <v>83</v>
      </c>
      <c r="AO22" s="38" t="s">
        <v>84</v>
      </c>
      <c r="AP22" s="38" t="s">
        <v>85</v>
      </c>
      <c r="AQ22" s="38" t="s">
        <v>86</v>
      </c>
      <c r="AR22" s="39" t="s">
        <v>87</v>
      </c>
      <c r="AS22" s="34" t="s">
        <v>88</v>
      </c>
      <c r="AT22" s="34" t="s">
        <v>86</v>
      </c>
      <c r="AU22" s="40" t="s">
        <v>132</v>
      </c>
      <c r="AV22" s="40" t="s">
        <v>133</v>
      </c>
      <c r="AW22" s="40" t="s">
        <v>89</v>
      </c>
      <c r="AX22" s="40" t="s">
        <v>90</v>
      </c>
      <c r="AY22" s="40" t="s">
        <v>91</v>
      </c>
      <c r="AZ22" s="40" t="s">
        <v>104</v>
      </c>
      <c r="BA22" s="40" t="s">
        <v>92</v>
      </c>
      <c r="BB22" s="40" t="s">
        <v>93</v>
      </c>
      <c r="BC22" s="40" t="s">
        <v>94</v>
      </c>
      <c r="BD22" s="40" t="s">
        <v>95</v>
      </c>
      <c r="BE22" s="40" t="s">
        <v>96</v>
      </c>
      <c r="BF22" s="40" t="s">
        <v>97</v>
      </c>
      <c r="BG22" s="40" t="s">
        <v>98</v>
      </c>
      <c r="BH22" s="40" t="s">
        <v>99</v>
      </c>
      <c r="BI22" s="40" t="s">
        <v>100</v>
      </c>
      <c r="BJ22" s="40" t="s">
        <v>101</v>
      </c>
      <c r="BK22" s="40" t="s">
        <v>102</v>
      </c>
      <c r="BL22" s="40" t="s">
        <v>103</v>
      </c>
      <c r="BM22" s="40"/>
      <c r="BN22" s="40"/>
      <c r="BO22" s="40" t="s">
        <v>104</v>
      </c>
      <c r="BP22" s="40" t="s">
        <v>105</v>
      </c>
      <c r="BQ22" s="40" t="s">
        <v>63</v>
      </c>
    </row>
    <row r="23" s="1" customFormat="1" ht="15.25" spans="1:69">
      <c r="A23" s="28">
        <v>1</v>
      </c>
      <c r="B23" s="41" t="s">
        <v>153</v>
      </c>
      <c r="C23" s="41" t="s">
        <v>153</v>
      </c>
      <c r="D23" s="28" t="s">
        <v>12</v>
      </c>
      <c r="E23" s="28" t="s">
        <v>12</v>
      </c>
      <c r="F23" s="42">
        <v>3</v>
      </c>
      <c r="G23" s="42">
        <v>250</v>
      </c>
      <c r="H23" s="43">
        <f>F23*G23</f>
        <v>750</v>
      </c>
      <c r="I23" s="44">
        <v>1</v>
      </c>
      <c r="J23" s="43">
        <v>2</v>
      </c>
      <c r="K23" s="43">
        <v>4</v>
      </c>
      <c r="L23" s="43">
        <f>H23</f>
        <v>750</v>
      </c>
      <c r="M23" s="43">
        <f>ROUND(L23*I23%,2)</f>
        <v>7.5</v>
      </c>
      <c r="N23" s="43">
        <f>H23-M23</f>
        <v>742.5</v>
      </c>
      <c r="O23" s="43">
        <f>ROUND(N23*J23%,2)</f>
        <v>14.85</v>
      </c>
      <c r="P23" s="43">
        <f>ROUND(N23-O23,2)</f>
        <v>727.65</v>
      </c>
      <c r="Q23" s="43">
        <f>ROUND(P23*K23%,2)</f>
        <v>29.11</v>
      </c>
      <c r="R23" s="43">
        <f>M23+O23+Q23</f>
        <v>51.46</v>
      </c>
      <c r="S23" s="43">
        <f>(H23-R23)</f>
        <v>698.54</v>
      </c>
      <c r="T23" s="43" t="s">
        <v>107</v>
      </c>
      <c r="U23" s="45">
        <v>18</v>
      </c>
      <c r="V23" s="45">
        <f>IF(OR($C$21=1,$C$21=4),ROUND((((S23*U23)/100)/2),2),0)</f>
        <v>0</v>
      </c>
      <c r="W23" s="45">
        <f>IF($C$21=1,ROUND((((S23*U23)/100)/2),2),0)</f>
        <v>0</v>
      </c>
      <c r="X23" s="45">
        <f>IF($C$21=2,ROUND(((S23*U23)/100),2),0)</f>
        <v>0</v>
      </c>
      <c r="Y23" s="45">
        <f>IF($C$21=4,ROUND((((S23*U23)/100)/2),2),0)</f>
        <v>0</v>
      </c>
      <c r="Z23" s="45">
        <v>0</v>
      </c>
      <c r="AA23" s="45">
        <f>IF($C21=3,0,(S23*Z23)/100)</f>
        <v>0</v>
      </c>
      <c r="AB23" s="45">
        <f>V23+W23+X23+Y23+AA23</f>
        <v>0</v>
      </c>
      <c r="AC23" s="43">
        <f>IF($V21=1,S23+AB23,S23)</f>
        <v>698.54</v>
      </c>
      <c r="AD23" s="43">
        <v>120</v>
      </c>
      <c r="AE23" s="43">
        <f>IF($P$21=1,(S23/$S$24)*$E$35,AD23/$AD$24*$E$35)</f>
        <v>0</v>
      </c>
      <c r="AF23" s="43"/>
      <c r="AG23" s="43">
        <f>IF($P$21=1,(S23/$S$24)*$E$37,AD23/$AD$24*$E$37)</f>
        <v>0</v>
      </c>
      <c r="AH23" s="43">
        <f>IF($P$21=1,(S23/$S$24)*$E$37,AD23/$AD$24*$E$37)</f>
        <v>0</v>
      </c>
      <c r="AI23" s="43">
        <f>S23*$M$21</f>
        <v>59375.9</v>
      </c>
      <c r="AJ23" s="43">
        <f>IF($C$21=3,0,AG23+AH23)</f>
        <v>0</v>
      </c>
      <c r="AK23" s="43">
        <f>IF($C$21=3,AE23+AG23+AH23,0)</f>
        <v>0</v>
      </c>
      <c r="AL23" s="43">
        <v>3</v>
      </c>
      <c r="AM23" s="43">
        <f>F23/AL23</f>
        <v>1</v>
      </c>
      <c r="AN23" s="43">
        <f>AI23/AM23</f>
        <v>59375.9</v>
      </c>
      <c r="AO23" s="43">
        <f>AJ23/AM23</f>
        <v>0</v>
      </c>
      <c r="AP23" s="43">
        <f>AK23/AM23</f>
        <v>0</v>
      </c>
      <c r="AQ23" s="43" t="s">
        <v>12</v>
      </c>
      <c r="AR23" s="43">
        <f>AN23+AO23+AP23</f>
        <v>59375.9</v>
      </c>
      <c r="AS23" s="43" t="s">
        <v>108</v>
      </c>
      <c r="AT23" s="43" t="s">
        <v>12</v>
      </c>
      <c r="AU23" t="s">
        <v>109</v>
      </c>
      <c r="AV23" t="s">
        <v>154</v>
      </c>
      <c r="AW23" s="43">
        <f>AM23</f>
        <v>1</v>
      </c>
      <c r="AX23" s="43">
        <f>AR23</f>
        <v>59375.9</v>
      </c>
      <c r="AY23" s="43">
        <f>AU23+AW23</f>
        <v>1</v>
      </c>
      <c r="AZ23" t="s">
        <v>154</v>
      </c>
      <c r="BA23" s="46"/>
      <c r="BB23" s="46" t="s">
        <v>111</v>
      </c>
      <c r="BC23" s="46" t="s">
        <v>112</v>
      </c>
      <c r="BD23" s="47" t="s">
        <v>113</v>
      </c>
      <c r="BE23" s="47" t="s">
        <v>114</v>
      </c>
      <c r="BF23" s="46"/>
      <c r="BG23" s="46"/>
      <c r="BH23" s="46"/>
      <c r="BI23" s="43"/>
      <c r="BJ23" s="43"/>
      <c r="BK23" s="43"/>
      <c r="BL23" s="43" t="s">
        <v>115</v>
      </c>
      <c r="BM23" t="s">
        <v>155</v>
      </c>
      <c r="BN23" t="s">
        <v>149</v>
      </c>
      <c r="BO23" s="43">
        <f>ROUND((((AW23*AZ23)+(BN23*BM23))/(AW23+BN23)),5)</f>
        <v>24663.42966</v>
      </c>
      <c r="BP23" s="48">
        <f>BN23+AW23</f>
        <v>21.677</v>
      </c>
      <c r="BQ23" s="49">
        <v>88363222</v>
      </c>
    </row>
    <row r="24" spans="1:69">
      <c r="A24" s="32"/>
      <c r="B24" s="33"/>
      <c r="C24" s="33"/>
      <c r="D24" s="50" t="s">
        <v>41</v>
      </c>
      <c r="E24" s="50"/>
      <c r="F24" s="50"/>
      <c r="G24" s="50"/>
      <c r="H24" s="50">
        <f>SUM(H23:H23)</f>
        <v>750</v>
      </c>
      <c r="I24" s="32"/>
      <c r="J24" s="32"/>
      <c r="K24" s="32"/>
      <c r="L24" s="32"/>
      <c r="M24" s="32"/>
      <c r="N24" s="32"/>
      <c r="O24" s="32"/>
      <c r="P24" s="32"/>
      <c r="Q24" s="32"/>
      <c r="R24" s="50">
        <f t="shared" ref="R24:Y24" si="1">SUM(R23:R23)</f>
        <v>51.46</v>
      </c>
      <c r="S24" s="51">
        <f t="shared" si="1"/>
        <v>698.54</v>
      </c>
      <c r="T24" s="50"/>
      <c r="U24" s="50"/>
      <c r="V24" s="52">
        <f t="shared" si="1"/>
        <v>0</v>
      </c>
      <c r="W24" s="52">
        <f t="shared" si="1"/>
        <v>0</v>
      </c>
      <c r="X24" s="52">
        <f t="shared" si="1"/>
        <v>0</v>
      </c>
      <c r="Y24" s="52">
        <f t="shared" si="1"/>
        <v>0</v>
      </c>
      <c r="Z24" s="52"/>
      <c r="AA24" s="52">
        <f t="shared" ref="AA24:AE24" si="2">SUM(AA23:AA23)</f>
        <v>0</v>
      </c>
      <c r="AB24" s="50">
        <f t="shared" si="2"/>
        <v>0</v>
      </c>
      <c r="AC24" s="53">
        <f t="shared" si="2"/>
        <v>698.54</v>
      </c>
      <c r="AD24" s="54">
        <f t="shared" si="2"/>
        <v>120</v>
      </c>
      <c r="AE24" s="54">
        <f t="shared" si="2"/>
        <v>0</v>
      </c>
      <c r="AF24" s="53"/>
      <c r="AG24" s="54">
        <f t="shared" ref="AG24:AK24" si="3">SUM(AG23:AG23)</f>
        <v>0</v>
      </c>
      <c r="AH24" s="54">
        <f t="shared" si="3"/>
        <v>0</v>
      </c>
      <c r="AI24" s="54">
        <f t="shared" si="3"/>
        <v>59375.9</v>
      </c>
      <c r="AJ24" s="54">
        <f t="shared" si="3"/>
        <v>0</v>
      </c>
      <c r="AK24" s="54">
        <f t="shared" si="3"/>
        <v>0</v>
      </c>
      <c r="AL24" s="53"/>
      <c r="AM24" s="53"/>
      <c r="AN24" s="53"/>
      <c r="AO24" s="53"/>
      <c r="AP24" s="53"/>
      <c r="AQ24" s="53"/>
      <c r="AR24" s="53"/>
      <c r="AS24" s="55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Sakthi R</cp:lastModifiedBy>
  <dcterms:created xsi:type="dcterms:W3CDTF">2025-12-11T12:04:00Z</dcterms:created>
  <dcterms:modified xsi:type="dcterms:W3CDTF">2026-04-22T15:19:26Z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