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 firstSheet="1" activeTab="1"/>
  </bookViews>
  <sheets>
    <sheet name="ImportDirectGRNUDGeneralSameUOM" sheetId="2" r:id="rId1"/>
    <sheet name="ImportDirectGRNUDServiceSameUOM" sheetId="4" r:id="rId2"/>
    <sheet name="ImportDirectGRNRCGeneralSameUOM" sheetId="5" r:id="rId3"/>
    <sheet name="ImportDirectGRNRCServiceSameUOM" sheetId="7" r:id="rId4"/>
    <sheet name="ImportDirectGRNPLGeneralSameUOM" sheetId="8" r:id="rId5"/>
    <sheet name="ImportDirectGRNPLServiceSameUOM" sheetId="1" r:id="rId6"/>
    <sheet name="ImportDirectGRNUDGeneralDiffUOM" sheetId="3" r:id="rId7"/>
    <sheet name="ImportDirectGRNRCGeneralDiffUOM" sheetId="6" r:id="rId8"/>
    <sheet name="ImportDirectGRNPLGeneralDiffUOM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<sst xmlns="http://schemas.openxmlformats.org/spreadsheetml/2006/main" count="1564" uniqueCount="167">
  <si>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</si>
  <si>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</si>
  <si>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</si>
  <si>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</si>
  <si>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</si>
  <si>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</si>
  <si>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</si>
  <si>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</si>
  <si>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</si>
  <si>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</si>
  <si>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</si>
  <si>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</si>
  <si>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</si>
  <si>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</si>
  <si>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</si>
  <si>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</si>
  <si>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</si>
  <si>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</si>
  <si>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</si>
  <si>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</si>
  <si>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</si>
  <si>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</si>
  <si>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</si>
  <si>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</si>
  <si>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</si>
  <si>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</si>
  <si>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</si>
  <si>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</si>
  <si>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</si>
  <si>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</si>
  <si>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</si>
  <si>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</si>
  <si>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</si>
  <si>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</si>
  <si>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</si>
  <si>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</si>
  <si>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</si>
  <si>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</si>
  <si>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</si>
  <si>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</si>
  <si>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</si>
  <si>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</si>
  <si>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</si>
  <si>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</si>
  <si>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</si>
  <si>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</si>
  <si>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</si>
  <si>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</si>
  <si>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</si>
  <si>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</si>
  <si>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</si>
  <si>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</si>
  <si>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</si>
  <si>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</si>
  <si>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</si>
  <si>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</si>
  <si>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</si>
  <si>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</si>
  <si>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</si>
  <si>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</si>
  <si>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</si>
  <si>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</si>
  <si>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</si>
  <si>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</si>
  <si>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</si>
  <si>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</si>
  <si>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</si>
  <si>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</si>
  <si>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</si>
  <si>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</si>
  <si>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</si>
  <si>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</si>
  <si>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</si>
  <si>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</si>
  <si>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</si>
  <si>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</si>
  <si>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</si>
  <si>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</si>
  <si>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</si>
  <si>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</si>
  <si>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</si>
  <si>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</si>
  <si>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</si>
  <si>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</si>
  <si>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</si>
  <si>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</si>
  <si>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</si>
  <si>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</si>
  <si>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</si>
  <si>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</si>
  <si>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</si>
  <si>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</si>
  <si>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</si>
  <si>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</si>
  <si>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</si>
  <si>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</si>
  <si>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</si>
  <si>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</si>
  <si>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</si>
  <si>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</si>
  <si>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</si>
  <si>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</si>
  <si>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</si>
  <si>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</si>
  <si>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</si>
  <si>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</si>
  <si>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</si>
  <si>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</si>
  <si>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</si>
  <si>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</si>
  <si>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GWL-RM-WAL-FP-001</t>
  </si>
  <si>
    <t>250</t>
  </si>
  <si>
    <t>2</t>
  </si>
  <si>
    <t>HSN1</t>
  </si>
  <si>
    <t>INS</t>
  </si>
  <si>
    <t>Receipt Qty &amp; Unit cost</t>
  </si>
  <si>
    <t>LOT</t>
  </si>
  <si>
    <t>RM</t>
  </si>
  <si>
    <t>RMS</t>
  </si>
  <si>
    <t>RM KD</t>
  </si>
  <si>
    <t>0</t>
  </si>
  <si>
    <t>GWL-WAL-SERVICE-01</t>
  </si>
  <si>
    <t>455</t>
  </si>
  <si>
    <t>INS KD</t>
  </si>
  <si>
    <t>330.98625</t>
  </si>
  <si>
    <t>NA</t>
  </si>
  <si>
    <t>R100</t>
  </si>
  <si>
    <t>269.19614</t>
  </si>
  <si>
    <t>24</t>
  </si>
  <si>
    <t>GWL-RM-WAL-01 RateContract</t>
  </si>
  <si>
    <t>200</t>
  </si>
  <si>
    <t>187.68</t>
  </si>
  <si>
    <t>186.89799</t>
  </si>
  <si>
    <t>80</t>
  </si>
  <si>
    <t>GWL-WAL-SERVICE-RATECONTRACT-01</t>
  </si>
  <si>
    <t>14090</t>
  </si>
  <si>
    <t>121.18128</t>
  </si>
  <si>
    <t>147.00901</t>
  </si>
  <si>
    <t>687</t>
  </si>
  <si>
    <t>GWL-RM-WAL-01 PriceList</t>
  </si>
  <si>
    <t>186.32</t>
  </si>
  <si>
    <t>4</t>
  </si>
  <si>
    <t>GWL-WAL-SERVICE-PRICELIST-01</t>
  </si>
  <si>
    <t>16</t>
  </si>
  <si>
    <t>185.81481</t>
  </si>
  <si>
    <t>184.66239</t>
  </si>
  <si>
    <t>18</t>
  </si>
  <si>
    <t>GWL-RM-WAL-FP-001-DIS-UOM</t>
  </si>
  <si>
    <t>KGS</t>
  </si>
  <si>
    <t>GWL-RM-WAL-01 RateContract-DIS-UOM</t>
  </si>
  <si>
    <t>GWL-RM-WAL-01 PriceList-DIS-UOM</t>
  </si>
  <si>
    <t>20000.5</t>
  </si>
  <si>
    <t>232</t>
  </si>
  <si>
    <t>16638.94611</t>
  </si>
  <si>
    <t>60001.5</t>
  </si>
  <si>
    <t>34.684</t>
  </si>
  <si>
    <t>59017.31249</t>
  </si>
  <si>
    <t>17000</t>
  </si>
  <si>
    <t>106</t>
  </si>
  <si>
    <t>16698.11321</t>
  </si>
  <si>
    <t>51000</t>
  </si>
  <si>
    <t>36.682</t>
  </si>
  <si>
    <t>50045.49914</t>
  </si>
  <si>
    <t>122</t>
  </si>
  <si>
    <t>16672.13116</t>
  </si>
  <si>
    <t>39.35</t>
  </si>
  <si>
    <t>50008.51333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</si>
</sst>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</numFmts>
  <fonts count="24">
    <font>
      <sz val="11"/>
      <color theme="1"/>
      <name val="Calibri"/>
      <charset val="134"/>
      <scheme val="minor"/>
    </font>
    <font>
      <b/>
      <u/>
      <sz val="14"/>
      <color theme="1"/>
      <name val="Calibri Light"/>
      <charset val="134"/>
      <scheme val="maj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10"/>
      <color rgb="FF000000"/>
      <name val="Consola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2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2" applyNumberFormat="0" applyFill="0" applyAlignment="0" applyProtection="0">
      <alignment vertical="center"/>
    </xf>
    <xf numFmtId="0" fontId="11" fillId="0" borderId="22" applyNumberFormat="0" applyFill="0" applyAlignment="0" applyProtection="0">
      <alignment vertical="center"/>
    </xf>
    <xf numFmtId="0" fontId="12" fillId="0" borderId="2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24" applyNumberFormat="0" applyAlignment="0" applyProtection="0">
      <alignment vertical="center"/>
    </xf>
    <xf numFmtId="0" fontId="14" fillId="11" borderId="25" applyNumberFormat="0" applyAlignment="0" applyProtection="0">
      <alignment vertical="center"/>
    </xf>
    <xf numFmtId="0" fontId="15" fillId="11" borderId="24" applyNumberFormat="0" applyAlignment="0" applyProtection="0">
      <alignment vertical="center"/>
    </xf>
    <xf numFmtId="0" fontId="16" fillId="12" borderId="26" applyNumberFormat="0" applyAlignment="0" applyProtection="0">
      <alignment vertical="center"/>
    </xf>
    <xf numFmtId="0" fontId="17" fillId="0" borderId="27" applyNumberFormat="0" applyFill="0" applyAlignment="0" applyProtection="0">
      <alignment vertical="center"/>
    </xf>
    <xf numFmtId="0" fontId="18" fillId="0" borderId="28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60">
    <xf numFmtId="0" fontId="0" fillId="0" borderId="0" xfId="0"/>
    <xf numFmtId="0" fontId="1" fillId="0" borderId="0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Fill="1" applyBorder="1" applyAlignment="1"/>
    <xf numFmtId="0" fontId="3" fillId="0" borderId="5" xfId="0" applyFont="1" applyFill="1" applyBorder="1" applyAlignment="1"/>
    <xf numFmtId="180" fontId="3" fillId="0" borderId="5" xfId="0" applyNumberFormat="1" applyFont="1" applyFill="1" applyBorder="1" applyAlignment="1"/>
    <xf numFmtId="2" fontId="3" fillId="0" borderId="5" xfId="0" applyNumberFormat="1" applyFont="1" applyFill="1" applyBorder="1" applyAlignment="1"/>
    <xf numFmtId="2" fontId="3" fillId="0" borderId="6" xfId="0" applyNumberFormat="1" applyFont="1" applyFill="1" applyBorder="1" applyAlignment="1"/>
    <xf numFmtId="0" fontId="3" fillId="0" borderId="7" xfId="0" applyFont="1" applyFill="1" applyBorder="1" applyAlignment="1"/>
    <xf numFmtId="0" fontId="3" fillId="0" borderId="8" xfId="0" applyFont="1" applyFill="1" applyBorder="1" applyAlignment="1"/>
    <xf numFmtId="180" fontId="3" fillId="0" borderId="8" xfId="0" applyNumberFormat="1" applyFont="1" applyFill="1" applyBorder="1" applyAlignment="1"/>
    <xf numFmtId="2" fontId="3" fillId="0" borderId="8" xfId="0" applyNumberFormat="1" applyFont="1" applyFill="1" applyBorder="1" applyAlignment="1"/>
    <xf numFmtId="2" fontId="3" fillId="0" borderId="9" xfId="0" applyNumberFormat="1" applyFont="1" applyFill="1" applyBorder="1" applyAlignment="1"/>
    <xf numFmtId="0" fontId="3" fillId="0" borderId="0" xfId="0" applyFont="1" applyFill="1" applyAlignment="1"/>
    <xf numFmtId="0" fontId="2" fillId="3" borderId="10" xfId="0" applyFont="1" applyFill="1" applyBorder="1" applyAlignment="1">
      <alignment horizontal="center" vertical="top"/>
    </xf>
    <xf numFmtId="0" fontId="2" fillId="3" borderId="11" xfId="0" applyFont="1" applyFill="1" applyBorder="1" applyAlignment="1">
      <alignment vertical="top"/>
    </xf>
    <xf numFmtId="0" fontId="2" fillId="0" borderId="0" xfId="0" applyFont="1" applyFill="1" applyBorder="1" applyAlignment="1"/>
    <xf numFmtId="0" fontId="2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 wrapText="1"/>
    </xf>
    <xf numFmtId="0" fontId="3" fillId="0" borderId="13" xfId="0" applyFont="1" applyFill="1" applyBorder="1" applyAlignment="1"/>
    <xf numFmtId="0" fontId="3" fillId="0" borderId="13" xfId="0" applyNumberFormat="1" applyFont="1" applyFill="1" applyBorder="1" applyAlignment="1"/>
    <xf numFmtId="0" fontId="0" fillId="0" borderId="0" xfId="0" applyFill="1" applyBorder="1" applyAlignment="1"/>
    <xf numFmtId="0" fontId="2" fillId="3" borderId="14" xfId="0" applyFont="1" applyFill="1" applyBorder="1" applyAlignment="1"/>
    <xf numFmtId="0" fontId="2" fillId="3" borderId="15" xfId="0" applyFont="1" applyFill="1" applyBorder="1" applyAlignment="1"/>
    <xf numFmtId="0" fontId="2" fillId="3" borderId="13" xfId="0" applyFont="1" applyFill="1" applyBorder="1" applyAlignment="1"/>
    <xf numFmtId="10" fontId="3" fillId="0" borderId="0" xfId="0" applyNumberFormat="1" applyFont="1" applyFill="1" applyBorder="1" applyAlignment="1"/>
    <xf numFmtId="2" fontId="3" fillId="0" borderId="0" xfId="0" applyNumberFormat="1" applyFont="1" applyFill="1" applyBorder="1" applyAlignment="1"/>
    <xf numFmtId="0" fontId="3" fillId="0" borderId="0" xfId="0" applyFont="1" applyFill="1" applyBorder="1" applyAlignment="1"/>
    <xf numFmtId="0" fontId="2" fillId="4" borderId="1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4" fillId="0" borderId="0" xfId="0" applyFont="1" applyFill="1" applyAlignment="1"/>
    <xf numFmtId="0" fontId="2" fillId="6" borderId="12" xfId="0" applyFont="1" applyFill="1" applyBorder="1" applyAlignment="1">
      <alignment horizontal="center" vertical="center"/>
    </xf>
    <xf numFmtId="0" fontId="2" fillId="3" borderId="13" xfId="0" applyNumberFormat="1" applyFont="1" applyFill="1" applyBorder="1" applyAlignment="1"/>
    <xf numFmtId="2" fontId="2" fillId="3" borderId="13" xfId="0" applyNumberFormat="1" applyFont="1" applyFill="1" applyBorder="1" applyAlignment="1"/>
    <xf numFmtId="0" fontId="2" fillId="7" borderId="12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 wrapText="1"/>
    </xf>
    <xf numFmtId="10" fontId="3" fillId="0" borderId="13" xfId="0" applyNumberFormat="1" applyFont="1" applyFill="1" applyBorder="1" applyAlignment="1"/>
    <xf numFmtId="0" fontId="2" fillId="7" borderId="13" xfId="0" applyFont="1" applyFill="1" applyBorder="1" applyAlignment="1"/>
    <xf numFmtId="2" fontId="2" fillId="7" borderId="13" xfId="0" applyNumberFormat="1" applyFont="1" applyFill="1" applyBorder="1" applyAlignment="1"/>
    <xf numFmtId="0" fontId="0" fillId="0" borderId="0" xfId="0" applyFill="1" applyAlignment="1"/>
    <xf numFmtId="0" fontId="2" fillId="8" borderId="12" xfId="0" applyFont="1" applyFill="1" applyBorder="1" applyAlignment="1">
      <alignment horizontal="center" vertical="center"/>
    </xf>
    <xf numFmtId="0" fontId="3" fillId="2" borderId="2" xfId="0" applyFont="1" applyFill="1" applyBorder="1" applyAlignment="1"/>
    <xf numFmtId="0" fontId="3" fillId="0" borderId="5" xfId="0" applyNumberFormat="1" applyFont="1" applyFill="1" applyBorder="1" applyAlignment="1"/>
    <xf numFmtId="0" fontId="3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2" fillId="3" borderId="18" xfId="0" applyFont="1" applyFill="1" applyBorder="1" applyAlignment="1">
      <alignment horizontal="center" vertical="top"/>
    </xf>
    <xf numFmtId="0" fontId="2" fillId="3" borderId="19" xfId="0" applyFont="1" applyFill="1" applyBorder="1" applyAlignment="1">
      <alignment horizontal="center" vertical="top"/>
    </xf>
    <xf numFmtId="0" fontId="2" fillId="3" borderId="20" xfId="0" applyFont="1" applyFill="1" applyBorder="1" applyAlignment="1">
      <alignment horizontal="center" vertical="top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haredStrings.xml" Type="http://schemas.openxmlformats.org/officeDocument/2006/relationships/sharedStrings"/><Relationship Id="rId12" Target="styles.xml" Type="http://schemas.openxmlformats.org/officeDocument/2006/relationships/style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2" workbookViewId="0">
      <selection activeCell="M29" sqref="M29"/>
    </sheetView>
  </sheetViews>
  <sheetFormatPr defaultColWidth="8.70909090909091" defaultRowHeight="14.5"/>
  <cols>
    <col min="8" max="8" customWidth="true" width="9.42727272727273"/>
  </cols>
  <sheetData>
    <row r="1" ht="18.5" spans="1:69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</row>
    <row r="2" ht="19.25" spans="1:69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</row>
    <row r="3" ht="15.25" spans="1:69">
      <c r="A3" s="2" t="s">
        <v>2</v>
      </c>
      <c r="B3" s="3" t="s">
        <v>3</v>
      </c>
      <c r="C3" s="4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5" t="s">
        <v>9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</row>
    <row r="4" spans="1:69">
      <c r="A4" s="6">
        <v>1</v>
      </c>
      <c r="B4" s="7" t="s">
        <v>10</v>
      </c>
      <c r="C4" s="7" t="s">
        <v>11</v>
      </c>
      <c r="D4" s="7" t="s">
        <v>12</v>
      </c>
      <c r="E4" s="7" t="s">
        <v>12</v>
      </c>
      <c r="F4" s="8">
        <v>25</v>
      </c>
      <c r="G4" s="9">
        <v>257.63</v>
      </c>
      <c r="H4" s="10">
        <f t="shared" ref="H4:H18" si="0">F4*G4</f>
        <v>6440.75</v>
      </c>
      <c r="I4" s="33"/>
      <c r="J4" s="33"/>
      <c r="K4" s="33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  <c r="AA4" s="33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16"/>
      <c r="AT4" s="47"/>
      <c r="AU4" s="0"/>
      <c r="AV4" s="0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0"/>
      <c r="BN4" s="0"/>
      <c r="BO4" s="47"/>
      <c r="BP4" s="47"/>
      <c r="BQ4" s="47"/>
    </row>
    <row r="5" spans="1:69">
      <c r="A5" s="6">
        <v>2</v>
      </c>
      <c r="B5" s="7" t="s">
        <v>13</v>
      </c>
      <c r="C5" s="7" t="s">
        <v>14</v>
      </c>
      <c r="D5" s="7" t="s">
        <v>12</v>
      </c>
      <c r="E5" s="7" t="s">
        <v>12</v>
      </c>
      <c r="F5" s="8">
        <v>35</v>
      </c>
      <c r="G5" s="9">
        <v>125.45</v>
      </c>
      <c r="H5" s="10">
        <f t="shared" si="0"/>
        <v>4390.75</v>
      </c>
      <c r="I5" s="33"/>
      <c r="J5" s="33"/>
      <c r="K5" s="33"/>
      <c r="L5" s="34"/>
      <c r="M5" s="34"/>
      <c r="N5" s="34"/>
      <c r="O5" s="34"/>
      <c r="P5" s="34"/>
      <c r="Q5" s="34"/>
      <c r="R5" s="34"/>
      <c r="S5" s="34"/>
      <c r="T5" s="34"/>
      <c r="U5" s="33"/>
      <c r="V5" s="33"/>
      <c r="W5" s="33"/>
      <c r="X5" s="33"/>
      <c r="Y5" s="33"/>
      <c r="Z5" s="33"/>
      <c r="AA5" s="33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16"/>
      <c r="AT5" s="47"/>
      <c r="AU5" s="0"/>
      <c r="AV5" s="0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0"/>
      <c r="BN5" s="0"/>
      <c r="BO5" s="47"/>
      <c r="BP5" s="47"/>
      <c r="BQ5" s="47"/>
    </row>
    <row r="6" spans="1:69">
      <c r="A6" s="6">
        <v>3</v>
      </c>
      <c r="B6" s="7" t="s">
        <v>15</v>
      </c>
      <c r="C6" s="7" t="s">
        <v>16</v>
      </c>
      <c r="D6" s="7" t="s">
        <v>12</v>
      </c>
      <c r="E6" s="7" t="s">
        <v>12</v>
      </c>
      <c r="F6" s="8">
        <v>45</v>
      </c>
      <c r="G6" s="9">
        <v>125.36</v>
      </c>
      <c r="H6" s="10">
        <f t="shared" si="0"/>
        <v>5641.2</v>
      </c>
      <c r="I6" s="33"/>
      <c r="J6" s="33"/>
      <c r="K6" s="33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  <c r="AA6" s="33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16"/>
      <c r="AT6" s="47"/>
      <c r="AU6" s="0"/>
      <c r="AV6" s="0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47"/>
      <c r="BK6" s="47"/>
      <c r="BL6" s="47"/>
      <c r="BM6" s="0"/>
      <c r="BN6" s="0"/>
      <c r="BO6" s="47"/>
      <c r="BP6" s="47"/>
      <c r="BQ6" s="47"/>
    </row>
    <row r="7" spans="1:69">
      <c r="A7" s="6">
        <v>4</v>
      </c>
      <c r="B7" s="7" t="s">
        <v>17</v>
      </c>
      <c r="C7" s="7" t="s">
        <v>18</v>
      </c>
      <c r="D7" s="7" t="s">
        <v>12</v>
      </c>
      <c r="E7" s="7" t="s">
        <v>12</v>
      </c>
      <c r="F7" s="8">
        <v>55</v>
      </c>
      <c r="G7" s="9">
        <v>45.25</v>
      </c>
      <c r="H7" s="10">
        <f t="shared" si="0"/>
        <v>2488.75</v>
      </c>
      <c r="I7" s="33"/>
      <c r="J7" s="33"/>
      <c r="K7" s="33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  <c r="AA7" s="33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16"/>
      <c r="AT7" s="47"/>
      <c r="AU7" s="0"/>
      <c r="AV7" s="0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M7" s="0"/>
      <c r="BN7" s="0"/>
      <c r="BO7" s="47"/>
      <c r="BP7" s="47"/>
      <c r="BQ7" s="47"/>
    </row>
    <row r="8" spans="1:69">
      <c r="A8" s="6">
        <v>5</v>
      </c>
      <c r="B8" s="7" t="s">
        <v>19</v>
      </c>
      <c r="C8" s="7" t="s">
        <v>20</v>
      </c>
      <c r="D8" s="7" t="s">
        <v>12</v>
      </c>
      <c r="E8" s="7" t="s">
        <v>12</v>
      </c>
      <c r="F8" s="8">
        <v>60</v>
      </c>
      <c r="G8" s="9">
        <v>45.5</v>
      </c>
      <c r="H8" s="10">
        <f t="shared" si="0"/>
        <v>2730</v>
      </c>
      <c r="I8" s="33"/>
      <c r="J8" s="33"/>
      <c r="K8" s="33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  <c r="AA8" s="33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16"/>
      <c r="AT8" s="47"/>
      <c r="AU8" s="0"/>
      <c r="AV8" s="0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0"/>
      <c r="BN8" s="0"/>
      <c r="BO8" s="47"/>
      <c r="BP8" s="47"/>
      <c r="BQ8" s="47"/>
    </row>
    <row r="9" spans="1:69">
      <c r="A9" s="6">
        <v>6</v>
      </c>
      <c r="B9" s="7" t="s">
        <v>21</v>
      </c>
      <c r="C9" s="7" t="s">
        <v>22</v>
      </c>
      <c r="D9" s="7" t="s">
        <v>12</v>
      </c>
      <c r="E9" s="7" t="s">
        <v>12</v>
      </c>
      <c r="F9" s="8">
        <v>75</v>
      </c>
      <c r="G9" s="9">
        <v>125.25</v>
      </c>
      <c r="H9" s="10">
        <f t="shared" si="0"/>
        <v>9393.75</v>
      </c>
      <c r="I9" s="33"/>
      <c r="J9" s="33"/>
      <c r="K9" s="33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  <c r="AA9" s="33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16"/>
      <c r="AT9" s="47"/>
      <c r="AU9" s="0"/>
      <c r="AV9" s="0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0"/>
      <c r="BN9" s="0"/>
      <c r="BO9" s="47"/>
      <c r="BP9" s="47"/>
      <c r="BQ9" s="47"/>
    </row>
    <row r="10" spans="1:69">
      <c r="A10" s="6">
        <v>7</v>
      </c>
      <c r="B10" s="7" t="s">
        <v>23</v>
      </c>
      <c r="C10" s="7" t="s">
        <v>24</v>
      </c>
      <c r="D10" s="7" t="s">
        <v>12</v>
      </c>
      <c r="E10" s="7" t="s">
        <v>12</v>
      </c>
      <c r="F10" s="8">
        <v>28</v>
      </c>
      <c r="G10" s="9">
        <v>150.5</v>
      </c>
      <c r="H10" s="10">
        <f t="shared" si="0"/>
        <v>4214</v>
      </c>
      <c r="I10" s="33"/>
      <c r="J10" s="33"/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  <c r="AA10" s="33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16"/>
      <c r="AT10" s="47"/>
      <c r="AU10" s="0"/>
      <c r="AV10" s="0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0"/>
      <c r="BN10" s="0"/>
      <c r="BO10" s="47"/>
      <c r="BP10" s="47"/>
      <c r="BQ10" s="47"/>
    </row>
    <row r="11" spans="1:69">
      <c r="A11" s="6">
        <v>8</v>
      </c>
      <c r="B11" s="7" t="s">
        <v>25</v>
      </c>
      <c r="C11" s="7" t="s">
        <v>26</v>
      </c>
      <c r="D11" s="7" t="s">
        <v>12</v>
      </c>
      <c r="E11" s="7" t="s">
        <v>12</v>
      </c>
      <c r="F11" s="8">
        <v>30</v>
      </c>
      <c r="G11" s="9">
        <v>65.32</v>
      </c>
      <c r="H11" s="10">
        <f t="shared" si="0"/>
        <v>1959.6</v>
      </c>
      <c r="I11" s="33"/>
      <c r="J11" s="33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  <c r="AA11" s="33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16"/>
      <c r="AT11" s="47"/>
      <c r="AU11" s="0"/>
      <c r="AV11" s="0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0"/>
      <c r="BN11" s="0"/>
      <c r="BO11" s="47"/>
      <c r="BP11" s="47"/>
      <c r="BQ11" s="47"/>
    </row>
    <row r="12" spans="1:69">
      <c r="A12" s="6">
        <v>9</v>
      </c>
      <c r="B12" s="7" t="s">
        <v>27</v>
      </c>
      <c r="C12" s="7" t="s">
        <v>28</v>
      </c>
      <c r="D12" s="7" t="s">
        <v>12</v>
      </c>
      <c r="E12" s="7" t="s">
        <v>12</v>
      </c>
      <c r="F12" s="8">
        <v>25</v>
      </c>
      <c r="G12" s="9">
        <v>74.89</v>
      </c>
      <c r="H12" s="10">
        <f t="shared" si="0"/>
        <v>1872.25</v>
      </c>
      <c r="I12" s="33"/>
      <c r="J12" s="33"/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  <c r="AA12" s="33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16"/>
      <c r="AT12" s="47"/>
      <c r="AU12" s="0"/>
      <c r="AV12" s="0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0"/>
      <c r="BN12" s="0"/>
      <c r="BO12" s="47"/>
      <c r="BP12" s="47"/>
      <c r="BQ12" s="47"/>
    </row>
    <row r="13" spans="1:69">
      <c r="A13" s="6">
        <v>10</v>
      </c>
      <c r="B13" s="7" t="s">
        <v>29</v>
      </c>
      <c r="C13" s="7" t="s">
        <v>30</v>
      </c>
      <c r="D13" s="7" t="s">
        <v>12</v>
      </c>
      <c r="E13" s="7" t="s">
        <v>12</v>
      </c>
      <c r="F13" s="8">
        <v>28</v>
      </c>
      <c r="G13" s="9">
        <v>89.56</v>
      </c>
      <c r="H13" s="10">
        <f t="shared" si="0"/>
        <v>2507.68</v>
      </c>
      <c r="I13" s="33"/>
      <c r="J13" s="33"/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  <c r="AA13" s="33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16"/>
      <c r="AT13" s="47"/>
      <c r="AU13" s="0"/>
      <c r="AV13" s="0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0"/>
      <c r="BN13" s="0"/>
      <c r="BO13" s="47"/>
      <c r="BP13" s="47"/>
      <c r="BQ13" s="47"/>
    </row>
    <row r="14" spans="1:69">
      <c r="A14" s="6">
        <v>11</v>
      </c>
      <c r="B14" s="7" t="s">
        <v>31</v>
      </c>
      <c r="C14" s="7" t="s">
        <v>32</v>
      </c>
      <c r="D14" s="7" t="s">
        <v>12</v>
      </c>
      <c r="E14" s="7" t="s">
        <v>12</v>
      </c>
      <c r="F14" s="8">
        <v>37</v>
      </c>
      <c r="G14" s="9">
        <v>89.54</v>
      </c>
      <c r="H14" s="10">
        <f t="shared" si="0"/>
        <v>3312.98</v>
      </c>
      <c r="I14" s="33"/>
      <c r="J14" s="33"/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  <c r="AA14" s="33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16"/>
      <c r="AT14" s="47"/>
      <c r="AU14" s="0"/>
      <c r="AV14" s="0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0"/>
      <c r="BN14" s="0"/>
      <c r="BO14" s="47"/>
      <c r="BP14" s="47"/>
      <c r="BQ14" s="47"/>
    </row>
    <row r="15" spans="1:69">
      <c r="A15" s="6">
        <v>12</v>
      </c>
      <c r="B15" s="7" t="s">
        <v>33</v>
      </c>
      <c r="C15" s="7" t="s">
        <v>34</v>
      </c>
      <c r="D15" s="7" t="s">
        <v>12</v>
      </c>
      <c r="E15" s="7" t="s">
        <v>12</v>
      </c>
      <c r="F15" s="8">
        <v>39</v>
      </c>
      <c r="G15" s="9">
        <v>98.25</v>
      </c>
      <c r="H15" s="10">
        <f t="shared" si="0"/>
        <v>3831.75</v>
      </c>
      <c r="I15" s="33"/>
      <c r="J15" s="33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  <c r="AA15" s="33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16"/>
      <c r="AT15" s="47"/>
      <c r="AU15" s="0"/>
      <c r="AV15" s="0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0"/>
      <c r="BN15" s="0"/>
      <c r="BO15" s="47"/>
      <c r="BP15" s="47"/>
      <c r="BQ15" s="47"/>
    </row>
    <row r="16" spans="1:69">
      <c r="A16" s="6">
        <v>13</v>
      </c>
      <c r="B16" s="7" t="s">
        <v>35</v>
      </c>
      <c r="C16" s="7" t="s">
        <v>36</v>
      </c>
      <c r="D16" s="7" t="s">
        <v>12</v>
      </c>
      <c r="E16" s="7" t="s">
        <v>12</v>
      </c>
      <c r="F16" s="8">
        <v>70</v>
      </c>
      <c r="G16" s="9">
        <v>102.25</v>
      </c>
      <c r="H16" s="10">
        <f t="shared" si="0"/>
        <v>7157.5</v>
      </c>
      <c r="I16" s="33"/>
      <c r="J16" s="33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  <c r="AA16" s="3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16"/>
      <c r="AT16" s="47"/>
      <c r="AU16" s="0"/>
      <c r="AV16" s="0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M16" s="0"/>
      <c r="BN16" s="0"/>
      <c r="BO16" s="47"/>
      <c r="BP16" s="47"/>
      <c r="BQ16" s="47"/>
    </row>
    <row r="17" spans="1:69">
      <c r="A17" s="6">
        <v>14</v>
      </c>
      <c r="B17" s="7" t="s">
        <v>37</v>
      </c>
      <c r="C17" s="7" t="s">
        <v>38</v>
      </c>
      <c r="D17" s="7" t="s">
        <v>12</v>
      </c>
      <c r="E17" s="7" t="s">
        <v>12</v>
      </c>
      <c r="F17" s="8">
        <v>100</v>
      </c>
      <c r="G17" s="9">
        <v>103.5</v>
      </c>
      <c r="H17" s="10">
        <f t="shared" si="0"/>
        <v>10350</v>
      </c>
      <c r="I17" s="33"/>
      <c r="J17" s="33"/>
      <c r="K17" s="33"/>
      <c r="L17" s="34"/>
      <c r="M17" s="34"/>
      <c r="N17" s="34"/>
      <c r="O17" s="34"/>
      <c r="P17" s="34"/>
      <c r="Q17" s="34"/>
      <c r="R17" s="34"/>
      <c r="S17" s="38"/>
      <c r="T17" s="34"/>
      <c r="U17" s="33"/>
      <c r="V17" s="33"/>
      <c r="W17" s="33"/>
      <c r="X17" s="33"/>
      <c r="Y17" s="33"/>
      <c r="Z17" s="33"/>
      <c r="AA17" s="33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16"/>
      <c r="AT17" s="47"/>
      <c r="AU17" s="0"/>
      <c r="AV17" s="0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M17" s="0"/>
      <c r="BN17" s="0"/>
      <c r="BO17" s="47"/>
      <c r="BP17" s="47"/>
      <c r="BQ17" s="47"/>
    </row>
    <row r="18" ht="15.25" spans="1:69">
      <c r="A18" s="11">
        <v>15</v>
      </c>
      <c r="B18" s="12" t="s">
        <v>39</v>
      </c>
      <c r="C18" s="12" t="s">
        <v>40</v>
      </c>
      <c r="D18" s="12" t="s">
        <v>12</v>
      </c>
      <c r="E18" s="12" t="s">
        <v>12</v>
      </c>
      <c r="F18" s="13">
        <v>85</v>
      </c>
      <c r="G18" s="14">
        <v>65.48</v>
      </c>
      <c r="H18" s="15">
        <f t="shared" si="0"/>
        <v>5565.8</v>
      </c>
      <c r="I18" s="33"/>
      <c r="J18" s="33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  <c r="AA18" s="33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16"/>
      <c r="AT18" s="47"/>
      <c r="AU18" s="0"/>
      <c r="AV18" s="0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M18" s="0"/>
      <c r="BN18" s="0"/>
      <c r="BO18" s="47"/>
      <c r="BP18" s="47"/>
      <c r="BQ18" s="47"/>
    </row>
    <row r="19" ht="15.25" spans="1:69">
      <c r="A19" s="16"/>
      <c r="B19" s="17" t="s">
        <v>41</v>
      </c>
      <c r="C19" s="17"/>
      <c r="D19" s="17"/>
      <c r="E19" s="17"/>
      <c r="F19" s="17"/>
      <c r="G19" s="17"/>
      <c r="H19" s="18">
        <f>SUM(H4:H18)</f>
        <v>71856.76</v>
      </c>
      <c r="I19" s="35"/>
      <c r="J19" s="35"/>
      <c r="K19" s="35"/>
      <c r="L19" s="35"/>
      <c r="M19" s="35"/>
      <c r="N19" s="35"/>
      <c r="O19" s="35"/>
      <c r="P19" s="35"/>
      <c r="Q19" s="35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47"/>
      <c r="AU19" s="0"/>
      <c r="AV19" s="0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M19" s="0"/>
      <c r="BN19" s="0"/>
      <c r="BO19" s="47"/>
      <c r="BP19" s="47"/>
      <c r="BQ19" s="47"/>
    </row>
    <row r="20" spans="1:69">
      <c r="A20" s="19" t="s">
        <v>42</v>
      </c>
      <c r="B20" s="20"/>
      <c r="C20" s="20"/>
      <c r="D20" s="20"/>
      <c r="E20" s="20"/>
      <c r="F20" s="20"/>
      <c r="G20" s="20"/>
      <c r="H20" s="19"/>
      <c r="I20" s="35"/>
      <c r="J20" s="35"/>
      <c r="K20" s="35"/>
      <c r="L20" s="35"/>
      <c r="M20" s="35"/>
      <c r="N20" s="35"/>
      <c r="O20" s="35"/>
      <c r="P20" s="35"/>
      <c r="Q20" s="35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</row>
    <row r="21" ht="15.25" spans="1:69">
      <c r="A21" s="21" t="s">
        <v>43</v>
      </c>
      <c r="B21" s="21"/>
      <c r="C21" s="22">
        <v>3</v>
      </c>
      <c r="D21" s="23" t="s">
        <v>44</v>
      </c>
      <c r="E21" s="20"/>
      <c r="F21" s="20"/>
      <c r="G21" s="20"/>
      <c r="H21" s="19"/>
      <c r="I21" s="35" t="s">
        <v>45</v>
      </c>
      <c r="J21" s="35" t="s">
        <v>46</v>
      </c>
      <c r="K21" s="35"/>
      <c r="L21" s="35" t="s">
        <v>47</v>
      </c>
      <c r="M21" s="35">
        <v>1</v>
      </c>
      <c r="N21" s="35"/>
      <c r="O21" s="35" t="s">
        <v>48</v>
      </c>
      <c r="P21" s="35">
        <v>1</v>
      </c>
      <c r="Q21" s="35" t="s">
        <v>49</v>
      </c>
      <c r="R21" s="19"/>
      <c r="S21" s="19"/>
      <c r="T21" s="19"/>
      <c r="U21" s="19"/>
      <c r="V21" s="19">
        <v>1</v>
      </c>
      <c r="W21" s="19" t="s">
        <v>50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47"/>
      <c r="AU21" s="47"/>
      <c r="AV21" s="47"/>
      <c r="AW21" s="47"/>
      <c r="AX21" s="47"/>
      <c r="AY21" s="47"/>
      <c r="AZ21" s="47"/>
      <c r="BA21" s="47"/>
      <c r="BB21" s="47"/>
      <c r="BC21" s="47"/>
      <c r="BD21" s="47"/>
      <c r="BE21" s="47"/>
      <c r="BF21" s="47"/>
      <c r="BG21" s="47"/>
      <c r="BH21" s="47"/>
      <c r="BI21" s="47"/>
      <c r="BJ21" s="47"/>
      <c r="BK21" s="47"/>
      <c r="BL21" s="47"/>
      <c r="BM21" s="47"/>
      <c r="BN21" s="47"/>
      <c r="BO21" s="47"/>
      <c r="BP21" s="47"/>
      <c r="BQ21" s="47"/>
    </row>
    <row r="22" ht="59.5" spans="1:69">
      <c r="A22" s="24" t="s">
        <v>2</v>
      </c>
      <c r="B22" s="24" t="s">
        <v>3</v>
      </c>
      <c r="C22" s="25" t="s">
        <v>4</v>
      </c>
      <c r="D22" s="24" t="s">
        <v>5</v>
      </c>
      <c r="E22" s="24" t="s">
        <v>6</v>
      </c>
      <c r="F22" s="26" t="s">
        <v>51</v>
      </c>
      <c r="G22" s="24" t="s">
        <v>8</v>
      </c>
      <c r="H22" s="24" t="s">
        <v>9</v>
      </c>
      <c r="I22" s="36" t="s">
        <v>52</v>
      </c>
      <c r="J22" s="36" t="s">
        <v>53</v>
      </c>
      <c r="K22" s="36" t="s">
        <v>54</v>
      </c>
      <c r="L22" s="37" t="s">
        <v>55</v>
      </c>
      <c r="M22" s="37" t="s">
        <v>56</v>
      </c>
      <c r="N22" s="37" t="s">
        <v>57</v>
      </c>
      <c r="O22" s="37" t="s">
        <v>58</v>
      </c>
      <c r="P22" s="37" t="s">
        <v>59</v>
      </c>
      <c r="Q22" s="37" t="s">
        <v>60</v>
      </c>
      <c r="R22" s="36" t="s">
        <v>61</v>
      </c>
      <c r="S22" s="24" t="s">
        <v>62</v>
      </c>
      <c r="T22" s="24" t="s">
        <v>63</v>
      </c>
      <c r="U22" s="39" t="s">
        <v>64</v>
      </c>
      <c r="V22" s="39" t="s">
        <v>65</v>
      </c>
      <c r="W22" s="39" t="s">
        <v>66</v>
      </c>
      <c r="X22" s="39" t="s">
        <v>67</v>
      </c>
      <c r="Y22" s="39" t="s">
        <v>68</v>
      </c>
      <c r="Z22" s="39" t="s">
        <v>69</v>
      </c>
      <c r="AA22" s="39" t="s">
        <v>70</v>
      </c>
      <c r="AB22" s="39" t="s">
        <v>71</v>
      </c>
      <c r="AC22" s="42" t="s">
        <v>72</v>
      </c>
      <c r="AD22" s="42" t="s">
        <v>73</v>
      </c>
      <c r="AE22" s="43" t="s">
        <v>74</v>
      </c>
      <c r="AF22" s="43" t="s">
        <v>75</v>
      </c>
      <c r="AG22" s="43" t="s">
        <v>76</v>
      </c>
      <c r="AH22" s="42" t="s">
        <v>77</v>
      </c>
      <c r="AI22" s="42" t="s">
        <v>78</v>
      </c>
      <c r="AJ22" s="43" t="s">
        <v>79</v>
      </c>
      <c r="AK22" s="43" t="s">
        <v>80</v>
      </c>
      <c r="AL22" s="42" t="s">
        <v>81</v>
      </c>
      <c r="AM22" s="42" t="s">
        <v>82</v>
      </c>
      <c r="AN22" s="43" t="s">
        <v>83</v>
      </c>
      <c r="AO22" s="43" t="s">
        <v>84</v>
      </c>
      <c r="AP22" s="43" t="s">
        <v>85</v>
      </c>
      <c r="AQ22" s="42" t="s">
        <v>86</v>
      </c>
      <c r="AR22" s="48" t="s">
        <v>87</v>
      </c>
      <c r="AS22" s="3" t="s">
        <v>88</v>
      </c>
      <c r="AT22" s="3" t="s">
        <v>86</v>
      </c>
      <c r="AU22" s="0"/>
      <c r="AV22" s="0"/>
      <c r="AW22" s="49" t="s">
        <v>91</v>
      </c>
      <c r="AX22" s="49" t="s">
        <v>92</v>
      </c>
      <c r="AY22" s="49" t="s">
        <v>93</v>
      </c>
      <c r="AZ22" s="49" t="s">
        <v>94</v>
      </c>
      <c r="BA22" s="49" t="s">
        <v>95</v>
      </c>
      <c r="BB22" s="49" t="s">
        <v>96</v>
      </c>
      <c r="BC22" s="51" t="s">
        <v>97</v>
      </c>
      <c r="BD22" s="51" t="s">
        <v>98</v>
      </c>
      <c r="BE22" s="51" t="s">
        <v>99</v>
      </c>
      <c r="BF22" s="49" t="s">
        <v>100</v>
      </c>
      <c r="BG22" s="49" t="s">
        <v>101</v>
      </c>
      <c r="BH22" s="49" t="s">
        <v>102</v>
      </c>
      <c r="BI22" s="49" t="s">
        <v>103</v>
      </c>
      <c r="BJ22" s="49" t="s">
        <v>104</v>
      </c>
      <c r="BK22" s="49" t="s">
        <v>105</v>
      </c>
      <c r="BL22" s="49" t="s">
        <v>106</v>
      </c>
      <c r="BM22" s="0"/>
      <c r="BN22" s="0"/>
      <c r="BO22" s="49" t="s">
        <v>94</v>
      </c>
      <c r="BP22" s="49" t="s">
        <v>109</v>
      </c>
      <c r="BQ22" s="49" t="s">
        <v>63</v>
      </c>
    </row>
    <row r="23" ht="15.25" spans="1:69">
      <c r="A23" s="27">
        <v>1</v>
      </c>
      <c r="B23" s="27" t="s">
        <v>110</v>
      </c>
      <c r="C23" s="27" t="s">
        <v>110</v>
      </c>
      <c r="D23" s="27" t="s">
        <v>12</v>
      </c>
      <c r="E23" s="27" t="s">
        <v>12</v>
      </c>
      <c r="F23" s="28">
        <v>2</v>
      </c>
      <c r="G23" s="47" t="s">
        <v>111</v>
      </c>
      <c r="H23" s="28">
        <f>F23*G23</f>
        <v>500</v>
      </c>
      <c r="I23" s="47" t="s">
        <v>112</v>
      </c>
      <c r="J23" s="28">
        <v>2</v>
      </c>
      <c r="K23" s="28">
        <v>2</v>
      </c>
      <c r="L23" s="28">
        <f>H23</f>
        <v>500</v>
      </c>
      <c r="M23" s="28">
        <f>ROUND(L23*I23%,2)</f>
        <v>10</v>
      </c>
      <c r="N23" s="28">
        <f>H23-M23</f>
        <v>490</v>
      </c>
      <c r="O23" s="28">
        <f>ROUND(N23*J23%,2)</f>
        <v>9.8</v>
      </c>
      <c r="P23" s="28">
        <f>ROUND(N23-O23,2)</f>
        <v>480.2</v>
      </c>
      <c r="Q23" s="28">
        <f>ROUND(P23*K23%,2)</f>
        <v>9.6</v>
      </c>
      <c r="R23" s="28">
        <f>M23+O23+Q23</f>
        <v>29.4</v>
      </c>
      <c r="S23" s="28">
        <f>(H23-R23)</f>
        <v>470.6</v>
      </c>
      <c r="T23" s="28" t="s">
        <v>113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28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470.6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470.6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235.3</v>
      </c>
      <c r="AO23" s="28">
        <f>AJ23/AM23</f>
        <v>0</v>
      </c>
      <c r="AP23" s="28">
        <f>AK23/AM23</f>
        <v>0</v>
      </c>
      <c r="AQ23" s="28" t="s">
        <v>12</v>
      </c>
      <c r="AR23" s="28">
        <f>AN23+AO23+AP23</f>
        <v>235.3</v>
      </c>
      <c r="AS23" s="50" t="s">
        <v>114</v>
      </c>
      <c r="AT23" s="50" t="s">
        <v>12</v>
      </c>
      <c r="AU23" t="s" s="0">
        <v>120</v>
      </c>
      <c r="AV23" t="s" s="0">
        <v>151</v>
      </c>
      <c r="AW23" s="50">
        <f>AM23</f>
        <v>2</v>
      </c>
      <c r="AX23" s="50">
        <f>AR23</f>
        <v>235.3</v>
      </c>
      <c r="AY23" s="50">
        <f>AU23+AW23</f>
        <v>2</v>
      </c>
      <c r="AZ23" s="50">
        <f>ROUND(((AU23*AV23)+(AW23*AX23))/(AU23+AW23),5)</f>
        <v>235.3</v>
      </c>
      <c r="BA23" s="52"/>
      <c r="BB23" s="52" t="s">
        <v>115</v>
      </c>
      <c r="BC23" s="53" t="s">
        <v>116</v>
      </c>
      <c r="BD23" s="54" t="s">
        <v>117</v>
      </c>
      <c r="BE23" s="54" t="s">
        <v>118</v>
      </c>
      <c r="BF23" s="52"/>
      <c r="BG23" s="52"/>
      <c r="BH23" s="52"/>
      <c r="BI23" s="50"/>
      <c r="BJ23" s="50"/>
      <c r="BK23" s="50"/>
      <c r="BL23" s="50" t="s">
        <v>119</v>
      </c>
      <c r="BM23" t="s" s="0">
        <v>153</v>
      </c>
      <c r="BN23" t="s" s="0">
        <v>152</v>
      </c>
      <c r="BO23" s="50">
        <f>ROUND((((AW23*AZ23)+(BN23*BM23))/(AW23+BN23)),5)</f>
        <v>235.3</v>
      </c>
      <c r="BP23" s="55">
        <f>BN23+AW23</f>
        <v>2</v>
      </c>
      <c r="BQ23" s="56">
        <v>88363222</v>
      </c>
    </row>
    <row r="24" ht="15.25" spans="1:69">
      <c r="A24" s="16"/>
      <c r="B24" s="29"/>
      <c r="C24" s="29"/>
      <c r="D24" s="30" t="s">
        <v>41</v>
      </c>
      <c r="E24" s="30"/>
      <c r="F24" s="30"/>
      <c r="G24" s="31"/>
      <c r="H24" s="32">
        <f>SUM(H23:H23)</f>
        <v>500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 t="shared" ref="R24:Y24" si="1">SUM(R23:R23)</f>
        <v>29.4</v>
      </c>
      <c r="S24" s="40">
        <f t="shared" si="1"/>
        <v>470.6</v>
      </c>
      <c r="T24" s="32"/>
      <c r="U24" s="32"/>
      <c r="V24" s="41">
        <f t="shared" si="1"/>
        <v>0</v>
      </c>
      <c r="W24" s="41">
        <f t="shared" si="1"/>
        <v>0</v>
      </c>
      <c r="X24" s="41">
        <f t="shared" si="1"/>
        <v>0</v>
      </c>
      <c r="Y24" s="41">
        <f t="shared" si="1"/>
        <v>0</v>
      </c>
      <c r="Z24" s="41"/>
      <c r="AA24" s="41">
        <f t="shared" ref="AA24:AE24" si="2">SUM(AA23:AA23)</f>
        <v>0</v>
      </c>
      <c r="AB24" s="32">
        <f t="shared" si="2"/>
        <v>0</v>
      </c>
      <c r="AC24" s="45">
        <f t="shared" si="2"/>
        <v>470.6</v>
      </c>
      <c r="AD24" s="46">
        <f t="shared" si="2"/>
        <v>120</v>
      </c>
      <c r="AE24" s="46">
        <f t="shared" si="2"/>
        <v>0</v>
      </c>
      <c r="AF24" s="45"/>
      <c r="AG24" s="46">
        <f t="shared" ref="AG24:AK24" si="3">SUM(AG23:AG23)</f>
        <v>0</v>
      </c>
      <c r="AH24" s="46">
        <f t="shared" si="3"/>
        <v>0</v>
      </c>
      <c r="AI24" s="46">
        <f t="shared" si="3"/>
        <v>470.6</v>
      </c>
      <c r="AJ24" s="46">
        <f t="shared" si="3"/>
        <v>0</v>
      </c>
      <c r="AK24" s="46">
        <f t="shared" si="3"/>
        <v>0</v>
      </c>
      <c r="AL24" s="45"/>
      <c r="AM24" s="45"/>
      <c r="AN24" s="45"/>
      <c r="AO24" s="45"/>
      <c r="AP24" s="45"/>
      <c r="AQ24" s="45"/>
      <c r="AR24" s="45"/>
      <c r="AS24" s="16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abSelected="1" workbookViewId="0">
      <selection activeCell="J17" sqref="J17"/>
    </sheetView>
  </sheetViews>
  <sheetFormatPr defaultColWidth="8.70909090909091" defaultRowHeight="14.5"/>
  <cols>
    <col min="2" max="2" customWidth="true" width="16.0"/>
    <col min="8" max="8" customWidth="true" width="9.42727272727273"/>
  </cols>
  <sheetData>
    <row r="1" ht="18.5" spans="1:69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</row>
    <row r="2" ht="19.25" spans="1:69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</row>
    <row r="3" ht="15.25" spans="1:69">
      <c r="A3" s="2" t="s">
        <v>2</v>
      </c>
      <c r="B3" s="3" t="s">
        <v>3</v>
      </c>
      <c r="C3" s="4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5" t="s">
        <v>9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</row>
    <row r="4" spans="1:69">
      <c r="A4" s="6">
        <v>1</v>
      </c>
      <c r="B4" s="7" t="s">
        <v>10</v>
      </c>
      <c r="C4" s="7" t="s">
        <v>11</v>
      </c>
      <c r="D4" s="7" t="s">
        <v>12</v>
      </c>
      <c r="E4" s="7" t="s">
        <v>12</v>
      </c>
      <c r="F4" s="8">
        <v>25</v>
      </c>
      <c r="G4" s="9">
        <v>257.63</v>
      </c>
      <c r="H4" s="10">
        <f t="shared" ref="H4:H18" si="0">F4*G4</f>
        <v>6440.75</v>
      </c>
      <c r="I4" s="33"/>
      <c r="J4" s="33"/>
      <c r="K4" s="33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  <c r="AA4" s="33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16"/>
      <c r="AT4" s="47"/>
      <c r="AU4" s="0"/>
      <c r="AV4" s="0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0"/>
      <c r="BN4" s="0"/>
      <c r="BO4" s="47"/>
      <c r="BP4" s="47"/>
      <c r="BQ4" s="47"/>
    </row>
    <row r="5" spans="1:69">
      <c r="A5" s="6">
        <v>2</v>
      </c>
      <c r="B5" s="7" t="s">
        <v>13</v>
      </c>
      <c r="C5" s="7" t="s">
        <v>14</v>
      </c>
      <c r="D5" s="7" t="s">
        <v>12</v>
      </c>
      <c r="E5" s="7" t="s">
        <v>12</v>
      </c>
      <c r="F5" s="8">
        <v>35</v>
      </c>
      <c r="G5" s="9">
        <v>125.45</v>
      </c>
      <c r="H5" s="10">
        <f t="shared" si="0"/>
        <v>4390.75</v>
      </c>
      <c r="I5" s="33"/>
      <c r="J5" s="33"/>
      <c r="K5" s="33"/>
      <c r="L5" s="34"/>
      <c r="M5" s="34"/>
      <c r="N5" s="34"/>
      <c r="O5" s="34"/>
      <c r="P5" s="34"/>
      <c r="Q5" s="34"/>
      <c r="R5" s="34"/>
      <c r="S5" s="34"/>
      <c r="T5" s="34"/>
      <c r="U5" s="33"/>
      <c r="V5" s="33"/>
      <c r="W5" s="33"/>
      <c r="X5" s="33"/>
      <c r="Y5" s="33"/>
      <c r="Z5" s="33"/>
      <c r="AA5" s="33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16"/>
      <c r="AT5" s="47"/>
      <c r="AU5" s="0"/>
      <c r="AV5" s="0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0"/>
      <c r="BN5" s="0"/>
      <c r="BO5" s="47"/>
      <c r="BP5" s="47"/>
      <c r="BQ5" s="47"/>
    </row>
    <row r="6" spans="1:69">
      <c r="A6" s="6">
        <v>3</v>
      </c>
      <c r="B6" s="7" t="s">
        <v>15</v>
      </c>
      <c r="C6" s="7" t="s">
        <v>16</v>
      </c>
      <c r="D6" s="7" t="s">
        <v>12</v>
      </c>
      <c r="E6" s="7" t="s">
        <v>12</v>
      </c>
      <c r="F6" s="8">
        <v>45</v>
      </c>
      <c r="G6" s="9">
        <v>125.36</v>
      </c>
      <c r="H6" s="10">
        <f t="shared" si="0"/>
        <v>5641.2</v>
      </c>
      <c r="I6" s="33"/>
      <c r="J6" s="33"/>
      <c r="K6" s="33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  <c r="AA6" s="33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16"/>
      <c r="AT6" s="47"/>
      <c r="AU6" s="0"/>
      <c r="AV6" s="0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47"/>
      <c r="BK6" s="47"/>
      <c r="BL6" s="47"/>
      <c r="BM6" s="0"/>
      <c r="BN6" s="0"/>
      <c r="BO6" s="47"/>
      <c r="BP6" s="47"/>
      <c r="BQ6" s="47"/>
    </row>
    <row r="7" spans="1:69">
      <c r="A7" s="6">
        <v>4</v>
      </c>
      <c r="B7" s="7" t="s">
        <v>17</v>
      </c>
      <c r="C7" s="7" t="s">
        <v>18</v>
      </c>
      <c r="D7" s="7" t="s">
        <v>12</v>
      </c>
      <c r="E7" s="7" t="s">
        <v>12</v>
      </c>
      <c r="F7" s="8">
        <v>55</v>
      </c>
      <c r="G7" s="9">
        <v>45.25</v>
      </c>
      <c r="H7" s="10">
        <f t="shared" si="0"/>
        <v>2488.75</v>
      </c>
      <c r="I7" s="33"/>
      <c r="J7" s="33"/>
      <c r="K7" s="33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  <c r="AA7" s="33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16"/>
      <c r="AT7" s="47"/>
      <c r="AU7" s="0"/>
      <c r="AV7" s="0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M7" s="0"/>
      <c r="BN7" s="0"/>
      <c r="BO7" s="47"/>
      <c r="BP7" s="47"/>
      <c r="BQ7" s="47"/>
    </row>
    <row r="8" spans="1:69">
      <c r="A8" s="6">
        <v>5</v>
      </c>
      <c r="B8" s="7" t="s">
        <v>19</v>
      </c>
      <c r="C8" s="7" t="s">
        <v>20</v>
      </c>
      <c r="D8" s="7" t="s">
        <v>12</v>
      </c>
      <c r="E8" s="7" t="s">
        <v>12</v>
      </c>
      <c r="F8" s="8">
        <v>60</v>
      </c>
      <c r="G8" s="9">
        <v>45.5</v>
      </c>
      <c r="H8" s="10">
        <f t="shared" si="0"/>
        <v>2730</v>
      </c>
      <c r="I8" s="33"/>
      <c r="J8" s="33"/>
      <c r="K8" s="33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  <c r="AA8" s="33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16"/>
      <c r="AT8" s="47"/>
      <c r="AU8" s="0"/>
      <c r="AV8" s="0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0"/>
      <c r="BN8" s="0"/>
      <c r="BO8" s="47"/>
      <c r="BP8" s="47"/>
      <c r="BQ8" s="47"/>
    </row>
    <row r="9" spans="1:69">
      <c r="A9" s="6">
        <v>6</v>
      </c>
      <c r="B9" s="7" t="s">
        <v>21</v>
      </c>
      <c r="C9" s="7" t="s">
        <v>22</v>
      </c>
      <c r="D9" s="7" t="s">
        <v>12</v>
      </c>
      <c r="E9" s="7" t="s">
        <v>12</v>
      </c>
      <c r="F9" s="8">
        <v>75</v>
      </c>
      <c r="G9" s="9">
        <v>125.25</v>
      </c>
      <c r="H9" s="10">
        <f t="shared" si="0"/>
        <v>9393.75</v>
      </c>
      <c r="I9" s="33"/>
      <c r="J9" s="33"/>
      <c r="K9" s="33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  <c r="AA9" s="33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16"/>
      <c r="AT9" s="47"/>
      <c r="AU9" s="0"/>
      <c r="AV9" s="0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0"/>
      <c r="BN9" s="0"/>
      <c r="BO9" s="47"/>
      <c r="BP9" s="47"/>
      <c r="BQ9" s="47"/>
    </row>
    <row r="10" spans="1:69">
      <c r="A10" s="6">
        <v>7</v>
      </c>
      <c r="B10" s="7" t="s">
        <v>23</v>
      </c>
      <c r="C10" s="7" t="s">
        <v>24</v>
      </c>
      <c r="D10" s="7" t="s">
        <v>12</v>
      </c>
      <c r="E10" s="7" t="s">
        <v>12</v>
      </c>
      <c r="F10" s="8">
        <v>28</v>
      </c>
      <c r="G10" s="9">
        <v>150.5</v>
      </c>
      <c r="H10" s="10">
        <f t="shared" si="0"/>
        <v>4214</v>
      </c>
      <c r="I10" s="33"/>
      <c r="J10" s="33"/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  <c r="AA10" s="33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16"/>
      <c r="AT10" s="47"/>
      <c r="AU10" s="0"/>
      <c r="AV10" s="0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0"/>
      <c r="BN10" s="0"/>
      <c r="BO10" s="47"/>
      <c r="BP10" s="47"/>
      <c r="BQ10" s="47"/>
    </row>
    <row r="11" spans="1:69">
      <c r="A11" s="6">
        <v>8</v>
      </c>
      <c r="B11" s="7" t="s">
        <v>25</v>
      </c>
      <c r="C11" s="7" t="s">
        <v>26</v>
      </c>
      <c r="D11" s="7" t="s">
        <v>12</v>
      </c>
      <c r="E11" s="7" t="s">
        <v>12</v>
      </c>
      <c r="F11" s="8">
        <v>30</v>
      </c>
      <c r="G11" s="9">
        <v>65.32</v>
      </c>
      <c r="H11" s="10">
        <f t="shared" si="0"/>
        <v>1959.6</v>
      </c>
      <c r="I11" s="33"/>
      <c r="J11" s="33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  <c r="AA11" s="33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16"/>
      <c r="AT11" s="47"/>
      <c r="AU11" s="0"/>
      <c r="AV11" s="0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0"/>
      <c r="BN11" s="0"/>
      <c r="BO11" s="47"/>
      <c r="BP11" s="47"/>
      <c r="BQ11" s="47"/>
    </row>
    <row r="12" spans="1:69">
      <c r="A12" s="6">
        <v>9</v>
      </c>
      <c r="B12" s="7" t="s">
        <v>27</v>
      </c>
      <c r="C12" s="7" t="s">
        <v>28</v>
      </c>
      <c r="D12" s="7" t="s">
        <v>12</v>
      </c>
      <c r="E12" s="7" t="s">
        <v>12</v>
      </c>
      <c r="F12" s="8">
        <v>25</v>
      </c>
      <c r="G12" s="9">
        <v>74.89</v>
      </c>
      <c r="H12" s="10">
        <f t="shared" si="0"/>
        <v>1872.25</v>
      </c>
      <c r="I12" s="33"/>
      <c r="J12" s="33"/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  <c r="AA12" s="33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16"/>
      <c r="AT12" s="47"/>
      <c r="AU12" s="0"/>
      <c r="AV12" s="0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0"/>
      <c r="BN12" s="0"/>
      <c r="BO12" s="47"/>
      <c r="BP12" s="47"/>
      <c r="BQ12" s="47"/>
    </row>
    <row r="13" spans="1:69">
      <c r="A13" s="6">
        <v>10</v>
      </c>
      <c r="B13" s="7" t="s">
        <v>29</v>
      </c>
      <c r="C13" s="7" t="s">
        <v>30</v>
      </c>
      <c r="D13" s="7" t="s">
        <v>12</v>
      </c>
      <c r="E13" s="7" t="s">
        <v>12</v>
      </c>
      <c r="F13" s="8">
        <v>28</v>
      </c>
      <c r="G13" s="9">
        <v>89.56</v>
      </c>
      <c r="H13" s="10">
        <f t="shared" si="0"/>
        <v>2507.68</v>
      </c>
      <c r="I13" s="33"/>
      <c r="J13" s="33"/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  <c r="AA13" s="33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16"/>
      <c r="AT13" s="47"/>
      <c r="AU13" s="0"/>
      <c r="AV13" s="0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0"/>
      <c r="BN13" s="0"/>
      <c r="BO13" s="47"/>
      <c r="BP13" s="47"/>
      <c r="BQ13" s="47"/>
    </row>
    <row r="14" spans="1:69">
      <c r="A14" s="6">
        <v>11</v>
      </c>
      <c r="B14" s="7" t="s">
        <v>31</v>
      </c>
      <c r="C14" s="7" t="s">
        <v>32</v>
      </c>
      <c r="D14" s="7" t="s">
        <v>12</v>
      </c>
      <c r="E14" s="7" t="s">
        <v>12</v>
      </c>
      <c r="F14" s="8">
        <v>37</v>
      </c>
      <c r="G14" s="9">
        <v>89.54</v>
      </c>
      <c r="H14" s="10">
        <f t="shared" si="0"/>
        <v>3312.98</v>
      </c>
      <c r="I14" s="33"/>
      <c r="J14" s="33"/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  <c r="AA14" s="33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16"/>
      <c r="AT14" s="47"/>
      <c r="AU14" s="0"/>
      <c r="AV14" s="0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0"/>
      <c r="BN14" s="0"/>
      <c r="BO14" s="47"/>
      <c r="BP14" s="47"/>
      <c r="BQ14" s="47"/>
    </row>
    <row r="15" spans="1:69">
      <c r="A15" s="6">
        <v>12</v>
      </c>
      <c r="B15" s="7" t="s">
        <v>33</v>
      </c>
      <c r="C15" s="7" t="s">
        <v>34</v>
      </c>
      <c r="D15" s="7" t="s">
        <v>12</v>
      </c>
      <c r="E15" s="7" t="s">
        <v>12</v>
      </c>
      <c r="F15" s="8">
        <v>39</v>
      </c>
      <c r="G15" s="9">
        <v>98.25</v>
      </c>
      <c r="H15" s="10">
        <f t="shared" si="0"/>
        <v>3831.75</v>
      </c>
      <c r="I15" s="33"/>
      <c r="J15" s="33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  <c r="AA15" s="33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16"/>
      <c r="AT15" s="47"/>
      <c r="AU15" s="0"/>
      <c r="AV15" s="0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0"/>
      <c r="BN15" s="0"/>
      <c r="BO15" s="47"/>
      <c r="BP15" s="47"/>
      <c r="BQ15" s="47"/>
    </row>
    <row r="16" spans="1:69">
      <c r="A16" s="6">
        <v>13</v>
      </c>
      <c r="B16" s="7" t="s">
        <v>35</v>
      </c>
      <c r="C16" s="7" t="s">
        <v>36</v>
      </c>
      <c r="D16" s="7" t="s">
        <v>12</v>
      </c>
      <c r="E16" s="7" t="s">
        <v>12</v>
      </c>
      <c r="F16" s="8">
        <v>70</v>
      </c>
      <c r="G16" s="9">
        <v>102.25</v>
      </c>
      <c r="H16" s="10">
        <f t="shared" si="0"/>
        <v>7157.5</v>
      </c>
      <c r="I16" s="33"/>
      <c r="J16" s="33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  <c r="AA16" s="3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16"/>
      <c r="AT16" s="47"/>
      <c r="AU16" s="0"/>
      <c r="AV16" s="0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M16" s="0"/>
      <c r="BN16" s="0"/>
      <c r="BO16" s="47"/>
      <c r="BP16" s="47"/>
      <c r="BQ16" s="47"/>
    </row>
    <row r="17" spans="1:69">
      <c r="A17" s="6">
        <v>14</v>
      </c>
      <c r="B17" s="7" t="s">
        <v>37</v>
      </c>
      <c r="C17" s="7" t="s">
        <v>38</v>
      </c>
      <c r="D17" s="7" t="s">
        <v>12</v>
      </c>
      <c r="E17" s="7" t="s">
        <v>12</v>
      </c>
      <c r="F17" s="8">
        <v>100</v>
      </c>
      <c r="G17" s="9">
        <v>103.5</v>
      </c>
      <c r="H17" s="10">
        <f t="shared" si="0"/>
        <v>10350</v>
      </c>
      <c r="I17" s="33"/>
      <c r="J17" s="33"/>
      <c r="K17" s="33"/>
      <c r="L17" s="34"/>
      <c r="M17" s="34"/>
      <c r="N17" s="34"/>
      <c r="O17" s="34"/>
      <c r="P17" s="34"/>
      <c r="Q17" s="34"/>
      <c r="R17" s="34"/>
      <c r="S17" s="38"/>
      <c r="T17" s="34"/>
      <c r="U17" s="33"/>
      <c r="V17" s="33"/>
      <c r="W17" s="33"/>
      <c r="X17" s="33"/>
      <c r="Y17" s="33"/>
      <c r="Z17" s="33"/>
      <c r="AA17" s="33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16"/>
      <c r="AT17" s="47"/>
      <c r="AU17" s="0"/>
      <c r="AV17" s="0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M17" s="0"/>
      <c r="BN17" s="0"/>
      <c r="BO17" s="47"/>
      <c r="BP17" s="47"/>
      <c r="BQ17" s="47"/>
    </row>
    <row r="18" ht="15.25" spans="1:69">
      <c r="A18" s="11">
        <v>15</v>
      </c>
      <c r="B18" s="12" t="s">
        <v>39</v>
      </c>
      <c r="C18" s="12" t="s">
        <v>40</v>
      </c>
      <c r="D18" s="12" t="s">
        <v>12</v>
      </c>
      <c r="E18" s="12" t="s">
        <v>12</v>
      </c>
      <c r="F18" s="13">
        <v>85</v>
      </c>
      <c r="G18" s="14">
        <v>65.48</v>
      </c>
      <c r="H18" s="15">
        <f t="shared" si="0"/>
        <v>5565.8</v>
      </c>
      <c r="I18" s="33"/>
      <c r="J18" s="33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  <c r="AA18" s="33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16"/>
      <c r="AT18" s="47"/>
      <c r="AU18" s="0"/>
      <c r="AV18" s="0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M18" s="0"/>
      <c r="BN18" s="0"/>
      <c r="BO18" s="47"/>
      <c r="BP18" s="47"/>
      <c r="BQ18" s="47"/>
    </row>
    <row r="19" ht="15.25" spans="1:69">
      <c r="A19" s="16"/>
      <c r="B19" s="17" t="s">
        <v>41</v>
      </c>
      <c r="C19" s="17"/>
      <c r="D19" s="17"/>
      <c r="E19" s="17"/>
      <c r="F19" s="17"/>
      <c r="G19" s="17"/>
      <c r="H19" s="18">
        <f>SUM(H4:H18)</f>
        <v>71856.76</v>
      </c>
      <c r="I19" s="35"/>
      <c r="J19" s="35"/>
      <c r="K19" s="35"/>
      <c r="L19" s="35"/>
      <c r="M19" s="35"/>
      <c r="N19" s="35"/>
      <c r="O19" s="35"/>
      <c r="P19" s="35"/>
      <c r="Q19" s="35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47"/>
      <c r="AU19" s="0"/>
      <c r="AV19" s="0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M19" s="0"/>
      <c r="BN19" s="0"/>
      <c r="BO19" s="47"/>
      <c r="BP19" s="47"/>
      <c r="BQ19" s="47"/>
    </row>
    <row r="20" spans="1:69">
      <c r="A20" s="19" t="s">
        <v>42</v>
      </c>
      <c r="B20" s="20"/>
      <c r="C20" s="20"/>
      <c r="D20" s="20"/>
      <c r="E20" s="20"/>
      <c r="F20" s="20"/>
      <c r="G20" s="20"/>
      <c r="H20" s="19"/>
      <c r="I20" s="35"/>
      <c r="J20" s="35"/>
      <c r="K20" s="35"/>
      <c r="L20" s="35"/>
      <c r="M20" s="35"/>
      <c r="N20" s="35"/>
      <c r="O20" s="35"/>
      <c r="P20" s="35"/>
      <c r="Q20" s="35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</row>
    <row r="21" ht="15.25" spans="1:69">
      <c r="A21" s="21" t="s">
        <v>43</v>
      </c>
      <c r="B21" s="21"/>
      <c r="C21" s="22">
        <v>3</v>
      </c>
      <c r="D21" s="23" t="s">
        <v>44</v>
      </c>
      <c r="E21" s="20"/>
      <c r="F21" s="20"/>
      <c r="G21" s="20"/>
      <c r="H21" s="19"/>
      <c r="I21" s="35" t="s">
        <v>45</v>
      </c>
      <c r="J21" s="35" t="s">
        <v>46</v>
      </c>
      <c r="K21" s="35"/>
      <c r="L21" s="35" t="s">
        <v>47</v>
      </c>
      <c r="M21" s="35">
        <v>1</v>
      </c>
      <c r="N21" s="35"/>
      <c r="O21" s="35" t="s">
        <v>48</v>
      </c>
      <c r="P21" s="35">
        <v>1</v>
      </c>
      <c r="Q21" s="35" t="s">
        <v>49</v>
      </c>
      <c r="R21" s="19"/>
      <c r="S21" s="19"/>
      <c r="T21" s="19"/>
      <c r="U21" s="19"/>
      <c r="V21" s="19">
        <v>1</v>
      </c>
      <c r="W21" s="19" t="s">
        <v>50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47"/>
      <c r="AU21" s="47"/>
      <c r="AV21" s="47"/>
      <c r="AW21" s="47"/>
      <c r="AX21" s="47"/>
      <c r="AY21" s="47"/>
      <c r="AZ21" s="47"/>
      <c r="BA21" s="47"/>
      <c r="BB21" s="47"/>
      <c r="BC21" s="47"/>
      <c r="BD21" s="47"/>
      <c r="BE21" s="47"/>
      <c r="BF21" s="47"/>
      <c r="BG21" s="47"/>
      <c r="BH21" s="47"/>
      <c r="BI21" s="47"/>
      <c r="BJ21" s="47"/>
      <c r="BK21" s="47"/>
      <c r="BL21" s="47"/>
      <c r="BM21" s="47"/>
      <c r="BN21" s="47"/>
      <c r="BO21" s="47"/>
      <c r="BP21" s="47"/>
      <c r="BQ21" s="47"/>
    </row>
    <row r="22" ht="59.5" spans="1:69">
      <c r="A22" s="24" t="s">
        <v>2</v>
      </c>
      <c r="B22" s="24" t="s">
        <v>3</v>
      </c>
      <c r="C22" s="25" t="s">
        <v>4</v>
      </c>
      <c r="D22" s="24" t="s">
        <v>5</v>
      </c>
      <c r="E22" s="24" t="s">
        <v>6</v>
      </c>
      <c r="F22" s="26" t="s">
        <v>51</v>
      </c>
      <c r="G22" s="24" t="s">
        <v>8</v>
      </c>
      <c r="H22" s="24" t="s">
        <v>9</v>
      </c>
      <c r="I22" s="36" t="s">
        <v>52</v>
      </c>
      <c r="J22" s="36" t="s">
        <v>53</v>
      </c>
      <c r="K22" s="36" t="s">
        <v>54</v>
      </c>
      <c r="L22" s="37" t="s">
        <v>55</v>
      </c>
      <c r="M22" s="37" t="s">
        <v>56</v>
      </c>
      <c r="N22" s="37" t="s">
        <v>57</v>
      </c>
      <c r="O22" s="37" t="s">
        <v>58</v>
      </c>
      <c r="P22" s="37" t="s">
        <v>59</v>
      </c>
      <c r="Q22" s="37" t="s">
        <v>60</v>
      </c>
      <c r="R22" s="36" t="s">
        <v>61</v>
      </c>
      <c r="S22" s="24" t="s">
        <v>62</v>
      </c>
      <c r="T22" s="24" t="s">
        <v>63</v>
      </c>
      <c r="U22" s="39" t="s">
        <v>64</v>
      </c>
      <c r="V22" s="39" t="s">
        <v>65</v>
      </c>
      <c r="W22" s="39" t="s">
        <v>66</v>
      </c>
      <c r="X22" s="39" t="s">
        <v>67</v>
      </c>
      <c r="Y22" s="39" t="s">
        <v>68</v>
      </c>
      <c r="Z22" s="39" t="s">
        <v>69</v>
      </c>
      <c r="AA22" s="39" t="s">
        <v>70</v>
      </c>
      <c r="AB22" s="39" t="s">
        <v>71</v>
      </c>
      <c r="AC22" s="42" t="s">
        <v>72</v>
      </c>
      <c r="AD22" s="42" t="s">
        <v>73</v>
      </c>
      <c r="AE22" s="43" t="s">
        <v>74</v>
      </c>
      <c r="AF22" s="43" t="s">
        <v>75</v>
      </c>
      <c r="AG22" s="43" t="s">
        <v>76</v>
      </c>
      <c r="AH22" s="42" t="s">
        <v>77</v>
      </c>
      <c r="AI22" s="42" t="s">
        <v>78</v>
      </c>
      <c r="AJ22" s="43" t="s">
        <v>79</v>
      </c>
      <c r="AK22" s="43" t="s">
        <v>80</v>
      </c>
      <c r="AL22" s="42" t="s">
        <v>81</v>
      </c>
      <c r="AM22" s="42" t="s">
        <v>82</v>
      </c>
      <c r="AN22" s="43" t="s">
        <v>83</v>
      </c>
      <c r="AO22" s="43" t="s">
        <v>84</v>
      </c>
      <c r="AP22" s="43" t="s">
        <v>85</v>
      </c>
      <c r="AQ22" s="42" t="s">
        <v>86</v>
      </c>
      <c r="AR22" s="48" t="s">
        <v>87</v>
      </c>
      <c r="AS22" s="3" t="s">
        <v>88</v>
      </c>
      <c r="AT22" s="3" t="s">
        <v>86</v>
      </c>
      <c r="AU22" s="0"/>
      <c r="AV22" s="0"/>
      <c r="AW22" s="49" t="s">
        <v>91</v>
      </c>
      <c r="AX22" s="49" t="s">
        <v>92</v>
      </c>
      <c r="AY22" s="49" t="s">
        <v>93</v>
      </c>
      <c r="AZ22" s="49" t="s">
        <v>94</v>
      </c>
      <c r="BA22" s="49" t="s">
        <v>95</v>
      </c>
      <c r="BB22" s="49" t="s">
        <v>96</v>
      </c>
      <c r="BC22" s="51" t="s">
        <v>97</v>
      </c>
      <c r="BD22" s="51" t="s">
        <v>98</v>
      </c>
      <c r="BE22" s="51" t="s">
        <v>99</v>
      </c>
      <c r="BF22" s="49" t="s">
        <v>100</v>
      </c>
      <c r="BG22" s="49" t="s">
        <v>101</v>
      </c>
      <c r="BH22" s="49" t="s">
        <v>102</v>
      </c>
      <c r="BI22" s="49" t="s">
        <v>103</v>
      </c>
      <c r="BJ22" s="49" t="s">
        <v>104</v>
      </c>
      <c r="BK22" s="49" t="s">
        <v>105</v>
      </c>
      <c r="BL22" s="49" t="s">
        <v>106</v>
      </c>
      <c r="BM22" s="0"/>
      <c r="BN22" s="0"/>
      <c r="BO22" s="49" t="s">
        <v>94</v>
      </c>
      <c r="BP22" s="49" t="s">
        <v>109</v>
      </c>
      <c r="BQ22" s="49" t="s">
        <v>63</v>
      </c>
    </row>
    <row r="23" ht="15.25" spans="1:69">
      <c r="A23" s="27">
        <v>1</v>
      </c>
      <c r="B23" s="27" t="s">
        <v>121</v>
      </c>
      <c r="C23" s="27" t="s">
        <v>121</v>
      </c>
      <c r="D23" s="27" t="s">
        <v>12</v>
      </c>
      <c r="E23" s="27" t="s">
        <v>12</v>
      </c>
      <c r="F23" s="28">
        <v>2</v>
      </c>
      <c r="G23" s="47" t="s">
        <v>122</v>
      </c>
      <c r="H23" s="28">
        <f>F23*G23</f>
        <v>910</v>
      </c>
      <c r="I23" s="47">
        <v>2</v>
      </c>
      <c r="J23" s="28">
        <v>2</v>
      </c>
      <c r="K23" s="28">
        <v>3</v>
      </c>
      <c r="L23" s="28">
        <f>H23</f>
        <v>910</v>
      </c>
      <c r="M23" s="28">
        <f>ROUND(L23*I23%,2)</f>
        <v>18.2</v>
      </c>
      <c r="N23" s="28">
        <f>H23-M23</f>
        <v>891.8</v>
      </c>
      <c r="O23" s="28">
        <f>ROUND(N23*J23%,2)</f>
        <v>17.84</v>
      </c>
      <c r="P23" s="28">
        <f>ROUND(N23-O23,2)</f>
        <v>873.96</v>
      </c>
      <c r="Q23" s="28">
        <f>ROUND(P23*K23%,2)</f>
        <v>26.22</v>
      </c>
      <c r="R23" s="28">
        <f>M23+O23+Q23</f>
        <v>62.26</v>
      </c>
      <c r="S23" s="28">
        <f>(H23-R23)</f>
        <v>847.74</v>
      </c>
      <c r="T23" s="28" t="s">
        <v>113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4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847.74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847.74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423.87</v>
      </c>
      <c r="AO23" s="28">
        <f>AJ23/AM23</f>
        <v>0</v>
      </c>
      <c r="AP23" s="28">
        <f>AK23/AM23</f>
        <v>0</v>
      </c>
      <c r="AQ23" s="28" t="s">
        <v>12</v>
      </c>
      <c r="AR23" s="28">
        <f>AN23+AO23+AP23</f>
        <v>423.87</v>
      </c>
      <c r="AS23" s="50" t="s">
        <v>123</v>
      </c>
      <c r="AT23" s="50" t="s">
        <v>12</v>
      </c>
      <c r="AU23" s="0"/>
      <c r="AV23" s="0"/>
      <c r="AW23" s="50">
        <f>AM23</f>
        <v>2</v>
      </c>
      <c r="AX23" s="50">
        <f>AR23</f>
        <v>423.87</v>
      </c>
      <c r="AY23" s="50">
        <f>AU23+AW23</f>
        <v>4</v>
      </c>
      <c r="AZ23" s="50">
        <f>ROUND(((AU23*AV23)+(AW23*AX23))/(AU23+AW23),5)</f>
        <v>377.42813</v>
      </c>
      <c r="BA23" s="52"/>
      <c r="BB23" s="52" t="s">
        <v>115</v>
      </c>
      <c r="BC23" s="53" t="s">
        <v>125</v>
      </c>
      <c r="BD23" s="54" t="s">
        <v>117</v>
      </c>
      <c r="BE23" s="54" t="s">
        <v>118</v>
      </c>
      <c r="BF23" s="52"/>
      <c r="BG23" s="52"/>
      <c r="BH23" s="52"/>
      <c r="BI23" s="50"/>
      <c r="BJ23" s="50"/>
      <c r="BK23" s="50"/>
      <c r="BL23" s="50" t="s">
        <v>126</v>
      </c>
      <c r="BM23" s="0"/>
      <c r="BN23" s="0"/>
      <c r="BO23" s="50">
        <f>ROUND((((AW23*AZ23)+(BN23*BM23))/(AW23+BN23)),5)</f>
        <v>277.52168</v>
      </c>
      <c r="BP23" s="55">
        <f>BN23+AW23</f>
        <v>26</v>
      </c>
      <c r="BQ23" s="56">
        <v>88363222</v>
      </c>
    </row>
    <row r="24" ht="15.25" spans="1:69">
      <c r="A24" s="16"/>
      <c r="B24" s="29"/>
      <c r="C24" s="29"/>
      <c r="D24" s="30" t="s">
        <v>41</v>
      </c>
      <c r="E24" s="30"/>
      <c r="F24" s="30"/>
      <c r="G24" s="31"/>
      <c r="H24" s="32">
        <f>SUM(H23:H23)</f>
        <v>910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 t="shared" ref="R24:Y24" si="1">SUM(R23:R23)</f>
        <v>62.26</v>
      </c>
      <c r="S24" s="40">
        <f t="shared" si="1"/>
        <v>847.74</v>
      </c>
      <c r="T24" s="32"/>
      <c r="U24" s="32"/>
      <c r="V24" s="41">
        <f t="shared" si="1"/>
        <v>0</v>
      </c>
      <c r="W24" s="41">
        <f t="shared" si="1"/>
        <v>0</v>
      </c>
      <c r="X24" s="41">
        <f t="shared" si="1"/>
        <v>0</v>
      </c>
      <c r="Y24" s="41">
        <f t="shared" si="1"/>
        <v>0</v>
      </c>
      <c r="Z24" s="41"/>
      <c r="AA24" s="41">
        <f t="shared" ref="AA24:AE24" si="2">SUM(AA23:AA23)</f>
        <v>0</v>
      </c>
      <c r="AB24" s="32">
        <f t="shared" si="2"/>
        <v>0</v>
      </c>
      <c r="AC24" s="45">
        <f t="shared" si="2"/>
        <v>847.74</v>
      </c>
      <c r="AD24" s="46">
        <f t="shared" si="2"/>
        <v>120</v>
      </c>
      <c r="AE24" s="46">
        <f t="shared" si="2"/>
        <v>0</v>
      </c>
      <c r="AF24" s="45"/>
      <c r="AG24" s="46">
        <f t="shared" ref="AG24:AK24" si="3">SUM(AG23:AG23)</f>
        <v>0</v>
      </c>
      <c r="AH24" s="46">
        <f t="shared" si="3"/>
        <v>0</v>
      </c>
      <c r="AI24" s="46">
        <f t="shared" si="3"/>
        <v>847.74</v>
      </c>
      <c r="AJ24" s="46">
        <f t="shared" si="3"/>
        <v>0</v>
      </c>
      <c r="AK24" s="46">
        <f t="shared" si="3"/>
        <v>0</v>
      </c>
      <c r="AL24" s="45"/>
      <c r="AM24" s="45"/>
      <c r="AN24" s="45"/>
      <c r="AO24" s="45"/>
      <c r="AP24" s="45"/>
      <c r="AQ24" s="45"/>
      <c r="AR24" s="45"/>
      <c r="AS24" s="16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workbookViewId="0">
      <selection activeCell="L12" sqref="L12"/>
    </sheetView>
  </sheetViews>
  <sheetFormatPr defaultColWidth="8.70909090909091" defaultRowHeight="14.5"/>
  <cols>
    <col min="8" max="8" customWidth="true" width="9.42727272727273"/>
  </cols>
  <sheetData>
    <row r="1" ht="18.5" spans="1:69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</row>
    <row r="2" ht="19.25" spans="1:69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</row>
    <row r="3" ht="15.25" spans="1:69">
      <c r="A3" s="2" t="s">
        <v>2</v>
      </c>
      <c r="B3" s="3" t="s">
        <v>3</v>
      </c>
      <c r="C3" s="4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5" t="s">
        <v>9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</row>
    <row r="4" spans="1:69">
      <c r="A4" s="6">
        <v>1</v>
      </c>
      <c r="B4" s="7" t="s">
        <v>10</v>
      </c>
      <c r="C4" s="7" t="s">
        <v>11</v>
      </c>
      <c r="D4" s="7" t="s">
        <v>12</v>
      </c>
      <c r="E4" s="7" t="s">
        <v>12</v>
      </c>
      <c r="F4" s="8">
        <v>25</v>
      </c>
      <c r="G4" s="9">
        <v>257.63</v>
      </c>
      <c r="H4" s="10">
        <f t="shared" ref="H4:H18" si="0">F4*G4</f>
        <v>6440.75</v>
      </c>
      <c r="I4" s="33"/>
      <c r="J4" s="33"/>
      <c r="K4" s="33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  <c r="AA4" s="33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16"/>
      <c r="AT4" s="47"/>
      <c r="AU4" s="0"/>
      <c r="AV4" s="0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0"/>
      <c r="BN4" s="0"/>
      <c r="BO4" s="47"/>
      <c r="BP4" s="47"/>
      <c r="BQ4" s="47"/>
    </row>
    <row r="5" spans="1:69">
      <c r="A5" s="6">
        <v>2</v>
      </c>
      <c r="B5" s="7" t="s">
        <v>13</v>
      </c>
      <c r="C5" s="7" t="s">
        <v>14</v>
      </c>
      <c r="D5" s="7" t="s">
        <v>12</v>
      </c>
      <c r="E5" s="7" t="s">
        <v>12</v>
      </c>
      <c r="F5" s="8">
        <v>35</v>
      </c>
      <c r="G5" s="9">
        <v>125.45</v>
      </c>
      <c r="H5" s="10">
        <f t="shared" si="0"/>
        <v>4390.75</v>
      </c>
      <c r="I5" s="33"/>
      <c r="J5" s="33"/>
      <c r="K5" s="33"/>
      <c r="L5" s="34"/>
      <c r="M5" s="34"/>
      <c r="N5" s="34"/>
      <c r="O5" s="34"/>
      <c r="P5" s="34"/>
      <c r="Q5" s="34"/>
      <c r="R5" s="34"/>
      <c r="S5" s="34"/>
      <c r="T5" s="34"/>
      <c r="U5" s="33"/>
      <c r="V5" s="33"/>
      <c r="W5" s="33"/>
      <c r="X5" s="33"/>
      <c r="Y5" s="33"/>
      <c r="Z5" s="33"/>
      <c r="AA5" s="33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16"/>
      <c r="AT5" s="47"/>
      <c r="AU5" s="0"/>
      <c r="AV5" s="0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0"/>
      <c r="BN5" s="0"/>
      <c r="BO5" s="47"/>
      <c r="BP5" s="47"/>
      <c r="BQ5" s="47"/>
    </row>
    <row r="6" spans="1:69">
      <c r="A6" s="6">
        <v>3</v>
      </c>
      <c r="B6" s="7" t="s">
        <v>15</v>
      </c>
      <c r="C6" s="7" t="s">
        <v>16</v>
      </c>
      <c r="D6" s="7" t="s">
        <v>12</v>
      </c>
      <c r="E6" s="7" t="s">
        <v>12</v>
      </c>
      <c r="F6" s="8">
        <v>45</v>
      </c>
      <c r="G6" s="9">
        <v>125.36</v>
      </c>
      <c r="H6" s="10">
        <f t="shared" si="0"/>
        <v>5641.2</v>
      </c>
      <c r="I6" s="33"/>
      <c r="J6" s="33"/>
      <c r="K6" s="33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  <c r="AA6" s="33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16"/>
      <c r="AT6" s="47"/>
      <c r="AU6" s="0"/>
      <c r="AV6" s="0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47"/>
      <c r="BK6" s="47"/>
      <c r="BL6" s="47"/>
      <c r="BM6" s="0"/>
      <c r="BN6" s="0"/>
      <c r="BO6" s="47"/>
      <c r="BP6" s="47"/>
      <c r="BQ6" s="47"/>
    </row>
    <row r="7" spans="1:69">
      <c r="A7" s="6">
        <v>4</v>
      </c>
      <c r="B7" s="7" t="s">
        <v>17</v>
      </c>
      <c r="C7" s="7" t="s">
        <v>18</v>
      </c>
      <c r="D7" s="7" t="s">
        <v>12</v>
      </c>
      <c r="E7" s="7" t="s">
        <v>12</v>
      </c>
      <c r="F7" s="8">
        <v>55</v>
      </c>
      <c r="G7" s="9">
        <v>45.25</v>
      </c>
      <c r="H7" s="10">
        <f t="shared" si="0"/>
        <v>2488.75</v>
      </c>
      <c r="I7" s="33"/>
      <c r="J7" s="33"/>
      <c r="K7" s="33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  <c r="AA7" s="33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16"/>
      <c r="AT7" s="47"/>
      <c r="AU7" s="0"/>
      <c r="AV7" s="0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M7" s="0"/>
      <c r="BN7" s="0"/>
      <c r="BO7" s="47"/>
      <c r="BP7" s="47"/>
      <c r="BQ7" s="47"/>
    </row>
    <row r="8" spans="1:69">
      <c r="A8" s="6">
        <v>5</v>
      </c>
      <c r="B8" s="7" t="s">
        <v>19</v>
      </c>
      <c r="C8" s="7" t="s">
        <v>20</v>
      </c>
      <c r="D8" s="7" t="s">
        <v>12</v>
      </c>
      <c r="E8" s="7" t="s">
        <v>12</v>
      </c>
      <c r="F8" s="8">
        <v>60</v>
      </c>
      <c r="G8" s="9">
        <v>45.5</v>
      </c>
      <c r="H8" s="10">
        <f t="shared" si="0"/>
        <v>2730</v>
      </c>
      <c r="I8" s="33"/>
      <c r="J8" s="33"/>
      <c r="K8" s="33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  <c r="AA8" s="33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16"/>
      <c r="AT8" s="47"/>
      <c r="AU8" s="0"/>
      <c r="AV8" s="0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0"/>
      <c r="BN8" s="0"/>
      <c r="BO8" s="47"/>
      <c r="BP8" s="47"/>
      <c r="BQ8" s="47"/>
    </row>
    <row r="9" spans="1:69">
      <c r="A9" s="6">
        <v>6</v>
      </c>
      <c r="B9" s="7" t="s">
        <v>21</v>
      </c>
      <c r="C9" s="7" t="s">
        <v>22</v>
      </c>
      <c r="D9" s="7" t="s">
        <v>12</v>
      </c>
      <c r="E9" s="7" t="s">
        <v>12</v>
      </c>
      <c r="F9" s="8">
        <v>75</v>
      </c>
      <c r="G9" s="9">
        <v>125.25</v>
      </c>
      <c r="H9" s="10">
        <f t="shared" si="0"/>
        <v>9393.75</v>
      </c>
      <c r="I9" s="33"/>
      <c r="J9" s="33"/>
      <c r="K9" s="33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  <c r="AA9" s="33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16"/>
      <c r="AT9" s="47"/>
      <c r="AU9" s="0"/>
      <c r="AV9" s="0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0"/>
      <c r="BN9" s="0"/>
      <c r="BO9" s="47"/>
      <c r="BP9" s="47"/>
      <c r="BQ9" s="47"/>
    </row>
    <row r="10" spans="1:69">
      <c r="A10" s="6">
        <v>7</v>
      </c>
      <c r="B10" s="7" t="s">
        <v>23</v>
      </c>
      <c r="C10" s="7" t="s">
        <v>24</v>
      </c>
      <c r="D10" s="7" t="s">
        <v>12</v>
      </c>
      <c r="E10" s="7" t="s">
        <v>12</v>
      </c>
      <c r="F10" s="8">
        <v>28</v>
      </c>
      <c r="G10" s="9">
        <v>150.5</v>
      </c>
      <c r="H10" s="10">
        <f t="shared" si="0"/>
        <v>4214</v>
      </c>
      <c r="I10" s="33"/>
      <c r="J10" s="33"/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  <c r="AA10" s="33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16"/>
      <c r="AT10" s="47"/>
      <c r="AU10" s="0"/>
      <c r="AV10" s="0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0"/>
      <c r="BN10" s="0"/>
      <c r="BO10" s="47"/>
      <c r="BP10" s="47"/>
      <c r="BQ10" s="47"/>
    </row>
    <row r="11" spans="1:69">
      <c r="A11" s="6">
        <v>8</v>
      </c>
      <c r="B11" s="7" t="s">
        <v>25</v>
      </c>
      <c r="C11" s="7" t="s">
        <v>26</v>
      </c>
      <c r="D11" s="7" t="s">
        <v>12</v>
      </c>
      <c r="E11" s="7" t="s">
        <v>12</v>
      </c>
      <c r="F11" s="8">
        <v>30</v>
      </c>
      <c r="G11" s="9">
        <v>65.32</v>
      </c>
      <c r="H11" s="10">
        <f t="shared" si="0"/>
        <v>1959.6</v>
      </c>
      <c r="I11" s="33"/>
      <c r="J11" s="33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  <c r="AA11" s="33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16"/>
      <c r="AT11" s="47"/>
      <c r="AU11" s="0"/>
      <c r="AV11" s="0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0"/>
      <c r="BN11" s="0"/>
      <c r="BO11" s="47"/>
      <c r="BP11" s="47"/>
      <c r="BQ11" s="47"/>
    </row>
    <row r="12" spans="1:69">
      <c r="A12" s="6">
        <v>9</v>
      </c>
      <c r="B12" s="7" t="s">
        <v>27</v>
      </c>
      <c r="C12" s="7" t="s">
        <v>28</v>
      </c>
      <c r="D12" s="7" t="s">
        <v>12</v>
      </c>
      <c r="E12" s="7" t="s">
        <v>12</v>
      </c>
      <c r="F12" s="8">
        <v>25</v>
      </c>
      <c r="G12" s="9">
        <v>74.89</v>
      </c>
      <c r="H12" s="10">
        <f t="shared" si="0"/>
        <v>1872.25</v>
      </c>
      <c r="I12" s="33"/>
      <c r="J12" s="33"/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  <c r="AA12" s="33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16"/>
      <c r="AT12" s="47"/>
      <c r="AU12" s="0"/>
      <c r="AV12" s="0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0"/>
      <c r="BN12" s="0"/>
      <c r="BO12" s="47"/>
      <c r="BP12" s="47"/>
      <c r="BQ12" s="47"/>
    </row>
    <row r="13" spans="1:69">
      <c r="A13" s="6">
        <v>10</v>
      </c>
      <c r="B13" s="7" t="s">
        <v>29</v>
      </c>
      <c r="C13" s="7" t="s">
        <v>30</v>
      </c>
      <c r="D13" s="7" t="s">
        <v>12</v>
      </c>
      <c r="E13" s="7" t="s">
        <v>12</v>
      </c>
      <c r="F13" s="8">
        <v>28</v>
      </c>
      <c r="G13" s="9">
        <v>89.56</v>
      </c>
      <c r="H13" s="10">
        <f t="shared" si="0"/>
        <v>2507.68</v>
      </c>
      <c r="I13" s="33"/>
      <c r="J13" s="33"/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  <c r="AA13" s="33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16"/>
      <c r="AT13" s="47"/>
      <c r="AU13" s="0"/>
      <c r="AV13" s="0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0"/>
      <c r="BN13" s="0"/>
      <c r="BO13" s="47"/>
      <c r="BP13" s="47"/>
      <c r="BQ13" s="47"/>
    </row>
    <row r="14" spans="1:69">
      <c r="A14" s="6">
        <v>11</v>
      </c>
      <c r="B14" s="7" t="s">
        <v>31</v>
      </c>
      <c r="C14" s="7" t="s">
        <v>32</v>
      </c>
      <c r="D14" s="7" t="s">
        <v>12</v>
      </c>
      <c r="E14" s="7" t="s">
        <v>12</v>
      </c>
      <c r="F14" s="8">
        <v>37</v>
      </c>
      <c r="G14" s="9">
        <v>89.54</v>
      </c>
      <c r="H14" s="10">
        <f t="shared" si="0"/>
        <v>3312.98</v>
      </c>
      <c r="I14" s="33"/>
      <c r="J14" s="33"/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  <c r="AA14" s="33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16"/>
      <c r="AT14" s="47"/>
      <c r="AU14" s="0"/>
      <c r="AV14" s="0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0"/>
      <c r="BN14" s="0"/>
      <c r="BO14" s="47"/>
      <c r="BP14" s="47"/>
      <c r="BQ14" s="47"/>
    </row>
    <row r="15" spans="1:69">
      <c r="A15" s="6">
        <v>12</v>
      </c>
      <c r="B15" s="7" t="s">
        <v>33</v>
      </c>
      <c r="C15" s="7" t="s">
        <v>34</v>
      </c>
      <c r="D15" s="7" t="s">
        <v>12</v>
      </c>
      <c r="E15" s="7" t="s">
        <v>12</v>
      </c>
      <c r="F15" s="8">
        <v>39</v>
      </c>
      <c r="G15" s="9">
        <v>98.25</v>
      </c>
      <c r="H15" s="10">
        <f t="shared" si="0"/>
        <v>3831.75</v>
      </c>
      <c r="I15" s="33"/>
      <c r="J15" s="33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  <c r="AA15" s="33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16"/>
      <c r="AT15" s="47"/>
      <c r="AU15" s="0"/>
      <c r="AV15" s="0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0"/>
      <c r="BN15" s="0"/>
      <c r="BO15" s="47"/>
      <c r="BP15" s="47"/>
      <c r="BQ15" s="47"/>
    </row>
    <row r="16" spans="1:69">
      <c r="A16" s="6">
        <v>13</v>
      </c>
      <c r="B16" s="7" t="s">
        <v>35</v>
      </c>
      <c r="C16" s="7" t="s">
        <v>36</v>
      </c>
      <c r="D16" s="7" t="s">
        <v>12</v>
      </c>
      <c r="E16" s="7" t="s">
        <v>12</v>
      </c>
      <c r="F16" s="8">
        <v>70</v>
      </c>
      <c r="G16" s="9">
        <v>102.25</v>
      </c>
      <c r="H16" s="10">
        <f t="shared" si="0"/>
        <v>7157.5</v>
      </c>
      <c r="I16" s="33"/>
      <c r="J16" s="33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  <c r="AA16" s="3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16"/>
      <c r="AT16" s="47"/>
      <c r="AU16" s="0"/>
      <c r="AV16" s="0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M16" s="0"/>
      <c r="BN16" s="0"/>
      <c r="BO16" s="47"/>
      <c r="BP16" s="47"/>
      <c r="BQ16" s="47"/>
    </row>
    <row r="17" spans="1:69">
      <c r="A17" s="6">
        <v>14</v>
      </c>
      <c r="B17" s="7" t="s">
        <v>37</v>
      </c>
      <c r="C17" s="7" t="s">
        <v>38</v>
      </c>
      <c r="D17" s="7" t="s">
        <v>12</v>
      </c>
      <c r="E17" s="7" t="s">
        <v>12</v>
      </c>
      <c r="F17" s="8">
        <v>100</v>
      </c>
      <c r="G17" s="9">
        <v>103.5</v>
      </c>
      <c r="H17" s="10">
        <f t="shared" si="0"/>
        <v>10350</v>
      </c>
      <c r="I17" s="33"/>
      <c r="J17" s="33"/>
      <c r="K17" s="33"/>
      <c r="L17" s="34"/>
      <c r="M17" s="34"/>
      <c r="N17" s="34"/>
      <c r="O17" s="34"/>
      <c r="P17" s="34"/>
      <c r="Q17" s="34"/>
      <c r="R17" s="34"/>
      <c r="S17" s="38"/>
      <c r="T17" s="34"/>
      <c r="U17" s="33"/>
      <c r="V17" s="33"/>
      <c r="W17" s="33"/>
      <c r="X17" s="33"/>
      <c r="Y17" s="33"/>
      <c r="Z17" s="33"/>
      <c r="AA17" s="33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16"/>
      <c r="AT17" s="47"/>
      <c r="AU17" s="0"/>
      <c r="AV17" s="0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M17" s="0"/>
      <c r="BN17" s="0"/>
      <c r="BO17" s="47"/>
      <c r="BP17" s="47"/>
      <c r="BQ17" s="47"/>
    </row>
    <row r="18" ht="15.25" spans="1:69">
      <c r="A18" s="11">
        <v>15</v>
      </c>
      <c r="B18" s="12" t="s">
        <v>39</v>
      </c>
      <c r="C18" s="12" t="s">
        <v>40</v>
      </c>
      <c r="D18" s="12" t="s">
        <v>12</v>
      </c>
      <c r="E18" s="12" t="s">
        <v>12</v>
      </c>
      <c r="F18" s="13">
        <v>85</v>
      </c>
      <c r="G18" s="14">
        <v>65.48</v>
      </c>
      <c r="H18" s="15">
        <f t="shared" si="0"/>
        <v>5565.8</v>
      </c>
      <c r="I18" s="33"/>
      <c r="J18" s="33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  <c r="AA18" s="33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16"/>
      <c r="AT18" s="47"/>
      <c r="AU18" s="0"/>
      <c r="AV18" s="0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M18" s="0"/>
      <c r="BN18" s="0"/>
      <c r="BO18" s="47"/>
      <c r="BP18" s="47"/>
      <c r="BQ18" s="47"/>
    </row>
    <row r="19" ht="15.25" spans="1:69">
      <c r="A19" s="16"/>
      <c r="B19" s="17" t="s">
        <v>41</v>
      </c>
      <c r="C19" s="17"/>
      <c r="D19" s="17"/>
      <c r="E19" s="17"/>
      <c r="F19" s="17"/>
      <c r="G19" s="17"/>
      <c r="H19" s="18">
        <f>SUM(H4:H18)</f>
        <v>71856.76</v>
      </c>
      <c r="I19" s="35"/>
      <c r="J19" s="35"/>
      <c r="K19" s="35"/>
      <c r="L19" s="35"/>
      <c r="M19" s="35"/>
      <c r="N19" s="35"/>
      <c r="O19" s="35"/>
      <c r="P19" s="35"/>
      <c r="Q19" s="35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47"/>
      <c r="AU19" s="0"/>
      <c r="AV19" s="0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M19" s="0"/>
      <c r="BN19" s="0"/>
      <c r="BO19" s="47"/>
      <c r="BP19" s="47"/>
      <c r="BQ19" s="47"/>
    </row>
    <row r="20" spans="1:69">
      <c r="A20" s="19" t="s">
        <v>42</v>
      </c>
      <c r="B20" s="20"/>
      <c r="C20" s="20"/>
      <c r="D20" s="20"/>
      <c r="E20" s="20"/>
      <c r="F20" s="20"/>
      <c r="G20" s="20"/>
      <c r="H20" s="19"/>
      <c r="I20" s="35"/>
      <c r="J20" s="35"/>
      <c r="K20" s="35"/>
      <c r="L20" s="35"/>
      <c r="M20" s="35"/>
      <c r="N20" s="35"/>
      <c r="O20" s="35"/>
      <c r="P20" s="35"/>
      <c r="Q20" s="35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</row>
    <row r="21" ht="15.25" spans="1:69">
      <c r="A21" s="21" t="s">
        <v>43</v>
      </c>
      <c r="B21" s="21"/>
      <c r="C21" s="22">
        <v>3</v>
      </c>
      <c r="D21" s="23" t="s">
        <v>44</v>
      </c>
      <c r="E21" s="20"/>
      <c r="F21" s="20"/>
      <c r="G21" s="20"/>
      <c r="H21" s="19"/>
      <c r="I21" s="35" t="s">
        <v>45</v>
      </c>
      <c r="J21" s="35" t="s">
        <v>46</v>
      </c>
      <c r="K21" s="35"/>
      <c r="L21" s="35" t="s">
        <v>47</v>
      </c>
      <c r="M21" s="35">
        <v>1</v>
      </c>
      <c r="N21" s="35"/>
      <c r="O21" s="35" t="s">
        <v>48</v>
      </c>
      <c r="P21" s="35">
        <v>1</v>
      </c>
      <c r="Q21" s="35" t="s">
        <v>49</v>
      </c>
      <c r="R21" s="19"/>
      <c r="S21" s="19"/>
      <c r="T21" s="19"/>
      <c r="U21" s="19"/>
      <c r="V21" s="19">
        <v>1</v>
      </c>
      <c r="W21" s="19" t="s">
        <v>50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47"/>
      <c r="AU21" s="47"/>
      <c r="AV21" s="47"/>
      <c r="AW21" s="47"/>
      <c r="AX21" s="47"/>
      <c r="AY21" s="47"/>
      <c r="AZ21" s="47"/>
      <c r="BA21" s="47"/>
      <c r="BB21" s="47"/>
      <c r="BC21" s="47"/>
      <c r="BD21" s="47"/>
      <c r="BE21" s="47"/>
      <c r="BF21" s="47"/>
      <c r="BG21" s="47"/>
      <c r="BH21" s="47"/>
      <c r="BI21" s="47"/>
      <c r="BJ21" s="47"/>
      <c r="BK21" s="47"/>
      <c r="BL21" s="47"/>
      <c r="BM21" s="47"/>
      <c r="BN21" s="47"/>
      <c r="BO21" s="47"/>
      <c r="BP21" s="47"/>
      <c r="BQ21" s="47"/>
    </row>
    <row r="22" ht="59.5" spans="1:69">
      <c r="A22" s="24" t="s">
        <v>2</v>
      </c>
      <c r="B22" s="24" t="s">
        <v>3</v>
      </c>
      <c r="C22" s="25" t="s">
        <v>4</v>
      </c>
      <c r="D22" s="24" t="s">
        <v>5</v>
      </c>
      <c r="E22" s="24" t="s">
        <v>6</v>
      </c>
      <c r="F22" s="26" t="s">
        <v>51</v>
      </c>
      <c r="G22" s="24" t="s">
        <v>8</v>
      </c>
      <c r="H22" s="24" t="s">
        <v>9</v>
      </c>
      <c r="I22" s="36" t="s">
        <v>52</v>
      </c>
      <c r="J22" s="36" t="s">
        <v>53</v>
      </c>
      <c r="K22" s="36" t="s">
        <v>54</v>
      </c>
      <c r="L22" s="37" t="s">
        <v>55</v>
      </c>
      <c r="M22" s="37" t="s">
        <v>56</v>
      </c>
      <c r="N22" s="37" t="s">
        <v>57</v>
      </c>
      <c r="O22" s="37" t="s">
        <v>58</v>
      </c>
      <c r="P22" s="37" t="s">
        <v>59</v>
      </c>
      <c r="Q22" s="37" t="s">
        <v>60</v>
      </c>
      <c r="R22" s="36" t="s">
        <v>61</v>
      </c>
      <c r="S22" s="24" t="s">
        <v>62</v>
      </c>
      <c r="T22" s="24" t="s">
        <v>63</v>
      </c>
      <c r="U22" s="39" t="s">
        <v>64</v>
      </c>
      <c r="V22" s="39" t="s">
        <v>65</v>
      </c>
      <c r="W22" s="39" t="s">
        <v>66</v>
      </c>
      <c r="X22" s="39" t="s">
        <v>67</v>
      </c>
      <c r="Y22" s="39" t="s">
        <v>68</v>
      </c>
      <c r="Z22" s="39" t="s">
        <v>69</v>
      </c>
      <c r="AA22" s="39" t="s">
        <v>70</v>
      </c>
      <c r="AB22" s="39" t="s">
        <v>71</v>
      </c>
      <c r="AC22" s="42" t="s">
        <v>72</v>
      </c>
      <c r="AD22" s="42" t="s">
        <v>73</v>
      </c>
      <c r="AE22" s="43" t="s">
        <v>74</v>
      </c>
      <c r="AF22" s="43" t="s">
        <v>75</v>
      </c>
      <c r="AG22" s="43" t="s">
        <v>76</v>
      </c>
      <c r="AH22" s="42" t="s">
        <v>77</v>
      </c>
      <c r="AI22" s="42" t="s">
        <v>78</v>
      </c>
      <c r="AJ22" s="43" t="s">
        <v>79</v>
      </c>
      <c r="AK22" s="43" t="s">
        <v>80</v>
      </c>
      <c r="AL22" s="42" t="s">
        <v>81</v>
      </c>
      <c r="AM22" s="42" t="s">
        <v>82</v>
      </c>
      <c r="AN22" s="43" t="s">
        <v>83</v>
      </c>
      <c r="AO22" s="43" t="s">
        <v>84</v>
      </c>
      <c r="AP22" s="43" t="s">
        <v>85</v>
      </c>
      <c r="AQ22" s="42" t="s">
        <v>86</v>
      </c>
      <c r="AR22" s="48" t="s">
        <v>87</v>
      </c>
      <c r="AS22" s="3" t="s">
        <v>88</v>
      </c>
      <c r="AT22" s="3" t="s">
        <v>86</v>
      </c>
      <c r="AU22" s="0"/>
      <c r="AV22" s="0"/>
      <c r="AW22" s="49" t="s">
        <v>91</v>
      </c>
      <c r="AX22" s="49" t="s">
        <v>92</v>
      </c>
      <c r="AY22" s="49" t="s">
        <v>93</v>
      </c>
      <c r="AZ22" s="49" t="s">
        <v>94</v>
      </c>
      <c r="BA22" s="49" t="s">
        <v>95</v>
      </c>
      <c r="BB22" s="49" t="s">
        <v>96</v>
      </c>
      <c r="BC22" s="51" t="s">
        <v>97</v>
      </c>
      <c r="BD22" s="51" t="s">
        <v>98</v>
      </c>
      <c r="BE22" s="51" t="s">
        <v>99</v>
      </c>
      <c r="BF22" s="49" t="s">
        <v>100</v>
      </c>
      <c r="BG22" s="49" t="s">
        <v>101</v>
      </c>
      <c r="BH22" s="49" t="s">
        <v>102</v>
      </c>
      <c r="BI22" s="49" t="s">
        <v>103</v>
      </c>
      <c r="BJ22" s="49" t="s">
        <v>104</v>
      </c>
      <c r="BK22" s="49" t="s">
        <v>105</v>
      </c>
      <c r="BL22" s="49" t="s">
        <v>106</v>
      </c>
      <c r="BM22" s="0"/>
      <c r="BN22" s="0"/>
      <c r="BO22" s="49" t="s">
        <v>94</v>
      </c>
      <c r="BP22" s="49" t="s">
        <v>109</v>
      </c>
      <c r="BQ22" s="49" t="s">
        <v>63</v>
      </c>
    </row>
    <row r="23" ht="15.25" spans="1:69">
      <c r="A23" s="27">
        <v>1</v>
      </c>
      <c r="B23" s="27" t="s">
        <v>129</v>
      </c>
      <c r="C23" s="27" t="s">
        <v>129</v>
      </c>
      <c r="D23" s="27" t="s">
        <v>12</v>
      </c>
      <c r="E23" s="27" t="s">
        <v>12</v>
      </c>
      <c r="F23" s="28">
        <v>2</v>
      </c>
      <c r="G23" t="s" s="0">
        <v>130</v>
      </c>
      <c r="H23" s="28">
        <f>F23*G23</f>
        <v>400</v>
      </c>
      <c r="I23" t="s" s="0">
        <v>120</v>
      </c>
      <c r="J23" s="28">
        <v>1.79</v>
      </c>
      <c r="K23" s="28">
        <v>2.5</v>
      </c>
      <c r="L23" s="28">
        <f>H23</f>
        <v>400</v>
      </c>
      <c r="M23" s="28">
        <f>ROUND(L23*I23%,2)</f>
        <v>0</v>
      </c>
      <c r="N23" s="28">
        <f>H23-M23</f>
        <v>400</v>
      </c>
      <c r="O23" s="28">
        <f>ROUND(N23*J23%,2)</f>
        <v>7.16</v>
      </c>
      <c r="P23" s="28">
        <f>ROUND(N23-O23,2)</f>
        <v>392.84</v>
      </c>
      <c r="Q23" s="28">
        <f>ROUND(P23*K23%,2)</f>
        <v>9.82</v>
      </c>
      <c r="R23" s="28">
        <f>M23+O23+Q23</f>
        <v>16.98</v>
      </c>
      <c r="S23" s="28">
        <f>(H23-R23)</f>
        <v>383.02</v>
      </c>
      <c r="T23" s="28" t="s">
        <v>113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4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383.02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383.02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191.51</v>
      </c>
      <c r="AO23" s="28">
        <f>AJ23/AM23</f>
        <v>0</v>
      </c>
      <c r="AP23" s="28">
        <f>AK23/AM23</f>
        <v>0</v>
      </c>
      <c r="AQ23" s="28" t="s">
        <v>12</v>
      </c>
      <c r="AR23" s="28">
        <f>AN23+AO23+AP23</f>
        <v>191.51</v>
      </c>
      <c r="AS23" s="50" t="s">
        <v>114</v>
      </c>
      <c r="AT23" s="50" t="s">
        <v>12</v>
      </c>
      <c r="AU23" t="s" s="0">
        <v>120</v>
      </c>
      <c r="AV23" t="s" s="0">
        <v>157</v>
      </c>
      <c r="AW23" s="50">
        <f>AM23</f>
        <v>2</v>
      </c>
      <c r="AX23" s="50">
        <f>AR23</f>
        <v>191.51</v>
      </c>
      <c r="AY23" s="50">
        <f>AU23+AW23</f>
        <v>2</v>
      </c>
      <c r="AZ23" s="50">
        <f>ROUND(((AU23*AV23)+(AW23*AX23))/(AU23+AW23),5)</f>
        <v>191.51</v>
      </c>
      <c r="BA23" s="52"/>
      <c r="BB23" s="52" t="s">
        <v>115</v>
      </c>
      <c r="BC23" s="53" t="s">
        <v>116</v>
      </c>
      <c r="BD23" s="54" t="s">
        <v>117</v>
      </c>
      <c r="BE23" s="54" t="s">
        <v>118</v>
      </c>
      <c r="BF23" s="52"/>
      <c r="BG23" s="52"/>
      <c r="BH23" s="52"/>
      <c r="BI23" s="50"/>
      <c r="BJ23" s="50"/>
      <c r="BK23" s="50"/>
      <c r="BL23" s="50" t="s">
        <v>119</v>
      </c>
      <c r="BM23" t="s" s="0">
        <v>159</v>
      </c>
      <c r="BN23" t="s" s="0">
        <v>158</v>
      </c>
      <c r="BO23" s="50">
        <f>ROUND((((AW23*AZ23)+(BN23*BM23))/(AW23+BN23)),5)</f>
        <v>187.01048</v>
      </c>
      <c r="BP23" s="55">
        <f>BN23+AW23</f>
        <v>82</v>
      </c>
      <c r="BQ23" s="56">
        <v>88363222</v>
      </c>
    </row>
    <row r="24" ht="15.25" spans="1:69">
      <c r="A24" s="16"/>
      <c r="B24" s="29"/>
      <c r="C24" s="29"/>
      <c r="D24" s="30" t="s">
        <v>41</v>
      </c>
      <c r="E24" s="30"/>
      <c r="F24" s="30"/>
      <c r="G24" s="31"/>
      <c r="H24" s="32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 t="shared" ref="R24:Y24" si="1">SUM(R23:R23)</f>
        <v>16.98</v>
      </c>
      <c r="S24" s="40">
        <f t="shared" si="1"/>
        <v>383.02</v>
      </c>
      <c r="T24" s="32"/>
      <c r="U24" s="32"/>
      <c r="V24" s="41">
        <f t="shared" si="1"/>
        <v>0</v>
      </c>
      <c r="W24" s="41">
        <f t="shared" si="1"/>
        <v>0</v>
      </c>
      <c r="X24" s="41">
        <f t="shared" si="1"/>
        <v>0</v>
      </c>
      <c r="Y24" s="41">
        <f t="shared" si="1"/>
        <v>0</v>
      </c>
      <c r="Z24" s="41"/>
      <c r="AA24" s="41">
        <f t="shared" ref="AA24:AE24" si="2">SUM(AA23:AA23)</f>
        <v>0</v>
      </c>
      <c r="AB24" s="32">
        <f t="shared" si="2"/>
        <v>0</v>
      </c>
      <c r="AC24" s="45">
        <f t="shared" si="2"/>
        <v>383.02</v>
      </c>
      <c r="AD24" s="46">
        <f t="shared" si="2"/>
        <v>120</v>
      </c>
      <c r="AE24" s="46">
        <f t="shared" si="2"/>
        <v>0</v>
      </c>
      <c r="AF24" s="45"/>
      <c r="AG24" s="46">
        <f t="shared" ref="AG24:AK24" si="3">SUM(AG23:AG23)</f>
        <v>0</v>
      </c>
      <c r="AH24" s="46">
        <f t="shared" si="3"/>
        <v>0</v>
      </c>
      <c r="AI24" s="46">
        <f t="shared" si="3"/>
        <v>383.02</v>
      </c>
      <c r="AJ24" s="46">
        <f t="shared" si="3"/>
        <v>0</v>
      </c>
      <c r="AK24" s="46">
        <f t="shared" si="3"/>
        <v>0</v>
      </c>
      <c r="AL24" s="45"/>
      <c r="AM24" s="45"/>
      <c r="AN24" s="45"/>
      <c r="AO24" s="45"/>
      <c r="AP24" s="45"/>
      <c r="AQ24" s="45"/>
      <c r="AR24" s="45"/>
      <c r="AS24" s="16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2" workbookViewId="0">
      <selection activeCell="J31" sqref="J31"/>
    </sheetView>
  </sheetViews>
  <sheetFormatPr defaultColWidth="8.70909090909091" defaultRowHeight="14.5"/>
  <cols>
    <col min="8" max="8" customWidth="true" width="9.42727272727273"/>
  </cols>
  <sheetData>
    <row r="1" ht="18.5" spans="1:69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</row>
    <row r="2" ht="19.25" spans="1:69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</row>
    <row r="3" ht="15.25" spans="1:69">
      <c r="A3" s="2" t="s">
        <v>2</v>
      </c>
      <c r="B3" s="3" t="s">
        <v>3</v>
      </c>
      <c r="C3" s="4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5" t="s">
        <v>9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</row>
    <row r="4" spans="1:69">
      <c r="A4" s="6">
        <v>1</v>
      </c>
      <c r="B4" s="7" t="s">
        <v>10</v>
      </c>
      <c r="C4" s="7" t="s">
        <v>11</v>
      </c>
      <c r="D4" s="7" t="s">
        <v>12</v>
      </c>
      <c r="E4" s="7" t="s">
        <v>12</v>
      </c>
      <c r="F4" s="8">
        <v>25</v>
      </c>
      <c r="G4" s="9">
        <v>257.63</v>
      </c>
      <c r="H4" s="10">
        <f t="shared" ref="H4:H18" si="0">F4*G4</f>
        <v>6440.75</v>
      </c>
      <c r="I4" s="33"/>
      <c r="J4" s="33"/>
      <c r="K4" s="33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  <c r="AA4" s="33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16"/>
      <c r="AT4" s="47"/>
      <c r="AU4" s="0"/>
      <c r="AV4" s="0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0"/>
      <c r="BN4" s="0"/>
      <c r="BO4" s="47"/>
      <c r="BP4" s="47"/>
      <c r="BQ4" s="47"/>
    </row>
    <row r="5" spans="1:69">
      <c r="A5" s="6">
        <v>2</v>
      </c>
      <c r="B5" s="7" t="s">
        <v>13</v>
      </c>
      <c r="C5" s="7" t="s">
        <v>14</v>
      </c>
      <c r="D5" s="7" t="s">
        <v>12</v>
      </c>
      <c r="E5" s="7" t="s">
        <v>12</v>
      </c>
      <c r="F5" s="8">
        <v>35</v>
      </c>
      <c r="G5" s="9">
        <v>125.45</v>
      </c>
      <c r="H5" s="10">
        <f t="shared" si="0"/>
        <v>4390.75</v>
      </c>
      <c r="I5" s="33"/>
      <c r="J5" s="33"/>
      <c r="K5" s="33"/>
      <c r="L5" s="34"/>
      <c r="M5" s="34"/>
      <c r="N5" s="34"/>
      <c r="O5" s="34"/>
      <c r="P5" s="34"/>
      <c r="Q5" s="34"/>
      <c r="R5" s="34"/>
      <c r="S5" s="34"/>
      <c r="T5" s="34"/>
      <c r="U5" s="33"/>
      <c r="V5" s="33"/>
      <c r="W5" s="33"/>
      <c r="X5" s="33"/>
      <c r="Y5" s="33"/>
      <c r="Z5" s="33"/>
      <c r="AA5" s="33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16"/>
      <c r="AT5" s="47"/>
      <c r="AU5" s="0"/>
      <c r="AV5" s="0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0"/>
      <c r="BN5" s="0"/>
      <c r="BO5" s="47"/>
      <c r="BP5" s="47"/>
      <c r="BQ5" s="47"/>
    </row>
    <row r="6" spans="1:69">
      <c r="A6" s="6">
        <v>3</v>
      </c>
      <c r="B6" s="7" t="s">
        <v>15</v>
      </c>
      <c r="C6" s="7" t="s">
        <v>16</v>
      </c>
      <c r="D6" s="7" t="s">
        <v>12</v>
      </c>
      <c r="E6" s="7" t="s">
        <v>12</v>
      </c>
      <c r="F6" s="8">
        <v>45</v>
      </c>
      <c r="G6" s="9">
        <v>125.36</v>
      </c>
      <c r="H6" s="10">
        <f t="shared" si="0"/>
        <v>5641.2</v>
      </c>
      <c r="I6" s="33"/>
      <c r="J6" s="33"/>
      <c r="K6" s="33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  <c r="AA6" s="33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16"/>
      <c r="AT6" s="47"/>
      <c r="AU6" s="0"/>
      <c r="AV6" s="0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47"/>
      <c r="BK6" s="47"/>
      <c r="BL6" s="47"/>
      <c r="BM6" s="0"/>
      <c r="BN6" s="0"/>
      <c r="BO6" s="47"/>
      <c r="BP6" s="47"/>
      <c r="BQ6" s="47"/>
    </row>
    <row r="7" spans="1:69">
      <c r="A7" s="6">
        <v>4</v>
      </c>
      <c r="B7" s="7" t="s">
        <v>17</v>
      </c>
      <c r="C7" s="7" t="s">
        <v>18</v>
      </c>
      <c r="D7" s="7" t="s">
        <v>12</v>
      </c>
      <c r="E7" s="7" t="s">
        <v>12</v>
      </c>
      <c r="F7" s="8">
        <v>55</v>
      </c>
      <c r="G7" s="9">
        <v>45.25</v>
      </c>
      <c r="H7" s="10">
        <f t="shared" si="0"/>
        <v>2488.75</v>
      </c>
      <c r="I7" s="33"/>
      <c r="J7" s="33"/>
      <c r="K7" s="33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  <c r="AA7" s="33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16"/>
      <c r="AT7" s="47"/>
      <c r="AU7" s="0"/>
      <c r="AV7" s="0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M7" s="0"/>
      <c r="BN7" s="0"/>
      <c r="BO7" s="47"/>
      <c r="BP7" s="47"/>
      <c r="BQ7" s="47"/>
    </row>
    <row r="8" spans="1:69">
      <c r="A8" s="6">
        <v>5</v>
      </c>
      <c r="B8" s="7" t="s">
        <v>19</v>
      </c>
      <c r="C8" s="7" t="s">
        <v>20</v>
      </c>
      <c r="D8" s="7" t="s">
        <v>12</v>
      </c>
      <c r="E8" s="7" t="s">
        <v>12</v>
      </c>
      <c r="F8" s="8">
        <v>60</v>
      </c>
      <c r="G8" s="9">
        <v>45.5</v>
      </c>
      <c r="H8" s="10">
        <f t="shared" si="0"/>
        <v>2730</v>
      </c>
      <c r="I8" s="33"/>
      <c r="J8" s="33"/>
      <c r="K8" s="33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  <c r="AA8" s="33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16"/>
      <c r="AT8" s="47"/>
      <c r="AU8" s="0"/>
      <c r="AV8" s="0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0"/>
      <c r="BN8" s="0"/>
      <c r="BO8" s="47"/>
      <c r="BP8" s="47"/>
      <c r="BQ8" s="47"/>
    </row>
    <row r="9" spans="1:69">
      <c r="A9" s="6">
        <v>6</v>
      </c>
      <c r="B9" s="7" t="s">
        <v>21</v>
      </c>
      <c r="C9" s="7" t="s">
        <v>22</v>
      </c>
      <c r="D9" s="7" t="s">
        <v>12</v>
      </c>
      <c r="E9" s="7" t="s">
        <v>12</v>
      </c>
      <c r="F9" s="8">
        <v>75</v>
      </c>
      <c r="G9" s="9">
        <v>125.25</v>
      </c>
      <c r="H9" s="10">
        <f t="shared" si="0"/>
        <v>9393.75</v>
      </c>
      <c r="I9" s="33"/>
      <c r="J9" s="33"/>
      <c r="K9" s="33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  <c r="AA9" s="33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16"/>
      <c r="AT9" s="47"/>
      <c r="AU9" s="0"/>
      <c r="AV9" s="0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0"/>
      <c r="BN9" s="0"/>
      <c r="BO9" s="47"/>
      <c r="BP9" s="47"/>
      <c r="BQ9" s="47"/>
    </row>
    <row r="10" spans="1:69">
      <c r="A10" s="6">
        <v>7</v>
      </c>
      <c r="B10" s="7" t="s">
        <v>23</v>
      </c>
      <c r="C10" s="7" t="s">
        <v>24</v>
      </c>
      <c r="D10" s="7" t="s">
        <v>12</v>
      </c>
      <c r="E10" s="7" t="s">
        <v>12</v>
      </c>
      <c r="F10" s="8">
        <v>28</v>
      </c>
      <c r="G10" s="9">
        <v>150.5</v>
      </c>
      <c r="H10" s="10">
        <f t="shared" si="0"/>
        <v>4214</v>
      </c>
      <c r="I10" s="33"/>
      <c r="J10" s="33"/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  <c r="AA10" s="33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16"/>
      <c r="AT10" s="47"/>
      <c r="AU10" s="0"/>
      <c r="AV10" s="0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0"/>
      <c r="BN10" s="0"/>
      <c r="BO10" s="47"/>
      <c r="BP10" s="47"/>
      <c r="BQ10" s="47"/>
    </row>
    <row r="11" spans="1:69">
      <c r="A11" s="6">
        <v>8</v>
      </c>
      <c r="B11" s="7" t="s">
        <v>25</v>
      </c>
      <c r="C11" s="7" t="s">
        <v>26</v>
      </c>
      <c r="D11" s="7" t="s">
        <v>12</v>
      </c>
      <c r="E11" s="7" t="s">
        <v>12</v>
      </c>
      <c r="F11" s="8">
        <v>30</v>
      </c>
      <c r="G11" s="9">
        <v>65.32</v>
      </c>
      <c r="H11" s="10">
        <f t="shared" si="0"/>
        <v>1959.6</v>
      </c>
      <c r="I11" s="33"/>
      <c r="J11" s="33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  <c r="AA11" s="33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16"/>
      <c r="AT11" s="47"/>
      <c r="AU11" s="0"/>
      <c r="AV11" s="0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0"/>
      <c r="BN11" s="0"/>
      <c r="BO11" s="47"/>
      <c r="BP11" s="47"/>
      <c r="BQ11" s="47"/>
    </row>
    <row r="12" spans="1:69">
      <c r="A12" s="6">
        <v>9</v>
      </c>
      <c r="B12" s="7" t="s">
        <v>27</v>
      </c>
      <c r="C12" s="7" t="s">
        <v>28</v>
      </c>
      <c r="D12" s="7" t="s">
        <v>12</v>
      </c>
      <c r="E12" s="7" t="s">
        <v>12</v>
      </c>
      <c r="F12" s="8">
        <v>25</v>
      </c>
      <c r="G12" s="9">
        <v>74.89</v>
      </c>
      <c r="H12" s="10">
        <f t="shared" si="0"/>
        <v>1872.25</v>
      </c>
      <c r="I12" s="33"/>
      <c r="J12" s="33"/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  <c r="AA12" s="33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16"/>
      <c r="AT12" s="47"/>
      <c r="AU12" s="0"/>
      <c r="AV12" s="0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0"/>
      <c r="BN12" s="0"/>
      <c r="BO12" s="47"/>
      <c r="BP12" s="47"/>
      <c r="BQ12" s="47"/>
    </row>
    <row r="13" spans="1:69">
      <c r="A13" s="6">
        <v>10</v>
      </c>
      <c r="B13" s="7" t="s">
        <v>29</v>
      </c>
      <c r="C13" s="7" t="s">
        <v>30</v>
      </c>
      <c r="D13" s="7" t="s">
        <v>12</v>
      </c>
      <c r="E13" s="7" t="s">
        <v>12</v>
      </c>
      <c r="F13" s="8">
        <v>28</v>
      </c>
      <c r="G13" s="9">
        <v>89.56</v>
      </c>
      <c r="H13" s="10">
        <f t="shared" si="0"/>
        <v>2507.68</v>
      </c>
      <c r="I13" s="33"/>
      <c r="J13" s="33"/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  <c r="AA13" s="33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16"/>
      <c r="AT13" s="47"/>
      <c r="AU13" s="0"/>
      <c r="AV13" s="0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0"/>
      <c r="BN13" s="0"/>
      <c r="BO13" s="47"/>
      <c r="BP13" s="47"/>
      <c r="BQ13" s="47"/>
    </row>
    <row r="14" spans="1:69">
      <c r="A14" s="6">
        <v>11</v>
      </c>
      <c r="B14" s="7" t="s">
        <v>31</v>
      </c>
      <c r="C14" s="7" t="s">
        <v>32</v>
      </c>
      <c r="D14" s="7" t="s">
        <v>12</v>
      </c>
      <c r="E14" s="7" t="s">
        <v>12</v>
      </c>
      <c r="F14" s="8">
        <v>37</v>
      </c>
      <c r="G14" s="9">
        <v>89.54</v>
      </c>
      <c r="H14" s="10">
        <f t="shared" si="0"/>
        <v>3312.98</v>
      </c>
      <c r="I14" s="33"/>
      <c r="J14" s="33"/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  <c r="AA14" s="33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16"/>
      <c r="AT14" s="47"/>
      <c r="AU14" s="0"/>
      <c r="AV14" s="0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0"/>
      <c r="BN14" s="0"/>
      <c r="BO14" s="47"/>
      <c r="BP14" s="47"/>
      <c r="BQ14" s="47"/>
    </row>
    <row r="15" spans="1:69">
      <c r="A15" s="6">
        <v>12</v>
      </c>
      <c r="B15" s="7" t="s">
        <v>33</v>
      </c>
      <c r="C15" s="7" t="s">
        <v>34</v>
      </c>
      <c r="D15" s="7" t="s">
        <v>12</v>
      </c>
      <c r="E15" s="7" t="s">
        <v>12</v>
      </c>
      <c r="F15" s="8">
        <v>39</v>
      </c>
      <c r="G15" s="9">
        <v>98.25</v>
      </c>
      <c r="H15" s="10">
        <f t="shared" si="0"/>
        <v>3831.75</v>
      </c>
      <c r="I15" s="33"/>
      <c r="J15" s="33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  <c r="AA15" s="33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16"/>
      <c r="AT15" s="47"/>
      <c r="AU15" s="0"/>
      <c r="AV15" s="0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0"/>
      <c r="BN15" s="0"/>
      <c r="BO15" s="47"/>
      <c r="BP15" s="47"/>
      <c r="BQ15" s="47"/>
    </row>
    <row r="16" spans="1:69">
      <c r="A16" s="6">
        <v>13</v>
      </c>
      <c r="B16" s="7" t="s">
        <v>35</v>
      </c>
      <c r="C16" s="7" t="s">
        <v>36</v>
      </c>
      <c r="D16" s="7" t="s">
        <v>12</v>
      </c>
      <c r="E16" s="7" t="s">
        <v>12</v>
      </c>
      <c r="F16" s="8">
        <v>70</v>
      </c>
      <c r="G16" s="9">
        <v>102.25</v>
      </c>
      <c r="H16" s="10">
        <f t="shared" si="0"/>
        <v>7157.5</v>
      </c>
      <c r="I16" s="33"/>
      <c r="J16" s="33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  <c r="AA16" s="3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16"/>
      <c r="AT16" s="47"/>
      <c r="AU16" s="0"/>
      <c r="AV16" s="0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M16" s="0"/>
      <c r="BN16" s="0"/>
      <c r="BO16" s="47"/>
      <c r="BP16" s="47"/>
      <c r="BQ16" s="47"/>
    </row>
    <row r="17" spans="1:69">
      <c r="A17" s="6">
        <v>14</v>
      </c>
      <c r="B17" s="7" t="s">
        <v>37</v>
      </c>
      <c r="C17" s="7" t="s">
        <v>38</v>
      </c>
      <c r="D17" s="7" t="s">
        <v>12</v>
      </c>
      <c r="E17" s="7" t="s">
        <v>12</v>
      </c>
      <c r="F17" s="8">
        <v>100</v>
      </c>
      <c r="G17" s="9">
        <v>103.5</v>
      </c>
      <c r="H17" s="10">
        <f t="shared" si="0"/>
        <v>10350</v>
      </c>
      <c r="I17" s="33"/>
      <c r="J17" s="33"/>
      <c r="K17" s="33"/>
      <c r="L17" s="34"/>
      <c r="M17" s="34"/>
      <c r="N17" s="34"/>
      <c r="O17" s="34"/>
      <c r="P17" s="34"/>
      <c r="Q17" s="34"/>
      <c r="R17" s="34"/>
      <c r="S17" s="38"/>
      <c r="T17" s="34"/>
      <c r="U17" s="33"/>
      <c r="V17" s="33"/>
      <c r="W17" s="33"/>
      <c r="X17" s="33"/>
      <c r="Y17" s="33"/>
      <c r="Z17" s="33"/>
      <c r="AA17" s="33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16"/>
      <c r="AT17" s="47"/>
      <c r="AU17" s="0"/>
      <c r="AV17" s="0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M17" s="0"/>
      <c r="BN17" s="0"/>
      <c r="BO17" s="47"/>
      <c r="BP17" s="47"/>
      <c r="BQ17" s="47"/>
    </row>
    <row r="18" ht="15.25" spans="1:69">
      <c r="A18" s="11">
        <v>15</v>
      </c>
      <c r="B18" s="12" t="s">
        <v>39</v>
      </c>
      <c r="C18" s="12" t="s">
        <v>40</v>
      </c>
      <c r="D18" s="12" t="s">
        <v>12</v>
      </c>
      <c r="E18" s="12" t="s">
        <v>12</v>
      </c>
      <c r="F18" s="13">
        <v>85</v>
      </c>
      <c r="G18" s="14">
        <v>65.48</v>
      </c>
      <c r="H18" s="15">
        <f t="shared" si="0"/>
        <v>5565.8</v>
      </c>
      <c r="I18" s="33"/>
      <c r="J18" s="33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  <c r="AA18" s="33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16"/>
      <c r="AT18" s="47"/>
      <c r="AU18" s="0"/>
      <c r="AV18" s="0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M18" s="0"/>
      <c r="BN18" s="0"/>
      <c r="BO18" s="47"/>
      <c r="BP18" s="47"/>
      <c r="BQ18" s="47"/>
    </row>
    <row r="19" ht="15.25" spans="1:69">
      <c r="A19" s="16"/>
      <c r="B19" s="57" t="s">
        <v>41</v>
      </c>
      <c r="C19" s="58"/>
      <c r="D19" s="58"/>
      <c r="E19" s="58"/>
      <c r="F19" s="58"/>
      <c r="G19" s="59"/>
      <c r="H19" s="18">
        <f>SUM(H4:H18)</f>
        <v>71856.76</v>
      </c>
      <c r="I19" s="35"/>
      <c r="J19" s="35"/>
      <c r="K19" s="35"/>
      <c r="L19" s="35"/>
      <c r="M19" s="35"/>
      <c r="N19" s="35"/>
      <c r="O19" s="35"/>
      <c r="P19" s="35"/>
      <c r="Q19" s="35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47"/>
      <c r="AU19" s="0"/>
      <c r="AV19" s="0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M19" s="0"/>
      <c r="BN19" s="0"/>
      <c r="BO19" s="47"/>
      <c r="BP19" s="47"/>
      <c r="BQ19" s="47"/>
    </row>
    <row r="20" spans="1:69">
      <c r="A20" s="19" t="s">
        <v>42</v>
      </c>
      <c r="B20" s="20"/>
      <c r="C20" s="20"/>
      <c r="D20" s="20"/>
      <c r="E20" s="20"/>
      <c r="F20" s="20"/>
      <c r="G20" s="20"/>
      <c r="H20" s="19"/>
      <c r="I20" s="35"/>
      <c r="J20" s="35"/>
      <c r="K20" s="35"/>
      <c r="L20" s="35"/>
      <c r="M20" s="35"/>
      <c r="N20" s="35"/>
      <c r="O20" s="35"/>
      <c r="P20" s="35"/>
      <c r="Q20" s="35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</row>
    <row r="21" ht="15.25" spans="1:69">
      <c r="A21" s="21" t="s">
        <v>43</v>
      </c>
      <c r="B21" s="21"/>
      <c r="C21" s="22">
        <v>3</v>
      </c>
      <c r="D21" s="23" t="s">
        <v>44</v>
      </c>
      <c r="E21" s="20"/>
      <c r="F21" s="20"/>
      <c r="G21" s="20"/>
      <c r="H21" s="19"/>
      <c r="I21" s="35" t="s">
        <v>45</v>
      </c>
      <c r="J21" s="35" t="s">
        <v>46</v>
      </c>
      <c r="K21" s="35"/>
      <c r="L21" s="35" t="s">
        <v>47</v>
      </c>
      <c r="M21" s="35">
        <v>1</v>
      </c>
      <c r="N21" s="35"/>
      <c r="O21" s="35" t="s">
        <v>48</v>
      </c>
      <c r="P21" s="35">
        <v>1</v>
      </c>
      <c r="Q21" s="35" t="s">
        <v>49</v>
      </c>
      <c r="R21" s="19"/>
      <c r="S21" s="19"/>
      <c r="T21" s="19"/>
      <c r="U21" s="19"/>
      <c r="V21" s="19">
        <v>1</v>
      </c>
      <c r="W21" s="19" t="s">
        <v>50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47"/>
      <c r="AU21" s="47"/>
      <c r="AV21" s="47"/>
      <c r="AW21" s="47"/>
      <c r="AX21" s="47"/>
      <c r="AY21" s="47"/>
      <c r="AZ21" s="47"/>
      <c r="BA21" s="47"/>
      <c r="BB21" s="47"/>
      <c r="BC21" s="47"/>
      <c r="BD21" s="47"/>
      <c r="BE21" s="47"/>
      <c r="BF21" s="47"/>
      <c r="BG21" s="47"/>
      <c r="BH21" s="47"/>
      <c r="BI21" s="47"/>
      <c r="BJ21" s="47"/>
      <c r="BK21" s="47"/>
      <c r="BL21" s="47"/>
      <c r="BM21" s="47"/>
      <c r="BN21" s="47"/>
      <c r="BO21" s="47"/>
      <c r="BP21" s="47"/>
      <c r="BQ21" s="47"/>
    </row>
    <row r="22" ht="59.5" spans="1:69">
      <c r="A22" s="24" t="s">
        <v>2</v>
      </c>
      <c r="B22" s="24" t="s">
        <v>3</v>
      </c>
      <c r="C22" s="25" t="s">
        <v>4</v>
      </c>
      <c r="D22" s="24" t="s">
        <v>5</v>
      </c>
      <c r="E22" s="24" t="s">
        <v>6</v>
      </c>
      <c r="F22" s="26" t="s">
        <v>51</v>
      </c>
      <c r="G22" s="24" t="s">
        <v>8</v>
      </c>
      <c r="H22" s="24" t="s">
        <v>9</v>
      </c>
      <c r="I22" s="36" t="s">
        <v>52</v>
      </c>
      <c r="J22" s="36" t="s">
        <v>53</v>
      </c>
      <c r="K22" s="36" t="s">
        <v>54</v>
      </c>
      <c r="L22" s="37" t="s">
        <v>55</v>
      </c>
      <c r="M22" s="37" t="s">
        <v>56</v>
      </c>
      <c r="N22" s="37" t="s">
        <v>57</v>
      </c>
      <c r="O22" s="37" t="s">
        <v>58</v>
      </c>
      <c r="P22" s="37" t="s">
        <v>59</v>
      </c>
      <c r="Q22" s="37" t="s">
        <v>60</v>
      </c>
      <c r="R22" s="36" t="s">
        <v>61</v>
      </c>
      <c r="S22" s="24" t="s">
        <v>62</v>
      </c>
      <c r="T22" s="24" t="s">
        <v>63</v>
      </c>
      <c r="U22" s="39" t="s">
        <v>64</v>
      </c>
      <c r="V22" s="39" t="s">
        <v>65</v>
      </c>
      <c r="W22" s="39" t="s">
        <v>66</v>
      </c>
      <c r="X22" s="39" t="s">
        <v>67</v>
      </c>
      <c r="Y22" s="39" t="s">
        <v>68</v>
      </c>
      <c r="Z22" s="39" t="s">
        <v>69</v>
      </c>
      <c r="AA22" s="39" t="s">
        <v>70</v>
      </c>
      <c r="AB22" s="39" t="s">
        <v>71</v>
      </c>
      <c r="AC22" s="42" t="s">
        <v>72</v>
      </c>
      <c r="AD22" s="42" t="s">
        <v>73</v>
      </c>
      <c r="AE22" s="43" t="s">
        <v>74</v>
      </c>
      <c r="AF22" s="43" t="s">
        <v>75</v>
      </c>
      <c r="AG22" s="43" t="s">
        <v>76</v>
      </c>
      <c r="AH22" s="42" t="s">
        <v>77</v>
      </c>
      <c r="AI22" s="42" t="s">
        <v>78</v>
      </c>
      <c r="AJ22" s="43" t="s">
        <v>79</v>
      </c>
      <c r="AK22" s="43" t="s">
        <v>80</v>
      </c>
      <c r="AL22" s="42" t="s">
        <v>81</v>
      </c>
      <c r="AM22" s="42" t="s">
        <v>82</v>
      </c>
      <c r="AN22" s="43" t="s">
        <v>83</v>
      </c>
      <c r="AO22" s="43" t="s">
        <v>84</v>
      </c>
      <c r="AP22" s="43" t="s">
        <v>85</v>
      </c>
      <c r="AQ22" s="42" t="s">
        <v>86</v>
      </c>
      <c r="AR22" s="48" t="s">
        <v>87</v>
      </c>
      <c r="AS22" s="3" t="s">
        <v>88</v>
      </c>
      <c r="AT22" s="3" t="s">
        <v>86</v>
      </c>
      <c r="AU22" s="0"/>
      <c r="AV22" s="0"/>
      <c r="AW22" s="49" t="s">
        <v>91</v>
      </c>
      <c r="AX22" s="49" t="s">
        <v>92</v>
      </c>
      <c r="AY22" s="49" t="s">
        <v>93</v>
      </c>
      <c r="AZ22" s="49" t="s">
        <v>94</v>
      </c>
      <c r="BA22" s="49" t="s">
        <v>95</v>
      </c>
      <c r="BB22" s="49" t="s">
        <v>96</v>
      </c>
      <c r="BC22" s="51" t="s">
        <v>97</v>
      </c>
      <c r="BD22" s="51" t="s">
        <v>98</v>
      </c>
      <c r="BE22" s="51" t="s">
        <v>99</v>
      </c>
      <c r="BF22" s="49" t="s">
        <v>100</v>
      </c>
      <c r="BG22" s="49" t="s">
        <v>101</v>
      </c>
      <c r="BH22" s="49" t="s">
        <v>102</v>
      </c>
      <c r="BI22" s="49" t="s">
        <v>103</v>
      </c>
      <c r="BJ22" s="49" t="s">
        <v>104</v>
      </c>
      <c r="BK22" s="49" t="s">
        <v>105</v>
      </c>
      <c r="BL22" s="49" t="s">
        <v>106</v>
      </c>
      <c r="BM22" s="0"/>
      <c r="BN22" s="0"/>
      <c r="BO22" s="49" t="s">
        <v>94</v>
      </c>
      <c r="BP22" s="49" t="s">
        <v>109</v>
      </c>
      <c r="BQ22" s="49" t="s">
        <v>63</v>
      </c>
    </row>
    <row r="23" ht="15.25" spans="1:69">
      <c r="A23" s="27">
        <v>1</v>
      </c>
      <c r="B23" s="27" t="s">
        <v>134</v>
      </c>
      <c r="C23" s="27" t="s">
        <v>134</v>
      </c>
      <c r="D23" s="27" t="s">
        <v>12</v>
      </c>
      <c r="E23" s="27" t="s">
        <v>12</v>
      </c>
      <c r="F23" s="28">
        <v>2</v>
      </c>
      <c r="G23" t="s" s="0">
        <v>130</v>
      </c>
      <c r="H23" s="28">
        <f>F23*G23</f>
        <v>400</v>
      </c>
      <c r="I23" t="s" s="0">
        <v>120</v>
      </c>
      <c r="J23" s="28">
        <v>2</v>
      </c>
      <c r="K23" s="28">
        <v>2</v>
      </c>
      <c r="L23" s="28">
        <f>H23</f>
        <v>400</v>
      </c>
      <c r="M23" s="28">
        <f>ROUND(L23*I23%,2)</f>
        <v>0</v>
      </c>
      <c r="N23" s="28">
        <f>H23-M23</f>
        <v>400</v>
      </c>
      <c r="O23" s="28">
        <f>ROUND(N23*J23%,2)</f>
        <v>8</v>
      </c>
      <c r="P23" s="28">
        <f>ROUND(N23-O23,2)</f>
        <v>392</v>
      </c>
      <c r="Q23" s="28">
        <f>ROUND(P23*K23%,2)</f>
        <v>7.84</v>
      </c>
      <c r="R23" s="28">
        <f>M23+O23+Q23</f>
        <v>15.84</v>
      </c>
      <c r="S23" s="28">
        <f>(H23-R23)</f>
        <v>384.16</v>
      </c>
      <c r="T23" s="28" t="s">
        <v>113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4">
        <v>0</v>
      </c>
      <c r="AA23" s="28">
        <f>IF($C21=3,0,S23*Z23)</f>
        <v>0</v>
      </c>
      <c r="AB23" s="28">
        <f>V23+W23+X23+Y23+AA23</f>
        <v>0</v>
      </c>
      <c r="AC23" s="28">
        <f>IF($V21=1,S23+AB23,S23)</f>
        <v>384.16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384.16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192.08</v>
      </c>
      <c r="AO23" s="28">
        <f>AJ23/AM23</f>
        <v>0</v>
      </c>
      <c r="AP23" s="28">
        <f>AK23/AM23</f>
        <v>0</v>
      </c>
      <c r="AQ23" s="28" t="s">
        <v>12</v>
      </c>
      <c r="AR23" s="28">
        <f>AN23+AO23+AP23</f>
        <v>192.08</v>
      </c>
      <c r="AS23" s="50" t="s">
        <v>123</v>
      </c>
      <c r="AT23" s="50" t="s">
        <v>12</v>
      </c>
      <c r="AU23" s="0"/>
      <c r="AV23" s="0"/>
      <c r="AW23" s="50">
        <f>AM23</f>
        <v>2</v>
      </c>
      <c r="AX23" s="50">
        <f>AR23</f>
        <v>192.08</v>
      </c>
      <c r="AY23" s="50">
        <f>AU23+AW23</f>
        <v>14092</v>
      </c>
      <c r="AZ23" s="50">
        <f>ROUND(((AU23*AV23)+(AW23*AX23))/(AU23+AW23),5)</f>
        <v>121.19134</v>
      </c>
      <c r="BA23" s="52"/>
      <c r="BB23" s="52" t="s">
        <v>115</v>
      </c>
      <c r="BC23" s="54" t="s">
        <v>116</v>
      </c>
      <c r="BD23" s="54" t="s">
        <v>117</v>
      </c>
      <c r="BE23" s="54" t="s">
        <v>118</v>
      </c>
      <c r="BF23" s="52"/>
      <c r="BG23" s="52"/>
      <c r="BH23" s="52"/>
      <c r="BI23" s="50"/>
      <c r="BJ23" s="50"/>
      <c r="BK23" s="50"/>
      <c r="BL23" s="50" t="s">
        <v>119</v>
      </c>
      <c r="BM23" s="0"/>
      <c r="BN23" s="0"/>
      <c r="BO23" s="50">
        <f>ROUND((((AW23*AZ23)+(BN23*BM23))/(AW23+BN23)),5)</f>
        <v>146.93407</v>
      </c>
      <c r="BP23" s="55">
        <f>BN23+AW23</f>
        <v>689</v>
      </c>
      <c r="BQ23" s="56">
        <v>88363221</v>
      </c>
    </row>
    <row r="24" ht="15.25" spans="1:69">
      <c r="A24" s="16"/>
      <c r="B24" s="29"/>
      <c r="C24" s="29"/>
      <c r="D24" s="30" t="s">
        <v>41</v>
      </c>
      <c r="E24" s="30"/>
      <c r="F24" s="30"/>
      <c r="G24" s="31"/>
      <c r="H24" s="32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 t="shared" ref="R24:X24" si="1">SUM(R23:R23)</f>
        <v>15.84</v>
      </c>
      <c r="S24" s="40">
        <f t="shared" si="1"/>
        <v>384.16</v>
      </c>
      <c r="T24" s="32"/>
      <c r="U24" s="32"/>
      <c r="V24" s="41">
        <f t="shared" si="1"/>
        <v>0</v>
      </c>
      <c r="W24" s="41">
        <f t="shared" si="1"/>
        <v>0</v>
      </c>
      <c r="X24" s="41">
        <f t="shared" si="1"/>
        <v>0</v>
      </c>
      <c r="Y24" s="41"/>
      <c r="Z24" s="41"/>
      <c r="AA24" s="41"/>
      <c r="AB24" s="32">
        <f t="shared" ref="AB24:AE24" si="2">SUM(AB23:AB23)</f>
        <v>0</v>
      </c>
      <c r="AC24" s="45">
        <f t="shared" si="2"/>
        <v>384.16</v>
      </c>
      <c r="AD24" s="46">
        <f t="shared" si="2"/>
        <v>120</v>
      </c>
      <c r="AE24" s="46">
        <f t="shared" si="2"/>
        <v>0</v>
      </c>
      <c r="AF24" s="45"/>
      <c r="AG24" s="46">
        <f t="shared" ref="AG24:AK24" si="3">SUM(AG23:AG23)</f>
        <v>0</v>
      </c>
      <c r="AH24" s="46">
        <f t="shared" si="3"/>
        <v>0</v>
      </c>
      <c r="AI24" s="46">
        <f t="shared" si="3"/>
        <v>384.16</v>
      </c>
      <c r="AJ24" s="46">
        <f t="shared" si="3"/>
        <v>0</v>
      </c>
      <c r="AK24" s="46">
        <f t="shared" si="3"/>
        <v>0</v>
      </c>
      <c r="AL24" s="45"/>
      <c r="AM24" s="45"/>
      <c r="AN24" s="45"/>
      <c r="AO24" s="45"/>
      <c r="AP24" s="45"/>
      <c r="AQ24" s="45"/>
      <c r="AR24" s="45"/>
      <c r="AS24" s="16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9" workbookViewId="0">
      <selection activeCell="J31" sqref="J31"/>
    </sheetView>
  </sheetViews>
  <sheetFormatPr defaultColWidth="8.70909090909091" defaultRowHeight="14.5"/>
  <cols>
    <col min="8" max="8" customWidth="true" width="9.42727272727273"/>
  </cols>
  <sheetData>
    <row r="1" ht="18.5" spans="1:69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</row>
    <row r="2" ht="19.25" spans="1:69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</row>
    <row r="3" ht="15.25" spans="1:69">
      <c r="A3" s="2" t="s">
        <v>2</v>
      </c>
      <c r="B3" s="3" t="s">
        <v>3</v>
      </c>
      <c r="C3" s="4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5" t="s">
        <v>9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</row>
    <row r="4" spans="1:69">
      <c r="A4" s="6">
        <v>1</v>
      </c>
      <c r="B4" s="7" t="s">
        <v>10</v>
      </c>
      <c r="C4" s="7" t="s">
        <v>11</v>
      </c>
      <c r="D4" s="7" t="s">
        <v>12</v>
      </c>
      <c r="E4" s="7" t="s">
        <v>12</v>
      </c>
      <c r="F4" s="8">
        <v>25</v>
      </c>
      <c r="G4" s="9">
        <v>257.63</v>
      </c>
      <c r="H4" s="10">
        <f t="shared" ref="H4:H18" si="0">F4*G4</f>
        <v>6440.75</v>
      </c>
      <c r="I4" s="33"/>
      <c r="J4" s="33"/>
      <c r="K4" s="33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  <c r="AA4" s="33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16"/>
      <c r="AT4" s="47"/>
      <c r="AU4" s="0"/>
      <c r="AV4" s="0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0"/>
      <c r="BN4" s="0"/>
      <c r="BO4" s="47"/>
      <c r="BP4" s="47"/>
      <c r="BQ4" s="47"/>
    </row>
    <row r="5" spans="1:69">
      <c r="A5" s="6">
        <v>2</v>
      </c>
      <c r="B5" s="7" t="s">
        <v>13</v>
      </c>
      <c r="C5" s="7" t="s">
        <v>14</v>
      </c>
      <c r="D5" s="7" t="s">
        <v>12</v>
      </c>
      <c r="E5" s="7" t="s">
        <v>12</v>
      </c>
      <c r="F5" s="8">
        <v>35</v>
      </c>
      <c r="G5" s="9">
        <v>125.45</v>
      </c>
      <c r="H5" s="10">
        <f t="shared" si="0"/>
        <v>4390.75</v>
      </c>
      <c r="I5" s="33"/>
      <c r="J5" s="33"/>
      <c r="K5" s="33"/>
      <c r="L5" s="34"/>
      <c r="M5" s="34"/>
      <c r="N5" s="34"/>
      <c r="O5" s="34"/>
      <c r="P5" s="34"/>
      <c r="Q5" s="34"/>
      <c r="R5" s="34"/>
      <c r="S5" s="34"/>
      <c r="T5" s="34"/>
      <c r="U5" s="33"/>
      <c r="V5" s="33"/>
      <c r="W5" s="33"/>
      <c r="X5" s="33"/>
      <c r="Y5" s="33"/>
      <c r="Z5" s="33"/>
      <c r="AA5" s="33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16"/>
      <c r="AT5" s="47"/>
      <c r="AU5" s="0"/>
      <c r="AV5" s="0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0"/>
      <c r="BN5" s="0"/>
      <c r="BO5" s="47"/>
      <c r="BP5" s="47"/>
      <c r="BQ5" s="47"/>
    </row>
    <row r="6" spans="1:69">
      <c r="A6" s="6">
        <v>3</v>
      </c>
      <c r="B6" s="7" t="s">
        <v>15</v>
      </c>
      <c r="C6" s="7" t="s">
        <v>16</v>
      </c>
      <c r="D6" s="7" t="s">
        <v>12</v>
      </c>
      <c r="E6" s="7" t="s">
        <v>12</v>
      </c>
      <c r="F6" s="8">
        <v>45</v>
      </c>
      <c r="G6" s="9">
        <v>125.36</v>
      </c>
      <c r="H6" s="10">
        <f t="shared" si="0"/>
        <v>5641.2</v>
      </c>
      <c r="I6" s="33"/>
      <c r="J6" s="33"/>
      <c r="K6" s="33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  <c r="AA6" s="33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16"/>
      <c r="AT6" s="47"/>
      <c r="AU6" s="0"/>
      <c r="AV6" s="0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47"/>
      <c r="BK6" s="47"/>
      <c r="BL6" s="47"/>
      <c r="BM6" s="0"/>
      <c r="BN6" s="0"/>
      <c r="BO6" s="47"/>
      <c r="BP6" s="47"/>
      <c r="BQ6" s="47"/>
    </row>
    <row r="7" spans="1:69">
      <c r="A7" s="6">
        <v>4</v>
      </c>
      <c r="B7" s="7" t="s">
        <v>17</v>
      </c>
      <c r="C7" s="7" t="s">
        <v>18</v>
      </c>
      <c r="D7" s="7" t="s">
        <v>12</v>
      </c>
      <c r="E7" s="7" t="s">
        <v>12</v>
      </c>
      <c r="F7" s="8">
        <v>55</v>
      </c>
      <c r="G7" s="9">
        <v>45.25</v>
      </c>
      <c r="H7" s="10">
        <f t="shared" si="0"/>
        <v>2488.75</v>
      </c>
      <c r="I7" s="33"/>
      <c r="J7" s="33"/>
      <c r="K7" s="33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  <c r="AA7" s="33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16"/>
      <c r="AT7" s="47"/>
      <c r="AU7" s="0"/>
      <c r="AV7" s="0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M7" s="0"/>
      <c r="BN7" s="0"/>
      <c r="BO7" s="47"/>
      <c r="BP7" s="47"/>
      <c r="BQ7" s="47"/>
    </row>
    <row r="8" spans="1:69">
      <c r="A8" s="6">
        <v>5</v>
      </c>
      <c r="B8" s="7" t="s">
        <v>19</v>
      </c>
      <c r="C8" s="7" t="s">
        <v>20</v>
      </c>
      <c r="D8" s="7" t="s">
        <v>12</v>
      </c>
      <c r="E8" s="7" t="s">
        <v>12</v>
      </c>
      <c r="F8" s="8">
        <v>60</v>
      </c>
      <c r="G8" s="9">
        <v>45.5</v>
      </c>
      <c r="H8" s="10">
        <f t="shared" si="0"/>
        <v>2730</v>
      </c>
      <c r="I8" s="33"/>
      <c r="J8" s="33"/>
      <c r="K8" s="33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  <c r="AA8" s="33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16"/>
      <c r="AT8" s="47"/>
      <c r="AU8" s="0"/>
      <c r="AV8" s="0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0"/>
      <c r="BN8" s="0"/>
      <c r="BO8" s="47"/>
      <c r="BP8" s="47"/>
      <c r="BQ8" s="47"/>
    </row>
    <row r="9" spans="1:69">
      <c r="A9" s="6">
        <v>6</v>
      </c>
      <c r="B9" s="7" t="s">
        <v>21</v>
      </c>
      <c r="C9" s="7" t="s">
        <v>22</v>
      </c>
      <c r="D9" s="7" t="s">
        <v>12</v>
      </c>
      <c r="E9" s="7" t="s">
        <v>12</v>
      </c>
      <c r="F9" s="8">
        <v>75</v>
      </c>
      <c r="G9" s="9">
        <v>125.25</v>
      </c>
      <c r="H9" s="10">
        <f t="shared" si="0"/>
        <v>9393.75</v>
      </c>
      <c r="I9" s="33"/>
      <c r="J9" s="33"/>
      <c r="K9" s="33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  <c r="AA9" s="33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16"/>
      <c r="AT9" s="47"/>
      <c r="AU9" s="0"/>
      <c r="AV9" s="0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0"/>
      <c r="BN9" s="0"/>
      <c r="BO9" s="47"/>
      <c r="BP9" s="47"/>
      <c r="BQ9" s="47"/>
    </row>
    <row r="10" spans="1:69">
      <c r="A10" s="6">
        <v>7</v>
      </c>
      <c r="B10" s="7" t="s">
        <v>23</v>
      </c>
      <c r="C10" s="7" t="s">
        <v>24</v>
      </c>
      <c r="D10" s="7" t="s">
        <v>12</v>
      </c>
      <c r="E10" s="7" t="s">
        <v>12</v>
      </c>
      <c r="F10" s="8">
        <v>28</v>
      </c>
      <c r="G10" s="9">
        <v>150.5</v>
      </c>
      <c r="H10" s="10">
        <f t="shared" si="0"/>
        <v>4214</v>
      </c>
      <c r="I10" s="33"/>
      <c r="J10" s="33"/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  <c r="AA10" s="33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16"/>
      <c r="AT10" s="47"/>
      <c r="AU10" s="0"/>
      <c r="AV10" s="0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0"/>
      <c r="BN10" s="0"/>
      <c r="BO10" s="47"/>
      <c r="BP10" s="47"/>
      <c r="BQ10" s="47"/>
    </row>
    <row r="11" spans="1:69">
      <c r="A11" s="6">
        <v>8</v>
      </c>
      <c r="B11" s="7" t="s">
        <v>25</v>
      </c>
      <c r="C11" s="7" t="s">
        <v>26</v>
      </c>
      <c r="D11" s="7" t="s">
        <v>12</v>
      </c>
      <c r="E11" s="7" t="s">
        <v>12</v>
      </c>
      <c r="F11" s="8">
        <v>30</v>
      </c>
      <c r="G11" s="9">
        <v>65.32</v>
      </c>
      <c r="H11" s="10">
        <f t="shared" si="0"/>
        <v>1959.6</v>
      </c>
      <c r="I11" s="33"/>
      <c r="J11" s="33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  <c r="AA11" s="33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16"/>
      <c r="AT11" s="47"/>
      <c r="AU11" s="0"/>
      <c r="AV11" s="0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0"/>
      <c r="BN11" s="0"/>
      <c r="BO11" s="47"/>
      <c r="BP11" s="47"/>
      <c r="BQ11" s="47"/>
    </row>
    <row r="12" spans="1:69">
      <c r="A12" s="6">
        <v>9</v>
      </c>
      <c r="B12" s="7" t="s">
        <v>27</v>
      </c>
      <c r="C12" s="7" t="s">
        <v>28</v>
      </c>
      <c r="D12" s="7" t="s">
        <v>12</v>
      </c>
      <c r="E12" s="7" t="s">
        <v>12</v>
      </c>
      <c r="F12" s="8">
        <v>25</v>
      </c>
      <c r="G12" s="9">
        <v>74.89</v>
      </c>
      <c r="H12" s="10">
        <f t="shared" si="0"/>
        <v>1872.25</v>
      </c>
      <c r="I12" s="33"/>
      <c r="J12" s="33"/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  <c r="AA12" s="33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16"/>
      <c r="AT12" s="47"/>
      <c r="AU12" s="0"/>
      <c r="AV12" s="0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0"/>
      <c r="BN12" s="0"/>
      <c r="BO12" s="47"/>
      <c r="BP12" s="47"/>
      <c r="BQ12" s="47"/>
    </row>
    <row r="13" spans="1:69">
      <c r="A13" s="6">
        <v>10</v>
      </c>
      <c r="B13" s="7" t="s">
        <v>29</v>
      </c>
      <c r="C13" s="7" t="s">
        <v>30</v>
      </c>
      <c r="D13" s="7" t="s">
        <v>12</v>
      </c>
      <c r="E13" s="7" t="s">
        <v>12</v>
      </c>
      <c r="F13" s="8">
        <v>28</v>
      </c>
      <c r="G13" s="9">
        <v>89.56</v>
      </c>
      <c r="H13" s="10">
        <f t="shared" si="0"/>
        <v>2507.68</v>
      </c>
      <c r="I13" s="33"/>
      <c r="J13" s="33"/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  <c r="AA13" s="33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16"/>
      <c r="AT13" s="47"/>
      <c r="AU13" s="0"/>
      <c r="AV13" s="0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0"/>
      <c r="BN13" s="0"/>
      <c r="BO13" s="47"/>
      <c r="BP13" s="47"/>
      <c r="BQ13" s="47"/>
    </row>
    <row r="14" spans="1:69">
      <c r="A14" s="6">
        <v>11</v>
      </c>
      <c r="B14" s="7" t="s">
        <v>31</v>
      </c>
      <c r="C14" s="7" t="s">
        <v>32</v>
      </c>
      <c r="D14" s="7" t="s">
        <v>12</v>
      </c>
      <c r="E14" s="7" t="s">
        <v>12</v>
      </c>
      <c r="F14" s="8">
        <v>37</v>
      </c>
      <c r="G14" s="9">
        <v>89.54</v>
      </c>
      <c r="H14" s="10">
        <f t="shared" si="0"/>
        <v>3312.98</v>
      </c>
      <c r="I14" s="33"/>
      <c r="J14" s="33"/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  <c r="AA14" s="33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16"/>
      <c r="AT14" s="47"/>
      <c r="AU14" s="0"/>
      <c r="AV14" s="0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0"/>
      <c r="BN14" s="0"/>
      <c r="BO14" s="47"/>
      <c r="BP14" s="47"/>
      <c r="BQ14" s="47"/>
    </row>
    <row r="15" spans="1:69">
      <c r="A15" s="6">
        <v>12</v>
      </c>
      <c r="B15" s="7" t="s">
        <v>33</v>
      </c>
      <c r="C15" s="7" t="s">
        <v>34</v>
      </c>
      <c r="D15" s="7" t="s">
        <v>12</v>
      </c>
      <c r="E15" s="7" t="s">
        <v>12</v>
      </c>
      <c r="F15" s="8">
        <v>39</v>
      </c>
      <c r="G15" s="9">
        <v>98.25</v>
      </c>
      <c r="H15" s="10">
        <f t="shared" si="0"/>
        <v>3831.75</v>
      </c>
      <c r="I15" s="33"/>
      <c r="J15" s="33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  <c r="AA15" s="33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16"/>
      <c r="AT15" s="47"/>
      <c r="AU15" s="0"/>
      <c r="AV15" s="0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0"/>
      <c r="BN15" s="0"/>
      <c r="BO15" s="47"/>
      <c r="BP15" s="47"/>
      <c r="BQ15" s="47"/>
    </row>
    <row r="16" spans="1:69">
      <c r="A16" s="6">
        <v>13</v>
      </c>
      <c r="B16" s="7" t="s">
        <v>35</v>
      </c>
      <c r="C16" s="7" t="s">
        <v>36</v>
      </c>
      <c r="D16" s="7" t="s">
        <v>12</v>
      </c>
      <c r="E16" s="7" t="s">
        <v>12</v>
      </c>
      <c r="F16" s="8">
        <v>70</v>
      </c>
      <c r="G16" s="9">
        <v>102.25</v>
      </c>
      <c r="H16" s="10">
        <f t="shared" si="0"/>
        <v>7157.5</v>
      </c>
      <c r="I16" s="33"/>
      <c r="J16" s="33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  <c r="AA16" s="3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16"/>
      <c r="AT16" s="47"/>
      <c r="AU16" s="0"/>
      <c r="AV16" s="0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M16" s="0"/>
      <c r="BN16" s="0"/>
      <c r="BO16" s="47"/>
      <c r="BP16" s="47"/>
      <c r="BQ16" s="47"/>
    </row>
    <row r="17" spans="1:69">
      <c r="A17" s="6">
        <v>14</v>
      </c>
      <c r="B17" s="7" t="s">
        <v>37</v>
      </c>
      <c r="C17" s="7" t="s">
        <v>38</v>
      </c>
      <c r="D17" s="7" t="s">
        <v>12</v>
      </c>
      <c r="E17" s="7" t="s">
        <v>12</v>
      </c>
      <c r="F17" s="8">
        <v>100</v>
      </c>
      <c r="G17" s="9">
        <v>103.5</v>
      </c>
      <c r="H17" s="10">
        <f t="shared" si="0"/>
        <v>10350</v>
      </c>
      <c r="I17" s="33"/>
      <c r="J17" s="33"/>
      <c r="K17" s="33"/>
      <c r="L17" s="34"/>
      <c r="M17" s="34"/>
      <c r="N17" s="34"/>
      <c r="O17" s="34"/>
      <c r="P17" s="34"/>
      <c r="Q17" s="34"/>
      <c r="R17" s="34"/>
      <c r="S17" s="38"/>
      <c r="T17" s="34"/>
      <c r="U17" s="33"/>
      <c r="V17" s="33"/>
      <c r="W17" s="33"/>
      <c r="X17" s="33"/>
      <c r="Y17" s="33"/>
      <c r="Z17" s="33"/>
      <c r="AA17" s="33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16"/>
      <c r="AT17" s="47"/>
      <c r="AU17" s="0"/>
      <c r="AV17" s="0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M17" s="0"/>
      <c r="BN17" s="0"/>
      <c r="BO17" s="47"/>
      <c r="BP17" s="47"/>
      <c r="BQ17" s="47"/>
    </row>
    <row r="18" ht="15.25" spans="1:69">
      <c r="A18" s="11">
        <v>15</v>
      </c>
      <c r="B18" s="12" t="s">
        <v>39</v>
      </c>
      <c r="C18" s="12" t="s">
        <v>40</v>
      </c>
      <c r="D18" s="12" t="s">
        <v>12</v>
      </c>
      <c r="E18" s="12" t="s">
        <v>12</v>
      </c>
      <c r="F18" s="13">
        <v>85</v>
      </c>
      <c r="G18" s="14">
        <v>65.48</v>
      </c>
      <c r="H18" s="15">
        <f t="shared" si="0"/>
        <v>5565.8</v>
      </c>
      <c r="I18" s="33"/>
      <c r="J18" s="33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  <c r="AA18" s="33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16"/>
      <c r="AT18" s="47"/>
      <c r="AU18" s="0"/>
      <c r="AV18" s="0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M18" s="0"/>
      <c r="BN18" s="0"/>
      <c r="BO18" s="47"/>
      <c r="BP18" s="47"/>
      <c r="BQ18" s="47"/>
    </row>
    <row r="19" ht="15.25" spans="1:69">
      <c r="A19" s="16"/>
      <c r="B19" s="17" t="s">
        <v>41</v>
      </c>
      <c r="C19" s="17"/>
      <c r="D19" s="17"/>
      <c r="E19" s="17"/>
      <c r="F19" s="17"/>
      <c r="G19" s="17"/>
      <c r="H19" s="18">
        <f>SUM(H4:H18)</f>
        <v>71856.76</v>
      </c>
      <c r="I19" s="35"/>
      <c r="J19" s="35"/>
      <c r="K19" s="35"/>
      <c r="L19" s="35"/>
      <c r="M19" s="35"/>
      <c r="N19" s="35"/>
      <c r="O19" s="35"/>
      <c r="P19" s="35"/>
      <c r="Q19" s="35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47"/>
      <c r="AU19" s="0"/>
      <c r="AV19" s="0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M19" s="0"/>
      <c r="BN19" s="0"/>
      <c r="BO19" s="47"/>
      <c r="BP19" s="47"/>
      <c r="BQ19" s="47"/>
    </row>
    <row r="20" spans="1:69">
      <c r="A20" s="19" t="s">
        <v>42</v>
      </c>
      <c r="B20" s="20"/>
      <c r="C20" s="20"/>
      <c r="D20" s="20"/>
      <c r="E20" s="20"/>
      <c r="F20" s="20"/>
      <c r="G20" s="20"/>
      <c r="H20" s="19"/>
      <c r="I20" s="35"/>
      <c r="J20" s="35"/>
      <c r="K20" s="35"/>
      <c r="L20" s="35"/>
      <c r="M20" s="35"/>
      <c r="N20" s="35"/>
      <c r="O20" s="35"/>
      <c r="P20" s="35"/>
      <c r="Q20" s="35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</row>
    <row r="21" ht="15.25" spans="1:69">
      <c r="A21" s="21" t="s">
        <v>43</v>
      </c>
      <c r="B21" s="21"/>
      <c r="C21" s="22">
        <v>3</v>
      </c>
      <c r="D21" s="23" t="s">
        <v>44</v>
      </c>
      <c r="E21" s="20"/>
      <c r="F21" s="20"/>
      <c r="G21" s="20"/>
      <c r="H21" s="19"/>
      <c r="I21" s="35" t="s">
        <v>45</v>
      </c>
      <c r="J21" s="35" t="s">
        <v>46</v>
      </c>
      <c r="K21" s="35"/>
      <c r="L21" s="35" t="s">
        <v>47</v>
      </c>
      <c r="M21" s="35">
        <v>1</v>
      </c>
      <c r="N21" s="35"/>
      <c r="O21" s="35" t="s">
        <v>48</v>
      </c>
      <c r="P21" s="35">
        <v>1</v>
      </c>
      <c r="Q21" s="35" t="s">
        <v>49</v>
      </c>
      <c r="R21" s="19"/>
      <c r="S21" s="19"/>
      <c r="T21" s="19"/>
      <c r="U21" s="19"/>
      <c r="V21" s="19">
        <v>1</v>
      </c>
      <c r="W21" s="19" t="s">
        <v>50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47"/>
      <c r="AU21" s="47"/>
      <c r="AV21" s="47"/>
      <c r="AW21" s="47"/>
      <c r="AX21" s="47"/>
      <c r="AY21" s="47"/>
      <c r="AZ21" s="47"/>
      <c r="BA21" s="47"/>
      <c r="BB21" s="47"/>
      <c r="BC21" s="47"/>
      <c r="BD21" s="47"/>
      <c r="BE21" s="47"/>
      <c r="BF21" s="47"/>
      <c r="BG21" s="47"/>
      <c r="BH21" s="47"/>
      <c r="BI21" s="47"/>
      <c r="BJ21" s="47"/>
      <c r="BK21" s="47"/>
      <c r="BL21" s="47"/>
      <c r="BM21" s="47"/>
      <c r="BN21" s="47"/>
      <c r="BO21" s="47"/>
      <c r="BP21" s="47"/>
      <c r="BQ21" s="47"/>
    </row>
    <row r="22" ht="59.5" spans="1:69">
      <c r="A22" s="24" t="s">
        <v>2</v>
      </c>
      <c r="B22" s="24" t="s">
        <v>3</v>
      </c>
      <c r="C22" s="25" t="s">
        <v>4</v>
      </c>
      <c r="D22" s="24" t="s">
        <v>5</v>
      </c>
      <c r="E22" s="24" t="s">
        <v>6</v>
      </c>
      <c r="F22" s="26" t="s">
        <v>51</v>
      </c>
      <c r="G22" s="24" t="s">
        <v>8</v>
      </c>
      <c r="H22" s="24" t="s">
        <v>9</v>
      </c>
      <c r="I22" s="36" t="s">
        <v>52</v>
      </c>
      <c r="J22" s="36" t="s">
        <v>53</v>
      </c>
      <c r="K22" s="36" t="s">
        <v>54</v>
      </c>
      <c r="L22" s="37" t="s">
        <v>55</v>
      </c>
      <c r="M22" s="37" t="s">
        <v>56</v>
      </c>
      <c r="N22" s="37" t="s">
        <v>57</v>
      </c>
      <c r="O22" s="37" t="s">
        <v>58</v>
      </c>
      <c r="P22" s="37" t="s">
        <v>59</v>
      </c>
      <c r="Q22" s="37" t="s">
        <v>60</v>
      </c>
      <c r="R22" s="36" t="s">
        <v>61</v>
      </c>
      <c r="S22" s="24" t="s">
        <v>62</v>
      </c>
      <c r="T22" s="24" t="s">
        <v>63</v>
      </c>
      <c r="U22" s="39" t="s">
        <v>64</v>
      </c>
      <c r="V22" s="39" t="s">
        <v>65</v>
      </c>
      <c r="W22" s="39" t="s">
        <v>66</v>
      </c>
      <c r="X22" s="39" t="s">
        <v>67</v>
      </c>
      <c r="Y22" s="39" t="s">
        <v>68</v>
      </c>
      <c r="Z22" s="39" t="s">
        <v>69</v>
      </c>
      <c r="AA22" s="39" t="s">
        <v>70</v>
      </c>
      <c r="AB22" s="39" t="s">
        <v>71</v>
      </c>
      <c r="AC22" s="42" t="s">
        <v>72</v>
      </c>
      <c r="AD22" s="42" t="s">
        <v>73</v>
      </c>
      <c r="AE22" s="43" t="s">
        <v>74</v>
      </c>
      <c r="AF22" s="43" t="s">
        <v>75</v>
      </c>
      <c r="AG22" s="43" t="s">
        <v>76</v>
      </c>
      <c r="AH22" s="42" t="s">
        <v>77</v>
      </c>
      <c r="AI22" s="42" t="s">
        <v>78</v>
      </c>
      <c r="AJ22" s="43" t="s">
        <v>79</v>
      </c>
      <c r="AK22" s="43" t="s">
        <v>80</v>
      </c>
      <c r="AL22" s="42" t="s">
        <v>81</v>
      </c>
      <c r="AM22" s="42" t="s">
        <v>82</v>
      </c>
      <c r="AN22" s="43" t="s">
        <v>83</v>
      </c>
      <c r="AO22" s="43" t="s">
        <v>84</v>
      </c>
      <c r="AP22" s="43" t="s">
        <v>85</v>
      </c>
      <c r="AQ22" s="42" t="s">
        <v>86</v>
      </c>
      <c r="AR22" s="48" t="s">
        <v>87</v>
      </c>
      <c r="AS22" s="3" t="s">
        <v>88</v>
      </c>
      <c r="AT22" s="3" t="s">
        <v>86</v>
      </c>
      <c r="AU22" s="0"/>
      <c r="AV22" s="0"/>
      <c r="AW22" s="49" t="s">
        <v>91</v>
      </c>
      <c r="AX22" s="49" t="s">
        <v>92</v>
      </c>
      <c r="AY22" s="49" t="s">
        <v>93</v>
      </c>
      <c r="AZ22" s="49" t="s">
        <v>94</v>
      </c>
      <c r="BA22" s="49" t="s">
        <v>95</v>
      </c>
      <c r="BB22" s="49" t="s">
        <v>96</v>
      </c>
      <c r="BC22" s="51" t="s">
        <v>97</v>
      </c>
      <c r="BD22" s="51" t="s">
        <v>98</v>
      </c>
      <c r="BE22" s="51" t="s">
        <v>99</v>
      </c>
      <c r="BF22" s="49" t="s">
        <v>100</v>
      </c>
      <c r="BG22" s="49" t="s">
        <v>101</v>
      </c>
      <c r="BH22" s="49" t="s">
        <v>102</v>
      </c>
      <c r="BI22" s="49" t="s">
        <v>103</v>
      </c>
      <c r="BJ22" s="49" t="s">
        <v>104</v>
      </c>
      <c r="BK22" s="49" t="s">
        <v>105</v>
      </c>
      <c r="BL22" s="49" t="s">
        <v>106</v>
      </c>
      <c r="BM22" s="0"/>
      <c r="BN22" s="0"/>
      <c r="BO22" s="49" t="s">
        <v>94</v>
      </c>
      <c r="BP22" s="49" t="s">
        <v>109</v>
      </c>
      <c r="BQ22" s="49" t="s">
        <v>63</v>
      </c>
    </row>
    <row r="23" ht="15.25" spans="1:69">
      <c r="A23" s="27">
        <v>1</v>
      </c>
      <c r="B23" s="27" t="s">
        <v>139</v>
      </c>
      <c r="C23" s="27" t="s">
        <v>139</v>
      </c>
      <c r="D23" s="27" t="s">
        <v>12</v>
      </c>
      <c r="E23" s="27" t="s">
        <v>12</v>
      </c>
      <c r="F23" s="28">
        <v>2</v>
      </c>
      <c r="G23" t="s" s="0">
        <v>130</v>
      </c>
      <c r="H23" s="28">
        <f>F23*G23</f>
        <v>400</v>
      </c>
      <c r="I23" t="s" s="0">
        <v>120</v>
      </c>
      <c r="J23" s="28">
        <v>2</v>
      </c>
      <c r="K23" s="28">
        <v>2</v>
      </c>
      <c r="L23" s="28">
        <f>H23</f>
        <v>400</v>
      </c>
      <c r="M23" s="28">
        <f>ROUND(L23*I23%,2)</f>
        <v>0</v>
      </c>
      <c r="N23" s="28">
        <f>H23-M23</f>
        <v>400</v>
      </c>
      <c r="O23" s="28">
        <f>ROUND(N23*J23%,2)</f>
        <v>8</v>
      </c>
      <c r="P23" s="28">
        <f>ROUND(N23-O23,2)</f>
        <v>392</v>
      </c>
      <c r="Q23" s="28">
        <f>ROUND(P23*K23%,2)</f>
        <v>7.84</v>
      </c>
      <c r="R23" s="28">
        <f>M23+O23+Q23</f>
        <v>15.84</v>
      </c>
      <c r="S23" s="28">
        <f>(H23-R23)</f>
        <v>384.16</v>
      </c>
      <c r="T23" s="28" t="s">
        <v>113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4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384.16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384.16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192.08</v>
      </c>
      <c r="AO23" s="28">
        <f>AJ23/AM23</f>
        <v>0</v>
      </c>
      <c r="AP23" s="28">
        <f>AK23/AM23</f>
        <v>0</v>
      </c>
      <c r="AQ23" s="28" t="s">
        <v>12</v>
      </c>
      <c r="AR23" s="28">
        <f>AN23+AO23+AP23</f>
        <v>192.08</v>
      </c>
      <c r="AS23" s="50" t="s">
        <v>114</v>
      </c>
      <c r="AT23" s="50" t="s">
        <v>12</v>
      </c>
      <c r="AU23" t="s" s="0">
        <v>120</v>
      </c>
      <c r="AV23" t="s" s="0">
        <v>157</v>
      </c>
      <c r="AW23" s="50">
        <f>AM23</f>
        <v>2</v>
      </c>
      <c r="AX23" s="50">
        <f>AR23</f>
        <v>192.08</v>
      </c>
      <c r="AY23" s="50">
        <f>AU23+AW23</f>
        <v>2</v>
      </c>
      <c r="AZ23" s="50">
        <f>ROUND(((AU23*AV23)+(AW23*AX23))/(AU23+AW23),5)</f>
        <v>192.08</v>
      </c>
      <c r="BA23" s="52"/>
      <c r="BB23" s="52" t="s">
        <v>115</v>
      </c>
      <c r="BC23" s="53" t="s">
        <v>116</v>
      </c>
      <c r="BD23" s="54" t="s">
        <v>117</v>
      </c>
      <c r="BE23" s="54" t="s">
        <v>118</v>
      </c>
      <c r="BF23" s="52"/>
      <c r="BG23" s="52"/>
      <c r="BH23" s="52"/>
      <c r="BI23" s="50"/>
      <c r="BJ23" s="50"/>
      <c r="BK23" s="50"/>
      <c r="BL23" s="50" t="s">
        <v>119</v>
      </c>
      <c r="BM23" t="s" s="0">
        <v>164</v>
      </c>
      <c r="BN23" t="s" s="0">
        <v>163</v>
      </c>
      <c r="BO23" s="50">
        <f>ROUND((((AW23*AZ23)+(BN23*BM23))/(AW23+BN23)),5)</f>
        <v>188.24</v>
      </c>
      <c r="BP23" s="55">
        <f>BN23+AW23</f>
        <v>6</v>
      </c>
      <c r="BQ23" s="56">
        <v>88363222</v>
      </c>
    </row>
    <row r="24" ht="15.25" spans="1:69">
      <c r="A24" s="16"/>
      <c r="B24" s="29"/>
      <c r="C24" s="29"/>
      <c r="D24" s="30" t="s">
        <v>41</v>
      </c>
      <c r="E24" s="30"/>
      <c r="F24" s="30"/>
      <c r="G24" s="31"/>
      <c r="H24" s="32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 t="shared" ref="R24:Y24" si="1">SUM(R23:R23)</f>
        <v>15.84</v>
      </c>
      <c r="S24" s="40">
        <f t="shared" si="1"/>
        <v>384.16</v>
      </c>
      <c r="T24" s="32"/>
      <c r="U24" s="32"/>
      <c r="V24" s="41">
        <f t="shared" si="1"/>
        <v>0</v>
      </c>
      <c r="W24" s="41">
        <f t="shared" si="1"/>
        <v>0</v>
      </c>
      <c r="X24" s="41">
        <f t="shared" si="1"/>
        <v>0</v>
      </c>
      <c r="Y24" s="41">
        <f t="shared" si="1"/>
        <v>0</v>
      </c>
      <c r="Z24" s="41"/>
      <c r="AA24" s="41">
        <f t="shared" ref="AA24:AE24" si="2">SUM(AA23:AA23)</f>
        <v>0</v>
      </c>
      <c r="AB24" s="32">
        <f t="shared" si="2"/>
        <v>0</v>
      </c>
      <c r="AC24" s="45">
        <f t="shared" si="2"/>
        <v>384.16</v>
      </c>
      <c r="AD24" s="46">
        <f t="shared" si="2"/>
        <v>120</v>
      </c>
      <c r="AE24" s="46">
        <f t="shared" si="2"/>
        <v>0</v>
      </c>
      <c r="AF24" s="45"/>
      <c r="AG24" s="46">
        <f t="shared" ref="AG24:AK24" si="3">SUM(AG23:AG23)</f>
        <v>0</v>
      </c>
      <c r="AH24" s="46">
        <f t="shared" si="3"/>
        <v>0</v>
      </c>
      <c r="AI24" s="46">
        <f t="shared" si="3"/>
        <v>384.16</v>
      </c>
      <c r="AJ24" s="46">
        <f t="shared" si="3"/>
        <v>0</v>
      </c>
      <c r="AK24" s="46">
        <f t="shared" si="3"/>
        <v>0</v>
      </c>
      <c r="AL24" s="45"/>
      <c r="AM24" s="45"/>
      <c r="AN24" s="45"/>
      <c r="AO24" s="45"/>
      <c r="AP24" s="45"/>
      <c r="AQ24" s="45"/>
      <c r="AR24" s="45"/>
      <c r="AS24" s="16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0" workbookViewId="0">
      <selection activeCell="L19" sqref="L19"/>
    </sheetView>
  </sheetViews>
  <sheetFormatPr defaultColWidth="8.70909090909091" defaultRowHeight="14.5"/>
  <sheetData>
    <row r="1" ht="18.5" spans="1:69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</row>
    <row r="2" ht="19.25" spans="1:69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</row>
    <row r="3" ht="15.25" spans="1:69">
      <c r="A3" s="2" t="s">
        <v>2</v>
      </c>
      <c r="B3" s="3" t="s">
        <v>3</v>
      </c>
      <c r="C3" s="4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5" t="s">
        <v>9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</row>
    <row r="4" spans="1:69">
      <c r="A4" s="6">
        <v>1</v>
      </c>
      <c r="B4" s="7" t="s">
        <v>10</v>
      </c>
      <c r="C4" s="7" t="s">
        <v>11</v>
      </c>
      <c r="D4" s="7" t="s">
        <v>12</v>
      </c>
      <c r="E4" s="7" t="s">
        <v>12</v>
      </c>
      <c r="F4" s="8">
        <v>25</v>
      </c>
      <c r="G4" s="9">
        <v>257.63</v>
      </c>
      <c r="H4" s="10">
        <f t="shared" ref="H4:H18" si="0">F4*G4</f>
        <v>6440.75</v>
      </c>
      <c r="I4" s="33"/>
      <c r="J4" s="33"/>
      <c r="K4" s="33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  <c r="AA4" s="33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16"/>
      <c r="AT4" s="47"/>
      <c r="AU4" s="0"/>
      <c r="AV4" s="0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0"/>
      <c r="BN4" s="0"/>
      <c r="BO4" s="47"/>
      <c r="BP4" s="47"/>
      <c r="BQ4" s="47"/>
    </row>
    <row r="5" spans="1:69">
      <c r="A5" s="6">
        <v>2</v>
      </c>
      <c r="B5" s="7" t="s">
        <v>13</v>
      </c>
      <c r="C5" s="7" t="s">
        <v>14</v>
      </c>
      <c r="D5" s="7" t="s">
        <v>12</v>
      </c>
      <c r="E5" s="7" t="s">
        <v>12</v>
      </c>
      <c r="F5" s="8">
        <v>35</v>
      </c>
      <c r="G5" s="9">
        <v>125.45</v>
      </c>
      <c r="H5" s="10">
        <f t="shared" si="0"/>
        <v>4390.75</v>
      </c>
      <c r="I5" s="33"/>
      <c r="J5" s="33"/>
      <c r="K5" s="33"/>
      <c r="L5" s="34"/>
      <c r="M5" s="34"/>
      <c r="N5" s="34"/>
      <c r="O5" s="34"/>
      <c r="P5" s="34"/>
      <c r="Q5" s="34"/>
      <c r="R5" s="34"/>
      <c r="S5" s="34"/>
      <c r="T5" s="34"/>
      <c r="U5" s="33"/>
      <c r="V5" s="33"/>
      <c r="W5" s="33"/>
      <c r="X5" s="33"/>
      <c r="Y5" s="33"/>
      <c r="Z5" s="33"/>
      <c r="AA5" s="33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16"/>
      <c r="AT5" s="47"/>
      <c r="AU5" s="0"/>
      <c r="AV5" s="0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0"/>
      <c r="BN5" s="0"/>
      <c r="BO5" s="47"/>
      <c r="BP5" s="47"/>
      <c r="BQ5" s="47"/>
    </row>
    <row r="6" spans="1:69">
      <c r="A6" s="6">
        <v>3</v>
      </c>
      <c r="B6" s="7" t="s">
        <v>15</v>
      </c>
      <c r="C6" s="7" t="s">
        <v>16</v>
      </c>
      <c r="D6" s="7" t="s">
        <v>12</v>
      </c>
      <c r="E6" s="7" t="s">
        <v>12</v>
      </c>
      <c r="F6" s="8">
        <v>45</v>
      </c>
      <c r="G6" s="9">
        <v>125.36</v>
      </c>
      <c r="H6" s="10">
        <f t="shared" si="0"/>
        <v>5641.2</v>
      </c>
      <c r="I6" s="33"/>
      <c r="J6" s="33"/>
      <c r="K6" s="33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  <c r="AA6" s="33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16"/>
      <c r="AT6" s="47"/>
      <c r="AU6" s="0"/>
      <c r="AV6" s="0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47"/>
      <c r="BK6" s="47"/>
      <c r="BL6" s="47"/>
      <c r="BM6" s="0"/>
      <c r="BN6" s="0"/>
      <c r="BO6" s="47"/>
      <c r="BP6" s="47"/>
      <c r="BQ6" s="47"/>
    </row>
    <row r="7" spans="1:69">
      <c r="A7" s="6">
        <v>4</v>
      </c>
      <c r="B7" s="7" t="s">
        <v>17</v>
      </c>
      <c r="C7" s="7" t="s">
        <v>18</v>
      </c>
      <c r="D7" s="7" t="s">
        <v>12</v>
      </c>
      <c r="E7" s="7" t="s">
        <v>12</v>
      </c>
      <c r="F7" s="8">
        <v>55</v>
      </c>
      <c r="G7" s="9">
        <v>45.25</v>
      </c>
      <c r="H7" s="10">
        <f t="shared" si="0"/>
        <v>2488.75</v>
      </c>
      <c r="I7" s="33"/>
      <c r="J7" s="33"/>
      <c r="K7" s="33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  <c r="AA7" s="33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16"/>
      <c r="AT7" s="47"/>
      <c r="AU7" s="0"/>
      <c r="AV7" s="0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M7" s="0"/>
      <c r="BN7" s="0"/>
      <c r="BO7" s="47"/>
      <c r="BP7" s="47"/>
      <c r="BQ7" s="47"/>
    </row>
    <row r="8" spans="1:69">
      <c r="A8" s="6">
        <v>5</v>
      </c>
      <c r="B8" s="7" t="s">
        <v>19</v>
      </c>
      <c r="C8" s="7" t="s">
        <v>20</v>
      </c>
      <c r="D8" s="7" t="s">
        <v>12</v>
      </c>
      <c r="E8" s="7" t="s">
        <v>12</v>
      </c>
      <c r="F8" s="8">
        <v>60</v>
      </c>
      <c r="G8" s="9">
        <v>45.5</v>
      </c>
      <c r="H8" s="10">
        <f t="shared" si="0"/>
        <v>2730</v>
      </c>
      <c r="I8" s="33"/>
      <c r="J8" s="33"/>
      <c r="K8" s="33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  <c r="AA8" s="33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16"/>
      <c r="AT8" s="47"/>
      <c r="AU8" s="0"/>
      <c r="AV8" s="0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0"/>
      <c r="BN8" s="0"/>
      <c r="BO8" s="47"/>
      <c r="BP8" s="47"/>
      <c r="BQ8" s="47"/>
    </row>
    <row r="9" spans="1:69">
      <c r="A9" s="6">
        <v>6</v>
      </c>
      <c r="B9" s="7" t="s">
        <v>21</v>
      </c>
      <c r="C9" s="7" t="s">
        <v>22</v>
      </c>
      <c r="D9" s="7" t="s">
        <v>12</v>
      </c>
      <c r="E9" s="7" t="s">
        <v>12</v>
      </c>
      <c r="F9" s="8">
        <v>75</v>
      </c>
      <c r="G9" s="9">
        <v>125.25</v>
      </c>
      <c r="H9" s="10">
        <f t="shared" si="0"/>
        <v>9393.75</v>
      </c>
      <c r="I9" s="33"/>
      <c r="J9" s="33"/>
      <c r="K9" s="33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  <c r="AA9" s="33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16"/>
      <c r="AT9" s="47"/>
      <c r="AU9" s="0"/>
      <c r="AV9" s="0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0"/>
      <c r="BN9" s="0"/>
      <c r="BO9" s="47"/>
      <c r="BP9" s="47"/>
      <c r="BQ9" s="47"/>
    </row>
    <row r="10" spans="1:69">
      <c r="A10" s="6">
        <v>7</v>
      </c>
      <c r="B10" s="7" t="s">
        <v>23</v>
      </c>
      <c r="C10" s="7" t="s">
        <v>24</v>
      </c>
      <c r="D10" s="7" t="s">
        <v>12</v>
      </c>
      <c r="E10" s="7" t="s">
        <v>12</v>
      </c>
      <c r="F10" s="8">
        <v>28</v>
      </c>
      <c r="G10" s="9">
        <v>150.5</v>
      </c>
      <c r="H10" s="10">
        <f t="shared" si="0"/>
        <v>4214</v>
      </c>
      <c r="I10" s="33"/>
      <c r="J10" s="33"/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  <c r="AA10" s="33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16"/>
      <c r="AT10" s="47"/>
      <c r="AU10" s="0"/>
      <c r="AV10" s="0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0"/>
      <c r="BN10" s="0"/>
      <c r="BO10" s="47"/>
      <c r="BP10" s="47"/>
      <c r="BQ10" s="47"/>
    </row>
    <row r="11" spans="1:69">
      <c r="A11" s="6">
        <v>8</v>
      </c>
      <c r="B11" s="7" t="s">
        <v>25</v>
      </c>
      <c r="C11" s="7" t="s">
        <v>26</v>
      </c>
      <c r="D11" s="7" t="s">
        <v>12</v>
      </c>
      <c r="E11" s="7" t="s">
        <v>12</v>
      </c>
      <c r="F11" s="8">
        <v>30</v>
      </c>
      <c r="G11" s="9">
        <v>65.32</v>
      </c>
      <c r="H11" s="10">
        <f t="shared" si="0"/>
        <v>1959.6</v>
      </c>
      <c r="I11" s="33"/>
      <c r="J11" s="33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  <c r="AA11" s="33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16"/>
      <c r="AT11" s="47"/>
      <c r="AU11" s="0"/>
      <c r="AV11" s="0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0"/>
      <c r="BN11" s="0"/>
      <c r="BO11" s="47"/>
      <c r="BP11" s="47"/>
      <c r="BQ11" s="47"/>
    </row>
    <row r="12" spans="1:69">
      <c r="A12" s="6">
        <v>9</v>
      </c>
      <c r="B12" s="7" t="s">
        <v>27</v>
      </c>
      <c r="C12" s="7" t="s">
        <v>28</v>
      </c>
      <c r="D12" s="7" t="s">
        <v>12</v>
      </c>
      <c r="E12" s="7" t="s">
        <v>12</v>
      </c>
      <c r="F12" s="8">
        <v>25</v>
      </c>
      <c r="G12" s="9">
        <v>74.89</v>
      </c>
      <c r="H12" s="10">
        <f t="shared" si="0"/>
        <v>1872.25</v>
      </c>
      <c r="I12" s="33"/>
      <c r="J12" s="33"/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  <c r="AA12" s="33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16"/>
      <c r="AT12" s="47"/>
      <c r="AU12" s="0"/>
      <c r="AV12" s="0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0"/>
      <c r="BN12" s="0"/>
      <c r="BO12" s="47"/>
      <c r="BP12" s="47"/>
      <c r="BQ12" s="47"/>
    </row>
    <row r="13" spans="1:69">
      <c r="A13" s="6">
        <v>10</v>
      </c>
      <c r="B13" s="7" t="s">
        <v>29</v>
      </c>
      <c r="C13" s="7" t="s">
        <v>30</v>
      </c>
      <c r="D13" s="7" t="s">
        <v>12</v>
      </c>
      <c r="E13" s="7" t="s">
        <v>12</v>
      </c>
      <c r="F13" s="8">
        <v>28</v>
      </c>
      <c r="G13" s="9">
        <v>89.56</v>
      </c>
      <c r="H13" s="10">
        <f t="shared" si="0"/>
        <v>2507.68</v>
      </c>
      <c r="I13" s="33"/>
      <c r="J13" s="33"/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  <c r="AA13" s="33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16"/>
      <c r="AT13" s="47"/>
      <c r="AU13" s="0"/>
      <c r="AV13" s="0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0"/>
      <c r="BN13" s="0"/>
      <c r="BO13" s="47"/>
      <c r="BP13" s="47"/>
      <c r="BQ13" s="47"/>
    </row>
    <row r="14" spans="1:69">
      <c r="A14" s="6">
        <v>11</v>
      </c>
      <c r="B14" s="7" t="s">
        <v>31</v>
      </c>
      <c r="C14" s="7" t="s">
        <v>32</v>
      </c>
      <c r="D14" s="7" t="s">
        <v>12</v>
      </c>
      <c r="E14" s="7" t="s">
        <v>12</v>
      </c>
      <c r="F14" s="8">
        <v>37</v>
      </c>
      <c r="G14" s="9">
        <v>89.54</v>
      </c>
      <c r="H14" s="10">
        <f t="shared" si="0"/>
        <v>3312.98</v>
      </c>
      <c r="I14" s="33"/>
      <c r="J14" s="33"/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  <c r="AA14" s="33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16"/>
      <c r="AT14" s="47"/>
      <c r="AU14" s="0"/>
      <c r="AV14" s="0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0"/>
      <c r="BN14" s="0"/>
      <c r="BO14" s="47"/>
      <c r="BP14" s="47"/>
      <c r="BQ14" s="47"/>
    </row>
    <row r="15" spans="1:69">
      <c r="A15" s="6">
        <v>12</v>
      </c>
      <c r="B15" s="7" t="s">
        <v>33</v>
      </c>
      <c r="C15" s="7" t="s">
        <v>34</v>
      </c>
      <c r="D15" s="7" t="s">
        <v>12</v>
      </c>
      <c r="E15" s="7" t="s">
        <v>12</v>
      </c>
      <c r="F15" s="8">
        <v>39</v>
      </c>
      <c r="G15" s="9">
        <v>98.25</v>
      </c>
      <c r="H15" s="10">
        <f t="shared" si="0"/>
        <v>3831.75</v>
      </c>
      <c r="I15" s="33"/>
      <c r="J15" s="33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  <c r="AA15" s="33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16"/>
      <c r="AT15" s="47"/>
      <c r="AU15" s="0"/>
      <c r="AV15" s="0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0"/>
      <c r="BN15" s="0"/>
      <c r="BO15" s="47"/>
      <c r="BP15" s="47"/>
      <c r="BQ15" s="47"/>
    </row>
    <row r="16" spans="1:69">
      <c r="A16" s="6">
        <v>13</v>
      </c>
      <c r="B16" s="7" t="s">
        <v>35</v>
      </c>
      <c r="C16" s="7" t="s">
        <v>36</v>
      </c>
      <c r="D16" s="7" t="s">
        <v>12</v>
      </c>
      <c r="E16" s="7" t="s">
        <v>12</v>
      </c>
      <c r="F16" s="8">
        <v>70</v>
      </c>
      <c r="G16" s="9">
        <v>102.25</v>
      </c>
      <c r="H16" s="10">
        <f t="shared" si="0"/>
        <v>7157.5</v>
      </c>
      <c r="I16" s="33"/>
      <c r="J16" s="33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  <c r="AA16" s="3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16"/>
      <c r="AT16" s="47"/>
      <c r="AU16" s="0"/>
      <c r="AV16" s="0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M16" s="0"/>
      <c r="BN16" s="0"/>
      <c r="BO16" s="47"/>
      <c r="BP16" s="47"/>
      <c r="BQ16" s="47"/>
    </row>
    <row r="17" spans="1:69">
      <c r="A17" s="6">
        <v>14</v>
      </c>
      <c r="B17" s="7" t="s">
        <v>37</v>
      </c>
      <c r="C17" s="7" t="s">
        <v>38</v>
      </c>
      <c r="D17" s="7" t="s">
        <v>12</v>
      </c>
      <c r="E17" s="7" t="s">
        <v>12</v>
      </c>
      <c r="F17" s="8">
        <v>100</v>
      </c>
      <c r="G17" s="9">
        <v>103.5</v>
      </c>
      <c r="H17" s="10">
        <f t="shared" si="0"/>
        <v>10350</v>
      </c>
      <c r="I17" s="33"/>
      <c r="J17" s="33"/>
      <c r="K17" s="33"/>
      <c r="L17" s="34"/>
      <c r="M17" s="34"/>
      <c r="N17" s="34"/>
      <c r="O17" s="34"/>
      <c r="P17" s="34"/>
      <c r="Q17" s="34"/>
      <c r="R17" s="34"/>
      <c r="S17" s="38"/>
      <c r="T17" s="34"/>
      <c r="U17" s="33"/>
      <c r="V17" s="33"/>
      <c r="W17" s="33"/>
      <c r="X17" s="33"/>
      <c r="Y17" s="33"/>
      <c r="Z17" s="33"/>
      <c r="AA17" s="33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16"/>
      <c r="AT17" s="47"/>
      <c r="AU17" s="0"/>
      <c r="AV17" s="0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M17" s="0"/>
      <c r="BN17" s="0"/>
      <c r="BO17" s="47"/>
      <c r="BP17" s="47"/>
      <c r="BQ17" s="47"/>
    </row>
    <row r="18" ht="15.25" spans="1:69">
      <c r="A18" s="11">
        <v>15</v>
      </c>
      <c r="B18" s="12" t="s">
        <v>39</v>
      </c>
      <c r="C18" s="12" t="s">
        <v>40</v>
      </c>
      <c r="D18" s="12" t="s">
        <v>12</v>
      </c>
      <c r="E18" s="12" t="s">
        <v>12</v>
      </c>
      <c r="F18" s="13">
        <v>85</v>
      </c>
      <c r="G18" s="14">
        <v>65.48</v>
      </c>
      <c r="H18" s="15">
        <f t="shared" si="0"/>
        <v>5565.8</v>
      </c>
      <c r="I18" s="33"/>
      <c r="J18" s="33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  <c r="AA18" s="33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16"/>
      <c r="AT18" s="47"/>
      <c r="AU18" s="0"/>
      <c r="AV18" s="0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M18" s="0"/>
      <c r="BN18" s="0"/>
      <c r="BO18" s="47"/>
      <c r="BP18" s="47"/>
      <c r="BQ18" s="47"/>
    </row>
    <row r="19" ht="15.25" spans="1:69">
      <c r="A19" s="16"/>
      <c r="B19" s="17" t="s">
        <v>41</v>
      </c>
      <c r="C19" s="17"/>
      <c r="D19" s="17"/>
      <c r="E19" s="17"/>
      <c r="F19" s="17"/>
      <c r="G19" s="17"/>
      <c r="H19" s="18">
        <f>SUM(H4:H18)</f>
        <v>71856.76</v>
      </c>
      <c r="I19" s="35"/>
      <c r="J19" s="35"/>
      <c r="K19" s="35"/>
      <c r="L19" s="35"/>
      <c r="M19" s="35"/>
      <c r="N19" s="35"/>
      <c r="O19" s="35"/>
      <c r="P19" s="35"/>
      <c r="Q19" s="35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47"/>
      <c r="AU19" s="0"/>
      <c r="AV19" s="0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M19" s="0"/>
      <c r="BN19" s="0"/>
      <c r="BO19" s="47"/>
      <c r="BP19" s="47"/>
      <c r="BQ19" s="47"/>
    </row>
    <row r="20" spans="1:69">
      <c r="A20" s="19" t="s">
        <v>42</v>
      </c>
      <c r="B20" s="20"/>
      <c r="C20" s="20"/>
      <c r="D20" s="20"/>
      <c r="E20" s="20"/>
      <c r="F20" s="20"/>
      <c r="G20" s="20"/>
      <c r="H20" s="19"/>
      <c r="I20" s="35"/>
      <c r="J20" s="35"/>
      <c r="K20" s="35"/>
      <c r="L20" s="35"/>
      <c r="M20" s="35"/>
      <c r="N20" s="35"/>
      <c r="O20" s="35"/>
      <c r="P20" s="35"/>
      <c r="Q20" s="35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</row>
    <row r="21" ht="15.25" spans="1:69">
      <c r="A21" s="21" t="s">
        <v>43</v>
      </c>
      <c r="B21" s="21"/>
      <c r="C21" s="22">
        <v>3</v>
      </c>
      <c r="D21" s="23" t="s">
        <v>44</v>
      </c>
      <c r="E21" s="20"/>
      <c r="F21" s="20"/>
      <c r="G21" s="20"/>
      <c r="H21" s="19"/>
      <c r="I21" s="35" t="s">
        <v>45</v>
      </c>
      <c r="J21" s="35" t="s">
        <v>46</v>
      </c>
      <c r="K21" s="35"/>
      <c r="L21" s="35" t="s">
        <v>47</v>
      </c>
      <c r="M21" s="35">
        <v>1</v>
      </c>
      <c r="N21" s="35"/>
      <c r="O21" s="35" t="s">
        <v>48</v>
      </c>
      <c r="P21" s="35">
        <v>1</v>
      </c>
      <c r="Q21" s="35" t="s">
        <v>49</v>
      </c>
      <c r="R21" s="19"/>
      <c r="S21" s="19"/>
      <c r="T21" s="19"/>
      <c r="U21" s="19"/>
      <c r="V21" s="19">
        <v>1</v>
      </c>
      <c r="W21" s="19" t="s">
        <v>50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47"/>
      <c r="AU21" s="47"/>
      <c r="AV21" s="47"/>
      <c r="AW21" s="47"/>
      <c r="AX21" s="47"/>
      <c r="AY21" s="47"/>
      <c r="AZ21" s="47"/>
      <c r="BA21" s="47"/>
      <c r="BB21" s="47"/>
      <c r="BC21" s="47"/>
      <c r="BD21" s="47"/>
      <c r="BE21" s="47"/>
      <c r="BF21" s="47"/>
      <c r="BG21" s="47"/>
      <c r="BH21" s="47"/>
      <c r="BI21" s="47"/>
      <c r="BJ21" s="47"/>
      <c r="BK21" s="47"/>
      <c r="BL21" s="47"/>
      <c r="BM21" s="47"/>
      <c r="BN21" s="47"/>
      <c r="BO21" s="47"/>
      <c r="BP21" s="47"/>
      <c r="BQ21" s="47"/>
    </row>
    <row r="22" ht="59.5" spans="1:69">
      <c r="A22" s="24" t="s">
        <v>2</v>
      </c>
      <c r="B22" s="24" t="s">
        <v>3</v>
      </c>
      <c r="C22" s="25" t="s">
        <v>4</v>
      </c>
      <c r="D22" s="24" t="s">
        <v>5</v>
      </c>
      <c r="E22" s="24" t="s">
        <v>6</v>
      </c>
      <c r="F22" s="26" t="s">
        <v>51</v>
      </c>
      <c r="G22" s="24" t="s">
        <v>8</v>
      </c>
      <c r="H22" s="24" t="s">
        <v>9</v>
      </c>
      <c r="I22" s="36" t="s">
        <v>52</v>
      </c>
      <c r="J22" s="36" t="s">
        <v>53</v>
      </c>
      <c r="K22" s="36" t="s">
        <v>54</v>
      </c>
      <c r="L22" s="37" t="s">
        <v>55</v>
      </c>
      <c r="M22" s="37" t="s">
        <v>56</v>
      </c>
      <c r="N22" s="37" t="s">
        <v>57</v>
      </c>
      <c r="O22" s="37" t="s">
        <v>58</v>
      </c>
      <c r="P22" s="37" t="s">
        <v>59</v>
      </c>
      <c r="Q22" s="37" t="s">
        <v>60</v>
      </c>
      <c r="R22" s="36" t="s">
        <v>61</v>
      </c>
      <c r="S22" s="24" t="s">
        <v>62</v>
      </c>
      <c r="T22" s="24" t="s">
        <v>63</v>
      </c>
      <c r="U22" s="39" t="s">
        <v>64</v>
      </c>
      <c r="V22" s="39" t="s">
        <v>65</v>
      </c>
      <c r="W22" s="39" t="s">
        <v>66</v>
      </c>
      <c r="X22" s="39" t="s">
        <v>67</v>
      </c>
      <c r="Y22" s="39" t="s">
        <v>68</v>
      </c>
      <c r="Z22" s="39" t="s">
        <v>69</v>
      </c>
      <c r="AA22" s="39" t="s">
        <v>70</v>
      </c>
      <c r="AB22" s="39" t="s">
        <v>71</v>
      </c>
      <c r="AC22" s="42" t="s">
        <v>72</v>
      </c>
      <c r="AD22" s="42" t="s">
        <v>73</v>
      </c>
      <c r="AE22" s="43" t="s">
        <v>74</v>
      </c>
      <c r="AF22" s="43" t="s">
        <v>75</v>
      </c>
      <c r="AG22" s="43" t="s">
        <v>76</v>
      </c>
      <c r="AH22" s="42" t="s">
        <v>77</v>
      </c>
      <c r="AI22" s="42" t="s">
        <v>78</v>
      </c>
      <c r="AJ22" s="43" t="s">
        <v>79</v>
      </c>
      <c r="AK22" s="43" t="s">
        <v>80</v>
      </c>
      <c r="AL22" s="42" t="s">
        <v>81</v>
      </c>
      <c r="AM22" s="42" t="s">
        <v>82</v>
      </c>
      <c r="AN22" s="43" t="s">
        <v>83</v>
      </c>
      <c r="AO22" s="43" t="s">
        <v>84</v>
      </c>
      <c r="AP22" s="43" t="s">
        <v>85</v>
      </c>
      <c r="AQ22" s="42" t="s">
        <v>86</v>
      </c>
      <c r="AR22" s="48" t="s">
        <v>87</v>
      </c>
      <c r="AS22" s="3" t="s">
        <v>88</v>
      </c>
      <c r="AT22" s="3" t="s">
        <v>86</v>
      </c>
      <c r="AU22" s="0"/>
      <c r="AV22" s="0"/>
      <c r="AW22" s="49" t="s">
        <v>91</v>
      </c>
      <c r="AX22" s="49" t="s">
        <v>92</v>
      </c>
      <c r="AY22" s="49" t="s">
        <v>93</v>
      </c>
      <c r="AZ22" s="49" t="s">
        <v>94</v>
      </c>
      <c r="BA22" s="49" t="s">
        <v>95</v>
      </c>
      <c r="BB22" s="49" t="s">
        <v>96</v>
      </c>
      <c r="BC22" s="51" t="s">
        <v>97</v>
      </c>
      <c r="BD22" s="51" t="s">
        <v>98</v>
      </c>
      <c r="BE22" s="51" t="s">
        <v>99</v>
      </c>
      <c r="BF22" s="49" t="s">
        <v>100</v>
      </c>
      <c r="BG22" s="49" t="s">
        <v>101</v>
      </c>
      <c r="BH22" s="49" t="s">
        <v>102</v>
      </c>
      <c r="BI22" s="49" t="s">
        <v>103</v>
      </c>
      <c r="BJ22" s="49" t="s">
        <v>104</v>
      </c>
      <c r="BK22" s="49" t="s">
        <v>105</v>
      </c>
      <c r="BL22" s="49" t="s">
        <v>106</v>
      </c>
      <c r="BM22" s="0"/>
      <c r="BN22" s="0"/>
      <c r="BO22" s="49" t="s">
        <v>94</v>
      </c>
      <c r="BP22" s="49" t="s">
        <v>109</v>
      </c>
      <c r="BQ22" s="49" t="s">
        <v>63</v>
      </c>
    </row>
    <row r="23" ht="15.25" spans="1:69">
      <c r="A23" s="27">
        <v>1</v>
      </c>
      <c r="B23" s="27" t="s">
        <v>142</v>
      </c>
      <c r="C23" s="27" t="s">
        <v>142</v>
      </c>
      <c r="D23" s="27" t="s">
        <v>12</v>
      </c>
      <c r="E23" s="27" t="s">
        <v>12</v>
      </c>
      <c r="F23" s="28">
        <v>2</v>
      </c>
      <c r="G23" t="s" s="0">
        <v>130</v>
      </c>
      <c r="H23" s="28">
        <f>F23*G23</f>
        <v>400</v>
      </c>
      <c r="I23" t="s" s="0">
        <v>120</v>
      </c>
      <c r="J23" s="28">
        <v>2</v>
      </c>
      <c r="K23" s="28">
        <v>2</v>
      </c>
      <c r="L23" s="28">
        <f>H23</f>
        <v>400</v>
      </c>
      <c r="M23" s="28">
        <f>ROUND(L23*I23%,2)</f>
        <v>0</v>
      </c>
      <c r="N23" s="28">
        <f>H23-M23</f>
        <v>400</v>
      </c>
      <c r="O23" s="28">
        <f>ROUND(N23*J23%,2)</f>
        <v>8</v>
      </c>
      <c r="P23" s="28">
        <f>ROUND(N23-O23,2)</f>
        <v>392</v>
      </c>
      <c r="Q23" s="28">
        <f>ROUND(P23*K23%,2)</f>
        <v>7.84</v>
      </c>
      <c r="R23" s="28">
        <f>M23+O23+Q23</f>
        <v>15.84</v>
      </c>
      <c r="S23" s="28">
        <f>(H23-R23)</f>
        <v>384.16</v>
      </c>
      <c r="T23" s="28" t="s">
        <v>113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4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384.16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384.16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192.08</v>
      </c>
      <c r="AO23" s="28">
        <f>AJ23/AM23</f>
        <v>0</v>
      </c>
      <c r="AP23" s="28">
        <f>AK23/AM23</f>
        <v>0</v>
      </c>
      <c r="AQ23" s="28" t="s">
        <v>12</v>
      </c>
      <c r="AR23" s="28">
        <f>AN23+AO23+AP23</f>
        <v>192.08</v>
      </c>
      <c r="AS23" s="50" t="s">
        <v>123</v>
      </c>
      <c r="AT23" s="50" t="s">
        <v>12</v>
      </c>
      <c r="AU23" s="0"/>
      <c r="AV23" s="0"/>
      <c r="AW23" s="50">
        <f>AM23</f>
        <v>2</v>
      </c>
      <c r="AX23" s="50">
        <f>AR23</f>
        <v>192.08</v>
      </c>
      <c r="AY23" s="50">
        <f>AU23+AW23</f>
        <v>18</v>
      </c>
      <c r="AZ23" s="50">
        <f>ROUND(((AU23*AV23)+(AW23*AX23))/(AU23+AW23),5)</f>
        <v>186.51094</v>
      </c>
      <c r="BA23" s="52"/>
      <c r="BB23" s="52" t="s">
        <v>115</v>
      </c>
      <c r="BC23" s="53" t="s">
        <v>116</v>
      </c>
      <c r="BD23" s="54" t="s">
        <v>117</v>
      </c>
      <c r="BE23" s="54" t="s">
        <v>118</v>
      </c>
      <c r="BF23" s="52"/>
      <c r="BG23" s="52"/>
      <c r="BH23" s="52"/>
      <c r="BI23" s="50"/>
      <c r="BJ23" s="50"/>
      <c r="BK23" s="50"/>
      <c r="BL23" s="50" t="s">
        <v>119</v>
      </c>
      <c r="BM23" s="0"/>
      <c r="BN23" s="0"/>
      <c r="BO23" s="50">
        <f>ROUND((((AW23*AZ23)+(BN23*BM23))/(AW23+BN23)),5)</f>
        <v>184.84725</v>
      </c>
      <c r="BP23" s="55">
        <f>BN23+AW23</f>
        <v>20</v>
      </c>
      <c r="BQ23" s="56">
        <v>88363221</v>
      </c>
    </row>
    <row r="24" ht="15.25" spans="1:69">
      <c r="A24" s="16"/>
      <c r="B24" s="29"/>
      <c r="C24" s="29"/>
      <c r="D24" s="30" t="s">
        <v>41</v>
      </c>
      <c r="E24" s="30"/>
      <c r="F24" s="30"/>
      <c r="G24" s="31"/>
      <c r="H24" s="32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 t="shared" ref="R24:Y24" si="1">SUM(R23:R23)</f>
        <v>15.84</v>
      </c>
      <c r="S24" s="40">
        <f t="shared" si="1"/>
        <v>384.16</v>
      </c>
      <c r="T24" s="32"/>
      <c r="U24" s="32"/>
      <c r="V24" s="41">
        <f t="shared" si="1"/>
        <v>0</v>
      </c>
      <c r="W24" s="41">
        <f t="shared" si="1"/>
        <v>0</v>
      </c>
      <c r="X24" s="41">
        <f t="shared" si="1"/>
        <v>0</v>
      </c>
      <c r="Y24" s="41">
        <f t="shared" si="1"/>
        <v>0</v>
      </c>
      <c r="Z24" s="41"/>
      <c r="AA24" s="41">
        <f t="shared" ref="AA24:AE24" si="2">SUM(AA23:AA23)</f>
        <v>0</v>
      </c>
      <c r="AB24" s="32">
        <f t="shared" si="2"/>
        <v>0</v>
      </c>
      <c r="AC24" s="45">
        <f t="shared" si="2"/>
        <v>384.16</v>
      </c>
      <c r="AD24" s="46">
        <f t="shared" si="2"/>
        <v>120</v>
      </c>
      <c r="AE24" s="46">
        <f t="shared" si="2"/>
        <v>0</v>
      </c>
      <c r="AF24" s="45"/>
      <c r="AG24" s="46">
        <f t="shared" ref="AG24:AK24" si="3">SUM(AG23:AG23)</f>
        <v>0</v>
      </c>
      <c r="AH24" s="46">
        <f t="shared" si="3"/>
        <v>0</v>
      </c>
      <c r="AI24" s="46">
        <f t="shared" si="3"/>
        <v>384.16</v>
      </c>
      <c r="AJ24" s="46">
        <f t="shared" si="3"/>
        <v>0</v>
      </c>
      <c r="AK24" s="46">
        <f t="shared" si="3"/>
        <v>0</v>
      </c>
      <c r="AL24" s="45"/>
      <c r="AM24" s="45"/>
      <c r="AN24" s="45"/>
      <c r="AO24" s="45"/>
      <c r="AP24" s="45"/>
      <c r="AQ24" s="45"/>
      <c r="AR24" s="45"/>
      <c r="AS24" s="16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5" workbookViewId="0">
      <selection activeCell="J31" sqref="J31"/>
    </sheetView>
  </sheetViews>
  <sheetFormatPr defaultColWidth="8.70909090909091" defaultRowHeight="14.5"/>
  <cols>
    <col min="8" max="8" customWidth="true" width="9.42727272727273"/>
  </cols>
  <sheetData>
    <row r="1" ht="18.5" spans="1:69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</row>
    <row r="2" ht="19.25" spans="1:69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</row>
    <row r="3" ht="15.25" spans="1:69">
      <c r="A3" s="2" t="s">
        <v>2</v>
      </c>
      <c r="B3" s="3" t="s">
        <v>3</v>
      </c>
      <c r="C3" s="4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5" t="s">
        <v>9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</row>
    <row r="4" spans="1:69">
      <c r="A4" s="6">
        <v>1</v>
      </c>
      <c r="B4" s="7" t="s">
        <v>10</v>
      </c>
      <c r="C4" s="7" t="s">
        <v>11</v>
      </c>
      <c r="D4" s="7" t="s">
        <v>12</v>
      </c>
      <c r="E4" s="7" t="s">
        <v>12</v>
      </c>
      <c r="F4" s="8">
        <v>25</v>
      </c>
      <c r="G4" s="9">
        <v>257.63</v>
      </c>
      <c r="H4" s="10">
        <f t="shared" ref="H4:H18" si="0">F4*G4</f>
        <v>6440.75</v>
      </c>
      <c r="I4" s="33"/>
      <c r="J4" s="33"/>
      <c r="K4" s="33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  <c r="AA4" s="33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16"/>
      <c r="AT4" s="47"/>
      <c r="AU4" s="0"/>
      <c r="AV4" s="0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0"/>
      <c r="BN4" s="0"/>
      <c r="BO4" s="47"/>
      <c r="BP4" s="47"/>
      <c r="BQ4" s="47"/>
    </row>
    <row r="5" spans="1:69">
      <c r="A5" s="6">
        <v>2</v>
      </c>
      <c r="B5" s="7" t="s">
        <v>13</v>
      </c>
      <c r="C5" s="7" t="s">
        <v>14</v>
      </c>
      <c r="D5" s="7" t="s">
        <v>12</v>
      </c>
      <c r="E5" s="7" t="s">
        <v>12</v>
      </c>
      <c r="F5" s="8">
        <v>35</v>
      </c>
      <c r="G5" s="9">
        <v>125.45</v>
      </c>
      <c r="H5" s="10">
        <f t="shared" si="0"/>
        <v>4390.75</v>
      </c>
      <c r="I5" s="33"/>
      <c r="J5" s="33"/>
      <c r="K5" s="33"/>
      <c r="L5" s="34"/>
      <c r="M5" s="34"/>
      <c r="N5" s="34"/>
      <c r="O5" s="34"/>
      <c r="P5" s="34"/>
      <c r="Q5" s="34"/>
      <c r="R5" s="34"/>
      <c r="S5" s="34"/>
      <c r="T5" s="34"/>
      <c r="U5" s="33"/>
      <c r="V5" s="33"/>
      <c r="W5" s="33"/>
      <c r="X5" s="33"/>
      <c r="Y5" s="33"/>
      <c r="Z5" s="33"/>
      <c r="AA5" s="33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16"/>
      <c r="AT5" s="47"/>
      <c r="AU5" s="0"/>
      <c r="AV5" s="0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0"/>
      <c r="BN5" s="0"/>
      <c r="BO5" s="47"/>
      <c r="BP5" s="47"/>
      <c r="BQ5" s="47"/>
    </row>
    <row r="6" spans="1:69">
      <c r="A6" s="6">
        <v>3</v>
      </c>
      <c r="B6" s="7" t="s">
        <v>15</v>
      </c>
      <c r="C6" s="7" t="s">
        <v>16</v>
      </c>
      <c r="D6" s="7" t="s">
        <v>12</v>
      </c>
      <c r="E6" s="7" t="s">
        <v>12</v>
      </c>
      <c r="F6" s="8">
        <v>45</v>
      </c>
      <c r="G6" s="9">
        <v>125.36</v>
      </c>
      <c r="H6" s="10">
        <f t="shared" si="0"/>
        <v>5641.2</v>
      </c>
      <c r="I6" s="33"/>
      <c r="J6" s="33"/>
      <c r="K6" s="33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  <c r="AA6" s="33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16"/>
      <c r="AT6" s="47"/>
      <c r="AU6" s="0"/>
      <c r="AV6" s="0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47"/>
      <c r="BK6" s="47"/>
      <c r="BL6" s="47"/>
      <c r="BM6" s="0"/>
      <c r="BN6" s="0"/>
      <c r="BO6" s="47"/>
      <c r="BP6" s="47"/>
      <c r="BQ6" s="47"/>
    </row>
    <row r="7" spans="1:69">
      <c r="A7" s="6">
        <v>4</v>
      </c>
      <c r="B7" s="7" t="s">
        <v>17</v>
      </c>
      <c r="C7" s="7" t="s">
        <v>18</v>
      </c>
      <c r="D7" s="7" t="s">
        <v>12</v>
      </c>
      <c r="E7" s="7" t="s">
        <v>12</v>
      </c>
      <c r="F7" s="8">
        <v>55</v>
      </c>
      <c r="G7" s="9">
        <v>45.25</v>
      </c>
      <c r="H7" s="10">
        <f t="shared" si="0"/>
        <v>2488.75</v>
      </c>
      <c r="I7" s="33"/>
      <c r="J7" s="33"/>
      <c r="K7" s="33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  <c r="AA7" s="33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16"/>
      <c r="AT7" s="47"/>
      <c r="AU7" s="0"/>
      <c r="AV7" s="0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M7" s="0"/>
      <c r="BN7" s="0"/>
      <c r="BO7" s="47"/>
      <c r="BP7" s="47"/>
      <c r="BQ7" s="47"/>
    </row>
    <row r="8" spans="1:69">
      <c r="A8" s="6">
        <v>5</v>
      </c>
      <c r="B8" s="7" t="s">
        <v>19</v>
      </c>
      <c r="C8" s="7" t="s">
        <v>20</v>
      </c>
      <c r="D8" s="7" t="s">
        <v>12</v>
      </c>
      <c r="E8" s="7" t="s">
        <v>12</v>
      </c>
      <c r="F8" s="8">
        <v>60</v>
      </c>
      <c r="G8" s="9">
        <v>45.5</v>
      </c>
      <c r="H8" s="10">
        <f t="shared" si="0"/>
        <v>2730</v>
      </c>
      <c r="I8" s="33"/>
      <c r="J8" s="33"/>
      <c r="K8" s="33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  <c r="AA8" s="33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16"/>
      <c r="AT8" s="47"/>
      <c r="AU8" s="0"/>
      <c r="AV8" s="0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0"/>
      <c r="BN8" s="0"/>
      <c r="BO8" s="47"/>
      <c r="BP8" s="47"/>
      <c r="BQ8" s="47"/>
    </row>
    <row r="9" spans="1:69">
      <c r="A9" s="6">
        <v>6</v>
      </c>
      <c r="B9" s="7" t="s">
        <v>21</v>
      </c>
      <c r="C9" s="7" t="s">
        <v>22</v>
      </c>
      <c r="D9" s="7" t="s">
        <v>12</v>
      </c>
      <c r="E9" s="7" t="s">
        <v>12</v>
      </c>
      <c r="F9" s="8">
        <v>75</v>
      </c>
      <c r="G9" s="9">
        <v>125.25</v>
      </c>
      <c r="H9" s="10">
        <f t="shared" si="0"/>
        <v>9393.75</v>
      </c>
      <c r="I9" s="33"/>
      <c r="J9" s="33"/>
      <c r="K9" s="33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  <c r="AA9" s="33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16"/>
      <c r="AT9" s="47"/>
      <c r="AU9" s="0"/>
      <c r="AV9" s="0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0"/>
      <c r="BN9" s="0"/>
      <c r="BO9" s="47"/>
      <c r="BP9" s="47"/>
      <c r="BQ9" s="47"/>
    </row>
    <row r="10" spans="1:69">
      <c r="A10" s="6">
        <v>7</v>
      </c>
      <c r="B10" s="7" t="s">
        <v>23</v>
      </c>
      <c r="C10" s="7" t="s">
        <v>24</v>
      </c>
      <c r="D10" s="7" t="s">
        <v>12</v>
      </c>
      <c r="E10" s="7" t="s">
        <v>12</v>
      </c>
      <c r="F10" s="8">
        <v>28</v>
      </c>
      <c r="G10" s="9">
        <v>150.5</v>
      </c>
      <c r="H10" s="10">
        <f t="shared" si="0"/>
        <v>4214</v>
      </c>
      <c r="I10" s="33"/>
      <c r="J10" s="33"/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  <c r="AA10" s="33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16"/>
      <c r="AT10" s="47"/>
      <c r="AU10" s="0"/>
      <c r="AV10" s="0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0"/>
      <c r="BN10" s="0"/>
      <c r="BO10" s="47"/>
      <c r="BP10" s="47"/>
      <c r="BQ10" s="47"/>
    </row>
    <row r="11" spans="1:69">
      <c r="A11" s="6">
        <v>8</v>
      </c>
      <c r="B11" s="7" t="s">
        <v>25</v>
      </c>
      <c r="C11" s="7" t="s">
        <v>26</v>
      </c>
      <c r="D11" s="7" t="s">
        <v>12</v>
      </c>
      <c r="E11" s="7" t="s">
        <v>12</v>
      </c>
      <c r="F11" s="8">
        <v>30</v>
      </c>
      <c r="G11" s="9">
        <v>65.32</v>
      </c>
      <c r="H11" s="10">
        <f t="shared" si="0"/>
        <v>1959.6</v>
      </c>
      <c r="I11" s="33"/>
      <c r="J11" s="33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  <c r="AA11" s="33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16"/>
      <c r="AT11" s="47"/>
      <c r="AU11" s="0"/>
      <c r="AV11" s="0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0"/>
      <c r="BN11" s="0"/>
      <c r="BO11" s="47"/>
      <c r="BP11" s="47"/>
      <c r="BQ11" s="47"/>
    </row>
    <row r="12" spans="1:69">
      <c r="A12" s="6">
        <v>9</v>
      </c>
      <c r="B12" s="7" t="s">
        <v>27</v>
      </c>
      <c r="C12" s="7" t="s">
        <v>28</v>
      </c>
      <c r="D12" s="7" t="s">
        <v>12</v>
      </c>
      <c r="E12" s="7" t="s">
        <v>12</v>
      </c>
      <c r="F12" s="8">
        <v>25</v>
      </c>
      <c r="G12" s="9">
        <v>74.89</v>
      </c>
      <c r="H12" s="10">
        <f t="shared" si="0"/>
        <v>1872.25</v>
      </c>
      <c r="I12" s="33"/>
      <c r="J12" s="33"/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  <c r="AA12" s="33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16"/>
      <c r="AT12" s="47"/>
      <c r="AU12" s="0"/>
      <c r="AV12" s="0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0"/>
      <c r="BN12" s="0"/>
      <c r="BO12" s="47"/>
      <c r="BP12" s="47"/>
      <c r="BQ12" s="47"/>
    </row>
    <row r="13" spans="1:69">
      <c r="A13" s="6">
        <v>10</v>
      </c>
      <c r="B13" s="7" t="s">
        <v>29</v>
      </c>
      <c r="C13" s="7" t="s">
        <v>30</v>
      </c>
      <c r="D13" s="7" t="s">
        <v>12</v>
      </c>
      <c r="E13" s="7" t="s">
        <v>12</v>
      </c>
      <c r="F13" s="8">
        <v>28</v>
      </c>
      <c r="G13" s="9">
        <v>89.56</v>
      </c>
      <c r="H13" s="10">
        <f t="shared" si="0"/>
        <v>2507.68</v>
      </c>
      <c r="I13" s="33"/>
      <c r="J13" s="33"/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  <c r="AA13" s="33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16"/>
      <c r="AT13" s="47"/>
      <c r="AU13" s="0"/>
      <c r="AV13" s="0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0"/>
      <c r="BN13" s="0"/>
      <c r="BO13" s="47"/>
      <c r="BP13" s="47"/>
      <c r="BQ13" s="47"/>
    </row>
    <row r="14" spans="1:69">
      <c r="A14" s="6">
        <v>11</v>
      </c>
      <c r="B14" s="7" t="s">
        <v>31</v>
      </c>
      <c r="C14" s="7" t="s">
        <v>32</v>
      </c>
      <c r="D14" s="7" t="s">
        <v>12</v>
      </c>
      <c r="E14" s="7" t="s">
        <v>12</v>
      </c>
      <c r="F14" s="8">
        <v>37</v>
      </c>
      <c r="G14" s="9">
        <v>89.54</v>
      </c>
      <c r="H14" s="10">
        <f t="shared" si="0"/>
        <v>3312.98</v>
      </c>
      <c r="I14" s="33"/>
      <c r="J14" s="33"/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  <c r="AA14" s="33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16"/>
      <c r="AT14" s="47"/>
      <c r="AU14" s="0"/>
      <c r="AV14" s="0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0"/>
      <c r="BN14" s="0"/>
      <c r="BO14" s="47"/>
      <c r="BP14" s="47"/>
      <c r="BQ14" s="47"/>
    </row>
    <row r="15" spans="1:69">
      <c r="A15" s="6">
        <v>12</v>
      </c>
      <c r="B15" s="7" t="s">
        <v>33</v>
      </c>
      <c r="C15" s="7" t="s">
        <v>34</v>
      </c>
      <c r="D15" s="7" t="s">
        <v>12</v>
      </c>
      <c r="E15" s="7" t="s">
        <v>12</v>
      </c>
      <c r="F15" s="8">
        <v>39</v>
      </c>
      <c r="G15" s="9">
        <v>98.25</v>
      </c>
      <c r="H15" s="10">
        <f t="shared" si="0"/>
        <v>3831.75</v>
      </c>
      <c r="I15" s="33"/>
      <c r="J15" s="33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  <c r="AA15" s="33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16"/>
      <c r="AT15" s="47"/>
      <c r="AU15" s="0"/>
      <c r="AV15" s="0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0"/>
      <c r="BN15" s="0"/>
      <c r="BO15" s="47"/>
      <c r="BP15" s="47"/>
      <c r="BQ15" s="47"/>
    </row>
    <row r="16" spans="1:69">
      <c r="A16" s="6">
        <v>13</v>
      </c>
      <c r="B16" s="7" t="s">
        <v>35</v>
      </c>
      <c r="C16" s="7" t="s">
        <v>36</v>
      </c>
      <c r="D16" s="7" t="s">
        <v>12</v>
      </c>
      <c r="E16" s="7" t="s">
        <v>12</v>
      </c>
      <c r="F16" s="8">
        <v>70</v>
      </c>
      <c r="G16" s="9">
        <v>102.25</v>
      </c>
      <c r="H16" s="10">
        <f t="shared" si="0"/>
        <v>7157.5</v>
      </c>
      <c r="I16" s="33"/>
      <c r="J16" s="33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  <c r="AA16" s="3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16"/>
      <c r="AT16" s="47"/>
      <c r="AU16" s="0"/>
      <c r="AV16" s="0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M16" s="0"/>
      <c r="BN16" s="0"/>
      <c r="BO16" s="47"/>
      <c r="BP16" s="47"/>
      <c r="BQ16" s="47"/>
    </row>
    <row r="17" spans="1:69">
      <c r="A17" s="6">
        <v>14</v>
      </c>
      <c r="B17" s="7" t="s">
        <v>37</v>
      </c>
      <c r="C17" s="7" t="s">
        <v>38</v>
      </c>
      <c r="D17" s="7" t="s">
        <v>12</v>
      </c>
      <c r="E17" s="7" t="s">
        <v>12</v>
      </c>
      <c r="F17" s="8">
        <v>100</v>
      </c>
      <c r="G17" s="9">
        <v>103.5</v>
      </c>
      <c r="H17" s="10">
        <f t="shared" si="0"/>
        <v>10350</v>
      </c>
      <c r="I17" s="33"/>
      <c r="J17" s="33"/>
      <c r="K17" s="33"/>
      <c r="L17" s="34"/>
      <c r="M17" s="34"/>
      <c r="N17" s="34"/>
      <c r="O17" s="34"/>
      <c r="P17" s="34"/>
      <c r="Q17" s="34"/>
      <c r="R17" s="34"/>
      <c r="S17" s="38"/>
      <c r="T17" s="34"/>
      <c r="U17" s="33"/>
      <c r="V17" s="33"/>
      <c r="W17" s="33"/>
      <c r="X17" s="33"/>
      <c r="Y17" s="33"/>
      <c r="Z17" s="33"/>
      <c r="AA17" s="33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16"/>
      <c r="AT17" s="47"/>
      <c r="AU17" s="0"/>
      <c r="AV17" s="0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M17" s="0"/>
      <c r="BN17" s="0"/>
      <c r="BO17" s="47"/>
      <c r="BP17" s="47"/>
      <c r="BQ17" s="47"/>
    </row>
    <row r="18" ht="15.25" spans="1:69">
      <c r="A18" s="11">
        <v>15</v>
      </c>
      <c r="B18" s="12" t="s">
        <v>39</v>
      </c>
      <c r="C18" s="12" t="s">
        <v>40</v>
      </c>
      <c r="D18" s="12" t="s">
        <v>12</v>
      </c>
      <c r="E18" s="12" t="s">
        <v>12</v>
      </c>
      <c r="F18" s="13">
        <v>85</v>
      </c>
      <c r="G18" s="14">
        <v>65.48</v>
      </c>
      <c r="H18" s="15">
        <f t="shared" si="0"/>
        <v>5565.8</v>
      </c>
      <c r="I18" s="33"/>
      <c r="J18" s="33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  <c r="AA18" s="33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16"/>
      <c r="AT18" s="47"/>
      <c r="AU18" s="0"/>
      <c r="AV18" s="0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M18" s="0"/>
      <c r="BN18" s="0"/>
      <c r="BO18" s="47"/>
      <c r="BP18" s="47"/>
      <c r="BQ18" s="47"/>
    </row>
    <row r="19" ht="15.25" spans="1:69">
      <c r="A19" s="16"/>
      <c r="B19" s="17" t="s">
        <v>41</v>
      </c>
      <c r="C19" s="17"/>
      <c r="D19" s="17"/>
      <c r="E19" s="17"/>
      <c r="F19" s="17"/>
      <c r="G19" s="17"/>
      <c r="H19" s="18">
        <f>SUM(H4:H18)</f>
        <v>71856.76</v>
      </c>
      <c r="I19" s="35"/>
      <c r="J19" s="35"/>
      <c r="K19" s="35"/>
      <c r="L19" s="35"/>
      <c r="M19" s="35"/>
      <c r="N19" s="35"/>
      <c r="O19" s="35"/>
      <c r="P19" s="35"/>
      <c r="Q19" s="35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47"/>
      <c r="AU19" s="0"/>
      <c r="AV19" s="0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M19" s="0"/>
      <c r="BN19" s="0"/>
      <c r="BO19" s="47"/>
      <c r="BP19" s="47"/>
      <c r="BQ19" s="47"/>
    </row>
    <row r="20" spans="1:69">
      <c r="A20" s="19" t="s">
        <v>42</v>
      </c>
      <c r="B20" s="20"/>
      <c r="C20" s="20"/>
      <c r="D20" s="20"/>
      <c r="E20" s="20"/>
      <c r="F20" s="20"/>
      <c r="G20" s="20"/>
      <c r="H20" s="19"/>
      <c r="I20" s="35"/>
      <c r="J20" s="35"/>
      <c r="K20" s="35"/>
      <c r="L20" s="35"/>
      <c r="M20" s="35"/>
      <c r="N20" s="35"/>
      <c r="O20" s="35"/>
      <c r="P20" s="35"/>
      <c r="Q20" s="35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</row>
    <row r="21" ht="15.25" spans="1:69">
      <c r="A21" s="21" t="s">
        <v>43</v>
      </c>
      <c r="B21" s="21"/>
      <c r="C21" s="22">
        <v>3</v>
      </c>
      <c r="D21" s="23" t="s">
        <v>44</v>
      </c>
      <c r="E21" s="20"/>
      <c r="F21" s="20"/>
      <c r="G21" s="20"/>
      <c r="H21" s="19"/>
      <c r="I21" s="35" t="s">
        <v>45</v>
      </c>
      <c r="J21" s="35" t="s">
        <v>46</v>
      </c>
      <c r="K21" s="35"/>
      <c r="L21" s="35" t="s">
        <v>47</v>
      </c>
      <c r="M21" s="35">
        <v>1</v>
      </c>
      <c r="N21" s="35"/>
      <c r="O21" s="35" t="s">
        <v>48</v>
      </c>
      <c r="P21" s="35">
        <v>1</v>
      </c>
      <c r="Q21" s="35" t="s">
        <v>49</v>
      </c>
      <c r="R21" s="19"/>
      <c r="S21" s="19"/>
      <c r="T21" s="19"/>
      <c r="U21" s="19"/>
      <c r="V21" s="19">
        <v>1</v>
      </c>
      <c r="W21" s="19" t="s">
        <v>50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47"/>
      <c r="AU21" s="47"/>
      <c r="AV21" s="47"/>
      <c r="AW21" s="47"/>
      <c r="AX21" s="47"/>
      <c r="AY21" s="47"/>
      <c r="AZ21" s="47"/>
      <c r="BA21" s="47"/>
      <c r="BB21" s="47"/>
      <c r="BC21" s="47"/>
      <c r="BD21" s="47"/>
      <c r="BE21" s="47"/>
      <c r="BF21" s="47"/>
      <c r="BG21" s="47"/>
      <c r="BH21" s="47"/>
      <c r="BI21" s="47"/>
      <c r="BJ21" s="47"/>
      <c r="BK21" s="47"/>
      <c r="BL21" s="47"/>
      <c r="BM21" s="47"/>
      <c r="BN21" s="47"/>
      <c r="BO21" s="47"/>
      <c r="BP21" s="47"/>
      <c r="BQ21" s="47"/>
    </row>
    <row r="22" ht="59.5" spans="1:69">
      <c r="A22" s="24" t="s">
        <v>2</v>
      </c>
      <c r="B22" s="24" t="s">
        <v>3</v>
      </c>
      <c r="C22" s="25" t="s">
        <v>4</v>
      </c>
      <c r="D22" s="24" t="s">
        <v>5</v>
      </c>
      <c r="E22" s="24" t="s">
        <v>6</v>
      </c>
      <c r="F22" s="26" t="s">
        <v>51</v>
      </c>
      <c r="G22" s="24" t="s">
        <v>8</v>
      </c>
      <c r="H22" s="24" t="s">
        <v>9</v>
      </c>
      <c r="I22" s="36" t="s">
        <v>52</v>
      </c>
      <c r="J22" s="36" t="s">
        <v>53</v>
      </c>
      <c r="K22" s="36" t="s">
        <v>54</v>
      </c>
      <c r="L22" s="37" t="s">
        <v>55</v>
      </c>
      <c r="M22" s="37" t="s">
        <v>56</v>
      </c>
      <c r="N22" s="37" t="s">
        <v>57</v>
      </c>
      <c r="O22" s="37" t="s">
        <v>58</v>
      </c>
      <c r="P22" s="37" t="s">
        <v>59</v>
      </c>
      <c r="Q22" s="37" t="s">
        <v>60</v>
      </c>
      <c r="R22" s="36" t="s">
        <v>61</v>
      </c>
      <c r="S22" s="24" t="s">
        <v>62</v>
      </c>
      <c r="T22" s="24" t="s">
        <v>63</v>
      </c>
      <c r="U22" s="39" t="s">
        <v>64</v>
      </c>
      <c r="V22" s="39" t="s">
        <v>65</v>
      </c>
      <c r="W22" s="39" t="s">
        <v>66</v>
      </c>
      <c r="X22" s="39" t="s">
        <v>67</v>
      </c>
      <c r="Y22" s="39" t="s">
        <v>68</v>
      </c>
      <c r="Z22" s="39" t="s">
        <v>69</v>
      </c>
      <c r="AA22" s="39" t="s">
        <v>70</v>
      </c>
      <c r="AB22" s="39" t="s">
        <v>71</v>
      </c>
      <c r="AC22" s="42" t="s">
        <v>72</v>
      </c>
      <c r="AD22" s="42" t="s">
        <v>73</v>
      </c>
      <c r="AE22" s="43" t="s">
        <v>74</v>
      </c>
      <c r="AF22" s="43" t="s">
        <v>75</v>
      </c>
      <c r="AG22" s="43" t="s">
        <v>76</v>
      </c>
      <c r="AH22" s="42" t="s">
        <v>77</v>
      </c>
      <c r="AI22" s="42" t="s">
        <v>78</v>
      </c>
      <c r="AJ22" s="43" t="s">
        <v>79</v>
      </c>
      <c r="AK22" s="43" t="s">
        <v>80</v>
      </c>
      <c r="AL22" s="42" t="s">
        <v>81</v>
      </c>
      <c r="AM22" s="42" t="s">
        <v>82</v>
      </c>
      <c r="AN22" s="43" t="s">
        <v>83</v>
      </c>
      <c r="AO22" s="43" t="s">
        <v>84</v>
      </c>
      <c r="AP22" s="43" t="s">
        <v>85</v>
      </c>
      <c r="AQ22" s="42" t="s">
        <v>86</v>
      </c>
      <c r="AR22" s="48" t="s">
        <v>87</v>
      </c>
      <c r="AS22" s="3" t="s">
        <v>88</v>
      </c>
      <c r="AT22" s="3" t="s">
        <v>86</v>
      </c>
      <c r="AU22" s="0"/>
      <c r="AV22" s="0"/>
      <c r="AW22" s="49" t="s">
        <v>91</v>
      </c>
      <c r="AX22" s="49" t="s">
        <v>92</v>
      </c>
      <c r="AY22" s="49" t="s">
        <v>93</v>
      </c>
      <c r="AZ22" s="49" t="s">
        <v>94</v>
      </c>
      <c r="BA22" s="49" t="s">
        <v>95</v>
      </c>
      <c r="BB22" s="49" t="s">
        <v>96</v>
      </c>
      <c r="BC22" s="51" t="s">
        <v>97</v>
      </c>
      <c r="BD22" s="51" t="s">
        <v>98</v>
      </c>
      <c r="BE22" s="51" t="s">
        <v>99</v>
      </c>
      <c r="BF22" s="49" t="s">
        <v>100</v>
      </c>
      <c r="BG22" s="49" t="s">
        <v>101</v>
      </c>
      <c r="BH22" s="49" t="s">
        <v>102</v>
      </c>
      <c r="BI22" s="49" t="s">
        <v>103</v>
      </c>
      <c r="BJ22" s="49" t="s">
        <v>104</v>
      </c>
      <c r="BK22" s="49" t="s">
        <v>105</v>
      </c>
      <c r="BL22" s="49" t="s">
        <v>106</v>
      </c>
      <c r="BM22" s="0"/>
      <c r="BN22" s="0"/>
      <c r="BO22" s="49" t="s">
        <v>94</v>
      </c>
      <c r="BP22" s="49" t="s">
        <v>109</v>
      </c>
      <c r="BQ22" s="49" t="s">
        <v>63</v>
      </c>
    </row>
    <row r="23" ht="15.25" spans="1:69">
      <c r="A23" s="27">
        <v>1</v>
      </c>
      <c r="B23" s="27" t="s">
        <v>147</v>
      </c>
      <c r="C23" s="27" t="s">
        <v>147</v>
      </c>
      <c r="D23" s="27" t="s">
        <v>12</v>
      </c>
      <c r="E23" s="27" t="s">
        <v>148</v>
      </c>
      <c r="F23" s="28">
        <v>2</v>
      </c>
      <c r="G23" s="47" t="s">
        <v>111</v>
      </c>
      <c r="H23" s="28">
        <f>F23*G23</f>
        <v>500</v>
      </c>
      <c r="I23" s="47" t="s">
        <v>112</v>
      </c>
      <c r="J23" s="28">
        <v>2</v>
      </c>
      <c r="K23" s="28">
        <v>2</v>
      </c>
      <c r="L23" s="28">
        <f>H23</f>
        <v>500</v>
      </c>
      <c r="M23" s="28">
        <f>ROUND(L23*I23%,2)</f>
        <v>10</v>
      </c>
      <c r="N23" s="28">
        <f>H23-M23</f>
        <v>490</v>
      </c>
      <c r="O23" s="28">
        <f>ROUND(N23*J23%,2)</f>
        <v>9.8</v>
      </c>
      <c r="P23" s="28">
        <f>ROUND(N23-O23,2)</f>
        <v>480.2</v>
      </c>
      <c r="Q23" s="28">
        <f>ROUND(P23*K23%,2)</f>
        <v>9.6</v>
      </c>
      <c r="R23" s="28">
        <f>M23+O23+Q23</f>
        <v>29.4</v>
      </c>
      <c r="S23" s="28">
        <f>(H23-R23)</f>
        <v>470.6</v>
      </c>
      <c r="T23" s="28" t="s">
        <v>113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28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470.6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470.6</v>
      </c>
      <c r="AJ23" s="28">
        <f>IF($C$21=3,0,AG23+AH23)</f>
        <v>0</v>
      </c>
      <c r="AK23" s="28">
        <f>IF($C$21=3,AE23+AG23+AH23,0)</f>
        <v>0</v>
      </c>
      <c r="AL23" s="28">
        <v>3</v>
      </c>
      <c r="AM23" s="28">
        <f>F23/AL23</f>
        <v>0.666666666666667</v>
      </c>
      <c r="AN23" s="28">
        <f>AI23/AM23</f>
        <v>705.9</v>
      </c>
      <c r="AO23" s="28">
        <f>AJ23/AM23</f>
        <v>0</v>
      </c>
      <c r="AP23" s="28">
        <f>AK23/AM23</f>
        <v>0</v>
      </c>
      <c r="AQ23" s="28" t="s">
        <v>12</v>
      </c>
      <c r="AR23" s="28">
        <f>AN23+AO23+AP23</f>
        <v>705.9</v>
      </c>
      <c r="AS23" s="50" t="s">
        <v>114</v>
      </c>
      <c r="AT23" s="50" t="s">
        <v>12</v>
      </c>
      <c r="AU23" t="s" s="0">
        <v>120</v>
      </c>
      <c r="AV23" t="s" s="0">
        <v>154</v>
      </c>
      <c r="AW23" s="50">
        <f>AM23</f>
        <v>0.666666666666667</v>
      </c>
      <c r="AX23" s="50">
        <f>AR23</f>
        <v>705.9</v>
      </c>
      <c r="AY23" s="50">
        <f>AU23+AW23</f>
        <v>0.666666666666667</v>
      </c>
      <c r="AZ23" s="50">
        <f>ROUND(((AU23*AV23)+(AW23*AX23))/(AU23+AW23),5)</f>
        <v>705.9</v>
      </c>
      <c r="BA23" s="52"/>
      <c r="BB23" s="52" t="s">
        <v>115</v>
      </c>
      <c r="BC23" s="53" t="s">
        <v>116</v>
      </c>
      <c r="BD23" s="54" t="s">
        <v>117</v>
      </c>
      <c r="BE23" s="54" t="s">
        <v>118</v>
      </c>
      <c r="BF23" s="52"/>
      <c r="BG23" s="52"/>
      <c r="BH23" s="52"/>
      <c r="BI23" s="50"/>
      <c r="BJ23" s="50"/>
      <c r="BK23" s="50"/>
      <c r="BL23" s="50" t="s">
        <v>119</v>
      </c>
      <c r="BM23" t="s" s="0">
        <v>156</v>
      </c>
      <c r="BN23" t="s" s="0">
        <v>155</v>
      </c>
      <c r="BO23" s="50">
        <f>ROUND((((AW23*AZ23)+(BN23*BM23))/(AW23+BN23)),5)</f>
        <v>705.9</v>
      </c>
      <c r="BP23" s="55">
        <f>BN23+AW23</f>
        <v>0.666666666666667</v>
      </c>
      <c r="BQ23" s="56">
        <v>88363222</v>
      </c>
    </row>
    <row r="24" ht="15.25" spans="1:69">
      <c r="A24" s="16"/>
      <c r="B24" s="29"/>
      <c r="C24" s="29"/>
      <c r="D24" s="30" t="s">
        <v>41</v>
      </c>
      <c r="E24" s="30"/>
      <c r="F24" s="30"/>
      <c r="G24" s="31"/>
      <c r="H24" s="32">
        <f>SUM(H23:H23)</f>
        <v>500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 t="shared" ref="R24:Y24" si="1">SUM(R23:R23)</f>
        <v>29.4</v>
      </c>
      <c r="S24" s="40">
        <f t="shared" si="1"/>
        <v>470.6</v>
      </c>
      <c r="T24" s="32"/>
      <c r="U24" s="32"/>
      <c r="V24" s="41">
        <f t="shared" si="1"/>
        <v>0</v>
      </c>
      <c r="W24" s="41">
        <f t="shared" si="1"/>
        <v>0</v>
      </c>
      <c r="X24" s="41">
        <f t="shared" si="1"/>
        <v>0</v>
      </c>
      <c r="Y24" s="41">
        <f t="shared" si="1"/>
        <v>0</v>
      </c>
      <c r="Z24" s="41"/>
      <c r="AA24" s="41">
        <f t="shared" ref="AA24:AE24" si="2">SUM(AA23:AA23)</f>
        <v>0</v>
      </c>
      <c r="AB24" s="32">
        <f t="shared" si="2"/>
        <v>0</v>
      </c>
      <c r="AC24" s="45">
        <f t="shared" si="2"/>
        <v>470.6</v>
      </c>
      <c r="AD24" s="46">
        <f t="shared" si="2"/>
        <v>120</v>
      </c>
      <c r="AE24" s="46">
        <f t="shared" si="2"/>
        <v>0</v>
      </c>
      <c r="AF24" s="45"/>
      <c r="AG24" s="46">
        <f t="shared" ref="AG24:AK24" si="3">SUM(AG23:AG23)</f>
        <v>0</v>
      </c>
      <c r="AH24" s="46">
        <f t="shared" si="3"/>
        <v>0</v>
      </c>
      <c r="AI24" s="46">
        <f t="shared" si="3"/>
        <v>470.6</v>
      </c>
      <c r="AJ24" s="46">
        <f t="shared" si="3"/>
        <v>0</v>
      </c>
      <c r="AK24" s="46">
        <f t="shared" si="3"/>
        <v>0</v>
      </c>
      <c r="AL24" s="45"/>
      <c r="AM24" s="45"/>
      <c r="AN24" s="45"/>
      <c r="AO24" s="45"/>
      <c r="AP24" s="45"/>
      <c r="AQ24" s="45"/>
      <c r="AR24" s="45"/>
      <c r="AS24" s="16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9" workbookViewId="0">
      <selection activeCell="J31" sqref="J31"/>
    </sheetView>
  </sheetViews>
  <sheetFormatPr defaultColWidth="8.70909090909091" defaultRowHeight="14.5"/>
  <cols>
    <col min="2" max="2" customWidth="true" width="26.5727272727273"/>
    <col min="8" max="8" customWidth="true" width="9.42727272727273"/>
  </cols>
  <sheetData>
    <row r="1" ht="18.5" spans="1:69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</row>
    <row r="2" ht="19.25" spans="1:69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</row>
    <row r="3" ht="15.25" spans="1:69">
      <c r="A3" s="2" t="s">
        <v>2</v>
      </c>
      <c r="B3" s="3" t="s">
        <v>3</v>
      </c>
      <c r="C3" s="4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5" t="s">
        <v>9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</row>
    <row r="4" spans="1:69">
      <c r="A4" s="6">
        <v>1</v>
      </c>
      <c r="B4" s="7" t="s">
        <v>10</v>
      </c>
      <c r="C4" s="7" t="s">
        <v>11</v>
      </c>
      <c r="D4" s="7" t="s">
        <v>12</v>
      </c>
      <c r="E4" s="7" t="s">
        <v>12</v>
      </c>
      <c r="F4" s="8">
        <v>25</v>
      </c>
      <c r="G4" s="9">
        <v>257.63</v>
      </c>
      <c r="H4" s="10">
        <f t="shared" ref="H4:H18" si="0">F4*G4</f>
        <v>6440.75</v>
      </c>
      <c r="I4" s="33"/>
      <c r="J4" s="33"/>
      <c r="K4" s="33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  <c r="AA4" s="33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16"/>
      <c r="AT4" s="47"/>
      <c r="AU4" s="0"/>
      <c r="AV4" s="0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0"/>
      <c r="BN4" s="0"/>
      <c r="BO4" s="47"/>
      <c r="BP4" s="47"/>
      <c r="BQ4" s="47"/>
    </row>
    <row r="5" spans="1:69">
      <c r="A5" s="6">
        <v>2</v>
      </c>
      <c r="B5" s="7" t="s">
        <v>13</v>
      </c>
      <c r="C5" s="7" t="s">
        <v>14</v>
      </c>
      <c r="D5" s="7" t="s">
        <v>12</v>
      </c>
      <c r="E5" s="7" t="s">
        <v>12</v>
      </c>
      <c r="F5" s="8">
        <v>35</v>
      </c>
      <c r="G5" s="9">
        <v>125.45</v>
      </c>
      <c r="H5" s="10">
        <f t="shared" si="0"/>
        <v>4390.75</v>
      </c>
      <c r="I5" s="33"/>
      <c r="J5" s="33"/>
      <c r="K5" s="33"/>
      <c r="L5" s="34"/>
      <c r="M5" s="34"/>
      <c r="N5" s="34"/>
      <c r="O5" s="34"/>
      <c r="P5" s="34"/>
      <c r="Q5" s="34"/>
      <c r="R5" s="34"/>
      <c r="S5" s="34"/>
      <c r="T5" s="34"/>
      <c r="U5" s="33"/>
      <c r="V5" s="33"/>
      <c r="W5" s="33"/>
      <c r="X5" s="33"/>
      <c r="Y5" s="33"/>
      <c r="Z5" s="33"/>
      <c r="AA5" s="33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16"/>
      <c r="AT5" s="47"/>
      <c r="AU5" s="0"/>
      <c r="AV5" s="0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0"/>
      <c r="BN5" s="0"/>
      <c r="BO5" s="47"/>
      <c r="BP5" s="47"/>
      <c r="BQ5" s="47"/>
    </row>
    <row r="6" spans="1:69">
      <c r="A6" s="6">
        <v>3</v>
      </c>
      <c r="B6" s="7" t="s">
        <v>15</v>
      </c>
      <c r="C6" s="7" t="s">
        <v>16</v>
      </c>
      <c r="D6" s="7" t="s">
        <v>12</v>
      </c>
      <c r="E6" s="7" t="s">
        <v>12</v>
      </c>
      <c r="F6" s="8">
        <v>45</v>
      </c>
      <c r="G6" s="9">
        <v>125.36</v>
      </c>
      <c r="H6" s="10">
        <f t="shared" si="0"/>
        <v>5641.2</v>
      </c>
      <c r="I6" s="33"/>
      <c r="J6" s="33"/>
      <c r="K6" s="33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  <c r="AA6" s="33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16"/>
      <c r="AT6" s="47"/>
      <c r="AU6" s="0"/>
      <c r="AV6" s="0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47"/>
      <c r="BK6" s="47"/>
      <c r="BL6" s="47"/>
      <c r="BM6" s="0"/>
      <c r="BN6" s="0"/>
      <c r="BO6" s="47"/>
      <c r="BP6" s="47"/>
      <c r="BQ6" s="47"/>
    </row>
    <row r="7" spans="1:69">
      <c r="A7" s="6">
        <v>4</v>
      </c>
      <c r="B7" s="7" t="s">
        <v>17</v>
      </c>
      <c r="C7" s="7" t="s">
        <v>18</v>
      </c>
      <c r="D7" s="7" t="s">
        <v>12</v>
      </c>
      <c r="E7" s="7" t="s">
        <v>12</v>
      </c>
      <c r="F7" s="8">
        <v>55</v>
      </c>
      <c r="G7" s="9">
        <v>45.25</v>
      </c>
      <c r="H7" s="10">
        <f t="shared" si="0"/>
        <v>2488.75</v>
      </c>
      <c r="I7" s="33"/>
      <c r="J7" s="33"/>
      <c r="K7" s="33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  <c r="AA7" s="33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16"/>
      <c r="AT7" s="47"/>
      <c r="AU7" s="0"/>
      <c r="AV7" s="0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M7" s="0"/>
      <c r="BN7" s="0"/>
      <c r="BO7" s="47"/>
      <c r="BP7" s="47"/>
      <c r="BQ7" s="47"/>
    </row>
    <row r="8" spans="1:69">
      <c r="A8" s="6">
        <v>5</v>
      </c>
      <c r="B8" s="7" t="s">
        <v>19</v>
      </c>
      <c r="C8" s="7" t="s">
        <v>20</v>
      </c>
      <c r="D8" s="7" t="s">
        <v>12</v>
      </c>
      <c r="E8" s="7" t="s">
        <v>12</v>
      </c>
      <c r="F8" s="8">
        <v>60</v>
      </c>
      <c r="G8" s="9">
        <v>45.5</v>
      </c>
      <c r="H8" s="10">
        <f t="shared" si="0"/>
        <v>2730</v>
      </c>
      <c r="I8" s="33"/>
      <c r="J8" s="33"/>
      <c r="K8" s="33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  <c r="AA8" s="33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16"/>
      <c r="AT8" s="47"/>
      <c r="AU8" s="0"/>
      <c r="AV8" s="0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0"/>
      <c r="BN8" s="0"/>
      <c r="BO8" s="47"/>
      <c r="BP8" s="47"/>
      <c r="BQ8" s="47"/>
    </row>
    <row r="9" spans="1:69">
      <c r="A9" s="6">
        <v>6</v>
      </c>
      <c r="B9" s="7" t="s">
        <v>21</v>
      </c>
      <c r="C9" s="7" t="s">
        <v>22</v>
      </c>
      <c r="D9" s="7" t="s">
        <v>12</v>
      </c>
      <c r="E9" s="7" t="s">
        <v>12</v>
      </c>
      <c r="F9" s="8">
        <v>75</v>
      </c>
      <c r="G9" s="9">
        <v>125.25</v>
      </c>
      <c r="H9" s="10">
        <f t="shared" si="0"/>
        <v>9393.75</v>
      </c>
      <c r="I9" s="33"/>
      <c r="J9" s="33"/>
      <c r="K9" s="33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  <c r="AA9" s="33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16"/>
      <c r="AT9" s="47"/>
      <c r="AU9" s="0"/>
      <c r="AV9" s="0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0"/>
      <c r="BN9" s="0"/>
      <c r="BO9" s="47"/>
      <c r="BP9" s="47"/>
      <c r="BQ9" s="47"/>
    </row>
    <row r="10" spans="1:69">
      <c r="A10" s="6">
        <v>7</v>
      </c>
      <c r="B10" s="7" t="s">
        <v>23</v>
      </c>
      <c r="C10" s="7" t="s">
        <v>24</v>
      </c>
      <c r="D10" s="7" t="s">
        <v>12</v>
      </c>
      <c r="E10" s="7" t="s">
        <v>12</v>
      </c>
      <c r="F10" s="8">
        <v>28</v>
      </c>
      <c r="G10" s="9">
        <v>150.5</v>
      </c>
      <c r="H10" s="10">
        <f t="shared" si="0"/>
        <v>4214</v>
      </c>
      <c r="I10" s="33"/>
      <c r="J10" s="33"/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  <c r="AA10" s="33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16"/>
      <c r="AT10" s="47"/>
      <c r="AU10" s="0"/>
      <c r="AV10" s="0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0"/>
      <c r="BN10" s="0"/>
      <c r="BO10" s="47"/>
      <c r="BP10" s="47"/>
      <c r="BQ10" s="47"/>
    </row>
    <row r="11" spans="1:69">
      <c r="A11" s="6">
        <v>8</v>
      </c>
      <c r="B11" s="7" t="s">
        <v>25</v>
      </c>
      <c r="C11" s="7" t="s">
        <v>26</v>
      </c>
      <c r="D11" s="7" t="s">
        <v>12</v>
      </c>
      <c r="E11" s="7" t="s">
        <v>12</v>
      </c>
      <c r="F11" s="8">
        <v>30</v>
      </c>
      <c r="G11" s="9">
        <v>65.32</v>
      </c>
      <c r="H11" s="10">
        <f t="shared" si="0"/>
        <v>1959.6</v>
      </c>
      <c r="I11" s="33"/>
      <c r="J11" s="33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  <c r="AA11" s="33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16"/>
      <c r="AT11" s="47"/>
      <c r="AU11" s="0"/>
      <c r="AV11" s="0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0"/>
      <c r="BN11" s="0"/>
      <c r="BO11" s="47"/>
      <c r="BP11" s="47"/>
      <c r="BQ11" s="47"/>
    </row>
    <row r="12" spans="1:69">
      <c r="A12" s="6">
        <v>9</v>
      </c>
      <c r="B12" s="7" t="s">
        <v>27</v>
      </c>
      <c r="C12" s="7" t="s">
        <v>28</v>
      </c>
      <c r="D12" s="7" t="s">
        <v>12</v>
      </c>
      <c r="E12" s="7" t="s">
        <v>12</v>
      </c>
      <c r="F12" s="8">
        <v>25</v>
      </c>
      <c r="G12" s="9">
        <v>74.89</v>
      </c>
      <c r="H12" s="10">
        <f t="shared" si="0"/>
        <v>1872.25</v>
      </c>
      <c r="I12" s="33"/>
      <c r="J12" s="33"/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  <c r="AA12" s="33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16"/>
      <c r="AT12" s="47"/>
      <c r="AU12" s="0"/>
      <c r="AV12" s="0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0"/>
      <c r="BN12" s="0"/>
      <c r="BO12" s="47"/>
      <c r="BP12" s="47"/>
      <c r="BQ12" s="47"/>
    </row>
    <row r="13" spans="1:69">
      <c r="A13" s="6">
        <v>10</v>
      </c>
      <c r="B13" s="7" t="s">
        <v>29</v>
      </c>
      <c r="C13" s="7" t="s">
        <v>30</v>
      </c>
      <c r="D13" s="7" t="s">
        <v>12</v>
      </c>
      <c r="E13" s="7" t="s">
        <v>12</v>
      </c>
      <c r="F13" s="8">
        <v>28</v>
      </c>
      <c r="G13" s="9">
        <v>89.56</v>
      </c>
      <c r="H13" s="10">
        <f t="shared" si="0"/>
        <v>2507.68</v>
      </c>
      <c r="I13" s="33"/>
      <c r="J13" s="33"/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  <c r="AA13" s="33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16"/>
      <c r="AT13" s="47"/>
      <c r="AU13" s="0"/>
      <c r="AV13" s="0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0"/>
      <c r="BN13" s="0"/>
      <c r="BO13" s="47"/>
      <c r="BP13" s="47"/>
      <c r="BQ13" s="47"/>
    </row>
    <row r="14" spans="1:69">
      <c r="A14" s="6">
        <v>11</v>
      </c>
      <c r="B14" s="7" t="s">
        <v>31</v>
      </c>
      <c r="C14" s="7" t="s">
        <v>32</v>
      </c>
      <c r="D14" s="7" t="s">
        <v>12</v>
      </c>
      <c r="E14" s="7" t="s">
        <v>12</v>
      </c>
      <c r="F14" s="8">
        <v>37</v>
      </c>
      <c r="G14" s="9">
        <v>89.54</v>
      </c>
      <c r="H14" s="10">
        <f t="shared" si="0"/>
        <v>3312.98</v>
      </c>
      <c r="I14" s="33"/>
      <c r="J14" s="33"/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  <c r="AA14" s="33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16"/>
      <c r="AT14" s="47"/>
      <c r="AU14" s="0"/>
      <c r="AV14" s="0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0"/>
      <c r="BN14" s="0"/>
      <c r="BO14" s="47"/>
      <c r="BP14" s="47"/>
      <c r="BQ14" s="47"/>
    </row>
    <row r="15" spans="1:69">
      <c r="A15" s="6">
        <v>12</v>
      </c>
      <c r="B15" s="7" t="s">
        <v>33</v>
      </c>
      <c r="C15" s="7" t="s">
        <v>34</v>
      </c>
      <c r="D15" s="7" t="s">
        <v>12</v>
      </c>
      <c r="E15" s="7" t="s">
        <v>12</v>
      </c>
      <c r="F15" s="8">
        <v>39</v>
      </c>
      <c r="G15" s="9">
        <v>98.25</v>
      </c>
      <c r="H15" s="10">
        <f t="shared" si="0"/>
        <v>3831.75</v>
      </c>
      <c r="I15" s="33"/>
      <c r="J15" s="33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  <c r="AA15" s="33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16"/>
      <c r="AT15" s="47"/>
      <c r="AU15" s="0"/>
      <c r="AV15" s="0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0"/>
      <c r="BN15" s="0"/>
      <c r="BO15" s="47"/>
      <c r="BP15" s="47"/>
      <c r="BQ15" s="47"/>
    </row>
    <row r="16" spans="1:69">
      <c r="A16" s="6">
        <v>13</v>
      </c>
      <c r="B16" s="7" t="s">
        <v>35</v>
      </c>
      <c r="C16" s="7" t="s">
        <v>36</v>
      </c>
      <c r="D16" s="7" t="s">
        <v>12</v>
      </c>
      <c r="E16" s="7" t="s">
        <v>12</v>
      </c>
      <c r="F16" s="8">
        <v>70</v>
      </c>
      <c r="G16" s="9">
        <v>102.25</v>
      </c>
      <c r="H16" s="10">
        <f t="shared" si="0"/>
        <v>7157.5</v>
      </c>
      <c r="I16" s="33"/>
      <c r="J16" s="33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  <c r="AA16" s="3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16"/>
      <c r="AT16" s="47"/>
      <c r="AU16" s="0"/>
      <c r="AV16" s="0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M16" s="0"/>
      <c r="BN16" s="0"/>
      <c r="BO16" s="47"/>
      <c r="BP16" s="47"/>
      <c r="BQ16" s="47"/>
    </row>
    <row r="17" spans="1:69">
      <c r="A17" s="6">
        <v>14</v>
      </c>
      <c r="B17" s="7" t="s">
        <v>37</v>
      </c>
      <c r="C17" s="7" t="s">
        <v>38</v>
      </c>
      <c r="D17" s="7" t="s">
        <v>12</v>
      </c>
      <c r="E17" s="7" t="s">
        <v>12</v>
      </c>
      <c r="F17" s="8">
        <v>100</v>
      </c>
      <c r="G17" s="9">
        <v>103.5</v>
      </c>
      <c r="H17" s="10">
        <f t="shared" si="0"/>
        <v>10350</v>
      </c>
      <c r="I17" s="33"/>
      <c r="J17" s="33"/>
      <c r="K17" s="33"/>
      <c r="L17" s="34"/>
      <c r="M17" s="34"/>
      <c r="N17" s="34"/>
      <c r="O17" s="34"/>
      <c r="P17" s="34"/>
      <c r="Q17" s="34"/>
      <c r="R17" s="34"/>
      <c r="S17" s="38"/>
      <c r="T17" s="34"/>
      <c r="U17" s="33"/>
      <c r="V17" s="33"/>
      <c r="W17" s="33"/>
      <c r="X17" s="33"/>
      <c r="Y17" s="33"/>
      <c r="Z17" s="33"/>
      <c r="AA17" s="33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16"/>
      <c r="AT17" s="47"/>
      <c r="AU17" s="0"/>
      <c r="AV17" s="0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M17" s="0"/>
      <c r="BN17" s="0"/>
      <c r="BO17" s="47"/>
      <c r="BP17" s="47"/>
      <c r="BQ17" s="47"/>
    </row>
    <row r="18" ht="15.25" spans="1:69">
      <c r="A18" s="11">
        <v>15</v>
      </c>
      <c r="B18" s="12" t="s">
        <v>39</v>
      </c>
      <c r="C18" s="12" t="s">
        <v>40</v>
      </c>
      <c r="D18" s="12" t="s">
        <v>12</v>
      </c>
      <c r="E18" s="12" t="s">
        <v>12</v>
      </c>
      <c r="F18" s="13">
        <v>85</v>
      </c>
      <c r="G18" s="14">
        <v>65.48</v>
      </c>
      <c r="H18" s="15">
        <f t="shared" si="0"/>
        <v>5565.8</v>
      </c>
      <c r="I18" s="33"/>
      <c r="J18" s="33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  <c r="AA18" s="33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16"/>
      <c r="AT18" s="47"/>
      <c r="AU18" s="0"/>
      <c r="AV18" s="0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M18" s="0"/>
      <c r="BN18" s="0"/>
      <c r="BO18" s="47"/>
      <c r="BP18" s="47"/>
      <c r="BQ18" s="47"/>
    </row>
    <row r="19" ht="15.25" spans="1:69">
      <c r="A19" s="16"/>
      <c r="B19" s="17" t="s">
        <v>41</v>
      </c>
      <c r="C19" s="17"/>
      <c r="D19" s="17"/>
      <c r="E19" s="17"/>
      <c r="F19" s="17"/>
      <c r="G19" s="17"/>
      <c r="H19" s="18">
        <f>SUM(H4:H18)</f>
        <v>71856.76</v>
      </c>
      <c r="I19" s="35"/>
      <c r="J19" s="35"/>
      <c r="K19" s="35"/>
      <c r="L19" s="35"/>
      <c r="M19" s="35"/>
      <c r="N19" s="35"/>
      <c r="O19" s="35"/>
      <c r="P19" s="35"/>
      <c r="Q19" s="35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47"/>
      <c r="AU19" s="0"/>
      <c r="AV19" s="0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M19" s="0"/>
      <c r="BN19" s="0"/>
      <c r="BO19" s="47"/>
      <c r="BP19" s="47"/>
      <c r="BQ19" s="47"/>
    </row>
    <row r="20" spans="1:69">
      <c r="A20" s="19" t="s">
        <v>42</v>
      </c>
      <c r="B20" s="20"/>
      <c r="C20" s="20"/>
      <c r="D20" s="20"/>
      <c r="E20" s="20"/>
      <c r="F20" s="20"/>
      <c r="G20" s="20"/>
      <c r="H20" s="19"/>
      <c r="I20" s="35"/>
      <c r="J20" s="35"/>
      <c r="K20" s="35"/>
      <c r="L20" s="35"/>
      <c r="M20" s="35"/>
      <c r="N20" s="35"/>
      <c r="O20" s="35"/>
      <c r="P20" s="35"/>
      <c r="Q20" s="35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</row>
    <row r="21" ht="15.25" spans="1:69">
      <c r="A21" s="21" t="s">
        <v>43</v>
      </c>
      <c r="B21" s="21"/>
      <c r="C21" s="22">
        <v>3</v>
      </c>
      <c r="D21" s="23" t="s">
        <v>44</v>
      </c>
      <c r="E21" s="20"/>
      <c r="F21" s="20"/>
      <c r="G21" s="20"/>
      <c r="H21" s="19"/>
      <c r="I21" s="35" t="s">
        <v>45</v>
      </c>
      <c r="J21" s="35" t="s">
        <v>46</v>
      </c>
      <c r="K21" s="35"/>
      <c r="L21" s="35" t="s">
        <v>47</v>
      </c>
      <c r="M21" s="35">
        <v>1</v>
      </c>
      <c r="N21" s="35"/>
      <c r="O21" s="35" t="s">
        <v>48</v>
      </c>
      <c r="P21" s="35">
        <v>1</v>
      </c>
      <c r="Q21" s="35" t="s">
        <v>49</v>
      </c>
      <c r="R21" s="19"/>
      <c r="S21" s="19"/>
      <c r="T21" s="19"/>
      <c r="U21" s="19"/>
      <c r="V21" s="19">
        <v>1</v>
      </c>
      <c r="W21" s="19" t="s">
        <v>50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47"/>
      <c r="AU21" s="47"/>
      <c r="AV21" s="47"/>
      <c r="AW21" s="47"/>
      <c r="AX21" s="47"/>
      <c r="AY21" s="47"/>
      <c r="AZ21" s="47"/>
      <c r="BA21" s="47"/>
      <c r="BB21" s="47"/>
      <c r="BC21" s="47"/>
      <c r="BD21" s="47"/>
      <c r="BE21" s="47"/>
      <c r="BF21" s="47"/>
      <c r="BG21" s="47"/>
      <c r="BH21" s="47"/>
      <c r="BI21" s="47"/>
      <c r="BJ21" s="47"/>
      <c r="BK21" s="47"/>
      <c r="BL21" s="47"/>
      <c r="BM21" s="47"/>
      <c r="BN21" s="47"/>
      <c r="BO21" s="47"/>
      <c r="BP21" s="47"/>
      <c r="BQ21" s="47"/>
    </row>
    <row r="22" ht="59.5" spans="1:69">
      <c r="A22" s="24" t="s">
        <v>2</v>
      </c>
      <c r="B22" s="24" t="s">
        <v>3</v>
      </c>
      <c r="C22" s="25" t="s">
        <v>4</v>
      </c>
      <c r="D22" s="24" t="s">
        <v>5</v>
      </c>
      <c r="E22" s="24" t="s">
        <v>6</v>
      </c>
      <c r="F22" s="26" t="s">
        <v>51</v>
      </c>
      <c r="G22" s="24" t="s">
        <v>8</v>
      </c>
      <c r="H22" s="24" t="s">
        <v>9</v>
      </c>
      <c r="I22" s="36" t="s">
        <v>52</v>
      </c>
      <c r="J22" s="36" t="s">
        <v>53</v>
      </c>
      <c r="K22" s="36" t="s">
        <v>54</v>
      </c>
      <c r="L22" s="37" t="s">
        <v>55</v>
      </c>
      <c r="M22" s="37" t="s">
        <v>56</v>
      </c>
      <c r="N22" s="37" t="s">
        <v>57</v>
      </c>
      <c r="O22" s="37" t="s">
        <v>58</v>
      </c>
      <c r="P22" s="37" t="s">
        <v>59</v>
      </c>
      <c r="Q22" s="37" t="s">
        <v>60</v>
      </c>
      <c r="R22" s="36" t="s">
        <v>61</v>
      </c>
      <c r="S22" s="24" t="s">
        <v>62</v>
      </c>
      <c r="T22" s="24" t="s">
        <v>63</v>
      </c>
      <c r="U22" s="39" t="s">
        <v>64</v>
      </c>
      <c r="V22" s="39" t="s">
        <v>65</v>
      </c>
      <c r="W22" s="39" t="s">
        <v>66</v>
      </c>
      <c r="X22" s="39" t="s">
        <v>67</v>
      </c>
      <c r="Y22" s="39" t="s">
        <v>68</v>
      </c>
      <c r="Z22" s="39" t="s">
        <v>69</v>
      </c>
      <c r="AA22" s="39" t="s">
        <v>70</v>
      </c>
      <c r="AB22" s="39" t="s">
        <v>71</v>
      </c>
      <c r="AC22" s="42" t="s">
        <v>72</v>
      </c>
      <c r="AD22" s="42" t="s">
        <v>73</v>
      </c>
      <c r="AE22" s="43" t="s">
        <v>74</v>
      </c>
      <c r="AF22" s="43" t="s">
        <v>75</v>
      </c>
      <c r="AG22" s="43" t="s">
        <v>76</v>
      </c>
      <c r="AH22" s="42" t="s">
        <v>77</v>
      </c>
      <c r="AI22" s="42" t="s">
        <v>78</v>
      </c>
      <c r="AJ22" s="43" t="s">
        <v>79</v>
      </c>
      <c r="AK22" s="43" t="s">
        <v>80</v>
      </c>
      <c r="AL22" s="42" t="s">
        <v>81</v>
      </c>
      <c r="AM22" s="42" t="s">
        <v>82</v>
      </c>
      <c r="AN22" s="43" t="s">
        <v>83</v>
      </c>
      <c r="AO22" s="43" t="s">
        <v>84</v>
      </c>
      <c r="AP22" s="43" t="s">
        <v>85</v>
      </c>
      <c r="AQ22" s="42" t="s">
        <v>86</v>
      </c>
      <c r="AR22" s="48" t="s">
        <v>87</v>
      </c>
      <c r="AS22" s="3" t="s">
        <v>88</v>
      </c>
      <c r="AT22" s="3" t="s">
        <v>86</v>
      </c>
      <c r="AU22" s="0"/>
      <c r="AV22" s="0"/>
      <c r="AW22" s="49" t="s">
        <v>91</v>
      </c>
      <c r="AX22" s="49" t="s">
        <v>92</v>
      </c>
      <c r="AY22" s="49" t="s">
        <v>93</v>
      </c>
      <c r="AZ22" s="49" t="s">
        <v>94</v>
      </c>
      <c r="BA22" s="49" t="s">
        <v>95</v>
      </c>
      <c r="BB22" s="49" t="s">
        <v>96</v>
      </c>
      <c r="BC22" s="51" t="s">
        <v>97</v>
      </c>
      <c r="BD22" s="51" t="s">
        <v>98</v>
      </c>
      <c r="BE22" s="51" t="s">
        <v>99</v>
      </c>
      <c r="BF22" s="49" t="s">
        <v>100</v>
      </c>
      <c r="BG22" s="49" t="s">
        <v>101</v>
      </c>
      <c r="BH22" s="49" t="s">
        <v>102</v>
      </c>
      <c r="BI22" s="49" t="s">
        <v>103</v>
      </c>
      <c r="BJ22" s="49" t="s">
        <v>104</v>
      </c>
      <c r="BK22" s="49" t="s">
        <v>105</v>
      </c>
      <c r="BL22" s="49" t="s">
        <v>106</v>
      </c>
      <c r="BM22" s="0"/>
      <c r="BN22" s="0"/>
      <c r="BO22" s="49" t="s">
        <v>94</v>
      </c>
      <c r="BP22" s="49" t="s">
        <v>109</v>
      </c>
      <c r="BQ22" s="49" t="s">
        <v>63</v>
      </c>
    </row>
    <row r="23" ht="15.25" spans="1:69">
      <c r="A23" s="27">
        <v>1</v>
      </c>
      <c r="B23" s="27" t="s">
        <v>149</v>
      </c>
      <c r="C23" s="27" t="s">
        <v>149</v>
      </c>
      <c r="D23" s="27" t="s">
        <v>12</v>
      </c>
      <c r="E23" s="27" t="s">
        <v>148</v>
      </c>
      <c r="F23" s="28">
        <v>2</v>
      </c>
      <c r="G23" t="s" s="0">
        <v>130</v>
      </c>
      <c r="H23" s="28">
        <f>F23*G23</f>
        <v>400</v>
      </c>
      <c r="I23" t="s" s="0">
        <v>120</v>
      </c>
      <c r="J23" s="28">
        <v>1.79</v>
      </c>
      <c r="K23" s="28">
        <v>2.5</v>
      </c>
      <c r="L23" s="28">
        <f>H23</f>
        <v>400</v>
      </c>
      <c r="M23" s="28">
        <f>ROUND(L23*I23%,2)</f>
        <v>0</v>
      </c>
      <c r="N23" s="28">
        <f>H23-M23</f>
        <v>400</v>
      </c>
      <c r="O23" s="28">
        <f>ROUND(N23*J23%,2)</f>
        <v>7.16</v>
      </c>
      <c r="P23" s="28">
        <f>ROUND(N23-O23,2)</f>
        <v>392.84</v>
      </c>
      <c r="Q23" s="28">
        <f>ROUND(P23*K23%,2)</f>
        <v>9.82</v>
      </c>
      <c r="R23" s="28">
        <f>M23+O23+Q23</f>
        <v>16.98</v>
      </c>
      <c r="S23" s="28">
        <f>(H23-R23)</f>
        <v>383.02</v>
      </c>
      <c r="T23" s="28" t="s">
        <v>113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4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383.02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383.02</v>
      </c>
      <c r="AJ23" s="28">
        <f>IF($C$21=3,0,AG23+AH23)</f>
        <v>0</v>
      </c>
      <c r="AK23" s="28">
        <f>IF($C$21=3,AE23+AG23+AH23,0)</f>
        <v>0</v>
      </c>
      <c r="AL23" s="28">
        <v>3</v>
      </c>
      <c r="AM23" s="28">
        <f>F23/AL23</f>
        <v>0.666666666666667</v>
      </c>
      <c r="AN23" s="28">
        <f>AI23/AM23</f>
        <v>574.53</v>
      </c>
      <c r="AO23" s="28">
        <f>AJ23/AM23</f>
        <v>0</v>
      </c>
      <c r="AP23" s="28">
        <f>AK23/AM23</f>
        <v>0</v>
      </c>
      <c r="AQ23" s="28" t="s">
        <v>12</v>
      </c>
      <c r="AR23" s="28">
        <f>AN23+AO23+AP23</f>
        <v>574.53</v>
      </c>
      <c r="AS23" s="50" t="s">
        <v>114</v>
      </c>
      <c r="AT23" s="50" t="s">
        <v>12</v>
      </c>
      <c r="AU23" t="s" s="0">
        <v>120</v>
      </c>
      <c r="AV23" t="s" s="0">
        <v>160</v>
      </c>
      <c r="AW23" s="50">
        <f>AM23</f>
        <v>0.666666666666667</v>
      </c>
      <c r="AX23" s="50">
        <f>AR23</f>
        <v>574.53</v>
      </c>
      <c r="AY23" s="50">
        <f>AU23+AW23</f>
        <v>0.666666666666667</v>
      </c>
      <c r="AZ23" s="50">
        <f>ROUND(((AU23*AV23)+(AW23*AX23))/(AU23+AW23),5)</f>
        <v>574.53</v>
      </c>
      <c r="BA23" s="52"/>
      <c r="BB23" s="52" t="s">
        <v>115</v>
      </c>
      <c r="BC23" s="53" t="s">
        <v>116</v>
      </c>
      <c r="BD23" s="54" t="s">
        <v>117</v>
      </c>
      <c r="BE23" s="54" t="s">
        <v>118</v>
      </c>
      <c r="BF23" s="52"/>
      <c r="BG23" s="52"/>
      <c r="BH23" s="52"/>
      <c r="BI23" s="50"/>
      <c r="BJ23" s="50"/>
      <c r="BK23" s="50"/>
      <c r="BL23" s="50" t="s">
        <v>119</v>
      </c>
      <c r="BM23" t="s" s="0">
        <v>162</v>
      </c>
      <c r="BN23" t="s" s="0">
        <v>161</v>
      </c>
      <c r="BO23" s="50">
        <f>ROUND((((AW23*AZ23)+(BN23*BM23))/(AW23+BN23)),5)</f>
        <v>190.10156</v>
      </c>
      <c r="BP23" s="55">
        <f>BN23+AW23</f>
        <v>80.6666666666667</v>
      </c>
      <c r="BQ23" s="56">
        <v>88363222</v>
      </c>
    </row>
    <row r="24" ht="15.25" spans="1:69">
      <c r="A24" s="16"/>
      <c r="B24" s="29"/>
      <c r="C24" s="29"/>
      <c r="D24" s="30" t="s">
        <v>41</v>
      </c>
      <c r="E24" s="30"/>
      <c r="F24" s="30"/>
      <c r="G24" s="31"/>
      <c r="H24" s="32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 t="shared" ref="R24:Y24" si="1">SUM(R23:R23)</f>
        <v>16.98</v>
      </c>
      <c r="S24" s="40">
        <f t="shared" si="1"/>
        <v>383.02</v>
      </c>
      <c r="T24" s="32"/>
      <c r="U24" s="32"/>
      <c r="V24" s="41">
        <f t="shared" si="1"/>
        <v>0</v>
      </c>
      <c r="W24" s="41">
        <f t="shared" si="1"/>
        <v>0</v>
      </c>
      <c r="X24" s="41">
        <f t="shared" si="1"/>
        <v>0</v>
      </c>
      <c r="Y24" s="41">
        <f t="shared" si="1"/>
        <v>0</v>
      </c>
      <c r="Z24" s="41"/>
      <c r="AA24" s="41">
        <f t="shared" ref="AA24:AE24" si="2">SUM(AA23:AA23)</f>
        <v>0</v>
      </c>
      <c r="AB24" s="32">
        <f t="shared" si="2"/>
        <v>0</v>
      </c>
      <c r="AC24" s="45">
        <f t="shared" si="2"/>
        <v>383.02</v>
      </c>
      <c r="AD24" s="46">
        <f t="shared" si="2"/>
        <v>120</v>
      </c>
      <c r="AE24" s="46">
        <f t="shared" si="2"/>
        <v>0</v>
      </c>
      <c r="AF24" s="45"/>
      <c r="AG24" s="46">
        <f t="shared" ref="AG24:AK24" si="3">SUM(AG23:AG23)</f>
        <v>0</v>
      </c>
      <c r="AH24" s="46">
        <f t="shared" si="3"/>
        <v>0</v>
      </c>
      <c r="AI24" s="46">
        <f t="shared" si="3"/>
        <v>383.02</v>
      </c>
      <c r="AJ24" s="46">
        <f t="shared" si="3"/>
        <v>0</v>
      </c>
      <c r="AK24" s="46">
        <f t="shared" si="3"/>
        <v>0</v>
      </c>
      <c r="AL24" s="45"/>
      <c r="AM24" s="45"/>
      <c r="AN24" s="45"/>
      <c r="AO24" s="45"/>
      <c r="AP24" s="45"/>
      <c r="AQ24" s="45"/>
      <c r="AR24" s="45"/>
      <c r="AS24" s="16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2" workbookViewId="0">
      <selection activeCell="J31" sqref="J31"/>
    </sheetView>
  </sheetViews>
  <sheetFormatPr defaultColWidth="8.70909090909091" defaultRowHeight="14.5"/>
  <cols>
    <col min="8" max="8" customWidth="true" width="9.42727272727273"/>
  </cols>
  <sheetData>
    <row r="1" ht="18.5" spans="1:69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</row>
    <row r="2" ht="19.25" spans="1:69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</row>
    <row r="3" ht="15.25" spans="1:69">
      <c r="A3" s="2" t="s">
        <v>2</v>
      </c>
      <c r="B3" s="3" t="s">
        <v>3</v>
      </c>
      <c r="C3" s="4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5" t="s">
        <v>9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</row>
    <row r="4" spans="1:69">
      <c r="A4" s="6">
        <v>1</v>
      </c>
      <c r="B4" s="7" t="s">
        <v>10</v>
      </c>
      <c r="C4" s="7" t="s">
        <v>11</v>
      </c>
      <c r="D4" s="7" t="s">
        <v>12</v>
      </c>
      <c r="E4" s="7" t="s">
        <v>12</v>
      </c>
      <c r="F4" s="8">
        <v>25</v>
      </c>
      <c r="G4" s="9">
        <v>257.63</v>
      </c>
      <c r="H4" s="10">
        <f t="shared" ref="H4:H18" si="0">F4*G4</f>
        <v>6440.75</v>
      </c>
      <c r="I4" s="33"/>
      <c r="J4" s="33"/>
      <c r="K4" s="33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  <c r="AA4" s="33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16"/>
      <c r="AT4" s="47"/>
      <c r="AU4" s="0"/>
      <c r="AV4" s="0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0"/>
      <c r="BN4" s="0"/>
      <c r="BO4" s="47"/>
      <c r="BP4" s="47"/>
      <c r="BQ4" s="47"/>
    </row>
    <row r="5" spans="1:69">
      <c r="A5" s="6">
        <v>2</v>
      </c>
      <c r="B5" s="7" t="s">
        <v>13</v>
      </c>
      <c r="C5" s="7" t="s">
        <v>14</v>
      </c>
      <c r="D5" s="7" t="s">
        <v>12</v>
      </c>
      <c r="E5" s="7" t="s">
        <v>12</v>
      </c>
      <c r="F5" s="8">
        <v>35</v>
      </c>
      <c r="G5" s="9">
        <v>125.45</v>
      </c>
      <c r="H5" s="10">
        <f t="shared" si="0"/>
        <v>4390.75</v>
      </c>
      <c r="I5" s="33"/>
      <c r="J5" s="33"/>
      <c r="K5" s="33"/>
      <c r="L5" s="34"/>
      <c r="M5" s="34"/>
      <c r="N5" s="34"/>
      <c r="O5" s="34"/>
      <c r="P5" s="34"/>
      <c r="Q5" s="34"/>
      <c r="R5" s="34"/>
      <c r="S5" s="34"/>
      <c r="T5" s="34"/>
      <c r="U5" s="33"/>
      <c r="V5" s="33"/>
      <c r="W5" s="33"/>
      <c r="X5" s="33"/>
      <c r="Y5" s="33"/>
      <c r="Z5" s="33"/>
      <c r="AA5" s="33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16"/>
      <c r="AT5" s="47"/>
      <c r="AU5" s="0"/>
      <c r="AV5" s="0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0"/>
      <c r="BN5" s="0"/>
      <c r="BO5" s="47"/>
      <c r="BP5" s="47"/>
      <c r="BQ5" s="47"/>
    </row>
    <row r="6" spans="1:69">
      <c r="A6" s="6">
        <v>3</v>
      </c>
      <c r="B6" s="7" t="s">
        <v>15</v>
      </c>
      <c r="C6" s="7" t="s">
        <v>16</v>
      </c>
      <c r="D6" s="7" t="s">
        <v>12</v>
      </c>
      <c r="E6" s="7" t="s">
        <v>12</v>
      </c>
      <c r="F6" s="8">
        <v>45</v>
      </c>
      <c r="G6" s="9">
        <v>125.36</v>
      </c>
      <c r="H6" s="10">
        <f t="shared" si="0"/>
        <v>5641.2</v>
      </c>
      <c r="I6" s="33"/>
      <c r="J6" s="33"/>
      <c r="K6" s="33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  <c r="AA6" s="33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16"/>
      <c r="AT6" s="47"/>
      <c r="AU6" s="0"/>
      <c r="AV6" s="0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47"/>
      <c r="BK6" s="47"/>
      <c r="BL6" s="47"/>
      <c r="BM6" s="0"/>
      <c r="BN6" s="0"/>
      <c r="BO6" s="47"/>
      <c r="BP6" s="47"/>
      <c r="BQ6" s="47"/>
    </row>
    <row r="7" spans="1:69">
      <c r="A7" s="6">
        <v>4</v>
      </c>
      <c r="B7" s="7" t="s">
        <v>17</v>
      </c>
      <c r="C7" s="7" t="s">
        <v>18</v>
      </c>
      <c r="D7" s="7" t="s">
        <v>12</v>
      </c>
      <c r="E7" s="7" t="s">
        <v>12</v>
      </c>
      <c r="F7" s="8">
        <v>55</v>
      </c>
      <c r="G7" s="9">
        <v>45.25</v>
      </c>
      <c r="H7" s="10">
        <f t="shared" si="0"/>
        <v>2488.75</v>
      </c>
      <c r="I7" s="33"/>
      <c r="J7" s="33"/>
      <c r="K7" s="33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  <c r="AA7" s="33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16"/>
      <c r="AT7" s="47"/>
      <c r="AU7" s="0"/>
      <c r="AV7" s="0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M7" s="0"/>
      <c r="BN7" s="0"/>
      <c r="BO7" s="47"/>
      <c r="BP7" s="47"/>
      <c r="BQ7" s="47"/>
    </row>
    <row r="8" spans="1:69">
      <c r="A8" s="6">
        <v>5</v>
      </c>
      <c r="B8" s="7" t="s">
        <v>19</v>
      </c>
      <c r="C8" s="7" t="s">
        <v>20</v>
      </c>
      <c r="D8" s="7" t="s">
        <v>12</v>
      </c>
      <c r="E8" s="7" t="s">
        <v>12</v>
      </c>
      <c r="F8" s="8">
        <v>60</v>
      </c>
      <c r="G8" s="9">
        <v>45.5</v>
      </c>
      <c r="H8" s="10">
        <f t="shared" si="0"/>
        <v>2730</v>
      </c>
      <c r="I8" s="33"/>
      <c r="J8" s="33"/>
      <c r="K8" s="33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  <c r="AA8" s="33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16"/>
      <c r="AT8" s="47"/>
      <c r="AU8" s="0"/>
      <c r="AV8" s="0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0"/>
      <c r="BN8" s="0"/>
      <c r="BO8" s="47"/>
      <c r="BP8" s="47"/>
      <c r="BQ8" s="47"/>
    </row>
    <row r="9" spans="1:69">
      <c r="A9" s="6">
        <v>6</v>
      </c>
      <c r="B9" s="7" t="s">
        <v>21</v>
      </c>
      <c r="C9" s="7" t="s">
        <v>22</v>
      </c>
      <c r="D9" s="7" t="s">
        <v>12</v>
      </c>
      <c r="E9" s="7" t="s">
        <v>12</v>
      </c>
      <c r="F9" s="8">
        <v>75</v>
      </c>
      <c r="G9" s="9">
        <v>125.25</v>
      </c>
      <c r="H9" s="10">
        <f t="shared" si="0"/>
        <v>9393.75</v>
      </c>
      <c r="I9" s="33"/>
      <c r="J9" s="33"/>
      <c r="K9" s="33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  <c r="AA9" s="33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16"/>
      <c r="AT9" s="47"/>
      <c r="AU9" s="0"/>
      <c r="AV9" s="0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0"/>
      <c r="BN9" s="0"/>
      <c r="BO9" s="47"/>
      <c r="BP9" s="47"/>
      <c r="BQ9" s="47"/>
    </row>
    <row r="10" spans="1:69">
      <c r="A10" s="6">
        <v>7</v>
      </c>
      <c r="B10" s="7" t="s">
        <v>23</v>
      </c>
      <c r="C10" s="7" t="s">
        <v>24</v>
      </c>
      <c r="D10" s="7" t="s">
        <v>12</v>
      </c>
      <c r="E10" s="7" t="s">
        <v>12</v>
      </c>
      <c r="F10" s="8">
        <v>28</v>
      </c>
      <c r="G10" s="9">
        <v>150.5</v>
      </c>
      <c r="H10" s="10">
        <f t="shared" si="0"/>
        <v>4214</v>
      </c>
      <c r="I10" s="33"/>
      <c r="J10" s="33"/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  <c r="AA10" s="33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16"/>
      <c r="AT10" s="47"/>
      <c r="AU10" s="0"/>
      <c r="AV10" s="0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0"/>
      <c r="BN10" s="0"/>
      <c r="BO10" s="47"/>
      <c r="BP10" s="47"/>
      <c r="BQ10" s="47"/>
    </row>
    <row r="11" spans="1:69">
      <c r="A11" s="6">
        <v>8</v>
      </c>
      <c r="B11" s="7" t="s">
        <v>25</v>
      </c>
      <c r="C11" s="7" t="s">
        <v>26</v>
      </c>
      <c r="D11" s="7" t="s">
        <v>12</v>
      </c>
      <c r="E11" s="7" t="s">
        <v>12</v>
      </c>
      <c r="F11" s="8">
        <v>30</v>
      </c>
      <c r="G11" s="9">
        <v>65.32</v>
      </c>
      <c r="H11" s="10">
        <f t="shared" si="0"/>
        <v>1959.6</v>
      </c>
      <c r="I11" s="33"/>
      <c r="J11" s="33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  <c r="AA11" s="33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16"/>
      <c r="AT11" s="47"/>
      <c r="AU11" s="0"/>
      <c r="AV11" s="0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0"/>
      <c r="BN11" s="0"/>
      <c r="BO11" s="47"/>
      <c r="BP11" s="47"/>
      <c r="BQ11" s="47"/>
    </row>
    <row r="12" spans="1:69">
      <c r="A12" s="6">
        <v>9</v>
      </c>
      <c r="B12" s="7" t="s">
        <v>27</v>
      </c>
      <c r="C12" s="7" t="s">
        <v>28</v>
      </c>
      <c r="D12" s="7" t="s">
        <v>12</v>
      </c>
      <c r="E12" s="7" t="s">
        <v>12</v>
      </c>
      <c r="F12" s="8">
        <v>25</v>
      </c>
      <c r="G12" s="9">
        <v>74.89</v>
      </c>
      <c r="H12" s="10">
        <f t="shared" si="0"/>
        <v>1872.25</v>
      </c>
      <c r="I12" s="33"/>
      <c r="J12" s="33"/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  <c r="AA12" s="33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16"/>
      <c r="AT12" s="47"/>
      <c r="AU12" s="0"/>
      <c r="AV12" s="0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0"/>
      <c r="BN12" s="0"/>
      <c r="BO12" s="47"/>
      <c r="BP12" s="47"/>
      <c r="BQ12" s="47"/>
    </row>
    <row r="13" spans="1:69">
      <c r="A13" s="6">
        <v>10</v>
      </c>
      <c r="B13" s="7" t="s">
        <v>29</v>
      </c>
      <c r="C13" s="7" t="s">
        <v>30</v>
      </c>
      <c r="D13" s="7" t="s">
        <v>12</v>
      </c>
      <c r="E13" s="7" t="s">
        <v>12</v>
      </c>
      <c r="F13" s="8">
        <v>28</v>
      </c>
      <c r="G13" s="9">
        <v>89.56</v>
      </c>
      <c r="H13" s="10">
        <f t="shared" si="0"/>
        <v>2507.68</v>
      </c>
      <c r="I13" s="33"/>
      <c r="J13" s="33"/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  <c r="AA13" s="33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16"/>
      <c r="AT13" s="47"/>
      <c r="AU13" s="0"/>
      <c r="AV13" s="0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0"/>
      <c r="BN13" s="0"/>
      <c r="BO13" s="47"/>
      <c r="BP13" s="47"/>
      <c r="BQ13" s="47"/>
    </row>
    <row r="14" spans="1:69">
      <c r="A14" s="6">
        <v>11</v>
      </c>
      <c r="B14" s="7" t="s">
        <v>31</v>
      </c>
      <c r="C14" s="7" t="s">
        <v>32</v>
      </c>
      <c r="D14" s="7" t="s">
        <v>12</v>
      </c>
      <c r="E14" s="7" t="s">
        <v>12</v>
      </c>
      <c r="F14" s="8">
        <v>37</v>
      </c>
      <c r="G14" s="9">
        <v>89.54</v>
      </c>
      <c r="H14" s="10">
        <f t="shared" si="0"/>
        <v>3312.98</v>
      </c>
      <c r="I14" s="33"/>
      <c r="J14" s="33"/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  <c r="AA14" s="33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16"/>
      <c r="AT14" s="47"/>
      <c r="AU14" s="0"/>
      <c r="AV14" s="0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0"/>
      <c r="BN14" s="0"/>
      <c r="BO14" s="47"/>
      <c r="BP14" s="47"/>
      <c r="BQ14" s="47"/>
    </row>
    <row r="15" spans="1:69">
      <c r="A15" s="6">
        <v>12</v>
      </c>
      <c r="B15" s="7" t="s">
        <v>33</v>
      </c>
      <c r="C15" s="7" t="s">
        <v>34</v>
      </c>
      <c r="D15" s="7" t="s">
        <v>12</v>
      </c>
      <c r="E15" s="7" t="s">
        <v>12</v>
      </c>
      <c r="F15" s="8">
        <v>39</v>
      </c>
      <c r="G15" s="9">
        <v>98.25</v>
      </c>
      <c r="H15" s="10">
        <f t="shared" si="0"/>
        <v>3831.75</v>
      </c>
      <c r="I15" s="33"/>
      <c r="J15" s="33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  <c r="AA15" s="33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16"/>
      <c r="AT15" s="47"/>
      <c r="AU15" s="0"/>
      <c r="AV15" s="0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0"/>
      <c r="BN15" s="0"/>
      <c r="BO15" s="47"/>
      <c r="BP15" s="47"/>
      <c r="BQ15" s="47"/>
    </row>
    <row r="16" spans="1:69">
      <c r="A16" s="6">
        <v>13</v>
      </c>
      <c r="B16" s="7" t="s">
        <v>35</v>
      </c>
      <c r="C16" s="7" t="s">
        <v>36</v>
      </c>
      <c r="D16" s="7" t="s">
        <v>12</v>
      </c>
      <c r="E16" s="7" t="s">
        <v>12</v>
      </c>
      <c r="F16" s="8">
        <v>70</v>
      </c>
      <c r="G16" s="9">
        <v>102.25</v>
      </c>
      <c r="H16" s="10">
        <f t="shared" si="0"/>
        <v>7157.5</v>
      </c>
      <c r="I16" s="33"/>
      <c r="J16" s="33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  <c r="AA16" s="3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16"/>
      <c r="AT16" s="47"/>
      <c r="AU16" s="0"/>
      <c r="AV16" s="0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M16" s="0"/>
      <c r="BN16" s="0"/>
      <c r="BO16" s="47"/>
      <c r="BP16" s="47"/>
      <c r="BQ16" s="47"/>
    </row>
    <row r="17" spans="1:69">
      <c r="A17" s="6">
        <v>14</v>
      </c>
      <c r="B17" s="7" t="s">
        <v>37</v>
      </c>
      <c r="C17" s="7" t="s">
        <v>38</v>
      </c>
      <c r="D17" s="7" t="s">
        <v>12</v>
      </c>
      <c r="E17" s="7" t="s">
        <v>12</v>
      </c>
      <c r="F17" s="8">
        <v>100</v>
      </c>
      <c r="G17" s="9">
        <v>103.5</v>
      </c>
      <c r="H17" s="10">
        <f t="shared" si="0"/>
        <v>10350</v>
      </c>
      <c r="I17" s="33"/>
      <c r="J17" s="33"/>
      <c r="K17" s="33"/>
      <c r="L17" s="34"/>
      <c r="M17" s="34"/>
      <c r="N17" s="34"/>
      <c r="O17" s="34"/>
      <c r="P17" s="34"/>
      <c r="Q17" s="34"/>
      <c r="R17" s="34"/>
      <c r="S17" s="38"/>
      <c r="T17" s="34"/>
      <c r="U17" s="33"/>
      <c r="V17" s="33"/>
      <c r="W17" s="33"/>
      <c r="X17" s="33"/>
      <c r="Y17" s="33"/>
      <c r="Z17" s="33"/>
      <c r="AA17" s="33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16"/>
      <c r="AT17" s="47"/>
      <c r="AU17" s="0"/>
      <c r="AV17" s="0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M17" s="0"/>
      <c r="BN17" s="0"/>
      <c r="BO17" s="47"/>
      <c r="BP17" s="47"/>
      <c r="BQ17" s="47"/>
    </row>
    <row r="18" ht="15.25" spans="1:69">
      <c r="A18" s="11">
        <v>15</v>
      </c>
      <c r="B18" s="12" t="s">
        <v>39</v>
      </c>
      <c r="C18" s="12" t="s">
        <v>40</v>
      </c>
      <c r="D18" s="12" t="s">
        <v>12</v>
      </c>
      <c r="E18" s="12" t="s">
        <v>12</v>
      </c>
      <c r="F18" s="13">
        <v>85</v>
      </c>
      <c r="G18" s="14">
        <v>65.48</v>
      </c>
      <c r="H18" s="15">
        <f t="shared" si="0"/>
        <v>5565.8</v>
      </c>
      <c r="I18" s="33"/>
      <c r="J18" s="33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  <c r="AA18" s="33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16"/>
      <c r="AT18" s="47"/>
      <c r="AU18" s="0"/>
      <c r="AV18" s="0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M18" s="0"/>
      <c r="BN18" s="0"/>
      <c r="BO18" s="47"/>
      <c r="BP18" s="47"/>
      <c r="BQ18" s="47"/>
    </row>
    <row r="19" ht="15.25" spans="1:69">
      <c r="A19" s="16"/>
      <c r="B19" s="17" t="s">
        <v>41</v>
      </c>
      <c r="C19" s="17"/>
      <c r="D19" s="17"/>
      <c r="E19" s="17"/>
      <c r="F19" s="17"/>
      <c r="G19" s="17"/>
      <c r="H19" s="18">
        <f>SUM(H4:H18)</f>
        <v>71856.76</v>
      </c>
      <c r="I19" s="35"/>
      <c r="J19" s="35"/>
      <c r="K19" s="35"/>
      <c r="L19" s="35"/>
      <c r="M19" s="35"/>
      <c r="N19" s="35"/>
      <c r="O19" s="35"/>
      <c r="P19" s="35"/>
      <c r="Q19" s="35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47"/>
      <c r="AU19" s="0"/>
      <c r="AV19" s="0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M19" s="0"/>
      <c r="BN19" s="0"/>
      <c r="BO19" s="47"/>
      <c r="BP19" s="47"/>
      <c r="BQ19" s="47"/>
    </row>
    <row r="20" spans="1:69">
      <c r="A20" s="19" t="s">
        <v>42</v>
      </c>
      <c r="B20" s="20"/>
      <c r="C20" s="20"/>
      <c r="D20" s="20"/>
      <c r="E20" s="20"/>
      <c r="F20" s="20"/>
      <c r="G20" s="20"/>
      <c r="H20" s="19"/>
      <c r="I20" s="35"/>
      <c r="J20" s="35"/>
      <c r="K20" s="35"/>
      <c r="L20" s="35"/>
      <c r="M20" s="35"/>
      <c r="N20" s="35"/>
      <c r="O20" s="35"/>
      <c r="P20" s="35"/>
      <c r="Q20" s="35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</row>
    <row r="21" ht="15.25" spans="1:69">
      <c r="A21" s="21" t="s">
        <v>43</v>
      </c>
      <c r="B21" s="21"/>
      <c r="C21" s="22">
        <v>3</v>
      </c>
      <c r="D21" s="23" t="s">
        <v>44</v>
      </c>
      <c r="E21" s="20"/>
      <c r="F21" s="20"/>
      <c r="G21" s="20"/>
      <c r="H21" s="19"/>
      <c r="I21" s="35" t="s">
        <v>45</v>
      </c>
      <c r="J21" s="35" t="s">
        <v>46</v>
      </c>
      <c r="K21" s="35"/>
      <c r="L21" s="35" t="s">
        <v>47</v>
      </c>
      <c r="M21" s="35">
        <v>1</v>
      </c>
      <c r="N21" s="35"/>
      <c r="O21" s="35" t="s">
        <v>48</v>
      </c>
      <c r="P21" s="35">
        <v>1</v>
      </c>
      <c r="Q21" s="35" t="s">
        <v>49</v>
      </c>
      <c r="R21" s="19"/>
      <c r="S21" s="19"/>
      <c r="T21" s="19"/>
      <c r="U21" s="19"/>
      <c r="V21" s="19">
        <v>1</v>
      </c>
      <c r="W21" s="19" t="s">
        <v>50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47"/>
      <c r="AU21" s="47"/>
      <c r="AV21" s="47"/>
      <c r="AW21" s="47"/>
      <c r="AX21" s="47"/>
      <c r="AY21" s="47"/>
      <c r="AZ21" s="47"/>
      <c r="BA21" s="47"/>
      <c r="BB21" s="47"/>
      <c r="BC21" s="47"/>
      <c r="BD21" s="47"/>
      <c r="BE21" s="47"/>
      <c r="BF21" s="47"/>
      <c r="BG21" s="47"/>
      <c r="BH21" s="47"/>
      <c r="BI21" s="47"/>
      <c r="BJ21" s="47"/>
      <c r="BK21" s="47"/>
      <c r="BL21" s="47"/>
      <c r="BM21" s="47"/>
      <c r="BN21" s="47"/>
      <c r="BO21" s="47"/>
      <c r="BP21" s="47"/>
      <c r="BQ21" s="47"/>
    </row>
    <row r="22" ht="59.5" spans="1:69">
      <c r="A22" s="24" t="s">
        <v>2</v>
      </c>
      <c r="B22" s="24" t="s">
        <v>3</v>
      </c>
      <c r="C22" s="25" t="s">
        <v>4</v>
      </c>
      <c r="D22" s="24" t="s">
        <v>5</v>
      </c>
      <c r="E22" s="24" t="s">
        <v>6</v>
      </c>
      <c r="F22" s="26" t="s">
        <v>51</v>
      </c>
      <c r="G22" s="24" t="s">
        <v>8</v>
      </c>
      <c r="H22" s="24" t="s">
        <v>9</v>
      </c>
      <c r="I22" s="36" t="s">
        <v>52</v>
      </c>
      <c r="J22" s="36" t="s">
        <v>53</v>
      </c>
      <c r="K22" s="36" t="s">
        <v>54</v>
      </c>
      <c r="L22" s="37" t="s">
        <v>55</v>
      </c>
      <c r="M22" s="37" t="s">
        <v>56</v>
      </c>
      <c r="N22" s="37" t="s">
        <v>57</v>
      </c>
      <c r="O22" s="37" t="s">
        <v>58</v>
      </c>
      <c r="P22" s="37" t="s">
        <v>59</v>
      </c>
      <c r="Q22" s="37" t="s">
        <v>60</v>
      </c>
      <c r="R22" s="36" t="s">
        <v>61</v>
      </c>
      <c r="S22" s="24" t="s">
        <v>62</v>
      </c>
      <c r="T22" s="24" t="s">
        <v>63</v>
      </c>
      <c r="U22" s="39" t="s">
        <v>64</v>
      </c>
      <c r="V22" s="39" t="s">
        <v>65</v>
      </c>
      <c r="W22" s="39" t="s">
        <v>66</v>
      </c>
      <c r="X22" s="39" t="s">
        <v>67</v>
      </c>
      <c r="Y22" s="39" t="s">
        <v>68</v>
      </c>
      <c r="Z22" s="39" t="s">
        <v>69</v>
      </c>
      <c r="AA22" s="39" t="s">
        <v>70</v>
      </c>
      <c r="AB22" s="39" t="s">
        <v>71</v>
      </c>
      <c r="AC22" s="42" t="s">
        <v>72</v>
      </c>
      <c r="AD22" s="42" t="s">
        <v>73</v>
      </c>
      <c r="AE22" s="43" t="s">
        <v>74</v>
      </c>
      <c r="AF22" s="43" t="s">
        <v>75</v>
      </c>
      <c r="AG22" s="43" t="s">
        <v>76</v>
      </c>
      <c r="AH22" s="42" t="s">
        <v>77</v>
      </c>
      <c r="AI22" s="42" t="s">
        <v>78</v>
      </c>
      <c r="AJ22" s="43" t="s">
        <v>79</v>
      </c>
      <c r="AK22" s="43" t="s">
        <v>80</v>
      </c>
      <c r="AL22" s="42" t="s">
        <v>81</v>
      </c>
      <c r="AM22" s="42" t="s">
        <v>82</v>
      </c>
      <c r="AN22" s="43" t="s">
        <v>83</v>
      </c>
      <c r="AO22" s="43" t="s">
        <v>84</v>
      </c>
      <c r="AP22" s="43" t="s">
        <v>85</v>
      </c>
      <c r="AQ22" s="42" t="s">
        <v>86</v>
      </c>
      <c r="AR22" s="48" t="s">
        <v>87</v>
      </c>
      <c r="AS22" s="3" t="s">
        <v>88</v>
      </c>
      <c r="AT22" s="3" t="s">
        <v>86</v>
      </c>
      <c r="AU22" s="0"/>
      <c r="AV22" s="0"/>
      <c r="AW22" s="49" t="s">
        <v>91</v>
      </c>
      <c r="AX22" s="49" t="s">
        <v>92</v>
      </c>
      <c r="AY22" s="49" t="s">
        <v>93</v>
      </c>
      <c r="AZ22" s="49" t="s">
        <v>94</v>
      </c>
      <c r="BA22" s="49" t="s">
        <v>95</v>
      </c>
      <c r="BB22" s="49" t="s">
        <v>96</v>
      </c>
      <c r="BC22" s="51" t="s">
        <v>97</v>
      </c>
      <c r="BD22" s="51" t="s">
        <v>98</v>
      </c>
      <c r="BE22" s="51" t="s">
        <v>99</v>
      </c>
      <c r="BF22" s="49" t="s">
        <v>100</v>
      </c>
      <c r="BG22" s="49" t="s">
        <v>101</v>
      </c>
      <c r="BH22" s="49" t="s">
        <v>102</v>
      </c>
      <c r="BI22" s="49" t="s">
        <v>103</v>
      </c>
      <c r="BJ22" s="49" t="s">
        <v>104</v>
      </c>
      <c r="BK22" s="49" t="s">
        <v>105</v>
      </c>
      <c r="BL22" s="49" t="s">
        <v>106</v>
      </c>
      <c r="BM22" s="0"/>
      <c r="BN22" s="0"/>
      <c r="BO22" s="49" t="s">
        <v>94</v>
      </c>
      <c r="BP22" s="49" t="s">
        <v>109</v>
      </c>
      <c r="BQ22" s="49" t="s">
        <v>63</v>
      </c>
    </row>
    <row r="23" ht="15.25" spans="1:69">
      <c r="A23" s="27">
        <v>1</v>
      </c>
      <c r="B23" s="27" t="s">
        <v>150</v>
      </c>
      <c r="C23" s="27" t="s">
        <v>150</v>
      </c>
      <c r="D23" s="27" t="s">
        <v>12</v>
      </c>
      <c r="E23" s="27" t="s">
        <v>148</v>
      </c>
      <c r="F23" s="28">
        <v>2</v>
      </c>
      <c r="G23" t="s" s="0">
        <v>130</v>
      </c>
      <c r="H23" s="28">
        <f>F23*G23</f>
        <v>400</v>
      </c>
      <c r="I23" t="s" s="0">
        <v>120</v>
      </c>
      <c r="J23" s="28">
        <v>2</v>
      </c>
      <c r="K23" s="28">
        <v>2</v>
      </c>
      <c r="L23" s="28">
        <f>H23</f>
        <v>400</v>
      </c>
      <c r="M23" s="28">
        <f>ROUND(L23*I23%,2)</f>
        <v>0</v>
      </c>
      <c r="N23" s="28">
        <f>H23-M23</f>
        <v>400</v>
      </c>
      <c r="O23" s="28">
        <f>ROUND(N23*J23%,2)</f>
        <v>8</v>
      </c>
      <c r="P23" s="28">
        <f>ROUND(N23-O23,2)</f>
        <v>392</v>
      </c>
      <c r="Q23" s="28">
        <f>ROUND(P23*K23%,2)</f>
        <v>7.84</v>
      </c>
      <c r="R23" s="28">
        <f>M23+O23+Q23</f>
        <v>15.84</v>
      </c>
      <c r="S23" s="28">
        <f>(H23-R23)</f>
        <v>384.16</v>
      </c>
      <c r="T23" s="28" t="s">
        <v>113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4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384.16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384.16</v>
      </c>
      <c r="AJ23" s="28">
        <f>IF($C$21=3,0,AG23+AH23)</f>
        <v>0</v>
      </c>
      <c r="AK23" s="28">
        <f>IF($C$21=3,AE23+AG23+AH23,0)</f>
        <v>0</v>
      </c>
      <c r="AL23" s="28">
        <v>3</v>
      </c>
      <c r="AM23" s="28">
        <f>F23/AL23</f>
        <v>0.666666666666667</v>
      </c>
      <c r="AN23" s="28">
        <f>AI23/AM23</f>
        <v>576.24</v>
      </c>
      <c r="AO23" s="28">
        <f>AJ23/AM23</f>
        <v>0</v>
      </c>
      <c r="AP23" s="28">
        <f>AK23/AM23</f>
        <v>0</v>
      </c>
      <c r="AQ23" s="28" t="s">
        <v>12</v>
      </c>
      <c r="AR23" s="28">
        <f>AN23+AO23+AP23</f>
        <v>576.24</v>
      </c>
      <c r="AS23" s="50" t="s">
        <v>114</v>
      </c>
      <c r="AT23" s="50" t="s">
        <v>12</v>
      </c>
      <c r="AU23" t="s" s="0">
        <v>120</v>
      </c>
      <c r="AV23" t="s" s="0">
        <v>160</v>
      </c>
      <c r="AW23" s="50">
        <f>AM23</f>
        <v>0.666666666666667</v>
      </c>
      <c r="AX23" s="50">
        <f>AR23</f>
        <v>576.24</v>
      </c>
      <c r="AY23" s="50">
        <f>AU23+AW23</f>
        <v>0.666666666666667</v>
      </c>
      <c r="AZ23" s="50">
        <f>ROUND(((AU23*AV23)+(AW23*AX23))/(AU23+AW23),5)</f>
        <v>576.24</v>
      </c>
      <c r="BA23" s="52"/>
      <c r="BB23" s="52" t="s">
        <v>115</v>
      </c>
      <c r="BC23" s="53" t="s">
        <v>116</v>
      </c>
      <c r="BD23" s="54" t="s">
        <v>117</v>
      </c>
      <c r="BE23" s="54" t="s">
        <v>118</v>
      </c>
      <c r="BF23" s="52"/>
      <c r="BG23" s="52"/>
      <c r="BH23" s="52"/>
      <c r="BI23" s="50"/>
      <c r="BJ23" s="50"/>
      <c r="BK23" s="50"/>
      <c r="BL23" s="50" t="s">
        <v>119</v>
      </c>
      <c r="BM23" t="s" s="0">
        <v>166</v>
      </c>
      <c r="BN23" t="s" s="0">
        <v>165</v>
      </c>
      <c r="BO23" s="50">
        <f>ROUND((((AW23*AZ23)+(BN23*BM23))/(AW23+BN23)),5)</f>
        <v>242.02286</v>
      </c>
      <c r="BP23" s="55">
        <f>BN23+AW23</f>
        <v>4.66666666666667</v>
      </c>
      <c r="BQ23" s="56">
        <v>88363222</v>
      </c>
    </row>
    <row r="24" ht="15.25" spans="1:69">
      <c r="A24" s="16"/>
      <c r="B24" s="29"/>
      <c r="C24" s="29"/>
      <c r="D24" s="30" t="s">
        <v>41</v>
      </c>
      <c r="E24" s="30"/>
      <c r="F24" s="30"/>
      <c r="G24" s="31"/>
      <c r="H24" s="32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 t="shared" ref="R24:Y24" si="1">SUM(R23:R23)</f>
        <v>15.84</v>
      </c>
      <c r="S24" s="40">
        <f t="shared" si="1"/>
        <v>384.16</v>
      </c>
      <c r="T24" s="32"/>
      <c r="U24" s="32"/>
      <c r="V24" s="41">
        <f t="shared" si="1"/>
        <v>0</v>
      </c>
      <c r="W24" s="41">
        <f t="shared" si="1"/>
        <v>0</v>
      </c>
      <c r="X24" s="41">
        <f t="shared" si="1"/>
        <v>0</v>
      </c>
      <c r="Y24" s="41">
        <f t="shared" si="1"/>
        <v>0</v>
      </c>
      <c r="Z24" s="41"/>
      <c r="AA24" s="41">
        <f t="shared" ref="AA24:AE24" si="2">SUM(AA23:AA23)</f>
        <v>0</v>
      </c>
      <c r="AB24" s="32">
        <f t="shared" si="2"/>
        <v>0</v>
      </c>
      <c r="AC24" s="45">
        <f t="shared" si="2"/>
        <v>384.16</v>
      </c>
      <c r="AD24" s="46">
        <f t="shared" si="2"/>
        <v>120</v>
      </c>
      <c r="AE24" s="46">
        <f t="shared" si="2"/>
        <v>0</v>
      </c>
      <c r="AF24" s="45"/>
      <c r="AG24" s="46">
        <f t="shared" ref="AG24:AK24" si="3">SUM(AG23:AG23)</f>
        <v>0</v>
      </c>
      <c r="AH24" s="46">
        <f t="shared" si="3"/>
        <v>0</v>
      </c>
      <c r="AI24" s="46">
        <f t="shared" si="3"/>
        <v>384.16</v>
      </c>
      <c r="AJ24" s="46">
        <f t="shared" si="3"/>
        <v>0</v>
      </c>
      <c r="AK24" s="46">
        <f t="shared" si="3"/>
        <v>0</v>
      </c>
      <c r="AL24" s="45"/>
      <c r="AM24" s="45"/>
      <c r="AN24" s="45"/>
      <c r="AO24" s="45"/>
      <c r="AP24" s="45"/>
      <c r="AQ24" s="45"/>
      <c r="AR24" s="45"/>
      <c r="AS24" s="16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ImportDirectGRNUDGeneralSameUOM</vt:lpstr>
      <vt:lpstr>ImportDirectGRNUDServiceSameUOM</vt:lpstr>
      <vt:lpstr>ImportDirectGRNRCGeneralSameUOM</vt:lpstr>
      <vt:lpstr>ImportDirectGRNRCServiceSameUOM</vt:lpstr>
      <vt:lpstr>ImportDirectGRNPLGeneralSameUOM</vt:lpstr>
      <vt:lpstr>ImportDirectGRNPLServiceSameUOM</vt:lpstr>
      <vt:lpstr>ImportDirectGRNUDGeneralDiffUOM</vt:lpstr>
      <vt:lpstr>ImportDirectGRNRCGeneralDiffUOM</vt:lpstr>
      <vt:lpstr>ImportDirectGRNPLGeneralDiffUOM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2025-12-11T12:04:00Z</dcterms:created>
  <dc:creator>Administrator</dc:creator>
  <cp:lastModifiedBy>Sakthi R</cp:lastModifiedBy>
  <dcterms:modified xsi:type="dcterms:W3CDTF">2026-02-12T10:29:02Z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1033-12.2.0.23196</vt:lpwstr>
  </property>
</Properties>
</file>