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320" firstSheet="7" activeTab="8"/>
  </bookViews>
  <sheets>
    <sheet name="ImportDirectGRNUDGeneralSameUOM" sheetId="2" r:id="rId1"/>
    <sheet name="ImportDirectGRNUDServiceSameUOM" sheetId="4" r:id="rId2"/>
    <sheet name="ImportDirectGRNRCGeneralSameUOM" sheetId="5" r:id="rId3"/>
    <sheet name="ImportDirectGRNRCServiceSameUOM" sheetId="7" r:id="rId4"/>
    <sheet name="ImportDirectGRNPLGeneralSameUOM" sheetId="8" r:id="rId5"/>
    <sheet name="ImportDirectGRNPLServiceSameUOM" sheetId="1" r:id="rId6"/>
    <sheet name="ImportDirectGRNUDGeneralDiffUOM" sheetId="3" r:id="rId7"/>
    <sheet name="ImportDirectGRNRCGeneralDiffUOM" sheetId="6" r:id="rId8"/>
    <sheet name="ImportDirectGRNPLGeneralDiffUOM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<sst xmlns="http://schemas.openxmlformats.org/spreadsheetml/2006/main" count="1489" uniqueCount="138">
  <si>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</si>
  <si>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</si>
  <si>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</si>
  <si>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</si>
  <si>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</si>
  <si>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</si>
  <si>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</si>
  <si>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</si>
  <si>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</si>
  <si>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</si>
  <si>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</si>
  <si>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</si>
  <si>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</si>
  <si>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</si>
  <si>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</si>
  <si>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</si>
  <si>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</si>
  <si>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</si>
  <si>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</si>
  <si>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</si>
  <si>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</si>
  <si>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</si>
  <si>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</si>
  <si>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</si>
  <si>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</si>
  <si>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</si>
  <si>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</si>
  <si>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</si>
  <si>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</si>
  <si>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</si>
  <si>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</si>
  <si>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</si>
  <si>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</si>
  <si>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</si>
  <si>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</si>
  <si>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</si>
  <si>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</si>
  <si>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</si>
  <si>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</si>
  <si>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</si>
  <si>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</si>
  <si>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</si>
  <si>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</si>
  <si>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</si>
  <si>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</si>
  <si>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</si>
  <si>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</si>
  <si>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</si>
  <si>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</si>
  <si>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</si>
  <si>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</si>
  <si>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</si>
  <si>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</si>
  <si>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</si>
  <si>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</si>
  <si>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</si>
  <si>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</si>
  <si>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</si>
  <si>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</si>
  <si>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</si>
  <si>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</si>
  <si>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</si>
  <si>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</si>
  <si>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</si>
  <si>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</si>
  <si>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</si>
  <si>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</si>
  <si>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</si>
  <si>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</si>
  <si>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</si>
  <si>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</si>
  <si>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</si>
  <si>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</si>
  <si>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</si>
  <si>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</si>
  <si>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</si>
  <si>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</si>
  <si>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</si>
  <si>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</si>
  <si>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</si>
  <si>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</si>
  <si>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</si>
  <si>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</si>
  <si>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</si>
  <si>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</si>
  <si>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</si>
  <si>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</si>
  <si>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</si>
  <si>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</si>
  <si>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</si>
  <si>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</si>
  <si>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</si>
  <si>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</si>
  <si>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</si>
  <si>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</si>
  <si>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</si>
  <si>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</si>
  <si>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</si>
  <si>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</si>
  <si>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</si>
  <si>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</si>
  <si>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</si>
  <si>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</si>
  <si>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</si>
  <si>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</si>
  <si>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</si>
  <si>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</si>
  <si>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Qty After Post forSource Warehouse</t>
  </si>
  <si>
    <t>ITEM-GWL-SIMILAR-01</t>
  </si>
  <si>
    <t>HSN1</t>
  </si>
  <si>
    <t>INS</t>
  </si>
  <si>
    <t>0</t>
  </si>
  <si>
    <t>7916.9</t>
  </si>
  <si>
    <t>Receipt Qty &amp; Unit cost</t>
  </si>
  <si>
    <t>LOT</t>
  </si>
  <si>
    <t>RM</t>
  </si>
  <si>
    <t>RMS</t>
  </si>
  <si>
    <t>RM KD</t>
  </si>
  <si>
    <t>8046.0574</t>
  </si>
  <si>
    <t>568</t>
  </si>
  <si>
    <t>VD Asbl. Val.</t>
  </si>
  <si>
    <t>Pur. Value</t>
  </si>
  <si>
    <t>Tax%</t>
  </si>
  <si>
    <t>Unitcost Before Post For Source Warehouse</t>
  </si>
  <si>
    <t>Qty Before Post For Source WareHouse</t>
  </si>
  <si>
    <t>ITEM-GWL-SERVICE-01</t>
  </si>
  <si>
    <t>Unit Cost (Stock UOM)</t>
  </si>
  <si>
    <t>Before Qty</t>
  </si>
  <si>
    <t>Before Unit Cost</t>
  </si>
  <si>
    <t>ITEM-GWL-SIMILAR-RC-01</t>
  </si>
  <si>
    <t>ITEM-GWL-SERVICE-RC-01</t>
  </si>
  <si>
    <t>ITEM-GWL-SIMILAR-PL-01</t>
  </si>
  <si>
    <t>ITEM-GWL-SERVICE-PL-01</t>
  </si>
  <si>
    <t>Unit Cost Before</t>
  </si>
  <si>
    <t>Unit Qunatity Before</t>
  </si>
  <si>
    <t>ITEM-GWL-DISSIMILAR-01</t>
  </si>
  <si>
    <t>ITEM-GWL-DISSIMILAR-RC-01</t>
  </si>
  <si>
    <t>ITEM-GWL-DISSIMILAR-PL-01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</si>
</sst>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</numFmts>
  <fonts count="28">
    <font>
      <sz val="11"/>
      <color theme="1"/>
      <name val="Calibri"/>
      <charset val="134"/>
      <scheme val="minor"/>
    </font>
    <font>
      <b/>
      <u/>
      <sz val="14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b/>
      <sz val="11"/>
      <color theme="1"/>
      <name val="Calibri Light"/>
      <charset val="134"/>
      <scheme val="major"/>
    </font>
    <font>
      <sz val="10"/>
      <color rgb="FF000000"/>
      <name val="Consolas"/>
      <charset val="134"/>
    </font>
    <font>
      <b/>
      <sz val="11"/>
      <color rgb="FF000000"/>
      <name val="Calibri Light"/>
      <charset val="134"/>
    </font>
    <font>
      <sz val="9"/>
      <color rgb="FF000000"/>
      <name val="Arial"/>
      <charset val="134"/>
    </font>
    <font>
      <sz val="9"/>
      <name val="Times New Roman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17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20" applyNumberFormat="0" applyAlignment="0" applyProtection="0">
      <alignment vertical="center"/>
    </xf>
    <xf numFmtId="0" fontId="18" fillId="14" borderId="21" applyNumberFormat="0" applyAlignment="0" applyProtection="0">
      <alignment vertical="center"/>
    </xf>
    <xf numFmtId="0" fontId="19" fillId="14" borderId="20" applyNumberFormat="0" applyAlignment="0" applyProtection="0">
      <alignment vertical="center"/>
    </xf>
    <xf numFmtId="0" fontId="20" fillId="15" borderId="22" applyNumberFormat="0" applyAlignment="0" applyProtection="0">
      <alignment vertical="center"/>
    </xf>
    <xf numFmtId="0" fontId="21" fillId="0" borderId="23" applyNumberFormat="0" applyFill="0" applyAlignment="0" applyProtection="0">
      <alignment vertical="center"/>
    </xf>
    <xf numFmtId="0" fontId="22" fillId="0" borderId="24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90">
    <xf numFmtId="0" fontId="0" fillId="0" borderId="0" xfId="0"/>
    <xf numFmtId="0" fontId="0" fillId="0" borderId="0" xfId="0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2" fillId="0" borderId="0" xfId="0" applyFont="1" applyFill="1" applyAlignment="1"/>
    <xf numFmtId="0" fontId="0" fillId="0" borderId="0" xfId="0" applyFill="1" applyAlignment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4" xfId="0" applyFont="1" applyFill="1" applyBorder="1" applyAlignment="1"/>
    <xf numFmtId="0" fontId="2" fillId="0" borderId="5" xfId="0" applyFont="1" applyFill="1" applyBorder="1" applyAlignment="1"/>
    <xf numFmtId="180" fontId="2" fillId="0" borderId="5" xfId="0" applyNumberFormat="1" applyFont="1" applyFill="1" applyBorder="1" applyAlignment="1"/>
    <xf numFmtId="2" fontId="2" fillId="0" borderId="5" xfId="0" applyNumberFormat="1" applyFont="1" applyFill="1" applyBorder="1" applyAlignment="1"/>
    <xf numFmtId="2" fontId="2" fillId="0" borderId="6" xfId="0" applyNumberFormat="1" applyFont="1" applyFill="1" applyBorder="1" applyAlignment="1"/>
    <xf numFmtId="10" fontId="2" fillId="0" borderId="0" xfId="0" applyNumberFormat="1" applyFont="1" applyFill="1" applyBorder="1" applyAlignment="1"/>
    <xf numFmtId="2" fontId="2" fillId="0" borderId="0" xfId="0" applyNumberFormat="1" applyFont="1" applyFill="1" applyBorder="1" applyAlignment="1"/>
    <xf numFmtId="0" fontId="4" fillId="0" borderId="0" xfId="0" applyFont="1" applyFill="1" applyAlignment="1"/>
    <xf numFmtId="0" fontId="2" fillId="0" borderId="7" xfId="0" applyFont="1" applyFill="1" applyBorder="1" applyAlignment="1"/>
    <xf numFmtId="0" fontId="2" fillId="0" borderId="8" xfId="0" applyFont="1" applyFill="1" applyBorder="1" applyAlignment="1"/>
    <xf numFmtId="180" fontId="2" fillId="0" borderId="8" xfId="0" applyNumberFormat="1" applyFont="1" applyFill="1" applyBorder="1" applyAlignment="1"/>
    <xf numFmtId="2" fontId="2" fillId="0" borderId="8" xfId="0" applyNumberFormat="1" applyFont="1" applyFill="1" applyBorder="1" applyAlignment="1"/>
    <xf numFmtId="2" fontId="2" fillId="0" borderId="9" xfId="0" applyNumberFormat="1" applyFont="1" applyFill="1" applyBorder="1" applyAlignment="1"/>
    <xf numFmtId="0" fontId="3" fillId="3" borderId="10" xfId="0" applyFont="1" applyFill="1" applyBorder="1" applyAlignment="1">
      <alignment horizontal="center" vertical="top"/>
    </xf>
    <xf numFmtId="0" fontId="3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3" fillId="0" borderId="0" xfId="0" applyFont="1" applyFill="1" applyBorder="1" applyAlignment="1"/>
    <xf numFmtId="0" fontId="3" fillId="0" borderId="0" xfId="0" applyFont="1" applyFill="1" applyBorder="1" applyAlignment="1">
      <alignment horizontal="center"/>
    </xf>
    <xf numFmtId="0" fontId="2" fillId="0" borderId="12" xfId="0" applyFont="1" applyFill="1" applyBorder="1" applyAlignment="1">
      <alignment horizontal="left" vertical="top"/>
    </xf>
    <xf numFmtId="0" fontId="3" fillId="0" borderId="12" xfId="0" applyFont="1" applyFill="1" applyBorder="1" applyAlignment="1">
      <alignment horizontal="center" vertical="top"/>
    </xf>
    <xf numFmtId="0" fontId="3" fillId="0" borderId="12" xfId="0" applyFont="1" applyFill="1" applyBorder="1" applyAlignment="1">
      <alignment horizontal="left" vertical="top"/>
    </xf>
    <xf numFmtId="0" fontId="3" fillId="0" borderId="12" xfId="0" applyFont="1" applyFill="1" applyBorder="1" applyAlignment="1">
      <alignment vertical="top"/>
    </xf>
    <xf numFmtId="0" fontId="2" fillId="0" borderId="12" xfId="0" applyFont="1" applyFill="1" applyBorder="1" applyAlignment="1">
      <alignment vertical="top"/>
    </xf>
    <xf numFmtId="0" fontId="0" fillId="0" borderId="12" xfId="0" applyFill="1" applyBorder="1" applyAlignment="1">
      <alignment vertical="top"/>
    </xf>
    <xf numFmtId="0" fontId="3" fillId="2" borderId="12" xfId="0" applyFont="1" applyFill="1" applyBorder="1" applyAlignment="1">
      <alignment horizontal="left" vertical="top"/>
    </xf>
    <xf numFmtId="0" fontId="3" fillId="4" borderId="12" xfId="0" applyFont="1" applyFill="1" applyBorder="1" applyAlignment="1">
      <alignment horizontal="left" vertical="top"/>
    </xf>
    <xf numFmtId="0" fontId="3" fillId="5" borderId="12" xfId="0" applyFont="1" applyFill="1" applyBorder="1" applyAlignment="1">
      <alignment horizontal="left" vertical="top"/>
    </xf>
    <xf numFmtId="0" fontId="3" fillId="6" borderId="12" xfId="0" applyFont="1" applyFill="1" applyBorder="1" applyAlignment="1">
      <alignment horizontal="left" vertical="top"/>
    </xf>
    <xf numFmtId="0" fontId="3" fillId="7" borderId="12" xfId="0" applyFont="1" applyFill="1" applyBorder="1" applyAlignment="1">
      <alignment horizontal="left" vertical="top"/>
    </xf>
    <xf numFmtId="0" fontId="3" fillId="8" borderId="12" xfId="0" applyFont="1" applyFill="1" applyBorder="1" applyAlignment="1">
      <alignment horizontal="left" vertical="top"/>
    </xf>
    <xf numFmtId="0" fontId="5" fillId="9" borderId="12" xfId="0" applyFont="1" applyFill="1" applyBorder="1" applyAlignment="1">
      <alignment horizontal="center" vertical="top"/>
    </xf>
    <xf numFmtId="0" fontId="6" fillId="0" borderId="0" xfId="0" applyFont="1"/>
    <xf numFmtId="0" fontId="2" fillId="0" borderId="12" xfId="0" applyNumberFormat="1" applyFont="1" applyFill="1" applyBorder="1" applyAlignment="1">
      <alignment horizontal="left" vertical="top"/>
    </xf>
    <xf numFmtId="0" fontId="2" fillId="0" borderId="12" xfId="0" applyNumberFormat="1" applyFont="1" applyBorder="1" applyAlignment="1">
      <alignment vertical="top"/>
    </xf>
    <xf numFmtId="0" fontId="0" fillId="0" borderId="12" xfId="0" applyBorder="1" applyAlignment="1">
      <alignment vertical="top"/>
    </xf>
    <xf numFmtId="0" fontId="2" fillId="0" borderId="12" xfId="0" applyNumberFormat="1" applyFont="1" applyBorder="1" applyAlignment="1">
      <alignment horizontal="left" vertical="top"/>
    </xf>
    <xf numFmtId="0" fontId="2" fillId="0" borderId="13" xfId="0" applyNumberFormat="1" applyFont="1" applyFill="1" applyBorder="1" applyAlignment="1"/>
    <xf numFmtId="0" fontId="0" fillId="0" borderId="12" xfId="0" applyNumberFormat="1" applyBorder="1" applyAlignment="1">
      <alignment horizontal="left" vertical="top"/>
    </xf>
    <xf numFmtId="0" fontId="0" fillId="0" borderId="12" xfId="0" applyNumberFormat="1" applyFont="1" applyBorder="1" applyAlignment="1">
      <alignment horizontal="left" vertical="top"/>
    </xf>
    <xf numFmtId="0" fontId="3" fillId="3" borderId="12" xfId="0" applyFont="1" applyFill="1" applyBorder="1" applyAlignment="1">
      <alignment vertical="top"/>
    </xf>
    <xf numFmtId="0" fontId="3" fillId="3" borderId="12" xfId="0" applyNumberFormat="1" applyFont="1" applyFill="1" applyBorder="1" applyAlignment="1">
      <alignment vertical="top"/>
    </xf>
    <xf numFmtId="2" fontId="3" fillId="3" borderId="12" xfId="0" applyNumberFormat="1" applyFont="1" applyFill="1" applyBorder="1" applyAlignment="1">
      <alignment vertical="top"/>
    </xf>
    <xf numFmtId="0" fontId="3" fillId="7" borderId="12" xfId="0" applyFont="1" applyFill="1" applyBorder="1" applyAlignment="1">
      <alignment vertical="top"/>
    </xf>
    <xf numFmtId="2" fontId="3" fillId="7" borderId="12" xfId="0" applyNumberFormat="1" applyFont="1" applyFill="1" applyBorder="1" applyAlignment="1">
      <alignment vertical="top"/>
    </xf>
    <xf numFmtId="0" fontId="2" fillId="0" borderId="12" xfId="0" applyNumberFormat="1" applyFont="1" applyFill="1" applyBorder="1" applyAlignment="1">
      <alignment vertical="top"/>
    </xf>
    <xf numFmtId="0" fontId="7" fillId="0" borderId="0" xfId="0" applyFont="1" applyFill="1" applyAlignment="1"/>
    <xf numFmtId="0" fontId="8" fillId="0" borderId="0" xfId="0" applyFont="1" applyAlignment="1">
      <alignment horizontal="left" vertical="top"/>
    </xf>
    <xf numFmtId="0" fontId="8" fillId="0" borderId="12" xfId="0" applyFont="1" applyBorder="1" applyAlignment="1">
      <alignment horizontal="left" vertical="top"/>
    </xf>
    <xf numFmtId="0" fontId="3" fillId="3" borderId="14" xfId="0" applyFont="1" applyFill="1" applyBorder="1" applyAlignment="1">
      <alignment horizontal="center" vertical="top"/>
    </xf>
    <xf numFmtId="0" fontId="3" fillId="3" borderId="15" xfId="0" applyFont="1" applyFill="1" applyBorder="1" applyAlignment="1">
      <alignment horizontal="center" vertical="top"/>
    </xf>
    <xf numFmtId="0" fontId="3" fillId="3" borderId="16" xfId="0" applyFont="1" applyFill="1" applyBorder="1" applyAlignment="1">
      <alignment horizontal="center" vertical="top"/>
    </xf>
    <xf numFmtId="0" fontId="3" fillId="10" borderId="12" xfId="0" applyFont="1" applyFill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/>
    <xf numFmtId="0" fontId="2" fillId="0" borderId="4" xfId="0" applyFont="1" applyBorder="1"/>
    <xf numFmtId="0" fontId="2" fillId="0" borderId="5" xfId="0" applyFont="1" applyBorder="1"/>
    <xf numFmtId="180" fontId="2" fillId="0" borderId="5" xfId="0" applyNumberFormat="1" applyFont="1" applyBorder="1"/>
    <xf numFmtId="2" fontId="2" fillId="0" borderId="5" xfId="0" applyNumberFormat="1" applyFont="1" applyBorder="1"/>
    <xf numFmtId="2" fontId="2" fillId="0" borderId="6" xfId="0" applyNumberFormat="1" applyFont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4" fillId="0" borderId="0" xfId="0" applyFont="1"/>
    <xf numFmtId="0" fontId="2" fillId="0" borderId="7" xfId="0" applyFont="1" applyBorder="1"/>
    <xf numFmtId="0" fontId="2" fillId="0" borderId="8" xfId="0" applyFont="1" applyBorder="1"/>
    <xf numFmtId="180" fontId="2" fillId="0" borderId="8" xfId="0" applyNumberFormat="1" applyFont="1" applyBorder="1"/>
    <xf numFmtId="2" fontId="2" fillId="0" borderId="8" xfId="0" applyNumberFormat="1" applyFont="1" applyBorder="1"/>
    <xf numFmtId="2" fontId="2" fillId="0" borderId="9" xfId="0" applyNumberFormat="1" applyFont="1" applyBorder="1"/>
    <xf numFmtId="0" fontId="2" fillId="0" borderId="0" xfId="0" applyFont="1" applyBorder="1"/>
    <xf numFmtId="0" fontId="3" fillId="0" borderId="0" xfId="0" applyFont="1" applyFill="1" applyBorder="1"/>
    <xf numFmtId="0" fontId="3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3" fillId="11" borderId="12" xfId="0" applyFont="1" applyFill="1" applyBorder="1" applyAlignment="1">
      <alignment horizontal="left" vertical="top"/>
    </xf>
    <xf numFmtId="0" fontId="2" fillId="2" borderId="12" xfId="0" applyFont="1" applyFill="1" applyBorder="1" applyAlignment="1">
      <alignment horizontal="left" vertical="top"/>
    </xf>
    <xf numFmtId="0" fontId="3" fillId="3" borderId="12" xfId="0" applyFont="1" applyFill="1" applyBorder="1" applyAlignment="1">
      <alignment horizontal="left" vertical="top"/>
    </xf>
    <xf numFmtId="0" fontId="3" fillId="3" borderId="12" xfId="0" applyNumberFormat="1" applyFont="1" applyFill="1" applyBorder="1" applyAlignment="1">
      <alignment horizontal="left" vertical="top"/>
    </xf>
    <xf numFmtId="2" fontId="3" fillId="3" borderId="12" xfId="0" applyNumberFormat="1" applyFont="1" applyFill="1" applyBorder="1" applyAlignment="1">
      <alignment horizontal="left" vertical="top"/>
    </xf>
    <xf numFmtId="2" fontId="3" fillId="7" borderId="12" xfId="0" applyNumberFormat="1" applyFont="1" applyFill="1" applyBorder="1" applyAlignment="1">
      <alignment horizontal="left" vertical="top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E15" workbookViewId="0">
      <selection activeCell="L23" sqref="L23:BQ23"/>
    </sheetView>
  </sheetViews>
  <sheetFormatPr defaultColWidth="8.70909090909091" defaultRowHeight="14.5"/>
  <cols>
    <col min="1" max="1" width="7.57272727272727" customWidth="1"/>
    <col min="2" max="2" width="21.8545454545455" customWidth="1"/>
    <col min="3" max="3" width="27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8" customWidth="1"/>
    <col min="48" max="48" width="24.4272727272727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8.57272727272727" customWidth="1"/>
    <col min="65" max="65" width="6.14545454545455" customWidth="1"/>
    <col min="66" max="66" width="2.57272727272727" customWidth="1"/>
    <col min="67" max="67" width="19.4272727272727" customWidth="1"/>
    <col min="68" max="68" width="35.4272727272727" customWidth="1"/>
    <col min="69" max="69" width="9.57272727272727" customWidth="1"/>
  </cols>
  <sheetData>
    <row r="1" ht="18.5" spans="1:45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</row>
    <row r="2" ht="19.25" spans="1:45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</row>
    <row r="3" ht="15.25" spans="1:45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63"/>
    </row>
    <row r="4" spans="1:45">
      <c r="A4" s="64">
        <v>1</v>
      </c>
      <c r="B4" s="65" t="s">
        <v>10</v>
      </c>
      <c r="C4" s="65" t="s">
        <v>11</v>
      </c>
      <c r="D4" s="65" t="s">
        <v>12</v>
      </c>
      <c r="E4" s="65" t="s">
        <v>12</v>
      </c>
      <c r="F4" s="66">
        <v>25</v>
      </c>
      <c r="G4" s="67">
        <v>257.63</v>
      </c>
      <c r="H4" s="68">
        <f t="shared" ref="H4:H18" si="0">F4*G4</f>
        <v>6440.75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69"/>
      <c r="Z4" s="69"/>
      <c r="AA4" s="69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0"/>
      <c r="AP4" s="70"/>
      <c r="AQ4" s="70"/>
      <c r="AR4" s="70"/>
      <c r="AS4" s="63"/>
    </row>
    <row r="5" spans="1:45">
      <c r="A5" s="64">
        <v>2</v>
      </c>
      <c r="B5" s="65" t="s">
        <v>13</v>
      </c>
      <c r="C5" s="65" t="s">
        <v>14</v>
      </c>
      <c r="D5" s="65" t="s">
        <v>12</v>
      </c>
      <c r="E5" s="65" t="s">
        <v>12</v>
      </c>
      <c r="F5" s="66">
        <v>35</v>
      </c>
      <c r="G5" s="67">
        <v>125.45</v>
      </c>
      <c r="H5" s="68">
        <f t="shared" si="0"/>
        <v>4390.75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69"/>
      <c r="Z5" s="69"/>
      <c r="AA5" s="69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70"/>
      <c r="AS5" s="63"/>
    </row>
    <row r="6" spans="1:45">
      <c r="A6" s="64">
        <v>3</v>
      </c>
      <c r="B6" s="65" t="s">
        <v>15</v>
      </c>
      <c r="C6" s="65" t="s">
        <v>16</v>
      </c>
      <c r="D6" s="65" t="s">
        <v>12</v>
      </c>
      <c r="E6" s="65" t="s">
        <v>12</v>
      </c>
      <c r="F6" s="66">
        <v>45</v>
      </c>
      <c r="G6" s="67">
        <v>125.36</v>
      </c>
      <c r="H6" s="68">
        <f t="shared" si="0"/>
        <v>5641.2</v>
      </c>
      <c r="I6" s="69"/>
      <c r="J6" s="69"/>
      <c r="K6" s="69"/>
      <c r="L6" s="70"/>
      <c r="M6" s="70"/>
      <c r="N6" s="70"/>
      <c r="O6" s="70"/>
      <c r="P6" s="70"/>
      <c r="Q6" s="70"/>
      <c r="R6" s="70"/>
      <c r="S6" s="70"/>
      <c r="T6" s="70"/>
      <c r="U6" s="69"/>
      <c r="V6" s="69"/>
      <c r="W6" s="69"/>
      <c r="X6" s="69"/>
      <c r="Y6" s="69"/>
      <c r="Z6" s="69"/>
      <c r="AA6" s="69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70"/>
      <c r="AS6" s="63"/>
    </row>
    <row r="7" spans="1:45">
      <c r="A7" s="64">
        <v>4</v>
      </c>
      <c r="B7" s="65" t="s">
        <v>17</v>
      </c>
      <c r="C7" s="65" t="s">
        <v>18</v>
      </c>
      <c r="D7" s="65" t="s">
        <v>12</v>
      </c>
      <c r="E7" s="65" t="s">
        <v>12</v>
      </c>
      <c r="F7" s="66">
        <v>55</v>
      </c>
      <c r="G7" s="67">
        <v>45.25</v>
      </c>
      <c r="H7" s="68">
        <f t="shared" si="0"/>
        <v>2488.75</v>
      </c>
      <c r="I7" s="69"/>
      <c r="J7" s="69"/>
      <c r="K7" s="69"/>
      <c r="L7" s="70"/>
      <c r="M7" s="70"/>
      <c r="N7" s="70"/>
      <c r="O7" s="70"/>
      <c r="P7" s="70"/>
      <c r="Q7" s="70"/>
      <c r="R7" s="70"/>
      <c r="S7" s="70"/>
      <c r="T7" s="70"/>
      <c r="U7" s="69"/>
      <c r="V7" s="69"/>
      <c r="W7" s="69"/>
      <c r="X7" s="69"/>
      <c r="Y7" s="69"/>
      <c r="Z7" s="69"/>
      <c r="AA7" s="69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63"/>
    </row>
    <row r="8" spans="1:45">
      <c r="A8" s="64">
        <v>5</v>
      </c>
      <c r="B8" s="65" t="s">
        <v>19</v>
      </c>
      <c r="C8" s="65" t="s">
        <v>20</v>
      </c>
      <c r="D8" s="65" t="s">
        <v>12</v>
      </c>
      <c r="E8" s="65" t="s">
        <v>12</v>
      </c>
      <c r="F8" s="66">
        <v>60</v>
      </c>
      <c r="G8" s="67">
        <v>45.5</v>
      </c>
      <c r="H8" s="68">
        <f t="shared" si="0"/>
        <v>2730</v>
      </c>
      <c r="I8" s="69"/>
      <c r="J8" s="69"/>
      <c r="K8" s="69"/>
      <c r="L8" s="70"/>
      <c r="M8" s="70"/>
      <c r="N8" s="70"/>
      <c r="O8" s="70"/>
      <c r="P8" s="70"/>
      <c r="Q8" s="70"/>
      <c r="R8" s="70"/>
      <c r="S8" s="70"/>
      <c r="T8" s="70"/>
      <c r="U8" s="69"/>
      <c r="V8" s="69"/>
      <c r="W8" s="69"/>
      <c r="X8" s="69"/>
      <c r="Y8" s="69"/>
      <c r="Z8" s="69"/>
      <c r="AA8" s="69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70"/>
      <c r="AN8" s="70"/>
      <c r="AO8" s="70"/>
      <c r="AP8" s="70"/>
      <c r="AQ8" s="70"/>
      <c r="AR8" s="70"/>
      <c r="AS8" s="63"/>
    </row>
    <row r="9" spans="1:45">
      <c r="A9" s="64">
        <v>6</v>
      </c>
      <c r="B9" s="65" t="s">
        <v>21</v>
      </c>
      <c r="C9" s="65" t="s">
        <v>22</v>
      </c>
      <c r="D9" s="65" t="s">
        <v>12</v>
      </c>
      <c r="E9" s="65" t="s">
        <v>12</v>
      </c>
      <c r="F9" s="66">
        <v>75</v>
      </c>
      <c r="G9" s="67">
        <v>125.25</v>
      </c>
      <c r="H9" s="68">
        <f t="shared" si="0"/>
        <v>9393.75</v>
      </c>
      <c r="I9" s="69"/>
      <c r="J9" s="69"/>
      <c r="K9" s="69"/>
      <c r="L9" s="70"/>
      <c r="M9" s="70"/>
      <c r="N9" s="70"/>
      <c r="O9" s="70"/>
      <c r="P9" s="70"/>
      <c r="Q9" s="70"/>
      <c r="R9" s="70"/>
      <c r="S9" s="70"/>
      <c r="T9" s="70"/>
      <c r="U9" s="69"/>
      <c r="V9" s="69"/>
      <c r="W9" s="69"/>
      <c r="X9" s="69"/>
      <c r="Y9" s="69"/>
      <c r="Z9" s="69"/>
      <c r="AA9" s="69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  <c r="AO9" s="70"/>
      <c r="AP9" s="70"/>
      <c r="AQ9" s="70"/>
      <c r="AR9" s="70"/>
      <c r="AS9" s="63"/>
    </row>
    <row r="10" spans="1:45">
      <c r="A10" s="64">
        <v>7</v>
      </c>
      <c r="B10" s="65" t="s">
        <v>23</v>
      </c>
      <c r="C10" s="65" t="s">
        <v>24</v>
      </c>
      <c r="D10" s="65" t="s">
        <v>12</v>
      </c>
      <c r="E10" s="65" t="s">
        <v>12</v>
      </c>
      <c r="F10" s="66">
        <v>28</v>
      </c>
      <c r="G10" s="67">
        <v>150.5</v>
      </c>
      <c r="H10" s="68">
        <f t="shared" si="0"/>
        <v>4214</v>
      </c>
      <c r="I10" s="69"/>
      <c r="J10" s="69"/>
      <c r="K10" s="69"/>
      <c r="L10" s="70"/>
      <c r="M10" s="70"/>
      <c r="N10" s="70"/>
      <c r="O10" s="70"/>
      <c r="P10" s="70"/>
      <c r="Q10" s="70"/>
      <c r="R10" s="70"/>
      <c r="S10" s="70"/>
      <c r="T10" s="70"/>
      <c r="U10" s="69"/>
      <c r="V10" s="69"/>
      <c r="W10" s="69"/>
      <c r="X10" s="69"/>
      <c r="Y10" s="69"/>
      <c r="Z10" s="69"/>
      <c r="AA10" s="69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70"/>
      <c r="AS10" s="63"/>
    </row>
    <row r="11" spans="1:45">
      <c r="A11" s="64">
        <v>8</v>
      </c>
      <c r="B11" s="65" t="s">
        <v>25</v>
      </c>
      <c r="C11" s="65" t="s">
        <v>26</v>
      </c>
      <c r="D11" s="65" t="s">
        <v>12</v>
      </c>
      <c r="E11" s="65" t="s">
        <v>12</v>
      </c>
      <c r="F11" s="66">
        <v>30</v>
      </c>
      <c r="G11" s="67">
        <v>65.32</v>
      </c>
      <c r="H11" s="68">
        <f t="shared" si="0"/>
        <v>1959.6</v>
      </c>
      <c r="I11" s="69"/>
      <c r="J11" s="69"/>
      <c r="K11" s="69"/>
      <c r="L11" s="70"/>
      <c r="M11" s="70"/>
      <c r="N11" s="70"/>
      <c r="O11" s="70"/>
      <c r="P11" s="70"/>
      <c r="Q11" s="70"/>
      <c r="R11" s="70"/>
      <c r="S11" s="70"/>
      <c r="T11" s="70"/>
      <c r="U11" s="69"/>
      <c r="V11" s="69"/>
      <c r="W11" s="69"/>
      <c r="X11" s="69"/>
      <c r="Y11" s="69"/>
      <c r="Z11" s="69"/>
      <c r="AA11" s="69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63"/>
    </row>
    <row r="12" spans="1:45">
      <c r="A12" s="64">
        <v>9</v>
      </c>
      <c r="B12" s="65" t="s">
        <v>27</v>
      </c>
      <c r="C12" s="65" t="s">
        <v>28</v>
      </c>
      <c r="D12" s="65" t="s">
        <v>12</v>
      </c>
      <c r="E12" s="65" t="s">
        <v>12</v>
      </c>
      <c r="F12" s="66">
        <v>25</v>
      </c>
      <c r="G12" s="67">
        <v>74.89</v>
      </c>
      <c r="H12" s="68">
        <f t="shared" si="0"/>
        <v>1872.25</v>
      </c>
      <c r="I12" s="69"/>
      <c r="J12" s="69"/>
      <c r="K12" s="69"/>
      <c r="L12" s="70"/>
      <c r="M12" s="70"/>
      <c r="N12" s="70"/>
      <c r="O12" s="70"/>
      <c r="P12" s="70"/>
      <c r="Q12" s="70"/>
      <c r="R12" s="70"/>
      <c r="S12" s="70"/>
      <c r="T12" s="70"/>
      <c r="U12" s="69"/>
      <c r="V12" s="69"/>
      <c r="W12" s="69"/>
      <c r="X12" s="69"/>
      <c r="Y12" s="69"/>
      <c r="Z12" s="69"/>
      <c r="AA12" s="69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70"/>
      <c r="AS12" s="63"/>
    </row>
    <row r="13" spans="1:45">
      <c r="A13" s="64">
        <v>10</v>
      </c>
      <c r="B13" s="65" t="s">
        <v>29</v>
      </c>
      <c r="C13" s="65" t="s">
        <v>30</v>
      </c>
      <c r="D13" s="65" t="s">
        <v>12</v>
      </c>
      <c r="E13" s="65" t="s">
        <v>12</v>
      </c>
      <c r="F13" s="66">
        <v>28</v>
      </c>
      <c r="G13" s="67">
        <v>89.56</v>
      </c>
      <c r="H13" s="68">
        <f t="shared" si="0"/>
        <v>2507.68</v>
      </c>
      <c r="I13" s="69"/>
      <c r="J13" s="69"/>
      <c r="K13" s="69"/>
      <c r="L13" s="70"/>
      <c r="M13" s="70"/>
      <c r="N13" s="70"/>
      <c r="O13" s="70"/>
      <c r="P13" s="70"/>
      <c r="Q13" s="70"/>
      <c r="R13" s="70"/>
      <c r="S13" s="70"/>
      <c r="T13" s="70"/>
      <c r="U13" s="69"/>
      <c r="V13" s="69"/>
      <c r="W13" s="69"/>
      <c r="X13" s="69"/>
      <c r="Y13" s="69"/>
      <c r="Z13" s="69"/>
      <c r="AA13" s="69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  <c r="AO13" s="70"/>
      <c r="AP13" s="70"/>
      <c r="AQ13" s="70"/>
      <c r="AR13" s="70"/>
      <c r="AS13" s="63"/>
    </row>
    <row r="14" spans="1:45">
      <c r="A14" s="64">
        <v>11</v>
      </c>
      <c r="B14" s="65" t="s">
        <v>31</v>
      </c>
      <c r="C14" s="65" t="s">
        <v>32</v>
      </c>
      <c r="D14" s="65" t="s">
        <v>12</v>
      </c>
      <c r="E14" s="65" t="s">
        <v>12</v>
      </c>
      <c r="F14" s="66">
        <v>37</v>
      </c>
      <c r="G14" s="67">
        <v>89.54</v>
      </c>
      <c r="H14" s="68">
        <f t="shared" si="0"/>
        <v>3312.98</v>
      </c>
      <c r="I14" s="69"/>
      <c r="J14" s="69"/>
      <c r="K14" s="69"/>
      <c r="L14" s="70"/>
      <c r="M14" s="70"/>
      <c r="N14" s="70"/>
      <c r="O14" s="70"/>
      <c r="P14" s="70"/>
      <c r="Q14" s="70"/>
      <c r="R14" s="70"/>
      <c r="S14" s="70"/>
      <c r="T14" s="70"/>
      <c r="U14" s="69"/>
      <c r="V14" s="69"/>
      <c r="W14" s="69"/>
      <c r="X14" s="69"/>
      <c r="Y14" s="69"/>
      <c r="Z14" s="69"/>
      <c r="AA14" s="69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70"/>
      <c r="AS14" s="63"/>
    </row>
    <row r="15" spans="1:45">
      <c r="A15" s="64">
        <v>12</v>
      </c>
      <c r="B15" s="65" t="s">
        <v>33</v>
      </c>
      <c r="C15" s="65" t="s">
        <v>34</v>
      </c>
      <c r="D15" s="65" t="s">
        <v>12</v>
      </c>
      <c r="E15" s="65" t="s">
        <v>12</v>
      </c>
      <c r="F15" s="66">
        <v>39</v>
      </c>
      <c r="G15" s="67">
        <v>98.25</v>
      </c>
      <c r="H15" s="68">
        <f t="shared" si="0"/>
        <v>3831.75</v>
      </c>
      <c r="I15" s="69"/>
      <c r="J15" s="69"/>
      <c r="K15" s="69"/>
      <c r="L15" s="70"/>
      <c r="M15" s="70"/>
      <c r="N15" s="70"/>
      <c r="O15" s="70"/>
      <c r="P15" s="70"/>
      <c r="Q15" s="70"/>
      <c r="R15" s="70"/>
      <c r="S15" s="70"/>
      <c r="T15" s="70"/>
      <c r="U15" s="69"/>
      <c r="V15" s="69"/>
      <c r="W15" s="69"/>
      <c r="X15" s="69"/>
      <c r="Y15" s="69"/>
      <c r="Z15" s="69"/>
      <c r="AA15" s="69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  <c r="AP15" s="70"/>
      <c r="AQ15" s="70"/>
      <c r="AR15" s="70"/>
      <c r="AS15" s="63"/>
    </row>
    <row r="16" spans="1:45">
      <c r="A16" s="64">
        <v>13</v>
      </c>
      <c r="B16" s="65" t="s">
        <v>35</v>
      </c>
      <c r="C16" s="65" t="s">
        <v>36</v>
      </c>
      <c r="D16" s="65" t="s">
        <v>12</v>
      </c>
      <c r="E16" s="65" t="s">
        <v>12</v>
      </c>
      <c r="F16" s="66">
        <v>70</v>
      </c>
      <c r="G16" s="67">
        <v>102.25</v>
      </c>
      <c r="H16" s="68">
        <f t="shared" si="0"/>
        <v>7157.5</v>
      </c>
      <c r="I16" s="69"/>
      <c r="J16" s="69"/>
      <c r="K16" s="69"/>
      <c r="L16" s="70"/>
      <c r="M16" s="70"/>
      <c r="N16" s="70"/>
      <c r="O16" s="70"/>
      <c r="P16" s="70"/>
      <c r="Q16" s="70"/>
      <c r="R16" s="70"/>
      <c r="S16" s="70"/>
      <c r="T16" s="70"/>
      <c r="U16" s="69"/>
      <c r="V16" s="69"/>
      <c r="W16" s="69"/>
      <c r="X16" s="69"/>
      <c r="Y16" s="69"/>
      <c r="Z16" s="69"/>
      <c r="AA16" s="69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  <c r="AS16" s="63"/>
    </row>
    <row r="17" spans="1:69">
      <c r="A17" s="64">
        <v>14</v>
      </c>
      <c r="B17" s="65" t="s">
        <v>37</v>
      </c>
      <c r="C17" s="65" t="s">
        <v>38</v>
      </c>
      <c r="D17" s="65" t="s">
        <v>12</v>
      </c>
      <c r="E17" s="65" t="s">
        <v>12</v>
      </c>
      <c r="F17" s="66">
        <v>100</v>
      </c>
      <c r="G17" s="67">
        <v>103.5</v>
      </c>
      <c r="H17" s="68">
        <f t="shared" si="0"/>
        <v>10350</v>
      </c>
      <c r="I17" s="69"/>
      <c r="J17" s="69"/>
      <c r="K17" s="69"/>
      <c r="L17" s="70"/>
      <c r="M17" s="70"/>
      <c r="N17" s="70"/>
      <c r="O17" s="70"/>
      <c r="P17" s="70"/>
      <c r="Q17" s="70"/>
      <c r="R17" s="70"/>
      <c r="S17" s="71"/>
      <c r="T17" s="70"/>
      <c r="U17" s="69"/>
      <c r="V17" s="69"/>
      <c r="W17" s="69"/>
      <c r="X17" s="69"/>
      <c r="Y17" s="69"/>
      <c r="Z17" s="69"/>
      <c r="AA17" s="69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  <c r="AP17" s="70"/>
      <c r="AQ17" s="70"/>
      <c r="AR17" s="70"/>
      <c r="AS17" s="63"/>
    </row>
    <row r="18" ht="15.25" spans="1:69">
      <c r="A18" s="72">
        <v>15</v>
      </c>
      <c r="B18" s="73" t="s">
        <v>39</v>
      </c>
      <c r="C18" s="73" t="s">
        <v>40</v>
      </c>
      <c r="D18" s="73" t="s">
        <v>12</v>
      </c>
      <c r="E18" s="73" t="s">
        <v>12</v>
      </c>
      <c r="F18" s="74">
        <v>85</v>
      </c>
      <c r="G18" s="75">
        <v>65.48</v>
      </c>
      <c r="H18" s="76">
        <f t="shared" si="0"/>
        <v>5565.8</v>
      </c>
      <c r="I18" s="69"/>
      <c r="J18" s="69"/>
      <c r="K18" s="69"/>
      <c r="L18" s="70"/>
      <c r="M18" s="70"/>
      <c r="N18" s="70"/>
      <c r="O18" s="70"/>
      <c r="P18" s="70"/>
      <c r="Q18" s="70"/>
      <c r="R18" s="70"/>
      <c r="S18" s="70"/>
      <c r="T18" s="70"/>
      <c r="U18" s="69"/>
      <c r="V18" s="69"/>
      <c r="W18" s="69"/>
      <c r="X18" s="69"/>
      <c r="Y18" s="69"/>
      <c r="Z18" s="69"/>
      <c r="AA18" s="69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63"/>
    </row>
    <row r="19" ht="15.25" spans="1:69">
      <c r="A19" s="6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77"/>
      <c r="J19" s="77"/>
      <c r="K19" s="77"/>
      <c r="L19" s="77"/>
      <c r="M19" s="77"/>
      <c r="N19" s="77"/>
      <c r="O19" s="77"/>
      <c r="P19" s="77"/>
      <c r="Q19" s="77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63"/>
    </row>
    <row r="20" s="1" customFormat="1" spans="1:69">
      <c r="A20" s="79" t="s">
        <v>42</v>
      </c>
      <c r="B20" s="79"/>
      <c r="C20" s="79"/>
      <c r="D20" s="79"/>
      <c r="E20" s="79"/>
      <c r="F20" s="79"/>
      <c r="G20" s="79"/>
      <c r="H20" s="79"/>
      <c r="I20" s="80"/>
      <c r="J20" s="80"/>
      <c r="K20" s="80"/>
      <c r="L20" s="80"/>
      <c r="M20" s="80"/>
      <c r="N20" s="80"/>
      <c r="O20" s="80"/>
      <c r="P20" s="80"/>
      <c r="Q20" s="80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81"/>
    </row>
    <row r="21" s="1" customFormat="1" spans="1:69">
      <c r="A21" s="28" t="s">
        <v>43</v>
      </c>
      <c r="B21" s="28"/>
      <c r="C21" s="30">
        <v>3</v>
      </c>
      <c r="D21" s="30" t="s">
        <v>44</v>
      </c>
      <c r="E21" s="30"/>
      <c r="F21" s="30"/>
      <c r="G21" s="30"/>
      <c r="H21" s="30"/>
      <c r="I21" s="28" t="s">
        <v>45</v>
      </c>
      <c r="J21" s="28" t="s">
        <v>46</v>
      </c>
      <c r="K21" s="28"/>
      <c r="L21" s="28" t="s">
        <v>47</v>
      </c>
      <c r="M21" s="28">
        <v>85</v>
      </c>
      <c r="N21" s="28"/>
      <c r="O21" s="28" t="s">
        <v>48</v>
      </c>
      <c r="P21" s="28">
        <v>1</v>
      </c>
      <c r="Q21" s="28" t="s">
        <v>49</v>
      </c>
      <c r="R21" s="30"/>
      <c r="S21" s="30"/>
      <c r="T21" s="30"/>
      <c r="U21" s="30"/>
      <c r="V21" s="30">
        <v>1</v>
      </c>
      <c r="W21" s="30" t="s">
        <v>50</v>
      </c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82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83"/>
      <c r="BG21" s="83"/>
      <c r="BH21" s="83"/>
      <c r="BI21" s="83"/>
      <c r="BJ21" s="83"/>
      <c r="BK21" s="83"/>
      <c r="BL21" s="83"/>
      <c r="BM21" s="83"/>
      <c r="BN21" s="83"/>
      <c r="BO21" s="83"/>
      <c r="BP21" s="83"/>
      <c r="BQ21" s="83"/>
    </row>
    <row r="22" s="56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84" t="s">
        <v>55</v>
      </c>
      <c r="M22" s="84" t="s">
        <v>56</v>
      </c>
      <c r="N22" s="84" t="s">
        <v>57</v>
      </c>
      <c r="O22" s="84" t="s">
        <v>58</v>
      </c>
      <c r="P22" s="84" t="s">
        <v>59</v>
      </c>
      <c r="Q22" s="84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87</v>
      </c>
      <c r="AS22" s="34" t="s">
        <v>88</v>
      </c>
      <c r="AT22" s="34" t="s">
        <v>86</v>
      </c>
      <c r="AU22" s="34" t="s">
        <v>89</v>
      </c>
      <c r="AV22" s="34" t="s">
        <v>90</v>
      </c>
      <c r="AW22" s="34" t="s">
        <v>91</v>
      </c>
      <c r="AX22" s="34" t="s">
        <v>92</v>
      </c>
      <c r="AY22" s="34" t="s">
        <v>93</v>
      </c>
      <c r="AZ22" s="34" t="s">
        <v>94</v>
      </c>
      <c r="BA22" s="34" t="s">
        <v>95</v>
      </c>
      <c r="BB22" s="34" t="s">
        <v>96</v>
      </c>
      <c r="BC22" s="85" t="s">
        <v>97</v>
      </c>
      <c r="BD22" s="85" t="s">
        <v>98</v>
      </c>
      <c r="BE22" s="85" t="s">
        <v>99</v>
      </c>
      <c r="BF22" s="85" t="s">
        <v>100</v>
      </c>
      <c r="BG22" s="85" t="s">
        <v>101</v>
      </c>
      <c r="BH22" s="85" t="s">
        <v>102</v>
      </c>
      <c r="BI22" s="85" t="s">
        <v>103</v>
      </c>
      <c r="BJ22" s="85" t="s">
        <v>104</v>
      </c>
      <c r="BK22" s="85" t="s">
        <v>105</v>
      </c>
      <c r="BL22" s="85" t="s">
        <v>106</v>
      </c>
      <c r="BM22" s="83"/>
      <c r="BN22" s="83"/>
      <c r="BO22" s="85" t="s">
        <v>94</v>
      </c>
      <c r="BP22" s="85" t="s">
        <v>107</v>
      </c>
      <c r="BQ22" s="85" t="s">
        <v>63</v>
      </c>
    </row>
    <row r="23" s="1" customFormat="1" ht="15.25" spans="1:69">
      <c r="A23" s="28">
        <v>1</v>
      </c>
      <c r="B23" s="28" t="s">
        <v>108</v>
      </c>
      <c r="C23" s="28" t="s">
        <v>108</v>
      </c>
      <c r="D23" s="28" t="s">
        <v>12</v>
      </c>
      <c r="E23" s="28" t="s">
        <v>12</v>
      </c>
      <c r="F23" s="42">
        <v>2</v>
      </c>
      <c r="G23" s="42">
        <v>100</v>
      </c>
      <c r="H23" s="45">
        <f>F23*G23</f>
        <v>200</v>
      </c>
      <c r="I23" s="83">
        <v>1</v>
      </c>
      <c r="J23" s="45">
        <v>2</v>
      </c>
      <c r="K23" s="45">
        <v>4</v>
      </c>
      <c r="L23" s="45">
        <f>H23</f>
        <v>200</v>
      </c>
      <c r="M23" s="45">
        <f>ROUND(L23*I23%,2)</f>
        <v>2</v>
      </c>
      <c r="N23" s="45">
        <f>H23-M23</f>
        <v>198</v>
      </c>
      <c r="O23" s="45">
        <f>ROUND(N23*J23%,2)</f>
        <v>3.96</v>
      </c>
      <c r="P23" s="45">
        <f>ROUND(N23-O23,2)</f>
        <v>194.04</v>
      </c>
      <c r="Q23" s="45">
        <f>ROUND(P23*K23%,2)</f>
        <v>7.76</v>
      </c>
      <c r="R23" s="45">
        <f>M23+O23+Q23</f>
        <v>13.72</v>
      </c>
      <c r="S23" s="45">
        <f>(H23-R23)</f>
        <v>186.28</v>
      </c>
      <c r="T23" s="45" t="s">
        <v>109</v>
      </c>
      <c r="U23" s="46">
        <v>0</v>
      </c>
      <c r="V23" s="46">
        <f>IF(OR($C$21=1,$C$21=4),ROUND((((S23*U23)/100)/2),2),0)</f>
        <v>0</v>
      </c>
      <c r="W23" s="46">
        <f>IF($C$21=1,ROUND((((S23*U23)/100)/2),2),0)</f>
        <v>0</v>
      </c>
      <c r="X23" s="46">
        <f>IF($C$21=2,ROUND(((S23*U23)/100),2),0)</f>
        <v>0</v>
      </c>
      <c r="Y23" s="46">
        <f>IF($C$21=4,ROUND((((S23*U23)/100)/2),2),0)</f>
        <v>0</v>
      </c>
      <c r="Z23" s="46">
        <v>0</v>
      </c>
      <c r="AA23" s="46">
        <f>IF($C21=3,0,(S23*Z23)/100)</f>
        <v>0</v>
      </c>
      <c r="AB23" s="46">
        <f>V23+W23+X23+Y23+AA23</f>
        <v>0</v>
      </c>
      <c r="AC23" s="45">
        <f>IF($V21=1,S23+AB23,S23)</f>
        <v>186.28</v>
      </c>
      <c r="AD23" s="45">
        <v>120</v>
      </c>
      <c r="AE23" s="45">
        <f>IF($P$21=1,(S23/$S$24)*$E$35,AD23/$AD$24*$E$35)</f>
        <v>0</v>
      </c>
      <c r="AF23" s="45"/>
      <c r="AG23" s="45">
        <f>IF($P$21=1,(S23/$S$24)*$E$37,AD23/$AD$24*$E$37)</f>
        <v>0</v>
      </c>
      <c r="AH23" s="45">
        <f>IF($P$21=1,(S23/$S$24)*$E$37,AD23/$AD$24*$E$37)</f>
        <v>0</v>
      </c>
      <c r="AI23" s="45">
        <f>S23*$M$21</f>
        <v>15833.8</v>
      </c>
      <c r="AJ23" s="45">
        <f>IF($C$21=3,0,AG23+AH23)</f>
        <v>0</v>
      </c>
      <c r="AK23" s="45">
        <f>IF($C$21=3,AE23+AG23+AH23,0)</f>
        <v>0</v>
      </c>
      <c r="AL23" s="45">
        <v>1</v>
      </c>
      <c r="AM23" s="45">
        <f>F23/AL23</f>
        <v>2</v>
      </c>
      <c r="AN23" s="45">
        <f>AI23/AM23</f>
        <v>7916.9</v>
      </c>
      <c r="AO23" s="45">
        <f>AJ23/AM23</f>
        <v>0</v>
      </c>
      <c r="AP23" s="45">
        <f>AK23/AM23</f>
        <v>0</v>
      </c>
      <c r="AQ23" s="45" t="s">
        <v>12</v>
      </c>
      <c r="AR23" s="45">
        <f>AN23+AO23+AP23</f>
        <v>7916.9</v>
      </c>
      <c r="AS23" s="45" t="s">
        <v>110</v>
      </c>
      <c r="AT23" s="45" t="s">
        <v>12</v>
      </c>
      <c r="AU23" t="s">
        <v>111</v>
      </c>
      <c r="AV23" t="s">
        <v>112</v>
      </c>
      <c r="AW23" s="45">
        <f>AM23</f>
        <v>2</v>
      </c>
      <c r="AX23" s="45">
        <f>AR23</f>
        <v>7916.9</v>
      </c>
      <c r="AY23" s="45">
        <f>AU23+AW23</f>
        <v>2</v>
      </c>
      <c r="AZ23" s="45">
        <f>ROUND(((AU23*AV23)+(AW23*AX23))/(AU23+AW23),5)</f>
        <v>7916.9</v>
      </c>
      <c r="BA23" s="47"/>
      <c r="BB23" s="47" t="s">
        <v>113</v>
      </c>
      <c r="BC23" s="47" t="s">
        <v>114</v>
      </c>
      <c r="BD23" s="48" t="s">
        <v>115</v>
      </c>
      <c r="BE23" s="48" t="s">
        <v>116</v>
      </c>
      <c r="BF23" s="47"/>
      <c r="BG23" s="47"/>
      <c r="BH23" s="47"/>
      <c r="BI23" s="45"/>
      <c r="BJ23" s="45"/>
      <c r="BK23" s="45"/>
      <c r="BL23" s="45" t="s">
        <v>117</v>
      </c>
      <c r="BM23" t="s">
        <v>118</v>
      </c>
      <c r="BN23" t="s">
        <v>119</v>
      </c>
      <c r="BO23" s="45">
        <f>ROUND((((AW23*AZ23)+(BN23*BM23))/(AW23+BN23)),5)</f>
        <v>8045.60422</v>
      </c>
      <c r="BP23" s="47">
        <f>BN23+AW23</f>
        <v>570</v>
      </c>
      <c r="BQ23" s="47">
        <v>88363222</v>
      </c>
    </row>
    <row r="24" s="1" customFormat="1" spans="1:69">
      <c r="A24" s="82"/>
      <c r="B24" s="83"/>
      <c r="C24" s="83"/>
      <c r="D24" s="86" t="s">
        <v>41</v>
      </c>
      <c r="E24" s="86"/>
      <c r="F24" s="86"/>
      <c r="G24" s="86"/>
      <c r="H24" s="86">
        <f>SUM(H23:H23)</f>
        <v>200</v>
      </c>
      <c r="I24" s="82"/>
      <c r="J24" s="82"/>
      <c r="K24" s="82"/>
      <c r="L24" s="82"/>
      <c r="M24" s="82"/>
      <c r="N24" s="82"/>
      <c r="O24" s="82"/>
      <c r="P24" s="82"/>
      <c r="Q24" s="82"/>
      <c r="R24" s="86">
        <f t="shared" ref="R24:Y24" si="1">SUM(R23:R23)</f>
        <v>13.72</v>
      </c>
      <c r="S24" s="87">
        <f t="shared" si="1"/>
        <v>186.28</v>
      </c>
      <c r="T24" s="86"/>
      <c r="U24" s="86"/>
      <c r="V24" s="88">
        <f t="shared" si="1"/>
        <v>0</v>
      </c>
      <c r="W24" s="88">
        <f t="shared" si="1"/>
        <v>0</v>
      </c>
      <c r="X24" s="88">
        <f t="shared" si="1"/>
        <v>0</v>
      </c>
      <c r="Y24" s="88">
        <f t="shared" si="1"/>
        <v>0</v>
      </c>
      <c r="Z24" s="88"/>
      <c r="AA24" s="88">
        <f t="shared" ref="AA24:AE24" si="2">SUM(AA23:AA23)</f>
        <v>0</v>
      </c>
      <c r="AB24" s="86">
        <f t="shared" si="2"/>
        <v>0</v>
      </c>
      <c r="AC24" s="38">
        <f t="shared" si="2"/>
        <v>186.28</v>
      </c>
      <c r="AD24" s="89">
        <f t="shared" si="2"/>
        <v>120</v>
      </c>
      <c r="AE24" s="89">
        <f t="shared" si="2"/>
        <v>0</v>
      </c>
      <c r="AF24" s="38"/>
      <c r="AG24" s="89">
        <f>SUM(AG23:AG23)</f>
        <v>0</v>
      </c>
      <c r="AH24" s="89">
        <f t="shared" ref="AG24:AK24" si="3">SUM(AH23:AH23)</f>
        <v>0</v>
      </c>
      <c r="AI24" s="89">
        <f t="shared" si="3"/>
        <v>15833.8</v>
      </c>
      <c r="AJ24" s="89">
        <f t="shared" si="3"/>
        <v>0</v>
      </c>
      <c r="AK24" s="89">
        <f t="shared" si="3"/>
        <v>0</v>
      </c>
      <c r="AL24" s="38"/>
      <c r="AM24" s="38"/>
      <c r="AN24" s="38"/>
      <c r="AO24" s="38"/>
      <c r="AP24" s="38"/>
      <c r="AQ24" s="38"/>
      <c r="AR24" s="38"/>
      <c r="AS24" s="82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83"/>
      <c r="BG24" s="83"/>
      <c r="BH24" s="83"/>
      <c r="BI24" s="83"/>
      <c r="BJ24" s="83"/>
      <c r="BK24" s="83"/>
      <c r="BL24" s="83"/>
      <c r="BM24" s="83"/>
      <c r="BN24" s="83"/>
      <c r="BO24" s="83"/>
      <c r="BP24" s="83"/>
      <c r="BQ24" s="8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E12" workbookViewId="0">
      <selection activeCell="L23" sqref="L23:BQ23"/>
    </sheetView>
  </sheetViews>
  <sheetFormatPr defaultColWidth="8.70909090909091" defaultRowHeight="14.5"/>
  <cols>
    <col min="1" max="1" width="7.57272727272727" customWidth="1"/>
    <col min="2" max="3" width="22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10.7181818181818" customWidth="1"/>
    <col min="21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9.28181818181818" customWidth="1"/>
    <col min="46" max="46" width="13" customWidth="1"/>
    <col min="47" max="47" width="18" customWidth="1"/>
    <col min="48" max="48" width="24.4272727272727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5" max="65" width="49.1454545454545" customWidth="1"/>
    <col min="66" max="66" width="43.8545454545455" customWidth="1"/>
    <col min="67" max="67" width="22.7181818181818" customWidth="1"/>
    <col min="68" max="68" width="40.8545454545455" customWidth="1"/>
    <col min="69" max="69" width="7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56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54</v>
      </c>
      <c r="K22" s="35" t="s">
        <v>53</v>
      </c>
      <c r="L22" s="61" t="s">
        <v>55</v>
      </c>
      <c r="M22" s="61" t="s">
        <v>56</v>
      </c>
      <c r="N22" s="61" t="s">
        <v>59</v>
      </c>
      <c r="O22" s="61" t="s">
        <v>60</v>
      </c>
      <c r="P22" s="61" t="s">
        <v>120</v>
      </c>
      <c r="Q22" s="61" t="s">
        <v>58</v>
      </c>
      <c r="R22" s="35" t="s">
        <v>61</v>
      </c>
      <c r="S22" s="34" t="s">
        <v>121</v>
      </c>
      <c r="T22" s="34" t="s">
        <v>63</v>
      </c>
      <c r="U22" s="37" t="s">
        <v>122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87</v>
      </c>
      <c r="AS22" s="34" t="s">
        <v>88</v>
      </c>
      <c r="AT22" s="34" t="s">
        <v>86</v>
      </c>
      <c r="AU22" s="34" t="s">
        <v>89</v>
      </c>
      <c r="AV22" s="34" t="s">
        <v>90</v>
      </c>
      <c r="AW22" s="34" t="s">
        <v>91</v>
      </c>
      <c r="AX22" s="34" t="s">
        <v>92</v>
      </c>
      <c r="AY22" s="34" t="s">
        <v>93</v>
      </c>
      <c r="AZ22" s="34" t="s">
        <v>94</v>
      </c>
      <c r="BA22" s="34" t="s">
        <v>95</v>
      </c>
      <c r="BB22" s="34" t="s">
        <v>96</v>
      </c>
      <c r="BC22" s="34" t="s">
        <v>97</v>
      </c>
      <c r="BD22" s="34" t="s">
        <v>98</v>
      </c>
      <c r="BE22" s="34" t="s">
        <v>99</v>
      </c>
      <c r="BF22" s="34" t="s">
        <v>100</v>
      </c>
      <c r="BG22" s="34" t="s">
        <v>101</v>
      </c>
      <c r="BH22" s="34" t="s">
        <v>102</v>
      </c>
      <c r="BI22" s="34" t="s">
        <v>103</v>
      </c>
      <c r="BJ22" s="34" t="s">
        <v>104</v>
      </c>
      <c r="BK22" s="34" t="s">
        <v>105</v>
      </c>
      <c r="BL22" s="34" t="s">
        <v>106</v>
      </c>
      <c r="BM22" s="34" t="s">
        <v>123</v>
      </c>
      <c r="BN22" s="34" t="s">
        <v>124</v>
      </c>
      <c r="BO22" s="34" t="s">
        <v>94</v>
      </c>
      <c r="BP22" s="34" t="s">
        <v>107</v>
      </c>
      <c r="BQ22" s="34" t="s">
        <v>63</v>
      </c>
    </row>
    <row r="23" s="1" customFormat="1" ht="15.25" spans="1:69">
      <c r="A23" s="28">
        <v>1</v>
      </c>
      <c r="B23" s="55" t="s">
        <v>125</v>
      </c>
      <c r="C23" s="55" t="s">
        <v>125</v>
      </c>
      <c r="D23" s="28" t="s">
        <v>12</v>
      </c>
      <c r="E23" s="28" t="s">
        <v>12</v>
      </c>
      <c r="F23" s="42">
        <v>2</v>
      </c>
      <c r="G23" s="42">
        <v>100</v>
      </c>
      <c r="H23" s="54">
        <f>F23*G23</f>
        <v>200</v>
      </c>
      <c r="I23" s="33">
        <v>1</v>
      </c>
      <c r="J23" s="54">
        <v>2</v>
      </c>
      <c r="K23" s="54">
        <v>4</v>
      </c>
      <c r="L23" s="45">
        <f>H23</f>
        <v>200</v>
      </c>
      <c r="M23" s="45">
        <f>ROUND(L23*I23%,2)</f>
        <v>2</v>
      </c>
      <c r="N23" s="45">
        <f>H23-M23</f>
        <v>198</v>
      </c>
      <c r="O23" s="45">
        <f>ROUND(N23*J23%,2)</f>
        <v>3.96</v>
      </c>
      <c r="P23" s="45">
        <f>ROUND(N23-O23,2)</f>
        <v>194.04</v>
      </c>
      <c r="Q23" s="45">
        <f>ROUND(P23*K23%,2)</f>
        <v>7.76</v>
      </c>
      <c r="R23" s="45">
        <f>M23+O23+Q23</f>
        <v>13.72</v>
      </c>
      <c r="S23" s="45">
        <f>(H23-R23)</f>
        <v>186.28</v>
      </c>
      <c r="T23" s="45" t="s">
        <v>109</v>
      </c>
      <c r="U23" s="46">
        <v>0</v>
      </c>
      <c r="V23" s="46">
        <f>IF(OR($C$21=1,$C$21=4),ROUND((((S23*U23)/100)/2),2),0)</f>
        <v>0</v>
      </c>
      <c r="W23" s="46">
        <f>IF($C$21=1,ROUND((((S23*U23)/100)/2),2),0)</f>
        <v>0</v>
      </c>
      <c r="X23" s="46">
        <f>IF($C$21=2,ROUND(((S23*U23)/100),2),0)</f>
        <v>0</v>
      </c>
      <c r="Y23" s="46">
        <f>IF($C$21=4,ROUND((((S23*U23)/100)/2),2),0)</f>
        <v>0</v>
      </c>
      <c r="Z23" s="46">
        <v>0</v>
      </c>
      <c r="AA23" s="46">
        <f>IF($C21=3,0,(S23*Z23)/100)</f>
        <v>0</v>
      </c>
      <c r="AB23" s="46">
        <f>V23+W23+X23+Y23+AA23</f>
        <v>0</v>
      </c>
      <c r="AC23" s="45">
        <f>IF($V21=1,S23+AB23,S23)</f>
        <v>186.28</v>
      </c>
      <c r="AD23" s="45">
        <v>120</v>
      </c>
      <c r="AE23" s="45">
        <f>IF($P$21=1,(S23/$S$24)*$E$35,AD23/$AD$24*$E$35)</f>
        <v>0</v>
      </c>
      <c r="AF23" s="45"/>
      <c r="AG23" s="45">
        <f>IF($P$21=1,(S23/$S$24)*$E$37,AD23/$AD$24*$E$37)</f>
        <v>0</v>
      </c>
      <c r="AH23" s="45">
        <f>IF($P$21=1,(S23/$S$24)*$E$37,AD23/$AD$24*$E$37)</f>
        <v>0</v>
      </c>
      <c r="AI23" s="45">
        <f>S23*$M$21</f>
        <v>15833.8</v>
      </c>
      <c r="AJ23" s="45">
        <f>IF($C$21=3,0,AG23+AH23)</f>
        <v>0</v>
      </c>
      <c r="AK23" s="45">
        <f>IF($C$21=3,AE23+AG23+AH23,0)</f>
        <v>0</v>
      </c>
      <c r="AL23" s="45">
        <v>1</v>
      </c>
      <c r="AM23" s="45">
        <f>F23/AL23</f>
        <v>2</v>
      </c>
      <c r="AN23" s="45">
        <f>AI23/AM23</f>
        <v>7916.9</v>
      </c>
      <c r="AO23" s="45">
        <f>AJ23/AM23</f>
        <v>0</v>
      </c>
      <c r="AP23" s="45">
        <f>AK23/AM23</f>
        <v>0</v>
      </c>
      <c r="AQ23" s="45" t="s">
        <v>12</v>
      </c>
      <c r="AR23" s="45">
        <f>AN23+AO23+AP23</f>
        <v>7916.9</v>
      </c>
      <c r="AS23" s="45" t="s">
        <v>110</v>
      </c>
      <c r="AT23" s="45" t="s">
        <v>12</v>
      </c>
      <c r="AU23" t="s">
        <v>111</v>
      </c>
      <c r="AV23" t="s">
        <v>112</v>
      </c>
      <c r="AW23" s="45">
        <f>AM23</f>
        <v>2</v>
      </c>
      <c r="AX23" s="45">
        <f>AR23</f>
        <v>7916.9</v>
      </c>
      <c r="AY23" s="45">
        <f>AU23+AW23</f>
        <v>2</v>
      </c>
      <c r="AZ23" s="45">
        <f>ROUND(((AU23*AV23)+(AW23*AX23))/(AU23+AW23),5)</f>
        <v>7916.9</v>
      </c>
      <c r="BA23" s="47"/>
      <c r="BB23" s="47" t="s">
        <v>113</v>
      </c>
      <c r="BC23" s="47" t="s">
        <v>114</v>
      </c>
      <c r="BD23" s="48" t="s">
        <v>115</v>
      </c>
      <c r="BE23" s="48" t="s">
        <v>116</v>
      </c>
      <c r="BF23" s="47"/>
      <c r="BG23" s="47"/>
      <c r="BH23" s="47"/>
      <c r="BI23" s="45"/>
      <c r="BJ23" s="45"/>
      <c r="BK23" s="45"/>
      <c r="BL23" s="45" t="s">
        <v>117</v>
      </c>
      <c r="BM23" t="s">
        <v>118</v>
      </c>
      <c r="BN23" t="s">
        <v>119</v>
      </c>
      <c r="BO23" s="45">
        <f>ROUND((((AW23*AZ23)+(BN23*BM23))/(AW23+BN23)),5)</f>
        <v>8045.60422</v>
      </c>
      <c r="BP23" s="47">
        <f>BN23+AW23</f>
        <v>570</v>
      </c>
      <c r="BQ23" s="47">
        <v>88363222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200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Y24" si="1">SUM(R23:R23)</f>
        <v>13.72</v>
      </c>
      <c r="S24" s="50">
        <f t="shared" si="1"/>
        <v>186.28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>
        <f t="shared" si="1"/>
        <v>0</v>
      </c>
      <c r="Z24" s="51"/>
      <c r="AA24" s="51">
        <f t="shared" ref="AA24:AE24" si="2">SUM(AA23:AA23)</f>
        <v>0</v>
      </c>
      <c r="AB24" s="49">
        <f t="shared" si="2"/>
        <v>0</v>
      </c>
      <c r="AC24" s="52">
        <f t="shared" si="2"/>
        <v>186.28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15833.8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E7" workbookViewId="0">
      <selection activeCell="L23" sqref="L23:BQ23"/>
    </sheetView>
  </sheetViews>
  <sheetFormatPr defaultColWidth="8.70909090909091" defaultRowHeight="14.5"/>
  <cols>
    <col min="1" max="1" width="7.57272727272727" customWidth="1"/>
    <col min="2" max="3" width="25.2818181818182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5" max="66" width="2.57272727272727" customWidth="1"/>
    <col min="67" max="67" width="22.7181818181818" customWidth="1"/>
    <col min="68" max="68" width="40.8545454545455" customWidth="1"/>
    <col min="69" max="69" width="9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126</v>
      </c>
      <c r="AS22" s="34" t="s">
        <v>88</v>
      </c>
      <c r="AT22" s="34" t="s">
        <v>86</v>
      </c>
      <c r="AU22" s="40" t="s">
        <v>127</v>
      </c>
      <c r="AV22" s="40" t="s">
        <v>128</v>
      </c>
      <c r="AW22" s="40" t="s">
        <v>91</v>
      </c>
      <c r="AX22" s="40" t="s">
        <v>92</v>
      </c>
      <c r="AY22" s="40" t="s">
        <v>93</v>
      </c>
      <c r="AZ22" s="40" t="s">
        <v>94</v>
      </c>
      <c r="BA22" s="40" t="s">
        <v>95</v>
      </c>
      <c r="BB22" s="40" t="s">
        <v>96</v>
      </c>
      <c r="BC22" s="40" t="s">
        <v>97</v>
      </c>
      <c r="BD22" s="40" t="s">
        <v>98</v>
      </c>
      <c r="BE22" s="40" t="s">
        <v>99</v>
      </c>
      <c r="BF22" s="40" t="s">
        <v>100</v>
      </c>
      <c r="BG22" s="40" t="s">
        <v>101</v>
      </c>
      <c r="BH22" s="40" t="s">
        <v>102</v>
      </c>
      <c r="BI22" s="40" t="s">
        <v>103</v>
      </c>
      <c r="BJ22" s="40" t="s">
        <v>104</v>
      </c>
      <c r="BK22" s="40" t="s">
        <v>105</v>
      </c>
      <c r="BL22" s="40" t="s">
        <v>106</v>
      </c>
      <c r="BM22" s="40"/>
      <c r="BN22" s="40"/>
      <c r="BO22" s="40" t="s">
        <v>94</v>
      </c>
      <c r="BP22" s="40" t="s">
        <v>107</v>
      </c>
      <c r="BQ22" s="40" t="s">
        <v>63</v>
      </c>
    </row>
    <row r="23" s="1" customFormat="1" ht="15.25" spans="1:69">
      <c r="A23" s="28">
        <v>1</v>
      </c>
      <c r="B23" s="55" t="s">
        <v>129</v>
      </c>
      <c r="C23" s="55" t="s">
        <v>129</v>
      </c>
      <c r="D23" s="28" t="s">
        <v>12</v>
      </c>
      <c r="E23" s="28" t="s">
        <v>12</v>
      </c>
      <c r="F23" s="42">
        <v>2</v>
      </c>
      <c r="G23" s="42">
        <v>250</v>
      </c>
      <c r="H23" s="43">
        <f>F23*G23</f>
        <v>500</v>
      </c>
      <c r="I23" s="44">
        <v>1</v>
      </c>
      <c r="J23" s="43">
        <v>2</v>
      </c>
      <c r="K23" s="43">
        <v>4</v>
      </c>
      <c r="L23" s="45">
        <f>H23</f>
        <v>500</v>
      </c>
      <c r="M23" s="45">
        <f>ROUND(L23*I23%,2)</f>
        <v>5</v>
      </c>
      <c r="N23" s="45">
        <f>H23-M23</f>
        <v>495</v>
      </c>
      <c r="O23" s="45">
        <f>ROUND(N23*J23%,2)</f>
        <v>9.9</v>
      </c>
      <c r="P23" s="45">
        <f>ROUND(N23-O23,2)</f>
        <v>485.1</v>
      </c>
      <c r="Q23" s="45">
        <f>ROUND(P23*K23%,2)</f>
        <v>19.4</v>
      </c>
      <c r="R23" s="45">
        <f>M23+O23+Q23</f>
        <v>34.3</v>
      </c>
      <c r="S23" s="45">
        <f>(H23-R23)</f>
        <v>465.7</v>
      </c>
      <c r="T23" s="45" t="s">
        <v>109</v>
      </c>
      <c r="U23" s="46">
        <v>0</v>
      </c>
      <c r="V23" s="46">
        <f>IF(OR($C$21=1,$C$21=4),ROUND((((S23*U23)/100)/2),2),0)</f>
        <v>0</v>
      </c>
      <c r="W23" s="46">
        <f>IF($C$21=1,ROUND((((S23*U23)/100)/2),2),0)</f>
        <v>0</v>
      </c>
      <c r="X23" s="46">
        <f>IF($C$21=2,ROUND(((S23*U23)/100),2),0)</f>
        <v>0</v>
      </c>
      <c r="Y23" s="46">
        <f>IF($C$21=4,ROUND((((S23*U23)/100)/2),2),0)</f>
        <v>0</v>
      </c>
      <c r="Z23" s="46">
        <v>0</v>
      </c>
      <c r="AA23" s="46">
        <f>IF($C21=3,0,(S23*Z23)/100)</f>
        <v>0</v>
      </c>
      <c r="AB23" s="46">
        <f>V23+W23+X23+Y23+AA23</f>
        <v>0</v>
      </c>
      <c r="AC23" s="45">
        <f>IF($V21=1,S23+AB23,S23)</f>
        <v>465.7</v>
      </c>
      <c r="AD23" s="45">
        <v>120</v>
      </c>
      <c r="AE23" s="45">
        <f>IF($P$21=1,(S23/$S$24)*$E$35,AD23/$AD$24*$E$35)</f>
        <v>0</v>
      </c>
      <c r="AF23" s="45"/>
      <c r="AG23" s="45">
        <f>IF($P$21=1,(S23/$S$24)*$E$37,AD23/$AD$24*$E$37)</f>
        <v>0</v>
      </c>
      <c r="AH23" s="45">
        <f>IF($P$21=1,(S23/$S$24)*$E$37,AD23/$AD$24*$E$37)</f>
        <v>0</v>
      </c>
      <c r="AI23" s="45">
        <f>S23*$M$21</f>
        <v>39584.5</v>
      </c>
      <c r="AJ23" s="45">
        <f>IF($C$21=3,0,AG23+AH23)</f>
        <v>0</v>
      </c>
      <c r="AK23" s="45">
        <f>IF($C$21=3,AE23+AG23+AH23,0)</f>
        <v>0</v>
      </c>
      <c r="AL23" s="45">
        <v>1</v>
      </c>
      <c r="AM23" s="45">
        <f>F23/AL23</f>
        <v>2</v>
      </c>
      <c r="AN23" s="45">
        <f>AI23/AM23</f>
        <v>19792.25</v>
      </c>
      <c r="AO23" s="45">
        <f>AJ23/AM23</f>
        <v>0</v>
      </c>
      <c r="AP23" s="45">
        <f>AK23/AM23</f>
        <v>0</v>
      </c>
      <c r="AQ23" s="45" t="s">
        <v>12</v>
      </c>
      <c r="AR23" s="45">
        <f>AN23+AO23+AP23</f>
        <v>19792.25</v>
      </c>
      <c r="AS23" s="45" t="s">
        <v>110</v>
      </c>
      <c r="AT23" s="45" t="s">
        <v>12</v>
      </c>
      <c r="AU23" t="s">
        <v>111</v>
      </c>
      <c r="AV23" t="s">
        <v>112</v>
      </c>
      <c r="AW23" s="45">
        <f>AM23</f>
        <v>2</v>
      </c>
      <c r="AX23" s="45">
        <f>AR23</f>
        <v>19792.25</v>
      </c>
      <c r="AY23" s="45">
        <f>AU23+AW23</f>
        <v>2</v>
      </c>
      <c r="AZ23" s="45">
        <f>ROUND(((AU23*AV23)+(AW23*AX23))/(AU23+AW23),5)</f>
        <v>19792.25</v>
      </c>
      <c r="BA23" s="47"/>
      <c r="BB23" s="47" t="s">
        <v>113</v>
      </c>
      <c r="BC23" s="47" t="s">
        <v>114</v>
      </c>
      <c r="BD23" s="48" t="s">
        <v>115</v>
      </c>
      <c r="BE23" s="48" t="s">
        <v>116</v>
      </c>
      <c r="BF23" s="47"/>
      <c r="BG23" s="47"/>
      <c r="BH23" s="47"/>
      <c r="BI23" s="45"/>
      <c r="BJ23" s="45"/>
      <c r="BK23" s="45"/>
      <c r="BL23" s="45" t="s">
        <v>117</v>
      </c>
      <c r="BM23" t="s">
        <v>118</v>
      </c>
      <c r="BN23" t="s">
        <v>119</v>
      </c>
      <c r="BO23" s="45">
        <f>ROUND((((AW23*AZ23)+(BN23*BM23))/(AW23+BN23)),5)</f>
        <v>8087.27211</v>
      </c>
      <c r="BP23" s="47">
        <f>BN23+AW23</f>
        <v>570</v>
      </c>
      <c r="BQ23" s="47">
        <v>88363222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500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Y24" si="1">SUM(R23:R23)</f>
        <v>34.3</v>
      </c>
      <c r="S24" s="50">
        <f t="shared" si="1"/>
        <v>465.7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>
        <f t="shared" si="1"/>
        <v>0</v>
      </c>
      <c r="Z24" s="51"/>
      <c r="AA24" s="51">
        <f t="shared" ref="AA24:AE24" si="2">SUM(AA23:AA23)</f>
        <v>0</v>
      </c>
      <c r="AB24" s="49">
        <f t="shared" si="2"/>
        <v>0</v>
      </c>
      <c r="AC24" s="52">
        <f t="shared" si="2"/>
        <v>465.7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39584.5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J12" workbookViewId="0">
      <selection activeCell="L23" sqref="L23:BQ23"/>
    </sheetView>
  </sheetViews>
  <sheetFormatPr defaultColWidth="8.70909090909091" defaultRowHeight="14.5"/>
  <cols>
    <col min="1" max="1" width="7.57272727272727" customWidth="1"/>
    <col min="2" max="3" width="25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7" max="67" width="22.7181818181818" customWidth="1"/>
    <col min="68" max="68" width="40.8545454545455" customWidth="1"/>
    <col min="69" max="69" width="9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58" t="s">
        <v>41</v>
      </c>
      <c r="C19" s="59"/>
      <c r="D19" s="59"/>
      <c r="E19" s="59"/>
      <c r="F19" s="59"/>
      <c r="G19" s="60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126</v>
      </c>
      <c r="AS22" s="34" t="s">
        <v>88</v>
      </c>
      <c r="AT22" s="34" t="s">
        <v>86</v>
      </c>
      <c r="AU22" s="40" t="s">
        <v>127</v>
      </c>
      <c r="AV22" s="40" t="s">
        <v>128</v>
      </c>
      <c r="AW22" s="40" t="s">
        <v>91</v>
      </c>
      <c r="AX22" s="40" t="s">
        <v>92</v>
      </c>
      <c r="AY22" s="40" t="s">
        <v>93</v>
      </c>
      <c r="AZ22" s="40" t="s">
        <v>94</v>
      </c>
      <c r="BA22" s="40" t="s">
        <v>95</v>
      </c>
      <c r="BB22" s="40" t="s">
        <v>96</v>
      </c>
      <c r="BC22" s="40" t="s">
        <v>97</v>
      </c>
      <c r="BD22" s="40" t="s">
        <v>98</v>
      </c>
      <c r="BE22" s="40" t="s">
        <v>99</v>
      </c>
      <c r="BF22" s="40" t="s">
        <v>100</v>
      </c>
      <c r="BG22" s="40" t="s">
        <v>101</v>
      </c>
      <c r="BH22" s="40" t="s">
        <v>102</v>
      </c>
      <c r="BI22" s="40" t="s">
        <v>103</v>
      </c>
      <c r="BJ22" s="40" t="s">
        <v>104</v>
      </c>
      <c r="BK22" s="40" t="s">
        <v>105</v>
      </c>
      <c r="BL22" s="40" t="s">
        <v>106</v>
      </c>
      <c r="BM22" s="40"/>
      <c r="BN22" s="40"/>
      <c r="BO22" s="40" t="s">
        <v>94</v>
      </c>
      <c r="BP22" s="40" t="s">
        <v>107</v>
      </c>
      <c r="BQ22" s="40" t="s">
        <v>63</v>
      </c>
    </row>
    <row r="23" s="1" customFormat="1" ht="15.25" spans="1:69">
      <c r="A23" s="28">
        <v>1</v>
      </c>
      <c r="B23" s="55" t="s">
        <v>130</v>
      </c>
      <c r="C23" s="55" t="s">
        <v>130</v>
      </c>
      <c r="D23" s="28" t="s">
        <v>12</v>
      </c>
      <c r="E23" s="28" t="s">
        <v>12</v>
      </c>
      <c r="F23" s="42">
        <v>2</v>
      </c>
      <c r="G23" s="42">
        <v>250</v>
      </c>
      <c r="H23" s="43">
        <f>F23*G23</f>
        <v>500</v>
      </c>
      <c r="I23" s="44">
        <v>1</v>
      </c>
      <c r="J23" s="43">
        <v>2</v>
      </c>
      <c r="K23" s="43">
        <v>4</v>
      </c>
      <c r="L23" s="45">
        <f>H23</f>
        <v>500</v>
      </c>
      <c r="M23" s="45">
        <f>ROUND(L23*I23%,2)</f>
        <v>5</v>
      </c>
      <c r="N23" s="45">
        <f>H23-M23</f>
        <v>495</v>
      </c>
      <c r="O23" s="45">
        <f>ROUND(N23*J23%,2)</f>
        <v>9.9</v>
      </c>
      <c r="P23" s="45">
        <f>ROUND(N23-O23,2)</f>
        <v>485.1</v>
      </c>
      <c r="Q23" s="45">
        <f>ROUND(P23*K23%,2)</f>
        <v>19.4</v>
      </c>
      <c r="R23" s="45">
        <f>M23+O23+Q23</f>
        <v>34.3</v>
      </c>
      <c r="S23" s="45">
        <f>(H23-R23)</f>
        <v>465.7</v>
      </c>
      <c r="T23" s="45" t="s">
        <v>109</v>
      </c>
      <c r="U23" s="46">
        <v>0</v>
      </c>
      <c r="V23" s="46">
        <f>IF(OR($C$21=1,$C$21=4),ROUND((((S23*U23)/100)/2),2),0)</f>
        <v>0</v>
      </c>
      <c r="W23" s="46">
        <f>IF($C$21=1,ROUND((((S23*U23)/100)/2),2),0)</f>
        <v>0</v>
      </c>
      <c r="X23" s="46">
        <f>IF($C$21=2,ROUND(((S23*U23)/100),2),0)</f>
        <v>0</v>
      </c>
      <c r="Y23" s="46">
        <f>IF($C$21=4,ROUND((((S23*U23)/100)/2),2),0)</f>
        <v>0</v>
      </c>
      <c r="Z23" s="46">
        <v>0</v>
      </c>
      <c r="AA23" s="46">
        <f>IF($C21=3,0,(S23*Z23)/100)</f>
        <v>0</v>
      </c>
      <c r="AB23" s="46">
        <f>V23+W23+X23+Y23+AA23</f>
        <v>0</v>
      </c>
      <c r="AC23" s="45">
        <f>IF($V21=1,S23+AB23,S23)</f>
        <v>465.7</v>
      </c>
      <c r="AD23" s="45">
        <v>120</v>
      </c>
      <c r="AE23" s="45">
        <f>IF($P$21=1,(S23/$S$24)*$E$35,AD23/$AD$24*$E$35)</f>
        <v>0</v>
      </c>
      <c r="AF23" s="45"/>
      <c r="AG23" s="45">
        <f>IF($P$21=1,(S23/$S$24)*$E$37,AD23/$AD$24*$E$37)</f>
        <v>0</v>
      </c>
      <c r="AH23" s="45">
        <f>IF($P$21=1,(S23/$S$24)*$E$37,AD23/$AD$24*$E$37)</f>
        <v>0</v>
      </c>
      <c r="AI23" s="45">
        <f>S23*$M$21</f>
        <v>39584.5</v>
      </c>
      <c r="AJ23" s="45">
        <f>IF($C$21=3,0,AG23+AH23)</f>
        <v>0</v>
      </c>
      <c r="AK23" s="45">
        <f>IF($C$21=3,AE23+AG23+AH23,0)</f>
        <v>0</v>
      </c>
      <c r="AL23" s="45">
        <v>1</v>
      </c>
      <c r="AM23" s="45">
        <f>F23/AL23</f>
        <v>2</v>
      </c>
      <c r="AN23" s="45">
        <f>AI23/AM23</f>
        <v>19792.25</v>
      </c>
      <c r="AO23" s="45">
        <f>AJ23/AM23</f>
        <v>0</v>
      </c>
      <c r="AP23" s="45">
        <f>AK23/AM23</f>
        <v>0</v>
      </c>
      <c r="AQ23" s="45" t="s">
        <v>12</v>
      </c>
      <c r="AR23" s="45">
        <f>AN23+AO23+AP23</f>
        <v>19792.25</v>
      </c>
      <c r="AS23" s="45" t="s">
        <v>110</v>
      </c>
      <c r="AT23" s="45" t="s">
        <v>12</v>
      </c>
      <c r="AU23" t="s">
        <v>111</v>
      </c>
      <c r="AV23" t="s">
        <v>112</v>
      </c>
      <c r="AW23" s="45">
        <f>AM23</f>
        <v>2</v>
      </c>
      <c r="AX23" s="45">
        <f>AR23</f>
        <v>19792.25</v>
      </c>
      <c r="AY23" s="45">
        <f>AU23+AW23</f>
        <v>2</v>
      </c>
      <c r="AZ23" s="45">
        <f>ROUND(((AU23*AV23)+(AW23*AX23))/(AU23+AW23),5)</f>
        <v>19792.25</v>
      </c>
      <c r="BA23" s="47"/>
      <c r="BB23" s="47" t="s">
        <v>113</v>
      </c>
      <c r="BC23" s="47" t="s">
        <v>114</v>
      </c>
      <c r="BD23" s="48" t="s">
        <v>115</v>
      </c>
      <c r="BE23" s="48" t="s">
        <v>116</v>
      </c>
      <c r="BF23" s="47"/>
      <c r="BG23" s="47"/>
      <c r="BH23" s="47"/>
      <c r="BI23" s="45"/>
      <c r="BJ23" s="45"/>
      <c r="BK23" s="45"/>
      <c r="BL23" s="45" t="s">
        <v>117</v>
      </c>
      <c r="BM23" t="s">
        <v>118</v>
      </c>
      <c r="BN23" t="s">
        <v>119</v>
      </c>
      <c r="BO23" s="45">
        <f>ROUND((((AW23*AZ23)+(BN23*BM23))/(AW23+BN23)),5)</f>
        <v>8087.27211</v>
      </c>
      <c r="BP23" s="47">
        <f>BN23+AW23</f>
        <v>570</v>
      </c>
      <c r="BQ23" s="47">
        <v>88363222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500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X24" si="1">SUM(R23:R23)</f>
        <v>34.3</v>
      </c>
      <c r="S24" s="50">
        <f t="shared" si="1"/>
        <v>465.7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/>
      <c r="Z24" s="51"/>
      <c r="AA24" s="51"/>
      <c r="AB24" s="49">
        <f t="shared" ref="AB24:AE24" si="2">SUM(AB23:AB23)</f>
        <v>0</v>
      </c>
      <c r="AC24" s="52">
        <f t="shared" si="2"/>
        <v>465.7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39584.5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G12" workbookViewId="0">
      <selection activeCell="L23" sqref="L23:BQ23"/>
    </sheetView>
  </sheetViews>
  <sheetFormatPr defaultColWidth="8.70909090909091" defaultRowHeight="14.5"/>
  <cols>
    <col min="1" max="1" width="7.57272727272727" customWidth="1"/>
    <col min="2" max="3" width="24.7181818181818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5" max="65" width="12.3636363636364" customWidth="1"/>
    <col min="66" max="66" width="4.54545454545455" customWidth="1"/>
    <col min="67" max="67" width="22.7181818181818" customWidth="1"/>
    <col min="68" max="68" width="40.8545454545455" customWidth="1"/>
    <col min="69" max="69" width="9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126</v>
      </c>
      <c r="AS22" s="34" t="s">
        <v>88</v>
      </c>
      <c r="AT22" s="34" t="s">
        <v>86</v>
      </c>
      <c r="AU22" s="40" t="s">
        <v>127</v>
      </c>
      <c r="AV22" s="40" t="s">
        <v>128</v>
      </c>
      <c r="AW22" s="40" t="s">
        <v>91</v>
      </c>
      <c r="AX22" s="40" t="s">
        <v>92</v>
      </c>
      <c r="AY22" s="40" t="s">
        <v>93</v>
      </c>
      <c r="AZ22" s="40" t="s">
        <v>94</v>
      </c>
      <c r="BA22" s="40" t="s">
        <v>95</v>
      </c>
      <c r="BB22" s="40" t="s">
        <v>96</v>
      </c>
      <c r="BC22" s="40" t="s">
        <v>97</v>
      </c>
      <c r="BD22" s="40" t="s">
        <v>98</v>
      </c>
      <c r="BE22" s="40" t="s">
        <v>99</v>
      </c>
      <c r="BF22" s="40" t="s">
        <v>100</v>
      </c>
      <c r="BG22" s="40" t="s">
        <v>101</v>
      </c>
      <c r="BH22" s="40" t="s">
        <v>102</v>
      </c>
      <c r="BI22" s="40" t="s">
        <v>103</v>
      </c>
      <c r="BJ22" s="40" t="s">
        <v>104</v>
      </c>
      <c r="BK22" s="40" t="s">
        <v>105</v>
      </c>
      <c r="BL22" s="40" t="s">
        <v>106</v>
      </c>
      <c r="BM22" s="40"/>
      <c r="BN22" s="40"/>
      <c r="BO22" s="40" t="s">
        <v>94</v>
      </c>
      <c r="BP22" s="40" t="s">
        <v>107</v>
      </c>
      <c r="BQ22" s="40" t="s">
        <v>63</v>
      </c>
    </row>
    <row r="23" s="1" customFormat="1" ht="15.25" spans="1:69">
      <c r="A23" s="28">
        <v>1</v>
      </c>
      <c r="B23" s="28" t="s">
        <v>131</v>
      </c>
      <c r="C23" s="28" t="s">
        <v>131</v>
      </c>
      <c r="D23" s="28" t="s">
        <v>12</v>
      </c>
      <c r="E23" s="28" t="s">
        <v>12</v>
      </c>
      <c r="F23" s="42">
        <v>2</v>
      </c>
      <c r="G23" s="42">
        <v>250</v>
      </c>
      <c r="H23" s="43">
        <f>F23*G23</f>
        <v>500</v>
      </c>
      <c r="I23" s="44">
        <v>1</v>
      </c>
      <c r="J23" s="43">
        <v>2</v>
      </c>
      <c r="K23" s="43">
        <v>4</v>
      </c>
      <c r="L23" s="45">
        <f>H23</f>
        <v>500</v>
      </c>
      <c r="M23" s="45">
        <f>ROUND(L23*I23%,2)</f>
        <v>5</v>
      </c>
      <c r="N23" s="45">
        <f>H23-M23</f>
        <v>495</v>
      </c>
      <c r="O23" s="45">
        <f>ROUND(N23*J23%,2)</f>
        <v>9.9</v>
      </c>
      <c r="P23" s="45">
        <f>ROUND(N23-O23,2)</f>
        <v>485.1</v>
      </c>
      <c r="Q23" s="45">
        <f>ROUND(P23*K23%,2)</f>
        <v>19.4</v>
      </c>
      <c r="R23" s="45">
        <f>M23+O23+Q23</f>
        <v>34.3</v>
      </c>
      <c r="S23" s="45">
        <f>(H23-R23)</f>
        <v>465.7</v>
      </c>
      <c r="T23" s="45" t="s">
        <v>109</v>
      </c>
      <c r="U23" s="46">
        <v>0</v>
      </c>
      <c r="V23" s="46">
        <f>IF(OR($C$21=1,$C$21=4),ROUND((((S23*U23)/100)/2),2),0)</f>
        <v>0</v>
      </c>
      <c r="W23" s="46">
        <f>IF($C$21=1,ROUND((((S23*U23)/100)/2),2),0)</f>
        <v>0</v>
      </c>
      <c r="X23" s="46">
        <f>IF($C$21=2,ROUND(((S23*U23)/100),2),0)</f>
        <v>0</v>
      </c>
      <c r="Y23" s="46">
        <f>IF($C$21=4,ROUND((((S23*U23)/100)/2),2),0)</f>
        <v>0</v>
      </c>
      <c r="Z23" s="46">
        <v>0</v>
      </c>
      <c r="AA23" s="46">
        <f>IF($C21=3,0,(S23*Z23)/100)</f>
        <v>0</v>
      </c>
      <c r="AB23" s="46">
        <f>V23+W23+X23+Y23+AA23</f>
        <v>0</v>
      </c>
      <c r="AC23" s="45">
        <f>IF($V21=1,S23+AB23,S23)</f>
        <v>465.7</v>
      </c>
      <c r="AD23" s="45">
        <v>120</v>
      </c>
      <c r="AE23" s="45">
        <f>IF($P$21=1,(S23/$S$24)*$E$35,AD23/$AD$24*$E$35)</f>
        <v>0</v>
      </c>
      <c r="AF23" s="45"/>
      <c r="AG23" s="45">
        <f>IF($P$21=1,(S23/$S$24)*$E$37,AD23/$AD$24*$E$37)</f>
        <v>0</v>
      </c>
      <c r="AH23" s="45">
        <f>IF($P$21=1,(S23/$S$24)*$E$37,AD23/$AD$24*$E$37)</f>
        <v>0</v>
      </c>
      <c r="AI23" s="45">
        <f>S23*$M$21</f>
        <v>39584.5</v>
      </c>
      <c r="AJ23" s="45">
        <f>IF($C$21=3,0,AG23+AH23)</f>
        <v>0</v>
      </c>
      <c r="AK23" s="45">
        <f>IF($C$21=3,AE23+AG23+AH23,0)</f>
        <v>0</v>
      </c>
      <c r="AL23" s="45">
        <v>1</v>
      </c>
      <c r="AM23" s="45">
        <f>F23/AL23</f>
        <v>2</v>
      </c>
      <c r="AN23" s="45">
        <f>AI23/AM23</f>
        <v>19792.25</v>
      </c>
      <c r="AO23" s="45">
        <f>AJ23/AM23</f>
        <v>0</v>
      </c>
      <c r="AP23" s="45">
        <f>AK23/AM23</f>
        <v>0</v>
      </c>
      <c r="AQ23" s="45" t="s">
        <v>12</v>
      </c>
      <c r="AR23" s="45">
        <f>AN23+AO23+AP23</f>
        <v>19792.25</v>
      </c>
      <c r="AS23" s="45" t="s">
        <v>110</v>
      </c>
      <c r="AT23" s="45" t="s">
        <v>12</v>
      </c>
      <c r="AU23" t="s">
        <v>111</v>
      </c>
      <c r="AV23" t="s">
        <v>112</v>
      </c>
      <c r="AW23" s="45">
        <f>AM23</f>
        <v>2</v>
      </c>
      <c r="AX23" s="45">
        <f>AR23</f>
        <v>19792.25</v>
      </c>
      <c r="AY23" s="45">
        <f>AU23+AW23</f>
        <v>2</v>
      </c>
      <c r="AZ23" s="45">
        <f>ROUND(((AU23*AV23)+(AW23*AX23))/(AU23+AW23),5)</f>
        <v>19792.25</v>
      </c>
      <c r="BA23" s="47"/>
      <c r="BB23" s="47" t="s">
        <v>113</v>
      </c>
      <c r="BC23" s="47" t="s">
        <v>114</v>
      </c>
      <c r="BD23" s="48" t="s">
        <v>115</v>
      </c>
      <c r="BE23" s="48" t="s">
        <v>116</v>
      </c>
      <c r="BF23" s="47"/>
      <c r="BG23" s="47"/>
      <c r="BH23" s="47"/>
      <c r="BI23" s="45"/>
      <c r="BJ23" s="45"/>
      <c r="BK23" s="45"/>
      <c r="BL23" s="45" t="s">
        <v>117</v>
      </c>
      <c r="BM23" t="s">
        <v>118</v>
      </c>
      <c r="BN23" t="s">
        <v>119</v>
      </c>
      <c r="BO23" s="45">
        <f>ROUND((((AW23*AZ23)+(BN23*BM23))/(AW23+BN23)),5)</f>
        <v>8087.27211</v>
      </c>
      <c r="BP23" s="47">
        <f>BN23+AW23</f>
        <v>570</v>
      </c>
      <c r="BQ23" s="47">
        <v>88363222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500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Y24" si="1">SUM(R23:R23)</f>
        <v>34.3</v>
      </c>
      <c r="S24" s="50">
        <f t="shared" si="1"/>
        <v>465.7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>
        <f t="shared" si="1"/>
        <v>0</v>
      </c>
      <c r="Z24" s="51"/>
      <c r="AA24" s="51">
        <f t="shared" ref="AA24:AE24" si="2">SUM(AA23:AA23)</f>
        <v>0</v>
      </c>
      <c r="AB24" s="49">
        <f t="shared" si="2"/>
        <v>0</v>
      </c>
      <c r="AC24" s="52">
        <f t="shared" si="2"/>
        <v>465.7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39584.5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E10" workbookViewId="0">
      <selection activeCell="L23" sqref="L23:BQ23"/>
    </sheetView>
  </sheetViews>
  <sheetFormatPr defaultColWidth="8.70909090909091" defaultRowHeight="14.5"/>
  <cols>
    <col min="1" max="1" width="7.57272727272727" customWidth="1"/>
    <col min="2" max="3" width="25.1454545454545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7" max="67" width="22.7181818181818" customWidth="1"/>
    <col min="68" max="68" width="40.8545454545455" customWidth="1"/>
    <col min="69" max="69" width="9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126</v>
      </c>
      <c r="AS22" s="34" t="s">
        <v>88</v>
      </c>
      <c r="AT22" s="34" t="s">
        <v>86</v>
      </c>
      <c r="AU22" s="40" t="s">
        <v>127</v>
      </c>
      <c r="AV22" s="40" t="s">
        <v>128</v>
      </c>
      <c r="AW22" s="40" t="s">
        <v>91</v>
      </c>
      <c r="AX22" s="40" t="s">
        <v>92</v>
      </c>
      <c r="AY22" s="40" t="s">
        <v>93</v>
      </c>
      <c r="AZ22" s="40" t="s">
        <v>94</v>
      </c>
      <c r="BA22" s="40" t="s">
        <v>95</v>
      </c>
      <c r="BB22" s="40" t="s">
        <v>96</v>
      </c>
      <c r="BC22" s="40" t="s">
        <v>97</v>
      </c>
      <c r="BD22" s="40" t="s">
        <v>98</v>
      </c>
      <c r="BE22" s="40" t="s">
        <v>99</v>
      </c>
      <c r="BF22" s="40" t="s">
        <v>100</v>
      </c>
      <c r="BG22" s="40" t="s">
        <v>101</v>
      </c>
      <c r="BH22" s="40" t="s">
        <v>102</v>
      </c>
      <c r="BI22" s="40" t="s">
        <v>103</v>
      </c>
      <c r="BJ22" s="40" t="s">
        <v>104</v>
      </c>
      <c r="BK22" s="40" t="s">
        <v>105</v>
      </c>
      <c r="BL22" s="40" t="s">
        <v>106</v>
      </c>
      <c r="BM22" s="40"/>
      <c r="BN22" s="40"/>
      <c r="BO22" s="40" t="s">
        <v>94</v>
      </c>
      <c r="BP22" s="40" t="s">
        <v>107</v>
      </c>
      <c r="BQ22" s="40" t="s">
        <v>63</v>
      </c>
    </row>
    <row r="23" s="1" customFormat="1" ht="15.25" spans="1:69">
      <c r="A23" s="28">
        <v>1</v>
      </c>
      <c r="B23" s="28" t="s">
        <v>132</v>
      </c>
      <c r="C23" s="28" t="s">
        <v>132</v>
      </c>
      <c r="D23" s="28" t="s">
        <v>12</v>
      </c>
      <c r="E23" s="28" t="s">
        <v>12</v>
      </c>
      <c r="F23" s="42">
        <v>2</v>
      </c>
      <c r="G23" s="42">
        <v>250</v>
      </c>
      <c r="H23" s="43">
        <f>F23*G23</f>
        <v>500</v>
      </c>
      <c r="I23" s="44">
        <v>1</v>
      </c>
      <c r="J23" s="43">
        <v>2</v>
      </c>
      <c r="K23" s="43">
        <v>4</v>
      </c>
      <c r="L23" s="45">
        <f>H23</f>
        <v>500</v>
      </c>
      <c r="M23" s="45">
        <f>ROUND(L23*I23%,2)</f>
        <v>5</v>
      </c>
      <c r="N23" s="45">
        <f>H23-M23</f>
        <v>495</v>
      </c>
      <c r="O23" s="45">
        <f>ROUND(N23*J23%,2)</f>
        <v>9.9</v>
      </c>
      <c r="P23" s="45">
        <f>ROUND(N23-O23,2)</f>
        <v>485.1</v>
      </c>
      <c r="Q23" s="45">
        <f>ROUND(P23*K23%,2)</f>
        <v>19.4</v>
      </c>
      <c r="R23" s="45">
        <f>M23+O23+Q23</f>
        <v>34.3</v>
      </c>
      <c r="S23" s="45">
        <f>(H23-R23)</f>
        <v>465.7</v>
      </c>
      <c r="T23" s="45" t="s">
        <v>109</v>
      </c>
      <c r="U23" s="46">
        <v>0</v>
      </c>
      <c r="V23" s="46">
        <f>IF(OR($C$21=1,$C$21=4),ROUND((((S23*U23)/100)/2),2),0)</f>
        <v>0</v>
      </c>
      <c r="W23" s="46">
        <f>IF($C$21=1,ROUND((((S23*U23)/100)/2),2),0)</f>
        <v>0</v>
      </c>
      <c r="X23" s="46">
        <f>IF($C$21=2,ROUND(((S23*U23)/100),2),0)</f>
        <v>0</v>
      </c>
      <c r="Y23" s="46">
        <f>IF($C$21=4,ROUND((((S23*U23)/100)/2),2),0)</f>
        <v>0</v>
      </c>
      <c r="Z23" s="46">
        <v>0</v>
      </c>
      <c r="AA23" s="46">
        <f>IF($C21=3,0,(S23*Z23)/100)</f>
        <v>0</v>
      </c>
      <c r="AB23" s="46">
        <f>V23+W23+X23+Y23+AA23</f>
        <v>0</v>
      </c>
      <c r="AC23" s="45">
        <f>IF($V21=1,S23+AB23,S23)</f>
        <v>465.7</v>
      </c>
      <c r="AD23" s="45">
        <v>120</v>
      </c>
      <c r="AE23" s="45">
        <f>IF($P$21=1,(S23/$S$24)*$E$35,AD23/$AD$24*$E$35)</f>
        <v>0</v>
      </c>
      <c r="AF23" s="45"/>
      <c r="AG23" s="45">
        <f>IF($P$21=1,(S23/$S$24)*$E$37,AD23/$AD$24*$E$37)</f>
        <v>0</v>
      </c>
      <c r="AH23" s="45">
        <f>IF($P$21=1,(S23/$S$24)*$E$37,AD23/$AD$24*$E$37)</f>
        <v>0</v>
      </c>
      <c r="AI23" s="45">
        <f>S23*$M$21</f>
        <v>39584.5</v>
      </c>
      <c r="AJ23" s="45">
        <f>IF($C$21=3,0,AG23+AH23)</f>
        <v>0</v>
      </c>
      <c r="AK23" s="45">
        <f>IF($C$21=3,AE23+AG23+AH23,0)</f>
        <v>0</v>
      </c>
      <c r="AL23" s="45">
        <v>1</v>
      </c>
      <c r="AM23" s="45">
        <f>F23/AL23</f>
        <v>2</v>
      </c>
      <c r="AN23" s="45">
        <f>AI23/AM23</f>
        <v>19792.25</v>
      </c>
      <c r="AO23" s="45">
        <f>AJ23/AM23</f>
        <v>0</v>
      </c>
      <c r="AP23" s="45">
        <f>AK23/AM23</f>
        <v>0</v>
      </c>
      <c r="AQ23" s="45" t="s">
        <v>12</v>
      </c>
      <c r="AR23" s="45">
        <f>AN23+AO23+AP23</f>
        <v>19792.25</v>
      </c>
      <c r="AS23" s="45" t="s">
        <v>110</v>
      </c>
      <c r="AT23" s="45" t="s">
        <v>12</v>
      </c>
      <c r="AU23" t="s">
        <v>111</v>
      </c>
      <c r="AV23" t="s">
        <v>112</v>
      </c>
      <c r="AW23" s="45">
        <f>AM23</f>
        <v>2</v>
      </c>
      <c r="AX23" s="45">
        <f>AR23</f>
        <v>19792.25</v>
      </c>
      <c r="AY23" s="45">
        <f>AU23+AW23</f>
        <v>2</v>
      </c>
      <c r="AZ23" s="45">
        <f>ROUND(((AU23*AV23)+(AW23*AX23))/(AU23+AW23),5)</f>
        <v>19792.25</v>
      </c>
      <c r="BA23" s="47"/>
      <c r="BB23" s="47" t="s">
        <v>113</v>
      </c>
      <c r="BC23" s="47" t="s">
        <v>114</v>
      </c>
      <c r="BD23" s="48" t="s">
        <v>115</v>
      </c>
      <c r="BE23" s="48" t="s">
        <v>116</v>
      </c>
      <c r="BF23" s="47"/>
      <c r="BG23" s="47"/>
      <c r="BH23" s="47"/>
      <c r="BI23" s="45"/>
      <c r="BJ23" s="45"/>
      <c r="BK23" s="45"/>
      <c r="BL23" s="45" t="s">
        <v>117</v>
      </c>
      <c r="BM23" t="s">
        <v>118</v>
      </c>
      <c r="BN23" t="s">
        <v>119</v>
      </c>
      <c r="BO23" s="45">
        <f>ROUND((((AW23*AZ23)+(BN23*BM23))/(AW23+BN23)),5)</f>
        <v>8087.27211</v>
      </c>
      <c r="BP23" s="47">
        <f>BN23+AW23</f>
        <v>570</v>
      </c>
      <c r="BQ23" s="47">
        <v>88363222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500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Y24" si="1">SUM(R23:R23)</f>
        <v>34.3</v>
      </c>
      <c r="S24" s="50">
        <f t="shared" si="1"/>
        <v>465.7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>
        <f t="shared" si="1"/>
        <v>0</v>
      </c>
      <c r="Z24" s="51"/>
      <c r="AA24" s="51">
        <f t="shared" ref="AA24:AE24" si="2">SUM(AA23:AA23)</f>
        <v>0</v>
      </c>
      <c r="AB24" s="49">
        <f t="shared" si="2"/>
        <v>0</v>
      </c>
      <c r="AC24" s="52">
        <f t="shared" si="2"/>
        <v>465.7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39584.5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K7" workbookViewId="0">
      <selection activeCell="L23" sqref="L23:BQ23"/>
    </sheetView>
  </sheetViews>
  <sheetFormatPr defaultColWidth="8.70909090909091" defaultRowHeight="14.5"/>
  <cols>
    <col min="1" max="1" width="7.57272727272727" customWidth="1"/>
    <col min="2" max="3" width="24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5" max="65" width="16.8545454545455" customWidth="1"/>
    <col min="66" max="66" width="21.2818181818182" customWidth="1"/>
    <col min="67" max="67" width="22.7181818181818" customWidth="1"/>
    <col min="68" max="68" width="40.8545454545455" customWidth="1"/>
    <col min="69" max="69" width="9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56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126</v>
      </c>
      <c r="AS22" s="34" t="s">
        <v>88</v>
      </c>
      <c r="AT22" s="34" t="s">
        <v>86</v>
      </c>
      <c r="AU22" s="40" t="s">
        <v>127</v>
      </c>
      <c r="AV22" s="40" t="s">
        <v>128</v>
      </c>
      <c r="AW22" s="34" t="s">
        <v>91</v>
      </c>
      <c r="AX22" s="34" t="s">
        <v>92</v>
      </c>
      <c r="AY22" s="34" t="s">
        <v>93</v>
      </c>
      <c r="AZ22" s="34" t="s">
        <v>94</v>
      </c>
      <c r="BA22" s="34" t="s">
        <v>95</v>
      </c>
      <c r="BB22" s="34" t="s">
        <v>96</v>
      </c>
      <c r="BC22" s="34" t="s">
        <v>97</v>
      </c>
      <c r="BD22" s="34" t="s">
        <v>98</v>
      </c>
      <c r="BE22" s="34" t="s">
        <v>99</v>
      </c>
      <c r="BF22" s="34" t="s">
        <v>100</v>
      </c>
      <c r="BG22" s="34" t="s">
        <v>101</v>
      </c>
      <c r="BH22" s="34" t="s">
        <v>102</v>
      </c>
      <c r="BI22" s="34" t="s">
        <v>103</v>
      </c>
      <c r="BJ22" s="34" t="s">
        <v>104</v>
      </c>
      <c r="BK22" s="34" t="s">
        <v>105</v>
      </c>
      <c r="BL22" s="34" t="s">
        <v>106</v>
      </c>
      <c r="BM22" s="57" t="s">
        <v>133</v>
      </c>
      <c r="BN22" s="57" t="s">
        <v>134</v>
      </c>
      <c r="BO22" s="34" t="s">
        <v>94</v>
      </c>
      <c r="BP22" s="34" t="s">
        <v>107</v>
      </c>
      <c r="BQ22" s="34" t="s">
        <v>63</v>
      </c>
    </row>
    <row r="23" s="1" customFormat="1" ht="15.25" spans="1:69">
      <c r="A23" s="28">
        <v>1</v>
      </c>
      <c r="B23" s="28" t="s">
        <v>135</v>
      </c>
      <c r="C23" s="28" t="s">
        <v>135</v>
      </c>
      <c r="D23" s="28" t="s">
        <v>12</v>
      </c>
      <c r="E23" s="28" t="s">
        <v>12</v>
      </c>
      <c r="F23" s="42">
        <v>3</v>
      </c>
      <c r="G23" s="42">
        <v>100</v>
      </c>
      <c r="H23" s="43">
        <f>F23*G23</f>
        <v>300</v>
      </c>
      <c r="I23" s="44">
        <v>1</v>
      </c>
      <c r="J23" s="43">
        <v>2</v>
      </c>
      <c r="K23" s="43">
        <v>4</v>
      </c>
      <c r="L23" s="45">
        <f>H23</f>
        <v>300</v>
      </c>
      <c r="M23" s="45">
        <f>ROUND(L23*I23%,2)</f>
        <v>3</v>
      </c>
      <c r="N23" s="45">
        <f>H23-M23</f>
        <v>297</v>
      </c>
      <c r="O23" s="45">
        <f>ROUND(N23*J23%,2)</f>
        <v>5.94</v>
      </c>
      <c r="P23" s="45">
        <f>ROUND(N23-O23,2)</f>
        <v>291.06</v>
      </c>
      <c r="Q23" s="45">
        <f>ROUND(P23*K23%,2)</f>
        <v>11.64</v>
      </c>
      <c r="R23" s="45">
        <f>M23+O23+Q23</f>
        <v>20.58</v>
      </c>
      <c r="S23" s="45">
        <f>(H23-R23)</f>
        <v>279.42</v>
      </c>
      <c r="T23" s="45" t="s">
        <v>109</v>
      </c>
      <c r="U23" s="46">
        <v>0</v>
      </c>
      <c r="V23" s="46">
        <f>IF(OR($C$21=1,$C$21=4),ROUND((((S23*U23)/100)/2),2),0)</f>
        <v>0</v>
      </c>
      <c r="W23" s="46">
        <f>IF($C$21=1,ROUND((((S23*U23)/100)/2),2),0)</f>
        <v>0</v>
      </c>
      <c r="X23" s="46">
        <f>IF($C$21=2,ROUND(((S23*U23)/100),2),0)</f>
        <v>0</v>
      </c>
      <c r="Y23" s="46">
        <f>IF($C$21=4,ROUND((((S23*U23)/100)/2),2),0)</f>
        <v>0</v>
      </c>
      <c r="Z23" s="46">
        <v>0</v>
      </c>
      <c r="AA23" s="46">
        <f>IF($C21=3,0,(S23*Z23)/100)</f>
        <v>0</v>
      </c>
      <c r="AB23" s="46">
        <f>V23+W23+X23+Y23+AA23</f>
        <v>0</v>
      </c>
      <c r="AC23" s="45">
        <f>IF($V21=1,S23+AB23,S23)</f>
        <v>279.42</v>
      </c>
      <c r="AD23" s="45">
        <v>120</v>
      </c>
      <c r="AE23" s="45">
        <f>IF($P$21=1,(S23/$S$24)*$E$35,AD23/$AD$24*$E$35)</f>
        <v>0</v>
      </c>
      <c r="AF23" s="45"/>
      <c r="AG23" s="45">
        <f>IF($P$21=1,(S23/$S$24)*$E$37,AD23/$AD$24*$E$37)</f>
        <v>0</v>
      </c>
      <c r="AH23" s="45">
        <f>IF($P$21=1,(S23/$S$24)*$E$37,AD23/$AD$24*$E$37)</f>
        <v>0</v>
      </c>
      <c r="AI23" s="45">
        <f>S23*$M$21</f>
        <v>23750.7</v>
      </c>
      <c r="AJ23" s="45">
        <f>IF($C$21=3,0,AG23+AH23)</f>
        <v>0</v>
      </c>
      <c r="AK23" s="45">
        <f>IF($C$21=3,AE23+AG23+AH23,0)</f>
        <v>0</v>
      </c>
      <c r="AL23" s="45">
        <v>3</v>
      </c>
      <c r="AM23" s="45">
        <f>F23/AL23</f>
        <v>1</v>
      </c>
      <c r="AN23" s="45">
        <f>AI23/AM23</f>
        <v>23750.7</v>
      </c>
      <c r="AO23" s="45">
        <f>AJ23/AM23</f>
        <v>0</v>
      </c>
      <c r="AP23" s="45">
        <f>AK23/AM23</f>
        <v>0</v>
      </c>
      <c r="AQ23" s="45" t="s">
        <v>12</v>
      </c>
      <c r="AR23" s="45">
        <f>AN23+AO23+AP23</f>
        <v>23750.7</v>
      </c>
      <c r="AS23" s="45" t="s">
        <v>110</v>
      </c>
      <c r="AT23" s="45" t="s">
        <v>12</v>
      </c>
      <c r="AU23" t="s">
        <v>111</v>
      </c>
      <c r="AV23" t="s">
        <v>112</v>
      </c>
      <c r="AW23" s="45">
        <f>AM23</f>
        <v>1</v>
      </c>
      <c r="AX23" s="45">
        <f>AR23</f>
        <v>23750.7</v>
      </c>
      <c r="AY23" s="45">
        <f>AU23+AW23</f>
        <v>1</v>
      </c>
      <c r="AZ23" s="45">
        <f>ROUND(((AU23*AV23)+(AW23*AX23))/(AU23+AW23),5)</f>
        <v>23750.7</v>
      </c>
      <c r="BA23" s="47"/>
      <c r="BB23" s="47" t="s">
        <v>113</v>
      </c>
      <c r="BC23" s="47" t="s">
        <v>114</v>
      </c>
      <c r="BD23" s="48" t="s">
        <v>115</v>
      </c>
      <c r="BE23" s="48" t="s">
        <v>116</v>
      </c>
      <c r="BF23" s="47"/>
      <c r="BG23" s="47"/>
      <c r="BH23" s="47"/>
      <c r="BI23" s="45"/>
      <c r="BJ23" s="45"/>
      <c r="BK23" s="45"/>
      <c r="BL23" s="45" t="s">
        <v>117</v>
      </c>
      <c r="BM23" t="s">
        <v>118</v>
      </c>
      <c r="BN23" t="s">
        <v>119</v>
      </c>
      <c r="BO23" s="45">
        <f>ROUND((((AW23*AZ23)+(BN23*BM23))/(AW23+BN23)),5)</f>
        <v>8073.65783</v>
      </c>
      <c r="BP23" s="47">
        <f>BN23+AW23</f>
        <v>569</v>
      </c>
      <c r="BQ23" s="47">
        <v>88363222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300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Y24" si="1">SUM(R23:R23)</f>
        <v>20.58</v>
      </c>
      <c r="S24" s="50">
        <f t="shared" si="1"/>
        <v>279.42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>
        <f t="shared" si="1"/>
        <v>0</v>
      </c>
      <c r="Z24" s="51"/>
      <c r="AA24" s="51">
        <f t="shared" ref="AA24:AE24" si="2">SUM(AA23:AA23)</f>
        <v>0</v>
      </c>
      <c r="AB24" s="49">
        <f t="shared" si="2"/>
        <v>0</v>
      </c>
      <c r="AC24" s="52">
        <f t="shared" si="2"/>
        <v>279.42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23750.7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F9" workbookViewId="0">
      <selection activeCell="L23" sqref="L23:BQ23"/>
    </sheetView>
  </sheetViews>
  <sheetFormatPr defaultColWidth="8.70909090909091" defaultRowHeight="14.5"/>
  <cols>
    <col min="1" max="1" width="7.57272727272727" customWidth="1"/>
    <col min="2" max="3" width="28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5" max="66" width="2.57272727272727" customWidth="1"/>
    <col min="67" max="67" width="22.7181818181818" customWidth="1"/>
    <col min="68" max="68" width="40.8545454545455" customWidth="1"/>
    <col min="69" max="69" width="9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126</v>
      </c>
      <c r="AS22" s="34" t="s">
        <v>88</v>
      </c>
      <c r="AT22" s="34" t="s">
        <v>86</v>
      </c>
      <c r="AU22" s="40" t="s">
        <v>127</v>
      </c>
      <c r="AV22" s="40" t="s">
        <v>128</v>
      </c>
      <c r="AW22" s="40" t="s">
        <v>91</v>
      </c>
      <c r="AX22" s="40" t="s">
        <v>92</v>
      </c>
      <c r="AY22" s="40" t="s">
        <v>93</v>
      </c>
      <c r="AZ22" s="40" t="s">
        <v>94</v>
      </c>
      <c r="BA22" s="40" t="s">
        <v>95</v>
      </c>
      <c r="BB22" s="40" t="s">
        <v>96</v>
      </c>
      <c r="BC22" s="40" t="s">
        <v>97</v>
      </c>
      <c r="BD22" s="40" t="s">
        <v>98</v>
      </c>
      <c r="BE22" s="40" t="s">
        <v>99</v>
      </c>
      <c r="BF22" s="40" t="s">
        <v>100</v>
      </c>
      <c r="BG22" s="40" t="s">
        <v>101</v>
      </c>
      <c r="BH22" s="40" t="s">
        <v>102</v>
      </c>
      <c r="BI22" s="40" t="s">
        <v>103</v>
      </c>
      <c r="BJ22" s="40" t="s">
        <v>104</v>
      </c>
      <c r="BK22" s="40" t="s">
        <v>105</v>
      </c>
      <c r="BL22" s="40" t="s">
        <v>106</v>
      </c>
      <c r="BM22" s="40"/>
      <c r="BN22" s="40"/>
      <c r="BO22" s="40" t="s">
        <v>94</v>
      </c>
      <c r="BP22" s="40" t="s">
        <v>107</v>
      </c>
      <c r="BQ22" s="40" t="s">
        <v>63</v>
      </c>
    </row>
    <row r="23" s="1" customFormat="1" ht="15.25" spans="1:69">
      <c r="A23" s="28">
        <v>1</v>
      </c>
      <c r="B23" s="55" t="s">
        <v>136</v>
      </c>
      <c r="C23" s="55" t="s">
        <v>136</v>
      </c>
      <c r="D23" s="28" t="s">
        <v>12</v>
      </c>
      <c r="E23" s="28" t="s">
        <v>12</v>
      </c>
      <c r="F23" s="42">
        <v>3</v>
      </c>
      <c r="G23" s="42">
        <v>250</v>
      </c>
      <c r="H23" s="43">
        <f>F23*G23</f>
        <v>750</v>
      </c>
      <c r="I23" s="44">
        <v>1</v>
      </c>
      <c r="J23" s="43">
        <v>2</v>
      </c>
      <c r="K23" s="43">
        <v>4</v>
      </c>
      <c r="L23" s="45">
        <f>H23</f>
        <v>750</v>
      </c>
      <c r="M23" s="45">
        <f>ROUND(L23*I23%,2)</f>
        <v>7.5</v>
      </c>
      <c r="N23" s="45">
        <f>H23-M23</f>
        <v>742.5</v>
      </c>
      <c r="O23" s="45">
        <f>ROUND(N23*J23%,2)</f>
        <v>14.85</v>
      </c>
      <c r="P23" s="45">
        <f>ROUND(N23-O23,2)</f>
        <v>727.65</v>
      </c>
      <c r="Q23" s="45">
        <f>ROUND(P23*K23%,2)</f>
        <v>29.11</v>
      </c>
      <c r="R23" s="45">
        <f>M23+O23+Q23</f>
        <v>51.46</v>
      </c>
      <c r="S23" s="45">
        <f>(H23-R23)</f>
        <v>698.54</v>
      </c>
      <c r="T23" s="45" t="s">
        <v>109</v>
      </c>
      <c r="U23" s="46">
        <v>0</v>
      </c>
      <c r="V23" s="46">
        <f>IF(OR($C$21=1,$C$21=4),ROUND((((S23*U23)/100)/2),2),0)</f>
        <v>0</v>
      </c>
      <c r="W23" s="46">
        <f>IF($C$21=1,ROUND((((S23*U23)/100)/2),2),0)</f>
        <v>0</v>
      </c>
      <c r="X23" s="46">
        <f>IF($C$21=2,ROUND(((S23*U23)/100),2),0)</f>
        <v>0</v>
      </c>
      <c r="Y23" s="46">
        <f>IF($C$21=4,ROUND((((S23*U23)/100)/2),2),0)</f>
        <v>0</v>
      </c>
      <c r="Z23" s="46">
        <v>0</v>
      </c>
      <c r="AA23" s="46">
        <f>IF($C21=3,0,(S23*Z23)/100)</f>
        <v>0</v>
      </c>
      <c r="AB23" s="46">
        <f>V23+W23+X23+Y23+AA23</f>
        <v>0</v>
      </c>
      <c r="AC23" s="45">
        <f>IF($V21=1,S23+AB23,S23)</f>
        <v>698.54</v>
      </c>
      <c r="AD23" s="45">
        <v>120</v>
      </c>
      <c r="AE23" s="45">
        <f>IF($P$21=1,(S23/$S$24)*$E$35,AD23/$AD$24*$E$35)</f>
        <v>0</v>
      </c>
      <c r="AF23" s="45"/>
      <c r="AG23" s="45">
        <f>IF($P$21=1,(S23/$S$24)*$E$37,AD23/$AD$24*$E$37)</f>
        <v>0</v>
      </c>
      <c r="AH23" s="45">
        <f>IF($P$21=1,(S23/$S$24)*$E$37,AD23/$AD$24*$E$37)</f>
        <v>0</v>
      </c>
      <c r="AI23" s="45">
        <f>S23*$M$21</f>
        <v>59375.9</v>
      </c>
      <c r="AJ23" s="45">
        <f>IF($C$21=3,0,AG23+AH23)</f>
        <v>0</v>
      </c>
      <c r="AK23" s="45">
        <f>IF($C$21=3,AE23+AG23+AH23,0)</f>
        <v>0</v>
      </c>
      <c r="AL23" s="45">
        <v>3</v>
      </c>
      <c r="AM23" s="45">
        <f>F23/AL23</f>
        <v>1</v>
      </c>
      <c r="AN23" s="45">
        <f>AI23/AM23</f>
        <v>59375.9</v>
      </c>
      <c r="AO23" s="45">
        <f>AJ23/AM23</f>
        <v>0</v>
      </c>
      <c r="AP23" s="45">
        <f>AK23/AM23</f>
        <v>0</v>
      </c>
      <c r="AQ23" s="45" t="s">
        <v>12</v>
      </c>
      <c r="AR23" s="45">
        <f>AN23+AO23+AP23</f>
        <v>59375.9</v>
      </c>
      <c r="AS23" s="45" t="s">
        <v>110</v>
      </c>
      <c r="AT23" s="45" t="s">
        <v>12</v>
      </c>
      <c r="AU23" t="s">
        <v>111</v>
      </c>
      <c r="AV23" t="s">
        <v>112</v>
      </c>
      <c r="AW23" s="45">
        <f>AM23</f>
        <v>1</v>
      </c>
      <c r="AX23" s="45">
        <f>AR23</f>
        <v>59375.9</v>
      </c>
      <c r="AY23" s="45">
        <f>AU23+AW23</f>
        <v>1</v>
      </c>
      <c r="AZ23" s="45">
        <f>ROUND(((AU23*AV23)+(AW23*AX23))/(AU23+AW23),5)</f>
        <v>59375.9</v>
      </c>
      <c r="BA23" s="47"/>
      <c r="BB23" s="47" t="s">
        <v>113</v>
      </c>
      <c r="BC23" s="47" t="s">
        <v>114</v>
      </c>
      <c r="BD23" s="48" t="s">
        <v>115</v>
      </c>
      <c r="BE23" s="48" t="s">
        <v>116</v>
      </c>
      <c r="BF23" s="47"/>
      <c r="BG23" s="47"/>
      <c r="BH23" s="47"/>
      <c r="BI23" s="45"/>
      <c r="BJ23" s="45"/>
      <c r="BK23" s="45"/>
      <c r="BL23" s="45" t="s">
        <v>117</v>
      </c>
      <c r="BM23" t="s">
        <v>118</v>
      </c>
      <c r="BN23" t="s">
        <v>119</v>
      </c>
      <c r="BO23" s="45">
        <f>ROUND((((AW23*AZ23)+(BN23*BM23))/(AW23+BN23)),5)</f>
        <v>8136.26802</v>
      </c>
      <c r="BP23" s="47">
        <f>BN23+AW23</f>
        <v>569</v>
      </c>
      <c r="BQ23" s="47">
        <v>88363222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750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Y24" si="1">SUM(R23:R23)</f>
        <v>51.46</v>
      </c>
      <c r="S24" s="50">
        <f t="shared" si="1"/>
        <v>698.54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>
        <f t="shared" si="1"/>
        <v>0</v>
      </c>
      <c r="Z24" s="51"/>
      <c r="AA24" s="51">
        <f t="shared" ref="AA24:AE24" si="2">SUM(AA23:AA23)</f>
        <v>0</v>
      </c>
      <c r="AB24" s="49">
        <f t="shared" si="2"/>
        <v>0</v>
      </c>
      <c r="AC24" s="52">
        <f t="shared" si="2"/>
        <v>698.54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59375.9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abSelected="1" topLeftCell="E12" workbookViewId="0">
      <selection activeCell="O26" sqref="O26"/>
    </sheetView>
  </sheetViews>
  <sheetFormatPr defaultColWidth="8.70909090909091" defaultRowHeight="14.5"/>
  <cols>
    <col min="1" max="1" width="7.57272727272727" customWidth="1"/>
    <col min="2" max="3" width="27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5" max="65" width="12.4272727272727" customWidth="1"/>
    <col min="66" max="66" width="7.14545454545455" customWidth="1"/>
    <col min="67" max="67" width="22.7181818181818" customWidth="1"/>
    <col min="68" max="68" width="40.8545454545455" customWidth="1"/>
    <col min="69" max="69" width="9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126</v>
      </c>
      <c r="AS22" s="34" t="s">
        <v>88</v>
      </c>
      <c r="AT22" s="34" t="s">
        <v>86</v>
      </c>
      <c r="AU22" s="40" t="s">
        <v>127</v>
      </c>
      <c r="AV22" s="40" t="s">
        <v>128</v>
      </c>
      <c r="AW22" s="40" t="s">
        <v>91</v>
      </c>
      <c r="AX22" s="40" t="s">
        <v>92</v>
      </c>
      <c r="AY22" s="40" t="s">
        <v>93</v>
      </c>
      <c r="AZ22" s="40" t="s">
        <v>94</v>
      </c>
      <c r="BA22" s="40" t="s">
        <v>95</v>
      </c>
      <c r="BB22" s="40" t="s">
        <v>96</v>
      </c>
      <c r="BC22" s="40" t="s">
        <v>97</v>
      </c>
      <c r="BD22" s="40" t="s">
        <v>98</v>
      </c>
      <c r="BE22" s="40" t="s">
        <v>99</v>
      </c>
      <c r="BF22" s="40" t="s">
        <v>100</v>
      </c>
      <c r="BG22" s="40" t="s">
        <v>101</v>
      </c>
      <c r="BH22" s="40" t="s">
        <v>102</v>
      </c>
      <c r="BI22" s="40" t="s">
        <v>103</v>
      </c>
      <c r="BJ22" s="40" t="s">
        <v>104</v>
      </c>
      <c r="BK22" s="40" t="s">
        <v>105</v>
      </c>
      <c r="BL22" s="40" t="s">
        <v>106</v>
      </c>
      <c r="BM22" s="40"/>
      <c r="BN22" s="40"/>
      <c r="BO22" s="40" t="s">
        <v>94</v>
      </c>
      <c r="BP22" s="40" t="s">
        <v>107</v>
      </c>
      <c r="BQ22" s="40" t="s">
        <v>63</v>
      </c>
    </row>
    <row r="23" s="1" customFormat="1" ht="15.25" spans="1:69">
      <c r="A23" s="28">
        <v>1</v>
      </c>
      <c r="B23" s="41" t="s">
        <v>137</v>
      </c>
      <c r="C23" s="41" t="s">
        <v>137</v>
      </c>
      <c r="D23" s="28" t="s">
        <v>12</v>
      </c>
      <c r="E23" s="28" t="s">
        <v>12</v>
      </c>
      <c r="F23" s="42">
        <v>3</v>
      </c>
      <c r="G23" s="42">
        <v>250</v>
      </c>
      <c r="H23" s="43">
        <f>F23*G23</f>
        <v>750</v>
      </c>
      <c r="I23" s="44">
        <v>1</v>
      </c>
      <c r="J23" s="43">
        <v>2</v>
      </c>
      <c r="K23" s="43">
        <v>4</v>
      </c>
      <c r="L23" s="45">
        <f>H23</f>
        <v>750</v>
      </c>
      <c r="M23" s="45">
        <f>ROUND(L23*I23%,2)</f>
        <v>7.5</v>
      </c>
      <c r="N23" s="45">
        <f>H23-M23</f>
        <v>742.5</v>
      </c>
      <c r="O23" s="45">
        <f>ROUND(N23*J23%,2)</f>
        <v>14.85</v>
      </c>
      <c r="P23" s="45">
        <f>ROUND(N23-O23,2)</f>
        <v>727.65</v>
      </c>
      <c r="Q23" s="45">
        <f>ROUND(P23*K23%,2)</f>
        <v>29.11</v>
      </c>
      <c r="R23" s="45">
        <f>M23+O23+Q23</f>
        <v>51.46</v>
      </c>
      <c r="S23" s="45">
        <f>(H23-R23)</f>
        <v>698.54</v>
      </c>
      <c r="T23" s="45" t="s">
        <v>109</v>
      </c>
      <c r="U23" s="46">
        <v>0</v>
      </c>
      <c r="V23" s="46">
        <f>IF(OR($C$21=1,$C$21=4),ROUND((((S23*U23)/100)/2),2),0)</f>
        <v>0</v>
      </c>
      <c r="W23" s="46">
        <f>IF($C$21=1,ROUND((((S23*U23)/100)/2),2),0)</f>
        <v>0</v>
      </c>
      <c r="X23" s="46">
        <f>IF($C$21=2,ROUND(((S23*U23)/100),2),0)</f>
        <v>0</v>
      </c>
      <c r="Y23" s="46">
        <f>IF($C$21=4,ROUND((((S23*U23)/100)/2),2),0)</f>
        <v>0</v>
      </c>
      <c r="Z23" s="46">
        <v>0</v>
      </c>
      <c r="AA23" s="46">
        <f>IF($C21=3,0,(S23*Z23)/100)</f>
        <v>0</v>
      </c>
      <c r="AB23" s="46">
        <f>V23+W23+X23+Y23+AA23</f>
        <v>0</v>
      </c>
      <c r="AC23" s="45">
        <f>IF($V21=1,S23+AB23,S23)</f>
        <v>698.54</v>
      </c>
      <c r="AD23" s="45">
        <v>120</v>
      </c>
      <c r="AE23" s="45">
        <f>IF($P$21=1,(S23/$S$24)*$E$35,AD23/$AD$24*$E$35)</f>
        <v>0</v>
      </c>
      <c r="AF23" s="45"/>
      <c r="AG23" s="45">
        <f>IF($P$21=1,(S23/$S$24)*$E$37,AD23/$AD$24*$E$37)</f>
        <v>0</v>
      </c>
      <c r="AH23" s="45">
        <f>IF($P$21=1,(S23/$S$24)*$E$37,AD23/$AD$24*$E$37)</f>
        <v>0</v>
      </c>
      <c r="AI23" s="45">
        <f>S23*$M$21</f>
        <v>59375.9</v>
      </c>
      <c r="AJ23" s="45">
        <f>IF($C$21=3,0,AG23+AH23)</f>
        <v>0</v>
      </c>
      <c r="AK23" s="45">
        <f>IF($C$21=3,AE23+AG23+AH23,0)</f>
        <v>0</v>
      </c>
      <c r="AL23" s="45">
        <v>3</v>
      </c>
      <c r="AM23" s="45">
        <f>F23/AL23</f>
        <v>1</v>
      </c>
      <c r="AN23" s="45">
        <f>AI23/AM23</f>
        <v>59375.9</v>
      </c>
      <c r="AO23" s="45">
        <f>AJ23/AM23</f>
        <v>0</v>
      </c>
      <c r="AP23" s="45">
        <f>AK23/AM23</f>
        <v>0</v>
      </c>
      <c r="AQ23" s="45" t="s">
        <v>12</v>
      </c>
      <c r="AR23" s="45">
        <f>AN23+AO23+AP23</f>
        <v>59375.9</v>
      </c>
      <c r="AS23" s="45" t="s">
        <v>110</v>
      </c>
      <c r="AT23" s="45" t="s">
        <v>12</v>
      </c>
      <c r="AU23" t="s">
        <v>111</v>
      </c>
      <c r="AV23" t="s">
        <v>112</v>
      </c>
      <c r="AW23" s="45">
        <f>AM23</f>
        <v>1</v>
      </c>
      <c r="AX23" s="45">
        <f>AR23</f>
        <v>59375.9</v>
      </c>
      <c r="AY23" s="45">
        <f>AU23+AW23</f>
        <v>1</v>
      </c>
      <c r="AZ23" s="45">
        <f>ROUND(((AU23*AV23)+(AW23*AX23))/(AU23+AW23),5)</f>
        <v>59375.9</v>
      </c>
      <c r="BA23" s="47"/>
      <c r="BB23" s="47" t="s">
        <v>113</v>
      </c>
      <c r="BC23" s="47" t="s">
        <v>114</v>
      </c>
      <c r="BD23" s="48" t="s">
        <v>115</v>
      </c>
      <c r="BE23" s="48" t="s">
        <v>116</v>
      </c>
      <c r="BF23" s="47"/>
      <c r="BG23" s="47"/>
      <c r="BH23" s="47"/>
      <c r="BI23" s="45"/>
      <c r="BJ23" s="45"/>
      <c r="BK23" s="45"/>
      <c r="BL23" s="45" t="s">
        <v>117</v>
      </c>
      <c r="BM23" t="s">
        <v>118</v>
      </c>
      <c r="BN23" t="s">
        <v>119</v>
      </c>
      <c r="BO23" s="45">
        <f>ROUND((((AW23*AZ23)+(BN23*BM23))/(AW23+BN23)),5)</f>
        <v>8136.26802</v>
      </c>
      <c r="BP23" s="47">
        <f>BN23+AW23</f>
        <v>569</v>
      </c>
      <c r="BQ23" s="47">
        <v>88363222</v>
      </c>
    </row>
    <row r="24" spans="1:69">
      <c r="A24" s="32"/>
      <c r="B24" s="33"/>
      <c r="C24" s="33"/>
      <c r="D24" s="49" t="s">
        <v>41</v>
      </c>
      <c r="E24" s="49"/>
      <c r="F24" s="49"/>
      <c r="G24" s="49"/>
      <c r="H24" s="49">
        <f>SUM(H23:H23)</f>
        <v>750</v>
      </c>
      <c r="I24" s="32"/>
      <c r="J24" s="32"/>
      <c r="K24" s="32"/>
      <c r="L24" s="32"/>
      <c r="M24" s="32"/>
      <c r="N24" s="32"/>
      <c r="O24" s="32"/>
      <c r="P24" s="32"/>
      <c r="Q24" s="32"/>
      <c r="R24" s="49">
        <f t="shared" ref="R24:Y24" si="1">SUM(R23:R23)</f>
        <v>51.46</v>
      </c>
      <c r="S24" s="50">
        <f t="shared" si="1"/>
        <v>698.54</v>
      </c>
      <c r="T24" s="49"/>
      <c r="U24" s="49"/>
      <c r="V24" s="51">
        <f t="shared" si="1"/>
        <v>0</v>
      </c>
      <c r="W24" s="51">
        <f t="shared" si="1"/>
        <v>0</v>
      </c>
      <c r="X24" s="51">
        <f t="shared" si="1"/>
        <v>0</v>
      </c>
      <c r="Y24" s="51">
        <f t="shared" si="1"/>
        <v>0</v>
      </c>
      <c r="Z24" s="51"/>
      <c r="AA24" s="51">
        <f t="shared" ref="AA24:AE24" si="2">SUM(AA23:AA23)</f>
        <v>0</v>
      </c>
      <c r="AB24" s="49">
        <f t="shared" si="2"/>
        <v>0</v>
      </c>
      <c r="AC24" s="52">
        <f t="shared" si="2"/>
        <v>698.54</v>
      </c>
      <c r="AD24" s="53">
        <f t="shared" si="2"/>
        <v>120</v>
      </c>
      <c r="AE24" s="53">
        <f t="shared" si="2"/>
        <v>0</v>
      </c>
      <c r="AF24" s="52"/>
      <c r="AG24" s="53">
        <f t="shared" ref="AG24:AK24" si="3">SUM(AG23:AG23)</f>
        <v>0</v>
      </c>
      <c r="AH24" s="53">
        <f t="shared" si="3"/>
        <v>0</v>
      </c>
      <c r="AI24" s="53">
        <f t="shared" si="3"/>
        <v>59375.9</v>
      </c>
      <c r="AJ24" s="53">
        <f t="shared" si="3"/>
        <v>0</v>
      </c>
      <c r="AK24" s="53">
        <f t="shared" si="3"/>
        <v>0</v>
      </c>
      <c r="AL24" s="52"/>
      <c r="AM24" s="52"/>
      <c r="AN24" s="52"/>
      <c r="AO24" s="52"/>
      <c r="AP24" s="52"/>
      <c r="AQ24" s="52"/>
      <c r="AR24" s="52"/>
      <c r="AS24" s="54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  <vt:lpstr>ImportDirectGRNUDGeneralDiffUOM</vt:lpstr>
      <vt:lpstr>ImportDirectGRNRCGeneralDiffUOM</vt:lpstr>
      <vt:lpstr>ImportDirectGRNPLGeneralDiffUOM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galaxy</cp:lastModifiedBy>
  <dcterms:created xsi:type="dcterms:W3CDTF">2025-12-11T12:04:00Z</dcterms:created>
  <dcterms:modified xsi:type="dcterms:W3CDTF">2026-09-23T14:00:41Z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