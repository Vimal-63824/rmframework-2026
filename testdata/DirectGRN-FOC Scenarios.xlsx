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1" activeTab="1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<sst xmlns="http://schemas.openxmlformats.org/spreadsheetml/2006/main" count="1516" uniqueCount="151">
  <si>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</si>
  <si>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</si>
  <si>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</si>
  <si>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</si>
  <si>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</si>
  <si>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</si>
  <si>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</si>
  <si>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</si>
  <si>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</si>
  <si>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</si>
  <si>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</si>
  <si>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</si>
  <si>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</si>
  <si>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</si>
  <si>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</si>
  <si>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</si>
  <si>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</si>
  <si>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</si>
  <si>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</si>
  <si>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</si>
  <si>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</si>
  <si>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</si>
  <si>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</si>
  <si>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</si>
  <si>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</si>
  <si>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</si>
  <si>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</si>
  <si>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</si>
  <si>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</si>
  <si>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</si>
  <si>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</si>
  <si>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</si>
  <si>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</si>
  <si>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</si>
  <si>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</si>
  <si>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</si>
  <si>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</si>
  <si>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</si>
  <si>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</si>
  <si>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</si>
  <si>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</si>
  <si>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</si>
  <si>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</si>
  <si>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</si>
  <si>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</si>
  <si>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</si>
  <si>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</si>
  <si>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</si>
  <si>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</si>
  <si>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</si>
  <si>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</si>
  <si>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</si>
  <si>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</si>
  <si>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</si>
  <si>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</si>
  <si>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</si>
  <si>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</si>
  <si>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</si>
  <si>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</si>
  <si>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</si>
  <si>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</si>
  <si>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</si>
  <si>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</si>
  <si>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</si>
  <si>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</si>
  <si>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</si>
  <si>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</si>
  <si>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</si>
  <si>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</si>
  <si>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</si>
  <si>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</si>
  <si>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</si>
  <si>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</si>
  <si>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</si>
  <si>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</si>
  <si>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</si>
  <si>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</si>
  <si>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</si>
  <si>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</si>
  <si>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</si>
  <si>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</si>
  <si>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</si>
  <si>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</si>
  <si>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</si>
  <si>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</si>
  <si>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</si>
  <si>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</si>
  <si>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</si>
  <si>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</si>
  <si>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</si>
  <si>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</si>
  <si>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</si>
  <si>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</si>
  <si>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</si>
  <si>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</si>
  <si>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</si>
  <si>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</si>
  <si>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</si>
  <si>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</si>
  <si>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</si>
  <si>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</si>
  <si>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</si>
  <si>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</si>
  <si>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</si>
  <si>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</si>
  <si>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</si>
  <si>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</si>
  <si>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</si>
  <si>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</si>
  <si>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</si>
  <si>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GWL-RM-WAL-FP-001</t>
  </si>
  <si>
    <t>250</t>
  </si>
  <si>
    <t>2</t>
  </si>
  <si>
    <t>HSN1</t>
  </si>
  <si>
    <t>INS</t>
  </si>
  <si>
    <t>Receipt Qty &amp; Unit cost</t>
  </si>
  <si>
    <t>LOT</t>
  </si>
  <si>
    <t>RM</t>
  </si>
  <si>
    <t>RMS</t>
  </si>
  <si>
    <t>RM KD</t>
  </si>
  <si>
    <t>0</t>
  </si>
  <si>
    <t>GWL-WAL-SERVICE-01</t>
  </si>
  <si>
    <t>455</t>
  </si>
  <si>
    <t>INS KD</t>
  </si>
  <si>
    <t>330.98625</t>
  </si>
  <si>
    <t>NA</t>
  </si>
  <si>
    <t>R100</t>
  </si>
  <si>
    <t>269.19614</t>
  </si>
  <si>
    <t>24</t>
  </si>
  <si>
    <t>GWL-RM-WAL-01 RateContract</t>
  </si>
  <si>
    <t>200</t>
  </si>
  <si>
    <t>187.68</t>
  </si>
  <si>
    <t>186.89799</t>
  </si>
  <si>
    <t>80</t>
  </si>
  <si>
    <t>GWL-WAL-SERVICE-RATECONTRACT-01</t>
  </si>
  <si>
    <t>14090</t>
  </si>
  <si>
    <t>121.18128</t>
  </si>
  <si>
    <t>147.00901</t>
  </si>
  <si>
    <t>687</t>
  </si>
  <si>
    <t>GWL-RM-WAL-01 PriceList</t>
  </si>
  <si>
    <t>186.32</t>
  </si>
  <si>
    <t>4</t>
  </si>
  <si>
    <t>GWL-WAL-SERVICE-PRICELIST-01</t>
  </si>
  <si>
    <t>16</t>
  </si>
  <si>
    <t>185.81481</t>
  </si>
  <si>
    <t>184.66239</t>
  </si>
  <si>
    <t>18</t>
  </si>
  <si>
    <t>GWL-RM-WAL-FP-001-DIS-UOM</t>
  </si>
  <si>
    <t>KGS</t>
  </si>
  <si>
    <t>GWL-RM-WAL-01 RateContract-DIS-UOM</t>
  </si>
  <si>
    <t>GWL-RM-WAL-01 PriceList-DIS-UOM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</si>
</sst>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</numFmts>
  <fonts count="24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10"/>
      <color rgb="FF000000"/>
      <name val="Consola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2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2" applyNumberFormat="0" applyFill="0" applyAlignment="0" applyProtection="0">
      <alignment vertical="center"/>
    </xf>
    <xf numFmtId="0" fontId="11" fillId="0" borderId="22" applyNumberFormat="0" applyFill="0" applyAlignment="0" applyProtection="0">
      <alignment vertical="center"/>
    </xf>
    <xf numFmtId="0" fontId="12" fillId="0" borderId="2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24" applyNumberFormat="0" applyAlignment="0" applyProtection="0">
      <alignment vertical="center"/>
    </xf>
    <xf numFmtId="0" fontId="14" fillId="11" borderId="25" applyNumberFormat="0" applyAlignment="0" applyProtection="0">
      <alignment vertical="center"/>
    </xf>
    <xf numFmtId="0" fontId="15" fillId="11" borderId="24" applyNumberFormat="0" applyAlignment="0" applyProtection="0">
      <alignment vertical="center"/>
    </xf>
    <xf numFmtId="0" fontId="16" fillId="12" borderId="26" applyNumberFormat="0" applyAlignment="0" applyProtection="0">
      <alignment vertical="center"/>
    </xf>
    <xf numFmtId="0" fontId="17" fillId="0" borderId="27" applyNumberFormat="0" applyFill="0" applyAlignment="0" applyProtection="0">
      <alignment vertical="center"/>
    </xf>
    <xf numFmtId="0" fontId="18" fillId="0" borderId="28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60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80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80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0" xfId="0" applyFont="1" applyFill="1" applyBorder="1" applyAlignment="1">
      <alignment horizontal="center" vertical="top"/>
    </xf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0" fillId="0" borderId="0" xfId="0" applyFill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M29" sqref="M29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47"/>
      <c r="BN6" s="47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47"/>
      <c r="BN17" s="47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47"/>
      <c r="BN18" s="47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49" t="s">
        <v>89</v>
      </c>
      <c r="AV22" s="49" t="s">
        <v>90</v>
      </c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49" t="s">
        <v>107</v>
      </c>
      <c r="BN22" s="49" t="s">
        <v>108</v>
      </c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110</v>
      </c>
      <c r="C23" s="27" t="s">
        <v>110</v>
      </c>
      <c r="D23" s="27" t="s">
        <v>12</v>
      </c>
      <c r="E23" s="27" t="s">
        <v>12</v>
      </c>
      <c r="F23" s="28">
        <v>2</v>
      </c>
      <c r="G23" s="47" t="s">
        <v>111</v>
      </c>
      <c r="H23" s="28">
        <f>F23*G23</f>
        <v>500</v>
      </c>
      <c r="I23" s="47" t="s">
        <v>112</v>
      </c>
      <c r="J23" s="28">
        <v>2</v>
      </c>
      <c r="K23" s="28">
        <v>2</v>
      </c>
      <c r="L23" s="28">
        <f>H23</f>
        <v>500</v>
      </c>
      <c r="M23" s="28">
        <f>ROUND(L23*I23%,2)</f>
        <v>10</v>
      </c>
      <c r="N23" s="28">
        <f>H23-M23</f>
        <v>490</v>
      </c>
      <c r="O23" s="28">
        <f>ROUND(N23*J23%,2)</f>
        <v>9.8</v>
      </c>
      <c r="P23" s="28">
        <f>ROUND(N23-O23,2)</f>
        <v>480.2</v>
      </c>
      <c r="Q23" s="28">
        <f>ROUND(P23*K23%,2)</f>
        <v>9.6</v>
      </c>
      <c r="R23" s="28">
        <f>M23+O23+Q23</f>
        <v>29.4</v>
      </c>
      <c r="S23" s="28">
        <f>(H23-R23)</f>
        <v>470.6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28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470.6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470.6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235.3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235.3</v>
      </c>
      <c r="AS23" s="50" t="s">
        <v>114</v>
      </c>
      <c r="AT23" s="50" t="s">
        <v>12</v>
      </c>
      <c r="AU23" s="47"/>
      <c r="AV23" s="47"/>
      <c r="AW23" s="50">
        <f>AM23</f>
        <v>2</v>
      </c>
      <c r="AX23" s="50">
        <f>AR23</f>
        <v>235.3</v>
      </c>
      <c r="AY23" s="50">
        <f>AU23+AW23</f>
        <v>2</v>
      </c>
      <c r="AZ23" s="50">
        <f>ROUND(((AU23*AV23)+(AW23*AX23))/(AU23+AW23),5)</f>
        <v>235.3</v>
      </c>
      <c r="BA23" s="52"/>
      <c r="BB23" s="52" t="s">
        <v>115</v>
      </c>
      <c r="BC23" s="53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s="47" t="s">
        <v>120</v>
      </c>
      <c r="BN23" s="47" t="s">
        <v>120</v>
      </c>
      <c r="BO23" s="50">
        <f>ROUND((((AW23*AZ23)+(BN23*BM23))/(AW23+BN23)),5)</f>
        <v>235.3</v>
      </c>
      <c r="BP23" s="55">
        <f>BN23+AW23</f>
        <v>2</v>
      </c>
      <c r="BQ23" s="56">
        <v>88363222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500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29.4</v>
      </c>
      <c r="S24" s="40">
        <f t="shared" si="1"/>
        <v>470.6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470.6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470.6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abSelected="1" workbookViewId="0">
      <selection activeCell="J17" sqref="J17"/>
    </sheetView>
  </sheetViews>
  <sheetFormatPr defaultColWidth="8.70909090909091" defaultRowHeight="14.5"/>
  <cols>
    <col min="2" max="2" width="16" customWidth="1"/>
    <col min="8" max="8" width="9.42727272727273" customWidth="1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47"/>
      <c r="BN6" s="47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47"/>
      <c r="BN17" s="47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47"/>
      <c r="BN18" s="47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49" t="s">
        <v>89</v>
      </c>
      <c r="AV22" s="49" t="s">
        <v>90</v>
      </c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49" t="s">
        <v>107</v>
      </c>
      <c r="BN22" s="49" t="s">
        <v>108</v>
      </c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121</v>
      </c>
      <c r="C23" s="27" t="s">
        <v>121</v>
      </c>
      <c r="D23" s="27" t="s">
        <v>12</v>
      </c>
      <c r="E23" s="27" t="s">
        <v>12</v>
      </c>
      <c r="F23" s="28">
        <v>2</v>
      </c>
      <c r="G23" s="47" t="s">
        <v>122</v>
      </c>
      <c r="H23" s="28">
        <f>F23*G23</f>
        <v>910</v>
      </c>
      <c r="I23" s="47">
        <v>2</v>
      </c>
      <c r="J23" s="28">
        <v>2</v>
      </c>
      <c r="K23" s="28">
        <v>3</v>
      </c>
      <c r="L23" s="28">
        <f>H23</f>
        <v>910</v>
      </c>
      <c r="M23" s="28">
        <f>ROUND(L23*I23%,2)</f>
        <v>18.2</v>
      </c>
      <c r="N23" s="28">
        <f>H23-M23</f>
        <v>891.8</v>
      </c>
      <c r="O23" s="28">
        <f>ROUND(N23*J23%,2)</f>
        <v>17.84</v>
      </c>
      <c r="P23" s="28">
        <f>ROUND(N23-O23,2)</f>
        <v>873.96</v>
      </c>
      <c r="Q23" s="28">
        <f>ROUND(P23*K23%,2)</f>
        <v>26.22</v>
      </c>
      <c r="R23" s="28">
        <f>M23+O23+Q23</f>
        <v>62.26</v>
      </c>
      <c r="S23" s="28">
        <f>(H23-R23)</f>
        <v>847.74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4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847.74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847.74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423.87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423.87</v>
      </c>
      <c r="AS23" s="50" t="s">
        <v>123</v>
      </c>
      <c r="AT23" s="50" t="s">
        <v>12</v>
      </c>
      <c r="AU23" s="47" t="s">
        <v>112</v>
      </c>
      <c r="AV23" s="47" t="s">
        <v>124</v>
      </c>
      <c r="AW23" s="50">
        <f>AM23</f>
        <v>2</v>
      </c>
      <c r="AX23" s="50">
        <f>AR23</f>
        <v>423.87</v>
      </c>
      <c r="AY23" s="50">
        <f>AU23+AW23</f>
        <v>4</v>
      </c>
      <c r="AZ23" s="50">
        <f>ROUND(((AU23*AV23)+(AW23*AX23))/(AU23+AW23),5)</f>
        <v>377.42813</v>
      </c>
      <c r="BA23" s="52"/>
      <c r="BB23" s="52" t="s">
        <v>115</v>
      </c>
      <c r="BC23" s="53" t="s">
        <v>125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126</v>
      </c>
      <c r="BM23" s="47" t="s">
        <v>127</v>
      </c>
      <c r="BN23" s="47" t="s">
        <v>128</v>
      </c>
      <c r="BO23" s="50">
        <f>ROUND((((AW23*AZ23)+(BN23*BM23))/(AW23+BN23)),5)</f>
        <v>277.52168</v>
      </c>
      <c r="BP23" s="55">
        <f>BN23+AW23</f>
        <v>26</v>
      </c>
      <c r="BQ23" s="56">
        <v>88363222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910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62.26</v>
      </c>
      <c r="S24" s="40">
        <f t="shared" si="1"/>
        <v>847.74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847.74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847.74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workbookViewId="0">
      <selection activeCell="L12" sqref="L12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47"/>
      <c r="BN6" s="47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47"/>
      <c r="BN17" s="47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47"/>
      <c r="BN18" s="47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49" t="s">
        <v>89</v>
      </c>
      <c r="AV22" s="49" t="s">
        <v>90</v>
      </c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49" t="s">
        <v>107</v>
      </c>
      <c r="BN22" s="49" t="s">
        <v>108</v>
      </c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129</v>
      </c>
      <c r="C23" s="27" t="s">
        <v>129</v>
      </c>
      <c r="D23" s="27" t="s">
        <v>12</v>
      </c>
      <c r="E23" s="27" t="s">
        <v>12</v>
      </c>
      <c r="F23" s="28">
        <v>2</v>
      </c>
      <c r="G23" t="s">
        <v>130</v>
      </c>
      <c r="H23" s="28">
        <f>F23*G23</f>
        <v>400</v>
      </c>
      <c r="I23" t="s">
        <v>120</v>
      </c>
      <c r="J23" s="28">
        <v>1.79</v>
      </c>
      <c r="K23" s="28">
        <v>2.5</v>
      </c>
      <c r="L23" s="28">
        <f>H23</f>
        <v>400</v>
      </c>
      <c r="M23" s="28">
        <f>ROUND(L23*I23%,2)</f>
        <v>0</v>
      </c>
      <c r="N23" s="28">
        <f>H23-M23</f>
        <v>400</v>
      </c>
      <c r="O23" s="28">
        <f>ROUND(N23*J23%,2)</f>
        <v>7.16</v>
      </c>
      <c r="P23" s="28">
        <f>ROUND(N23-O23,2)</f>
        <v>392.84</v>
      </c>
      <c r="Q23" s="28">
        <f>ROUND(P23*K23%,2)</f>
        <v>9.82</v>
      </c>
      <c r="R23" s="28">
        <f>M23+O23+Q23</f>
        <v>16.98</v>
      </c>
      <c r="S23" s="28">
        <f>(H23-R23)</f>
        <v>383.02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4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383.02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383.02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191.51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191.51</v>
      </c>
      <c r="AS23" s="50" t="s">
        <v>114</v>
      </c>
      <c r="AT23" s="50" t="s">
        <v>12</v>
      </c>
      <c r="AU23" s="47" t="s">
        <v>120</v>
      </c>
      <c r="AV23" s="47" t="s">
        <v>131</v>
      </c>
      <c r="AW23" s="50">
        <f>AM23</f>
        <v>2</v>
      </c>
      <c r="AX23" s="50">
        <f>AR23</f>
        <v>191.51</v>
      </c>
      <c r="AY23" s="50">
        <f>AU23+AW23</f>
        <v>2</v>
      </c>
      <c r="AZ23" s="50">
        <f>ROUND(((AU23*AV23)+(AW23*AX23))/(AU23+AW23),5)</f>
        <v>191.51</v>
      </c>
      <c r="BA23" s="52"/>
      <c r="BB23" s="52" t="s">
        <v>115</v>
      </c>
      <c r="BC23" s="53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s="47" t="s">
        <v>132</v>
      </c>
      <c r="BN23" s="47" t="s">
        <v>133</v>
      </c>
      <c r="BO23" s="50">
        <f>ROUND((((AW23*AZ23)+(BN23*BM23))/(AW23+BN23)),5)</f>
        <v>187.01048</v>
      </c>
      <c r="BP23" s="55">
        <f>BN23+AW23</f>
        <v>82</v>
      </c>
      <c r="BQ23" s="56">
        <v>88363222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16.98</v>
      </c>
      <c r="S24" s="40">
        <f t="shared" si="1"/>
        <v>383.02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383.02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383.02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47"/>
      <c r="BN6" s="47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47"/>
      <c r="BN17" s="47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47"/>
      <c r="BN18" s="47"/>
      <c r="BO18" s="47"/>
      <c r="BP18" s="47"/>
      <c r="BQ18" s="47"/>
    </row>
    <row r="19" ht="15.25" spans="1:69">
      <c r="A19" s="16"/>
      <c r="B19" s="57" t="s">
        <v>41</v>
      </c>
      <c r="C19" s="58"/>
      <c r="D19" s="58"/>
      <c r="E19" s="58"/>
      <c r="F19" s="58"/>
      <c r="G19" s="59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49" t="s">
        <v>89</v>
      </c>
      <c r="AV22" s="49" t="s">
        <v>90</v>
      </c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49" t="s">
        <v>107</v>
      </c>
      <c r="BN22" s="49" t="s">
        <v>108</v>
      </c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134</v>
      </c>
      <c r="C23" s="27" t="s">
        <v>134</v>
      </c>
      <c r="D23" s="27" t="s">
        <v>12</v>
      </c>
      <c r="E23" s="27" t="s">
        <v>12</v>
      </c>
      <c r="F23" s="28">
        <v>2</v>
      </c>
      <c r="G23" t="s">
        <v>130</v>
      </c>
      <c r="H23" s="28">
        <f>F23*G23</f>
        <v>400</v>
      </c>
      <c r="I23" t="s">
        <v>120</v>
      </c>
      <c r="J23" s="28">
        <v>2</v>
      </c>
      <c r="K23" s="28">
        <v>2</v>
      </c>
      <c r="L23" s="28">
        <f>H23</f>
        <v>400</v>
      </c>
      <c r="M23" s="28">
        <f>ROUND(L23*I23%,2)</f>
        <v>0</v>
      </c>
      <c r="N23" s="28">
        <f>H23-M23</f>
        <v>400</v>
      </c>
      <c r="O23" s="28">
        <f>ROUND(N23*J23%,2)</f>
        <v>8</v>
      </c>
      <c r="P23" s="28">
        <f>ROUND(N23-O23,2)</f>
        <v>392</v>
      </c>
      <c r="Q23" s="28">
        <f>ROUND(P23*K23%,2)</f>
        <v>7.84</v>
      </c>
      <c r="R23" s="28">
        <f>M23+O23+Q23</f>
        <v>15.84</v>
      </c>
      <c r="S23" s="28">
        <f>(H23-R23)</f>
        <v>384.16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4">
        <v>0</v>
      </c>
      <c r="AA23" s="28">
        <f>IF($C21=3,0,S23*Z23)</f>
        <v>0</v>
      </c>
      <c r="AB23" s="28">
        <f>V23+W23+X23+Y23+AA23</f>
        <v>0</v>
      </c>
      <c r="AC23" s="28">
        <f>IF($V21=1,S23+AB23,S23)</f>
        <v>384.16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384.16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192.08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192.08</v>
      </c>
      <c r="AS23" s="50" t="s">
        <v>123</v>
      </c>
      <c r="AT23" s="50" t="s">
        <v>12</v>
      </c>
      <c r="AU23" s="47" t="s">
        <v>135</v>
      </c>
      <c r="AV23" s="47" t="s">
        <v>136</v>
      </c>
      <c r="AW23" s="50">
        <f>AM23</f>
        <v>2</v>
      </c>
      <c r="AX23" s="50">
        <f>AR23</f>
        <v>192.08</v>
      </c>
      <c r="AY23" s="50">
        <f>AU23+AW23</f>
        <v>14092</v>
      </c>
      <c r="AZ23" s="50">
        <f>ROUND(((AU23*AV23)+(AW23*AX23))/(AU23+AW23),5)</f>
        <v>121.19134</v>
      </c>
      <c r="BA23" s="52"/>
      <c r="BB23" s="52" t="s">
        <v>115</v>
      </c>
      <c r="BC23" s="54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s="47" t="s">
        <v>137</v>
      </c>
      <c r="BN23" s="47" t="s">
        <v>138</v>
      </c>
      <c r="BO23" s="50">
        <f>ROUND((((AW23*AZ23)+(BN23*BM23))/(AW23+BN23)),5)</f>
        <v>146.93407</v>
      </c>
      <c r="BP23" s="55">
        <f>BN23+AW23</f>
        <v>689</v>
      </c>
      <c r="BQ23" s="56">
        <v>88363221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X24" si="1">SUM(R23:R23)</f>
        <v>15.84</v>
      </c>
      <c r="S24" s="40">
        <f t="shared" si="1"/>
        <v>384.16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/>
      <c r="Z24" s="41"/>
      <c r="AA24" s="41"/>
      <c r="AB24" s="32">
        <f t="shared" ref="AB24:AE24" si="2">SUM(AB23:AB23)</f>
        <v>0</v>
      </c>
      <c r="AC24" s="45">
        <f t="shared" si="2"/>
        <v>384.16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384.16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47"/>
      <c r="BN6" s="47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47"/>
      <c r="BN17" s="47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47"/>
      <c r="BN18" s="47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49" t="s">
        <v>89</v>
      </c>
      <c r="AV22" s="49" t="s">
        <v>90</v>
      </c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49" t="s">
        <v>107</v>
      </c>
      <c r="BN22" s="49" t="s">
        <v>108</v>
      </c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139</v>
      </c>
      <c r="C23" s="27" t="s">
        <v>139</v>
      </c>
      <c r="D23" s="27" t="s">
        <v>12</v>
      </c>
      <c r="E23" s="27" t="s">
        <v>12</v>
      </c>
      <c r="F23" s="28">
        <v>2</v>
      </c>
      <c r="G23" t="s">
        <v>130</v>
      </c>
      <c r="H23" s="28">
        <f>F23*G23</f>
        <v>400</v>
      </c>
      <c r="I23" t="s">
        <v>120</v>
      </c>
      <c r="J23" s="28">
        <v>2</v>
      </c>
      <c r="K23" s="28">
        <v>2</v>
      </c>
      <c r="L23" s="28">
        <f>H23</f>
        <v>400</v>
      </c>
      <c r="M23" s="28">
        <f>ROUND(L23*I23%,2)</f>
        <v>0</v>
      </c>
      <c r="N23" s="28">
        <f>H23-M23</f>
        <v>400</v>
      </c>
      <c r="O23" s="28">
        <f>ROUND(N23*J23%,2)</f>
        <v>8</v>
      </c>
      <c r="P23" s="28">
        <f>ROUND(N23-O23,2)</f>
        <v>392</v>
      </c>
      <c r="Q23" s="28">
        <f>ROUND(P23*K23%,2)</f>
        <v>7.84</v>
      </c>
      <c r="R23" s="28">
        <f>M23+O23+Q23</f>
        <v>15.84</v>
      </c>
      <c r="S23" s="28">
        <f>(H23-R23)</f>
        <v>384.16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4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384.16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384.16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192.08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192.08</v>
      </c>
      <c r="AS23" s="50" t="s">
        <v>114</v>
      </c>
      <c r="AT23" s="50" t="s">
        <v>12</v>
      </c>
      <c r="AU23" s="47" t="s">
        <v>120</v>
      </c>
      <c r="AV23" s="47" t="s">
        <v>140</v>
      </c>
      <c r="AW23" s="50">
        <f>AM23</f>
        <v>2</v>
      </c>
      <c r="AX23" s="50">
        <f>AR23</f>
        <v>192.08</v>
      </c>
      <c r="AY23" s="50">
        <f>AU23+AW23</f>
        <v>2</v>
      </c>
      <c r="AZ23" s="50">
        <f>ROUND(((AU23*AV23)+(AW23*AX23))/(AU23+AW23),5)</f>
        <v>192.08</v>
      </c>
      <c r="BA23" s="52"/>
      <c r="BB23" s="52" t="s">
        <v>115</v>
      </c>
      <c r="BC23" s="53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s="47" t="s">
        <v>140</v>
      </c>
      <c r="BN23" s="47" t="s">
        <v>141</v>
      </c>
      <c r="BO23" s="50">
        <f>ROUND((((AW23*AZ23)+(BN23*BM23))/(AW23+BN23)),5)</f>
        <v>188.24</v>
      </c>
      <c r="BP23" s="55">
        <f>BN23+AW23</f>
        <v>6</v>
      </c>
      <c r="BQ23" s="56">
        <v>88363222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15.84</v>
      </c>
      <c r="S24" s="40">
        <f t="shared" si="1"/>
        <v>384.16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384.16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384.16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0" workbookViewId="0">
      <selection activeCell="L19" sqref="L19"/>
    </sheetView>
  </sheetViews>
  <sheetFormatPr defaultColWidth="8.70909090909091" defaultRowHeight="14.5"/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47"/>
      <c r="BN6" s="47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47"/>
      <c r="BN17" s="47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47"/>
      <c r="BN18" s="47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49" t="s">
        <v>89</v>
      </c>
      <c r="AV22" s="49" t="s">
        <v>90</v>
      </c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49" t="s">
        <v>107</v>
      </c>
      <c r="BN22" s="49" t="s">
        <v>108</v>
      </c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142</v>
      </c>
      <c r="C23" s="27" t="s">
        <v>142</v>
      </c>
      <c r="D23" s="27" t="s">
        <v>12</v>
      </c>
      <c r="E23" s="27" t="s">
        <v>12</v>
      </c>
      <c r="F23" s="28">
        <v>2</v>
      </c>
      <c r="G23" t="s">
        <v>130</v>
      </c>
      <c r="H23" s="28">
        <f>F23*G23</f>
        <v>400</v>
      </c>
      <c r="I23" t="s">
        <v>120</v>
      </c>
      <c r="J23" s="28">
        <v>2</v>
      </c>
      <c r="K23" s="28">
        <v>2</v>
      </c>
      <c r="L23" s="28">
        <f>H23</f>
        <v>400</v>
      </c>
      <c r="M23" s="28">
        <f>ROUND(L23*I23%,2)</f>
        <v>0</v>
      </c>
      <c r="N23" s="28">
        <f>H23-M23</f>
        <v>400</v>
      </c>
      <c r="O23" s="28">
        <f>ROUND(N23*J23%,2)</f>
        <v>8</v>
      </c>
      <c r="P23" s="28">
        <f>ROUND(N23-O23,2)</f>
        <v>392</v>
      </c>
      <c r="Q23" s="28">
        <f>ROUND(P23*K23%,2)</f>
        <v>7.84</v>
      </c>
      <c r="R23" s="28">
        <f>M23+O23+Q23</f>
        <v>15.84</v>
      </c>
      <c r="S23" s="28">
        <f>(H23-R23)</f>
        <v>384.16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4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384.16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384.16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192.08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192.08</v>
      </c>
      <c r="AS23" s="50" t="s">
        <v>123</v>
      </c>
      <c r="AT23" s="50" t="s">
        <v>12</v>
      </c>
      <c r="AU23" s="47" t="s">
        <v>143</v>
      </c>
      <c r="AV23" s="47" t="s">
        <v>144</v>
      </c>
      <c r="AW23" s="50">
        <f>AM23</f>
        <v>2</v>
      </c>
      <c r="AX23" s="50">
        <f>AR23</f>
        <v>192.08</v>
      </c>
      <c r="AY23" s="50">
        <f>AU23+AW23</f>
        <v>18</v>
      </c>
      <c r="AZ23" s="50">
        <f>ROUND(((AU23*AV23)+(AW23*AX23))/(AU23+AW23),5)</f>
        <v>186.51094</v>
      </c>
      <c r="BA23" s="52"/>
      <c r="BB23" s="52" t="s">
        <v>115</v>
      </c>
      <c r="BC23" s="53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s="47" t="s">
        <v>145</v>
      </c>
      <c r="BN23" s="47" t="s">
        <v>146</v>
      </c>
      <c r="BO23" s="50">
        <f>ROUND((((AW23*AZ23)+(BN23*BM23))/(AW23+BN23)),5)</f>
        <v>184.84725</v>
      </c>
      <c r="BP23" s="55">
        <f>BN23+AW23</f>
        <v>20</v>
      </c>
      <c r="BQ23" s="56">
        <v>88363221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15.84</v>
      </c>
      <c r="S24" s="40">
        <f t="shared" si="1"/>
        <v>384.16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384.16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384.16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5"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47"/>
      <c r="BN6" s="47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47"/>
      <c r="BN17" s="47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47"/>
      <c r="BN18" s="47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49" t="s">
        <v>89</v>
      </c>
      <c r="AV22" s="49" t="s">
        <v>90</v>
      </c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49" t="s">
        <v>107</v>
      </c>
      <c r="BN22" s="49" t="s">
        <v>108</v>
      </c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147</v>
      </c>
      <c r="C23" s="27" t="s">
        <v>147</v>
      </c>
      <c r="D23" s="27" t="s">
        <v>12</v>
      </c>
      <c r="E23" s="27" t="s">
        <v>148</v>
      </c>
      <c r="F23" s="28">
        <v>2</v>
      </c>
      <c r="G23" s="47" t="s">
        <v>111</v>
      </c>
      <c r="H23" s="28">
        <f>F23*G23</f>
        <v>500</v>
      </c>
      <c r="I23" s="47" t="s">
        <v>112</v>
      </c>
      <c r="J23" s="28">
        <v>2</v>
      </c>
      <c r="K23" s="28">
        <v>2</v>
      </c>
      <c r="L23" s="28">
        <f>H23</f>
        <v>500</v>
      </c>
      <c r="M23" s="28">
        <f>ROUND(L23*I23%,2)</f>
        <v>10</v>
      </c>
      <c r="N23" s="28">
        <f>H23-M23</f>
        <v>490</v>
      </c>
      <c r="O23" s="28">
        <f>ROUND(N23*J23%,2)</f>
        <v>9.8</v>
      </c>
      <c r="P23" s="28">
        <f>ROUND(N23-O23,2)</f>
        <v>480.2</v>
      </c>
      <c r="Q23" s="28">
        <f>ROUND(P23*K23%,2)</f>
        <v>9.6</v>
      </c>
      <c r="R23" s="28">
        <f>M23+O23+Q23</f>
        <v>29.4</v>
      </c>
      <c r="S23" s="28">
        <f>(H23-R23)</f>
        <v>470.6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28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470.6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470.6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705.9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705.9</v>
      </c>
      <c r="AS23" s="50" t="s">
        <v>114</v>
      </c>
      <c r="AT23" s="50" t="s">
        <v>12</v>
      </c>
      <c r="AU23" s="47"/>
      <c r="AV23" s="47"/>
      <c r="AW23" s="50">
        <f>AM23</f>
        <v>0.666666666666667</v>
      </c>
      <c r="AX23" s="50">
        <f>AR23</f>
        <v>705.9</v>
      </c>
      <c r="AY23" s="50">
        <f>AU23+AW23</f>
        <v>0.666666666666667</v>
      </c>
      <c r="AZ23" s="50">
        <f>ROUND(((AU23*AV23)+(AW23*AX23))/(AU23+AW23),5)</f>
        <v>705.9</v>
      </c>
      <c r="BA23" s="52"/>
      <c r="BB23" s="52" t="s">
        <v>115</v>
      </c>
      <c r="BC23" s="53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s="47" t="s">
        <v>120</v>
      </c>
      <c r="BN23" s="47" t="s">
        <v>120</v>
      </c>
      <c r="BO23" s="50">
        <f>ROUND((((AW23*AZ23)+(BN23*BM23))/(AW23+BN23)),5)</f>
        <v>705.9</v>
      </c>
      <c r="BP23" s="55">
        <f>BN23+AW23</f>
        <v>0.666666666666667</v>
      </c>
      <c r="BQ23" s="56">
        <v>88363222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500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29.4</v>
      </c>
      <c r="S24" s="40">
        <f t="shared" si="1"/>
        <v>470.6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470.6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470.6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9" workbookViewId="0">
      <selection activeCell="J31" sqref="J31"/>
    </sheetView>
  </sheetViews>
  <sheetFormatPr defaultColWidth="8.70909090909091" defaultRowHeight="14.5"/>
  <cols>
    <col min="2" max="2" width="26.5727272727273" customWidth="1"/>
    <col min="8" max="8" width="9.42727272727273" customWidth="1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47"/>
      <c r="BN6" s="47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47"/>
      <c r="BN17" s="47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47"/>
      <c r="BN18" s="47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49" t="s">
        <v>89</v>
      </c>
      <c r="AV22" s="49" t="s">
        <v>90</v>
      </c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49" t="s">
        <v>107</v>
      </c>
      <c r="BN22" s="49" t="s">
        <v>108</v>
      </c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149</v>
      </c>
      <c r="C23" s="27" t="s">
        <v>149</v>
      </c>
      <c r="D23" s="27" t="s">
        <v>12</v>
      </c>
      <c r="E23" s="27" t="s">
        <v>148</v>
      </c>
      <c r="F23" s="28">
        <v>2</v>
      </c>
      <c r="G23" t="s">
        <v>130</v>
      </c>
      <c r="H23" s="28">
        <f>F23*G23</f>
        <v>400</v>
      </c>
      <c r="I23" t="s">
        <v>120</v>
      </c>
      <c r="J23" s="28">
        <v>1.79</v>
      </c>
      <c r="K23" s="28">
        <v>2.5</v>
      </c>
      <c r="L23" s="28">
        <f>H23</f>
        <v>400</v>
      </c>
      <c r="M23" s="28">
        <f>ROUND(L23*I23%,2)</f>
        <v>0</v>
      </c>
      <c r="N23" s="28">
        <f>H23-M23</f>
        <v>400</v>
      </c>
      <c r="O23" s="28">
        <f>ROUND(N23*J23%,2)</f>
        <v>7.16</v>
      </c>
      <c r="P23" s="28">
        <f>ROUND(N23-O23,2)</f>
        <v>392.84</v>
      </c>
      <c r="Q23" s="28">
        <f>ROUND(P23*K23%,2)</f>
        <v>9.82</v>
      </c>
      <c r="R23" s="28">
        <f>M23+O23+Q23</f>
        <v>16.98</v>
      </c>
      <c r="S23" s="28">
        <f>(H23-R23)</f>
        <v>383.02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4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383.02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383.02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574.53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574.53</v>
      </c>
      <c r="AS23" s="50" t="s">
        <v>114</v>
      </c>
      <c r="AT23" s="50" t="s">
        <v>12</v>
      </c>
      <c r="AU23" s="47" t="s">
        <v>120</v>
      </c>
      <c r="AV23" s="47" t="s">
        <v>131</v>
      </c>
      <c r="AW23" s="50">
        <f>AM23</f>
        <v>0.666666666666667</v>
      </c>
      <c r="AX23" s="50">
        <f>AR23</f>
        <v>574.53</v>
      </c>
      <c r="AY23" s="50">
        <f>AU23+AW23</f>
        <v>0.666666666666667</v>
      </c>
      <c r="AZ23" s="50">
        <f>ROUND(((AU23*AV23)+(AW23*AX23))/(AU23+AW23),5)</f>
        <v>574.53</v>
      </c>
      <c r="BA23" s="52"/>
      <c r="BB23" s="52" t="s">
        <v>115</v>
      </c>
      <c r="BC23" s="53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s="47" t="s">
        <v>132</v>
      </c>
      <c r="BN23" s="47" t="s">
        <v>133</v>
      </c>
      <c r="BO23" s="50">
        <f>ROUND((((AW23*AZ23)+(BN23*BM23))/(AW23+BN23)),5)</f>
        <v>190.10156</v>
      </c>
      <c r="BP23" s="55">
        <f>BN23+AW23</f>
        <v>80.6666666666667</v>
      </c>
      <c r="BQ23" s="56">
        <v>88363222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16.98</v>
      </c>
      <c r="S24" s="40">
        <f t="shared" si="1"/>
        <v>383.02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383.02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383.02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J31" sqref="J31"/>
    </sheetView>
  </sheetViews>
  <sheetFormatPr defaultColWidth="8.70909090909091" defaultRowHeight="14.5"/>
  <cols>
    <col min="8" max="8" width="9.42727272727273" customWidth="1"/>
  </cols>
  <sheetData>
    <row r="1" ht="18.5" spans="1:6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ht="19.25" spans="1:6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</row>
    <row r="3" ht="15.25" spans="1:69">
      <c r="A3" s="2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5" t="s">
        <v>9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</row>
    <row r="4" spans="1:69">
      <c r="A4" s="6">
        <v>1</v>
      </c>
      <c r="B4" s="7" t="s">
        <v>10</v>
      </c>
      <c r="C4" s="7" t="s">
        <v>11</v>
      </c>
      <c r="D4" s="7" t="s">
        <v>12</v>
      </c>
      <c r="E4" s="7" t="s">
        <v>12</v>
      </c>
      <c r="F4" s="8">
        <v>25</v>
      </c>
      <c r="G4" s="9">
        <v>257.63</v>
      </c>
      <c r="H4" s="10">
        <f t="shared" ref="H4:H18" si="0"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</row>
    <row r="5" spans="1:69">
      <c r="A5" s="6">
        <v>2</v>
      </c>
      <c r="B5" s="7" t="s">
        <v>13</v>
      </c>
      <c r="C5" s="7" t="s">
        <v>14</v>
      </c>
      <c r="D5" s="7" t="s">
        <v>12</v>
      </c>
      <c r="E5" s="7" t="s">
        <v>12</v>
      </c>
      <c r="F5" s="8">
        <v>35</v>
      </c>
      <c r="G5" s="9">
        <v>125.45</v>
      </c>
      <c r="H5" s="10">
        <f t="shared" si="0"/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</row>
    <row r="6" spans="1:69">
      <c r="A6" s="6">
        <v>3</v>
      </c>
      <c r="B6" s="7" t="s">
        <v>15</v>
      </c>
      <c r="C6" s="7" t="s">
        <v>16</v>
      </c>
      <c r="D6" s="7" t="s">
        <v>12</v>
      </c>
      <c r="E6" s="7" t="s">
        <v>12</v>
      </c>
      <c r="F6" s="8">
        <v>45</v>
      </c>
      <c r="G6" s="9">
        <v>125.36</v>
      </c>
      <c r="H6" s="10">
        <f t="shared" si="0"/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  <c r="AT6" s="47"/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47"/>
      <c r="BK6" s="47"/>
      <c r="BL6" s="47"/>
      <c r="BM6" s="47"/>
      <c r="BN6" s="47"/>
      <c r="BO6" s="47"/>
      <c r="BP6" s="47"/>
      <c r="BQ6" s="47"/>
    </row>
    <row r="7" spans="1:69">
      <c r="A7" s="6">
        <v>4</v>
      </c>
      <c r="B7" s="7" t="s">
        <v>17</v>
      </c>
      <c r="C7" s="7" t="s">
        <v>18</v>
      </c>
      <c r="D7" s="7" t="s">
        <v>12</v>
      </c>
      <c r="E7" s="7" t="s">
        <v>12</v>
      </c>
      <c r="F7" s="8">
        <v>55</v>
      </c>
      <c r="G7" s="9">
        <v>45.25</v>
      </c>
      <c r="H7" s="10">
        <f t="shared" si="0"/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</row>
    <row r="8" spans="1:69">
      <c r="A8" s="6">
        <v>5</v>
      </c>
      <c r="B8" s="7" t="s">
        <v>19</v>
      </c>
      <c r="C8" s="7" t="s">
        <v>20</v>
      </c>
      <c r="D8" s="7" t="s">
        <v>12</v>
      </c>
      <c r="E8" s="7" t="s">
        <v>12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</row>
    <row r="9" spans="1:69">
      <c r="A9" s="6">
        <v>6</v>
      </c>
      <c r="B9" s="7" t="s">
        <v>21</v>
      </c>
      <c r="C9" s="7" t="s">
        <v>22</v>
      </c>
      <c r="D9" s="7" t="s">
        <v>12</v>
      </c>
      <c r="E9" s="7" t="s">
        <v>12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</row>
    <row r="10" spans="1:69">
      <c r="A10" s="6">
        <v>7</v>
      </c>
      <c r="B10" s="7" t="s">
        <v>23</v>
      </c>
      <c r="C10" s="7" t="s">
        <v>24</v>
      </c>
      <c r="D10" s="7" t="s">
        <v>12</v>
      </c>
      <c r="E10" s="7" t="s">
        <v>12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</row>
    <row r="11" spans="1:69">
      <c r="A11" s="6">
        <v>8</v>
      </c>
      <c r="B11" s="7" t="s">
        <v>25</v>
      </c>
      <c r="C11" s="7" t="s">
        <v>26</v>
      </c>
      <c r="D11" s="7" t="s">
        <v>12</v>
      </c>
      <c r="E11" s="7" t="s">
        <v>12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</row>
    <row r="12" spans="1:69">
      <c r="A12" s="6">
        <v>9</v>
      </c>
      <c r="B12" s="7" t="s">
        <v>27</v>
      </c>
      <c r="C12" s="7" t="s">
        <v>28</v>
      </c>
      <c r="D12" s="7" t="s">
        <v>12</v>
      </c>
      <c r="E12" s="7" t="s">
        <v>12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</row>
    <row r="13" spans="1:69">
      <c r="A13" s="6">
        <v>10</v>
      </c>
      <c r="B13" s="7" t="s">
        <v>29</v>
      </c>
      <c r="C13" s="7" t="s">
        <v>30</v>
      </c>
      <c r="D13" s="7" t="s">
        <v>12</v>
      </c>
      <c r="E13" s="7" t="s">
        <v>12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</row>
    <row r="14" spans="1:69">
      <c r="A14" s="6">
        <v>11</v>
      </c>
      <c r="B14" s="7" t="s">
        <v>31</v>
      </c>
      <c r="C14" s="7" t="s">
        <v>32</v>
      </c>
      <c r="D14" s="7" t="s">
        <v>12</v>
      </c>
      <c r="E14" s="7" t="s">
        <v>12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</row>
    <row r="15" spans="1:69">
      <c r="A15" s="6">
        <v>12</v>
      </c>
      <c r="B15" s="7" t="s">
        <v>33</v>
      </c>
      <c r="C15" s="7" t="s">
        <v>34</v>
      </c>
      <c r="D15" s="7" t="s">
        <v>12</v>
      </c>
      <c r="E15" s="7" t="s">
        <v>12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</row>
    <row r="16" spans="1:69">
      <c r="A16" s="6">
        <v>13</v>
      </c>
      <c r="B16" s="7" t="s">
        <v>35</v>
      </c>
      <c r="C16" s="7" t="s">
        <v>36</v>
      </c>
      <c r="D16" s="7" t="s">
        <v>12</v>
      </c>
      <c r="E16" s="7" t="s">
        <v>12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</row>
    <row r="17" spans="1:69">
      <c r="A17" s="6">
        <v>14</v>
      </c>
      <c r="B17" s="7" t="s">
        <v>37</v>
      </c>
      <c r="C17" s="7" t="s">
        <v>38</v>
      </c>
      <c r="D17" s="7" t="s">
        <v>12</v>
      </c>
      <c r="E17" s="7" t="s">
        <v>12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8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47"/>
      <c r="BN17" s="47"/>
      <c r="BO17" s="47"/>
      <c r="BP17" s="47"/>
      <c r="BQ17" s="47"/>
    </row>
    <row r="18" ht="15.25" spans="1:69">
      <c r="A18" s="11">
        <v>15</v>
      </c>
      <c r="B18" s="12" t="s">
        <v>39</v>
      </c>
      <c r="C18" s="12" t="s">
        <v>40</v>
      </c>
      <c r="D18" s="12" t="s">
        <v>12</v>
      </c>
      <c r="E18" s="12" t="s">
        <v>12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47"/>
      <c r="BN18" s="47"/>
      <c r="BO18" s="47"/>
      <c r="BP18" s="47"/>
      <c r="BQ18" s="47"/>
    </row>
    <row r="19" ht="15.25" spans="1:69">
      <c r="A19" s="16"/>
      <c r="B19" s="17" t="s">
        <v>41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/>
    </row>
    <row r="20" spans="1:69">
      <c r="A20" s="19" t="s">
        <v>42</v>
      </c>
      <c r="B20" s="20"/>
      <c r="C20" s="20"/>
      <c r="D20" s="20"/>
      <c r="E20" s="20"/>
      <c r="F20" s="20"/>
      <c r="G20" s="20"/>
      <c r="H20" s="19"/>
      <c r="I20" s="35"/>
      <c r="J20" s="35"/>
      <c r="K20" s="35"/>
      <c r="L20" s="35"/>
      <c r="M20" s="35"/>
      <c r="N20" s="35"/>
      <c r="O20" s="35"/>
      <c r="P20" s="35"/>
      <c r="Q20" s="35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</row>
    <row r="21" ht="15.25" spans="1:69">
      <c r="A21" s="21" t="s">
        <v>43</v>
      </c>
      <c r="B21" s="21"/>
      <c r="C21" s="22">
        <v>3</v>
      </c>
      <c r="D21" s="23" t="s">
        <v>44</v>
      </c>
      <c r="E21" s="20"/>
      <c r="F21" s="20"/>
      <c r="G21" s="20"/>
      <c r="H21" s="19"/>
      <c r="I21" s="35" t="s">
        <v>45</v>
      </c>
      <c r="J21" s="35" t="s">
        <v>46</v>
      </c>
      <c r="K21" s="35"/>
      <c r="L21" s="35" t="s">
        <v>47</v>
      </c>
      <c r="M21" s="35">
        <v>1</v>
      </c>
      <c r="N21" s="35"/>
      <c r="O21" s="35" t="s">
        <v>48</v>
      </c>
      <c r="P21" s="35">
        <v>1</v>
      </c>
      <c r="Q21" s="35" t="s">
        <v>49</v>
      </c>
      <c r="R21" s="19"/>
      <c r="S21" s="19"/>
      <c r="T21" s="19"/>
      <c r="U21" s="19"/>
      <c r="V21" s="19">
        <v>1</v>
      </c>
      <c r="W21" s="19" t="s">
        <v>50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</row>
    <row r="22" ht="59.5" spans="1:69">
      <c r="A22" s="24" t="s">
        <v>2</v>
      </c>
      <c r="B22" s="24" t="s">
        <v>3</v>
      </c>
      <c r="C22" s="25" t="s">
        <v>4</v>
      </c>
      <c r="D22" s="24" t="s">
        <v>5</v>
      </c>
      <c r="E22" s="24" t="s">
        <v>6</v>
      </c>
      <c r="F22" s="26" t="s">
        <v>51</v>
      </c>
      <c r="G22" s="24" t="s">
        <v>8</v>
      </c>
      <c r="H22" s="24" t="s">
        <v>9</v>
      </c>
      <c r="I22" s="36" t="s">
        <v>52</v>
      </c>
      <c r="J22" s="36" t="s">
        <v>53</v>
      </c>
      <c r="K22" s="36" t="s">
        <v>54</v>
      </c>
      <c r="L22" s="37" t="s">
        <v>55</v>
      </c>
      <c r="M22" s="37" t="s">
        <v>56</v>
      </c>
      <c r="N22" s="37" t="s">
        <v>57</v>
      </c>
      <c r="O22" s="37" t="s">
        <v>58</v>
      </c>
      <c r="P22" s="37" t="s">
        <v>59</v>
      </c>
      <c r="Q22" s="37" t="s">
        <v>60</v>
      </c>
      <c r="R22" s="36" t="s">
        <v>61</v>
      </c>
      <c r="S22" s="24" t="s">
        <v>62</v>
      </c>
      <c r="T22" s="24" t="s">
        <v>63</v>
      </c>
      <c r="U22" s="39" t="s">
        <v>64</v>
      </c>
      <c r="V22" s="39" t="s">
        <v>65</v>
      </c>
      <c r="W22" s="39" t="s">
        <v>66</v>
      </c>
      <c r="X22" s="39" t="s">
        <v>67</v>
      </c>
      <c r="Y22" s="39" t="s">
        <v>68</v>
      </c>
      <c r="Z22" s="39" t="s">
        <v>69</v>
      </c>
      <c r="AA22" s="39" t="s">
        <v>70</v>
      </c>
      <c r="AB22" s="39" t="s">
        <v>71</v>
      </c>
      <c r="AC22" s="42" t="s">
        <v>72</v>
      </c>
      <c r="AD22" s="42" t="s">
        <v>73</v>
      </c>
      <c r="AE22" s="43" t="s">
        <v>74</v>
      </c>
      <c r="AF22" s="43" t="s">
        <v>75</v>
      </c>
      <c r="AG22" s="43" t="s">
        <v>76</v>
      </c>
      <c r="AH22" s="42" t="s">
        <v>77</v>
      </c>
      <c r="AI22" s="42" t="s">
        <v>78</v>
      </c>
      <c r="AJ22" s="43" t="s">
        <v>79</v>
      </c>
      <c r="AK22" s="43" t="s">
        <v>80</v>
      </c>
      <c r="AL22" s="42" t="s">
        <v>81</v>
      </c>
      <c r="AM22" s="42" t="s">
        <v>82</v>
      </c>
      <c r="AN22" s="43" t="s">
        <v>83</v>
      </c>
      <c r="AO22" s="43" t="s">
        <v>84</v>
      </c>
      <c r="AP22" s="43" t="s">
        <v>85</v>
      </c>
      <c r="AQ22" s="42" t="s">
        <v>86</v>
      </c>
      <c r="AR22" s="48" t="s">
        <v>87</v>
      </c>
      <c r="AS22" s="3" t="s">
        <v>88</v>
      </c>
      <c r="AT22" s="3" t="s">
        <v>86</v>
      </c>
      <c r="AU22" s="49" t="s">
        <v>89</v>
      </c>
      <c r="AV22" s="49" t="s">
        <v>90</v>
      </c>
      <c r="AW22" s="49" t="s">
        <v>91</v>
      </c>
      <c r="AX22" s="49" t="s">
        <v>92</v>
      </c>
      <c r="AY22" s="49" t="s">
        <v>93</v>
      </c>
      <c r="AZ22" s="49" t="s">
        <v>94</v>
      </c>
      <c r="BA22" s="49" t="s">
        <v>95</v>
      </c>
      <c r="BB22" s="49" t="s">
        <v>96</v>
      </c>
      <c r="BC22" s="51" t="s">
        <v>97</v>
      </c>
      <c r="BD22" s="51" t="s">
        <v>98</v>
      </c>
      <c r="BE22" s="51" t="s">
        <v>99</v>
      </c>
      <c r="BF22" s="49" t="s">
        <v>100</v>
      </c>
      <c r="BG22" s="49" t="s">
        <v>101</v>
      </c>
      <c r="BH22" s="49" t="s">
        <v>102</v>
      </c>
      <c r="BI22" s="49" t="s">
        <v>103</v>
      </c>
      <c r="BJ22" s="49" t="s">
        <v>104</v>
      </c>
      <c r="BK22" s="49" t="s">
        <v>105</v>
      </c>
      <c r="BL22" s="49" t="s">
        <v>106</v>
      </c>
      <c r="BM22" s="49" t="s">
        <v>107</v>
      </c>
      <c r="BN22" s="49" t="s">
        <v>108</v>
      </c>
      <c r="BO22" s="49" t="s">
        <v>94</v>
      </c>
      <c r="BP22" s="49" t="s">
        <v>109</v>
      </c>
      <c r="BQ22" s="49" t="s">
        <v>63</v>
      </c>
    </row>
    <row r="23" ht="15.25" spans="1:69">
      <c r="A23" s="27">
        <v>1</v>
      </c>
      <c r="B23" s="27" t="s">
        <v>150</v>
      </c>
      <c r="C23" s="27" t="s">
        <v>150</v>
      </c>
      <c r="D23" s="27" t="s">
        <v>12</v>
      </c>
      <c r="E23" s="27" t="s">
        <v>148</v>
      </c>
      <c r="F23" s="28">
        <v>2</v>
      </c>
      <c r="G23" t="s">
        <v>130</v>
      </c>
      <c r="H23" s="28">
        <f>F23*G23</f>
        <v>400</v>
      </c>
      <c r="I23" t="s">
        <v>120</v>
      </c>
      <c r="J23" s="28">
        <v>2</v>
      </c>
      <c r="K23" s="28">
        <v>2</v>
      </c>
      <c r="L23" s="28">
        <f>H23</f>
        <v>400</v>
      </c>
      <c r="M23" s="28">
        <f>ROUND(L23*I23%,2)</f>
        <v>0</v>
      </c>
      <c r="N23" s="28">
        <f>H23-M23</f>
        <v>400</v>
      </c>
      <c r="O23" s="28">
        <f>ROUND(N23*J23%,2)</f>
        <v>8</v>
      </c>
      <c r="P23" s="28">
        <f>ROUND(N23-O23,2)</f>
        <v>392</v>
      </c>
      <c r="Q23" s="28">
        <f>ROUND(P23*K23%,2)</f>
        <v>7.84</v>
      </c>
      <c r="R23" s="28">
        <f>M23+O23+Q23</f>
        <v>15.84</v>
      </c>
      <c r="S23" s="28">
        <f>(H23-R23)</f>
        <v>384.16</v>
      </c>
      <c r="T23" s="28" t="s">
        <v>113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4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384.16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384.16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576.24</v>
      </c>
      <c r="AO23" s="28">
        <f>AJ23/AM23</f>
        <v>0</v>
      </c>
      <c r="AP23" s="28">
        <f>AK23/AM23</f>
        <v>0</v>
      </c>
      <c r="AQ23" s="28" t="s">
        <v>12</v>
      </c>
      <c r="AR23" s="28">
        <f>AN23+AO23+AP23</f>
        <v>576.24</v>
      </c>
      <c r="AS23" s="50" t="s">
        <v>114</v>
      </c>
      <c r="AT23" s="50" t="s">
        <v>12</v>
      </c>
      <c r="AU23" s="47" t="s">
        <v>120</v>
      </c>
      <c r="AV23" s="47" t="s">
        <v>140</v>
      </c>
      <c r="AW23" s="50">
        <f>AM23</f>
        <v>0.666666666666667</v>
      </c>
      <c r="AX23" s="50">
        <f>AR23</f>
        <v>576.24</v>
      </c>
      <c r="AY23" s="50">
        <f>AU23+AW23</f>
        <v>0.666666666666667</v>
      </c>
      <c r="AZ23" s="50">
        <f>ROUND(((AU23*AV23)+(AW23*AX23))/(AU23+AW23),5)</f>
        <v>576.24</v>
      </c>
      <c r="BA23" s="52"/>
      <c r="BB23" s="52" t="s">
        <v>115</v>
      </c>
      <c r="BC23" s="53" t="s">
        <v>116</v>
      </c>
      <c r="BD23" s="54" t="s">
        <v>117</v>
      </c>
      <c r="BE23" s="54" t="s">
        <v>118</v>
      </c>
      <c r="BF23" s="52"/>
      <c r="BG23" s="52"/>
      <c r="BH23" s="52"/>
      <c r="BI23" s="50"/>
      <c r="BJ23" s="50"/>
      <c r="BK23" s="50"/>
      <c r="BL23" s="50" t="s">
        <v>119</v>
      </c>
      <c r="BM23" s="47" t="s">
        <v>140</v>
      </c>
      <c r="BN23" s="47" t="s">
        <v>141</v>
      </c>
      <c r="BO23" s="50">
        <f>ROUND((((AW23*AZ23)+(BN23*BM23))/(AW23+BN23)),5)</f>
        <v>242.02286</v>
      </c>
      <c r="BP23" s="55">
        <f>BN23+AW23</f>
        <v>4.66666666666667</v>
      </c>
      <c r="BQ23" s="56">
        <v>88363222</v>
      </c>
    </row>
    <row r="24" ht="15.25" spans="1:69">
      <c r="A24" s="16"/>
      <c r="B24" s="29"/>
      <c r="C24" s="29"/>
      <c r="D24" s="30" t="s">
        <v>41</v>
      </c>
      <c r="E24" s="30"/>
      <c r="F24" s="30"/>
      <c r="G24" s="31"/>
      <c r="H24" s="32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 t="shared" ref="R24:Y24" si="1">SUM(R23:R23)</f>
        <v>15.84</v>
      </c>
      <c r="S24" s="40">
        <f t="shared" si="1"/>
        <v>384.16</v>
      </c>
      <c r="T24" s="32"/>
      <c r="U24" s="32"/>
      <c r="V24" s="41">
        <f t="shared" si="1"/>
        <v>0</v>
      </c>
      <c r="W24" s="41">
        <f t="shared" si="1"/>
        <v>0</v>
      </c>
      <c r="X24" s="41">
        <f t="shared" si="1"/>
        <v>0</v>
      </c>
      <c r="Y24" s="41">
        <f t="shared" si="1"/>
        <v>0</v>
      </c>
      <c r="Z24" s="41"/>
      <c r="AA24" s="41">
        <f t="shared" ref="AA24:AE24" si="2">SUM(AA23:AA23)</f>
        <v>0</v>
      </c>
      <c r="AB24" s="32">
        <f t="shared" si="2"/>
        <v>0</v>
      </c>
      <c r="AC24" s="45">
        <f t="shared" si="2"/>
        <v>384.16</v>
      </c>
      <c r="AD24" s="46">
        <f t="shared" si="2"/>
        <v>120</v>
      </c>
      <c r="AE24" s="46">
        <f t="shared" si="2"/>
        <v>0</v>
      </c>
      <c r="AF24" s="45"/>
      <c r="AG24" s="46">
        <f t="shared" ref="AG24:AK24" si="3">SUM(AG23:AG23)</f>
        <v>0</v>
      </c>
      <c r="AH24" s="46">
        <f t="shared" si="3"/>
        <v>0</v>
      </c>
      <c r="AI24" s="46">
        <f t="shared" si="3"/>
        <v>384.16</v>
      </c>
      <c r="AJ24" s="46">
        <f t="shared" si="3"/>
        <v>0</v>
      </c>
      <c r="AK24" s="46">
        <f t="shared" si="3"/>
        <v>0</v>
      </c>
      <c r="AL24" s="45"/>
      <c r="AM24" s="45"/>
      <c r="AN24" s="45"/>
      <c r="AO24" s="45"/>
      <c r="AP24" s="45"/>
      <c r="AQ24" s="45"/>
      <c r="AR24" s="45"/>
      <c r="AS24" s="16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2026-02-12T10:29:02Z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1033-12.2.0.23196</vt:lpwstr>
  </property>
</Properties>
</file>