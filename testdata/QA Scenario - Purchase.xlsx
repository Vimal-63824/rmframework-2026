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pivotTables/pivotTable2.xml" ContentType="application/vnd.openxmlformats-officedocument.spreadsheetml.pivotTable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20730" windowHeight="8400" activeTab="2"/>
  </bookViews>
  <sheets>
    <sheet name="POASimilarInterstateUnRgPRTPO" sheetId="147" r:id="rId1"/>
    <sheet name="POASimilarInterstateRgPRTPO" sheetId="146" r:id="rId2"/>
    <sheet name="POASimilarLocalRgPRTPO" sheetId="145" r:id="rId3"/>
    <sheet name="POASimilarLocalUnRgPRTPO" sheetId="144" r:id="rId4"/>
    <sheet name="POASimilarImportPRTPO" sheetId="143" r:id="rId5"/>
    <sheet name="POADissimilarImportPRTPO" sheetId="141" r:id="rId6"/>
    <sheet name="POADissimilarInterstRegPRTPO" sheetId="140" r:id="rId7"/>
    <sheet name="POADissimilarLocalRegPRTPO" sheetId="139" r:id="rId8"/>
    <sheet name="POADissimilarInterstUnRegPRTPO" sheetId="138" r:id="rId9"/>
    <sheet name="POADissimilarLocalUnRegPRTPO" sheetId="137" r:id="rId10"/>
    <sheet name="POAServiceImportPRTPO" sheetId="136" r:id="rId11"/>
    <sheet name="POAServiceInterstateRgPRTPO" sheetId="135" r:id="rId12"/>
    <sheet name="POAServiceInterstateUnRgPRTPO" sheetId="134" r:id="rId13"/>
    <sheet name="POAServiceLocalUnRgPRTPO" sheetId="133" r:id="rId14"/>
    <sheet name="POAServiceLocalRgPRTPO" sheetId="132" r:id="rId15"/>
    <sheet name="POASimilarImport" sheetId="131" r:id="rId16"/>
    <sheet name="POADissimilarImport" sheetId="130" r:id="rId17"/>
    <sheet name="POAServiceImport" sheetId="129" r:id="rId18"/>
    <sheet name="POAServiceInterstateRg" sheetId="128" r:id="rId19"/>
    <sheet name="POAServiceInterstateUnRg" sheetId="127" r:id="rId20"/>
    <sheet name="POAServiceLocalUnRg" sheetId="126" r:id="rId21"/>
    <sheet name="POAServiceLocalRg" sheetId="125" r:id="rId22"/>
    <sheet name="POADissimilarItemLocalUnReg" sheetId="124" r:id="rId23"/>
    <sheet name="POADissimilarItemInterstateUnRg" sheetId="123" r:id="rId24"/>
    <sheet name="POADissimilarItemInterstateRg" sheetId="122" r:id="rId25"/>
    <sheet name="POADissimilarItemLocalRg" sheetId="121" r:id="rId26"/>
    <sheet name="POASimilarItemLocalUnRg" sheetId="120" r:id="rId27"/>
    <sheet name="POASimilarItem (2)" sheetId="117" r:id="rId28"/>
    <sheet name="POASimilarItemInterstateUnRg" sheetId="119" r:id="rId29"/>
    <sheet name="POASimilarItemInterstateRg" sheetId="118" r:id="rId30"/>
    <sheet name="POASimilarItemLocalRg" sheetId="28" r:id="rId31"/>
    <sheet name="dummy" sheetId="116" r:id="rId32"/>
    <sheet name="PRSimilarMatImportUnRg" sheetId="115" r:id="rId33"/>
    <sheet name="PRSimilarMatInterstateRg" sheetId="113" r:id="rId34"/>
    <sheet name="PRSimilarMatLocalRg" sheetId="112" r:id="rId35"/>
    <sheet name="PRSimilarMatInterstateUnRg" sheetId="114" r:id="rId36"/>
    <sheet name="PRSimilarMatLocalUnRg" sheetId="111" r:id="rId37"/>
    <sheet name="POASimilarItemImport" sheetId="32" r:id="rId38"/>
    <sheet name="POADissimilarItemImport" sheetId="37" r:id="rId39"/>
    <sheet name="POADissimilarItem" sheetId="36" r:id="rId40"/>
    <sheet name="POADissimilarItemPRTOPOImport" sheetId="40" r:id="rId41"/>
    <sheet name="PRDissimilarItem" sheetId="22" r:id="rId42"/>
    <sheet name="ModifyPOASimilarItemImport" sheetId="42" r:id="rId43"/>
    <sheet name="ModifyPOAServiceItem" sheetId="43" r:id="rId44"/>
    <sheet name="ModifyPOADissimilarItemImport" sheetId="51" r:id="rId45"/>
    <sheet name="CloseshortPOADissimilarImport" sheetId="60" r:id="rId46"/>
    <sheet name="CloseshortPOADissimilarItem" sheetId="59" r:id="rId47"/>
    <sheet name="ModifyPOADissimilarImportPRTOPO" sheetId="63" r:id="rId48"/>
    <sheet name="ModifyPOADissimilarItem" sheetId="50" r:id="rId49"/>
    <sheet name="CloseshortPOASimilarItemImport" sheetId="54" r:id="rId50"/>
    <sheet name="CloseshortPOAServiceItem" sheetId="55" r:id="rId51"/>
    <sheet name="CloseshortPOASimilarItem" sheetId="53" r:id="rId52"/>
    <sheet name="ModifyPOASimilarItem" sheetId="41" r:id="rId53"/>
    <sheet name="ModifyPOASimilarPRTOPOImport" sheetId="49" r:id="rId54"/>
    <sheet name="ModifyPOAServiceItemPRTOPO" sheetId="48" r:id="rId55"/>
    <sheet name="CloseshortPOAServiceItemPRTOPO" sheetId="57" r:id="rId56"/>
    <sheet name="CloseshortPOASimilarPRTOPOImpor" sheetId="58" r:id="rId57"/>
    <sheet name="ModifyPOASimilarItemPRTOPO" sheetId="47" r:id="rId58"/>
    <sheet name="POAServiceItem" sheetId="29" r:id="rId59"/>
    <sheet name="POAServiceItemPRTOPO" sheetId="33" r:id="rId60"/>
    <sheet name="PRGeneral" sheetId="44" r:id="rId61"/>
    <sheet name="POAServiceItemPRTOPOImport" sheetId="34" r:id="rId62"/>
    <sheet name="POASimilarItemPRTOPOImport" sheetId="35" r:id="rId63"/>
    <sheet name="POADissimilarItemPRTOPO" sheetId="39" r:id="rId64"/>
    <sheet name="ModifyPOADissimilarPRTOPOMat" sheetId="62" r:id="rId65"/>
    <sheet name="ModifyPOADissimilarPRTOPOImpMat" sheetId="74" r:id="rId66"/>
    <sheet name="CloseshortPOADissimilarPRTOPO" sheetId="61" r:id="rId67"/>
    <sheet name="CloseshortPOADissimilarPRTOPMat" sheetId="77" r:id="rId68"/>
    <sheet name="CSPOADissimilarPRTOPOMatImp" sheetId="79" r:id="rId69"/>
    <sheet name="POADissimilarItemPRTOPOMaterial" sheetId="66" r:id="rId70"/>
    <sheet name="PRTOPODissimilarItemMaterial" sheetId="70" r:id="rId71"/>
    <sheet name="POADissimilarItemPRTOPOMatImp" sheetId="67" r:id="rId72"/>
    <sheet name="PRTOPODissimilarImportMaterial" sheetId="71" r:id="rId73"/>
    <sheet name="CloseshortPOASimilarItemPRTOPO" sheetId="56" r:id="rId74"/>
    <sheet name="CloseshortPOASimilarItemPRTOMat" sheetId="75" r:id="rId75"/>
    <sheet name="CloseshortPOASimilarPRTOMatImp" sheetId="76" r:id="rId76"/>
    <sheet name="ModifyPOASimilarItemPRTOPOMat" sheetId="72" r:id="rId77"/>
    <sheet name="ModifyPOASimilarPRTOPOMatImp" sheetId="73" r:id="rId78"/>
    <sheet name="POASimilarItemPRTOPOMaterial" sheetId="64" r:id="rId79"/>
    <sheet name="POASimilarItemPRTOPO" sheetId="31" r:id="rId80"/>
    <sheet name="PRTOPOSimilarItemMaterial" sheetId="69" r:id="rId81"/>
    <sheet name="PRMaterial" sheetId="68" r:id="rId82"/>
    <sheet name="PRTOPOSimilarItemMaterialImp" sheetId="65" r:id="rId83"/>
    <sheet name="PRSimilarItemImport" sheetId="23" r:id="rId84"/>
    <sheet name="PRDissimilarItemImport" sheetId="24" r:id="rId85"/>
    <sheet name="PRDissimilarItemInterstateUnreg" sheetId="107" r:id="rId86"/>
    <sheet name="PRDissimilarItemInterstateRg" sheetId="106" r:id="rId87"/>
    <sheet name="PRDissimilarImport" sheetId="109" r:id="rId88"/>
    <sheet name="PRDissimilarItemLocalUnReg" sheetId="108" r:id="rId89"/>
    <sheet name="PRDissimilarItemLocalRg" sheetId="105" r:id="rId90"/>
    <sheet name="PRService" sheetId="45" r:id="rId91"/>
    <sheet name="PRServiceItem" sheetId="21" r:id="rId92"/>
    <sheet name="PRServiceItemImport" sheetId="27" r:id="rId93"/>
    <sheet name="POStockTransferItem" sheetId="46" r:id="rId94"/>
    <sheet name="POSimilarItem (2)" sheetId="80" r:id="rId95"/>
    <sheet name="PRSimilarImport" sheetId="92" r:id="rId96"/>
    <sheet name="PRSimilarItemInterstateUnRg" sheetId="91" r:id="rId97"/>
    <sheet name="PRSimilarItemLocalUnRg" sheetId="90" r:id="rId98"/>
    <sheet name="PRServiceImport" sheetId="96" r:id="rId99"/>
    <sheet name="PRServiceItemInterstateUnRg" sheetId="95" r:id="rId100"/>
    <sheet name="PRServiceItemLocalUnRg" sheetId="94" r:id="rId101"/>
    <sheet name="PODissimilarItemInterstateU (2)" sheetId="103" r:id="rId102"/>
    <sheet name="PRServiceItemInterstateRg" sheetId="104" r:id="rId103"/>
    <sheet name="PRServiceItemLocalRg" sheetId="93" r:id="rId104"/>
    <sheet name="PRSimilarItemInterstateRg" sheetId="102" r:id="rId105"/>
    <sheet name="PRSimilarItemLocalRg" sheetId="19" r:id="rId106"/>
    <sheet name="POSimilarItemLocalUnR (2)" sheetId="89" r:id="rId107"/>
    <sheet name="POSimilarItemInterstateUnR" sheetId="83" r:id="rId108"/>
    <sheet name="POSimilarItemInterstate" sheetId="81" r:id="rId109"/>
    <sheet name="POSimilarItemLocalUnR" sheetId="82" r:id="rId110"/>
    <sheet name="POServiceItemInterstateUnR" sheetId="86" r:id="rId111"/>
    <sheet name="POServiceItemLocalUnR" sheetId="85" r:id="rId112"/>
    <sheet name="POServiceItemInterstate" sheetId="101" r:id="rId113"/>
    <sheet name="POServiceItemLocal" sheetId="84" r:id="rId114"/>
    <sheet name="POServiceImport" sheetId="88" r:id="rId115"/>
    <sheet name="POSimilarImport" sheetId="87" r:id="rId116"/>
    <sheet name="PODissimilarItemInterstateUnR" sheetId="99" r:id="rId117"/>
    <sheet name="PODissimilarImport" sheetId="100" r:id="rId118"/>
    <sheet name="PODissimilarItemLocalUnR" sheetId="98" r:id="rId119"/>
    <sheet name="PODissimilarItemLocal" sheetId="97" r:id="rId120"/>
    <sheet name="POSimilarItemLocal" sheetId="8" r:id="rId121"/>
    <sheet name="POServiceItem" sheetId="17" r:id="rId122"/>
    <sheet name="POSimilarItemImport" sheetId="14" r:id="rId123"/>
    <sheet name="PODissimilarItem" sheetId="15" r:id="rId124"/>
    <sheet name="PODissimilarItemImport" sheetId="16" r:id="rId125"/>
    <sheet name="POServiceItemImport" sheetId="18" r:id="rId126"/>
    <sheet name="Case 1" sheetId="1" r:id="rId127"/>
    <sheet name="Case 1 (2)" sheetId="20" r:id="rId128"/>
    <sheet name="Case 2" sheetId="4" r:id="rId129"/>
    <sheet name="Case 3" sheetId="6" r:id="rId130"/>
    <sheet name="Case 4" sheetId="5" r:id="rId131"/>
  </sheets>
  <calcPr calcId="124519"/>
  <pivotCaches>
    <pivotCache cacheId="1" r:id="rId13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" i="147"/>
  <c r="AD21"/>
  <c r="AR20"/>
  <c r="Y20"/>
  <c r="W20"/>
  <c r="V20"/>
  <c r="L20"/>
  <c r="M20" s="1"/>
  <c r="H20"/>
  <c r="AM19"/>
  <c r="AP19" s="1"/>
  <c r="AK19"/>
  <c r="Y19"/>
  <c r="W19"/>
  <c r="W21" s="1"/>
  <c r="V19"/>
  <c r="M19"/>
  <c r="N19" s="1"/>
  <c r="L19"/>
  <c r="H19"/>
  <c r="H21" s="1"/>
  <c r="AK15"/>
  <c r="AD15"/>
  <c r="AP14"/>
  <c r="AM14"/>
  <c r="AK14"/>
  <c r="Y14"/>
  <c r="W14"/>
  <c r="W15" s="1"/>
  <c r="V14"/>
  <c r="V15" s="1"/>
  <c r="L14"/>
  <c r="M14" s="1"/>
  <c r="H14"/>
  <c r="AD10"/>
  <c r="V10"/>
  <c r="H10"/>
  <c r="AM9"/>
  <c r="AK9"/>
  <c r="AK10" s="1"/>
  <c r="Y9"/>
  <c r="W9"/>
  <c r="W10" s="1"/>
  <c r="V9"/>
  <c r="H9"/>
  <c r="L9" s="1"/>
  <c r="M9" s="1"/>
  <c r="H4"/>
  <c r="H5" s="1"/>
  <c r="AD21" i="146"/>
  <c r="AR20"/>
  <c r="Y20"/>
  <c r="X20"/>
  <c r="H20"/>
  <c r="AM19"/>
  <c r="AK19"/>
  <c r="AP19" s="1"/>
  <c r="Y19"/>
  <c r="X19"/>
  <c r="X21" s="1"/>
  <c r="H19"/>
  <c r="H21" s="1"/>
  <c r="AD15"/>
  <c r="AM14"/>
  <c r="AK14"/>
  <c r="AK15" s="1"/>
  <c r="Y14"/>
  <c r="X14"/>
  <c r="X15" s="1"/>
  <c r="L14"/>
  <c r="M14" s="1"/>
  <c r="H14"/>
  <c r="AK10"/>
  <c r="AD10"/>
  <c r="H10"/>
  <c r="AM9"/>
  <c r="AP9" s="1"/>
  <c r="AK9"/>
  <c r="Y9"/>
  <c r="X9"/>
  <c r="X10" s="1"/>
  <c r="L9"/>
  <c r="M9" s="1"/>
  <c r="H9"/>
  <c r="H5"/>
  <c r="H4"/>
  <c r="AK21" i="145"/>
  <c r="AD21"/>
  <c r="AR20"/>
  <c r="Y20"/>
  <c r="X20"/>
  <c r="L20"/>
  <c r="M20" s="1"/>
  <c r="H20"/>
  <c r="N20" s="1"/>
  <c r="AM19"/>
  <c r="AK19"/>
  <c r="AP19" s="1"/>
  <c r="Y19"/>
  <c r="X19"/>
  <c r="X21" s="1"/>
  <c r="M19"/>
  <c r="L19"/>
  <c r="H19"/>
  <c r="H21" s="1"/>
  <c r="AD15"/>
  <c r="AM14"/>
  <c r="AK14"/>
  <c r="AK15" s="1"/>
  <c r="Y14"/>
  <c r="X14"/>
  <c r="X15" s="1"/>
  <c r="L14"/>
  <c r="M14" s="1"/>
  <c r="H14"/>
  <c r="AK10"/>
  <c r="AD10"/>
  <c r="X10"/>
  <c r="AM9"/>
  <c r="AP9" s="1"/>
  <c r="AK9"/>
  <c r="Y9"/>
  <c r="X9"/>
  <c r="H9"/>
  <c r="L9" s="1"/>
  <c r="M9" s="1"/>
  <c r="H4"/>
  <c r="H5" s="1"/>
  <c r="H5" i="144"/>
  <c r="H4"/>
  <c r="AD21"/>
  <c r="AR20"/>
  <c r="Y20"/>
  <c r="X20"/>
  <c r="M20"/>
  <c r="N20" s="1"/>
  <c r="L20"/>
  <c r="H20"/>
  <c r="AM19"/>
  <c r="AK19"/>
  <c r="AP19" s="1"/>
  <c r="Y19"/>
  <c r="X19"/>
  <c r="X21" s="1"/>
  <c r="H19"/>
  <c r="H21" s="1"/>
  <c r="AK15"/>
  <c r="AD15"/>
  <c r="X15"/>
  <c r="AP14"/>
  <c r="AM14"/>
  <c r="AK14"/>
  <c r="Y14"/>
  <c r="X14"/>
  <c r="H14"/>
  <c r="AK10"/>
  <c r="AD10"/>
  <c r="AP9"/>
  <c r="AM9"/>
  <c r="AK9"/>
  <c r="Y9"/>
  <c r="X9"/>
  <c r="X10" s="1"/>
  <c r="L9"/>
  <c r="M9" s="1"/>
  <c r="H9"/>
  <c r="H10" s="1"/>
  <c r="H4" i="143"/>
  <c r="H5" s="1"/>
  <c r="AD21"/>
  <c r="V21"/>
  <c r="AR20"/>
  <c r="Y20"/>
  <c r="X20"/>
  <c r="W20"/>
  <c r="V20"/>
  <c r="L20"/>
  <c r="M20" s="1"/>
  <c r="N20" s="1"/>
  <c r="H20"/>
  <c r="AM19"/>
  <c r="AJ19"/>
  <c r="AJ21" s="1"/>
  <c r="Y19"/>
  <c r="X19"/>
  <c r="X21" s="1"/>
  <c r="W19"/>
  <c r="W21" s="1"/>
  <c r="V19"/>
  <c r="H19"/>
  <c r="H21" s="1"/>
  <c r="AD15"/>
  <c r="AM14"/>
  <c r="AO14" s="1"/>
  <c r="AJ14"/>
  <c r="AJ15" s="1"/>
  <c r="Y14"/>
  <c r="X14"/>
  <c r="X15" s="1"/>
  <c r="W14"/>
  <c r="W15" s="1"/>
  <c r="V14"/>
  <c r="V15" s="1"/>
  <c r="H14"/>
  <c r="L14" s="1"/>
  <c r="M14" s="1"/>
  <c r="AJ10"/>
  <c r="AD10"/>
  <c r="W10"/>
  <c r="AO9"/>
  <c r="AM9"/>
  <c r="AJ9"/>
  <c r="Y9"/>
  <c r="X9"/>
  <c r="X10" s="1"/>
  <c r="W9"/>
  <c r="V9"/>
  <c r="V10" s="1"/>
  <c r="H9"/>
  <c r="AD21" i="141"/>
  <c r="AR20"/>
  <c r="Y20"/>
  <c r="W20"/>
  <c r="V20"/>
  <c r="L20"/>
  <c r="M20" s="1"/>
  <c r="H20"/>
  <c r="AK19"/>
  <c r="AK21" s="1"/>
  <c r="Y19"/>
  <c r="W19"/>
  <c r="W21" s="1"/>
  <c r="V19"/>
  <c r="G19"/>
  <c r="F19"/>
  <c r="AM19" s="1"/>
  <c r="AD15"/>
  <c r="H15"/>
  <c r="AM14"/>
  <c r="AK14"/>
  <c r="AK15" s="1"/>
  <c r="Y14"/>
  <c r="W14"/>
  <c r="W15" s="1"/>
  <c r="V14"/>
  <c r="V15" s="1"/>
  <c r="M14"/>
  <c r="N14" s="1"/>
  <c r="L14"/>
  <c r="H14"/>
  <c r="AD10"/>
  <c r="W10"/>
  <c r="AK9"/>
  <c r="AK10" s="1"/>
  <c r="Y9"/>
  <c r="W9"/>
  <c r="V9"/>
  <c r="V10" s="1"/>
  <c r="H9"/>
  <c r="H10" s="1"/>
  <c r="G9"/>
  <c r="F9"/>
  <c r="AM9" s="1"/>
  <c r="H4"/>
  <c r="H5" s="1"/>
  <c r="G19" i="137"/>
  <c r="F19"/>
  <c r="AM19" s="1"/>
  <c r="G19" i="138"/>
  <c r="F19"/>
  <c r="AM19" s="1"/>
  <c r="G19" i="139"/>
  <c r="F19"/>
  <c r="G19" i="140"/>
  <c r="F19"/>
  <c r="AD21"/>
  <c r="AR20"/>
  <c r="Y20"/>
  <c r="W20"/>
  <c r="V20"/>
  <c r="H20"/>
  <c r="AK19"/>
  <c r="Y19"/>
  <c r="W19"/>
  <c r="V19"/>
  <c r="V21" s="1"/>
  <c r="AD15"/>
  <c r="AP14"/>
  <c r="AM14"/>
  <c r="AK14"/>
  <c r="AK15" s="1"/>
  <c r="Y14"/>
  <c r="W14"/>
  <c r="W15" s="1"/>
  <c r="V14"/>
  <c r="V15" s="1"/>
  <c r="L14"/>
  <c r="M14" s="1"/>
  <c r="H14"/>
  <c r="AD10"/>
  <c r="V10"/>
  <c r="AK9"/>
  <c r="AK10" s="1"/>
  <c r="Y9"/>
  <c r="W9"/>
  <c r="W10" s="1"/>
  <c r="V9"/>
  <c r="G9"/>
  <c r="F9"/>
  <c r="AM9" s="1"/>
  <c r="H4"/>
  <c r="H5" s="1"/>
  <c r="AD21" i="139"/>
  <c r="AR20"/>
  <c r="Y20"/>
  <c r="X20"/>
  <c r="L20"/>
  <c r="M20" s="1"/>
  <c r="H20"/>
  <c r="AM19"/>
  <c r="AP19" s="1"/>
  <c r="AK19"/>
  <c r="AK21" s="1"/>
  <c r="Y19"/>
  <c r="X19"/>
  <c r="X21" s="1"/>
  <c r="AD15"/>
  <c r="AM14"/>
  <c r="AK14"/>
  <c r="AK15" s="1"/>
  <c r="Y14"/>
  <c r="X14"/>
  <c r="X15" s="1"/>
  <c r="L14"/>
  <c r="M14" s="1"/>
  <c r="H14"/>
  <c r="AD10"/>
  <c r="AK9"/>
  <c r="AK10" s="1"/>
  <c r="Y9"/>
  <c r="X9"/>
  <c r="X10" s="1"/>
  <c r="G9"/>
  <c r="F9"/>
  <c r="AM9" s="1"/>
  <c r="H4"/>
  <c r="H5" s="1"/>
  <c r="AD21" i="138"/>
  <c r="AR20"/>
  <c r="Y20"/>
  <c r="X20"/>
  <c r="L20"/>
  <c r="M20" s="1"/>
  <c r="H20"/>
  <c r="AK19"/>
  <c r="Y19"/>
  <c r="AD15"/>
  <c r="AM14"/>
  <c r="AK14"/>
  <c r="AK15" s="1"/>
  <c r="Y14"/>
  <c r="X14"/>
  <c r="X15" s="1"/>
  <c r="L14"/>
  <c r="M14" s="1"/>
  <c r="H14"/>
  <c r="AD10"/>
  <c r="AK9"/>
  <c r="AK10" s="1"/>
  <c r="Y9"/>
  <c r="X9"/>
  <c r="X10" s="1"/>
  <c r="G9"/>
  <c r="F9"/>
  <c r="AM9" s="1"/>
  <c r="H5"/>
  <c r="H4"/>
  <c r="G9" i="137"/>
  <c r="F9"/>
  <c r="AM9"/>
  <c r="H4"/>
  <c r="H5" s="1"/>
  <c r="AD21"/>
  <c r="AR20"/>
  <c r="Y20"/>
  <c r="X20"/>
  <c r="H20"/>
  <c r="AK19"/>
  <c r="Y19"/>
  <c r="X19"/>
  <c r="X21" s="1"/>
  <c r="AD15"/>
  <c r="X15"/>
  <c r="AM14"/>
  <c r="AK14"/>
  <c r="AK15" s="1"/>
  <c r="Y14"/>
  <c r="X14"/>
  <c r="L14"/>
  <c r="M14" s="1"/>
  <c r="H14"/>
  <c r="AD10"/>
  <c r="AK9"/>
  <c r="AK10" s="1"/>
  <c r="Y9"/>
  <c r="X9"/>
  <c r="X10" s="1"/>
  <c r="AD21" i="136"/>
  <c r="H21"/>
  <c r="AR20"/>
  <c r="Y20"/>
  <c r="W20"/>
  <c r="V20"/>
  <c r="H20"/>
  <c r="AM19"/>
  <c r="AK19"/>
  <c r="AP19" s="1"/>
  <c r="Y19"/>
  <c r="W19"/>
  <c r="V19"/>
  <c r="V21" s="1"/>
  <c r="M19"/>
  <c r="L19"/>
  <c r="H19"/>
  <c r="AD15"/>
  <c r="AM14"/>
  <c r="AK14"/>
  <c r="AK15" s="1"/>
  <c r="Y14"/>
  <c r="W14"/>
  <c r="W15" s="1"/>
  <c r="V14"/>
  <c r="V15" s="1"/>
  <c r="L14"/>
  <c r="M14" s="1"/>
  <c r="H14"/>
  <c r="AD10"/>
  <c r="V10"/>
  <c r="H10"/>
  <c r="AM9"/>
  <c r="AK9"/>
  <c r="AK10" s="1"/>
  <c r="Y9"/>
  <c r="W9"/>
  <c r="W10" s="1"/>
  <c r="V9"/>
  <c r="M9"/>
  <c r="N9" s="1"/>
  <c r="L9"/>
  <c r="H9"/>
  <c r="H4"/>
  <c r="H5" s="1"/>
  <c r="AD21" i="135"/>
  <c r="H21"/>
  <c r="AR20"/>
  <c r="Y20"/>
  <c r="W20"/>
  <c r="V20"/>
  <c r="L20"/>
  <c r="M20" s="1"/>
  <c r="H20"/>
  <c r="AM19"/>
  <c r="AP19" s="1"/>
  <c r="AK19"/>
  <c r="AK21" s="1"/>
  <c r="Y19"/>
  <c r="W19"/>
  <c r="W21" s="1"/>
  <c r="V19"/>
  <c r="M19"/>
  <c r="L19"/>
  <c r="H19"/>
  <c r="AK15"/>
  <c r="AD15"/>
  <c r="AP14"/>
  <c r="AM14"/>
  <c r="AK14"/>
  <c r="Y14"/>
  <c r="W14"/>
  <c r="W15" s="1"/>
  <c r="V14"/>
  <c r="V15" s="1"/>
  <c r="L14"/>
  <c r="M14" s="1"/>
  <c r="H14"/>
  <c r="AD10"/>
  <c r="V10"/>
  <c r="H10"/>
  <c r="AM9"/>
  <c r="AK9"/>
  <c r="AK10" s="1"/>
  <c r="Y9"/>
  <c r="W9"/>
  <c r="W10" s="1"/>
  <c r="V9"/>
  <c r="M9"/>
  <c r="N9" s="1"/>
  <c r="L9"/>
  <c r="H9"/>
  <c r="H4"/>
  <c r="H5" s="1"/>
  <c r="AD21" i="134"/>
  <c r="AR20"/>
  <c r="Y20"/>
  <c r="X20"/>
  <c r="H20"/>
  <c r="AM19"/>
  <c r="AK19"/>
  <c r="AP19" s="1"/>
  <c r="Y19"/>
  <c r="X19"/>
  <c r="X21" s="1"/>
  <c r="H19"/>
  <c r="H21" s="1"/>
  <c r="AD15"/>
  <c r="AM14"/>
  <c r="AK14"/>
  <c r="AK15" s="1"/>
  <c r="Y14"/>
  <c r="X14"/>
  <c r="X15" s="1"/>
  <c r="L14"/>
  <c r="M14" s="1"/>
  <c r="H14"/>
  <c r="AK10"/>
  <c r="AD10"/>
  <c r="H10"/>
  <c r="AM9"/>
  <c r="AK9"/>
  <c r="Y9"/>
  <c r="X9"/>
  <c r="X10" s="1"/>
  <c r="L9"/>
  <c r="M9" s="1"/>
  <c r="H9"/>
  <c r="H5"/>
  <c r="H4"/>
  <c r="AK21" i="133"/>
  <c r="AD21"/>
  <c r="AR20"/>
  <c r="Y20"/>
  <c r="X20"/>
  <c r="H20"/>
  <c r="AP19"/>
  <c r="AM19"/>
  <c r="AK19"/>
  <c r="Y19"/>
  <c r="X19"/>
  <c r="X21" s="1"/>
  <c r="L19"/>
  <c r="M19" s="1"/>
  <c r="H19"/>
  <c r="H21" s="1"/>
  <c r="AD15"/>
  <c r="H15"/>
  <c r="AM14"/>
  <c r="AK14"/>
  <c r="AK15" s="1"/>
  <c r="Y14"/>
  <c r="X14"/>
  <c r="X15" s="1"/>
  <c r="L14"/>
  <c r="M14" s="1"/>
  <c r="H14"/>
  <c r="AD10"/>
  <c r="AM9"/>
  <c r="AK9"/>
  <c r="AK10" s="1"/>
  <c r="Y9"/>
  <c r="X9"/>
  <c r="X10" s="1"/>
  <c r="H9"/>
  <c r="L9" s="1"/>
  <c r="M9" s="1"/>
  <c r="H5"/>
  <c r="H4"/>
  <c r="H4" i="132"/>
  <c r="H5" s="1"/>
  <c r="AD21"/>
  <c r="H21"/>
  <c r="AR20"/>
  <c r="Y20"/>
  <c r="X20"/>
  <c r="H20"/>
  <c r="L20" s="1"/>
  <c r="M20" s="1"/>
  <c r="AM19"/>
  <c r="AK19"/>
  <c r="AK21" s="1"/>
  <c r="Y19"/>
  <c r="X19"/>
  <c r="X21" s="1"/>
  <c r="L19"/>
  <c r="M19" s="1"/>
  <c r="H19"/>
  <c r="AD15"/>
  <c r="AP14"/>
  <c r="AM14"/>
  <c r="AK14"/>
  <c r="AK15" s="1"/>
  <c r="Y14"/>
  <c r="X14"/>
  <c r="X15" s="1"/>
  <c r="H14"/>
  <c r="L14" s="1"/>
  <c r="M14" s="1"/>
  <c r="AD10"/>
  <c r="AM9"/>
  <c r="AK9"/>
  <c r="AP9" s="1"/>
  <c r="Y9"/>
  <c r="X9"/>
  <c r="X10" s="1"/>
  <c r="H9"/>
  <c r="H10" s="1"/>
  <c r="AD16" i="131"/>
  <c r="AR15"/>
  <c r="Y15"/>
  <c r="X15"/>
  <c r="L15"/>
  <c r="M15" s="1"/>
  <c r="H15"/>
  <c r="N15" s="1"/>
  <c r="AM14"/>
  <c r="AK14"/>
  <c r="AP14" s="1"/>
  <c r="Y14"/>
  <c r="X14"/>
  <c r="X16" s="1"/>
  <c r="H14"/>
  <c r="H16" s="1"/>
  <c r="AK10"/>
  <c r="AD10"/>
  <c r="AM9"/>
  <c r="AK9"/>
  <c r="AP9" s="1"/>
  <c r="Y9"/>
  <c r="X9"/>
  <c r="X10" s="1"/>
  <c r="L9"/>
  <c r="M9" s="1"/>
  <c r="H9"/>
  <c r="AD5"/>
  <c r="H5"/>
  <c r="AM4"/>
  <c r="AK4"/>
  <c r="AK5" s="1"/>
  <c r="Y4"/>
  <c r="X4"/>
  <c r="X5" s="1"/>
  <c r="H4"/>
  <c r="L4" s="1"/>
  <c r="M4" s="1"/>
  <c r="AD16" i="130"/>
  <c r="H16"/>
  <c r="AR15"/>
  <c r="Y15"/>
  <c r="X15"/>
  <c r="H15"/>
  <c r="AM14"/>
  <c r="AK14"/>
  <c r="AP14" s="1"/>
  <c r="Y14"/>
  <c r="X14"/>
  <c r="X16" s="1"/>
  <c r="M14"/>
  <c r="L14"/>
  <c r="H14"/>
  <c r="AD10"/>
  <c r="X10"/>
  <c r="AM9"/>
  <c r="AK9"/>
  <c r="AK10" s="1"/>
  <c r="Y9"/>
  <c r="X9"/>
  <c r="L9"/>
  <c r="M9" s="1"/>
  <c r="H9"/>
  <c r="AD5"/>
  <c r="H5"/>
  <c r="AM4"/>
  <c r="AK4"/>
  <c r="AK5" s="1"/>
  <c r="Y4"/>
  <c r="X4"/>
  <c r="X5" s="1"/>
  <c r="M4"/>
  <c r="N4" s="1"/>
  <c r="L4"/>
  <c r="H4"/>
  <c r="AD16" i="129"/>
  <c r="H16"/>
  <c r="AR15"/>
  <c r="Y15"/>
  <c r="W15"/>
  <c r="V15"/>
  <c r="H15"/>
  <c r="AM14"/>
  <c r="AK14"/>
  <c r="AP14" s="1"/>
  <c r="Y14"/>
  <c r="W14"/>
  <c r="W16" s="1"/>
  <c r="V14"/>
  <c r="V16" s="1"/>
  <c r="H14"/>
  <c r="AD10"/>
  <c r="AP9"/>
  <c r="AM9"/>
  <c r="AK9"/>
  <c r="AK10" s="1"/>
  <c r="Y9"/>
  <c r="W9"/>
  <c r="W10" s="1"/>
  <c r="V9"/>
  <c r="V10" s="1"/>
  <c r="H9"/>
  <c r="AK5"/>
  <c r="AD5"/>
  <c r="H5"/>
  <c r="AM4"/>
  <c r="AK4"/>
  <c r="AP4" s="1"/>
  <c r="Y4"/>
  <c r="W4"/>
  <c r="W5" s="1"/>
  <c r="V4"/>
  <c r="V5" s="1"/>
  <c r="L4"/>
  <c r="M4" s="1"/>
  <c r="H4"/>
  <c r="AD16" i="128"/>
  <c r="H16"/>
  <c r="AR15"/>
  <c r="Y15"/>
  <c r="W15"/>
  <c r="V15"/>
  <c r="H15"/>
  <c r="AM14"/>
  <c r="AK14"/>
  <c r="AP14" s="1"/>
  <c r="Y14"/>
  <c r="W14"/>
  <c r="V14"/>
  <c r="V16" s="1"/>
  <c r="M14"/>
  <c r="L14"/>
  <c r="H14"/>
  <c r="AD10"/>
  <c r="AP9"/>
  <c r="AM9"/>
  <c r="AK9"/>
  <c r="AK10" s="1"/>
  <c r="Y9"/>
  <c r="W9"/>
  <c r="W10" s="1"/>
  <c r="V9"/>
  <c r="V10" s="1"/>
  <c r="L9"/>
  <c r="M9" s="1"/>
  <c r="H9"/>
  <c r="AD5"/>
  <c r="V5"/>
  <c r="H5"/>
  <c r="AM4"/>
  <c r="AK4"/>
  <c r="AK5" s="1"/>
  <c r="Y4"/>
  <c r="W4"/>
  <c r="W5" s="1"/>
  <c r="V4"/>
  <c r="N4"/>
  <c r="O4" s="1"/>
  <c r="M4"/>
  <c r="L4"/>
  <c r="H4"/>
  <c r="AK16" i="127"/>
  <c r="AD16"/>
  <c r="H16"/>
  <c r="AR15"/>
  <c r="Y15"/>
  <c r="X15"/>
  <c r="L15"/>
  <c r="M15" s="1"/>
  <c r="H15"/>
  <c r="AM14"/>
  <c r="AP14" s="1"/>
  <c r="AK14"/>
  <c r="Y14"/>
  <c r="X14"/>
  <c r="X16" s="1"/>
  <c r="L14"/>
  <c r="M14" s="1"/>
  <c r="H14"/>
  <c r="AD10"/>
  <c r="AM9"/>
  <c r="AK9"/>
  <c r="AK10" s="1"/>
  <c r="Y9"/>
  <c r="X9"/>
  <c r="X10" s="1"/>
  <c r="H9"/>
  <c r="AD5"/>
  <c r="AM4"/>
  <c r="AK4"/>
  <c r="AK5" s="1"/>
  <c r="Y4"/>
  <c r="X4"/>
  <c r="X5" s="1"/>
  <c r="H4"/>
  <c r="L4" s="1"/>
  <c r="M4" s="1"/>
  <c r="AD16" i="126"/>
  <c r="H16"/>
  <c r="AR15"/>
  <c r="Y15"/>
  <c r="X15"/>
  <c r="L15"/>
  <c r="M15" s="1"/>
  <c r="H15"/>
  <c r="AM14"/>
  <c r="AP14" s="1"/>
  <c r="AK14"/>
  <c r="AK16" s="1"/>
  <c r="Y14"/>
  <c r="X14"/>
  <c r="X16" s="1"/>
  <c r="M14"/>
  <c r="L14"/>
  <c r="H14"/>
  <c r="AD10"/>
  <c r="X10"/>
  <c r="AP9"/>
  <c r="AM9"/>
  <c r="AK9"/>
  <c r="AK10" s="1"/>
  <c r="Y9"/>
  <c r="X9"/>
  <c r="H9"/>
  <c r="AD5"/>
  <c r="AM4"/>
  <c r="AK4"/>
  <c r="AK5" s="1"/>
  <c r="Y4"/>
  <c r="X4"/>
  <c r="X5" s="1"/>
  <c r="M4"/>
  <c r="L4"/>
  <c r="H4"/>
  <c r="H5" s="1"/>
  <c r="AD16" i="125"/>
  <c r="AR15"/>
  <c r="Y15"/>
  <c r="X15"/>
  <c r="H15"/>
  <c r="L15" s="1"/>
  <c r="M15" s="1"/>
  <c r="N15" s="1"/>
  <c r="AM14"/>
  <c r="AK14"/>
  <c r="AP14" s="1"/>
  <c r="Y14"/>
  <c r="X14"/>
  <c r="X16" s="1"/>
  <c r="H14"/>
  <c r="H16" s="1"/>
  <c r="AD10"/>
  <c r="AM9"/>
  <c r="AK9"/>
  <c r="AP9" s="1"/>
  <c r="Y9"/>
  <c r="X9"/>
  <c r="X10" s="1"/>
  <c r="H9"/>
  <c r="H10" s="1"/>
  <c r="AD5"/>
  <c r="AM4"/>
  <c r="AK4"/>
  <c r="Y4"/>
  <c r="X4"/>
  <c r="X5" s="1"/>
  <c r="H4"/>
  <c r="H5" s="1"/>
  <c r="AD16" i="124"/>
  <c r="H16"/>
  <c r="AR15"/>
  <c r="Y15"/>
  <c r="X15"/>
  <c r="L15"/>
  <c r="M15" s="1"/>
  <c r="H15"/>
  <c r="AM14"/>
  <c r="AP14" s="1"/>
  <c r="AK14"/>
  <c r="AK16" s="1"/>
  <c r="Y14"/>
  <c r="X14"/>
  <c r="X16" s="1"/>
  <c r="L14"/>
  <c r="M14" s="1"/>
  <c r="H14"/>
  <c r="AD10"/>
  <c r="AM9"/>
  <c r="AK9"/>
  <c r="AK10" s="1"/>
  <c r="Y9"/>
  <c r="X9"/>
  <c r="X10" s="1"/>
  <c r="H9"/>
  <c r="AD5"/>
  <c r="AM4"/>
  <c r="AK4"/>
  <c r="AK5" s="1"/>
  <c r="Y4"/>
  <c r="X4"/>
  <c r="X5" s="1"/>
  <c r="M4"/>
  <c r="L4"/>
  <c r="H4"/>
  <c r="H5" s="1"/>
  <c r="AD16" i="123"/>
  <c r="H16"/>
  <c r="AR15"/>
  <c r="Y15"/>
  <c r="X15"/>
  <c r="L15"/>
  <c r="M15" s="1"/>
  <c r="H15"/>
  <c r="AM14"/>
  <c r="AP14" s="1"/>
  <c r="AK14"/>
  <c r="AK16" s="1"/>
  <c r="Y14"/>
  <c r="X14"/>
  <c r="X16" s="1"/>
  <c r="M14"/>
  <c r="L14"/>
  <c r="H14"/>
  <c r="AD10"/>
  <c r="AM9"/>
  <c r="AK9"/>
  <c r="AP9" s="1"/>
  <c r="Y9"/>
  <c r="X9"/>
  <c r="X10" s="1"/>
  <c r="L9"/>
  <c r="M9" s="1"/>
  <c r="H9"/>
  <c r="AD5"/>
  <c r="H5"/>
  <c r="AM4"/>
  <c r="AK4"/>
  <c r="AK5" s="1"/>
  <c r="Y4"/>
  <c r="X4"/>
  <c r="X5" s="1"/>
  <c r="M4"/>
  <c r="N4" s="1"/>
  <c r="L4"/>
  <c r="H4"/>
  <c r="AD16" i="122"/>
  <c r="H16"/>
  <c r="AR15"/>
  <c r="Y15"/>
  <c r="X15"/>
  <c r="H15"/>
  <c r="AM14"/>
  <c r="AK14"/>
  <c r="AK16" s="1"/>
  <c r="Y14"/>
  <c r="X14"/>
  <c r="X16" s="1"/>
  <c r="L14"/>
  <c r="M14" s="1"/>
  <c r="H14"/>
  <c r="AD10"/>
  <c r="AM9"/>
  <c r="AK9"/>
  <c r="AK10" s="1"/>
  <c r="Y9"/>
  <c r="X9"/>
  <c r="X10" s="1"/>
  <c r="L9"/>
  <c r="M9" s="1"/>
  <c r="H9"/>
  <c r="AD5"/>
  <c r="H5"/>
  <c r="AM4"/>
  <c r="AK4"/>
  <c r="AK5" s="1"/>
  <c r="Y4"/>
  <c r="X4"/>
  <c r="X5" s="1"/>
  <c r="H4"/>
  <c r="L4" s="1"/>
  <c r="M4" s="1"/>
  <c r="AD16" i="121"/>
  <c r="H16"/>
  <c r="AR15"/>
  <c r="Y15"/>
  <c r="X15"/>
  <c r="N15"/>
  <c r="O15" s="1"/>
  <c r="M15"/>
  <c r="L15"/>
  <c r="H15"/>
  <c r="AM14"/>
  <c r="AK14"/>
  <c r="AP14" s="1"/>
  <c r="Y14"/>
  <c r="X14"/>
  <c r="X16" s="1"/>
  <c r="H14"/>
  <c r="AK10"/>
  <c r="AD10"/>
  <c r="X10"/>
  <c r="AP9"/>
  <c r="AM9"/>
  <c r="AK9"/>
  <c r="Y9"/>
  <c r="X9"/>
  <c r="H9"/>
  <c r="L9" s="1"/>
  <c r="M9" s="1"/>
  <c r="AK5"/>
  <c r="AD5"/>
  <c r="H5"/>
  <c r="AP4"/>
  <c r="AM4"/>
  <c r="AK4"/>
  <c r="Y4"/>
  <c r="X4"/>
  <c r="X5" s="1"/>
  <c r="M4"/>
  <c r="N4" s="1"/>
  <c r="L4"/>
  <c r="H4"/>
  <c r="AD16" i="120"/>
  <c r="H16"/>
  <c r="AR15"/>
  <c r="Y15"/>
  <c r="X15"/>
  <c r="M15"/>
  <c r="N15" s="1"/>
  <c r="L15"/>
  <c r="H15"/>
  <c r="AM14"/>
  <c r="AK14"/>
  <c r="AP14" s="1"/>
  <c r="Y14"/>
  <c r="X14"/>
  <c r="X16" s="1"/>
  <c r="H14"/>
  <c r="AK10"/>
  <c r="AD10"/>
  <c r="X10"/>
  <c r="AP9"/>
  <c r="AM9"/>
  <c r="AK9"/>
  <c r="Y9"/>
  <c r="X9"/>
  <c r="H9"/>
  <c r="AK5"/>
  <c r="AD5"/>
  <c r="H5"/>
  <c r="AP4"/>
  <c r="AM4"/>
  <c r="AK4"/>
  <c r="Y4"/>
  <c r="X4"/>
  <c r="X5" s="1"/>
  <c r="L4"/>
  <c r="M4" s="1"/>
  <c r="H4"/>
  <c r="AD16" i="119"/>
  <c r="H16"/>
  <c r="AR15"/>
  <c r="Y15"/>
  <c r="W15"/>
  <c r="V15"/>
  <c r="H15"/>
  <c r="AM14"/>
  <c r="AK14"/>
  <c r="AP14" s="1"/>
  <c r="Y14"/>
  <c r="W14"/>
  <c r="W16" s="1"/>
  <c r="V14"/>
  <c r="V16" s="1"/>
  <c r="H14"/>
  <c r="AK10"/>
  <c r="AD10"/>
  <c r="W10"/>
  <c r="AP9"/>
  <c r="AM9"/>
  <c r="AK9"/>
  <c r="Y9"/>
  <c r="W9"/>
  <c r="V9"/>
  <c r="V10" s="1"/>
  <c r="H9"/>
  <c r="L9" s="1"/>
  <c r="M9" s="1"/>
  <c r="AK5"/>
  <c r="AD5"/>
  <c r="H5"/>
  <c r="AP4"/>
  <c r="AM4"/>
  <c r="AK4"/>
  <c r="Y4"/>
  <c r="W4"/>
  <c r="W5" s="1"/>
  <c r="V4"/>
  <c r="V5" s="1"/>
  <c r="M4"/>
  <c r="N4" s="1"/>
  <c r="L4"/>
  <c r="H4"/>
  <c r="AD16" i="118"/>
  <c r="AR15"/>
  <c r="Y15"/>
  <c r="X15"/>
  <c r="L15"/>
  <c r="M15" s="1"/>
  <c r="H15"/>
  <c r="AM14"/>
  <c r="AK14"/>
  <c r="AP14" s="1"/>
  <c r="Y14"/>
  <c r="X14"/>
  <c r="X16" s="1"/>
  <c r="H14"/>
  <c r="H16" s="1"/>
  <c r="AD10"/>
  <c r="AM9"/>
  <c r="AK9"/>
  <c r="AK10" s="1"/>
  <c r="Y9"/>
  <c r="X9"/>
  <c r="X10" s="1"/>
  <c r="H9"/>
  <c r="AD5"/>
  <c r="AM4"/>
  <c r="AK4"/>
  <c r="AK5" s="1"/>
  <c r="Y4"/>
  <c r="X4"/>
  <c r="X5" s="1"/>
  <c r="H4"/>
  <c r="L4" s="1"/>
  <c r="M4" s="1"/>
  <c r="AR15" i="28"/>
  <c r="AI15"/>
  <c r="AE15"/>
  <c r="AC15"/>
  <c r="AB15"/>
  <c r="AA15"/>
  <c r="Y15"/>
  <c r="X15"/>
  <c r="H15"/>
  <c r="L15" s="1"/>
  <c r="M15" s="1"/>
  <c r="N15" s="1"/>
  <c r="O15" s="1"/>
  <c r="AD16"/>
  <c r="AM14"/>
  <c r="AK14"/>
  <c r="AK16" s="1"/>
  <c r="Y14"/>
  <c r="X14"/>
  <c r="X16" s="1"/>
  <c r="H14"/>
  <c r="L14" s="1"/>
  <c r="M14" s="1"/>
  <c r="AD10"/>
  <c r="AM9"/>
  <c r="AK9"/>
  <c r="AK10" s="1"/>
  <c r="Y9"/>
  <c r="X9"/>
  <c r="X10" s="1"/>
  <c r="H9"/>
  <c r="L9" s="1"/>
  <c r="M9" s="1"/>
  <c r="AK15" i="117"/>
  <c r="AD15"/>
  <c r="AM14"/>
  <c r="AK14"/>
  <c r="Y14"/>
  <c r="X14"/>
  <c r="X15" s="1"/>
  <c r="H14"/>
  <c r="H15" s="1"/>
  <c r="AA26"/>
  <c r="Q26"/>
  <c r="AJ25"/>
  <c r="AH25"/>
  <c r="AM25" s="1"/>
  <c r="X25"/>
  <c r="L25"/>
  <c r="M25" s="1"/>
  <c r="H25"/>
  <c r="AJ24"/>
  <c r="AH24"/>
  <c r="X24"/>
  <c r="X26" s="1"/>
  <c r="H24"/>
  <c r="H26" s="1"/>
  <c r="AA20"/>
  <c r="AJ19"/>
  <c r="AH19"/>
  <c r="AH20" s="1"/>
  <c r="X19"/>
  <c r="X20" s="1"/>
  <c r="H19"/>
  <c r="AA5"/>
  <c r="AB24" s="1"/>
  <c r="AB26" s="1"/>
  <c r="AJ4"/>
  <c r="AH4"/>
  <c r="AH5" s="1"/>
  <c r="AB4"/>
  <c r="AB5" s="1"/>
  <c r="X4"/>
  <c r="X5" s="1"/>
  <c r="H4"/>
  <c r="AD5" i="28"/>
  <c r="AM4"/>
  <c r="AK4"/>
  <c r="AK5" s="1"/>
  <c r="Y4"/>
  <c r="X4"/>
  <c r="X5" s="1"/>
  <c r="H4"/>
  <c r="L4" s="1"/>
  <c r="M4" s="1"/>
  <c r="AD23" i="116"/>
  <c r="AM22"/>
  <c r="AK22"/>
  <c r="AP22" s="1"/>
  <c r="Y22"/>
  <c r="X22"/>
  <c r="L22"/>
  <c r="M22" s="1"/>
  <c r="H22"/>
  <c r="AP21"/>
  <c r="AM21"/>
  <c r="AK21"/>
  <c r="AK23" s="1"/>
  <c r="Y21"/>
  <c r="X21"/>
  <c r="X23" s="1"/>
  <c r="L21"/>
  <c r="M21" s="1"/>
  <c r="H21"/>
  <c r="H23" s="1"/>
  <c r="AK12" i="115"/>
  <c r="AD12"/>
  <c r="H12"/>
  <c r="AM11"/>
  <c r="AP11" s="1"/>
  <c r="AK11"/>
  <c r="Y11"/>
  <c r="X11"/>
  <c r="H11"/>
  <c r="AP10"/>
  <c r="AM10"/>
  <c r="AK10"/>
  <c r="Y10"/>
  <c r="X10"/>
  <c r="X12" s="1"/>
  <c r="L10"/>
  <c r="M10" s="1"/>
  <c r="H10"/>
  <c r="H6"/>
  <c r="H5"/>
  <c r="H4"/>
  <c r="AD12" i="114"/>
  <c r="H12"/>
  <c r="AM11"/>
  <c r="AK11"/>
  <c r="AP11" s="1"/>
  <c r="Y11"/>
  <c r="X11"/>
  <c r="H11"/>
  <c r="AP10"/>
  <c r="AM10"/>
  <c r="AK10"/>
  <c r="AK12" s="1"/>
  <c r="Y10"/>
  <c r="X10"/>
  <c r="X12" s="1"/>
  <c r="L10"/>
  <c r="M10" s="1"/>
  <c r="H10"/>
  <c r="H6"/>
  <c r="H5"/>
  <c r="H4"/>
  <c r="AD12" i="113"/>
  <c r="H12"/>
  <c r="AM11"/>
  <c r="AK11"/>
  <c r="AP11" s="1"/>
  <c r="Y11"/>
  <c r="X11"/>
  <c r="H11"/>
  <c r="AM10"/>
  <c r="AK10"/>
  <c r="AP10" s="1"/>
  <c r="Y10"/>
  <c r="X10"/>
  <c r="X12" s="1"/>
  <c r="H10"/>
  <c r="H5"/>
  <c r="H6" s="1"/>
  <c r="H4"/>
  <c r="AD12" i="112"/>
  <c r="H12"/>
  <c r="AM11"/>
  <c r="AK11"/>
  <c r="AP11" s="1"/>
  <c r="Y11"/>
  <c r="X11"/>
  <c r="H11"/>
  <c r="AM10"/>
  <c r="AP10" s="1"/>
  <c r="AK10"/>
  <c r="AK12" s="1"/>
  <c r="Y10"/>
  <c r="X10"/>
  <c r="X12" s="1"/>
  <c r="M10"/>
  <c r="L10"/>
  <c r="H10"/>
  <c r="H6"/>
  <c r="H5"/>
  <c r="H4"/>
  <c r="AD12" i="111"/>
  <c r="H12"/>
  <c r="AM11"/>
  <c r="AK11"/>
  <c r="AP11" s="1"/>
  <c r="Y11"/>
  <c r="X11"/>
  <c r="L11"/>
  <c r="M11" s="1"/>
  <c r="H11"/>
  <c r="AP10"/>
  <c r="AM10"/>
  <c r="AK10"/>
  <c r="AK12" s="1"/>
  <c r="Y10"/>
  <c r="X10"/>
  <c r="X12" s="1"/>
  <c r="L10"/>
  <c r="M10" s="1"/>
  <c r="H10"/>
  <c r="H6"/>
  <c r="H5"/>
  <c r="H4"/>
  <c r="AD12" i="109"/>
  <c r="Y11"/>
  <c r="X11"/>
  <c r="G11"/>
  <c r="F11"/>
  <c r="AM11" s="1"/>
  <c r="Y10"/>
  <c r="X10"/>
  <c r="X12" s="1"/>
  <c r="G10"/>
  <c r="F10"/>
  <c r="AM10" s="1"/>
  <c r="H6"/>
  <c r="H5"/>
  <c r="H4"/>
  <c r="AD12" i="108"/>
  <c r="AK11"/>
  <c r="Y11"/>
  <c r="G11"/>
  <c r="F11"/>
  <c r="AM11" s="1"/>
  <c r="AK10"/>
  <c r="AK12" s="1"/>
  <c r="Y10"/>
  <c r="L10"/>
  <c r="M10" s="1"/>
  <c r="H10"/>
  <c r="G10"/>
  <c r="F10"/>
  <c r="AM10" s="1"/>
  <c r="H5"/>
  <c r="H4"/>
  <c r="H6" s="1"/>
  <c r="AD12" i="107"/>
  <c r="AK11"/>
  <c r="Y11"/>
  <c r="W11"/>
  <c r="V11"/>
  <c r="G11"/>
  <c r="F11"/>
  <c r="AM11" s="1"/>
  <c r="AK10"/>
  <c r="AK12" s="1"/>
  <c r="Y10"/>
  <c r="W10"/>
  <c r="W12" s="1"/>
  <c r="V10"/>
  <c r="V12" s="1"/>
  <c r="G10"/>
  <c r="H10" s="1"/>
  <c r="F10"/>
  <c r="AM10" s="1"/>
  <c r="AP10" s="1"/>
  <c r="H5"/>
  <c r="H4"/>
  <c r="H6" s="1"/>
  <c r="AD12" i="106"/>
  <c r="AK11"/>
  <c r="Y11"/>
  <c r="G11"/>
  <c r="F11"/>
  <c r="AM11" s="1"/>
  <c r="AK10"/>
  <c r="Y10"/>
  <c r="H10"/>
  <c r="G10"/>
  <c r="F10"/>
  <c r="AM10" s="1"/>
  <c r="H6"/>
  <c r="H5"/>
  <c r="H4"/>
  <c r="G11" i="105"/>
  <c r="G10"/>
  <c r="F11"/>
  <c r="AM11" s="1"/>
  <c r="F10"/>
  <c r="F10" i="24"/>
  <c r="AD12" i="105"/>
  <c r="AK11"/>
  <c r="Y11"/>
  <c r="X11"/>
  <c r="AK10"/>
  <c r="Y10"/>
  <c r="X10"/>
  <c r="X12" s="1"/>
  <c r="H6"/>
  <c r="H5"/>
  <c r="H4"/>
  <c r="AD12" i="104"/>
  <c r="AP11"/>
  <c r="AM11"/>
  <c r="AK11"/>
  <c r="Y11"/>
  <c r="X11"/>
  <c r="L11"/>
  <c r="M11" s="1"/>
  <c r="H11"/>
  <c r="N11" s="1"/>
  <c r="AM10"/>
  <c r="AK10"/>
  <c r="AP10" s="1"/>
  <c r="Y10"/>
  <c r="X10"/>
  <c r="X12" s="1"/>
  <c r="L10"/>
  <c r="M10" s="1"/>
  <c r="H10"/>
  <c r="H12" s="1"/>
  <c r="H5"/>
  <c r="H4"/>
  <c r="H6" s="1"/>
  <c r="AD6" i="103"/>
  <c r="H6"/>
  <c r="AM5"/>
  <c r="AK5"/>
  <c r="AP5" s="1"/>
  <c r="Y5"/>
  <c r="W5"/>
  <c r="V5"/>
  <c r="H5"/>
  <c r="AM4"/>
  <c r="AP4" s="1"/>
  <c r="AK4"/>
  <c r="AK6" s="1"/>
  <c r="Y4"/>
  <c r="W4"/>
  <c r="W6" s="1"/>
  <c r="V4"/>
  <c r="V6" s="1"/>
  <c r="H4"/>
  <c r="AD12" i="102"/>
  <c r="H12"/>
  <c r="AM11"/>
  <c r="AK11"/>
  <c r="AP11" s="1"/>
  <c r="Y11"/>
  <c r="W11"/>
  <c r="V11"/>
  <c r="M11"/>
  <c r="N11" s="1"/>
  <c r="L11"/>
  <c r="H11"/>
  <c r="AM10"/>
  <c r="AK10"/>
  <c r="AP10" s="1"/>
  <c r="Y10"/>
  <c r="W10"/>
  <c r="W12" s="1"/>
  <c r="V10"/>
  <c r="V12" s="1"/>
  <c r="H10"/>
  <c r="H5"/>
  <c r="H4"/>
  <c r="H6" s="1"/>
  <c r="AD6" i="101"/>
  <c r="H6"/>
  <c r="AM5"/>
  <c r="AK5"/>
  <c r="AP5" s="1"/>
  <c r="Y5"/>
  <c r="X5"/>
  <c r="M5"/>
  <c r="N5" s="1"/>
  <c r="L5"/>
  <c r="H5"/>
  <c r="AM4"/>
  <c r="AK4"/>
  <c r="AP4" s="1"/>
  <c r="Y4"/>
  <c r="X4"/>
  <c r="X6" s="1"/>
  <c r="H4"/>
  <c r="AD6" i="100"/>
  <c r="AM5"/>
  <c r="AK5"/>
  <c r="AP5" s="1"/>
  <c r="Y5"/>
  <c r="W5"/>
  <c r="V5"/>
  <c r="L5"/>
  <c r="M5" s="1"/>
  <c r="H5"/>
  <c r="AM4"/>
  <c r="AK4"/>
  <c r="AP4" s="1"/>
  <c r="Y4"/>
  <c r="W4"/>
  <c r="W6" s="1"/>
  <c r="V4"/>
  <c r="V6" s="1"/>
  <c r="H4"/>
  <c r="H6" s="1"/>
  <c r="AK6" i="99"/>
  <c r="AD6"/>
  <c r="H6"/>
  <c r="AP5"/>
  <c r="AM5"/>
  <c r="AK5"/>
  <c r="Y5"/>
  <c r="X5"/>
  <c r="L5"/>
  <c r="M5" s="1"/>
  <c r="H5"/>
  <c r="AM4"/>
  <c r="AK4"/>
  <c r="AP4" s="1"/>
  <c r="Y4"/>
  <c r="X4"/>
  <c r="X6" s="1"/>
  <c r="M4"/>
  <c r="L4"/>
  <c r="H4"/>
  <c r="AD6" i="98"/>
  <c r="H6"/>
  <c r="AP5"/>
  <c r="AM5"/>
  <c r="AK5"/>
  <c r="Y5"/>
  <c r="X5"/>
  <c r="H5"/>
  <c r="AM4"/>
  <c r="AK4"/>
  <c r="AP4" s="1"/>
  <c r="Y4"/>
  <c r="X4"/>
  <c r="X6" s="1"/>
  <c r="N4"/>
  <c r="M4"/>
  <c r="L4"/>
  <c r="H4"/>
  <c r="AD6" i="97"/>
  <c r="H6"/>
  <c r="AM5"/>
  <c r="AK5"/>
  <c r="AP5" s="1"/>
  <c r="Y5"/>
  <c r="X5"/>
  <c r="M5"/>
  <c r="N5" s="1"/>
  <c r="L5"/>
  <c r="H5"/>
  <c r="AM4"/>
  <c r="AK4"/>
  <c r="AP4" s="1"/>
  <c r="Y4"/>
  <c r="X4"/>
  <c r="X6" s="1"/>
  <c r="M4"/>
  <c r="L4"/>
  <c r="H4"/>
  <c r="AD12" i="96"/>
  <c r="AP11"/>
  <c r="AM11"/>
  <c r="AK11"/>
  <c r="Y11"/>
  <c r="W11"/>
  <c r="V11"/>
  <c r="H11"/>
  <c r="AM10"/>
  <c r="AK10"/>
  <c r="AP10" s="1"/>
  <c r="Y10"/>
  <c r="W10"/>
  <c r="W12" s="1"/>
  <c r="V10"/>
  <c r="M10"/>
  <c r="L10"/>
  <c r="H10"/>
  <c r="H12" s="1"/>
  <c r="H5"/>
  <c r="H4"/>
  <c r="H6" s="1"/>
  <c r="AK12" i="95"/>
  <c r="AD12"/>
  <c r="AM11"/>
  <c r="AK11"/>
  <c r="AP11" s="1"/>
  <c r="Y11"/>
  <c r="X11"/>
  <c r="L11"/>
  <c r="M11" s="1"/>
  <c r="H11"/>
  <c r="AM10"/>
  <c r="AK10"/>
  <c r="AP10" s="1"/>
  <c r="Y10"/>
  <c r="X10"/>
  <c r="X12" s="1"/>
  <c r="H10"/>
  <c r="H12" s="1"/>
  <c r="H5"/>
  <c r="H4"/>
  <c r="H6" s="1"/>
  <c r="AD12" i="94"/>
  <c r="H12"/>
  <c r="AM11"/>
  <c r="AK11"/>
  <c r="AP11" s="1"/>
  <c r="Y11"/>
  <c r="X11"/>
  <c r="H11"/>
  <c r="AM10"/>
  <c r="AK10"/>
  <c r="AP10" s="1"/>
  <c r="Y10"/>
  <c r="X10"/>
  <c r="X12" s="1"/>
  <c r="L10"/>
  <c r="M10" s="1"/>
  <c r="H10"/>
  <c r="H5"/>
  <c r="H4"/>
  <c r="H6" s="1"/>
  <c r="AD12" i="93"/>
  <c r="AM11"/>
  <c r="AK11"/>
  <c r="AP11" s="1"/>
  <c r="Y11"/>
  <c r="X11"/>
  <c r="M11"/>
  <c r="N11" s="1"/>
  <c r="L11"/>
  <c r="H11"/>
  <c r="AM10"/>
  <c r="AK10"/>
  <c r="AP10" s="1"/>
  <c r="Y10"/>
  <c r="X10"/>
  <c r="X12" s="1"/>
  <c r="H10"/>
  <c r="H12" s="1"/>
  <c r="H5"/>
  <c r="H4"/>
  <c r="H6" s="1"/>
  <c r="AD12" i="92"/>
  <c r="H12"/>
  <c r="AM11"/>
  <c r="AK11"/>
  <c r="AP11" s="1"/>
  <c r="Y11"/>
  <c r="W11"/>
  <c r="V11"/>
  <c r="M11"/>
  <c r="N11" s="1"/>
  <c r="L11"/>
  <c r="H11"/>
  <c r="AM10"/>
  <c r="AK10"/>
  <c r="AP10" s="1"/>
  <c r="Y10"/>
  <c r="W10"/>
  <c r="W12" s="1"/>
  <c r="V10"/>
  <c r="V12" s="1"/>
  <c r="H10"/>
  <c r="H5"/>
  <c r="H4"/>
  <c r="H6" s="1"/>
  <c r="AD12" i="91"/>
  <c r="H12"/>
  <c r="AM11"/>
  <c r="AK11"/>
  <c r="AP11" s="1"/>
  <c r="Y11"/>
  <c r="X11"/>
  <c r="H11"/>
  <c r="AM10"/>
  <c r="AK10"/>
  <c r="AP10" s="1"/>
  <c r="Y10"/>
  <c r="X10"/>
  <c r="X12" s="1"/>
  <c r="H10"/>
  <c r="H5"/>
  <c r="H4"/>
  <c r="H6" s="1"/>
  <c r="AD12" i="90"/>
  <c r="AM11"/>
  <c r="AK11"/>
  <c r="AP11" s="1"/>
  <c r="Y11"/>
  <c r="X11"/>
  <c r="N11"/>
  <c r="O11" s="1"/>
  <c r="M11"/>
  <c r="L11"/>
  <c r="H11"/>
  <c r="AM10"/>
  <c r="AK10"/>
  <c r="AP10" s="1"/>
  <c r="Y10"/>
  <c r="X10"/>
  <c r="X12" s="1"/>
  <c r="H10"/>
  <c r="H12" s="1"/>
  <c r="H5"/>
  <c r="H6" s="1"/>
  <c r="H4"/>
  <c r="AK12" i="19"/>
  <c r="AD12"/>
  <c r="AP11"/>
  <c r="AM11"/>
  <c r="AK11"/>
  <c r="Y11"/>
  <c r="X11"/>
  <c r="L11"/>
  <c r="M11" s="1"/>
  <c r="H11"/>
  <c r="AM10"/>
  <c r="AK10"/>
  <c r="AP10" s="1"/>
  <c r="Y10"/>
  <c r="X10"/>
  <c r="X12" s="1"/>
  <c r="H10"/>
  <c r="H12" s="1"/>
  <c r="AD12" i="89"/>
  <c r="AM11"/>
  <c r="AK11"/>
  <c r="AP11" s="1"/>
  <c r="Y11"/>
  <c r="X11"/>
  <c r="M11"/>
  <c r="L11"/>
  <c r="H11"/>
  <c r="N11" s="1"/>
  <c r="AM10"/>
  <c r="AK10"/>
  <c r="AP10" s="1"/>
  <c r="Y10"/>
  <c r="X10"/>
  <c r="X12" s="1"/>
  <c r="M10"/>
  <c r="L10"/>
  <c r="H10"/>
  <c r="H12" s="1"/>
  <c r="AD6" i="88"/>
  <c r="H6"/>
  <c r="AM5"/>
  <c r="AJ5"/>
  <c r="AO5" s="1"/>
  <c r="Y5"/>
  <c r="X5"/>
  <c r="W5"/>
  <c r="V5"/>
  <c r="M5"/>
  <c r="N5" s="1"/>
  <c r="L5"/>
  <c r="H5"/>
  <c r="AM4"/>
  <c r="AJ4"/>
  <c r="AO4" s="1"/>
  <c r="AA4"/>
  <c r="AB4" s="1"/>
  <c r="AB6" s="1"/>
  <c r="Y4"/>
  <c r="X4"/>
  <c r="X6" s="1"/>
  <c r="W4"/>
  <c r="W6" s="1"/>
  <c r="V4"/>
  <c r="V6" s="1"/>
  <c r="H4"/>
  <c r="AD6" i="87"/>
  <c r="H6"/>
  <c r="AM5"/>
  <c r="AK5"/>
  <c r="AP5" s="1"/>
  <c r="Y5"/>
  <c r="X5"/>
  <c r="H5"/>
  <c r="AM4"/>
  <c r="AK4"/>
  <c r="AP4" s="1"/>
  <c r="Y4"/>
  <c r="X4"/>
  <c r="X6" s="1"/>
  <c r="H4"/>
  <c r="AD6" i="86"/>
  <c r="H6"/>
  <c r="AM5"/>
  <c r="AK5"/>
  <c r="AP5" s="1"/>
  <c r="Y5"/>
  <c r="X5"/>
  <c r="L5"/>
  <c r="M5" s="1"/>
  <c r="H5"/>
  <c r="AM4"/>
  <c r="AP4" s="1"/>
  <c r="AK4"/>
  <c r="AK6" s="1"/>
  <c r="Y4"/>
  <c r="X4"/>
  <c r="X6" s="1"/>
  <c r="M4"/>
  <c r="L4"/>
  <c r="H4"/>
  <c r="AD6" i="85"/>
  <c r="H6"/>
  <c r="AM5"/>
  <c r="AK5"/>
  <c r="AP5" s="1"/>
  <c r="Y5"/>
  <c r="X5"/>
  <c r="M5"/>
  <c r="N5" s="1"/>
  <c r="L5"/>
  <c r="H5"/>
  <c r="AM4"/>
  <c r="AK4"/>
  <c r="AP4" s="1"/>
  <c r="Y4"/>
  <c r="X4"/>
  <c r="X6" s="1"/>
  <c r="H4"/>
  <c r="AD6" i="84"/>
  <c r="H6"/>
  <c r="AM5"/>
  <c r="AK5"/>
  <c r="AP5" s="1"/>
  <c r="Y5"/>
  <c r="X5"/>
  <c r="H5"/>
  <c r="AM4"/>
  <c r="AK4"/>
  <c r="AP4" s="1"/>
  <c r="Y4"/>
  <c r="X4"/>
  <c r="X6" s="1"/>
  <c r="L4"/>
  <c r="M4" s="1"/>
  <c r="H4"/>
  <c r="AK6" i="83"/>
  <c r="AD6"/>
  <c r="AP5"/>
  <c r="AM5"/>
  <c r="AK5"/>
  <c r="Y5"/>
  <c r="W5"/>
  <c r="V5"/>
  <c r="L5"/>
  <c r="M5" s="1"/>
  <c r="H5"/>
  <c r="N5" s="1"/>
  <c r="AM4"/>
  <c r="AK4"/>
  <c r="AP4" s="1"/>
  <c r="Y4"/>
  <c r="W4"/>
  <c r="W6" s="1"/>
  <c r="V4"/>
  <c r="H4"/>
  <c r="H6" s="1"/>
  <c r="AD6" i="82"/>
  <c r="AM5"/>
  <c r="AK5"/>
  <c r="AP5" s="1"/>
  <c r="Y5"/>
  <c r="X5"/>
  <c r="M5"/>
  <c r="N5" s="1"/>
  <c r="L5"/>
  <c r="H5"/>
  <c r="AM4"/>
  <c r="AK4"/>
  <c r="AP4" s="1"/>
  <c r="Y4"/>
  <c r="X4"/>
  <c r="X6" s="1"/>
  <c r="H4"/>
  <c r="H6" s="1"/>
  <c r="AD6" i="81"/>
  <c r="H6"/>
  <c r="AM5"/>
  <c r="AK5"/>
  <c r="AP5" s="1"/>
  <c r="Y5"/>
  <c r="X5"/>
  <c r="M5"/>
  <c r="N5" s="1"/>
  <c r="L5"/>
  <c r="H5"/>
  <c r="AM4"/>
  <c r="AK4"/>
  <c r="AP4" s="1"/>
  <c r="Y4"/>
  <c r="X4"/>
  <c r="X6" s="1"/>
  <c r="L4"/>
  <c r="M4" s="1"/>
  <c r="H4"/>
  <c r="Y5" i="8"/>
  <c r="Y4"/>
  <c r="X5"/>
  <c r="X4"/>
  <c r="X6" s="1"/>
  <c r="W5"/>
  <c r="W4"/>
  <c r="W6" s="1"/>
  <c r="V5"/>
  <c r="V4"/>
  <c r="AA5"/>
  <c r="AA4"/>
  <c r="AD12" i="80"/>
  <c r="AM11"/>
  <c r="AJ11"/>
  <c r="AO11" s="1"/>
  <c r="AA11"/>
  <c r="Y11"/>
  <c r="X11"/>
  <c r="W11"/>
  <c r="V11"/>
  <c r="AB11" s="1"/>
  <c r="L11"/>
  <c r="M11" s="1"/>
  <c r="H11"/>
  <c r="AM10"/>
  <c r="AJ10"/>
  <c r="AO10" s="1"/>
  <c r="AA10"/>
  <c r="Y10"/>
  <c r="X10"/>
  <c r="X12" s="1"/>
  <c r="W10"/>
  <c r="AB10" s="1"/>
  <c r="AB12" s="1"/>
  <c r="V10"/>
  <c r="V12" s="1"/>
  <c r="H10"/>
  <c r="H12" s="1"/>
  <c r="AA6"/>
  <c r="AJ5"/>
  <c r="AH5"/>
  <c r="AM5" s="1"/>
  <c r="AE5"/>
  <c r="AD5"/>
  <c r="AG5" s="1"/>
  <c r="AL5" s="1"/>
  <c r="AB5"/>
  <c r="X5"/>
  <c r="H5"/>
  <c r="AM4"/>
  <c r="AJ4"/>
  <c r="AH4"/>
  <c r="AH6" s="1"/>
  <c r="AE4"/>
  <c r="AE6" s="1"/>
  <c r="AD4"/>
  <c r="AG4" s="1"/>
  <c r="AB4"/>
  <c r="AB6" s="1"/>
  <c r="X4"/>
  <c r="X6" s="1"/>
  <c r="L4"/>
  <c r="M4" s="1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D6" i="8"/>
  <c r="AM5"/>
  <c r="AJ5"/>
  <c r="L5"/>
  <c r="M5" s="1"/>
  <c r="H5"/>
  <c r="AM4"/>
  <c r="AJ4"/>
  <c r="AO4" s="1"/>
  <c r="L4"/>
  <c r="M4" s="1"/>
  <c r="H4"/>
  <c r="H6" s="1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65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5" i="68"/>
  <c r="H4"/>
  <c r="AH10" i="69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6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4" i="7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7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5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71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7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0" i="7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6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3" i="79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7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61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74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6" i="19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47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8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3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5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4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6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7" i="59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60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N9" i="147" l="1"/>
  <c r="O19"/>
  <c r="P19" s="1"/>
  <c r="Q19" s="1"/>
  <c r="N20"/>
  <c r="N14"/>
  <c r="H15"/>
  <c r="V21"/>
  <c r="AP9"/>
  <c r="N9" i="146"/>
  <c r="L20"/>
  <c r="M20" s="1"/>
  <c r="N20" s="1"/>
  <c r="AK21"/>
  <c r="N14"/>
  <c r="H15"/>
  <c r="L19"/>
  <c r="M19" s="1"/>
  <c r="AP14"/>
  <c r="N14" i="145"/>
  <c r="O20"/>
  <c r="P20" s="1"/>
  <c r="Q20" s="1"/>
  <c r="R20" s="1"/>
  <c r="S20" s="1"/>
  <c r="N19"/>
  <c r="H15"/>
  <c r="N9"/>
  <c r="H10"/>
  <c r="AP14"/>
  <c r="O20" i="144"/>
  <c r="P20"/>
  <c r="Q20" s="1"/>
  <c r="R20" s="1"/>
  <c r="S20" s="1"/>
  <c r="AK21"/>
  <c r="H15"/>
  <c r="L19"/>
  <c r="M19" s="1"/>
  <c r="N9"/>
  <c r="L14"/>
  <c r="M14" s="1"/>
  <c r="N14" s="1"/>
  <c r="AB14" i="143"/>
  <c r="AB15" s="1"/>
  <c r="AO19"/>
  <c r="AB19"/>
  <c r="AB21" s="1"/>
  <c r="O20"/>
  <c r="AB9"/>
  <c r="AB10" s="1"/>
  <c r="N14"/>
  <c r="H15"/>
  <c r="L19"/>
  <c r="M19" s="1"/>
  <c r="N19" s="1"/>
  <c r="H10"/>
  <c r="L9"/>
  <c r="M9" s="1"/>
  <c r="AP19" i="141"/>
  <c r="O14"/>
  <c r="P14"/>
  <c r="Q14" s="1"/>
  <c r="R14" s="1"/>
  <c r="N20"/>
  <c r="L9"/>
  <c r="M9" s="1"/>
  <c r="AP9"/>
  <c r="V21"/>
  <c r="H19"/>
  <c r="N9"/>
  <c r="AP14"/>
  <c r="H19" i="137"/>
  <c r="H21" s="1"/>
  <c r="AP19"/>
  <c r="AP19" i="138"/>
  <c r="H19"/>
  <c r="L19" s="1"/>
  <c r="M19" s="1"/>
  <c r="N19" s="1"/>
  <c r="H19" i="139"/>
  <c r="H21" s="1"/>
  <c r="H19" i="140"/>
  <c r="L19" s="1"/>
  <c r="M19" s="1"/>
  <c r="AM19"/>
  <c r="AP19"/>
  <c r="N20"/>
  <c r="H9"/>
  <c r="L20"/>
  <c r="M20" s="1"/>
  <c r="AK21"/>
  <c r="W21"/>
  <c r="N14"/>
  <c r="H15"/>
  <c r="AP9"/>
  <c r="N14" i="139"/>
  <c r="N20"/>
  <c r="H9"/>
  <c r="H15"/>
  <c r="AP14"/>
  <c r="AP9"/>
  <c r="AK21" i="138"/>
  <c r="N14"/>
  <c r="N20"/>
  <c r="H9"/>
  <c r="H15"/>
  <c r="AP14"/>
  <c r="AP9"/>
  <c r="N20" i="137"/>
  <c r="L20"/>
  <c r="M20" s="1"/>
  <c r="AK21"/>
  <c r="N14"/>
  <c r="H15"/>
  <c r="AP14"/>
  <c r="AP9"/>
  <c r="O9" i="136"/>
  <c r="P9"/>
  <c r="Q9" s="1"/>
  <c r="R9" s="1"/>
  <c r="L20"/>
  <c r="M20" s="1"/>
  <c r="AK21"/>
  <c r="N19"/>
  <c r="W21"/>
  <c r="N14"/>
  <c r="H15"/>
  <c r="AP14"/>
  <c r="AP9"/>
  <c r="N14" i="135"/>
  <c r="O9"/>
  <c r="P9"/>
  <c r="Q9" s="1"/>
  <c r="R9" s="1"/>
  <c r="N20"/>
  <c r="N19"/>
  <c r="H15"/>
  <c r="V21"/>
  <c r="AP9"/>
  <c r="AP9" i="134"/>
  <c r="N9"/>
  <c r="N20"/>
  <c r="L20"/>
  <c r="M20" s="1"/>
  <c r="AK21"/>
  <c r="N14"/>
  <c r="H15"/>
  <c r="L19"/>
  <c r="M19" s="1"/>
  <c r="AP14"/>
  <c r="N14" i="133"/>
  <c r="N19"/>
  <c r="N20"/>
  <c r="L20"/>
  <c r="M20" s="1"/>
  <c r="N9"/>
  <c r="H10"/>
  <c r="AP14"/>
  <c r="AP9"/>
  <c r="L9" i="132"/>
  <c r="M9" s="1"/>
  <c r="AK10"/>
  <c r="AP19"/>
  <c r="N14"/>
  <c r="N20"/>
  <c r="N9"/>
  <c r="N19"/>
  <c r="H15"/>
  <c r="AK10" i="125"/>
  <c r="AP4"/>
  <c r="P15"/>
  <c r="Q15" s="1"/>
  <c r="O15"/>
  <c r="L9"/>
  <c r="M9" s="1"/>
  <c r="N9" s="1"/>
  <c r="AK5"/>
  <c r="L4"/>
  <c r="M4" s="1"/>
  <c r="N4" s="1"/>
  <c r="N4" i="131"/>
  <c r="O15"/>
  <c r="AK16"/>
  <c r="N9"/>
  <c r="H10"/>
  <c r="L14"/>
  <c r="M14" s="1"/>
  <c r="N14" s="1"/>
  <c r="AP4"/>
  <c r="O4" i="130"/>
  <c r="P4" s="1"/>
  <c r="Q4" s="1"/>
  <c r="L15"/>
  <c r="M15" s="1"/>
  <c r="AK16"/>
  <c r="N14"/>
  <c r="N9"/>
  <c r="H10"/>
  <c r="AP9"/>
  <c r="AP4"/>
  <c r="N4" i="129"/>
  <c r="L15"/>
  <c r="M15" s="1"/>
  <c r="AK16"/>
  <c r="H10"/>
  <c r="L14"/>
  <c r="M14" s="1"/>
  <c r="N14" s="1"/>
  <c r="L9"/>
  <c r="M9" s="1"/>
  <c r="N9" s="1"/>
  <c r="L15" i="128"/>
  <c r="M15" s="1"/>
  <c r="AK16"/>
  <c r="N14"/>
  <c r="W16"/>
  <c r="P4"/>
  <c r="Q4" s="1"/>
  <c r="R4" s="1"/>
  <c r="N9"/>
  <c r="H10"/>
  <c r="AP4"/>
  <c r="N15" i="127"/>
  <c r="N14"/>
  <c r="H10"/>
  <c r="N4"/>
  <c r="H5"/>
  <c r="L9"/>
  <c r="M9" s="1"/>
  <c r="AP9"/>
  <c r="AP4"/>
  <c r="N15" i="126"/>
  <c r="N14"/>
  <c r="H10"/>
  <c r="N4"/>
  <c r="L9"/>
  <c r="M9" s="1"/>
  <c r="N9" s="1"/>
  <c r="AP4"/>
  <c r="AK16" i="125"/>
  <c r="L14"/>
  <c r="M14" s="1"/>
  <c r="N14" s="1"/>
  <c r="AP14" i="122"/>
  <c r="AK10" i="123"/>
  <c r="N15" i="124"/>
  <c r="N14"/>
  <c r="H10"/>
  <c r="N4"/>
  <c r="L9"/>
  <c r="M9" s="1"/>
  <c r="AP9"/>
  <c r="AP4"/>
  <c r="O4" i="123"/>
  <c r="N9"/>
  <c r="N15"/>
  <c r="N14"/>
  <c r="H10"/>
  <c r="AP4"/>
  <c r="N4" i="122"/>
  <c r="N9"/>
  <c r="N14"/>
  <c r="L15"/>
  <c r="M15" s="1"/>
  <c r="H10"/>
  <c r="AP9"/>
  <c r="AP4"/>
  <c r="O4" i="121"/>
  <c r="P4" s="1"/>
  <c r="Q4" s="1"/>
  <c r="R4" s="1"/>
  <c r="AK16"/>
  <c r="N14"/>
  <c r="N9"/>
  <c r="H10"/>
  <c r="L14"/>
  <c r="M14" s="1"/>
  <c r="P15"/>
  <c r="Q15" s="1"/>
  <c r="R15" s="1"/>
  <c r="S15" s="1"/>
  <c r="O15" i="120"/>
  <c r="P15" s="1"/>
  <c r="Q15" s="1"/>
  <c r="N4"/>
  <c r="AK16"/>
  <c r="N14"/>
  <c r="N9"/>
  <c r="H10"/>
  <c r="L14"/>
  <c r="M14" s="1"/>
  <c r="L9"/>
  <c r="M9" s="1"/>
  <c r="O4" i="119"/>
  <c r="R4" s="1"/>
  <c r="P4"/>
  <c r="Q4" s="1"/>
  <c r="L15"/>
  <c r="M15" s="1"/>
  <c r="AK16"/>
  <c r="N9"/>
  <c r="H10"/>
  <c r="L14"/>
  <c r="M14" s="1"/>
  <c r="N14" s="1"/>
  <c r="AK16" i="118"/>
  <c r="AP4"/>
  <c r="N15"/>
  <c r="N9"/>
  <c r="H10"/>
  <c r="L14"/>
  <c r="M14" s="1"/>
  <c r="N4"/>
  <c r="H5"/>
  <c r="L9"/>
  <c r="M9" s="1"/>
  <c r="AP9"/>
  <c r="P15" i="28"/>
  <c r="Q15" s="1"/>
  <c r="R15" s="1"/>
  <c r="S15" s="1"/>
  <c r="H16"/>
  <c r="H10"/>
  <c r="N14"/>
  <c r="AP14"/>
  <c r="N9"/>
  <c r="AP9"/>
  <c r="AP14" i="117"/>
  <c r="AM24"/>
  <c r="L14"/>
  <c r="M14" s="1"/>
  <c r="AE4"/>
  <c r="AE5" s="1"/>
  <c r="N25"/>
  <c r="O25" s="1"/>
  <c r="P25" s="1"/>
  <c r="Q25" s="1"/>
  <c r="R25" s="1"/>
  <c r="S25" s="1"/>
  <c r="AD4"/>
  <c r="L4"/>
  <c r="M4" s="1"/>
  <c r="H5"/>
  <c r="L19"/>
  <c r="M19" s="1"/>
  <c r="H20"/>
  <c r="L24"/>
  <c r="M24" s="1"/>
  <c r="AE25"/>
  <c r="AH26"/>
  <c r="AE19"/>
  <c r="AE20" s="1"/>
  <c r="AE24"/>
  <c r="AE26" s="1"/>
  <c r="AD25"/>
  <c r="AM4"/>
  <c r="AD19"/>
  <c r="AM19"/>
  <c r="AD24"/>
  <c r="AB25"/>
  <c r="AB19"/>
  <c r="AB20" s="1"/>
  <c r="N14"/>
  <c r="H5" i="28"/>
  <c r="AP4"/>
  <c r="N4"/>
  <c r="N22" i="116"/>
  <c r="N21"/>
  <c r="N10" i="115"/>
  <c r="N11"/>
  <c r="L11"/>
  <c r="M11" s="1"/>
  <c r="N10" i="114"/>
  <c r="L11"/>
  <c r="M11" s="1"/>
  <c r="L11" i="113"/>
  <c r="M11" s="1"/>
  <c r="AK12"/>
  <c r="L10"/>
  <c r="M10" s="1"/>
  <c r="L11" i="112"/>
  <c r="M11" s="1"/>
  <c r="N10"/>
  <c r="N11" i="111"/>
  <c r="N10"/>
  <c r="H12" i="106"/>
  <c r="H11"/>
  <c r="H10" i="109"/>
  <c r="L10" s="1"/>
  <c r="M10" s="1"/>
  <c r="AP10" i="108"/>
  <c r="H11" i="109"/>
  <c r="AP11" i="108"/>
  <c r="N10"/>
  <c r="H12"/>
  <c r="H11"/>
  <c r="AP11" i="107"/>
  <c r="L10"/>
  <c r="M10" s="1"/>
  <c r="H11"/>
  <c r="H12" s="1"/>
  <c r="AP10" i="106"/>
  <c r="AP11"/>
  <c r="L11"/>
  <c r="M11" s="1"/>
  <c r="N11" s="1"/>
  <c r="AK12"/>
  <c r="L10"/>
  <c r="M10" s="1"/>
  <c r="N10" s="1"/>
  <c r="H11" i="105"/>
  <c r="AP11"/>
  <c r="AK12"/>
  <c r="AK12" i="104"/>
  <c r="N10"/>
  <c r="O11"/>
  <c r="L5" i="103"/>
  <c r="M5" s="1"/>
  <c r="N4"/>
  <c r="L4"/>
  <c r="M4" s="1"/>
  <c r="O11" i="102"/>
  <c r="P11" s="1"/>
  <c r="Q11" s="1"/>
  <c r="R11" s="1"/>
  <c r="S11" s="1"/>
  <c r="AK12"/>
  <c r="N10"/>
  <c r="L10"/>
  <c r="M10" s="1"/>
  <c r="O5" i="101"/>
  <c r="AK6"/>
  <c r="N4"/>
  <c r="L4"/>
  <c r="M4" s="1"/>
  <c r="N5" i="100"/>
  <c r="AK6"/>
  <c r="L4"/>
  <c r="M4" s="1"/>
  <c r="N4" s="1"/>
  <c r="N5" i="99"/>
  <c r="N4"/>
  <c r="O4" i="98"/>
  <c r="L5"/>
  <c r="M5" s="1"/>
  <c r="N5" s="1"/>
  <c r="AK6"/>
  <c r="O5" i="97"/>
  <c r="P5" s="1"/>
  <c r="Q5" s="1"/>
  <c r="AK6"/>
  <c r="N4"/>
  <c r="L11" i="96"/>
  <c r="M11" s="1"/>
  <c r="N11" s="1"/>
  <c r="AK12"/>
  <c r="N10"/>
  <c r="V12"/>
  <c r="N11" i="95"/>
  <c r="L10"/>
  <c r="M10" s="1"/>
  <c r="N10" s="1"/>
  <c r="N10" i="94"/>
  <c r="L11"/>
  <c r="M11" s="1"/>
  <c r="N11" s="1"/>
  <c r="AK12"/>
  <c r="O11" i="93"/>
  <c r="P11" s="1"/>
  <c r="Q11" s="1"/>
  <c r="R11" s="1"/>
  <c r="S11" s="1"/>
  <c r="AK12"/>
  <c r="N10"/>
  <c r="L10"/>
  <c r="M10" s="1"/>
  <c r="O11" i="92"/>
  <c r="P11" s="1"/>
  <c r="Q11" s="1"/>
  <c r="R11" s="1"/>
  <c r="S11" s="1"/>
  <c r="AK12"/>
  <c r="N10"/>
  <c r="L10"/>
  <c r="M10" s="1"/>
  <c r="L11" i="91"/>
  <c r="M11" s="1"/>
  <c r="AK12"/>
  <c r="N10"/>
  <c r="L10"/>
  <c r="M10" s="1"/>
  <c r="AK12" i="90"/>
  <c r="N10"/>
  <c r="L10"/>
  <c r="M10" s="1"/>
  <c r="P11"/>
  <c r="Q11" s="1"/>
  <c r="R11" s="1"/>
  <c r="S11" s="1"/>
  <c r="N11" i="19"/>
  <c r="L10"/>
  <c r="M10" s="1"/>
  <c r="O11" i="89"/>
  <c r="P11" s="1"/>
  <c r="Q11" s="1"/>
  <c r="AK12"/>
  <c r="N10"/>
  <c r="O5" i="88"/>
  <c r="AJ6"/>
  <c r="L4"/>
  <c r="M4" s="1"/>
  <c r="L5" i="87"/>
  <c r="M5" s="1"/>
  <c r="AK6"/>
  <c r="L4"/>
  <c r="M4" s="1"/>
  <c r="N4" s="1"/>
  <c r="N5" i="86"/>
  <c r="N4"/>
  <c r="O5" i="85"/>
  <c r="P5" s="1"/>
  <c r="Q5" s="1"/>
  <c r="R5" s="1"/>
  <c r="S5" s="1"/>
  <c r="AK6"/>
  <c r="L4"/>
  <c r="M4" s="1"/>
  <c r="N4" i="84"/>
  <c r="N5"/>
  <c r="L5"/>
  <c r="M5" s="1"/>
  <c r="AK6"/>
  <c r="O5" i="83"/>
  <c r="P5" s="1"/>
  <c r="Q5" s="1"/>
  <c r="L4"/>
  <c r="M4" s="1"/>
  <c r="V6"/>
  <c r="O5" i="82"/>
  <c r="P5" s="1"/>
  <c r="Q5" s="1"/>
  <c r="R5" s="1"/>
  <c r="S5" s="1"/>
  <c r="AK6"/>
  <c r="L4"/>
  <c r="M4" s="1"/>
  <c r="N4" s="1"/>
  <c r="O5" i="81"/>
  <c r="P5" s="1"/>
  <c r="Q5" s="1"/>
  <c r="R5" s="1"/>
  <c r="S5" s="1"/>
  <c r="AK6"/>
  <c r="N4"/>
  <c r="AB5" i="8"/>
  <c r="AB4"/>
  <c r="AB6" s="1"/>
  <c r="AO5"/>
  <c r="N5"/>
  <c r="N4"/>
  <c r="AJ6"/>
  <c r="V6"/>
  <c r="N11" i="80"/>
  <c r="AL4"/>
  <c r="AG6"/>
  <c r="AD6"/>
  <c r="AJ12"/>
  <c r="W12"/>
  <c r="N4"/>
  <c r="L5"/>
  <c r="M5" s="1"/>
  <c r="H6"/>
  <c r="L10"/>
  <c r="M10" s="1"/>
  <c r="O20" i="147" l="1"/>
  <c r="P20"/>
  <c r="Q20" s="1"/>
  <c r="O9"/>
  <c r="O14"/>
  <c r="P14"/>
  <c r="Q14" s="1"/>
  <c r="R19"/>
  <c r="O20" i="146"/>
  <c r="P20"/>
  <c r="Q20" s="1"/>
  <c r="R20" s="1"/>
  <c r="S20" s="1"/>
  <c r="O9"/>
  <c r="O14"/>
  <c r="P14"/>
  <c r="Q14" s="1"/>
  <c r="N19"/>
  <c r="W20" i="145"/>
  <c r="V20"/>
  <c r="AA20"/>
  <c r="AI20"/>
  <c r="AC20"/>
  <c r="P19"/>
  <c r="Q19" s="1"/>
  <c r="O19"/>
  <c r="O14"/>
  <c r="P14" s="1"/>
  <c r="Q14" s="1"/>
  <c r="O9"/>
  <c r="P9"/>
  <c r="Q9" s="1"/>
  <c r="W20" i="144"/>
  <c r="AA20"/>
  <c r="AC20"/>
  <c r="AI20"/>
  <c r="V20"/>
  <c r="AB20" s="1"/>
  <c r="O14"/>
  <c r="P14" s="1"/>
  <c r="Q14" s="1"/>
  <c r="O9"/>
  <c r="P9"/>
  <c r="Q9" s="1"/>
  <c r="N19"/>
  <c r="R20" i="143"/>
  <c r="S20" s="1"/>
  <c r="O19"/>
  <c r="P19" s="1"/>
  <c r="Q19" s="1"/>
  <c r="R19" s="1"/>
  <c r="P20"/>
  <c r="Q20" s="1"/>
  <c r="O14"/>
  <c r="P14" s="1"/>
  <c r="Q14" s="1"/>
  <c r="N9"/>
  <c r="R15" i="141"/>
  <c r="S14"/>
  <c r="O9"/>
  <c r="P9"/>
  <c r="Q9" s="1"/>
  <c r="R9" s="1"/>
  <c r="O20"/>
  <c r="P20"/>
  <c r="Q20" s="1"/>
  <c r="H21"/>
  <c r="L19"/>
  <c r="M19" s="1"/>
  <c r="N19"/>
  <c r="L19" i="137"/>
  <c r="M19" s="1"/>
  <c r="N19" s="1"/>
  <c r="H21" i="138"/>
  <c r="L19" i="139"/>
  <c r="M19" s="1"/>
  <c r="N19" s="1"/>
  <c r="O19" s="1"/>
  <c r="P19" s="1"/>
  <c r="Q19" s="1"/>
  <c r="N19" i="140"/>
  <c r="O19" s="1"/>
  <c r="P19" s="1"/>
  <c r="Q19" s="1"/>
  <c r="H21"/>
  <c r="O20"/>
  <c r="P20" s="1"/>
  <c r="Q20" s="1"/>
  <c r="O14"/>
  <c r="L9"/>
  <c r="M9" s="1"/>
  <c r="N9" s="1"/>
  <c r="H10"/>
  <c r="L9" i="139"/>
  <c r="M9" s="1"/>
  <c r="H10"/>
  <c r="N9"/>
  <c r="O14"/>
  <c r="O20"/>
  <c r="P20"/>
  <c r="Q20" s="1"/>
  <c r="O14" i="138"/>
  <c r="P14" s="1"/>
  <c r="Q14" s="1"/>
  <c r="O19"/>
  <c r="P19" s="1"/>
  <c r="Q19" s="1"/>
  <c r="O20"/>
  <c r="L9"/>
  <c r="M9" s="1"/>
  <c r="H10"/>
  <c r="N9"/>
  <c r="O14" i="137"/>
  <c r="P14"/>
  <c r="Q14" s="1"/>
  <c r="O20"/>
  <c r="R10" i="136"/>
  <c r="S9"/>
  <c r="O14"/>
  <c r="O19"/>
  <c r="P19" s="1"/>
  <c r="Q19" s="1"/>
  <c r="N20"/>
  <c r="R10" i="135"/>
  <c r="S9"/>
  <c r="O20"/>
  <c r="O14"/>
  <c r="P14"/>
  <c r="Q14" s="1"/>
  <c r="P19"/>
  <c r="Q19" s="1"/>
  <c r="O19"/>
  <c r="O9" i="134"/>
  <c r="P9"/>
  <c r="Q9" s="1"/>
  <c r="O14"/>
  <c r="N19"/>
  <c r="O20"/>
  <c r="P20"/>
  <c r="Q20" s="1"/>
  <c r="R20" s="1"/>
  <c r="S20" s="1"/>
  <c r="O14" i="133"/>
  <c r="P14"/>
  <c r="Q14" s="1"/>
  <c r="O9"/>
  <c r="P19"/>
  <c r="Q19" s="1"/>
  <c r="O19"/>
  <c r="O20"/>
  <c r="P20"/>
  <c r="Q20" s="1"/>
  <c r="R20" s="1"/>
  <c r="S20" s="1"/>
  <c r="O19" i="132"/>
  <c r="P19" s="1"/>
  <c r="Q19" s="1"/>
  <c r="O9"/>
  <c r="O14"/>
  <c r="P14" s="1"/>
  <c r="Q14" s="1"/>
  <c r="O20"/>
  <c r="P20" s="1"/>
  <c r="Q20" s="1"/>
  <c r="R15" i="125"/>
  <c r="S15" s="1"/>
  <c r="V15" s="1"/>
  <c r="O4"/>
  <c r="P4" s="1"/>
  <c r="Q4" s="1"/>
  <c r="R4" s="1"/>
  <c r="O14" i="131"/>
  <c r="P14" s="1"/>
  <c r="Q14" s="1"/>
  <c r="O4"/>
  <c r="P15"/>
  <c r="Q15" s="1"/>
  <c r="R15" s="1"/>
  <c r="S15" s="1"/>
  <c r="O9"/>
  <c r="P9" s="1"/>
  <c r="Q9" s="1"/>
  <c r="N15" i="130"/>
  <c r="R4"/>
  <c r="P14"/>
  <c r="Q14" s="1"/>
  <c r="O14"/>
  <c r="O9"/>
  <c r="P14" i="129"/>
  <c r="Q14" s="1"/>
  <c r="R14" s="1"/>
  <c r="O14"/>
  <c r="O9"/>
  <c r="P9" s="1"/>
  <c r="Q9" s="1"/>
  <c r="R9" s="1"/>
  <c r="N15"/>
  <c r="O4"/>
  <c r="R5" i="128"/>
  <c r="S4"/>
  <c r="O9"/>
  <c r="O14"/>
  <c r="P14" s="1"/>
  <c r="Q14" s="1"/>
  <c r="N15"/>
  <c r="P14" i="127"/>
  <c r="Q14" s="1"/>
  <c r="O14"/>
  <c r="O4"/>
  <c r="N9"/>
  <c r="O15"/>
  <c r="O9" i="126"/>
  <c r="P9"/>
  <c r="Q9" s="1"/>
  <c r="R9" s="1"/>
  <c r="P14"/>
  <c r="Q14" s="1"/>
  <c r="O14"/>
  <c r="O15"/>
  <c r="P15"/>
  <c r="Q15" s="1"/>
  <c r="O4"/>
  <c r="O14" i="125"/>
  <c r="O9"/>
  <c r="P9" s="1"/>
  <c r="Q9" s="1"/>
  <c r="O14" i="124"/>
  <c r="P14" s="1"/>
  <c r="Q14" s="1"/>
  <c r="O4"/>
  <c r="N9"/>
  <c r="O15"/>
  <c r="P4" i="123"/>
  <c r="Q4" s="1"/>
  <c r="R4" s="1"/>
  <c r="P14"/>
  <c r="Q14" s="1"/>
  <c r="O14"/>
  <c r="O9"/>
  <c r="P9"/>
  <c r="Q9" s="1"/>
  <c r="O15"/>
  <c r="O4" i="122"/>
  <c r="P4"/>
  <c r="Q4" s="1"/>
  <c r="N15"/>
  <c r="O9"/>
  <c r="O14"/>
  <c r="P14" s="1"/>
  <c r="Q14" s="1"/>
  <c r="R5" i="121"/>
  <c r="S4"/>
  <c r="AA15"/>
  <c r="AC15"/>
  <c r="W15"/>
  <c r="AI15"/>
  <c r="V15"/>
  <c r="O9"/>
  <c r="P14"/>
  <c r="Q14" s="1"/>
  <c r="O14"/>
  <c r="R14" s="1"/>
  <c r="R15" i="120"/>
  <c r="S15" s="1"/>
  <c r="O9"/>
  <c r="P9" s="1"/>
  <c r="Q9" s="1"/>
  <c r="R9" s="1"/>
  <c r="O14"/>
  <c r="O4"/>
  <c r="R5" i="119"/>
  <c r="S4"/>
  <c r="P14"/>
  <c r="Q14" s="1"/>
  <c r="O14"/>
  <c r="N15"/>
  <c r="O9"/>
  <c r="P9"/>
  <c r="Q9" s="1"/>
  <c r="R14"/>
  <c r="N14" i="118"/>
  <c r="O4"/>
  <c r="O15"/>
  <c r="P15"/>
  <c r="Q15" s="1"/>
  <c r="O9"/>
  <c r="P9" s="1"/>
  <c r="Q9" s="1"/>
  <c r="R9" s="1"/>
  <c r="V15" i="28"/>
  <c r="W15"/>
  <c r="O14"/>
  <c r="P14" s="1"/>
  <c r="Q14" s="1"/>
  <c r="O9"/>
  <c r="P9" s="1"/>
  <c r="Q9" s="1"/>
  <c r="AD5" i="117"/>
  <c r="AG4"/>
  <c r="W25"/>
  <c r="AF25"/>
  <c r="AK25" s="1"/>
  <c r="V25"/>
  <c r="N4"/>
  <c r="O14"/>
  <c r="N19"/>
  <c r="AG25"/>
  <c r="AL25" s="1"/>
  <c r="AD20"/>
  <c r="AG19"/>
  <c r="N24"/>
  <c r="AD26"/>
  <c r="AG24"/>
  <c r="O4" i="28"/>
  <c r="P4" s="1"/>
  <c r="Q4" s="1"/>
  <c r="O21" i="116"/>
  <c r="P21" s="1"/>
  <c r="Q21" s="1"/>
  <c r="O22"/>
  <c r="P22" s="1"/>
  <c r="Q22" s="1"/>
  <c r="O10" i="115"/>
  <c r="O11"/>
  <c r="O10" i="114"/>
  <c r="P10" s="1"/>
  <c r="Q10" s="1"/>
  <c r="N11"/>
  <c r="N11" i="113"/>
  <c r="N10"/>
  <c r="N11" i="112"/>
  <c r="O10"/>
  <c r="O11" i="111"/>
  <c r="O10"/>
  <c r="P10" s="1"/>
  <c r="Q10" s="1"/>
  <c r="N10" i="109"/>
  <c r="H12"/>
  <c r="L11"/>
  <c r="M11" s="1"/>
  <c r="N11" s="1"/>
  <c r="L11" i="108"/>
  <c r="M11" s="1"/>
  <c r="N11" s="1"/>
  <c r="O10"/>
  <c r="L11" i="107"/>
  <c r="M11" s="1"/>
  <c r="N11" s="1"/>
  <c r="N10"/>
  <c r="L11" i="105"/>
  <c r="M11" s="1"/>
  <c r="N11" s="1"/>
  <c r="O11" s="1"/>
  <c r="O11" i="106"/>
  <c r="O10"/>
  <c r="R11" i="104"/>
  <c r="S11" s="1"/>
  <c r="P11"/>
  <c r="Q11" s="1"/>
  <c r="O10"/>
  <c r="P10" s="1"/>
  <c r="Q10" s="1"/>
  <c r="N5" i="103"/>
  <c r="O4"/>
  <c r="AI11" i="102"/>
  <c r="AN11" s="1"/>
  <c r="X11"/>
  <c r="AB11" s="1"/>
  <c r="AA11"/>
  <c r="AC11"/>
  <c r="O10"/>
  <c r="P10" s="1"/>
  <c r="Q10" s="1"/>
  <c r="O4" i="101"/>
  <c r="P5"/>
  <c r="Q5" s="1"/>
  <c r="R5" s="1"/>
  <c r="S5" s="1"/>
  <c r="P4" i="100"/>
  <c r="Q4" s="1"/>
  <c r="R4" s="1"/>
  <c r="O4"/>
  <c r="O5"/>
  <c r="O5" i="99"/>
  <c r="P5"/>
  <c r="Q5" s="1"/>
  <c r="P4"/>
  <c r="Q4" s="1"/>
  <c r="O4"/>
  <c r="O5" i="98"/>
  <c r="R4"/>
  <c r="P4"/>
  <c r="Q4" s="1"/>
  <c r="R5" i="97"/>
  <c r="S5" s="1"/>
  <c r="O4"/>
  <c r="P4" s="1"/>
  <c r="Q4" s="1"/>
  <c r="O11" i="96"/>
  <c r="P11"/>
  <c r="Q11" s="1"/>
  <c r="R11" s="1"/>
  <c r="S11" s="1"/>
  <c r="P10"/>
  <c r="Q10" s="1"/>
  <c r="O10"/>
  <c r="O10" i="95"/>
  <c r="P10" s="1"/>
  <c r="Q10" s="1"/>
  <c r="R10" s="1"/>
  <c r="O11"/>
  <c r="P11"/>
  <c r="Q11" s="1"/>
  <c r="O11" i="94"/>
  <c r="P11" s="1"/>
  <c r="Q11" s="1"/>
  <c r="O10"/>
  <c r="W11" i="93"/>
  <c r="AI11"/>
  <c r="AN11" s="1"/>
  <c r="AA11"/>
  <c r="AC11"/>
  <c r="V11"/>
  <c r="O10"/>
  <c r="AI11" i="92"/>
  <c r="AN11" s="1"/>
  <c r="X11"/>
  <c r="AA11"/>
  <c r="AC11"/>
  <c r="P10"/>
  <c r="Q10" s="1"/>
  <c r="O10"/>
  <c r="R10"/>
  <c r="O10" i="91"/>
  <c r="N11"/>
  <c r="W11" i="90"/>
  <c r="AI11"/>
  <c r="AN11" s="1"/>
  <c r="AA11"/>
  <c r="AC11"/>
  <c r="V11"/>
  <c r="AB11" s="1"/>
  <c r="O10"/>
  <c r="O11" i="19"/>
  <c r="N10"/>
  <c r="R11" i="89"/>
  <c r="S11" s="1"/>
  <c r="O10"/>
  <c r="P5" i="88"/>
  <c r="Q5" s="1"/>
  <c r="R5" s="1"/>
  <c r="S5" s="1"/>
  <c r="N4"/>
  <c r="O4" i="87"/>
  <c r="N5"/>
  <c r="O5" i="86"/>
  <c r="O4"/>
  <c r="P4" s="1"/>
  <c r="Q4" s="1"/>
  <c r="AI5" i="85"/>
  <c r="AN5" s="1"/>
  <c r="AA5"/>
  <c r="W5"/>
  <c r="AC5"/>
  <c r="V5"/>
  <c r="AB5" s="1"/>
  <c r="N4"/>
  <c r="O4" i="84"/>
  <c r="O5"/>
  <c r="P5" s="1"/>
  <c r="Q5" s="1"/>
  <c r="N4" i="83"/>
  <c r="R5"/>
  <c r="S5" s="1"/>
  <c r="W5" i="82"/>
  <c r="AI5"/>
  <c r="AN5" s="1"/>
  <c r="AA5"/>
  <c r="AC5"/>
  <c r="V5"/>
  <c r="O4"/>
  <c r="AI5" i="81"/>
  <c r="AN5" s="1"/>
  <c r="AA5"/>
  <c r="W5"/>
  <c r="AC5"/>
  <c r="V5"/>
  <c r="O4"/>
  <c r="P4" s="1"/>
  <c r="Q4" s="1"/>
  <c r="O4" i="8"/>
  <c r="O5"/>
  <c r="N5" i="80"/>
  <c r="N10"/>
  <c r="O11"/>
  <c r="P11"/>
  <c r="Q11" s="1"/>
  <c r="O4"/>
  <c r="R20" i="147" l="1"/>
  <c r="S20" s="1"/>
  <c r="P9"/>
  <c r="Q9" s="1"/>
  <c r="R9" s="1"/>
  <c r="R14"/>
  <c r="R21"/>
  <c r="S19"/>
  <c r="W20" i="146"/>
  <c r="AA20"/>
  <c r="AC20"/>
  <c r="AI20"/>
  <c r="V20"/>
  <c r="O19"/>
  <c r="P19" s="1"/>
  <c r="Q19" s="1"/>
  <c r="P9"/>
  <c r="Q9" s="1"/>
  <c r="R9" s="1"/>
  <c r="R14"/>
  <c r="AB20" i="145"/>
  <c r="R14"/>
  <c r="R9"/>
  <c r="R19"/>
  <c r="R9" i="144"/>
  <c r="R14"/>
  <c r="P19"/>
  <c r="Q19" s="1"/>
  <c r="O19"/>
  <c r="R21" i="143"/>
  <c r="S19"/>
  <c r="AA20"/>
  <c r="AB20" s="1"/>
  <c r="AC20"/>
  <c r="AI20"/>
  <c r="R14"/>
  <c r="O9"/>
  <c r="P9" s="1"/>
  <c r="Q9" s="1"/>
  <c r="R10" i="141"/>
  <c r="S9"/>
  <c r="P19"/>
  <c r="Q19" s="1"/>
  <c r="R19" s="1"/>
  <c r="O19"/>
  <c r="AI14"/>
  <c r="X14"/>
  <c r="S15"/>
  <c r="AH14" s="1"/>
  <c r="AH15" s="1"/>
  <c r="R20"/>
  <c r="S20" s="1"/>
  <c r="O9" i="140"/>
  <c r="P9"/>
  <c r="Q9" s="1"/>
  <c r="R9" s="1"/>
  <c r="R20"/>
  <c r="S20" s="1"/>
  <c r="R19"/>
  <c r="P14"/>
  <c r="Q14" s="1"/>
  <c r="R14" s="1"/>
  <c r="R20" i="139"/>
  <c r="S20" s="1"/>
  <c r="O9"/>
  <c r="P9" s="1"/>
  <c r="Q9" s="1"/>
  <c r="R9" s="1"/>
  <c r="R19"/>
  <c r="R14"/>
  <c r="P14"/>
  <c r="Q14" s="1"/>
  <c r="R19" i="138"/>
  <c r="R14"/>
  <c r="R20"/>
  <c r="S20" s="1"/>
  <c r="P20"/>
  <c r="Q20" s="1"/>
  <c r="O9"/>
  <c r="P9" s="1"/>
  <c r="Q9" s="1"/>
  <c r="R20" i="137"/>
  <c r="S20" s="1"/>
  <c r="R14"/>
  <c r="O19"/>
  <c r="P19" s="1"/>
  <c r="Q19" s="1"/>
  <c r="P20"/>
  <c r="Q20" s="1"/>
  <c r="AG9" i="136"/>
  <c r="AH9"/>
  <c r="AH10" s="1"/>
  <c r="AI9"/>
  <c r="X9"/>
  <c r="S10"/>
  <c r="AA9"/>
  <c r="AE9"/>
  <c r="AE10" s="1"/>
  <c r="P14"/>
  <c r="Q14" s="1"/>
  <c r="R14" s="1"/>
  <c r="R19"/>
  <c r="O20"/>
  <c r="AG9" i="135"/>
  <c r="AH9"/>
  <c r="AH10" s="1"/>
  <c r="AI9"/>
  <c r="X9"/>
  <c r="S10"/>
  <c r="AA9"/>
  <c r="AC9"/>
  <c r="AC10" s="1"/>
  <c r="AE9"/>
  <c r="AE10" s="1"/>
  <c r="P20"/>
  <c r="Q20" s="1"/>
  <c r="R20" s="1"/>
  <c r="S20" s="1"/>
  <c r="R14"/>
  <c r="R19"/>
  <c r="W20" i="134"/>
  <c r="AA20"/>
  <c r="AC20"/>
  <c r="AI20"/>
  <c r="V20"/>
  <c r="R9"/>
  <c r="R14"/>
  <c r="P14"/>
  <c r="Q14" s="1"/>
  <c r="O19"/>
  <c r="P19" s="1"/>
  <c r="Q19" s="1"/>
  <c r="W20" i="133"/>
  <c r="AA20"/>
  <c r="AC20"/>
  <c r="AI20"/>
  <c r="V20"/>
  <c r="AB20" s="1"/>
  <c r="R14"/>
  <c r="P9"/>
  <c r="Q9" s="1"/>
  <c r="R9" s="1"/>
  <c r="R19"/>
  <c r="R19" i="132"/>
  <c r="P9"/>
  <c r="Q9" s="1"/>
  <c r="R9" s="1"/>
  <c r="R14"/>
  <c r="R20"/>
  <c r="S20" s="1"/>
  <c r="AB15" i="125"/>
  <c r="AA15"/>
  <c r="W15"/>
  <c r="AC15"/>
  <c r="AI15"/>
  <c r="S4"/>
  <c r="AA4" s="1"/>
  <c r="R5"/>
  <c r="W15" i="131"/>
  <c r="AA15"/>
  <c r="AC15"/>
  <c r="AI15"/>
  <c r="V15"/>
  <c r="R14"/>
  <c r="R4"/>
  <c r="P4"/>
  <c r="Q4" s="1"/>
  <c r="R9"/>
  <c r="O15" i="130"/>
  <c r="P15"/>
  <c r="Q15" s="1"/>
  <c r="R5"/>
  <c r="S4"/>
  <c r="R14"/>
  <c r="P9"/>
  <c r="Q9" s="1"/>
  <c r="R9" s="1"/>
  <c r="R16" i="129"/>
  <c r="S14"/>
  <c r="R10"/>
  <c r="S9"/>
  <c r="O15"/>
  <c r="R4"/>
  <c r="P4"/>
  <c r="Q4" s="1"/>
  <c r="AG4" i="128"/>
  <c r="AH4"/>
  <c r="AH5" s="1"/>
  <c r="AI4"/>
  <c r="X4"/>
  <c r="S5"/>
  <c r="AA4"/>
  <c r="AC4"/>
  <c r="AC5" s="1"/>
  <c r="AE4"/>
  <c r="AE5" s="1"/>
  <c r="P9"/>
  <c r="Q9" s="1"/>
  <c r="R9" s="1"/>
  <c r="R14"/>
  <c r="O15"/>
  <c r="R14" i="127"/>
  <c r="O9"/>
  <c r="P9" s="1"/>
  <c r="Q9" s="1"/>
  <c r="R4"/>
  <c r="P4"/>
  <c r="Q4" s="1"/>
  <c r="P15"/>
  <c r="Q15" s="1"/>
  <c r="R15" s="1"/>
  <c r="S15" s="1"/>
  <c r="R10" i="126"/>
  <c r="S9"/>
  <c r="P4"/>
  <c r="Q4" s="1"/>
  <c r="R4" s="1"/>
  <c r="R14"/>
  <c r="R15"/>
  <c r="S15" s="1"/>
  <c r="V4" i="125"/>
  <c r="R9"/>
  <c r="P14"/>
  <c r="Q14" s="1"/>
  <c r="R14" s="1"/>
  <c r="R14" i="124"/>
  <c r="P4"/>
  <c r="Q4" s="1"/>
  <c r="R4" s="1"/>
  <c r="O9"/>
  <c r="P15"/>
  <c r="Q15" s="1"/>
  <c r="R15" s="1"/>
  <c r="S15" s="1"/>
  <c r="R5" i="123"/>
  <c r="S4"/>
  <c r="R15"/>
  <c r="S15" s="1"/>
  <c r="P15"/>
  <c r="Q15" s="1"/>
  <c r="R14"/>
  <c r="R9"/>
  <c r="R4" i="122"/>
  <c r="O15"/>
  <c r="R9"/>
  <c r="P9"/>
  <c r="Q9" s="1"/>
  <c r="R14"/>
  <c r="R16" i="121"/>
  <c r="S14"/>
  <c r="AI4"/>
  <c r="W4"/>
  <c r="W5" s="1"/>
  <c r="S5"/>
  <c r="AG4" s="1"/>
  <c r="AA4"/>
  <c r="AC4"/>
  <c r="AC5" s="1"/>
  <c r="V4"/>
  <c r="AE4"/>
  <c r="AE5" s="1"/>
  <c r="AH4"/>
  <c r="AH5" s="1"/>
  <c r="R9"/>
  <c r="P9"/>
  <c r="Q9" s="1"/>
  <c r="AB15"/>
  <c r="R14" i="120"/>
  <c r="R10"/>
  <c r="S9"/>
  <c r="P14"/>
  <c r="Q14" s="1"/>
  <c r="R4"/>
  <c r="W15"/>
  <c r="AA15"/>
  <c r="AC15"/>
  <c r="AI15"/>
  <c r="V15"/>
  <c r="AB15" s="1"/>
  <c r="P4"/>
  <c r="Q4" s="1"/>
  <c r="R16" i="119"/>
  <c r="S14"/>
  <c r="O15"/>
  <c r="AI4"/>
  <c r="X4"/>
  <c r="S5"/>
  <c r="AG4" s="1"/>
  <c r="AA4"/>
  <c r="AC4"/>
  <c r="AC5" s="1"/>
  <c r="AE4"/>
  <c r="AE5" s="1"/>
  <c r="R9"/>
  <c r="R10" i="118"/>
  <c r="S9"/>
  <c r="O14"/>
  <c r="P14" s="1"/>
  <c r="Q14" s="1"/>
  <c r="P4"/>
  <c r="Q4" s="1"/>
  <c r="R4" s="1"/>
  <c r="R15"/>
  <c r="S15" s="1"/>
  <c r="R14" i="28"/>
  <c r="R9"/>
  <c r="Y25" i="117"/>
  <c r="Z25" s="1"/>
  <c r="AG5"/>
  <c r="AL4"/>
  <c r="O24"/>
  <c r="AL24"/>
  <c r="AG26"/>
  <c r="O19"/>
  <c r="AG20"/>
  <c r="AL19"/>
  <c r="R14"/>
  <c r="AO25"/>
  <c r="O4"/>
  <c r="P14"/>
  <c r="Q14" s="1"/>
  <c r="R4" i="28"/>
  <c r="R21" i="116"/>
  <c r="R22"/>
  <c r="S22" s="1"/>
  <c r="R10" i="115"/>
  <c r="P10"/>
  <c r="Q10" s="1"/>
  <c r="P11"/>
  <c r="Q11" s="1"/>
  <c r="R11" s="1"/>
  <c r="S11" s="1"/>
  <c r="R10" i="114"/>
  <c r="O11"/>
  <c r="O11" i="113"/>
  <c r="P11"/>
  <c r="Q11" s="1"/>
  <c r="P10"/>
  <c r="Q10" s="1"/>
  <c r="O10"/>
  <c r="O11" i="112"/>
  <c r="P11"/>
  <c r="Q11" s="1"/>
  <c r="R10"/>
  <c r="P10"/>
  <c r="Q10" s="1"/>
  <c r="R11" i="111"/>
  <c r="S11" s="1"/>
  <c r="P11"/>
  <c r="Q11" s="1"/>
  <c r="R10"/>
  <c r="R11" i="106"/>
  <c r="S11" s="1"/>
  <c r="X11" s="1"/>
  <c r="P11"/>
  <c r="Q11" s="1"/>
  <c r="P10" i="109"/>
  <c r="Q10" s="1"/>
  <c r="O10"/>
  <c r="R10" s="1"/>
  <c r="O11"/>
  <c r="O11" i="108"/>
  <c r="P11" s="1"/>
  <c r="Q11" s="1"/>
  <c r="P10"/>
  <c r="Q10" s="1"/>
  <c r="R10" s="1"/>
  <c r="O11" i="107"/>
  <c r="O10"/>
  <c r="W11" i="106"/>
  <c r="V11"/>
  <c r="P10"/>
  <c r="Q10" s="1"/>
  <c r="R10" s="1"/>
  <c r="P11" i="105"/>
  <c r="Q11" s="1"/>
  <c r="R11" s="1"/>
  <c r="S11" s="1"/>
  <c r="R10" i="104"/>
  <c r="W11"/>
  <c r="AI11"/>
  <c r="AN11" s="1"/>
  <c r="AA11"/>
  <c r="V11"/>
  <c r="AB11" s="1"/>
  <c r="AC11"/>
  <c r="R4" i="103"/>
  <c r="O5"/>
  <c r="P5" s="1"/>
  <c r="Q5" s="1"/>
  <c r="P4"/>
  <c r="Q4" s="1"/>
  <c r="R10" i="102"/>
  <c r="AI5" i="101"/>
  <c r="AN5" s="1"/>
  <c r="AA5"/>
  <c r="W5"/>
  <c r="AC5"/>
  <c r="V5"/>
  <c r="P4"/>
  <c r="Q4" s="1"/>
  <c r="R4" s="1"/>
  <c r="R6" i="100"/>
  <c r="S4"/>
  <c r="P5"/>
  <c r="Q5" s="1"/>
  <c r="R5" s="1"/>
  <c r="S5" s="1"/>
  <c r="R5" i="99"/>
  <c r="S5" s="1"/>
  <c r="R4"/>
  <c r="R5" i="98"/>
  <c r="S5" s="1"/>
  <c r="P5"/>
  <c r="Q5" s="1"/>
  <c r="R6"/>
  <c r="S4"/>
  <c r="AI5" i="97"/>
  <c r="AN5" s="1"/>
  <c r="AA5"/>
  <c r="W5"/>
  <c r="AC5"/>
  <c r="V5"/>
  <c r="AB5" s="1"/>
  <c r="R4"/>
  <c r="AI11" i="96"/>
  <c r="AN11" s="1"/>
  <c r="X11"/>
  <c r="AC11"/>
  <c r="R10"/>
  <c r="R12" i="95"/>
  <c r="S10"/>
  <c r="R11"/>
  <c r="S11" s="1"/>
  <c r="R10" i="94"/>
  <c r="R11"/>
  <c r="S11" s="1"/>
  <c r="P10"/>
  <c r="Q10" s="1"/>
  <c r="AB11" i="93"/>
  <c r="P10"/>
  <c r="Q10" s="1"/>
  <c r="R10" s="1"/>
  <c r="AB11" i="92"/>
  <c r="R12"/>
  <c r="S10"/>
  <c r="P10" i="91"/>
  <c r="Q10" s="1"/>
  <c r="R10" s="1"/>
  <c r="O11"/>
  <c r="P10" i="90"/>
  <c r="Q10" s="1"/>
  <c r="R10" s="1"/>
  <c r="O10" i="19"/>
  <c r="P11"/>
  <c r="Q11" s="1"/>
  <c r="R11" s="1"/>
  <c r="S11" s="1"/>
  <c r="W11" i="89"/>
  <c r="AI11"/>
  <c r="AN11" s="1"/>
  <c r="AA11"/>
  <c r="AC11"/>
  <c r="V11"/>
  <c r="AB11" s="1"/>
  <c r="P10"/>
  <c r="Q10" s="1"/>
  <c r="R10" s="1"/>
  <c r="AI5" i="88"/>
  <c r="AN5" s="1"/>
  <c r="AA5"/>
  <c r="AB5" s="1"/>
  <c r="AC5"/>
  <c r="O4"/>
  <c r="R4" i="87"/>
  <c r="O5"/>
  <c r="P4"/>
  <c r="Q4" s="1"/>
  <c r="R4" i="86"/>
  <c r="P5"/>
  <c r="Q5" s="1"/>
  <c r="R5" s="1"/>
  <c r="S5" s="1"/>
  <c r="O4" i="85"/>
  <c r="R4" i="84"/>
  <c r="R5"/>
  <c r="S5" s="1"/>
  <c r="P4"/>
  <c r="Q4" s="1"/>
  <c r="AI5" i="83"/>
  <c r="AN5" s="1"/>
  <c r="X5"/>
  <c r="AB5" s="1"/>
  <c r="AA5"/>
  <c r="AC5"/>
  <c r="O4"/>
  <c r="AB5" i="82"/>
  <c r="P4"/>
  <c r="Q4" s="1"/>
  <c r="R4" s="1"/>
  <c r="R4" i="81"/>
  <c r="AB5"/>
  <c r="P4" i="8"/>
  <c r="Q4" s="1"/>
  <c r="R4" s="1"/>
  <c r="P5"/>
  <c r="Q5" s="1"/>
  <c r="R5" s="1"/>
  <c r="S5" s="1"/>
  <c r="P4" i="80"/>
  <c r="Q4" s="1"/>
  <c r="R4" s="1"/>
  <c r="P5"/>
  <c r="Q5" s="1"/>
  <c r="O5"/>
  <c r="O10"/>
  <c r="R11"/>
  <c r="S11" s="1"/>
  <c r="R10" i="147" l="1"/>
  <c r="S9"/>
  <c r="X20"/>
  <c r="AB20" s="1"/>
  <c r="AA20"/>
  <c r="AC20"/>
  <c r="AI20"/>
  <c r="R15"/>
  <c r="S14"/>
  <c r="AA19"/>
  <c r="S21"/>
  <c r="AH19" s="1"/>
  <c r="AH21" s="1"/>
  <c r="AI19"/>
  <c r="X19"/>
  <c r="AB20" i="146"/>
  <c r="R10"/>
  <c r="S9"/>
  <c r="R15"/>
  <c r="S14"/>
  <c r="R19"/>
  <c r="R15" i="145"/>
  <c r="S14"/>
  <c r="R10"/>
  <c r="S9"/>
  <c r="R21"/>
  <c r="S19"/>
  <c r="R10" i="144"/>
  <c r="S9"/>
  <c r="R15"/>
  <c r="S14"/>
  <c r="R19"/>
  <c r="AC19" i="143"/>
  <c r="AC21" s="1"/>
  <c r="S21"/>
  <c r="AE20" s="1"/>
  <c r="AE19"/>
  <c r="AI19"/>
  <c r="R15"/>
  <c r="S14"/>
  <c r="R9"/>
  <c r="R21" i="141"/>
  <c r="S19"/>
  <c r="AI15"/>
  <c r="AN14"/>
  <c r="AB14"/>
  <c r="X15"/>
  <c r="AI9"/>
  <c r="X9"/>
  <c r="S10"/>
  <c r="AG9" s="1"/>
  <c r="AA9"/>
  <c r="AE9"/>
  <c r="AE10" s="1"/>
  <c r="AH9"/>
  <c r="AH10" s="1"/>
  <c r="AE14"/>
  <c r="AE15" s="1"/>
  <c r="X20"/>
  <c r="AA20"/>
  <c r="AC20"/>
  <c r="AI20"/>
  <c r="AG14"/>
  <c r="R10" i="140"/>
  <c r="S9"/>
  <c r="R15"/>
  <c r="S14"/>
  <c r="X20"/>
  <c r="AA20"/>
  <c r="AC20"/>
  <c r="AI20"/>
  <c r="R21"/>
  <c r="S19"/>
  <c r="R10" i="139"/>
  <c r="S9"/>
  <c r="W20"/>
  <c r="AA20"/>
  <c r="AC20"/>
  <c r="AI20"/>
  <c r="V20"/>
  <c r="AB20" s="1"/>
  <c r="R21"/>
  <c r="S19"/>
  <c r="R15"/>
  <c r="S14"/>
  <c r="R15" i="138"/>
  <c r="S14"/>
  <c r="W20"/>
  <c r="AA20"/>
  <c r="AC20"/>
  <c r="AI20"/>
  <c r="V20"/>
  <c r="R21"/>
  <c r="S19"/>
  <c r="X19" s="1"/>
  <c r="X21" s="1"/>
  <c r="R9"/>
  <c r="W20" i="137"/>
  <c r="AA20"/>
  <c r="AC20"/>
  <c r="AI20"/>
  <c r="V20"/>
  <c r="R15"/>
  <c r="S14"/>
  <c r="R19"/>
  <c r="R15" i="136"/>
  <c r="S14"/>
  <c r="AJ9"/>
  <c r="AG10"/>
  <c r="R21"/>
  <c r="S19"/>
  <c r="AI10"/>
  <c r="AN9"/>
  <c r="AB9"/>
  <c r="X10"/>
  <c r="P20"/>
  <c r="Q20" s="1"/>
  <c r="R20" s="1"/>
  <c r="S20" s="1"/>
  <c r="X20" i="135"/>
  <c r="AA20"/>
  <c r="AC20"/>
  <c r="AI20"/>
  <c r="AJ9"/>
  <c r="AG10"/>
  <c r="R15"/>
  <c r="S14"/>
  <c r="AI10"/>
  <c r="AN9"/>
  <c r="R21"/>
  <c r="S19"/>
  <c r="AB9"/>
  <c r="AB10" s="1"/>
  <c r="X10"/>
  <c r="AB20" i="134"/>
  <c r="R19"/>
  <c r="R10"/>
  <c r="S9"/>
  <c r="R15"/>
  <c r="S14"/>
  <c r="R10" i="133"/>
  <c r="S9"/>
  <c r="R21"/>
  <c r="S19"/>
  <c r="R15"/>
  <c r="S14"/>
  <c r="R10" i="132"/>
  <c r="S9"/>
  <c r="R21"/>
  <c r="S19"/>
  <c r="R15"/>
  <c r="S14"/>
  <c r="W20"/>
  <c r="AA20"/>
  <c r="AC20"/>
  <c r="AI20"/>
  <c r="V20"/>
  <c r="AB20" s="1"/>
  <c r="W4" i="125"/>
  <c r="W5" s="1"/>
  <c r="AI4"/>
  <c r="AN4" s="1"/>
  <c r="S5"/>
  <c r="AG4" s="1"/>
  <c r="AG5" s="1"/>
  <c r="AB15" i="131"/>
  <c r="R5"/>
  <c r="S4"/>
  <c r="R10"/>
  <c r="S9"/>
  <c r="R16"/>
  <c r="S14"/>
  <c r="R10" i="130"/>
  <c r="S9"/>
  <c r="R15"/>
  <c r="S15" s="1"/>
  <c r="AG4"/>
  <c r="V4"/>
  <c r="AH4"/>
  <c r="AH5" s="1"/>
  <c r="W4"/>
  <c r="W5" s="1"/>
  <c r="AI4"/>
  <c r="S5"/>
  <c r="AC4"/>
  <c r="AC5" s="1"/>
  <c r="AE4"/>
  <c r="AE5" s="1"/>
  <c r="R16"/>
  <c r="S14"/>
  <c r="S16" i="129"/>
  <c r="AH14" s="1"/>
  <c r="AH16" s="1"/>
  <c r="AE14"/>
  <c r="AE16" s="1"/>
  <c r="AI14"/>
  <c r="X14"/>
  <c r="AE9"/>
  <c r="AE10" s="1"/>
  <c r="AH9"/>
  <c r="AH10" s="1"/>
  <c r="AI9"/>
  <c r="X9"/>
  <c r="S10"/>
  <c r="AG9" s="1"/>
  <c r="R15"/>
  <c r="S15" s="1"/>
  <c r="P15"/>
  <c r="Q15" s="1"/>
  <c r="R5"/>
  <c r="S4"/>
  <c r="R10" i="128"/>
  <c r="S9"/>
  <c r="AJ4"/>
  <c r="AG5"/>
  <c r="R16"/>
  <c r="S14"/>
  <c r="AI5"/>
  <c r="AN4"/>
  <c r="AB4"/>
  <c r="AB5" s="1"/>
  <c r="X5"/>
  <c r="R15"/>
  <c r="S15" s="1"/>
  <c r="P15"/>
  <c r="Q15" s="1"/>
  <c r="W15" i="127"/>
  <c r="V15"/>
  <c r="AI15"/>
  <c r="AA15"/>
  <c r="AC15"/>
  <c r="R16"/>
  <c r="S14"/>
  <c r="R5"/>
  <c r="S4"/>
  <c r="R9"/>
  <c r="R5" i="126"/>
  <c r="S4"/>
  <c r="V9"/>
  <c r="W9"/>
  <c r="W10" s="1"/>
  <c r="AI9"/>
  <c r="S10"/>
  <c r="AH9" s="1"/>
  <c r="AH10" s="1"/>
  <c r="AA9"/>
  <c r="R16"/>
  <c r="S14"/>
  <c r="W15"/>
  <c r="AA15"/>
  <c r="AC15"/>
  <c r="AI15"/>
  <c r="V15"/>
  <c r="AB15" s="1"/>
  <c r="R16" i="125"/>
  <c r="S14"/>
  <c r="R10"/>
  <c r="S9"/>
  <c r="V5"/>
  <c r="R5" i="124"/>
  <c r="S4"/>
  <c r="W15"/>
  <c r="AA15"/>
  <c r="AC15"/>
  <c r="AI15"/>
  <c r="V15"/>
  <c r="AB15" s="1"/>
  <c r="R16"/>
  <c r="S14"/>
  <c r="P9"/>
  <c r="Q9" s="1"/>
  <c r="R9" s="1"/>
  <c r="R10" i="123"/>
  <c r="S9"/>
  <c r="V4"/>
  <c r="W4"/>
  <c r="W5" s="1"/>
  <c r="AI4"/>
  <c r="S5"/>
  <c r="AH4" s="1"/>
  <c r="AH5" s="1"/>
  <c r="AA4"/>
  <c r="W15"/>
  <c r="AA15"/>
  <c r="AC15"/>
  <c r="AI15"/>
  <c r="V15"/>
  <c r="R16"/>
  <c r="S14"/>
  <c r="R5" i="122"/>
  <c r="S4"/>
  <c r="P15"/>
  <c r="Q15" s="1"/>
  <c r="R15" s="1"/>
  <c r="S15" s="1"/>
  <c r="R10"/>
  <c r="S9"/>
  <c r="R16"/>
  <c r="S14"/>
  <c r="AJ4" i="121"/>
  <c r="AG5"/>
  <c r="AC14"/>
  <c r="AC16" s="1"/>
  <c r="S16"/>
  <c r="AE15" s="1"/>
  <c r="V14"/>
  <c r="AA14"/>
  <c r="AH14"/>
  <c r="AH16" s="1"/>
  <c r="W14"/>
  <c r="W16" s="1"/>
  <c r="AI14"/>
  <c r="AI5"/>
  <c r="AN4"/>
  <c r="R10"/>
  <c r="S9"/>
  <c r="V5"/>
  <c r="AB4"/>
  <c r="AB5" s="1"/>
  <c r="AC9" i="120"/>
  <c r="AC10" s="1"/>
  <c r="AE9"/>
  <c r="AE10" s="1"/>
  <c r="V9"/>
  <c r="W9"/>
  <c r="W10" s="1"/>
  <c r="AI9"/>
  <c r="S10"/>
  <c r="AH9" s="1"/>
  <c r="AH10" s="1"/>
  <c r="AA9"/>
  <c r="R5"/>
  <c r="S4"/>
  <c r="R16"/>
  <c r="S14"/>
  <c r="AJ4" i="119"/>
  <c r="AG5"/>
  <c r="AH4"/>
  <c r="AH5" s="1"/>
  <c r="P15"/>
  <c r="Q15" s="1"/>
  <c r="R15" s="1"/>
  <c r="S15" s="1"/>
  <c r="R10"/>
  <c r="S9"/>
  <c r="AI5"/>
  <c r="AN4"/>
  <c r="X5"/>
  <c r="AB4"/>
  <c r="AB5" s="1"/>
  <c r="AC14"/>
  <c r="AC16" s="1"/>
  <c r="S16"/>
  <c r="AH14" s="1"/>
  <c r="AH16" s="1"/>
  <c r="AA14"/>
  <c r="AI14"/>
  <c r="X14"/>
  <c r="R5" i="118"/>
  <c r="S4"/>
  <c r="AC9"/>
  <c r="AC10" s="1"/>
  <c r="AE9"/>
  <c r="AE10" s="1"/>
  <c r="V9"/>
  <c r="W9"/>
  <c r="W10" s="1"/>
  <c r="AI9"/>
  <c r="S10"/>
  <c r="AH9" s="1"/>
  <c r="AH10" s="1"/>
  <c r="AA9"/>
  <c r="R14"/>
  <c r="W15"/>
  <c r="AA15"/>
  <c r="AC15"/>
  <c r="AI15"/>
  <c r="V15"/>
  <c r="R16" i="28"/>
  <c r="S14"/>
  <c r="R10"/>
  <c r="S9"/>
  <c r="R15" i="117"/>
  <c r="S14"/>
  <c r="P24"/>
  <c r="Q24" s="1"/>
  <c r="R24" s="1"/>
  <c r="P4"/>
  <c r="Q4" s="1"/>
  <c r="R4" s="1"/>
  <c r="P19"/>
  <c r="Q19" s="1"/>
  <c r="R19" s="1"/>
  <c r="R5" i="28"/>
  <c r="S4"/>
  <c r="R23" i="116"/>
  <c r="S21"/>
  <c r="W22"/>
  <c r="AI22"/>
  <c r="AN22" s="1"/>
  <c r="AA22"/>
  <c r="AC22"/>
  <c r="V22"/>
  <c r="W11" i="115"/>
  <c r="AI11"/>
  <c r="AN11" s="1"/>
  <c r="AA11"/>
  <c r="AC11"/>
  <c r="V11"/>
  <c r="AB11" s="1"/>
  <c r="R12"/>
  <c r="S10"/>
  <c r="R12" i="114"/>
  <c r="S10"/>
  <c r="R11"/>
  <c r="S11" s="1"/>
  <c r="P11"/>
  <c r="Q11" s="1"/>
  <c r="R11" i="113"/>
  <c r="S11" s="1"/>
  <c r="R10"/>
  <c r="R11" i="112"/>
  <c r="S11" s="1"/>
  <c r="R12"/>
  <c r="S10"/>
  <c r="R12" i="111"/>
  <c r="S10"/>
  <c r="W11"/>
  <c r="AI11"/>
  <c r="AN11" s="1"/>
  <c r="AA11"/>
  <c r="AC11"/>
  <c r="V11"/>
  <c r="AB11" s="1"/>
  <c r="AI11" i="106"/>
  <c r="AN11" s="1"/>
  <c r="AA11"/>
  <c r="AB11" s="1"/>
  <c r="AC11"/>
  <c r="R11" i="108"/>
  <c r="S11" s="1"/>
  <c r="AI11" s="1"/>
  <c r="AN11" s="1"/>
  <c r="R12" i="109"/>
  <c r="S10"/>
  <c r="P11"/>
  <c r="Q11" s="1"/>
  <c r="R11" s="1"/>
  <c r="S11" s="1"/>
  <c r="X11" i="108"/>
  <c r="R12"/>
  <c r="S10"/>
  <c r="P11" i="107"/>
  <c r="Q11" s="1"/>
  <c r="R11" s="1"/>
  <c r="S11" s="1"/>
  <c r="P10"/>
  <c r="Q10" s="1"/>
  <c r="R10" s="1"/>
  <c r="R12" i="106"/>
  <c r="S10"/>
  <c r="X10" s="1"/>
  <c r="X12" s="1"/>
  <c r="W11" i="105"/>
  <c r="AI11"/>
  <c r="AN11" s="1"/>
  <c r="AA11"/>
  <c r="AC11"/>
  <c r="V11"/>
  <c r="R12" i="104"/>
  <c r="S10"/>
  <c r="R5" i="103"/>
  <c r="S5" s="1"/>
  <c r="R6"/>
  <c r="S4"/>
  <c r="R12" i="102"/>
  <c r="S10"/>
  <c r="R6" i="101"/>
  <c r="S4"/>
  <c r="AB5"/>
  <c r="AI5" i="100"/>
  <c r="AN5" s="1"/>
  <c r="X5"/>
  <c r="AC5"/>
  <c r="AG5"/>
  <c r="AC4"/>
  <c r="AC6" s="1"/>
  <c r="S6"/>
  <c r="AE5" s="1"/>
  <c r="AH4"/>
  <c r="AH6" s="1"/>
  <c r="AI4"/>
  <c r="X4"/>
  <c r="W5" i="99"/>
  <c r="AI5"/>
  <c r="AN5" s="1"/>
  <c r="V5"/>
  <c r="AA5"/>
  <c r="AC5"/>
  <c r="R6"/>
  <c r="S4"/>
  <c r="AA4" i="98"/>
  <c r="S6"/>
  <c r="AE4" s="1"/>
  <c r="AE6" s="1"/>
  <c r="V4"/>
  <c r="AH4"/>
  <c r="AH6" s="1"/>
  <c r="W4"/>
  <c r="W6" s="1"/>
  <c r="AI4"/>
  <c r="W5"/>
  <c r="AI5"/>
  <c r="AN5" s="1"/>
  <c r="AA5"/>
  <c r="AC5"/>
  <c r="AE5"/>
  <c r="AG5"/>
  <c r="V5"/>
  <c r="AB5" s="1"/>
  <c r="R6" i="97"/>
  <c r="S4"/>
  <c r="AB11" i="96"/>
  <c r="R12"/>
  <c r="S10"/>
  <c r="AA10" i="95"/>
  <c r="AC10"/>
  <c r="AC12" s="1"/>
  <c r="S12"/>
  <c r="AE10" s="1"/>
  <c r="AE12" s="1"/>
  <c r="V10"/>
  <c r="AH10"/>
  <c r="AH12" s="1"/>
  <c r="W10"/>
  <c r="W12" s="1"/>
  <c r="AI10"/>
  <c r="W11"/>
  <c r="AI11"/>
  <c r="AN11" s="1"/>
  <c r="AA11"/>
  <c r="AC11"/>
  <c r="AE11"/>
  <c r="AG11"/>
  <c r="V11"/>
  <c r="R12" i="94"/>
  <c r="S10"/>
  <c r="AI11"/>
  <c r="AN11" s="1"/>
  <c r="AA11"/>
  <c r="AC11"/>
  <c r="W11"/>
  <c r="V11"/>
  <c r="AB11" s="1"/>
  <c r="R12" i="93"/>
  <c r="S10"/>
  <c r="AC10" i="92"/>
  <c r="AC12" s="1"/>
  <c r="S12"/>
  <c r="AH10"/>
  <c r="AH12" s="1"/>
  <c r="AI10"/>
  <c r="X10"/>
  <c r="R12" i="91"/>
  <c r="S10"/>
  <c r="R11"/>
  <c r="S11" s="1"/>
  <c r="P11"/>
  <c r="Q11" s="1"/>
  <c r="R12" i="90"/>
  <c r="S10"/>
  <c r="W11" i="19"/>
  <c r="AI11"/>
  <c r="AN11" s="1"/>
  <c r="V11"/>
  <c r="AB11" s="1"/>
  <c r="AA11"/>
  <c r="AC11"/>
  <c r="R10"/>
  <c r="P10"/>
  <c r="Q10" s="1"/>
  <c r="R12" i="89"/>
  <c r="S10"/>
  <c r="P4" i="88"/>
  <c r="Q4" s="1"/>
  <c r="R4" s="1"/>
  <c r="R6" i="87"/>
  <c r="S4"/>
  <c r="P5"/>
  <c r="Q5" s="1"/>
  <c r="R5" s="1"/>
  <c r="S5" s="1"/>
  <c r="W5" i="86"/>
  <c r="AI5"/>
  <c r="AN5" s="1"/>
  <c r="AA5"/>
  <c r="AC5"/>
  <c r="V5"/>
  <c r="R6"/>
  <c r="S4"/>
  <c r="P4" i="85"/>
  <c r="Q4" s="1"/>
  <c r="R4" s="1"/>
  <c r="R6" i="84"/>
  <c r="S4"/>
  <c r="AI5"/>
  <c r="AN5" s="1"/>
  <c r="AA5"/>
  <c r="AC5"/>
  <c r="W5"/>
  <c r="V5"/>
  <c r="P4" i="83"/>
  <c r="Q4" s="1"/>
  <c r="R4" s="1"/>
  <c r="R6" i="82"/>
  <c r="S4"/>
  <c r="R6" i="81"/>
  <c r="S4"/>
  <c r="R6" i="8"/>
  <c r="S4"/>
  <c r="AI5"/>
  <c r="AN5" s="1"/>
  <c r="AC5"/>
  <c r="S4" i="80"/>
  <c r="AI11"/>
  <c r="AN11" s="1"/>
  <c r="AC11"/>
  <c r="R5"/>
  <c r="S5" s="1"/>
  <c r="P10"/>
  <c r="Q10" s="1"/>
  <c r="R10" s="1"/>
  <c r="X21" i="147" l="1"/>
  <c r="AB19"/>
  <c r="AE14"/>
  <c r="AE15" s="1"/>
  <c r="AH14"/>
  <c r="AH15" s="1"/>
  <c r="AI14"/>
  <c r="X14"/>
  <c r="S15"/>
  <c r="AG14" s="1"/>
  <c r="AA14"/>
  <c r="AH9"/>
  <c r="AH10" s="1"/>
  <c r="AI9"/>
  <c r="X9"/>
  <c r="S10"/>
  <c r="AG9" s="1"/>
  <c r="AA9"/>
  <c r="AE19"/>
  <c r="AE21" s="1"/>
  <c r="AG19"/>
  <c r="AE20"/>
  <c r="AN19"/>
  <c r="AI21"/>
  <c r="V9" i="146"/>
  <c r="W9"/>
  <c r="W10" s="1"/>
  <c r="AI9"/>
  <c r="S10"/>
  <c r="AH9" s="1"/>
  <c r="AH10" s="1"/>
  <c r="AA9"/>
  <c r="AE14"/>
  <c r="AE15" s="1"/>
  <c r="AG14"/>
  <c r="V14"/>
  <c r="AH14"/>
  <c r="AH15" s="1"/>
  <c r="W14"/>
  <c r="W15" s="1"/>
  <c r="AI14"/>
  <c r="S15"/>
  <c r="AA14"/>
  <c r="R21"/>
  <c r="S19"/>
  <c r="AC14" i="145"/>
  <c r="AC15" s="1"/>
  <c r="AE14"/>
  <c r="AE15" s="1"/>
  <c r="AG14"/>
  <c r="V14"/>
  <c r="AH14"/>
  <c r="AH15" s="1"/>
  <c r="W14"/>
  <c r="W15" s="1"/>
  <c r="AI14"/>
  <c r="S15"/>
  <c r="AA14"/>
  <c r="AG9"/>
  <c r="V9"/>
  <c r="AH9"/>
  <c r="AH10" s="1"/>
  <c r="W9"/>
  <c r="W10" s="1"/>
  <c r="AE9"/>
  <c r="AE10" s="1"/>
  <c r="AI9"/>
  <c r="S10"/>
  <c r="AA9"/>
  <c r="AC9"/>
  <c r="AC10" s="1"/>
  <c r="AA19"/>
  <c r="AC19"/>
  <c r="AC21" s="1"/>
  <c r="S21"/>
  <c r="AE20" s="1"/>
  <c r="V19"/>
  <c r="AH19"/>
  <c r="AH21" s="1"/>
  <c r="W19"/>
  <c r="W21" s="1"/>
  <c r="AI19"/>
  <c r="V9" i="144"/>
  <c r="AH9"/>
  <c r="AH10" s="1"/>
  <c r="W9"/>
  <c r="W10" s="1"/>
  <c r="AI9"/>
  <c r="S10"/>
  <c r="AG9" s="1"/>
  <c r="AA9"/>
  <c r="AC9"/>
  <c r="AC10" s="1"/>
  <c r="AC14"/>
  <c r="AC15" s="1"/>
  <c r="AE14"/>
  <c r="AE15" s="1"/>
  <c r="AG14"/>
  <c r="V14"/>
  <c r="AH14"/>
  <c r="AH15" s="1"/>
  <c r="W14"/>
  <c r="W15" s="1"/>
  <c r="AI14"/>
  <c r="S15"/>
  <c r="AA14"/>
  <c r="R21"/>
  <c r="S19"/>
  <c r="AH19" i="143"/>
  <c r="AH21" s="1"/>
  <c r="AE21"/>
  <c r="AG19"/>
  <c r="AG21" s="1"/>
  <c r="R10"/>
  <c r="S9"/>
  <c r="AN19"/>
  <c r="AI21"/>
  <c r="AC14"/>
  <c r="AC15" s="1"/>
  <c r="AE14"/>
  <c r="AH14"/>
  <c r="AH15" s="1"/>
  <c r="AI14"/>
  <c r="S15"/>
  <c r="AG14" s="1"/>
  <c r="AG15" s="1"/>
  <c r="AB20" i="141"/>
  <c r="AJ9"/>
  <c r="AG10"/>
  <c r="S21"/>
  <c r="AE20" s="1"/>
  <c r="AE19"/>
  <c r="AE21" s="1"/>
  <c r="AG19"/>
  <c r="AH19"/>
  <c r="AH21" s="1"/>
  <c r="AI19"/>
  <c r="X19"/>
  <c r="AJ14"/>
  <c r="AG15"/>
  <c r="AB15"/>
  <c r="AC14"/>
  <c r="AC15" s="1"/>
  <c r="AI10"/>
  <c r="AN9"/>
  <c r="X10"/>
  <c r="AB9"/>
  <c r="AG9" i="140"/>
  <c r="AH9"/>
  <c r="AH10" s="1"/>
  <c r="AI9"/>
  <c r="X9"/>
  <c r="S10"/>
  <c r="AA9"/>
  <c r="AC9"/>
  <c r="AC10" s="1"/>
  <c r="AE9"/>
  <c r="AE10" s="1"/>
  <c r="AA19"/>
  <c r="S21"/>
  <c r="AE20" s="1"/>
  <c r="AI19"/>
  <c r="X19"/>
  <c r="AC14"/>
  <c r="AC15" s="1"/>
  <c r="AE14"/>
  <c r="AE15" s="1"/>
  <c r="AG14"/>
  <c r="AH14"/>
  <c r="AH15" s="1"/>
  <c r="AI14"/>
  <c r="X14"/>
  <c r="S15"/>
  <c r="AA14"/>
  <c r="AB20"/>
  <c r="AA19" i="139"/>
  <c r="S21"/>
  <c r="AE20" s="1"/>
  <c r="V19"/>
  <c r="W19"/>
  <c r="W21" s="1"/>
  <c r="AI19"/>
  <c r="V9"/>
  <c r="W9"/>
  <c r="W10" s="1"/>
  <c r="AI9"/>
  <c r="S10"/>
  <c r="AH9" s="1"/>
  <c r="AH10" s="1"/>
  <c r="AA9"/>
  <c r="AC9"/>
  <c r="AC10" s="1"/>
  <c r="AC14"/>
  <c r="AC15" s="1"/>
  <c r="AE14"/>
  <c r="AE15" s="1"/>
  <c r="V14"/>
  <c r="AH14"/>
  <c r="AH15" s="1"/>
  <c r="W14"/>
  <c r="W15" s="1"/>
  <c r="AI14"/>
  <c r="S15"/>
  <c r="AG14" s="1"/>
  <c r="AA14"/>
  <c r="AC14" i="138"/>
  <c r="AC15" s="1"/>
  <c r="AE14"/>
  <c r="AE15" s="1"/>
  <c r="AG14"/>
  <c r="V14"/>
  <c r="AH14"/>
  <c r="AH15" s="1"/>
  <c r="W14"/>
  <c r="W15" s="1"/>
  <c r="AI14"/>
  <c r="S15"/>
  <c r="AA14"/>
  <c r="R10"/>
  <c r="S9"/>
  <c r="AA19"/>
  <c r="AC19"/>
  <c r="AC21" s="1"/>
  <c r="S21"/>
  <c r="AE20" s="1"/>
  <c r="V19"/>
  <c r="W19"/>
  <c r="W21" s="1"/>
  <c r="AI19"/>
  <c r="AB20"/>
  <c r="R21" i="137"/>
  <c r="S19"/>
  <c r="AC14"/>
  <c r="AC15" s="1"/>
  <c r="V14"/>
  <c r="AH14"/>
  <c r="AH15" s="1"/>
  <c r="W14"/>
  <c r="W15" s="1"/>
  <c r="AI14"/>
  <c r="S15"/>
  <c r="AG14" s="1"/>
  <c r="AA14"/>
  <c r="AB20"/>
  <c r="X20" i="136"/>
  <c r="AA20"/>
  <c r="AC20"/>
  <c r="AI20"/>
  <c r="AB10"/>
  <c r="AC9"/>
  <c r="AC10" s="1"/>
  <c r="AG14"/>
  <c r="AH14"/>
  <c r="AH15" s="1"/>
  <c r="AI14"/>
  <c r="X14"/>
  <c r="S15"/>
  <c r="AE14" s="1"/>
  <c r="AE15" s="1"/>
  <c r="AA14"/>
  <c r="AJ10"/>
  <c r="AO9"/>
  <c r="AA19"/>
  <c r="S21"/>
  <c r="AH19" s="1"/>
  <c r="AH21" s="1"/>
  <c r="AI19"/>
  <c r="X19"/>
  <c r="AR9"/>
  <c r="AC14" i="135"/>
  <c r="AC15" s="1"/>
  <c r="AG14"/>
  <c r="AI14"/>
  <c r="X14"/>
  <c r="S15"/>
  <c r="AH14" s="1"/>
  <c r="AH15" s="1"/>
  <c r="AA14"/>
  <c r="AB20"/>
  <c r="AA19"/>
  <c r="AC19"/>
  <c r="AC21" s="1"/>
  <c r="S21"/>
  <c r="AE20" s="1"/>
  <c r="AE19"/>
  <c r="AE21" s="1"/>
  <c r="AG19"/>
  <c r="AH19"/>
  <c r="AH21" s="1"/>
  <c r="AI19"/>
  <c r="X19"/>
  <c r="AJ10"/>
  <c r="AO9"/>
  <c r="AR9" s="1"/>
  <c r="R21" i="134"/>
  <c r="S19"/>
  <c r="AG9"/>
  <c r="V9"/>
  <c r="W9"/>
  <c r="W10" s="1"/>
  <c r="AI9"/>
  <c r="S10"/>
  <c r="AH9" s="1"/>
  <c r="AH10" s="1"/>
  <c r="AA9"/>
  <c r="AC9"/>
  <c r="AC10" s="1"/>
  <c r="AE9"/>
  <c r="AE10" s="1"/>
  <c r="AC14"/>
  <c r="AC15" s="1"/>
  <c r="V14"/>
  <c r="W14"/>
  <c r="W15" s="1"/>
  <c r="AI14"/>
  <c r="S15"/>
  <c r="AH14" s="1"/>
  <c r="AH15" s="1"/>
  <c r="AA14"/>
  <c r="AG9" i="133"/>
  <c r="V9"/>
  <c r="AH9"/>
  <c r="AH10" s="1"/>
  <c r="W9"/>
  <c r="W10" s="1"/>
  <c r="AI9"/>
  <c r="S10"/>
  <c r="AA9"/>
  <c r="AE9"/>
  <c r="AE10" s="1"/>
  <c r="AA19"/>
  <c r="S21"/>
  <c r="AE20" s="1"/>
  <c r="V19"/>
  <c r="W19"/>
  <c r="W21" s="1"/>
  <c r="AI19"/>
  <c r="AE14"/>
  <c r="AE15" s="1"/>
  <c r="AG14"/>
  <c r="V14"/>
  <c r="AH14"/>
  <c r="AH15" s="1"/>
  <c r="W14"/>
  <c r="W15" s="1"/>
  <c r="AI14"/>
  <c r="S15"/>
  <c r="AA14"/>
  <c r="W9" i="132"/>
  <c r="W10" s="1"/>
  <c r="AI9"/>
  <c r="V9"/>
  <c r="S10"/>
  <c r="AG9" s="1"/>
  <c r="AA9"/>
  <c r="AA19"/>
  <c r="S21"/>
  <c r="AE20" s="1"/>
  <c r="V19"/>
  <c r="W19"/>
  <c r="W21" s="1"/>
  <c r="AI19"/>
  <c r="AE14"/>
  <c r="AE15" s="1"/>
  <c r="AG14"/>
  <c r="V14"/>
  <c r="AH14"/>
  <c r="AH15" s="1"/>
  <c r="W14"/>
  <c r="W15" s="1"/>
  <c r="AI14"/>
  <c r="S15"/>
  <c r="AA14"/>
  <c r="AH4" i="125"/>
  <c r="AB4"/>
  <c r="AC4" s="1"/>
  <c r="AC5" s="1"/>
  <c r="AI5"/>
  <c r="AE4"/>
  <c r="AE5" s="1"/>
  <c r="V4" i="131"/>
  <c r="W4"/>
  <c r="W5" s="1"/>
  <c r="AI4"/>
  <c r="S5"/>
  <c r="AH4" s="1"/>
  <c r="AH5" s="1"/>
  <c r="AC4"/>
  <c r="AC5" s="1"/>
  <c r="AC9"/>
  <c r="AC10" s="1"/>
  <c r="AE9"/>
  <c r="AE10" s="1"/>
  <c r="AG9"/>
  <c r="V9"/>
  <c r="AH9"/>
  <c r="AH10" s="1"/>
  <c r="W9"/>
  <c r="W10" s="1"/>
  <c r="AI9"/>
  <c r="S10"/>
  <c r="AC14"/>
  <c r="AC16" s="1"/>
  <c r="S16"/>
  <c r="AE15" s="1"/>
  <c r="AE14"/>
  <c r="AE16" s="1"/>
  <c r="AG14"/>
  <c r="V14"/>
  <c r="AH14"/>
  <c r="AH16" s="1"/>
  <c r="W14"/>
  <c r="W16" s="1"/>
  <c r="AI14"/>
  <c r="AC9" i="130"/>
  <c r="AC10" s="1"/>
  <c r="V9"/>
  <c r="W9"/>
  <c r="W10" s="1"/>
  <c r="AI9"/>
  <c r="S10"/>
  <c r="AH9" s="1"/>
  <c r="AH10" s="1"/>
  <c r="W15"/>
  <c r="AA15"/>
  <c r="AC15"/>
  <c r="AI15"/>
  <c r="V15"/>
  <c r="AJ4"/>
  <c r="AG5"/>
  <c r="V5"/>
  <c r="AB4"/>
  <c r="AB5" s="1"/>
  <c r="AC14"/>
  <c r="AC16" s="1"/>
  <c r="S16"/>
  <c r="AG14" s="1"/>
  <c r="AE14"/>
  <c r="AE16" s="1"/>
  <c r="V14"/>
  <c r="W14"/>
  <c r="W16" s="1"/>
  <c r="AI14"/>
  <c r="AI5"/>
  <c r="AN4"/>
  <c r="AJ9" i="129"/>
  <c r="AG10"/>
  <c r="X15"/>
  <c r="AB15" s="1"/>
  <c r="AC15"/>
  <c r="AE15"/>
  <c r="AI15"/>
  <c r="AG4"/>
  <c r="AI4"/>
  <c r="X4"/>
  <c r="S5"/>
  <c r="AH4" s="1"/>
  <c r="AH5" s="1"/>
  <c r="AA4"/>
  <c r="AE4"/>
  <c r="AE5" s="1"/>
  <c r="AI10"/>
  <c r="AN9"/>
  <c r="X10"/>
  <c r="AB9"/>
  <c r="AG14"/>
  <c r="AN14"/>
  <c r="AI16"/>
  <c r="AB14"/>
  <c r="X16"/>
  <c r="AC9" i="128"/>
  <c r="AC10" s="1"/>
  <c r="AE9"/>
  <c r="AE10" s="1"/>
  <c r="AG9"/>
  <c r="AI9"/>
  <c r="X9"/>
  <c r="S10"/>
  <c r="AH9" s="1"/>
  <c r="AH10" s="1"/>
  <c r="AA9"/>
  <c r="X15"/>
  <c r="AA15"/>
  <c r="AC15"/>
  <c r="AI15"/>
  <c r="AJ5"/>
  <c r="AO4"/>
  <c r="AA14"/>
  <c r="AC14"/>
  <c r="AC16" s="1"/>
  <c r="S16"/>
  <c r="AH14" s="1"/>
  <c r="AH16" s="1"/>
  <c r="AE14"/>
  <c r="AE16" s="1"/>
  <c r="AI14"/>
  <c r="X14"/>
  <c r="AR4"/>
  <c r="AG4" i="127"/>
  <c r="V4"/>
  <c r="AE4"/>
  <c r="AE5" s="1"/>
  <c r="AH4"/>
  <c r="AH5" s="1"/>
  <c r="W4"/>
  <c r="W5" s="1"/>
  <c r="AI4"/>
  <c r="S5"/>
  <c r="AA4"/>
  <c r="AC4"/>
  <c r="AC5" s="1"/>
  <c r="AB15"/>
  <c r="R10"/>
  <c r="S9"/>
  <c r="AA14"/>
  <c r="AC14"/>
  <c r="AC16" s="1"/>
  <c r="S16"/>
  <c r="AE15" s="1"/>
  <c r="AE14"/>
  <c r="AE16" s="1"/>
  <c r="AG14"/>
  <c r="V14"/>
  <c r="AH14"/>
  <c r="AH16" s="1"/>
  <c r="W14"/>
  <c r="W16" s="1"/>
  <c r="AI14"/>
  <c r="AG4" i="126"/>
  <c r="V4"/>
  <c r="AH4"/>
  <c r="AH5" s="1"/>
  <c r="W4"/>
  <c r="W5" s="1"/>
  <c r="AI4"/>
  <c r="S5"/>
  <c r="AA4"/>
  <c r="AE4"/>
  <c r="AE5" s="1"/>
  <c r="AE9"/>
  <c r="AE10" s="1"/>
  <c r="AA14"/>
  <c r="S16"/>
  <c r="AE15" s="1"/>
  <c r="V14"/>
  <c r="AH14"/>
  <c r="AH16" s="1"/>
  <c r="W14"/>
  <c r="W16" s="1"/>
  <c r="AI14"/>
  <c r="AG9"/>
  <c r="V10"/>
  <c r="AB9"/>
  <c r="AI10"/>
  <c r="AN9"/>
  <c r="V9" i="125"/>
  <c r="W9"/>
  <c r="W10" s="1"/>
  <c r="AI9"/>
  <c r="S10"/>
  <c r="AE9" s="1"/>
  <c r="AE10" s="1"/>
  <c r="AA9"/>
  <c r="S16"/>
  <c r="AE15" s="1"/>
  <c r="AA14"/>
  <c r="V14"/>
  <c r="W14"/>
  <c r="W16" s="1"/>
  <c r="AI14"/>
  <c r="R10" i="124"/>
  <c r="S9"/>
  <c r="AA14"/>
  <c r="S16"/>
  <c r="AE15" s="1"/>
  <c r="AE14"/>
  <c r="AE16" s="1"/>
  <c r="AG14"/>
  <c r="V14"/>
  <c r="AH14"/>
  <c r="AH16" s="1"/>
  <c r="W14"/>
  <c r="W16" s="1"/>
  <c r="AI14"/>
  <c r="AG4"/>
  <c r="V4"/>
  <c r="AH4"/>
  <c r="AH5" s="1"/>
  <c r="W4"/>
  <c r="W5" s="1"/>
  <c r="AI4"/>
  <c r="S5"/>
  <c r="AA4"/>
  <c r="AE4"/>
  <c r="AE5" s="1"/>
  <c r="AB15" i="123"/>
  <c r="AA14"/>
  <c r="S16"/>
  <c r="AE15" s="1"/>
  <c r="AG14"/>
  <c r="V14"/>
  <c r="W14"/>
  <c r="W16" s="1"/>
  <c r="AI14"/>
  <c r="AE4"/>
  <c r="AE5" s="1"/>
  <c r="AG4"/>
  <c r="V5"/>
  <c r="AB4"/>
  <c r="V9"/>
  <c r="W9"/>
  <c r="W10" s="1"/>
  <c r="AI9"/>
  <c r="S10"/>
  <c r="AE9" s="1"/>
  <c r="AE10" s="1"/>
  <c r="AA9"/>
  <c r="AI5"/>
  <c r="AN4"/>
  <c r="W15" i="122"/>
  <c r="AA15"/>
  <c r="AC15"/>
  <c r="AI15"/>
  <c r="V15"/>
  <c r="AB15" s="1"/>
  <c r="V4"/>
  <c r="W4"/>
  <c r="W5" s="1"/>
  <c r="AI4"/>
  <c r="S5"/>
  <c r="AH4" s="1"/>
  <c r="AH5" s="1"/>
  <c r="AA4"/>
  <c r="AE4"/>
  <c r="AE5" s="1"/>
  <c r="V9"/>
  <c r="W9"/>
  <c r="W10" s="1"/>
  <c r="AI9"/>
  <c r="S10"/>
  <c r="AH9" s="1"/>
  <c r="AH10" s="1"/>
  <c r="AA9"/>
  <c r="AA14"/>
  <c r="S16"/>
  <c r="AH14" s="1"/>
  <c r="AH16" s="1"/>
  <c r="V14"/>
  <c r="W14"/>
  <c r="W16" s="1"/>
  <c r="AI14"/>
  <c r="AN14" i="121"/>
  <c r="AI16"/>
  <c r="AR4"/>
  <c r="AE14"/>
  <c r="AE16" s="1"/>
  <c r="AJ5"/>
  <c r="AO4"/>
  <c r="AG14"/>
  <c r="V9"/>
  <c r="AH9"/>
  <c r="AH10" s="1"/>
  <c r="W9"/>
  <c r="W10" s="1"/>
  <c r="AI9"/>
  <c r="S10"/>
  <c r="AG9" s="1"/>
  <c r="AA9"/>
  <c r="AC9"/>
  <c r="AC10" s="1"/>
  <c r="AB14"/>
  <c r="AB16" s="1"/>
  <c r="V16"/>
  <c r="AG4" i="120"/>
  <c r="V4"/>
  <c r="AH4"/>
  <c r="AH5" s="1"/>
  <c r="W4"/>
  <c r="W5" s="1"/>
  <c r="AI4"/>
  <c r="S5"/>
  <c r="AA4"/>
  <c r="AC4"/>
  <c r="AC5" s="1"/>
  <c r="AE4"/>
  <c r="AE5" s="1"/>
  <c r="AG9"/>
  <c r="V10"/>
  <c r="AB9"/>
  <c r="AB10" s="1"/>
  <c r="AA14"/>
  <c r="AC14"/>
  <c r="AC16" s="1"/>
  <c r="S16"/>
  <c r="AE15" s="1"/>
  <c r="AE14"/>
  <c r="AE16" s="1"/>
  <c r="AG14"/>
  <c r="V14"/>
  <c r="AH14"/>
  <c r="AH16" s="1"/>
  <c r="W14"/>
  <c r="W16" s="1"/>
  <c r="AI14"/>
  <c r="AI10"/>
  <c r="AN9"/>
  <c r="AA15" i="119"/>
  <c r="AC15"/>
  <c r="AE15"/>
  <c r="AI15"/>
  <c r="X15"/>
  <c r="AJ5"/>
  <c r="AO4"/>
  <c r="AN14"/>
  <c r="AI16"/>
  <c r="AB14"/>
  <c r="AB16" s="1"/>
  <c r="X16"/>
  <c r="AR4"/>
  <c r="AE14"/>
  <c r="AE16" s="1"/>
  <c r="AC9"/>
  <c r="AC10" s="1"/>
  <c r="AI9"/>
  <c r="X9"/>
  <c r="S10"/>
  <c r="AH9" s="1"/>
  <c r="AH10" s="1"/>
  <c r="AA9"/>
  <c r="AG14"/>
  <c r="AB15" i="118"/>
  <c r="AG4"/>
  <c r="V4"/>
  <c r="AH4"/>
  <c r="AH5" s="1"/>
  <c r="W4"/>
  <c r="W5" s="1"/>
  <c r="AI4"/>
  <c r="S5"/>
  <c r="AA4"/>
  <c r="AC4"/>
  <c r="AC5" s="1"/>
  <c r="AE4"/>
  <c r="AE5" s="1"/>
  <c r="AI10"/>
  <c r="AN9"/>
  <c r="AG9"/>
  <c r="V10"/>
  <c r="AB9"/>
  <c r="AB10" s="1"/>
  <c r="R16"/>
  <c r="S14"/>
  <c r="W14" i="28"/>
  <c r="W16" s="1"/>
  <c r="AI14"/>
  <c r="S16"/>
  <c r="AG14" s="1"/>
  <c r="AA14"/>
  <c r="AC14"/>
  <c r="AC16" s="1"/>
  <c r="V14"/>
  <c r="W9"/>
  <c r="W10" s="1"/>
  <c r="AI9"/>
  <c r="S10"/>
  <c r="AG9" s="1"/>
  <c r="AA9"/>
  <c r="AC9"/>
  <c r="AC10" s="1"/>
  <c r="V9"/>
  <c r="R26" i="117"/>
  <c r="S24"/>
  <c r="R5"/>
  <c r="S4"/>
  <c r="R20"/>
  <c r="S19"/>
  <c r="W14"/>
  <c r="W15" s="1"/>
  <c r="AI14"/>
  <c r="V14"/>
  <c r="S15"/>
  <c r="AG14" s="1"/>
  <c r="AA14"/>
  <c r="AC14"/>
  <c r="AC15" s="1"/>
  <c r="AA4" i="28"/>
  <c r="AC4"/>
  <c r="AC5" s="1"/>
  <c r="S5"/>
  <c r="V4"/>
  <c r="W4"/>
  <c r="W5" s="1"/>
  <c r="AI4"/>
  <c r="AB22" i="116"/>
  <c r="AA21"/>
  <c r="AC21"/>
  <c r="AC23" s="1"/>
  <c r="S23"/>
  <c r="AE21" s="1"/>
  <c r="AE23" s="1"/>
  <c r="V21"/>
  <c r="W21"/>
  <c r="W23" s="1"/>
  <c r="AI21"/>
  <c r="AA10" i="115"/>
  <c r="AC10"/>
  <c r="AC12" s="1"/>
  <c r="S12"/>
  <c r="V10"/>
  <c r="AH10"/>
  <c r="AH12" s="1"/>
  <c r="W10"/>
  <c r="W12" s="1"/>
  <c r="AI10"/>
  <c r="W11" i="114"/>
  <c r="AI11"/>
  <c r="AN11" s="1"/>
  <c r="AA11"/>
  <c r="AC11"/>
  <c r="AG11"/>
  <c r="V11"/>
  <c r="AB11" s="1"/>
  <c r="AA10"/>
  <c r="AC10"/>
  <c r="AC12" s="1"/>
  <c r="S12"/>
  <c r="AE11" s="1"/>
  <c r="AE10"/>
  <c r="AE12" s="1"/>
  <c r="V10"/>
  <c r="AH10"/>
  <c r="AH12" s="1"/>
  <c r="W10"/>
  <c r="W12" s="1"/>
  <c r="AI10"/>
  <c r="W11" i="113"/>
  <c r="AI11"/>
  <c r="AN11" s="1"/>
  <c r="AA11"/>
  <c r="AC11"/>
  <c r="V11"/>
  <c r="R12"/>
  <c r="S10"/>
  <c r="W11" i="112"/>
  <c r="AI11"/>
  <c r="AN11" s="1"/>
  <c r="AA11"/>
  <c r="AC11"/>
  <c r="AE11"/>
  <c r="AG11"/>
  <c r="V11"/>
  <c r="AA10"/>
  <c r="AC10"/>
  <c r="AC12" s="1"/>
  <c r="S12"/>
  <c r="AG10" s="1"/>
  <c r="AE10"/>
  <c r="AE12" s="1"/>
  <c r="V10"/>
  <c r="AH10"/>
  <c r="AH12" s="1"/>
  <c r="W10"/>
  <c r="W12" s="1"/>
  <c r="AI10"/>
  <c r="AA10" i="111"/>
  <c r="AC10"/>
  <c r="AC12" s="1"/>
  <c r="S12"/>
  <c r="AE10"/>
  <c r="AE12" s="1"/>
  <c r="V10"/>
  <c r="AH10"/>
  <c r="AH12" s="1"/>
  <c r="W10"/>
  <c r="W12" s="1"/>
  <c r="AI10"/>
  <c r="V11" i="108"/>
  <c r="AB11" s="1"/>
  <c r="W11"/>
  <c r="AA11"/>
  <c r="AC11"/>
  <c r="V10"/>
  <c r="V12" s="1"/>
  <c r="W10"/>
  <c r="W12" s="1"/>
  <c r="W11" i="109"/>
  <c r="AI11"/>
  <c r="AN11" s="1"/>
  <c r="AC11"/>
  <c r="V11"/>
  <c r="AC10"/>
  <c r="AC12" s="1"/>
  <c r="V10"/>
  <c r="S12"/>
  <c r="AG10" s="1"/>
  <c r="W10"/>
  <c r="W12" s="1"/>
  <c r="AI10"/>
  <c r="AC10" i="108"/>
  <c r="AC12" s="1"/>
  <c r="AE10"/>
  <c r="AE12" s="1"/>
  <c r="S12"/>
  <c r="AG10" s="1"/>
  <c r="AI10"/>
  <c r="X10"/>
  <c r="AA10"/>
  <c r="AI11" i="107"/>
  <c r="AN11" s="1"/>
  <c r="X11"/>
  <c r="AA11"/>
  <c r="AC11"/>
  <c r="R12"/>
  <c r="S10"/>
  <c r="AE10" i="106"/>
  <c r="AE12" s="1"/>
  <c r="AG10"/>
  <c r="V10"/>
  <c r="S12"/>
  <c r="W10"/>
  <c r="W12" s="1"/>
  <c r="AI10"/>
  <c r="AA10"/>
  <c r="AB11" i="105"/>
  <c r="AA10" i="104"/>
  <c r="S12"/>
  <c r="AI10"/>
  <c r="V10"/>
  <c r="AH10"/>
  <c r="AH12" s="1"/>
  <c r="W10"/>
  <c r="W12" s="1"/>
  <c r="AA4" i="103"/>
  <c r="AC4"/>
  <c r="AC6" s="1"/>
  <c r="S6"/>
  <c r="AH4" s="1"/>
  <c r="AH6" s="1"/>
  <c r="AG4"/>
  <c r="AI4"/>
  <c r="X4"/>
  <c r="AH5"/>
  <c r="AA5"/>
  <c r="AC5"/>
  <c r="AE5"/>
  <c r="X5"/>
  <c r="AI5"/>
  <c r="AN5" s="1"/>
  <c r="AA10" i="102"/>
  <c r="AC10"/>
  <c r="AC12" s="1"/>
  <c r="S12"/>
  <c r="AI10"/>
  <c r="X10"/>
  <c r="AA4" i="101"/>
  <c r="S6"/>
  <c r="V4"/>
  <c r="AH4"/>
  <c r="AH6" s="1"/>
  <c r="W4"/>
  <c r="W6" s="1"/>
  <c r="AI4"/>
  <c r="AJ5" i="100"/>
  <c r="AO5" s="1"/>
  <c r="AR5" s="1"/>
  <c r="AH5"/>
  <c r="AE4"/>
  <c r="AE6" s="1"/>
  <c r="AG4"/>
  <c r="AB5"/>
  <c r="AN4"/>
  <c r="AI6"/>
  <c r="AB4"/>
  <c r="AB6" s="1"/>
  <c r="X6"/>
  <c r="AA4" i="99"/>
  <c r="AC4"/>
  <c r="AC6" s="1"/>
  <c r="S6"/>
  <c r="V4"/>
  <c r="AH4"/>
  <c r="AH6" s="1"/>
  <c r="W4"/>
  <c r="W6" s="1"/>
  <c r="AI4"/>
  <c r="AB5"/>
  <c r="AN4" i="98"/>
  <c r="AI6"/>
  <c r="AH5"/>
  <c r="AJ5"/>
  <c r="AO5" s="1"/>
  <c r="AR5" s="1"/>
  <c r="AG4"/>
  <c r="AB4"/>
  <c r="V6"/>
  <c r="AC4" i="97"/>
  <c r="AC6" s="1"/>
  <c r="AA4"/>
  <c r="S6"/>
  <c r="AG4"/>
  <c r="V4"/>
  <c r="AH4"/>
  <c r="AH6" s="1"/>
  <c r="W4"/>
  <c r="W6" s="1"/>
  <c r="AI4"/>
  <c r="AC10" i="96"/>
  <c r="AC12" s="1"/>
  <c r="S12"/>
  <c r="AH10"/>
  <c r="AH12" s="1"/>
  <c r="AI10"/>
  <c r="X10"/>
  <c r="AB11" i="95"/>
  <c r="AN10"/>
  <c r="AI12"/>
  <c r="AJ11"/>
  <c r="AO11" s="1"/>
  <c r="AR11" s="1"/>
  <c r="AH11"/>
  <c r="AG10"/>
  <c r="AB10"/>
  <c r="AB12" s="1"/>
  <c r="V12"/>
  <c r="S12" i="94"/>
  <c r="AA10"/>
  <c r="AG10"/>
  <c r="V10"/>
  <c r="AH10"/>
  <c r="AH12" s="1"/>
  <c r="W10"/>
  <c r="W12" s="1"/>
  <c r="AI10"/>
  <c r="AA10" i="93"/>
  <c r="S12"/>
  <c r="AE10" s="1"/>
  <c r="AE12" s="1"/>
  <c r="V10"/>
  <c r="W10"/>
  <c r="W12" s="1"/>
  <c r="AI10"/>
  <c r="AN10" i="92"/>
  <c r="AI12"/>
  <c r="AB10"/>
  <c r="AB12" s="1"/>
  <c r="X12"/>
  <c r="AH11"/>
  <c r="AG11"/>
  <c r="AJ11" s="1"/>
  <c r="AO11" s="1"/>
  <c r="AR11" s="1"/>
  <c r="AE11"/>
  <c r="AE10"/>
  <c r="AE12" s="1"/>
  <c r="AG10"/>
  <c r="AH11" i="91"/>
  <c r="W11"/>
  <c r="AI11"/>
  <c r="AN11" s="1"/>
  <c r="AA11"/>
  <c r="AC11"/>
  <c r="V11"/>
  <c r="AA10"/>
  <c r="AC10"/>
  <c r="AC12" s="1"/>
  <c r="S12"/>
  <c r="AG11" s="1"/>
  <c r="AJ11" s="1"/>
  <c r="AO11" s="1"/>
  <c r="AG10"/>
  <c r="V10"/>
  <c r="W10"/>
  <c r="W12" s="1"/>
  <c r="AI10"/>
  <c r="AA10" i="90"/>
  <c r="S12"/>
  <c r="AE10"/>
  <c r="AE12" s="1"/>
  <c r="V10"/>
  <c r="W10"/>
  <c r="W12" s="1"/>
  <c r="AI10"/>
  <c r="R12" i="19"/>
  <c r="S10"/>
  <c r="AA10" i="89"/>
  <c r="AC10"/>
  <c r="AC12" s="1"/>
  <c r="S12"/>
  <c r="AE10"/>
  <c r="AE12" s="1"/>
  <c r="AG10"/>
  <c r="V10"/>
  <c r="W10"/>
  <c r="W12" s="1"/>
  <c r="AI10"/>
  <c r="R6" i="88"/>
  <c r="S4"/>
  <c r="AH5" i="87"/>
  <c r="W5"/>
  <c r="AI5"/>
  <c r="AN5" s="1"/>
  <c r="AA5"/>
  <c r="AC5"/>
  <c r="AG5"/>
  <c r="AJ5" s="1"/>
  <c r="AO5" s="1"/>
  <c r="V5"/>
  <c r="AA4"/>
  <c r="S6"/>
  <c r="AE5" s="1"/>
  <c r="AE4"/>
  <c r="AE6" s="1"/>
  <c r="AG4"/>
  <c r="V4"/>
  <c r="AH4"/>
  <c r="AH6" s="1"/>
  <c r="W4"/>
  <c r="W6" s="1"/>
  <c r="AI4"/>
  <c r="AB5" i="86"/>
  <c r="AA4"/>
  <c r="AC4"/>
  <c r="AC6" s="1"/>
  <c r="S6"/>
  <c r="V4"/>
  <c r="AH4"/>
  <c r="AH6" s="1"/>
  <c r="W4"/>
  <c r="W6" s="1"/>
  <c r="AI4"/>
  <c r="R6" i="85"/>
  <c r="S4"/>
  <c r="AA4" i="84"/>
  <c r="S6"/>
  <c r="V4"/>
  <c r="AH4"/>
  <c r="AH6" s="1"/>
  <c r="W4"/>
  <c r="W6" s="1"/>
  <c r="AI4"/>
  <c r="AB5"/>
  <c r="R6" i="83"/>
  <c r="S4"/>
  <c r="AA4" i="82"/>
  <c r="S6"/>
  <c r="V4"/>
  <c r="AH4"/>
  <c r="AH6" s="1"/>
  <c r="W4"/>
  <c r="W6" s="1"/>
  <c r="AI4"/>
  <c r="AA4" i="81"/>
  <c r="S6"/>
  <c r="AG4" s="1"/>
  <c r="V4"/>
  <c r="W4"/>
  <c r="W6" s="1"/>
  <c r="AI4"/>
  <c r="AC4" i="8"/>
  <c r="AC6" s="1"/>
  <c r="S6"/>
  <c r="AI4"/>
  <c r="R12" i="80"/>
  <c r="S10"/>
  <c r="AF5"/>
  <c r="AK5" s="1"/>
  <c r="AO5" s="1"/>
  <c r="V5"/>
  <c r="W5"/>
  <c r="R6"/>
  <c r="AF4"/>
  <c r="V4"/>
  <c r="W4"/>
  <c r="S6"/>
  <c r="AJ9" i="147" l="1"/>
  <c r="AG10"/>
  <c r="AJ14"/>
  <c r="AG15"/>
  <c r="AB21"/>
  <c r="AC19"/>
  <c r="AC21" s="1"/>
  <c r="AE9"/>
  <c r="AE10" s="1"/>
  <c r="AG21"/>
  <c r="AJ19"/>
  <c r="AI10"/>
  <c r="AN9"/>
  <c r="AB9"/>
  <c r="X10"/>
  <c r="AI15"/>
  <c r="AN14"/>
  <c r="X15"/>
  <c r="AB14"/>
  <c r="AE9" i="146"/>
  <c r="AE10" s="1"/>
  <c r="AG9"/>
  <c r="V10"/>
  <c r="AB9"/>
  <c r="AA19"/>
  <c r="S21"/>
  <c r="AE20" s="1"/>
  <c r="V19"/>
  <c r="AH19"/>
  <c r="AH21" s="1"/>
  <c r="W19"/>
  <c r="W21" s="1"/>
  <c r="AI19"/>
  <c r="AJ14"/>
  <c r="AG15"/>
  <c r="V15"/>
  <c r="AB14"/>
  <c r="AI10"/>
  <c r="AN9"/>
  <c r="AI15"/>
  <c r="AN14"/>
  <c r="AJ9" i="145"/>
  <c r="AG10"/>
  <c r="AN19"/>
  <c r="AI21"/>
  <c r="V10"/>
  <c r="AB9"/>
  <c r="AB10" s="1"/>
  <c r="AJ14"/>
  <c r="AG15"/>
  <c r="V15"/>
  <c r="AB14"/>
  <c r="AB15" s="1"/>
  <c r="AE19"/>
  <c r="AE21" s="1"/>
  <c r="AI10"/>
  <c r="AN9"/>
  <c r="AI15"/>
  <c r="AN14"/>
  <c r="AG19"/>
  <c r="AB19"/>
  <c r="AB21" s="1"/>
  <c r="V21"/>
  <c r="AJ9" i="144"/>
  <c r="AG10"/>
  <c r="AE9"/>
  <c r="AE10" s="1"/>
  <c r="V10"/>
  <c r="AB9"/>
  <c r="AB10" s="1"/>
  <c r="AA19"/>
  <c r="AC19"/>
  <c r="AC21" s="1"/>
  <c r="S21"/>
  <c r="AE20" s="1"/>
  <c r="AG19"/>
  <c r="V19"/>
  <c r="W19"/>
  <c r="W21" s="1"/>
  <c r="AI19"/>
  <c r="AJ14"/>
  <c r="AG15"/>
  <c r="V15"/>
  <c r="AB14"/>
  <c r="AB15" s="1"/>
  <c r="AI10"/>
  <c r="AN9"/>
  <c r="AI15"/>
  <c r="AN14"/>
  <c r="AK19" i="143"/>
  <c r="AK21" s="1"/>
  <c r="AE15"/>
  <c r="AK14"/>
  <c r="AI15"/>
  <c r="AN14"/>
  <c r="AC9"/>
  <c r="AC10" s="1"/>
  <c r="AG9"/>
  <c r="AG10" s="1"/>
  <c r="AI9"/>
  <c r="S10"/>
  <c r="AE9" s="1"/>
  <c r="AN19" i="141"/>
  <c r="AI21"/>
  <c r="AJ10"/>
  <c r="AO9"/>
  <c r="AR9" s="1"/>
  <c r="X21"/>
  <c r="AB19"/>
  <c r="AB10"/>
  <c r="AC9"/>
  <c r="AC10" s="1"/>
  <c r="AJ15"/>
  <c r="AO14"/>
  <c r="AR14" s="1"/>
  <c r="AG21"/>
  <c r="AJ19"/>
  <c r="AH19" i="138"/>
  <c r="AH21" s="1"/>
  <c r="AE19" i="139"/>
  <c r="AE21" s="1"/>
  <c r="AH19"/>
  <c r="AH21" s="1"/>
  <c r="AE19" i="140"/>
  <c r="AE21" s="1"/>
  <c r="AH19"/>
  <c r="AH21" s="1"/>
  <c r="AJ9"/>
  <c r="AG10"/>
  <c r="AJ14"/>
  <c r="AG15"/>
  <c r="AI10"/>
  <c r="AN9"/>
  <c r="AB9"/>
  <c r="AB10" s="1"/>
  <c r="X10"/>
  <c r="AI15"/>
  <c r="AN14"/>
  <c r="AG19"/>
  <c r="X15"/>
  <c r="AB14"/>
  <c r="AB15" s="1"/>
  <c r="AN19"/>
  <c r="AI21"/>
  <c r="X21"/>
  <c r="AB19"/>
  <c r="AJ14" i="139"/>
  <c r="AG15"/>
  <c r="AI15"/>
  <c r="AN14"/>
  <c r="AN19"/>
  <c r="AI21"/>
  <c r="AE9"/>
  <c r="AE10" s="1"/>
  <c r="AG9"/>
  <c r="V10"/>
  <c r="AB9"/>
  <c r="AB10" s="1"/>
  <c r="AG19"/>
  <c r="V15"/>
  <c r="AB14"/>
  <c r="AB15" s="1"/>
  <c r="AI10"/>
  <c r="AN9"/>
  <c r="AB19"/>
  <c r="V21"/>
  <c r="AG9" i="138"/>
  <c r="V9"/>
  <c r="AH9"/>
  <c r="AH10" s="1"/>
  <c r="W9"/>
  <c r="W10" s="1"/>
  <c r="AI9"/>
  <c r="S10"/>
  <c r="AA9"/>
  <c r="AC9"/>
  <c r="AC10" s="1"/>
  <c r="AE9"/>
  <c r="AE10" s="1"/>
  <c r="AJ14"/>
  <c r="AG15"/>
  <c r="AN19"/>
  <c r="AI21"/>
  <c r="V15"/>
  <c r="AB14"/>
  <c r="AB15" s="1"/>
  <c r="AI15"/>
  <c r="AN14"/>
  <c r="AE19"/>
  <c r="AE21" s="1"/>
  <c r="AB19"/>
  <c r="AB21" s="1"/>
  <c r="V21"/>
  <c r="AG19"/>
  <c r="AJ14" i="137"/>
  <c r="AG15"/>
  <c r="AA19"/>
  <c r="AC19"/>
  <c r="AC21" s="1"/>
  <c r="S21"/>
  <c r="AE20" s="1"/>
  <c r="V19"/>
  <c r="W19"/>
  <c r="W21" s="1"/>
  <c r="AI19"/>
  <c r="AI15"/>
  <c r="AN14"/>
  <c r="AE14"/>
  <c r="AE15" s="1"/>
  <c r="V15"/>
  <c r="AB14"/>
  <c r="AB15" s="1"/>
  <c r="X21" i="136"/>
  <c r="AB19"/>
  <c r="AB20"/>
  <c r="AJ14"/>
  <c r="AG15"/>
  <c r="AI15"/>
  <c r="AN14"/>
  <c r="AE20"/>
  <c r="X15"/>
  <c r="AB14"/>
  <c r="AE19"/>
  <c r="AE21" s="1"/>
  <c r="AG19"/>
  <c r="AN19"/>
  <c r="AI21"/>
  <c r="AN19" i="135"/>
  <c r="AI21"/>
  <c r="X21"/>
  <c r="AB19"/>
  <c r="AB21" s="1"/>
  <c r="AE14"/>
  <c r="AE15" s="1"/>
  <c r="AJ14"/>
  <c r="AG15"/>
  <c r="AI15"/>
  <c r="AN14"/>
  <c r="X15"/>
  <c r="AB14"/>
  <c r="AB15" s="1"/>
  <c r="AG21"/>
  <c r="AJ19"/>
  <c r="AI15" i="134"/>
  <c r="AN14"/>
  <c r="AA19"/>
  <c r="AC19"/>
  <c r="AC21" s="1"/>
  <c r="S21"/>
  <c r="AE20" s="1"/>
  <c r="AE19"/>
  <c r="AE21" s="1"/>
  <c r="V19"/>
  <c r="AH19"/>
  <c r="AH21" s="1"/>
  <c r="W19"/>
  <c r="W21" s="1"/>
  <c r="AI19"/>
  <c r="AJ9"/>
  <c r="AG10"/>
  <c r="V10"/>
  <c r="AB9"/>
  <c r="AB10" s="1"/>
  <c r="AE14"/>
  <c r="AE15" s="1"/>
  <c r="AG14"/>
  <c r="V15"/>
  <c r="AB14"/>
  <c r="AB15" s="1"/>
  <c r="AI10"/>
  <c r="AN9"/>
  <c r="AJ9" i="133"/>
  <c r="AG10"/>
  <c r="AN19"/>
  <c r="AI21"/>
  <c r="V10"/>
  <c r="AB9"/>
  <c r="AI15"/>
  <c r="AN14"/>
  <c r="AJ14"/>
  <c r="AG15"/>
  <c r="AI10"/>
  <c r="AN9"/>
  <c r="AE19"/>
  <c r="AE21" s="1"/>
  <c r="V15"/>
  <c r="AB14"/>
  <c r="AG19"/>
  <c r="AB19"/>
  <c r="V21"/>
  <c r="AH19"/>
  <c r="AH21" s="1"/>
  <c r="AG10" i="132"/>
  <c r="AE9"/>
  <c r="AE10" s="1"/>
  <c r="AH9"/>
  <c r="AH10" s="1"/>
  <c r="AN19"/>
  <c r="AI21"/>
  <c r="AI10"/>
  <c r="AN9"/>
  <c r="AJ14"/>
  <c r="AG15"/>
  <c r="V10"/>
  <c r="AB9"/>
  <c r="V15"/>
  <c r="AB14"/>
  <c r="AE19"/>
  <c r="AE21" s="1"/>
  <c r="AG19"/>
  <c r="AB19"/>
  <c r="V21"/>
  <c r="AI15"/>
  <c r="AN14"/>
  <c r="AH19"/>
  <c r="AH21" s="1"/>
  <c r="AB5" i="125"/>
  <c r="AH5"/>
  <c r="AJ4"/>
  <c r="AB15" i="130"/>
  <c r="AE4" i="131"/>
  <c r="AE5" s="1"/>
  <c r="AG4"/>
  <c r="V5"/>
  <c r="AB4"/>
  <c r="AB5" s="1"/>
  <c r="AN14"/>
  <c r="AI16"/>
  <c r="AJ9"/>
  <c r="AG10"/>
  <c r="V10"/>
  <c r="AB9"/>
  <c r="AB10" s="1"/>
  <c r="AI5"/>
  <c r="AN4"/>
  <c r="AG16"/>
  <c r="AJ14"/>
  <c r="AB14"/>
  <c r="AB16" s="1"/>
  <c r="V16"/>
  <c r="AI10"/>
  <c r="AN9"/>
  <c r="AG16" i="130"/>
  <c r="AJ14"/>
  <c r="AB14"/>
  <c r="AB16" s="1"/>
  <c r="V16"/>
  <c r="AH14"/>
  <c r="AH16" s="1"/>
  <c r="AE9"/>
  <c r="AE10" s="1"/>
  <c r="AG9"/>
  <c r="AN14"/>
  <c r="AI16"/>
  <c r="V10"/>
  <c r="AB9"/>
  <c r="AB10" s="1"/>
  <c r="AE15"/>
  <c r="AI10"/>
  <c r="AN9"/>
  <c r="AJ5"/>
  <c r="AO4"/>
  <c r="AR4" s="1"/>
  <c r="AJ10" i="129"/>
  <c r="AO9"/>
  <c r="AR9" s="1"/>
  <c r="AI5"/>
  <c r="AN4"/>
  <c r="AJ4"/>
  <c r="AG5"/>
  <c r="AB10"/>
  <c r="AC9"/>
  <c r="AC10" s="1"/>
  <c r="X5"/>
  <c r="AB4"/>
  <c r="AG16"/>
  <c r="AJ14"/>
  <c r="AB16"/>
  <c r="AC14"/>
  <c r="AC16" s="1"/>
  <c r="AB15" i="128"/>
  <c r="AJ9"/>
  <c r="AG10"/>
  <c r="AG14"/>
  <c r="AE15"/>
  <c r="AI10"/>
  <c r="AN9"/>
  <c r="AN14"/>
  <c r="AI16"/>
  <c r="X10"/>
  <c r="AB9"/>
  <c r="AB10" s="1"/>
  <c r="X16"/>
  <c r="AB14"/>
  <c r="AB16" s="1"/>
  <c r="AJ4" i="127"/>
  <c r="AG5"/>
  <c r="AB14"/>
  <c r="AB16" s="1"/>
  <c r="V16"/>
  <c r="V5"/>
  <c r="AB4"/>
  <c r="AB5" s="1"/>
  <c r="AC9"/>
  <c r="AC10" s="1"/>
  <c r="AE9"/>
  <c r="AE10" s="1"/>
  <c r="AG9"/>
  <c r="V9"/>
  <c r="AH9"/>
  <c r="AH10" s="1"/>
  <c r="W9"/>
  <c r="W10" s="1"/>
  <c r="AI9"/>
  <c r="S10"/>
  <c r="AA9"/>
  <c r="AN14"/>
  <c r="AI16"/>
  <c r="AI5"/>
  <c r="AN4"/>
  <c r="AG16"/>
  <c r="AJ14"/>
  <c r="AJ4" i="126"/>
  <c r="AG5"/>
  <c r="V5"/>
  <c r="AB4"/>
  <c r="AN14"/>
  <c r="AI16"/>
  <c r="AJ9"/>
  <c r="AG10"/>
  <c r="AI5"/>
  <c r="AN4"/>
  <c r="AB10"/>
  <c r="AC9"/>
  <c r="AC10" s="1"/>
  <c r="AE14"/>
  <c r="AE16" s="1"/>
  <c r="AG14"/>
  <c r="AB14"/>
  <c r="V16"/>
  <c r="AN14" i="125"/>
  <c r="AI16"/>
  <c r="V10"/>
  <c r="AB9"/>
  <c r="AG9"/>
  <c r="AE14"/>
  <c r="AE16" s="1"/>
  <c r="AH9"/>
  <c r="AH10" s="1"/>
  <c r="AI10"/>
  <c r="AN9"/>
  <c r="AG14"/>
  <c r="V16"/>
  <c r="AB14"/>
  <c r="AH14"/>
  <c r="AH16" s="1"/>
  <c r="V9" i="124"/>
  <c r="W9"/>
  <c r="W10" s="1"/>
  <c r="AI9"/>
  <c r="S10"/>
  <c r="AH9" s="1"/>
  <c r="AH10" s="1"/>
  <c r="AA9"/>
  <c r="AN14"/>
  <c r="AI16"/>
  <c r="AJ4"/>
  <c r="AG5"/>
  <c r="V5"/>
  <c r="AB4"/>
  <c r="AG16"/>
  <c r="AJ14"/>
  <c r="AI5"/>
  <c r="AN4"/>
  <c r="AB14"/>
  <c r="V16"/>
  <c r="AG9" i="123"/>
  <c r="V10"/>
  <c r="AB9"/>
  <c r="AN14"/>
  <c r="AI16"/>
  <c r="AH9"/>
  <c r="AH10" s="1"/>
  <c r="AJ4"/>
  <c r="AG5"/>
  <c r="AI10"/>
  <c r="AN9"/>
  <c r="AE14"/>
  <c r="AE16" s="1"/>
  <c r="AB5"/>
  <c r="AC4"/>
  <c r="AC5" s="1"/>
  <c r="AG16"/>
  <c r="AB14"/>
  <c r="V16"/>
  <c r="AH14"/>
  <c r="AH16" s="1"/>
  <c r="AB14" i="122"/>
  <c r="V16"/>
  <c r="AN14"/>
  <c r="AI16"/>
  <c r="AG4"/>
  <c r="AE9"/>
  <c r="AE10" s="1"/>
  <c r="AI10"/>
  <c r="AN9"/>
  <c r="AG9"/>
  <c r="V10"/>
  <c r="AB9"/>
  <c r="AI5"/>
  <c r="AN4"/>
  <c r="AE14"/>
  <c r="AE16" s="1"/>
  <c r="AE15"/>
  <c r="AG14"/>
  <c r="V5"/>
  <c r="AB4"/>
  <c r="AJ9" i="121"/>
  <c r="AG10"/>
  <c r="AN9"/>
  <c r="AI10"/>
  <c r="AE9"/>
  <c r="AE10" s="1"/>
  <c r="V10"/>
  <c r="AB9"/>
  <c r="AB10" s="1"/>
  <c r="AG16"/>
  <c r="AJ14"/>
  <c r="V5" i="120"/>
  <c r="AB4"/>
  <c r="AB5" s="1"/>
  <c r="AJ9"/>
  <c r="AG10"/>
  <c r="AJ4"/>
  <c r="AG5"/>
  <c r="AN14"/>
  <c r="AI16"/>
  <c r="AI5"/>
  <c r="AN4"/>
  <c r="AG16"/>
  <c r="AJ14"/>
  <c r="AB14"/>
  <c r="AB16" s="1"/>
  <c r="V16"/>
  <c r="AN9" i="119"/>
  <c r="AI10"/>
  <c r="X10"/>
  <c r="AB9"/>
  <c r="AB10" s="1"/>
  <c r="AB15"/>
  <c r="AG16"/>
  <c r="AJ14"/>
  <c r="AG9"/>
  <c r="AE9"/>
  <c r="AE10" s="1"/>
  <c r="AJ4" i="118"/>
  <c r="AG5"/>
  <c r="V5"/>
  <c r="AB4"/>
  <c r="AB5" s="1"/>
  <c r="AJ9"/>
  <c r="AG10"/>
  <c r="AI5"/>
  <c r="AN4"/>
  <c r="AA14"/>
  <c r="AC14"/>
  <c r="AC16" s="1"/>
  <c r="S16"/>
  <c r="AE15" s="1"/>
  <c r="V14"/>
  <c r="W14"/>
  <c r="W16" s="1"/>
  <c r="AI14"/>
  <c r="AH14" i="28"/>
  <c r="AJ14" s="1"/>
  <c r="AE9"/>
  <c r="AE10" s="1"/>
  <c r="AG16"/>
  <c r="AI16"/>
  <c r="AN14"/>
  <c r="V16"/>
  <c r="AB14"/>
  <c r="AE14"/>
  <c r="AG10"/>
  <c r="V10"/>
  <c r="AB9"/>
  <c r="AB10" s="1"/>
  <c r="AH9"/>
  <c r="AH10" s="1"/>
  <c r="AI10"/>
  <c r="AN9"/>
  <c r="AE14" i="117"/>
  <c r="AE15" s="1"/>
  <c r="AH14"/>
  <c r="AH15" s="1"/>
  <c r="AE4" i="28"/>
  <c r="AE5" s="1"/>
  <c r="AG15" i="117"/>
  <c r="AI15"/>
  <c r="AN14"/>
  <c r="V15"/>
  <c r="AB14"/>
  <c r="AB15" s="1"/>
  <c r="S26"/>
  <c r="AF24"/>
  <c r="V24"/>
  <c r="W24"/>
  <c r="W26" s="1"/>
  <c r="S5"/>
  <c r="AF4"/>
  <c r="V4"/>
  <c r="W4"/>
  <c r="W5" s="1"/>
  <c r="S20"/>
  <c r="AF19"/>
  <c r="V19"/>
  <c r="W19"/>
  <c r="W20" s="1"/>
  <c r="AN4" i="28"/>
  <c r="AI5"/>
  <c r="AG4"/>
  <c r="AB4"/>
  <c r="AB5" s="1"/>
  <c r="V5"/>
  <c r="AH4"/>
  <c r="AH5" s="1"/>
  <c r="AN21" i="116"/>
  <c r="AI23"/>
  <c r="AH22"/>
  <c r="AG22"/>
  <c r="AE22"/>
  <c r="AG21"/>
  <c r="AH21"/>
  <c r="AH23" s="1"/>
  <c r="AB21"/>
  <c r="AB23" s="1"/>
  <c r="V23"/>
  <c r="AN10" i="115"/>
  <c r="AI12"/>
  <c r="AG11"/>
  <c r="AJ11" s="1"/>
  <c r="AO11" s="1"/>
  <c r="AR11" s="1"/>
  <c r="AE11"/>
  <c r="AH11"/>
  <c r="AE10"/>
  <c r="AE12" s="1"/>
  <c r="AG10"/>
  <c r="AB10"/>
  <c r="AB12" s="1"/>
  <c r="V12"/>
  <c r="AN10" i="114"/>
  <c r="AI12"/>
  <c r="AJ11"/>
  <c r="AO11" s="1"/>
  <c r="AR11" s="1"/>
  <c r="AH11"/>
  <c r="AG10"/>
  <c r="AB10"/>
  <c r="AB12" s="1"/>
  <c r="V12"/>
  <c r="AA10" i="113"/>
  <c r="S12"/>
  <c r="AE10" s="1"/>
  <c r="AE12" s="1"/>
  <c r="V10"/>
  <c r="AH10"/>
  <c r="AH12" s="1"/>
  <c r="W10"/>
  <c r="W12" s="1"/>
  <c r="AI10"/>
  <c r="AB11"/>
  <c r="AG12" i="112"/>
  <c r="AJ10"/>
  <c r="AN10"/>
  <c r="AI12"/>
  <c r="AH11"/>
  <c r="AJ11" s="1"/>
  <c r="AO11" s="1"/>
  <c r="AR11" s="1"/>
  <c r="AB10"/>
  <c r="AB12" s="1"/>
  <c r="V12"/>
  <c r="AB11"/>
  <c r="AN10" i="111"/>
  <c r="AI12"/>
  <c r="AE11"/>
  <c r="AG11"/>
  <c r="AJ11" s="1"/>
  <c r="AO11" s="1"/>
  <c r="AR11" s="1"/>
  <c r="AH11"/>
  <c r="AG10"/>
  <c r="AB10"/>
  <c r="AB12" s="1"/>
  <c r="V12"/>
  <c r="AB11" i="107"/>
  <c r="AH10" i="109"/>
  <c r="AH12" s="1"/>
  <c r="AE11"/>
  <c r="AK11" s="1"/>
  <c r="AP11" s="1"/>
  <c r="AG11"/>
  <c r="AJ11" s="1"/>
  <c r="AO11" s="1"/>
  <c r="AE10"/>
  <c r="AH11"/>
  <c r="AN10"/>
  <c r="AI12"/>
  <c r="AG12"/>
  <c r="AJ10"/>
  <c r="V12"/>
  <c r="AB12"/>
  <c r="AG12" i="108"/>
  <c r="AJ10"/>
  <c r="AH11"/>
  <c r="AG11"/>
  <c r="AE11"/>
  <c r="AH10"/>
  <c r="AH12" s="1"/>
  <c r="AN10"/>
  <c r="AI12"/>
  <c r="X12"/>
  <c r="AB10"/>
  <c r="AB12" s="1"/>
  <c r="AE10" i="107"/>
  <c r="AE12" s="1"/>
  <c r="S12"/>
  <c r="AG10" s="1"/>
  <c r="AI10"/>
  <c r="X10"/>
  <c r="AA10"/>
  <c r="AG12" i="106"/>
  <c r="V12"/>
  <c r="AB10"/>
  <c r="AE11"/>
  <c r="AG11"/>
  <c r="AH11"/>
  <c r="AH10"/>
  <c r="AH12" s="1"/>
  <c r="AN10"/>
  <c r="AI12"/>
  <c r="AE11" i="104"/>
  <c r="AG11"/>
  <c r="AJ11" s="1"/>
  <c r="AO11" s="1"/>
  <c r="AR11" s="1"/>
  <c r="AH11"/>
  <c r="AE10"/>
  <c r="AE12" s="1"/>
  <c r="AN10"/>
  <c r="AI12"/>
  <c r="AG10"/>
  <c r="AB10"/>
  <c r="V12"/>
  <c r="AE4" i="103"/>
  <c r="AE6" s="1"/>
  <c r="AG6"/>
  <c r="AJ4"/>
  <c r="AB5"/>
  <c r="AG5"/>
  <c r="AJ5" s="1"/>
  <c r="AO5" s="1"/>
  <c r="AR5" s="1"/>
  <c r="AN4"/>
  <c r="AI6"/>
  <c r="AB4"/>
  <c r="AB6" s="1"/>
  <c r="X6"/>
  <c r="AG11" i="102"/>
  <c r="AE11"/>
  <c r="AH11"/>
  <c r="AE10"/>
  <c r="AE12" s="1"/>
  <c r="AG10"/>
  <c r="AH10"/>
  <c r="AH12" s="1"/>
  <c r="AN10"/>
  <c r="AI12"/>
  <c r="AB10"/>
  <c r="AB12" s="1"/>
  <c r="X12"/>
  <c r="AB4" i="101"/>
  <c r="V6"/>
  <c r="AN4"/>
  <c r="AI6"/>
  <c r="AG5"/>
  <c r="AE5"/>
  <c r="AH5"/>
  <c r="AE4"/>
  <c r="AE6" s="1"/>
  <c r="AG4"/>
  <c r="AG6" i="100"/>
  <c r="AJ4"/>
  <c r="AB4" i="99"/>
  <c r="AB6" s="1"/>
  <c r="V6"/>
  <c r="AN4"/>
  <c r="AI6"/>
  <c r="AH5"/>
  <c r="AE5"/>
  <c r="AG5"/>
  <c r="AE4"/>
  <c r="AE6" s="1"/>
  <c r="AG4"/>
  <c r="AG6" i="98"/>
  <c r="AJ4"/>
  <c r="AB6"/>
  <c r="AC4"/>
  <c r="AC6" s="1"/>
  <c r="AE5" i="97"/>
  <c r="AH5"/>
  <c r="AG5"/>
  <c r="AE4"/>
  <c r="AE6" s="1"/>
  <c r="AN4"/>
  <c r="AI6"/>
  <c r="AG6"/>
  <c r="AJ4"/>
  <c r="AB4"/>
  <c r="AB6" s="1"/>
  <c r="V6"/>
  <c r="AN10" i="96"/>
  <c r="AI12"/>
  <c r="X12"/>
  <c r="AB10"/>
  <c r="AB12" s="1"/>
  <c r="AH11"/>
  <c r="AG11"/>
  <c r="AJ11" s="1"/>
  <c r="AO11" s="1"/>
  <c r="AR11" s="1"/>
  <c r="AE11"/>
  <c r="AE10"/>
  <c r="AE12" s="1"/>
  <c r="AG10"/>
  <c r="AG12" i="95"/>
  <c r="AJ10"/>
  <c r="AE11" i="94"/>
  <c r="AG11"/>
  <c r="AJ11" s="1"/>
  <c r="AO11" s="1"/>
  <c r="AR11" s="1"/>
  <c r="AH11"/>
  <c r="AN10"/>
  <c r="AI12"/>
  <c r="AE10"/>
  <c r="AE12" s="1"/>
  <c r="AG12"/>
  <c r="AJ10"/>
  <c r="AB10"/>
  <c r="V12"/>
  <c r="AB10" i="93"/>
  <c r="V12"/>
  <c r="AN10"/>
  <c r="AI12"/>
  <c r="AH11"/>
  <c r="AG11"/>
  <c r="AJ11" s="1"/>
  <c r="AO11" s="1"/>
  <c r="AR11" s="1"/>
  <c r="AE11"/>
  <c r="AG10"/>
  <c r="AH10"/>
  <c r="AH12" s="1"/>
  <c r="AG12" i="92"/>
  <c r="AJ10"/>
  <c r="AR11" i="91"/>
  <c r="AE10"/>
  <c r="AE12" s="1"/>
  <c r="AB10"/>
  <c r="AB12" s="1"/>
  <c r="V12"/>
  <c r="AE11"/>
  <c r="AN10"/>
  <c r="AI12"/>
  <c r="AG12"/>
  <c r="AJ10"/>
  <c r="AH10"/>
  <c r="AH12" s="1"/>
  <c r="AB11"/>
  <c r="AN10" i="90"/>
  <c r="AI12"/>
  <c r="AG11"/>
  <c r="AJ11" s="1"/>
  <c r="AO11" s="1"/>
  <c r="AR11" s="1"/>
  <c r="AE11"/>
  <c r="AH11"/>
  <c r="AG10"/>
  <c r="AB10"/>
  <c r="V12"/>
  <c r="AH10"/>
  <c r="AH12" s="1"/>
  <c r="AA10" i="19"/>
  <c r="AC10"/>
  <c r="AC12" s="1"/>
  <c r="S12"/>
  <c r="AE10" s="1"/>
  <c r="AE12" s="1"/>
  <c r="V10"/>
  <c r="AH10"/>
  <c r="AH12" s="1"/>
  <c r="W10"/>
  <c r="W12" s="1"/>
  <c r="AI10"/>
  <c r="AN10" i="89"/>
  <c r="AI12"/>
  <c r="AG11"/>
  <c r="AE11"/>
  <c r="AH11"/>
  <c r="AB10"/>
  <c r="AB12" s="1"/>
  <c r="V12"/>
  <c r="AG12"/>
  <c r="AJ10"/>
  <c r="AH10"/>
  <c r="AH12" s="1"/>
  <c r="AC4" i="88"/>
  <c r="AC6" s="1"/>
  <c r="S6"/>
  <c r="AE4"/>
  <c r="AG4"/>
  <c r="AG6" s="1"/>
  <c r="AH4"/>
  <c r="AH6" s="1"/>
  <c r="AI4"/>
  <c r="AN4" i="87"/>
  <c r="AI6"/>
  <c r="AB5"/>
  <c r="AR5"/>
  <c r="AG6"/>
  <c r="AJ4"/>
  <c r="AB4"/>
  <c r="V6"/>
  <c r="AG5" i="86"/>
  <c r="AE5"/>
  <c r="AH5"/>
  <c r="AE4"/>
  <c r="AE6" s="1"/>
  <c r="AG4"/>
  <c r="AN4"/>
  <c r="AI6"/>
  <c r="AB4"/>
  <c r="AB6" s="1"/>
  <c r="V6"/>
  <c r="AA4" i="85"/>
  <c r="S6"/>
  <c r="V4"/>
  <c r="W4"/>
  <c r="W6" s="1"/>
  <c r="AI4"/>
  <c r="AN4" i="84"/>
  <c r="AI6"/>
  <c r="AG5"/>
  <c r="AJ5" s="1"/>
  <c r="AO5" s="1"/>
  <c r="AR5" s="1"/>
  <c r="AE5"/>
  <c r="AH5"/>
  <c r="AE4"/>
  <c r="AE6" s="1"/>
  <c r="AG4"/>
  <c r="AB4"/>
  <c r="V6"/>
  <c r="AA4" i="83"/>
  <c r="S6"/>
  <c r="AH4"/>
  <c r="AH6" s="1"/>
  <c r="AI4"/>
  <c r="X4"/>
  <c r="AN4" i="82"/>
  <c r="AI6"/>
  <c r="AB4"/>
  <c r="V6"/>
  <c r="AE5"/>
  <c r="AH5"/>
  <c r="AG5"/>
  <c r="AE4"/>
  <c r="AE6" s="1"/>
  <c r="AG4"/>
  <c r="AG6" i="81"/>
  <c r="AE4"/>
  <c r="AE6" s="1"/>
  <c r="AB4"/>
  <c r="V6"/>
  <c r="AN4"/>
  <c r="AI6"/>
  <c r="AG5"/>
  <c r="AE5"/>
  <c r="AH5"/>
  <c r="AH4"/>
  <c r="AH6" s="1"/>
  <c r="AN4" i="8"/>
  <c r="AI6"/>
  <c r="AH5"/>
  <c r="AG5"/>
  <c r="AE5"/>
  <c r="AE4"/>
  <c r="AG4"/>
  <c r="AG6" s="1"/>
  <c r="AH4"/>
  <c r="AH6" s="1"/>
  <c r="AF6" i="80"/>
  <c r="AK4"/>
  <c r="AO4" s="1"/>
  <c r="Y4"/>
  <c r="V6"/>
  <c r="AC10"/>
  <c r="AC12" s="1"/>
  <c r="S12"/>
  <c r="AE10"/>
  <c r="AG10"/>
  <c r="AG12" s="1"/>
  <c r="AH10"/>
  <c r="AH12" s="1"/>
  <c r="AI10"/>
  <c r="W6"/>
  <c r="Y5"/>
  <c r="Z5" s="1"/>
  <c r="AO19" i="147" l="1"/>
  <c r="AR19" s="1"/>
  <c r="AJ21"/>
  <c r="AJ10"/>
  <c r="AO9"/>
  <c r="AR9" s="1"/>
  <c r="AB15"/>
  <c r="AC14"/>
  <c r="AC15" s="1"/>
  <c r="AJ15"/>
  <c r="AO14"/>
  <c r="AB10"/>
  <c r="AC9"/>
  <c r="AC10" s="1"/>
  <c r="AR14"/>
  <c r="AB15" i="146"/>
  <c r="AC14"/>
  <c r="AC15" s="1"/>
  <c r="AG19"/>
  <c r="AB19"/>
  <c r="V21"/>
  <c r="AJ9"/>
  <c r="AG10"/>
  <c r="AB10"/>
  <c r="AC9"/>
  <c r="AC10" s="1"/>
  <c r="AN19"/>
  <c r="AI21"/>
  <c r="AJ15"/>
  <c r="AO14"/>
  <c r="AR14" s="1"/>
  <c r="AE19"/>
  <c r="AE21" s="1"/>
  <c r="AJ10" i="145"/>
  <c r="AO9"/>
  <c r="AR9"/>
  <c r="AJ15"/>
  <c r="AO14"/>
  <c r="AR14"/>
  <c r="AJ19"/>
  <c r="AG21"/>
  <c r="AJ10" i="144"/>
  <c r="AO9"/>
  <c r="AR9" s="1"/>
  <c r="AE19"/>
  <c r="AE21" s="1"/>
  <c r="AG21"/>
  <c r="AB19"/>
  <c r="AB21" s="1"/>
  <c r="V21"/>
  <c r="AH19"/>
  <c r="AH21" s="1"/>
  <c r="AN19"/>
  <c r="AI21"/>
  <c r="AJ15"/>
  <c r="AO14"/>
  <c r="AR14" s="1"/>
  <c r="AH9" i="143"/>
  <c r="AH10" s="1"/>
  <c r="AP19"/>
  <c r="AR19" s="1"/>
  <c r="AE10"/>
  <c r="AI10"/>
  <c r="AN9"/>
  <c r="AK15"/>
  <c r="AP14"/>
  <c r="AR14"/>
  <c r="AO19" i="141"/>
  <c r="AR19" s="1"/>
  <c r="AJ21"/>
  <c r="AB21"/>
  <c r="AC19"/>
  <c r="AC21" s="1"/>
  <c r="AH19" i="137"/>
  <c r="AH21" s="1"/>
  <c r="AB21" i="139"/>
  <c r="AC19"/>
  <c r="AC21" s="1"/>
  <c r="AB21" i="140"/>
  <c r="AC19"/>
  <c r="AC21" s="1"/>
  <c r="AJ10"/>
  <c r="AO9"/>
  <c r="AR9" s="1"/>
  <c r="AR14"/>
  <c r="AG21"/>
  <c r="AJ19"/>
  <c r="AJ15"/>
  <c r="AO14"/>
  <c r="AJ15" i="139"/>
  <c r="AO14"/>
  <c r="AG21"/>
  <c r="AJ19"/>
  <c r="AR14"/>
  <c r="AJ9"/>
  <c r="AG10"/>
  <c r="V10" i="138"/>
  <c r="AB9"/>
  <c r="AB10" s="1"/>
  <c r="AJ15"/>
  <c r="AO14"/>
  <c r="AG21"/>
  <c r="AJ19"/>
  <c r="AI10"/>
  <c r="AN9"/>
  <c r="AJ9"/>
  <c r="AG10"/>
  <c r="AR14"/>
  <c r="AJ15" i="137"/>
  <c r="AO14"/>
  <c r="AN19"/>
  <c r="AI21"/>
  <c r="AR14"/>
  <c r="AE19"/>
  <c r="AE21" s="1"/>
  <c r="AG19"/>
  <c r="AB19"/>
  <c r="AB21" s="1"/>
  <c r="V21"/>
  <c r="AB15" i="136"/>
  <c r="AC14"/>
  <c r="AC15" s="1"/>
  <c r="AB21"/>
  <c r="AC19"/>
  <c r="AC21" s="1"/>
  <c r="AG21"/>
  <c r="AJ19"/>
  <c r="AJ15"/>
  <c r="AO14"/>
  <c r="AR14"/>
  <c r="AO19" i="135"/>
  <c r="AR19" s="1"/>
  <c r="AJ21"/>
  <c r="AJ15"/>
  <c r="AO14"/>
  <c r="AR14" s="1"/>
  <c r="AJ14" i="134"/>
  <c r="AG15"/>
  <c r="AN19"/>
  <c r="AI21"/>
  <c r="AJ10"/>
  <c r="AO9"/>
  <c r="AR9" s="1"/>
  <c r="AG19"/>
  <c r="AB19"/>
  <c r="AB21" s="1"/>
  <c r="V21"/>
  <c r="AJ10" i="133"/>
  <c r="AO9"/>
  <c r="AR9" s="1"/>
  <c r="AJ15"/>
  <c r="AO14"/>
  <c r="AB21"/>
  <c r="AC19"/>
  <c r="AC21" s="1"/>
  <c r="AB10"/>
  <c r="AC9"/>
  <c r="AC10" s="1"/>
  <c r="AB15"/>
  <c r="AC14"/>
  <c r="AC15" s="1"/>
  <c r="AG21"/>
  <c r="AJ19"/>
  <c r="AR14"/>
  <c r="AB21" i="132"/>
  <c r="AC19"/>
  <c r="AC21" s="1"/>
  <c r="AJ15"/>
  <c r="AO14"/>
  <c r="AR14" s="1"/>
  <c r="AJ9"/>
  <c r="AB10"/>
  <c r="AC9"/>
  <c r="AC10" s="1"/>
  <c r="AB15"/>
  <c r="AC14"/>
  <c r="AC15" s="1"/>
  <c r="AG21"/>
  <c r="AJ19"/>
  <c r="AO4" i="125"/>
  <c r="AR4" s="1"/>
  <c r="AJ5"/>
  <c r="AJ4" i="131"/>
  <c r="AG5"/>
  <c r="AR9"/>
  <c r="AO14"/>
  <c r="AR14" s="1"/>
  <c r="AJ16"/>
  <c r="AJ10"/>
  <c r="AO9"/>
  <c r="AO14" i="130"/>
  <c r="AJ16"/>
  <c r="AJ9"/>
  <c r="AG10"/>
  <c r="AR14"/>
  <c r="AB5" i="129"/>
  <c r="AC4"/>
  <c r="AC5" s="1"/>
  <c r="AO14"/>
  <c r="AR14" s="1"/>
  <c r="AJ16"/>
  <c r="AJ5"/>
  <c r="AO4"/>
  <c r="AR4" s="1"/>
  <c r="AJ10" i="128"/>
  <c r="AO9"/>
  <c r="AR9" s="1"/>
  <c r="AG16"/>
  <c r="AJ14"/>
  <c r="AJ5" i="127"/>
  <c r="AO4"/>
  <c r="AR4" s="1"/>
  <c r="V10"/>
  <c r="AB9"/>
  <c r="AB10" s="1"/>
  <c r="AJ9"/>
  <c r="AG10"/>
  <c r="AO14"/>
  <c r="AJ16"/>
  <c r="AI10"/>
  <c r="AN9"/>
  <c r="AR14"/>
  <c r="AR4" i="126"/>
  <c r="AJ5"/>
  <c r="AO4"/>
  <c r="AB5"/>
  <c r="AC4"/>
  <c r="AC5" s="1"/>
  <c r="AG16"/>
  <c r="AJ14"/>
  <c r="AB16"/>
  <c r="AC14"/>
  <c r="AC16" s="1"/>
  <c r="AJ10"/>
  <c r="AO9"/>
  <c r="AR9" s="1"/>
  <c r="AG16" i="125"/>
  <c r="AJ14"/>
  <c r="AB16"/>
  <c r="AC14"/>
  <c r="AC16" s="1"/>
  <c r="AB10"/>
  <c r="AC9"/>
  <c r="AC10" s="1"/>
  <c r="AJ9"/>
  <c r="AG10"/>
  <c r="AB16" i="122"/>
  <c r="AC14"/>
  <c r="AC16" s="1"/>
  <c r="AB10"/>
  <c r="AC9"/>
  <c r="AC10" s="1"/>
  <c r="AB5"/>
  <c r="AC4"/>
  <c r="AC5" s="1"/>
  <c r="AO14" i="124"/>
  <c r="AJ16"/>
  <c r="AR14"/>
  <c r="AE9"/>
  <c r="AE10" s="1"/>
  <c r="AG9"/>
  <c r="AB16"/>
  <c r="AC14"/>
  <c r="AC16" s="1"/>
  <c r="AJ5"/>
  <c r="AO4"/>
  <c r="AR4" s="1"/>
  <c r="V10"/>
  <c r="AB9"/>
  <c r="AB5"/>
  <c r="AC4"/>
  <c r="AC5" s="1"/>
  <c r="AI10"/>
  <c r="AN9"/>
  <c r="AB16" i="123"/>
  <c r="AC14"/>
  <c r="AC16" s="1"/>
  <c r="AJ9"/>
  <c r="AG10"/>
  <c r="AB10"/>
  <c r="AC9"/>
  <c r="AC10" s="1"/>
  <c r="AJ5"/>
  <c r="AO4"/>
  <c r="AR4" s="1"/>
  <c r="AJ14"/>
  <c r="AJ9" i="122"/>
  <c r="AG10"/>
  <c r="AJ4"/>
  <c r="AG5"/>
  <c r="AG16"/>
  <c r="AJ14"/>
  <c r="AR9" i="121"/>
  <c r="AJ10"/>
  <c r="AO9"/>
  <c r="AO14"/>
  <c r="AR14" s="1"/>
  <c r="AJ16"/>
  <c r="AJ10" i="120"/>
  <c r="AO9"/>
  <c r="AR9" s="1"/>
  <c r="AO14"/>
  <c r="AJ16"/>
  <c r="AR4"/>
  <c r="AJ5"/>
  <c r="AO4"/>
  <c r="AR14"/>
  <c r="AO14" i="119"/>
  <c r="AR14" s="1"/>
  <c r="AJ16"/>
  <c r="AJ9"/>
  <c r="AG10"/>
  <c r="AJ5" i="118"/>
  <c r="AO4"/>
  <c r="AR4" s="1"/>
  <c r="AN14"/>
  <c r="AI16"/>
  <c r="AE14"/>
  <c r="AE16" s="1"/>
  <c r="AJ10"/>
  <c r="AO9"/>
  <c r="AR9" s="1"/>
  <c r="AG14"/>
  <c r="AB14"/>
  <c r="AB16" s="1"/>
  <c r="V16"/>
  <c r="AH14"/>
  <c r="AH16" s="1"/>
  <c r="AH16" i="28"/>
  <c r="AJ9"/>
  <c r="AO9" s="1"/>
  <c r="AR9" s="1"/>
  <c r="AJ16"/>
  <c r="AO14"/>
  <c r="AR14" s="1"/>
  <c r="AE16"/>
  <c r="AB16"/>
  <c r="AJ14" i="117"/>
  <c r="AJ15" s="1"/>
  <c r="Y24"/>
  <c r="V26"/>
  <c r="AK24"/>
  <c r="AO24" s="1"/>
  <c r="AF26"/>
  <c r="AF20"/>
  <c r="AK19"/>
  <c r="AO19" s="1"/>
  <c r="V20"/>
  <c r="Y19"/>
  <c r="AF5"/>
  <c r="AK4"/>
  <c r="AO4" s="1"/>
  <c r="V5"/>
  <c r="Y4"/>
  <c r="AG5" i="28"/>
  <c r="AJ4"/>
  <c r="AJ22" i="116"/>
  <c r="AO22" s="1"/>
  <c r="AR22" s="1"/>
  <c r="AG23"/>
  <c r="AJ21"/>
  <c r="AG12" i="115"/>
  <c r="AJ10"/>
  <c r="AG12" i="114"/>
  <c r="AJ10"/>
  <c r="AN10" i="113"/>
  <c r="AI12"/>
  <c r="AG11"/>
  <c r="AJ11" s="1"/>
  <c r="AO11" s="1"/>
  <c r="AR11" s="1"/>
  <c r="AE11"/>
  <c r="AH11"/>
  <c r="AG10"/>
  <c r="AB10"/>
  <c r="V12"/>
  <c r="AO10" i="112"/>
  <c r="AJ12"/>
  <c r="AR10"/>
  <c r="AG12" i="111"/>
  <c r="AJ10"/>
  <c r="AR11" i="109"/>
  <c r="AE12"/>
  <c r="AK10"/>
  <c r="AJ11" i="108"/>
  <c r="AO11" s="1"/>
  <c r="AR11" s="1"/>
  <c r="AO10" i="109"/>
  <c r="AJ12"/>
  <c r="AO10" i="108"/>
  <c r="AR10" s="1"/>
  <c r="AJ12"/>
  <c r="AG12" i="107"/>
  <c r="AJ10"/>
  <c r="AG11"/>
  <c r="AE11"/>
  <c r="AH11"/>
  <c r="AH10"/>
  <c r="AH12" s="1"/>
  <c r="AN10"/>
  <c r="AI12"/>
  <c r="X12"/>
  <c r="AB10"/>
  <c r="AJ10" i="106"/>
  <c r="AB12"/>
  <c r="AC10"/>
  <c r="AC12" s="1"/>
  <c r="AJ11"/>
  <c r="AO11" s="1"/>
  <c r="AR11" s="1"/>
  <c r="AJ10" i="104"/>
  <c r="AG12"/>
  <c r="AB12"/>
  <c r="AC10"/>
  <c r="AC12" s="1"/>
  <c r="AO4" i="103"/>
  <c r="AR4" s="1"/>
  <c r="AJ6"/>
  <c r="AJ11" i="102"/>
  <c r="AO11" s="1"/>
  <c r="AR11" s="1"/>
  <c r="AG12"/>
  <c r="AJ10"/>
  <c r="AG6" i="101"/>
  <c r="AJ4"/>
  <c r="AB6"/>
  <c r="AC4"/>
  <c r="AC6" s="1"/>
  <c r="AJ5"/>
  <c r="AO5" s="1"/>
  <c r="AR5" s="1"/>
  <c r="AO4" i="100"/>
  <c r="AR4" s="1"/>
  <c r="AJ6"/>
  <c r="AJ4" i="99"/>
  <c r="AG6"/>
  <c r="AJ5"/>
  <c r="AO5" s="1"/>
  <c r="AR5" s="1"/>
  <c r="AO4" i="98"/>
  <c r="AR4" s="1"/>
  <c r="AJ6"/>
  <c r="AJ5" i="97"/>
  <c r="AO5" s="1"/>
  <c r="AR5" s="1"/>
  <c r="AR4"/>
  <c r="AO4"/>
  <c r="AJ6"/>
  <c r="AG12" i="96"/>
  <c r="AJ10"/>
  <c r="AO10" i="95"/>
  <c r="AR10" s="1"/>
  <c r="AJ12"/>
  <c r="AR10" i="94"/>
  <c r="AB12"/>
  <c r="AC10"/>
  <c r="AC12" s="1"/>
  <c r="AO10"/>
  <c r="AJ12"/>
  <c r="AB12" i="93"/>
  <c r="AC10"/>
  <c r="AC12" s="1"/>
  <c r="AG12"/>
  <c r="AJ10"/>
  <c r="AO10" i="92"/>
  <c r="AR10" s="1"/>
  <c r="AJ12"/>
  <c r="AO10" i="91"/>
  <c r="AR10" s="1"/>
  <c r="AJ12"/>
  <c r="AG12" i="90"/>
  <c r="AJ10"/>
  <c r="AB12"/>
  <c r="AC10"/>
  <c r="AC12" s="1"/>
  <c r="AN10" i="19"/>
  <c r="AI12"/>
  <c r="AG11"/>
  <c r="AJ11" s="1"/>
  <c r="AO11" s="1"/>
  <c r="AR11" s="1"/>
  <c r="AE11"/>
  <c r="AH11"/>
  <c r="AG10"/>
  <c r="AB10"/>
  <c r="AB12" s="1"/>
  <c r="V12"/>
  <c r="AJ11" i="89"/>
  <c r="AO11" s="1"/>
  <c r="AR11" s="1"/>
  <c r="AO10"/>
  <c r="AR10" s="1"/>
  <c r="AJ12"/>
  <c r="AG5" i="88"/>
  <c r="AE5"/>
  <c r="AH5"/>
  <c r="AE6"/>
  <c r="AK4"/>
  <c r="AN4"/>
  <c r="AI6"/>
  <c r="AO4" i="87"/>
  <c r="AR4" s="1"/>
  <c r="AJ6"/>
  <c r="AB6"/>
  <c r="AC4"/>
  <c r="AC6" s="1"/>
  <c r="AJ5" i="86"/>
  <c r="AO5" s="1"/>
  <c r="AR5" s="1"/>
  <c r="AG6"/>
  <c r="AJ4"/>
  <c r="AE5" i="85"/>
  <c r="AH5"/>
  <c r="AG5"/>
  <c r="AJ5" s="1"/>
  <c r="AO5" s="1"/>
  <c r="AR5" s="1"/>
  <c r="AE4"/>
  <c r="AE6" s="1"/>
  <c r="AN4"/>
  <c r="AI6"/>
  <c r="AG4"/>
  <c r="AB4"/>
  <c r="V6"/>
  <c r="AH4"/>
  <c r="AH6" s="1"/>
  <c r="AG6" i="84"/>
  <c r="AJ4"/>
  <c r="AB6"/>
  <c r="AC4"/>
  <c r="AC6" s="1"/>
  <c r="X6" i="83"/>
  <c r="AB4"/>
  <c r="AN4"/>
  <c r="AI6"/>
  <c r="AG5"/>
  <c r="AE5"/>
  <c r="AH5"/>
  <c r="AE4"/>
  <c r="AE6" s="1"/>
  <c r="AG4"/>
  <c r="AG6" i="82"/>
  <c r="AJ4"/>
  <c r="AJ5"/>
  <c r="AO5" s="1"/>
  <c r="AR5" s="1"/>
  <c r="AB6"/>
  <c r="AC4"/>
  <c r="AC6" s="1"/>
  <c r="AB6" i="81"/>
  <c r="AC4"/>
  <c r="AC6" s="1"/>
  <c r="AJ4"/>
  <c r="AJ5"/>
  <c r="AO5" s="1"/>
  <c r="AR5" s="1"/>
  <c r="AK4" i="8"/>
  <c r="AE6"/>
  <c r="AK5"/>
  <c r="AP5" s="1"/>
  <c r="AR5" s="1"/>
  <c r="AK10" i="80"/>
  <c r="AE12"/>
  <c r="AN10"/>
  <c r="AI12"/>
  <c r="Y6"/>
  <c r="Z4"/>
  <c r="Z6" s="1"/>
  <c r="AH11"/>
  <c r="AG11"/>
  <c r="AE11"/>
  <c r="AG21" i="146" l="1"/>
  <c r="AJ19"/>
  <c r="AB21"/>
  <c r="AC19"/>
  <c r="AC21" s="1"/>
  <c r="AJ10"/>
  <c r="AO9"/>
  <c r="AR9" s="1"/>
  <c r="AO19" i="145"/>
  <c r="AR19" s="1"/>
  <c r="AJ21"/>
  <c r="AJ19" i="144"/>
  <c r="AK9" i="143"/>
  <c r="AK10" s="1"/>
  <c r="AP9"/>
  <c r="AR9" s="1"/>
  <c r="AO19" i="140"/>
  <c r="AR19" s="1"/>
  <c r="AJ21"/>
  <c r="AO19" i="139"/>
  <c r="AR19" s="1"/>
  <c r="AJ21"/>
  <c r="AJ10"/>
  <c r="AO9"/>
  <c r="AR9" s="1"/>
  <c r="AJ10" i="138"/>
  <c r="AO9"/>
  <c r="AR9" s="1"/>
  <c r="AO19"/>
  <c r="AR19" s="1"/>
  <c r="AJ21"/>
  <c r="AG21" i="137"/>
  <c r="AJ19"/>
  <c r="AO19" i="136"/>
  <c r="AR19" s="1"/>
  <c r="AJ21"/>
  <c r="AG21" i="134"/>
  <c r="AJ19"/>
  <c r="AJ15"/>
  <c r="AO14"/>
  <c r="AR14" s="1"/>
  <c r="AO19" i="133"/>
  <c r="AR19" s="1"/>
  <c r="AJ21"/>
  <c r="AO19" i="132"/>
  <c r="AR19" s="1"/>
  <c r="AJ21"/>
  <c r="AJ10"/>
  <c r="AO9"/>
  <c r="AR9" s="1"/>
  <c r="AJ5" i="131"/>
  <c r="AO4"/>
  <c r="AR4" s="1"/>
  <c r="AJ10" i="130"/>
  <c r="AO9"/>
  <c r="AR9" s="1"/>
  <c r="AO14" i="128"/>
  <c r="AR14" s="1"/>
  <c r="AJ16"/>
  <c r="AJ10" i="127"/>
  <c r="AO9"/>
  <c r="AR9" s="1"/>
  <c r="AO14" i="126"/>
  <c r="AR14" s="1"/>
  <c r="AJ16"/>
  <c r="AJ10" i="125"/>
  <c r="AO9"/>
  <c r="AR9" s="1"/>
  <c r="AO14"/>
  <c r="AR14" s="1"/>
  <c r="AJ16"/>
  <c r="AB10" i="124"/>
  <c r="AC9"/>
  <c r="AC10" s="1"/>
  <c r="AJ9"/>
  <c r="AG10"/>
  <c r="AO14" i="123"/>
  <c r="AR14" s="1"/>
  <c r="AJ16"/>
  <c r="AJ10"/>
  <c r="AO9"/>
  <c r="AR9" s="1"/>
  <c r="AJ10" i="122"/>
  <c r="AO9"/>
  <c r="AR9" s="1"/>
  <c r="AJ5"/>
  <c r="AO4"/>
  <c r="AR4" s="1"/>
  <c r="AO14"/>
  <c r="AR14" s="1"/>
  <c r="AJ16"/>
  <c r="AJ10" i="119"/>
  <c r="AO9"/>
  <c r="AR9" s="1"/>
  <c r="AG16" i="118"/>
  <c r="AJ14"/>
  <c r="AJ10" i="28"/>
  <c r="AO14" i="117"/>
  <c r="AR14" s="1"/>
  <c r="Y20"/>
  <c r="Z19"/>
  <c r="Z20" s="1"/>
  <c r="Y26"/>
  <c r="Z24"/>
  <c r="Z26" s="1"/>
  <c r="Y5"/>
  <c r="Z4"/>
  <c r="Z5" s="1"/>
  <c r="AO4" i="28"/>
  <c r="AR4" s="1"/>
  <c r="AJ5"/>
  <c r="AO21" i="116"/>
  <c r="AR21" s="1"/>
  <c r="AJ23"/>
  <c r="AO10" i="115"/>
  <c r="AR10" s="1"/>
  <c r="AJ12"/>
  <c r="AO10" i="114"/>
  <c r="AR10" s="1"/>
  <c r="AJ12"/>
  <c r="AB12" i="113"/>
  <c r="AC10"/>
  <c r="AC12" s="1"/>
  <c r="AG12"/>
  <c r="AJ10"/>
  <c r="AO10" i="111"/>
  <c r="AR10" s="1"/>
  <c r="AJ12"/>
  <c r="AP10" i="109"/>
  <c r="AR10" s="1"/>
  <c r="AK12"/>
  <c r="AB12" i="107"/>
  <c r="AC10"/>
  <c r="AC12" s="1"/>
  <c r="AO10"/>
  <c r="AR10" s="1"/>
  <c r="AJ12"/>
  <c r="AJ11"/>
  <c r="AO11" s="1"/>
  <c r="AR11" s="1"/>
  <c r="AO10" i="106"/>
  <c r="AR10" s="1"/>
  <c r="AJ12"/>
  <c r="AO10" i="104"/>
  <c r="AR10" s="1"/>
  <c r="AJ12"/>
  <c r="AO10" i="102"/>
  <c r="AR10" s="1"/>
  <c r="AJ12"/>
  <c r="AO4" i="101"/>
  <c r="AR4" s="1"/>
  <c r="AJ6"/>
  <c r="AO4" i="99"/>
  <c r="AR4" s="1"/>
  <c r="AJ6"/>
  <c r="AO10" i="96"/>
  <c r="AR10" s="1"/>
  <c r="AJ12"/>
  <c r="AO10" i="93"/>
  <c r="AR10" s="1"/>
  <c r="AJ12"/>
  <c r="AO10" i="90"/>
  <c r="AR10" s="1"/>
  <c r="AJ12"/>
  <c r="AJ10" i="19"/>
  <c r="AG12"/>
  <c r="AP4" i="88"/>
  <c r="AR4" s="1"/>
  <c r="AK6"/>
  <c r="AK5"/>
  <c r="AP5" s="1"/>
  <c r="AR5" s="1"/>
  <c r="AO4" i="86"/>
  <c r="AR4" s="1"/>
  <c r="AJ6"/>
  <c r="AG6" i="85"/>
  <c r="AJ4"/>
  <c r="AB6"/>
  <c r="AC4"/>
  <c r="AC6" s="1"/>
  <c r="AO4" i="84"/>
  <c r="AR4" s="1"/>
  <c r="AJ6"/>
  <c r="AG6" i="83"/>
  <c r="AJ4"/>
  <c r="AB6"/>
  <c r="AC4"/>
  <c r="AC6" s="1"/>
  <c r="AJ5"/>
  <c r="AO5" s="1"/>
  <c r="AR5" s="1"/>
  <c r="AO4" i="82"/>
  <c r="AR4" s="1"/>
  <c r="AJ6"/>
  <c r="AO4" i="81"/>
  <c r="AR4" s="1"/>
  <c r="AJ6"/>
  <c r="AP4" i="8"/>
  <c r="AR4" s="1"/>
  <c r="AK6"/>
  <c r="AK11" i="80"/>
  <c r="AP11" s="1"/>
  <c r="AR11" s="1"/>
  <c r="AP10"/>
  <c r="AR10" s="1"/>
  <c r="AK12"/>
  <c r="AO19" i="146" l="1"/>
  <c r="AR19" s="1"/>
  <c r="AJ21"/>
  <c r="AO19" i="144"/>
  <c r="AR19" s="1"/>
  <c r="AJ21"/>
  <c r="AO19" i="137"/>
  <c r="AR19" s="1"/>
  <c r="AJ21"/>
  <c r="AO19" i="134"/>
  <c r="AR19" s="1"/>
  <c r="AJ21"/>
  <c r="AJ10" i="124"/>
  <c r="AO9"/>
  <c r="AR9" s="1"/>
  <c r="AO14" i="118"/>
  <c r="AR14" s="1"/>
  <c r="AJ16"/>
  <c r="AO10" i="113"/>
  <c r="AR10" s="1"/>
  <c r="AJ12"/>
  <c r="AO10" i="19"/>
  <c r="AR10" s="1"/>
  <c r="AJ12"/>
  <c r="AO4" i="85"/>
  <c r="AR4" s="1"/>
  <c r="AJ6"/>
  <c r="AO4" i="83"/>
  <c r="AR4" s="1"/>
  <c r="AJ6"/>
  <c r="AM10" i="105"/>
  <c r="AP10" s="1"/>
  <c r="H10"/>
  <c r="H12" s="1"/>
  <c r="L10" l="1"/>
  <c r="M10" s="1"/>
  <c r="N10" s="1"/>
  <c r="P10" l="1"/>
  <c r="Q10" s="1"/>
  <c r="O10"/>
  <c r="R10" l="1"/>
  <c r="S10" s="1"/>
  <c r="R12" l="1"/>
  <c r="W10"/>
  <c r="W12" s="1"/>
  <c r="AA10"/>
  <c r="V10"/>
  <c r="S12"/>
  <c r="AH10" s="1"/>
  <c r="AH12" s="1"/>
  <c r="AI10"/>
  <c r="AE10" l="1"/>
  <c r="AE12" s="1"/>
  <c r="AN10"/>
  <c r="AI12"/>
  <c r="AB10"/>
  <c r="V12"/>
  <c r="AG11"/>
  <c r="AH11"/>
  <c r="AE11"/>
  <c r="AG10"/>
  <c r="AJ11" l="1"/>
  <c r="AO11" s="1"/>
  <c r="AR11" s="1"/>
  <c r="AB12"/>
  <c r="AC10"/>
  <c r="AC12" s="1"/>
  <c r="AG12"/>
  <c r="AJ10"/>
  <c r="AO10" l="1"/>
  <c r="AR10" s="1"/>
  <c r="AJ12"/>
  <c r="L9" i="137"/>
  <c r="M9" s="1"/>
  <c r="H9"/>
  <c r="H10" s="1"/>
  <c r="N9" l="1"/>
  <c r="O9" l="1"/>
  <c r="R9" l="1"/>
  <c r="P9"/>
  <c r="Q9" s="1"/>
  <c r="S9" l="1"/>
  <c r="R10"/>
  <c r="AG9" l="1"/>
  <c r="AA9"/>
  <c r="AI9"/>
  <c r="V9"/>
  <c r="AE9"/>
  <c r="AE10" s="1"/>
  <c r="W9"/>
  <c r="W10" s="1"/>
  <c r="S10"/>
  <c r="AH9" s="1"/>
  <c r="AH10" s="1"/>
  <c r="AC9"/>
  <c r="AC10" s="1"/>
  <c r="AG10" l="1"/>
  <c r="AJ9"/>
  <c r="AN9"/>
  <c r="AI10"/>
  <c r="AB9"/>
  <c r="AB10" s="1"/>
  <c r="V10"/>
  <c r="AO9" l="1"/>
  <c r="AR9" s="1"/>
  <c r="AJ10"/>
</calcChain>
</file>

<file path=xl/sharedStrings.xml><?xml version="1.0" encoding="utf-8"?>
<sst xmlns="http://schemas.openxmlformats.org/spreadsheetml/2006/main" count="18277" uniqueCount="196">
  <si>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</si>
  <si>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</si>
  <si>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</si>
  <si>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</si>
  <si>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</si>
  <si>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</si>
  <si>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</si>
  <si>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</si>
  <si>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</si>
  <si>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</si>
  <si>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</si>
  <si>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</si>
  <si>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</si>
  <si>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</si>
  <si>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</si>
  <si>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</si>
  <si>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</si>
  <si>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</si>
  <si>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</si>
  <si>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</si>
  <si>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</si>
  <si>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</si>
  <si>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</si>
  <si>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</si>
  <si>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</si>
  <si>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</si>
  <si>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</si>
  <si>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</si>
  <si>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</si>
  <si>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</si>
  <si>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</si>
  <si>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</si>
  <si>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</si>
  <si>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</si>
  <si>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</si>
  <si>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</si>
  <si>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</si>
  <si>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</si>
  <si>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</si>
  <si>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</si>
  <si>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</si>
  <si>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</si>
  <si>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</si>
  <si>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</si>
  <si>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</si>
  <si>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</si>
  <si>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</si>
  <si>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</si>
  <si>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</si>
  <si>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</si>
  <si>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</si>
  <si>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</si>
  <si>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</si>
  <si>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</si>
  <si>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</si>
  <si>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</si>
  <si>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</si>
  <si>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</si>
  <si>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</si>
  <si>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</si>
  <si>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Scenario  : Local Purchase - Stock UOM and Purchase UOM (Similar)</t>
  </si>
  <si>
    <t xml:space="preserve">Purchase Request </t>
  </si>
  <si>
    <t>Qty</t>
  </si>
  <si>
    <t>Scenario  : Local Purchase - Stock UOM and Purchase UOM (Dissimilar)</t>
  </si>
  <si>
    <t>GWL_SERVICES_02</t>
  </si>
  <si>
    <t>GWL_SERVICES_02_DESCRIPTION</t>
  </si>
  <si>
    <t>GWL_ITem_service_03</t>
  </si>
  <si>
    <t>Gl Account Number</t>
  </si>
  <si>
    <t>GWL_Item_Dissimilar_Uom</t>
  </si>
  <si>
    <t>GWL_Item_Dissimilar_Uom_Desc</t>
  </si>
  <si>
    <t>GWL_Item_Dissimilar2</t>
  </si>
  <si>
    <t>GWL_Item_Dissimilar2_Desc</t>
  </si>
  <si>
    <t>.</t>
  </si>
  <si>
    <t>GWL_Item_Similar_Uom</t>
  </si>
  <si>
    <t>GWL_Item_Similar_Uom_Desc</t>
  </si>
  <si>
    <t>GWL_Item_Similar_Item_2</t>
  </si>
  <si>
    <t>GWL_Item_Similar_Item2_Desc</t>
  </si>
  <si>
    <t>GWL_CHECKING_ST</t>
  </si>
  <si>
    <t>(1 - Local Purchase,2 Interstate Purchase, 3 Import Purchase,4-UTGST)</t>
  </si>
  <si>
    <t>(1 - Registered, 2 - Unregistered)</t>
  </si>
  <si>
    <t>UTGST</t>
  </si>
  <si>
    <t>Cess%</t>
  </si>
  <si>
    <t>CESS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</si>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</sst>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_);[Red]\(0.00\)"/>
  </numFmts>
  <fonts count="10">
    <font>
      <sz val="11"/>
      <color theme="1"/>
      <name val="Calibri"/>
      <charset val="134"/>
      <scheme val="minor"/>
    </font>
    <font>
      <b/>
      <sz val="10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D8E4BC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4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5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5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5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66" fontId="2" fillId="0" borderId="0" xfId="0" applyNumberFormat="1" applyFont="1" applyBorder="1"/>
    <xf numFmtId="12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65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  <xf numFmtId="0" fontId="2" fillId="0" borderId="0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6" borderId="2" xfId="0" applyFont="1" applyFill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26" Type="http://schemas.openxmlformats.org/officeDocument/2006/relationships/worksheet" Target="worksheets/sheet126.xml"/><Relationship Id="rId13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M1" workbookViewId="0">
      <selection activeCell="U12" sqref="T12: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21"/>
  <sheetViews>
    <sheetView showGridLines="0" tabSelected="1" workbookViewId="0">
      <selection activeCell="E9" sqref="E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23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P1" workbookViewId="0">
      <selection activeCell="AB19" sqref="AB19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B16" sqref="B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3" workbookViewId="0">
      <selection activeCell="B26" sqref="B2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I5" sqref="A1:Z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0</v>
      </c>
      <c r="AB9" s="23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0</v>
      </c>
      <c r="AB14" s="23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0</v>
      </c>
      <c r="AB19" s="23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48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O4" workbookViewId="0">
      <selection activeCell="V17" sqref="V17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S1" workbookViewId="0">
      <selection activeCell="Y6" sqref="Y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B29" sqref="B29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U13" sqref="U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L1" workbookViewId="0">
      <selection activeCell="U14" sqref="U14:U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K1" workbookViewId="0">
      <selection activeCell="O16" sqref="O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72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M1" workbookViewId="0">
      <selection activeCell="C11" sqref="C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R16" sqref="R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sqref="A1:XFD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4" sqref="C14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B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3" sqref="C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O1" workbookViewId="0">
      <selection activeCell="U11" sqref="U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1" sqref="C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S26"/>
  <sheetViews>
    <sheetView showGridLines="0" topLeftCell="A13" workbookViewId="0">
      <selection activeCell="B24" sqref="B24:C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5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5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5" ht="15" thickBot="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5">
      <c r="B6" s="98"/>
      <c r="C6" s="98"/>
      <c r="D6" s="98"/>
      <c r="E6" s="98"/>
      <c r="F6" s="98"/>
      <c r="G6" s="98"/>
      <c r="H6" s="99"/>
      <c r="I6" s="20"/>
      <c r="J6" s="20"/>
      <c r="K6" s="20"/>
      <c r="L6" s="20"/>
      <c r="M6" s="20"/>
      <c r="N6" s="20"/>
      <c r="O6" s="20"/>
      <c r="P6" s="20"/>
      <c r="Q6" s="20"/>
      <c r="R6" s="100"/>
      <c r="S6" s="100"/>
      <c r="T6" s="100"/>
      <c r="U6" s="100"/>
      <c r="V6" s="101"/>
      <c r="W6" s="101"/>
      <c r="X6" s="101"/>
      <c r="Y6" s="100"/>
      <c r="Z6" s="102"/>
      <c r="AA6" s="103"/>
      <c r="AB6" s="103"/>
      <c r="AC6" s="102"/>
      <c r="AD6" s="103"/>
      <c r="AE6" s="103"/>
      <c r="AF6" s="103"/>
      <c r="AG6" s="103"/>
      <c r="AH6" s="103"/>
      <c r="AI6" s="102"/>
      <c r="AJ6" s="102"/>
      <c r="AK6" s="102"/>
      <c r="AL6" s="102"/>
      <c r="AM6" s="102"/>
      <c r="AN6" s="102"/>
      <c r="AO6" s="102"/>
    </row>
    <row r="7" spans="1:45">
      <c r="B7" s="98"/>
      <c r="C7" s="98"/>
      <c r="D7" s="98"/>
      <c r="E7" s="98"/>
      <c r="F7" s="98"/>
      <c r="G7" s="98"/>
      <c r="H7" s="99"/>
      <c r="I7" s="20"/>
      <c r="J7" s="20"/>
      <c r="K7" s="20"/>
      <c r="L7" s="20"/>
      <c r="M7" s="20"/>
      <c r="N7" s="20"/>
      <c r="O7" s="20"/>
      <c r="P7" s="20"/>
      <c r="Q7" s="20"/>
      <c r="R7" s="100"/>
      <c r="S7" s="100"/>
      <c r="T7" s="100"/>
      <c r="U7" s="100"/>
      <c r="V7" s="101"/>
      <c r="W7" s="101"/>
      <c r="X7" s="101"/>
      <c r="Y7" s="100"/>
      <c r="Z7" s="102"/>
      <c r="AA7" s="103"/>
      <c r="AB7" s="103"/>
      <c r="AC7" s="102"/>
      <c r="AD7" s="103"/>
      <c r="AE7" s="103"/>
      <c r="AF7" s="103"/>
      <c r="AG7" s="103"/>
      <c r="AH7" s="103"/>
      <c r="AI7" s="102"/>
      <c r="AJ7" s="102"/>
      <c r="AK7" s="102"/>
      <c r="AL7" s="102"/>
      <c r="AM7" s="102"/>
      <c r="AN7" s="102"/>
      <c r="AO7" s="102"/>
    </row>
    <row r="8" spans="1:45">
      <c r="B8" s="98"/>
      <c r="C8" s="98"/>
      <c r="D8" s="98"/>
      <c r="E8" s="98"/>
      <c r="F8" s="98"/>
      <c r="G8" s="98"/>
      <c r="H8" s="99"/>
      <c r="I8" s="20"/>
      <c r="J8" s="20"/>
      <c r="K8" s="20"/>
      <c r="L8" s="20"/>
      <c r="M8" s="20"/>
      <c r="N8" s="20"/>
      <c r="O8" s="20"/>
      <c r="P8" s="20"/>
      <c r="Q8" s="20"/>
      <c r="R8" s="100"/>
      <c r="S8" s="100"/>
      <c r="T8" s="100"/>
      <c r="U8" s="100"/>
      <c r="V8" s="101"/>
      <c r="W8" s="101"/>
      <c r="X8" s="101"/>
      <c r="Y8" s="100"/>
      <c r="Z8" s="102"/>
      <c r="AA8" s="103"/>
      <c r="AB8" s="103"/>
      <c r="AC8" s="102"/>
      <c r="AD8" s="103"/>
      <c r="AE8" s="103"/>
      <c r="AF8" s="103"/>
      <c r="AG8" s="103"/>
      <c r="AH8" s="103"/>
      <c r="AI8" s="102"/>
      <c r="AJ8" s="102"/>
      <c r="AK8" s="102"/>
      <c r="AL8" s="102"/>
      <c r="AM8" s="102"/>
      <c r="AN8" s="102"/>
      <c r="AO8" s="102"/>
    </row>
    <row r="9" spans="1:45">
      <c r="B9" s="98"/>
      <c r="C9" s="98"/>
      <c r="D9" s="98"/>
      <c r="E9" s="98"/>
      <c r="F9" s="98"/>
      <c r="G9" s="98"/>
      <c r="H9" s="99"/>
      <c r="I9" s="20"/>
      <c r="J9" s="20"/>
      <c r="K9" s="20"/>
      <c r="L9" s="20"/>
      <c r="M9" s="20"/>
      <c r="N9" s="20"/>
      <c r="O9" s="20"/>
      <c r="P9" s="20"/>
      <c r="Q9" s="20"/>
      <c r="R9" s="100"/>
      <c r="S9" s="100"/>
      <c r="T9" s="100"/>
      <c r="U9" s="100"/>
      <c r="V9" s="101"/>
      <c r="W9" s="101"/>
      <c r="X9" s="101"/>
      <c r="Y9" s="100"/>
      <c r="Z9" s="102"/>
      <c r="AA9" s="103"/>
      <c r="AB9" s="103"/>
      <c r="AC9" s="102"/>
      <c r="AD9" s="103"/>
      <c r="AE9" s="103"/>
      <c r="AF9" s="103"/>
      <c r="AG9" s="103"/>
      <c r="AH9" s="103"/>
      <c r="AI9" s="102"/>
      <c r="AJ9" s="102"/>
      <c r="AK9" s="102"/>
      <c r="AL9" s="102"/>
      <c r="AM9" s="102"/>
      <c r="AN9" s="102"/>
      <c r="AO9" s="102"/>
    </row>
    <row r="10" spans="1:45">
      <c r="B10" s="98"/>
      <c r="C10" s="98"/>
      <c r="D10" s="98"/>
      <c r="E10" s="98"/>
      <c r="F10" s="98"/>
      <c r="G10" s="98"/>
      <c r="H10" s="99"/>
      <c r="I10" s="20"/>
      <c r="J10" s="20"/>
      <c r="K10" s="20"/>
      <c r="L10" s="20"/>
      <c r="M10" s="20"/>
      <c r="N10" s="20"/>
      <c r="O10" s="20"/>
      <c r="P10" s="20"/>
      <c r="Q10" s="20"/>
      <c r="R10" s="100"/>
      <c r="S10" s="100"/>
      <c r="T10" s="100"/>
      <c r="U10" s="100"/>
      <c r="V10" s="101"/>
      <c r="W10" s="101"/>
      <c r="X10" s="101"/>
      <c r="Y10" s="100"/>
      <c r="Z10" s="102"/>
      <c r="AA10" s="103"/>
      <c r="AB10" s="103"/>
      <c r="AC10" s="102"/>
      <c r="AD10" s="103"/>
      <c r="AE10" s="103"/>
      <c r="AF10" s="103"/>
      <c r="AG10" s="103"/>
      <c r="AH10" s="103"/>
      <c r="AI10" s="102"/>
      <c r="AJ10" s="102"/>
      <c r="AK10" s="102"/>
      <c r="AL10" s="102"/>
      <c r="AM10" s="102"/>
      <c r="AN10" s="102"/>
      <c r="AO10" s="102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73</v>
      </c>
      <c r="C14" s="5" t="s">
        <v>74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750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1">SUM(R14:R14)</f>
        <v>127.13</v>
      </c>
      <c r="S15" s="74">
        <f t="shared" si="1"/>
        <v>622.87</v>
      </c>
      <c r="T15" s="7"/>
      <c r="U15" s="7"/>
      <c r="V15" s="48">
        <f t="shared" si="1"/>
        <v>56.06</v>
      </c>
      <c r="W15" s="48">
        <f t="shared" si="1"/>
        <v>56.06</v>
      </c>
      <c r="X15" s="48">
        <f t="shared" si="1"/>
        <v>0</v>
      </c>
      <c r="Y15" s="48"/>
      <c r="Z15" s="48"/>
      <c r="AA15" s="48"/>
      <c r="AB15" s="7">
        <f t="shared" ref="AB15:AE15" si="2">SUM(AB14:AB14)</f>
        <v>137.03480000000002</v>
      </c>
      <c r="AC15" s="18">
        <f t="shared" si="2"/>
        <v>622.87</v>
      </c>
      <c r="AD15" s="69">
        <f t="shared" si="2"/>
        <v>120</v>
      </c>
      <c r="AE15" s="69" t="e">
        <f t="shared" si="2"/>
        <v>#REF!</v>
      </c>
      <c r="AF15" s="18"/>
      <c r="AG15" s="69">
        <f t="shared" ref="AG15:AK15" si="3">SUM(AG14:AG14)</f>
        <v>0</v>
      </c>
      <c r="AH15" s="69">
        <f t="shared" si="3"/>
        <v>0</v>
      </c>
      <c r="AI15" s="69">
        <f t="shared" si="3"/>
        <v>31143.5</v>
      </c>
      <c r="AJ15" s="69">
        <f t="shared" si="3"/>
        <v>0</v>
      </c>
      <c r="AK15" s="69">
        <f t="shared" si="3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>
      <c r="A16" s="40" t="s">
        <v>54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3.5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.75" thickBot="1">
      <c r="A19" s="5">
        <v>1</v>
      </c>
      <c r="B19" s="75" t="s">
        <v>55</v>
      </c>
      <c r="C19" s="5" t="s">
        <v>55</v>
      </c>
      <c r="D19" s="5" t="s">
        <v>51</v>
      </c>
      <c r="E19" s="5" t="s">
        <v>51</v>
      </c>
      <c r="F19" s="47">
        <v>6</v>
      </c>
      <c r="G19" s="23">
        <v>200</v>
      </c>
      <c r="H19" s="72">
        <f>F19*G19</f>
        <v>1200</v>
      </c>
      <c r="I19" s="72">
        <v>0</v>
      </c>
      <c r="J19" s="72">
        <v>0</v>
      </c>
      <c r="K19" s="72">
        <v>0</v>
      </c>
      <c r="L19" s="72">
        <f>H19</f>
        <v>1200</v>
      </c>
      <c r="M19" s="72">
        <f>ROUND((L19*I19)/100,2)</f>
        <v>0</v>
      </c>
      <c r="N19" s="72">
        <f>H19-M19</f>
        <v>1200</v>
      </c>
      <c r="O19" s="72">
        <f>ROUND((N19*J19)/100,2)</f>
        <v>0</v>
      </c>
      <c r="P19" s="72">
        <f>ROUND(N19-O19,2)</f>
        <v>1200</v>
      </c>
      <c r="Q19" s="72">
        <f>ROUND((P19*K19)/100,2)</f>
        <v>0</v>
      </c>
      <c r="R19" s="23">
        <f>M19+O19+Q19</f>
        <v>0</v>
      </c>
      <c r="S19" s="23">
        <f>(H19-R19)</f>
        <v>1200</v>
      </c>
      <c r="T19" s="23" t="s">
        <v>52</v>
      </c>
      <c r="U19" s="72">
        <v>5</v>
      </c>
      <c r="V19" s="72">
        <f>IF($C$2=1,ROUND(((S19*(U19/100))/2),2),0)</f>
        <v>30</v>
      </c>
      <c r="W19" s="72">
        <f>IF($C$2=1,ROUND(((S19*(U19/100))/2),2),0)</f>
        <v>30</v>
      </c>
      <c r="X19" s="72">
        <f>IF($C$2=2,ROUND(((S19*U19)),2),0)</f>
        <v>0</v>
      </c>
      <c r="Y19" s="72">
        <f>V19+W19+X19</f>
        <v>60</v>
      </c>
      <c r="Z19" s="23">
        <f>S19+Y19</f>
        <v>1260</v>
      </c>
      <c r="AA19" s="23">
        <v>200</v>
      </c>
      <c r="AB19" s="23" t="e">
        <f>IF($P$2=1,(S19/$S$5)*#REF!,AA19/$AA$5*#REF!)</f>
        <v>#REF!</v>
      </c>
      <c r="AC19" s="23"/>
      <c r="AD19" s="23" t="e">
        <f>IF($P$2=1,(S19/$S$5)*#REF!,AA19/$AA$5*#REF!)</f>
        <v>#REF!</v>
      </c>
      <c r="AE19" s="23" t="e">
        <f>IF($P$2=1,(S19/$S$5)*#REF!,AA19/$AA$5*#REF!)</f>
        <v>#REF!</v>
      </c>
      <c r="AF19" s="23">
        <f>S19*$M$2</f>
        <v>1200</v>
      </c>
      <c r="AG19" s="23" t="e">
        <f>IF($C$2=3,0,AD19+AE19)</f>
        <v>#REF!</v>
      </c>
      <c r="AH19" s="23">
        <f>IF($C$2=3,AB19+AD19+AE19,0)</f>
        <v>0</v>
      </c>
      <c r="AI19" s="47">
        <v>1</v>
      </c>
      <c r="AJ19" s="23">
        <f>F19/AI19</f>
        <v>6</v>
      </c>
      <c r="AK19" s="23">
        <f>AF19/AJ19</f>
        <v>200</v>
      </c>
      <c r="AL19" s="23" t="e">
        <f>AG19/AJ19</f>
        <v>#REF!</v>
      </c>
      <c r="AM19" s="23">
        <f>AH19/AJ19</f>
        <v>0</v>
      </c>
      <c r="AN19" s="23" t="s">
        <v>51</v>
      </c>
      <c r="AO19" s="23" t="e">
        <f>AK19+AL19+AM19</f>
        <v>#REF!</v>
      </c>
    </row>
    <row r="20" spans="1:41" ht="15" thickBot="1">
      <c r="B20" s="108" t="s">
        <v>53</v>
      </c>
      <c r="C20" s="108"/>
      <c r="D20" s="108"/>
      <c r="E20" s="108"/>
      <c r="F20" s="108"/>
      <c r="G20" s="108"/>
      <c r="H20" s="74">
        <f>SUM(H19:H19)</f>
        <v>1200</v>
      </c>
      <c r="I20" s="5"/>
      <c r="J20" s="5"/>
      <c r="K20" s="5"/>
      <c r="L20" s="5"/>
      <c r="M20" s="5"/>
      <c r="N20" s="5"/>
      <c r="O20" s="5"/>
      <c r="P20" s="5"/>
      <c r="Q20" s="5"/>
      <c r="R20" s="7">
        <f t="shared" ref="R20:AB20" si="4">SUM(R19:R19)</f>
        <v>0</v>
      </c>
      <c r="S20" s="7">
        <f t="shared" si="4"/>
        <v>1200</v>
      </c>
      <c r="T20" s="7"/>
      <c r="U20" s="7"/>
      <c r="V20" s="48">
        <f t="shared" si="4"/>
        <v>30</v>
      </c>
      <c r="W20" s="48">
        <f t="shared" si="4"/>
        <v>30</v>
      </c>
      <c r="X20" s="48">
        <f t="shared" si="4"/>
        <v>0</v>
      </c>
      <c r="Y20" s="7">
        <f t="shared" si="4"/>
        <v>60</v>
      </c>
      <c r="Z20" s="18">
        <f t="shared" si="4"/>
        <v>1260</v>
      </c>
      <c r="AA20" s="69">
        <f t="shared" si="4"/>
        <v>200</v>
      </c>
      <c r="AB20" s="69" t="e">
        <f t="shared" si="4"/>
        <v>#REF!</v>
      </c>
      <c r="AC20" s="18"/>
      <c r="AD20" s="69" t="e">
        <f>SUM(AD19:AD19)</f>
        <v>#REF!</v>
      </c>
      <c r="AE20" s="69" t="e">
        <f>SUM(AE19:AE19)</f>
        <v>#REF!</v>
      </c>
      <c r="AF20" s="69">
        <f>SUM(AF19:AF19)</f>
        <v>1200</v>
      </c>
      <c r="AG20" s="69" t="e">
        <f>SUM(AG19:AG19)</f>
        <v>#REF!</v>
      </c>
      <c r="AH20" s="69">
        <f>SUM(AH19:AH19)</f>
        <v>0</v>
      </c>
      <c r="AI20" s="18"/>
      <c r="AJ20" s="18"/>
      <c r="AK20" s="18"/>
      <c r="AL20" s="18"/>
      <c r="AM20" s="18"/>
      <c r="AN20" s="18"/>
      <c r="AO20" s="18"/>
    </row>
    <row r="21" spans="1:41">
      <c r="A21" s="40" t="s">
        <v>56</v>
      </c>
      <c r="B21" s="41"/>
      <c r="C21" s="41"/>
      <c r="D21" s="41"/>
      <c r="E21" s="41"/>
      <c r="F21" s="41"/>
      <c r="G21" s="41"/>
      <c r="H21" s="40"/>
      <c r="I21" s="57"/>
      <c r="J21" s="57"/>
      <c r="K21" s="57"/>
      <c r="L21" s="57"/>
      <c r="M21" s="57"/>
      <c r="N21" s="57"/>
      <c r="O21" s="57"/>
      <c r="P21" s="57"/>
      <c r="Q21" s="57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>
      <c r="A22" s="107" t="s">
        <v>1</v>
      </c>
      <c r="B22" s="107"/>
      <c r="C22" s="42">
        <v>1</v>
      </c>
      <c r="D22" s="43" t="s">
        <v>2</v>
      </c>
      <c r="E22" s="41"/>
      <c r="F22" s="41"/>
      <c r="G22" s="41"/>
      <c r="H22" s="40"/>
      <c r="I22" s="57" t="s">
        <v>3</v>
      </c>
      <c r="J22" s="57" t="s">
        <v>4</v>
      </c>
      <c r="K22" s="57"/>
      <c r="L22" s="57" t="s">
        <v>5</v>
      </c>
      <c r="M22" s="57">
        <v>1</v>
      </c>
      <c r="N22" s="57"/>
      <c r="O22" s="57" t="s">
        <v>6</v>
      </c>
      <c r="P22" s="57">
        <v>2</v>
      </c>
      <c r="Q22" s="57" t="s">
        <v>7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</row>
    <row r="23" spans="1:41" ht="43.5" thickBot="1">
      <c r="A23" s="44" t="s">
        <v>8</v>
      </c>
      <c r="B23" s="44" t="s">
        <v>9</v>
      </c>
      <c r="C23" s="45" t="s">
        <v>10</v>
      </c>
      <c r="D23" s="44" t="s">
        <v>11</v>
      </c>
      <c r="E23" s="44" t="s">
        <v>12</v>
      </c>
      <c r="F23" s="46" t="s">
        <v>13</v>
      </c>
      <c r="G23" s="44" t="s">
        <v>14</v>
      </c>
      <c r="H23" s="44" t="s">
        <v>15</v>
      </c>
      <c r="I23" s="58" t="s">
        <v>16</v>
      </c>
      <c r="J23" s="58" t="s">
        <v>17</v>
      </c>
      <c r="K23" s="58" t="s">
        <v>18</v>
      </c>
      <c r="L23" s="59" t="s">
        <v>19</v>
      </c>
      <c r="M23" s="59" t="s">
        <v>20</v>
      </c>
      <c r="N23" s="59" t="s">
        <v>21</v>
      </c>
      <c r="O23" s="59" t="s">
        <v>22</v>
      </c>
      <c r="P23" s="59" t="s">
        <v>23</v>
      </c>
      <c r="Q23" s="59" t="s">
        <v>24</v>
      </c>
      <c r="R23" s="58" t="s">
        <v>25</v>
      </c>
      <c r="S23" s="44" t="s">
        <v>26</v>
      </c>
      <c r="T23" s="44" t="s">
        <v>27</v>
      </c>
      <c r="U23" s="63" t="s">
        <v>28</v>
      </c>
      <c r="V23" s="63" t="s">
        <v>29</v>
      </c>
      <c r="W23" s="63" t="s">
        <v>30</v>
      </c>
      <c r="X23" s="63" t="s">
        <v>31</v>
      </c>
      <c r="Y23" s="63" t="s">
        <v>32</v>
      </c>
      <c r="Z23" s="67" t="s">
        <v>33</v>
      </c>
      <c r="AA23" s="67" t="s">
        <v>34</v>
      </c>
      <c r="AB23" s="68" t="s">
        <v>35</v>
      </c>
      <c r="AC23" s="68" t="s">
        <v>36</v>
      </c>
      <c r="AD23" s="68" t="s">
        <v>37</v>
      </c>
      <c r="AE23" s="67" t="s">
        <v>38</v>
      </c>
      <c r="AF23" s="67" t="s">
        <v>39</v>
      </c>
      <c r="AG23" s="68" t="s">
        <v>40</v>
      </c>
      <c r="AH23" s="68" t="s">
        <v>41</v>
      </c>
      <c r="AI23" s="67" t="s">
        <v>42</v>
      </c>
      <c r="AJ23" s="67" t="s">
        <v>43</v>
      </c>
      <c r="AK23" s="68" t="s">
        <v>44</v>
      </c>
      <c r="AL23" s="68" t="s">
        <v>45</v>
      </c>
      <c r="AM23" s="68" t="s">
        <v>46</v>
      </c>
      <c r="AN23" s="67" t="s">
        <v>47</v>
      </c>
      <c r="AO23" s="70" t="s">
        <v>48</v>
      </c>
    </row>
    <row r="24" spans="1:41" ht="15.75" thickBot="1">
      <c r="A24" s="5">
        <v>1</v>
      </c>
      <c r="B24" s="75" t="s">
        <v>49</v>
      </c>
      <c r="C24" s="5" t="s">
        <v>50</v>
      </c>
      <c r="D24" s="5" t="s">
        <v>51</v>
      </c>
      <c r="E24" s="5" t="s">
        <v>51</v>
      </c>
      <c r="F24" s="47">
        <v>5</v>
      </c>
      <c r="G24" s="23">
        <v>150</v>
      </c>
      <c r="H24" s="72">
        <f>F24*G24</f>
        <v>750</v>
      </c>
      <c r="I24" s="72">
        <v>5</v>
      </c>
      <c r="J24" s="72">
        <v>6</v>
      </c>
      <c r="K24" s="72">
        <v>7</v>
      </c>
      <c r="L24" s="72">
        <f>H24</f>
        <v>750</v>
      </c>
      <c r="M24" s="72">
        <f>ROUND((L24*I24)/100,2)</f>
        <v>37.5</v>
      </c>
      <c r="N24" s="72">
        <f>H24-M24</f>
        <v>712.5</v>
      </c>
      <c r="O24" s="72">
        <f>ROUND((N24*J24)/100,2)</f>
        <v>42.75</v>
      </c>
      <c r="P24" s="72">
        <f>ROUND(N24-O24,2)</f>
        <v>669.75</v>
      </c>
      <c r="Q24" s="72">
        <f>ROUND((P24*K24)/100,2)</f>
        <v>46.88</v>
      </c>
      <c r="R24" s="23">
        <f>M24+O24+Q24</f>
        <v>127.13</v>
      </c>
      <c r="S24" s="72">
        <f>(H24-R24)</f>
        <v>622.87</v>
      </c>
      <c r="T24" s="23" t="s">
        <v>52</v>
      </c>
      <c r="U24" s="72">
        <v>5</v>
      </c>
      <c r="V24" s="72">
        <f>IF($C$2=1,ROUND(((S24*(U24/100))/2),2),0)</f>
        <v>15.57</v>
      </c>
      <c r="W24" s="72">
        <f>IF($C$2=1,ROUND(((S24*(U24/100))/2),2),0)</f>
        <v>15.57</v>
      </c>
      <c r="X24" s="72">
        <f>IF($C$2=2,ROUND(((S24*U24)),2),0)</f>
        <v>0</v>
      </c>
      <c r="Y24" s="72">
        <f>V24+W24+X24</f>
        <v>31.14</v>
      </c>
      <c r="Z24" s="23">
        <f>S24+Y24</f>
        <v>654.01</v>
      </c>
      <c r="AA24" s="23">
        <v>120</v>
      </c>
      <c r="AB24" s="23" t="e">
        <f>IF($P$2=1,(S24/$S$5)*#REF!,AA24/$AA$5*#REF!)</f>
        <v>#REF!</v>
      </c>
      <c r="AC24" s="23"/>
      <c r="AD24" s="23" t="e">
        <f>IF($P$2=1,(S24/$S$5)*#REF!,AA24/$AA$5*#REF!)</f>
        <v>#REF!</v>
      </c>
      <c r="AE24" s="23" t="e">
        <f>IF($P$2=1,(S24/$S$5)*#REF!,AA24/$AA$5*#REF!)</f>
        <v>#REF!</v>
      </c>
      <c r="AF24" s="23">
        <f>S24*$M$2</f>
        <v>622.87</v>
      </c>
      <c r="AG24" s="23" t="e">
        <f>IF($C$2=3,0,AD24+AE24)</f>
        <v>#REF!</v>
      </c>
      <c r="AH24" s="23">
        <f>IF($C$2=3,AB24+AD24+AE24,0)</f>
        <v>0</v>
      </c>
      <c r="AI24" s="47">
        <v>1</v>
      </c>
      <c r="AJ24" s="23">
        <f>F24/AI24</f>
        <v>5</v>
      </c>
      <c r="AK24" s="23">
        <f>AF24/AJ24</f>
        <v>124.574</v>
      </c>
      <c r="AL24" s="23" t="e">
        <f>AG24/AJ24</f>
        <v>#REF!</v>
      </c>
      <c r="AM24" s="23">
        <f>AH24/AJ24</f>
        <v>0</v>
      </c>
      <c r="AN24" s="23" t="s">
        <v>51</v>
      </c>
      <c r="AO24" s="23" t="e">
        <f>AK24+AL24+AM24</f>
        <v>#REF!</v>
      </c>
    </row>
    <row r="25" spans="1:41" ht="15.75" thickBot="1">
      <c r="A25" s="5">
        <v>2</v>
      </c>
      <c r="B25" s="75" t="s">
        <v>55</v>
      </c>
      <c r="C25" s="5" t="s">
        <v>55</v>
      </c>
      <c r="D25" s="5" t="s">
        <v>51</v>
      </c>
      <c r="E25" s="5" t="s">
        <v>51</v>
      </c>
      <c r="F25" s="47">
        <v>6</v>
      </c>
      <c r="G25" s="23">
        <v>200</v>
      </c>
      <c r="H25" s="72">
        <f>F25*G25</f>
        <v>1200</v>
      </c>
      <c r="I25" s="72">
        <v>0</v>
      </c>
      <c r="J25" s="72">
        <v>0</v>
      </c>
      <c r="K25" s="72">
        <v>0</v>
      </c>
      <c r="L25" s="72">
        <f>H25</f>
        <v>1200</v>
      </c>
      <c r="M25" s="72">
        <f>ROUND((L25*I25)/100,2)</f>
        <v>0</v>
      </c>
      <c r="N25" s="72">
        <f>H25-M25</f>
        <v>1200</v>
      </c>
      <c r="O25" s="72">
        <f>ROUND((N25*J25)/100,2)</f>
        <v>0</v>
      </c>
      <c r="P25" s="72">
        <f>ROUND(N25-O25,2)</f>
        <v>1200</v>
      </c>
      <c r="Q25" s="72">
        <f>ROUND((P25*K25)/100,2)</f>
        <v>0</v>
      </c>
      <c r="R25" s="23">
        <f>M25+O25+Q25</f>
        <v>0</v>
      </c>
      <c r="S25" s="72">
        <f>(H25-R25)</f>
        <v>1200</v>
      </c>
      <c r="T25" s="23" t="s">
        <v>52</v>
      </c>
      <c r="U25" s="72">
        <v>5</v>
      </c>
      <c r="V25" s="72">
        <f>IF($C$2=1,ROUND(((S25*(U25/100))/2),2),0)</f>
        <v>30</v>
      </c>
      <c r="W25" s="72">
        <f>IF($C$2=1,ROUND(((S25*(U25/100))/2),2),0)</f>
        <v>30</v>
      </c>
      <c r="X25" s="72">
        <f>IF($C$2=2,ROUND(((S25*U25)),2),0)</f>
        <v>0</v>
      </c>
      <c r="Y25" s="72">
        <f>V25+W25+X25</f>
        <v>60</v>
      </c>
      <c r="Z25" s="23">
        <f>S25+Y25</f>
        <v>1260</v>
      </c>
      <c r="AA25" s="23">
        <v>200</v>
      </c>
      <c r="AB25" s="23" t="e">
        <f>IF($P$2=1,(S25/$S$5)*#REF!,AA25/$AA$5*#REF!)</f>
        <v>#REF!</v>
      </c>
      <c r="AC25" s="23"/>
      <c r="AD25" s="23" t="e">
        <f>IF($P$2=1,(S25/$S$5)*#REF!,AA25/$AA$5*#REF!)</f>
        <v>#REF!</v>
      </c>
      <c r="AE25" s="23" t="e">
        <f>IF($P$2=1,(S25/$S$5)*#REF!,AA25/$AA$5*#REF!)</f>
        <v>#REF!</v>
      </c>
      <c r="AF25" s="23">
        <f>S25*$M$2</f>
        <v>1200</v>
      </c>
      <c r="AG25" s="23" t="e">
        <f>IF($C$2=3,0,AD25+AE25)</f>
        <v>#REF!</v>
      </c>
      <c r="AH25" s="23">
        <f>IF($C$2=3,AB25+AD25+AE25,0)</f>
        <v>0</v>
      </c>
      <c r="AI25" s="47">
        <v>1</v>
      </c>
      <c r="AJ25" s="23">
        <f>F25/AI25</f>
        <v>6</v>
      </c>
      <c r="AK25" s="23">
        <f>AF25/AJ25</f>
        <v>200</v>
      </c>
      <c r="AL25" s="23" t="e">
        <f>AG25/AJ25</f>
        <v>#REF!</v>
      </c>
      <c r="AM25" s="23">
        <f>AH25/AJ25</f>
        <v>0</v>
      </c>
      <c r="AN25" s="23" t="s">
        <v>51</v>
      </c>
      <c r="AO25" s="23" t="e">
        <f>AK25+AL25+AM25</f>
        <v>#REF!</v>
      </c>
    </row>
    <row r="26" spans="1:41" ht="15" thickBot="1">
      <c r="B26" s="108" t="s">
        <v>53</v>
      </c>
      <c r="C26" s="108"/>
      <c r="D26" s="108"/>
      <c r="E26" s="108"/>
      <c r="F26" s="108"/>
      <c r="G26" s="108"/>
      <c r="H26" s="74">
        <f>SUM(H24:H25)</f>
        <v>1950</v>
      </c>
      <c r="I26" s="5"/>
      <c r="J26" s="5"/>
      <c r="K26" s="5"/>
      <c r="L26" s="5"/>
      <c r="M26" s="5"/>
      <c r="N26" s="5"/>
      <c r="O26" s="5"/>
      <c r="P26" s="5"/>
      <c r="Q26" s="72">
        <f>ROUND((P26*K26)/100,2)</f>
        <v>0</v>
      </c>
      <c r="R26" s="7">
        <f t="shared" ref="R26:AB26" si="5">SUM(R24:R25)</f>
        <v>127.13</v>
      </c>
      <c r="S26" s="7">
        <f t="shared" si="5"/>
        <v>1822.87</v>
      </c>
      <c r="T26" s="7"/>
      <c r="U26" s="7"/>
      <c r="V26" s="48">
        <f t="shared" si="5"/>
        <v>45.57</v>
      </c>
      <c r="W26" s="48">
        <f t="shared" si="5"/>
        <v>45.57</v>
      </c>
      <c r="X26" s="48">
        <f t="shared" si="5"/>
        <v>0</v>
      </c>
      <c r="Y26" s="7">
        <f t="shared" si="5"/>
        <v>91.14</v>
      </c>
      <c r="Z26" s="18">
        <f t="shared" si="5"/>
        <v>1914.01</v>
      </c>
      <c r="AA26" s="69">
        <f t="shared" si="5"/>
        <v>320</v>
      </c>
      <c r="AB26" s="69" t="e">
        <f t="shared" si="5"/>
        <v>#REF!</v>
      </c>
      <c r="AC26" s="18"/>
      <c r="AD26" s="69" t="e">
        <f t="shared" ref="AD26:AH26" si="6">SUM(AD24:AD25)</f>
        <v>#REF!</v>
      </c>
      <c r="AE26" s="69" t="e">
        <f t="shared" si="6"/>
        <v>#REF!</v>
      </c>
      <c r="AF26" s="69">
        <f t="shared" si="6"/>
        <v>1822.87</v>
      </c>
      <c r="AG26" s="69" t="e">
        <f t="shared" si="6"/>
        <v>#REF!</v>
      </c>
      <c r="AH26" s="69">
        <f t="shared" si="6"/>
        <v>0</v>
      </c>
      <c r="AI26" s="18"/>
      <c r="AJ26" s="18"/>
      <c r="AK26" s="18"/>
      <c r="AL26" s="18"/>
      <c r="AM26" s="18"/>
      <c r="AN26" s="18"/>
      <c r="AO26" s="18"/>
    </row>
  </sheetData>
  <mergeCells count="7">
    <mergeCell ref="A22:B22"/>
    <mergeCell ref="B26:G26"/>
    <mergeCell ref="A12:B12"/>
    <mergeCell ref="A2:B2"/>
    <mergeCell ref="B5:G5"/>
    <mergeCell ref="A17:B17"/>
    <mergeCell ref="B20:G2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V3" sqref="V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Q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A6" sqref="A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8:AU23"/>
  <sheetViews>
    <sheetView showGridLines="0" topLeftCell="AJ4" workbookViewId="0">
      <selection activeCell="A18" sqref="A18:AS24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8" spans="1:47" ht="15">
      <c r="A18" s="40" t="s">
        <v>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/>
      <c r="AT18"/>
      <c r="AU18"/>
    </row>
    <row r="19" spans="1:47" ht="15.75" thickBot="1">
      <c r="A19" s="107" t="s">
        <v>1</v>
      </c>
      <c r="B19" s="107"/>
      <c r="C19" s="42">
        <v>1</v>
      </c>
      <c r="D19" s="43" t="s">
        <v>78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50</v>
      </c>
      <c r="N19" s="57"/>
      <c r="O19" s="57" t="s">
        <v>6</v>
      </c>
      <c r="P19" s="57">
        <v>1</v>
      </c>
      <c r="Q19" s="57" t="s">
        <v>7</v>
      </c>
      <c r="R19" s="40"/>
      <c r="S19" s="40"/>
      <c r="T19" s="40"/>
      <c r="U19" s="40"/>
      <c r="V19" s="40">
        <v>2</v>
      </c>
      <c r="W19" s="40" t="s">
        <v>79</v>
      </c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  <c r="AT19"/>
      <c r="AU19"/>
    </row>
    <row r="20" spans="1:47" ht="58.5" thickTop="1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79" t="s">
        <v>19</v>
      </c>
      <c r="M20" s="79" t="s">
        <v>20</v>
      </c>
      <c r="N20" s="79" t="s">
        <v>21</v>
      </c>
      <c r="O20" s="79" t="s">
        <v>22</v>
      </c>
      <c r="P20" s="79" t="s">
        <v>23</v>
      </c>
      <c r="Q20" s="7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80</v>
      </c>
      <c r="Z20" s="63" t="s">
        <v>81</v>
      </c>
      <c r="AA20" s="63" t="s">
        <v>82</v>
      </c>
      <c r="AB20" s="63" t="s">
        <v>32</v>
      </c>
      <c r="AC20" s="67" t="s">
        <v>33</v>
      </c>
      <c r="AD20" s="67" t="s">
        <v>34</v>
      </c>
      <c r="AE20" s="68" t="s">
        <v>35</v>
      </c>
      <c r="AF20" s="68" t="s">
        <v>36</v>
      </c>
      <c r="AG20" s="68" t="s">
        <v>37</v>
      </c>
      <c r="AH20" s="67" t="s">
        <v>38</v>
      </c>
      <c r="AI20" s="67" t="s">
        <v>39</v>
      </c>
      <c r="AJ20" s="68" t="s">
        <v>40</v>
      </c>
      <c r="AK20" s="68" t="s">
        <v>41</v>
      </c>
      <c r="AL20" s="67" t="s">
        <v>42</v>
      </c>
      <c r="AM20" s="67" t="s">
        <v>43</v>
      </c>
      <c r="AN20" s="68" t="s">
        <v>44</v>
      </c>
      <c r="AO20" s="68" t="s">
        <v>45</v>
      </c>
      <c r="AP20" s="68" t="s">
        <v>46</v>
      </c>
      <c r="AQ20" s="67" t="s">
        <v>47</v>
      </c>
      <c r="AR20" s="70" t="s">
        <v>48</v>
      </c>
      <c r="AS20" s="28" t="s">
        <v>67</v>
      </c>
      <c r="AT20"/>
      <c r="AU20"/>
    </row>
    <row r="21" spans="1:47" ht="15.75" thickBot="1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5</v>
      </c>
      <c r="G21" s="23">
        <v>150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ROUND(L21*I21%,2)</f>
        <v>37.5</v>
      </c>
      <c r="N21" s="72">
        <f>H21-M21</f>
        <v>712.5</v>
      </c>
      <c r="O21" s="72">
        <f>ROUND(N21*J21%,2)</f>
        <v>42.75</v>
      </c>
      <c r="P21" s="72">
        <f>ROUND(N21-O21,2)</f>
        <v>669.75</v>
      </c>
      <c r="Q21" s="72">
        <f>ROUND(P21*K21%,2)</f>
        <v>46.88</v>
      </c>
      <c r="R21" s="72">
        <f>M21+O21+Q21</f>
        <v>127.13</v>
      </c>
      <c r="S21" s="72">
        <f>(H21-R21)</f>
        <v>622.87</v>
      </c>
      <c r="T21" s="72">
        <v>850801</v>
      </c>
      <c r="U21" s="72">
        <v>18</v>
      </c>
      <c r="V21" s="72">
        <f>IF(OR($C$19=1,$C$19=4),ROUND(((S21*U21)/(2*100)),2),0)</f>
        <v>56.06</v>
      </c>
      <c r="W21" s="72">
        <f>IF($C$19=1,ROUND(((S21*U21)/(2*100)),2),0)</f>
        <v>56.06</v>
      </c>
      <c r="X21" s="72">
        <f>IF($C$19=2,ROUND(((S21*U21)/100),2),0)</f>
        <v>0</v>
      </c>
      <c r="Y21" s="72">
        <f>IF($C$19=4,ROUND(((S21*U21)/(2*100)),2),0)</f>
        <v>0</v>
      </c>
      <c r="Z21" s="72">
        <v>4</v>
      </c>
      <c r="AA21" s="23">
        <f>IF($C19=3,0,(S21*Z21)/100)</f>
        <v>24.9148</v>
      </c>
      <c r="AB21" s="23">
        <f>V21+W21+X21+Y21+AA21</f>
        <v>137.03480000000002</v>
      </c>
      <c r="AC21" s="23">
        <f>IF($V19=1,S21+AB21,S21)</f>
        <v>622.87</v>
      </c>
      <c r="AD21" s="72">
        <v>120</v>
      </c>
      <c r="AE21" s="72">
        <f>IF($P$19=1,(S21/$S$23)*$E$33,AD21/$AD$23*$E$33)</f>
        <v>0</v>
      </c>
      <c r="AF21" s="72"/>
      <c r="AG21" s="72">
        <f>IF($P$19=1,(S21/$S$23)*$E$35,AD21/$AD$23*$E$35)</f>
        <v>0</v>
      </c>
      <c r="AH21" s="72">
        <f>IF($P$19=1,(S21/$S$23)*$E$35,AD21/$AD$23*$E$35)</f>
        <v>0</v>
      </c>
      <c r="AI21" s="72">
        <f>S21*$M$19</f>
        <v>31143.5</v>
      </c>
      <c r="AJ21" s="72">
        <f>IF($C$19=3,0,AG21+AH21)</f>
        <v>0</v>
      </c>
      <c r="AK21" s="72">
        <f>IF($C$19=3,AE21+AG21+AH21,0)</f>
        <v>0</v>
      </c>
      <c r="AL21" s="72">
        <v>1</v>
      </c>
      <c r="AM21" s="72">
        <f>F21/AL21</f>
        <v>5</v>
      </c>
      <c r="AN21" s="72">
        <f>AI21/AM21</f>
        <v>6228.7</v>
      </c>
      <c r="AO21" s="72">
        <f>AJ21/AM21</f>
        <v>0</v>
      </c>
      <c r="AP21" s="72">
        <f>AK21/AM21</f>
        <v>0</v>
      </c>
      <c r="AQ21" s="72" t="s">
        <v>51</v>
      </c>
      <c r="AR21" s="72">
        <f>AN21+AO21+AP21</f>
        <v>6228.7</v>
      </c>
      <c r="AS21" s="72">
        <v>1000000005</v>
      </c>
      <c r="AT21"/>
      <c r="AU21"/>
    </row>
    <row r="22" spans="1:47" ht="15.75" thickBot="1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6</v>
      </c>
      <c r="G22" s="23">
        <v>200</v>
      </c>
      <c r="H22" s="72">
        <f>F22*G22</f>
        <v>1200</v>
      </c>
      <c r="I22" s="72">
        <v>3</v>
      </c>
      <c r="J22" s="72">
        <v>2</v>
      </c>
      <c r="K22" s="72">
        <v>1</v>
      </c>
      <c r="L22" s="72">
        <f>H22</f>
        <v>1200</v>
      </c>
      <c r="M22" s="72">
        <f>ROUND(L22*I22%,2)</f>
        <v>36</v>
      </c>
      <c r="N22" s="72">
        <f>H22-M22</f>
        <v>1164</v>
      </c>
      <c r="O22" s="72">
        <f>ROUND(N22*J22%,2)</f>
        <v>23.28</v>
      </c>
      <c r="P22" s="72">
        <f>ROUND(N22-O22,2)</f>
        <v>1140.72</v>
      </c>
      <c r="Q22" s="72">
        <f>ROUND(P22*K22%,2)</f>
        <v>11.41</v>
      </c>
      <c r="R22" s="72">
        <f>M22+O22+Q22</f>
        <v>70.69</v>
      </c>
      <c r="S22" s="72">
        <f>(H22-R22)</f>
        <v>1129.31</v>
      </c>
      <c r="T22" s="72">
        <v>850801</v>
      </c>
      <c r="U22" s="72">
        <v>18</v>
      </c>
      <c r="V22" s="72">
        <f>IF(OR($C$19=1,$C$19=4),ROUND(((S22*U22)/(2*100)),2),0)</f>
        <v>101.64</v>
      </c>
      <c r="W22" s="72">
        <f>IF($C$19=1,ROUND(((S22*U22)/(2*100)),2),0)</f>
        <v>101.64</v>
      </c>
      <c r="X22" s="72">
        <f>IF($C$19=2,ROUND(((S22*U22)/100),2),0)</f>
        <v>0</v>
      </c>
      <c r="Y22" s="72">
        <f>IF($C$19=4,ROUND(((S22*U22)/(2*100)),2),0)</f>
        <v>0</v>
      </c>
      <c r="Z22" s="72">
        <v>4</v>
      </c>
      <c r="AA22" s="23">
        <f>IF($C20=3,0,(S22*Z22)/100)</f>
        <v>45.172399999999996</v>
      </c>
      <c r="AB22" s="23">
        <f>V22+W22+X22+Y22+AA22</f>
        <v>248.45240000000001</v>
      </c>
      <c r="AC22" s="72">
        <f>IF($V20=1,S22+AB22,S22)</f>
        <v>1129.31</v>
      </c>
      <c r="AD22" s="72">
        <v>120</v>
      </c>
      <c r="AE22" s="72">
        <f>IF($P$19=1,(S22/$S$23)*$E$33,AD22/$AD$23*$E$33)</f>
        <v>0</v>
      </c>
      <c r="AF22" s="72"/>
      <c r="AG22" s="72">
        <f>IF($P$19=1,(S22/$S$23)*$E$35,AD22/$AD$23*$E$35)</f>
        <v>0</v>
      </c>
      <c r="AH22" s="72">
        <f>IF($P$19=1,(S22/$S$23)*$E$35,AD22/$AD$23*$E$35)</f>
        <v>0</v>
      </c>
      <c r="AI22" s="72">
        <f>S22*$M$19</f>
        <v>56465.5</v>
      </c>
      <c r="AJ22" s="72">
        <f>IF($C$19=3,0,AG22+AH22)</f>
        <v>0</v>
      </c>
      <c r="AK22" s="72">
        <f>IF($C$19=3,AE22+AG22+AH22,0)</f>
        <v>0</v>
      </c>
      <c r="AL22" s="72">
        <v>1</v>
      </c>
      <c r="AM22" s="72">
        <f>F22/AL22</f>
        <v>6</v>
      </c>
      <c r="AN22" s="72">
        <f>AI22/AM22</f>
        <v>9410.9166666666661</v>
      </c>
      <c r="AO22" s="72">
        <f>AJ22/AM22</f>
        <v>0</v>
      </c>
      <c r="AP22" s="72">
        <f>AK22/AM22</f>
        <v>0</v>
      </c>
      <c r="AQ22" s="72" t="s">
        <v>51</v>
      </c>
      <c r="AR22" s="72">
        <f>AN22+AO22+AP22</f>
        <v>9410.9166666666661</v>
      </c>
      <c r="AS22" s="72">
        <v>1000000005</v>
      </c>
      <c r="AT22"/>
      <c r="AU22"/>
    </row>
    <row r="23" spans="1:47" ht="15.75" thickBot="1">
      <c r="B23" s="76"/>
      <c r="C23" s="76"/>
      <c r="D23" s="77" t="s">
        <v>53</v>
      </c>
      <c r="E23" s="77"/>
      <c r="F23" s="77"/>
      <c r="G23" s="78"/>
      <c r="H23" s="7">
        <f>SUM(H21:H21)</f>
        <v>750</v>
      </c>
      <c r="I23" s="5"/>
      <c r="J23" s="5"/>
      <c r="K23" s="5"/>
      <c r="L23" s="5"/>
      <c r="M23" s="5"/>
      <c r="N23" s="5"/>
      <c r="O23" s="5"/>
      <c r="P23" s="5"/>
      <c r="Q23" s="5"/>
      <c r="R23" s="7">
        <f t="shared" ref="R23:X23" si="0">SUM(R21:R21)</f>
        <v>127.13</v>
      </c>
      <c r="S23" s="74">
        <f t="shared" si="0"/>
        <v>622.87</v>
      </c>
      <c r="T23" s="7"/>
      <c r="U23" s="7"/>
      <c r="V23" s="48">
        <f t="shared" si="0"/>
        <v>56.06</v>
      </c>
      <c r="W23" s="48">
        <f t="shared" si="0"/>
        <v>56.06</v>
      </c>
      <c r="X23" s="48">
        <f t="shared" si="0"/>
        <v>0</v>
      </c>
      <c r="Y23" s="48"/>
      <c r="Z23" s="48"/>
      <c r="AA23" s="48"/>
      <c r="AB23" s="7">
        <f t="shared" ref="AB23:AE23" si="1">SUM(AB21:AB21)</f>
        <v>137.03480000000002</v>
      </c>
      <c r="AC23" s="18">
        <f t="shared" si="1"/>
        <v>622.87</v>
      </c>
      <c r="AD23" s="69">
        <f t="shared" si="1"/>
        <v>120</v>
      </c>
      <c r="AE23" s="69">
        <f t="shared" si="1"/>
        <v>0</v>
      </c>
      <c r="AF23" s="18"/>
      <c r="AG23" s="69">
        <f t="shared" ref="AG23:AK23" si="2">SUM(AG21:AG21)</f>
        <v>0</v>
      </c>
      <c r="AH23" s="69">
        <f t="shared" si="2"/>
        <v>0</v>
      </c>
      <c r="AI23" s="69">
        <f t="shared" si="2"/>
        <v>31143.5</v>
      </c>
      <c r="AJ23" s="69">
        <f t="shared" si="2"/>
        <v>0</v>
      </c>
      <c r="AK23" s="69">
        <f t="shared" si="2"/>
        <v>0</v>
      </c>
      <c r="AL23" s="18"/>
      <c r="AM23" s="18"/>
      <c r="AN23" s="18"/>
      <c r="AO23" s="18"/>
      <c r="AP23" s="18"/>
      <c r="AQ23" s="18"/>
      <c r="AR23" s="18"/>
      <c r="AS23"/>
      <c r="AT23"/>
      <c r="AU23"/>
    </row>
  </sheetData>
  <mergeCells count="1">
    <mergeCell ref="A19:B19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S9" sqref="AS9:AS11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J2" sqref="J2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G1" workbookViewId="0">
      <selection activeCell="AS10" sqref="AS10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7" sqref="H17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/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108" t="s">
        <v>53</v>
      </c>
      <c r="C16" s="108"/>
      <c r="D16" s="108"/>
      <c r="E16" s="108"/>
      <c r="F16" s="108"/>
      <c r="G16" s="108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108" t="s">
        <v>53</v>
      </c>
      <c r="C16" s="108"/>
      <c r="D16" s="108"/>
      <c r="E16" s="108"/>
      <c r="F16" s="108"/>
      <c r="G16" s="108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P14" sqref="P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108" t="s">
        <v>53</v>
      </c>
      <c r="C16" s="108"/>
      <c r="D16" s="108"/>
      <c r="E16" s="108"/>
      <c r="F16" s="108"/>
      <c r="G16" s="108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D18" sqref="D1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63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R19" sqref="AR19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159.06833333333299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108" t="s">
        <v>53</v>
      </c>
      <c r="C11" s="108"/>
      <c r="D11" s="108"/>
      <c r="E11" s="108"/>
      <c r="F11" s="108"/>
      <c r="G11" s="108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108" t="s">
        <v>53</v>
      </c>
      <c r="C17" s="108"/>
      <c r="D17" s="108"/>
      <c r="E17" s="108"/>
      <c r="F17" s="108"/>
      <c r="G17" s="108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N9" sqref="N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5</v>
      </c>
      <c r="V10" s="72">
        <f>IF($C$2=1,ROUND(((S10*(U10/100))/2),2),0)</f>
        <v>23.86</v>
      </c>
      <c r="W10" s="72">
        <f>IF($C$2=1,ROUND(((S10*(U10/100))/2),2),0)</f>
        <v>23.86</v>
      </c>
      <c r="X10" s="72">
        <f>IF($C$2=2,ROUND(((S10*U10)),2),0)</f>
        <v>0</v>
      </c>
      <c r="Y10" s="72">
        <f>V10+W10+X10</f>
        <v>47.72</v>
      </c>
      <c r="Z10" s="23">
        <f>S10+Y10</f>
        <v>1002.13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159.06833333333299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08" t="s">
        <v>53</v>
      </c>
      <c r="C11" s="108"/>
      <c r="D11" s="108"/>
      <c r="E11" s="108"/>
      <c r="F11" s="108"/>
      <c r="G11" s="108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23.86</v>
      </c>
      <c r="W11" s="48">
        <f t="shared" si="2"/>
        <v>23.86</v>
      </c>
      <c r="X11" s="48">
        <f t="shared" si="2"/>
        <v>0</v>
      </c>
      <c r="Y11" s="48">
        <f t="shared" si="2"/>
        <v>47.72</v>
      </c>
      <c r="Z11" s="69">
        <f t="shared" si="2"/>
        <v>1002.13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12</v>
      </c>
      <c r="V15" s="72">
        <f>IF($C$2=1,ROUND(((S15*(U15/100))/2),2),0)</f>
        <v>15.59</v>
      </c>
      <c r="W15" s="72">
        <f>IF($C$2=1,ROUND(((S15*(U15/100))/2),2),0)</f>
        <v>15.59</v>
      </c>
      <c r="X15" s="72">
        <f>IF($C$2=2,ROUND(((S15*U15)),2),0)</f>
        <v>0</v>
      </c>
      <c r="Y15" s="72">
        <f>V15+W15+X15</f>
        <v>31.18</v>
      </c>
      <c r="Z15" s="23">
        <f>S15+Y15</f>
        <v>290.98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08" t="s">
        <v>53</v>
      </c>
      <c r="C17" s="108"/>
      <c r="D17" s="108"/>
      <c r="E17" s="108"/>
      <c r="F17" s="108"/>
      <c r="G17" s="108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28.86</v>
      </c>
      <c r="W17" s="48">
        <f t="shared" si="5"/>
        <v>28.86</v>
      </c>
      <c r="X17" s="48">
        <f t="shared" si="5"/>
        <v>0</v>
      </c>
      <c r="Y17" s="7">
        <f t="shared" si="5"/>
        <v>57.72</v>
      </c>
      <c r="Z17" s="18">
        <f t="shared" si="5"/>
        <v>848.3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6" workbookViewId="0">
      <selection activeCell="I10" sqref="I10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F4*AI10</f>
        <v>42</v>
      </c>
      <c r="G10" s="23">
        <f>G4/AI10</f>
        <v>25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F5*AI11</f>
        <v>48</v>
      </c>
      <c r="G11" s="23">
        <f>ROUND(G5/AI11,2)</f>
        <v>33.33</v>
      </c>
      <c r="H11" s="72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57</v>
      </c>
      <c r="C22" s="71" t="s">
        <v>58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59</v>
      </c>
      <c r="C23" s="73" t="s">
        <v>59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A4" sqref="A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108" t="s">
        <v>53</v>
      </c>
      <c r="C11" s="108"/>
      <c r="D11" s="108"/>
      <c r="E11" s="108"/>
      <c r="F11" s="108"/>
      <c r="G11" s="108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108" t="s">
        <v>53</v>
      </c>
      <c r="C17" s="108"/>
      <c r="D17" s="108"/>
      <c r="E17" s="108"/>
      <c r="F17" s="108"/>
      <c r="G17" s="108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J14" sqref="J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2</v>
      </c>
      <c r="B10" s="73" t="s">
        <v>66</v>
      </c>
      <c r="C10" s="73" t="s">
        <v>66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08" t="s">
        <v>53</v>
      </c>
      <c r="C11" s="108"/>
      <c r="D11" s="108"/>
      <c r="E11" s="108"/>
      <c r="F11" s="108"/>
      <c r="G11" s="108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64</v>
      </c>
      <c r="C15" s="71" t="s">
        <v>65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08" t="s">
        <v>53</v>
      </c>
      <c r="C17" s="108"/>
      <c r="D17" s="108"/>
      <c r="E17" s="108"/>
      <c r="F17" s="108"/>
      <c r="G17" s="108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36.65</v>
      </c>
      <c r="W17" s="48">
        <f t="shared" si="5"/>
        <v>36.65</v>
      </c>
      <c r="X17" s="48">
        <f t="shared" si="5"/>
        <v>0</v>
      </c>
      <c r="Y17" s="7">
        <f t="shared" si="5"/>
        <v>73.3</v>
      </c>
      <c r="Z17" s="18">
        <f t="shared" si="5"/>
        <v>863.88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J1" workbookViewId="0">
      <selection activeCell="K23" sqref="K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08" t="s">
        <v>53</v>
      </c>
      <c r="C11" s="108"/>
      <c r="D11" s="108"/>
      <c r="E11" s="108"/>
      <c r="F11" s="108"/>
      <c r="G11" s="108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5</v>
      </c>
      <c r="V15" s="72">
        <f>IF($C$2=1,ROUND(((S15*(U15/100))/2),2),0)</f>
        <v>6.5</v>
      </c>
      <c r="W15" s="72">
        <f>IF($C$2=1,ROUND(((S15*(U15/100))/2),2),0)</f>
        <v>6.5</v>
      </c>
      <c r="X15" s="72">
        <f>IF($C$2=2,ROUND(((S15*U15)),2),0)</f>
        <v>0</v>
      </c>
      <c r="Y15" s="72">
        <f>V15+W15+X15</f>
        <v>13</v>
      </c>
      <c r="Z15" s="23">
        <f>S15+Y15</f>
        <v>272.8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08" t="s">
        <v>53</v>
      </c>
      <c r="C17" s="108"/>
      <c r="D17" s="108"/>
      <c r="E17" s="108"/>
      <c r="F17" s="108"/>
      <c r="G17" s="108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19.77</v>
      </c>
      <c r="W17" s="48">
        <f t="shared" si="5"/>
        <v>19.77</v>
      </c>
      <c r="X17" s="48">
        <f t="shared" si="5"/>
        <v>0</v>
      </c>
      <c r="Y17" s="7">
        <f t="shared" si="5"/>
        <v>39.54</v>
      </c>
      <c r="Z17" s="18">
        <f t="shared" si="5"/>
        <v>830.12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8" sqref="B18:G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52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52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52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64</v>
      </c>
      <c r="C22" s="71" t="s">
        <v>65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52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52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52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93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52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64</v>
      </c>
      <c r="C21" s="71" t="s">
        <v>65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52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3" t="s">
        <v>66</v>
      </c>
      <c r="C22" s="73" t="s">
        <v>66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52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93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H25" sqref="H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23.52</v>
      </c>
      <c r="W24" s="48">
        <f t="shared" si="3"/>
        <v>23.52</v>
      </c>
      <c r="X24" s="48">
        <f t="shared" si="3"/>
        <v>0</v>
      </c>
      <c r="Y24" s="7">
        <f t="shared" si="3"/>
        <v>47.04</v>
      </c>
      <c r="Z24" s="18">
        <f t="shared" si="3"/>
        <v>987.65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51</v>
      </c>
      <c r="AO4" s="23" t="e">
        <f>AK4+AL4+AM4</f>
        <v>#DIV/0!</v>
      </c>
    </row>
    <row r="5" spans="1:4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108" t="s">
        <v>53</v>
      </c>
      <c r="C16" s="108"/>
      <c r="D16" s="108"/>
      <c r="E16" s="108"/>
      <c r="F16" s="108"/>
      <c r="G16" s="108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Q24" sqref="Q24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D8" sqref="D8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91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70</v>
      </c>
      <c r="C5" s="73" t="s">
        <v>71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12</v>
      </c>
      <c r="V10" s="72">
        <f>IF($C$8=1,ROUND(((S10*(U10/100))/2),2),0)</f>
        <v>52.32</v>
      </c>
      <c r="W10" s="72">
        <f>IF($C$8=1,ROUND(((S10*(U10/100))/2),2),0)</f>
        <v>52.32</v>
      </c>
      <c r="X10" s="72">
        <f>IF($C$8=2,ROUND(((S10*U10)),2),0)</f>
        <v>0</v>
      </c>
      <c r="Y10" s="72">
        <f>V10+W10+X10</f>
        <v>104.64</v>
      </c>
      <c r="Z10" s="23">
        <f>S10+Y10</f>
        <v>976.65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6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1307.9000000000001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83.46</v>
      </c>
      <c r="W12" s="48">
        <f t="shared" si="0"/>
        <v>83.46</v>
      </c>
      <c r="X12" s="48">
        <f t="shared" si="0"/>
        <v>0</v>
      </c>
      <c r="Y12" s="48">
        <f t="shared" si="0"/>
        <v>166.92</v>
      </c>
      <c r="Z12" s="69">
        <f t="shared" si="0"/>
        <v>2284.5500000000002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68</v>
      </c>
      <c r="C16" s="71" t="s">
        <v>69</v>
      </c>
      <c r="D16" s="5" t="s">
        <v>51</v>
      </c>
      <c r="E16" s="5" t="s">
        <v>51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70</v>
      </c>
      <c r="C17" s="73" t="s">
        <v>71</v>
      </c>
      <c r="D17" s="5" t="s">
        <v>51</v>
      </c>
      <c r="E17" s="5" t="s">
        <v>51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68</v>
      </c>
      <c r="C22" s="71" t="s">
        <v>69</v>
      </c>
      <c r="D22" s="5" t="s">
        <v>51</v>
      </c>
      <c r="E22" s="5" t="s">
        <v>51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70</v>
      </c>
      <c r="C23" s="73" t="s">
        <v>71</v>
      </c>
      <c r="D23" s="5" t="s">
        <v>51</v>
      </c>
      <c r="E23" s="5" t="s">
        <v>51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F21" sqref="F21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91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70</v>
      </c>
      <c r="C5" s="73" t="s">
        <v>71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68</v>
      </c>
      <c r="C16" s="71" t="s">
        <v>69</v>
      </c>
      <c r="D16" s="5" t="s">
        <v>51</v>
      </c>
      <c r="E16" s="5" t="s">
        <v>51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70</v>
      </c>
      <c r="C17" s="73" t="s">
        <v>71</v>
      </c>
      <c r="D17" s="5" t="s">
        <v>51</v>
      </c>
      <c r="E17" s="5" t="s">
        <v>51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68</v>
      </c>
      <c r="C22" s="71" t="s">
        <v>69</v>
      </c>
      <c r="D22" s="5" t="s">
        <v>51</v>
      </c>
      <c r="E22" s="5" t="s">
        <v>51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70</v>
      </c>
      <c r="C23" s="73" t="s">
        <v>71</v>
      </c>
      <c r="D23" s="5" t="s">
        <v>51</v>
      </c>
      <c r="E23" s="5" t="s">
        <v>51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32" sqref="G3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57</v>
      </c>
      <c r="C4" s="71" t="s">
        <v>58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59</v>
      </c>
      <c r="C5" s="73" t="s">
        <v>59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6" t="s">
        <v>53</v>
      </c>
      <c r="C6" s="106"/>
      <c r="D6" s="106"/>
      <c r="E6" s="106"/>
      <c r="F6" s="106"/>
      <c r="G6" s="106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6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5</v>
      </c>
      <c r="K11" s="72">
        <v>5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56.99</v>
      </c>
      <c r="P11" s="72">
        <f>ROUND(N11-O11,2)</f>
        <v>1082.9000000000001</v>
      </c>
      <c r="Q11" s="72">
        <f>ROUND((P11*K11)/100,2)</f>
        <v>54.15</v>
      </c>
      <c r="R11" s="23">
        <f>M11+O11+Q11</f>
        <v>171.13</v>
      </c>
      <c r="S11" s="72">
        <f>(H11-R11)</f>
        <v>1028.75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1080.19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298.26</v>
      </c>
      <c r="S12" s="7">
        <f>SUM(S10:S11)</f>
        <v>1651.62</v>
      </c>
      <c r="T12" s="7"/>
      <c r="U12" s="7"/>
      <c r="V12" s="48">
        <f>SUM(V10:V11)</f>
        <v>63.09</v>
      </c>
      <c r="W12" s="48">
        <f>SUM(W10:W11)</f>
        <v>63.09</v>
      </c>
      <c r="X12" s="48">
        <f t="shared" ref="X12:AB12" si="0">SUM(X10:X10)</f>
        <v>0</v>
      </c>
      <c r="Y12" s="48">
        <f>SUM(Y10:Y11)</f>
        <v>126.18</v>
      </c>
      <c r="Z12" s="69">
        <f>SUM(Z10:Z11)</f>
        <v>1777.8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25.72</v>
      </c>
      <c r="W17" s="48">
        <f t="shared" si="1"/>
        <v>25.72</v>
      </c>
      <c r="X17" s="48">
        <f t="shared" si="1"/>
        <v>0</v>
      </c>
      <c r="Y17" s="7">
        <f t="shared" si="1"/>
        <v>51.44</v>
      </c>
      <c r="Z17" s="18">
        <f t="shared" si="1"/>
        <v>1080.29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57</v>
      </c>
      <c r="C21" s="71" t="s">
        <v>58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59</v>
      </c>
      <c r="C22" s="73" t="s">
        <v>59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>ROUND((P22*K22)/100,2)</f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298.26</v>
      </c>
      <c r="S23" s="7">
        <f t="shared" si="2"/>
        <v>1651.62</v>
      </c>
      <c r="T23" s="7"/>
      <c r="U23" s="7"/>
      <c r="V23" s="48">
        <f t="shared" si="2"/>
        <v>63.09</v>
      </c>
      <c r="W23" s="48">
        <f t="shared" si="2"/>
        <v>63.09</v>
      </c>
      <c r="X23" s="48">
        <f t="shared" si="2"/>
        <v>0</v>
      </c>
      <c r="Y23" s="7">
        <f t="shared" si="2"/>
        <v>126.18</v>
      </c>
      <c r="Z23" s="18">
        <f t="shared" si="2"/>
        <v>1777.8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N1" workbookViewId="0">
      <selection activeCell="F24" sqref="F2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68</v>
      </c>
      <c r="C4" s="71" t="s">
        <v>69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70</v>
      </c>
      <c r="C5" s="73" t="s">
        <v>71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6" t="s">
        <v>53</v>
      </c>
      <c r="C6" s="106"/>
      <c r="D6" s="106"/>
      <c r="E6" s="106"/>
      <c r="F6" s="106"/>
      <c r="G6" s="106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1080.29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63.09</v>
      </c>
      <c r="W12" s="48">
        <f t="shared" si="0"/>
        <v>63.09</v>
      </c>
      <c r="X12" s="48">
        <f t="shared" ref="X12:AB12" si="1">SUM(X10:X10)</f>
        <v>0</v>
      </c>
      <c r="Y12" s="48">
        <f>SUM(Y10:Y11)</f>
        <v>126.18</v>
      </c>
      <c r="Z12" s="69">
        <f>SUM(Z10:Z11)</f>
        <v>1777.9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70</v>
      </c>
      <c r="C16" s="73" t="s">
        <v>71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25.72</v>
      </c>
      <c r="W17" s="48">
        <f t="shared" si="3"/>
        <v>25.72</v>
      </c>
      <c r="X17" s="48">
        <f t="shared" si="3"/>
        <v>0</v>
      </c>
      <c r="Y17" s="7">
        <f t="shared" si="3"/>
        <v>51.44</v>
      </c>
      <c r="Z17" s="18">
        <f t="shared" si="3"/>
        <v>1080.29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68</v>
      </c>
      <c r="C21" s="71" t="s">
        <v>69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70</v>
      </c>
      <c r="C22" s="73" t="s">
        <v>71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63.09</v>
      </c>
      <c r="W23" s="48">
        <f t="shared" si="6"/>
        <v>63.09</v>
      </c>
      <c r="X23" s="48">
        <f t="shared" si="6"/>
        <v>0</v>
      </c>
      <c r="Y23" s="7">
        <f t="shared" si="6"/>
        <v>126.18</v>
      </c>
      <c r="Z23" s="18">
        <f t="shared" si="6"/>
        <v>1777.8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7" sqref="G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68</v>
      </c>
      <c r="C4" s="71" t="s">
        <v>69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70</v>
      </c>
      <c r="C5" s="73" t="s">
        <v>71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6" t="s">
        <v>53</v>
      </c>
      <c r="C6" s="106"/>
      <c r="D6" s="106"/>
      <c r="E6" s="106"/>
      <c r="F6" s="106"/>
      <c r="G6" s="106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1028.8499999999999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ref="X12:AB12" si="1">SUM(X10:X10)</f>
        <v>0</v>
      </c>
      <c r="Y12" s="48">
        <f>SUM(Y10:Y11)</f>
        <v>0</v>
      </c>
      <c r="Z12" s="69">
        <f>SUM(Z10:Z11)</f>
        <v>1651.72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70</v>
      </c>
      <c r="C16" s="73" t="s">
        <v>71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1028.8499999999999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0</v>
      </c>
      <c r="W17" s="48">
        <f t="shared" si="3"/>
        <v>0</v>
      </c>
      <c r="X17" s="48">
        <f t="shared" si="3"/>
        <v>0</v>
      </c>
      <c r="Y17" s="7">
        <f t="shared" si="3"/>
        <v>0</v>
      </c>
      <c r="Z17" s="18">
        <f t="shared" si="3"/>
        <v>1028.8499999999999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68</v>
      </c>
      <c r="C21" s="71" t="s">
        <v>69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622.87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70</v>
      </c>
      <c r="C22" s="73" t="s">
        <v>71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1028.75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0</v>
      </c>
      <c r="W23" s="48">
        <f t="shared" si="6"/>
        <v>0</v>
      </c>
      <c r="X23" s="48">
        <f t="shared" si="6"/>
        <v>0</v>
      </c>
      <c r="Y23" s="7">
        <f t="shared" si="6"/>
        <v>0</v>
      </c>
      <c r="Z23" s="18">
        <f t="shared" si="6"/>
        <v>1651.62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K23" sqref="K2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70</v>
      </c>
      <c r="C14" s="73" t="s">
        <v>71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68</v>
      </c>
      <c r="C19" s="71" t="s">
        <v>69</v>
      </c>
      <c r="D19" s="5" t="s">
        <v>51</v>
      </c>
      <c r="E19" s="5" t="s">
        <v>51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70</v>
      </c>
      <c r="C20" s="73" t="s">
        <v>71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67.37</v>
      </c>
      <c r="W21" s="48">
        <f t="shared" si="5"/>
        <v>67.37</v>
      </c>
      <c r="X21" s="48">
        <f t="shared" si="5"/>
        <v>0</v>
      </c>
      <c r="Y21" s="7">
        <f t="shared" si="5"/>
        <v>134.74</v>
      </c>
      <c r="Z21" s="18">
        <f t="shared" si="5"/>
        <v>1957.61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IF($C$60,ROUND(((S9*(U9/100))/2),2),0)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0</v>
      </c>
      <c r="W9" s="72">
        <f>IF($C$71,ROUND(((S9*(U9/100))/2),2),0)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70</v>
      </c>
      <c r="C14" s="73" t="s">
        <v>71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0</v>
      </c>
      <c r="W15" s="48">
        <f t="shared" si="2"/>
        <v>0</v>
      </c>
      <c r="X15" s="48">
        <f t="shared" si="2"/>
        <v>0</v>
      </c>
      <c r="Y15" s="7">
        <f t="shared" si="2"/>
        <v>0</v>
      </c>
      <c r="Z15" s="18">
        <f t="shared" si="2"/>
        <v>1200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68</v>
      </c>
      <c r="C19" s="71" t="s">
        <v>69</v>
      </c>
      <c r="D19" s="5" t="s">
        <v>51</v>
      </c>
      <c r="E19" s="5" t="s">
        <v>51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70</v>
      </c>
      <c r="C20" s="73" t="s">
        <v>71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0</v>
      </c>
      <c r="W21" s="48">
        <f t="shared" si="5"/>
        <v>0</v>
      </c>
      <c r="X21" s="48">
        <f t="shared" si="5"/>
        <v>0</v>
      </c>
      <c r="Y21" s="7">
        <f t="shared" si="5"/>
        <v>0</v>
      </c>
      <c r="Z21" s="18">
        <f t="shared" si="5"/>
        <v>1822.87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D19" sqref="D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0</v>
      </c>
      <c r="W9" s="72">
        <f>IF($C$60,ROUND(((S9*(U9/100))/2),2),0)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22" sqref="G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52.94</v>
      </c>
      <c r="W23" s="48">
        <f t="shared" si="2"/>
        <v>52.94</v>
      </c>
      <c r="X23" s="48">
        <f t="shared" si="2"/>
        <v>0</v>
      </c>
      <c r="Y23" s="7">
        <f t="shared" si="2"/>
        <v>105.88</v>
      </c>
      <c r="Z23" s="18">
        <f t="shared" si="2"/>
        <v>2223.64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75</v>
      </c>
      <c r="C16" s="5" t="s">
        <v>76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52.94</v>
      </c>
      <c r="W23" s="48">
        <f t="shared" si="3"/>
        <v>52.94</v>
      </c>
      <c r="X23" s="48">
        <f t="shared" si="3"/>
        <v>0</v>
      </c>
      <c r="Y23" s="7">
        <f t="shared" si="3"/>
        <v>105.88</v>
      </c>
      <c r="Z23" s="18">
        <f t="shared" si="3"/>
        <v>2223.64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#REF!</v>
      </c>
      <c r="AH23" s="69">
        <f t="shared" si="4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R7" sqref="R7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75</v>
      </c>
      <c r="C16" s="5" t="s">
        <v>76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08" t="s">
        <v>53</v>
      </c>
      <c r="C17" s="108"/>
      <c r="D17" s="108"/>
      <c r="E17" s="108"/>
      <c r="F17" s="108"/>
      <c r="G17" s="108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08" t="s">
        <v>53</v>
      </c>
      <c r="C23" s="108"/>
      <c r="D23" s="108"/>
      <c r="E23" s="108"/>
      <c r="F23" s="108"/>
      <c r="G23" s="108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0</v>
      </c>
      <c r="W23" s="48">
        <f t="shared" si="3"/>
        <v>0</v>
      </c>
      <c r="X23" s="48">
        <f t="shared" si="3"/>
        <v>0</v>
      </c>
      <c r="Y23" s="7">
        <f t="shared" si="3"/>
        <v>0</v>
      </c>
      <c r="Z23" s="18">
        <f t="shared" si="3"/>
        <v>2117.7600000000002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#DIV/0!</v>
      </c>
      <c r="AH23" s="69" t="e">
        <f t="shared" si="4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I3" sqref="I3:I5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73</v>
      </c>
      <c r="C16" s="5" t="s">
        <v>74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73</v>
      </c>
      <c r="C22" s="5" t="s">
        <v>74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O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73</v>
      </c>
      <c r="C16" s="5" t="s">
        <v>74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08" t="s">
        <v>53</v>
      </c>
      <c r="C18" s="108"/>
      <c r="D18" s="108"/>
      <c r="E18" s="108"/>
      <c r="F18" s="108"/>
      <c r="G18" s="108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73</v>
      </c>
      <c r="C22" s="5" t="s">
        <v>74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08" t="s">
        <v>53</v>
      </c>
      <c r="C24" s="108"/>
      <c r="D24" s="108"/>
      <c r="E24" s="108"/>
      <c r="F24" s="108"/>
      <c r="G24" s="108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P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  <row r="11" spans="1:42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2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2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  <c r="AP13" s="70" t="s">
        <v>67</v>
      </c>
    </row>
    <row r="14" spans="1:42" ht="15">
      <c r="A14" s="5">
        <v>1</v>
      </c>
      <c r="B14" s="75" t="s">
        <v>75</v>
      </c>
      <c r="C14" s="5" t="s">
        <v>76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  <c r="AP14" s="81">
        <v>1000000005</v>
      </c>
    </row>
    <row r="15" spans="1:42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  <c r="AP15" s="18"/>
    </row>
    <row r="16" spans="1:42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2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2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  <c r="AP18" s="70" t="s">
        <v>67</v>
      </c>
    </row>
    <row r="19" spans="1:42" ht="15">
      <c r="A19" s="5">
        <v>1</v>
      </c>
      <c r="B19" s="75" t="s">
        <v>73</v>
      </c>
      <c r="C19" s="5" t="s">
        <v>74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  <c r="AP19" s="81">
        <v>1000000005</v>
      </c>
    </row>
    <row r="20" spans="1:42" ht="15">
      <c r="A20" s="5">
        <v>2</v>
      </c>
      <c r="B20" s="75" t="s">
        <v>75</v>
      </c>
      <c r="C20" s="5" t="s">
        <v>76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  <c r="AP20" s="81">
        <v>1000000005</v>
      </c>
    </row>
    <row r="21" spans="1:42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45.57</v>
      </c>
      <c r="W21" s="48">
        <f t="shared" si="5"/>
        <v>45.57</v>
      </c>
      <c r="X21" s="48">
        <f t="shared" si="5"/>
        <v>0</v>
      </c>
      <c r="Y21" s="7">
        <f t="shared" si="5"/>
        <v>91.14</v>
      </c>
      <c r="Z21" s="18">
        <f t="shared" si="5"/>
        <v>1914.01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  <c r="AP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08" t="s">
        <v>53</v>
      </c>
      <c r="C15" s="108"/>
      <c r="D15" s="108"/>
      <c r="E15" s="108"/>
      <c r="F15" s="108"/>
      <c r="G15" s="108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08" t="s">
        <v>53</v>
      </c>
      <c r="C21" s="108"/>
      <c r="D21" s="108"/>
      <c r="E21" s="108"/>
      <c r="F21" s="108"/>
      <c r="G21" s="108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C24" sqref="C2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>
  <dimension ref="A1:Z5"/>
  <sheetViews>
    <sheetView showGridLines="0" workbookViewId="0">
      <selection activeCell="D23" sqref="D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26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</sheetData>
  <mergeCells count="2">
    <mergeCell ref="A1:Z1"/>
    <mergeCell ref="B5:G5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6" t="s">
        <v>53</v>
      </c>
      <c r="C5" s="106"/>
      <c r="D5" s="106"/>
      <c r="E5" s="106"/>
      <c r="F5" s="106"/>
      <c r="G5" s="106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08" t="s">
        <v>53</v>
      </c>
      <c r="C10" s="108"/>
      <c r="D10" s="108"/>
      <c r="E10" s="108"/>
      <c r="F10" s="108"/>
      <c r="G10" s="108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>
        <f t="shared" si="1"/>
        <v>0</v>
      </c>
      <c r="AH10" s="69" t="e">
        <f t="shared" si="1"/>
        <v>#REF!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63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L11" sqref="AL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36</v>
      </c>
      <c r="G11" s="23">
        <f>ROUND(G5/AL11,2)</f>
        <v>33.33</v>
      </c>
      <c r="H11" s="72">
        <f>F11*G11</f>
        <v>1199.8799999999999</v>
      </c>
      <c r="I11" s="72">
        <v>3</v>
      </c>
      <c r="J11" s="72">
        <v>2</v>
      </c>
      <c r="K11" s="72">
        <v>1</v>
      </c>
      <c r="L11" s="72">
        <f>H11</f>
        <v>1199.8799999999999</v>
      </c>
      <c r="M11" s="72">
        <f>ROUND(L11*I11%,2)</f>
        <v>36</v>
      </c>
      <c r="N11" s="72">
        <f>H11-M11</f>
        <v>1163.8799999999999</v>
      </c>
      <c r="O11" s="72">
        <f>ROUND(N11*J11%,2)</f>
        <v>23.28</v>
      </c>
      <c r="P11" s="72">
        <f>ROUND(N11-O11,2)</f>
        <v>1140.5999999999999</v>
      </c>
      <c r="Q11" s="72">
        <f>ROUND(P11*K11%,2)</f>
        <v>11.41</v>
      </c>
      <c r="R11" s="72">
        <f>M11+O11+Q11</f>
        <v>70.69</v>
      </c>
      <c r="S11" s="72">
        <f>(H11-R11)</f>
        <v>1129.1899999999998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203.25</v>
      </c>
      <c r="Y11" s="72">
        <f>IF($C$8=4,ROUND(((S11*U11)/(2*100)),2),0)</f>
        <v>0</v>
      </c>
      <c r="Z11" s="72">
        <v>4</v>
      </c>
      <c r="AA11" s="23">
        <f>IF($C9=3,0,(S11*Z11)/100)</f>
        <v>45.167599999999993</v>
      </c>
      <c r="AB11" s="23">
        <f>V11+W11+X11+Y11+AA11</f>
        <v>248.41759999999999</v>
      </c>
      <c r="AC11" s="72">
        <f>IF($V9=1,S11+AB11,S11)</f>
        <v>1129.1899999999998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56459.499999999993</v>
      </c>
      <c r="AJ11" s="72">
        <f>IF($C$8=3,0,AG11+AH11)</f>
        <v>0</v>
      </c>
      <c r="AK11" s="72">
        <f>IF($C$8=3,AE11+AG11+AH11,0)</f>
        <v>0</v>
      </c>
      <c r="AL11" s="72">
        <v>6</v>
      </c>
      <c r="AM11" s="72">
        <f>F11/AL11</f>
        <v>6</v>
      </c>
      <c r="AN11" s="72">
        <f>AI11/AM11</f>
        <v>9409.9166666666661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9409.9166666666661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1949.8799999999999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Y1" workbookViewId="0">
      <selection activeCell="AJ20" sqref="AJ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C1" workbookViewId="0">
      <selection activeCell="AL12" sqref="AL12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72">
        <v>0</v>
      </c>
      <c r="AB10" s="72"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72">
        <v>0</v>
      </c>
      <c r="AB11" s="72">
        <v>0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J15" sqref="AJ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E16" sqref="E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08" t="s">
        <v>53</v>
      </c>
      <c r="C12" s="108"/>
      <c r="D12" s="108"/>
      <c r="E12" s="108"/>
      <c r="F12" s="108"/>
      <c r="G12" s="108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O5"/>
  <sheetViews>
    <sheetView showGridLines="0" topLeftCell="U1" workbookViewId="0">
      <selection activeCell="Y10" sqref="Y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3" t="s">
        <v>77</v>
      </c>
      <c r="C4" s="5" t="s">
        <v>77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08" t="s">
        <v>53</v>
      </c>
      <c r="C5" s="108"/>
      <c r="D5" s="108"/>
      <c r="E5" s="108"/>
      <c r="F5" s="108"/>
      <c r="G5" s="108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/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U14"/>
  <sheetViews>
    <sheetView showGridLines="0" topLeftCell="O1" workbookViewId="0">
      <selection activeCell="D20" sqref="D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7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7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188.21833333333333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7" ht="15" thickBot="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1752.1799999999998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1752.1799999999998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5</v>
      </c>
      <c r="V10" s="72">
        <f>IF(OR($C$8=1,$C$8=4),ROUND(((S10*U10)/2),2),0)</f>
        <v>0</v>
      </c>
      <c r="W10" s="72">
        <f>IF($C$8=1,ROUND(((S10*U10)/2),2),0)</f>
        <v>0</v>
      </c>
      <c r="X10" s="72">
        <f>IF($C$8=2,ROUND(((S10*U10)),2),0)</f>
        <v>0</v>
      </c>
      <c r="Y10" s="72">
        <f>IF($C$8=4,ROUND(((S10*U10)/2),2),0)</f>
        <v>0</v>
      </c>
      <c r="Z10" s="9">
        <v>0.06</v>
      </c>
      <c r="AA10" s="72">
        <f>IF($C8=3,0,S10*Z10)</f>
        <v>0</v>
      </c>
      <c r="AB10" s="72">
        <f>V10+W10+X10+Y10+AA10</f>
        <v>0</v>
      </c>
      <c r="AC10" s="72">
        <f>IF($V8=1,S10+AB10,S10)</f>
        <v>622.87</v>
      </c>
      <c r="AD10" s="72">
        <v>120</v>
      </c>
      <c r="AE10" s="72">
        <f>IF($P$8=1,(S10/$S$12)*$E$23,AD10/$AD$12*$E$23)</f>
        <v>0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5</v>
      </c>
      <c r="V11" s="72">
        <f>IF(OR($C$8=1,$C$8=4),ROUND(((S11*U11)/2),2),0)</f>
        <v>0</v>
      </c>
      <c r="W11" s="72">
        <f>IF($C$8=1,ROUND(((S11*U11)/2),2),0)</f>
        <v>0</v>
      </c>
      <c r="X11" s="72">
        <f>IF($C$8=2,ROUND(((S11*U11)),2),0)</f>
        <v>0</v>
      </c>
      <c r="Y11" s="72">
        <f>IF($C$8=4,ROUND(((S11*U11)/2),2),0)</f>
        <v>0</v>
      </c>
      <c r="Z11" s="9">
        <v>0.06</v>
      </c>
      <c r="AA11" s="72">
        <f>IF($C8=3,0,S11*Z11)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IF($P$8=1,(S11/$S$12)*$E$23,AD11/$AD$12*$E$23)</f>
        <v>0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1">SUM(R10:R10)</f>
        <v>127.13</v>
      </c>
      <c r="S12" s="74">
        <f t="shared" si="1"/>
        <v>622.87</v>
      </c>
      <c r="T12" s="7"/>
      <c r="U12" s="7"/>
      <c r="V12" s="48">
        <f t="shared" si="1"/>
        <v>0</v>
      </c>
      <c r="W12" s="48">
        <f t="shared" si="1"/>
        <v>0</v>
      </c>
      <c r="X12" s="48">
        <f t="shared" si="1"/>
        <v>0</v>
      </c>
      <c r="Y12" s="48"/>
      <c r="Z12" s="48"/>
      <c r="AA12" s="48"/>
      <c r="AB12" s="7">
        <f t="shared" ref="AB12:AE12" si="2">SUM(AB10:AB10)</f>
        <v>0</v>
      </c>
      <c r="AC12" s="18">
        <f t="shared" si="2"/>
        <v>622.87</v>
      </c>
      <c r="AD12" s="69">
        <f t="shared" si="2"/>
        <v>120</v>
      </c>
      <c r="AE12" s="69">
        <f t="shared" si="2"/>
        <v>0</v>
      </c>
      <c r="AF12" s="18"/>
      <c r="AG12" s="69">
        <f t="shared" ref="AG12:AK12" si="3">SUM(AG10:AG10)</f>
        <v>0</v>
      </c>
      <c r="AH12" s="69">
        <f t="shared" si="3"/>
        <v>0</v>
      </c>
      <c r="AI12" s="69">
        <f t="shared" si="3"/>
        <v>31143.5</v>
      </c>
      <c r="AJ12" s="69">
        <f t="shared" si="3"/>
        <v>0</v>
      </c>
      <c r="AK12" s="69">
        <f t="shared" si="3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  <row r="14" spans="1:47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3" workbookViewId="0">
      <selection activeCell="F19" sqref="F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IF($C9=3,0,(S11*Z11)/100)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8" sqref="F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S1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U18" sqref="U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M1" workbookViewId="0">
      <selection activeCell="V9" sqref="V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Y19" sqref="Y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5" t="s">
        <v>61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8" sqref="C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I18" sqref="I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.75" thickBot="1">
      <c r="A2" s="95" t="s">
        <v>61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0" sqref="F10:H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47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6" t="s">
        <v>53</v>
      </c>
      <c r="C6" s="106"/>
      <c r="D6" s="106"/>
      <c r="E6" s="106"/>
      <c r="F6" s="106"/>
      <c r="G6" s="106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7.xml><?xml version="1.0" encoding="utf-8"?>
<worksheet xmlns="http://schemas.openxmlformats.org/spreadsheetml/2006/main" xmlns:r="http://schemas.openxmlformats.org/officeDocument/2006/relationships">
  <dimension ref="A7:AU13"/>
  <sheetViews>
    <sheetView showGridLines="0" workbookViewId="0">
      <selection activeCell="A7" sqref="A7:XFD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</sheetData>
  <mergeCells count="1">
    <mergeCell ref="A8:B8"/>
  </mergeCells>
  <pageMargins left="0.7" right="0.7" top="0.75" bottom="0.75" header="0.3" footer="0.3"/>
  <pageSetup orientation="portrait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O1" workbookViewId="0">
      <selection activeCell="V10" sqref="V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Q1" workbookViewId="0">
      <selection activeCell="V14" sqref="V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D13" sqref="D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X15" sqref="X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17" sqref="B1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U14" sqref="U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A20" sqref="A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U6" sqref="U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1" sqref="F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I15" sqref="I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4" sqref="F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8" sqref="B8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14.28515625" style="2"/>
    <col min="45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08" t="s">
        <v>53</v>
      </c>
      <c r="C6" s="108"/>
      <c r="D6" s="108"/>
      <c r="E6" s="108"/>
      <c r="F6" s="108"/>
      <c r="G6" s="108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J5" sqref="J5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83</v>
      </c>
      <c r="C4" s="30" t="s">
        <v>84</v>
      </c>
      <c r="D4" s="30" t="s">
        <v>51</v>
      </c>
      <c r="E4" s="30" t="s">
        <v>51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85</v>
      </c>
      <c r="C5" s="30" t="s">
        <v>86</v>
      </c>
      <c r="D5" s="30" t="s">
        <v>51</v>
      </c>
      <c r="E5" s="30" t="s">
        <v>51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87</v>
      </c>
      <c r="C6" s="30" t="s">
        <v>88</v>
      </c>
      <c r="D6" s="30" t="s">
        <v>51</v>
      </c>
      <c r="E6" s="30" t="s">
        <v>51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89</v>
      </c>
      <c r="C7" s="30" t="s">
        <v>90</v>
      </c>
      <c r="D7" s="30" t="s">
        <v>51</v>
      </c>
      <c r="E7" s="30" t="s">
        <v>51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91</v>
      </c>
      <c r="C8" s="30" t="s">
        <v>92</v>
      </c>
      <c r="D8" s="30" t="s">
        <v>51</v>
      </c>
      <c r="E8" s="30" t="s">
        <v>51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93</v>
      </c>
      <c r="C9" s="30" t="s">
        <v>94</v>
      </c>
      <c r="D9" s="30" t="s">
        <v>51</v>
      </c>
      <c r="E9" s="30" t="s">
        <v>51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95</v>
      </c>
      <c r="C10" s="30" t="s">
        <v>96</v>
      </c>
      <c r="D10" s="30" t="s">
        <v>51</v>
      </c>
      <c r="E10" s="30" t="s">
        <v>51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97</v>
      </c>
      <c r="C11" s="30" t="s">
        <v>98</v>
      </c>
      <c r="D11" s="30" t="s">
        <v>51</v>
      </c>
      <c r="E11" s="30" t="s">
        <v>51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99</v>
      </c>
      <c r="C12" s="30" t="s">
        <v>100</v>
      </c>
      <c r="D12" s="30" t="s">
        <v>51</v>
      </c>
      <c r="E12" s="30" t="s">
        <v>51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101</v>
      </c>
      <c r="C13" s="30" t="s">
        <v>102</v>
      </c>
      <c r="D13" s="30" t="s">
        <v>51</v>
      </c>
      <c r="E13" s="30" t="s">
        <v>51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103</v>
      </c>
      <c r="C14" s="30" t="s">
        <v>104</v>
      </c>
      <c r="D14" s="30" t="s">
        <v>51</v>
      </c>
      <c r="E14" s="30" t="s">
        <v>51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105</v>
      </c>
      <c r="C15" s="30" t="s">
        <v>106</v>
      </c>
      <c r="D15" s="30" t="s">
        <v>51</v>
      </c>
      <c r="E15" s="30" t="s">
        <v>51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107</v>
      </c>
      <c r="C16" s="30" t="s">
        <v>108</v>
      </c>
      <c r="D16" s="30" t="s">
        <v>51</v>
      </c>
      <c r="E16" s="30" t="s">
        <v>51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109</v>
      </c>
      <c r="C17" s="30" t="s">
        <v>110</v>
      </c>
      <c r="D17" s="30" t="s">
        <v>51</v>
      </c>
      <c r="E17" s="30" t="s">
        <v>51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111</v>
      </c>
      <c r="C18" s="35" t="s">
        <v>112</v>
      </c>
      <c r="D18" s="35" t="s">
        <v>51</v>
      </c>
      <c r="E18" s="35" t="s">
        <v>51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106" t="s">
        <v>53</v>
      </c>
      <c r="C19" s="106"/>
      <c r="D19" s="106"/>
      <c r="E19" s="106"/>
      <c r="F19" s="106"/>
      <c r="G19" s="106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107" t="s">
        <v>1</v>
      </c>
      <c r="B21" s="107"/>
      <c r="C21" s="42">
        <v>2</v>
      </c>
      <c r="D21" s="43" t="s">
        <v>2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8</v>
      </c>
      <c r="B22" s="44" t="s">
        <v>9</v>
      </c>
      <c r="C22" s="45" t="s">
        <v>10</v>
      </c>
      <c r="D22" s="44" t="s">
        <v>11</v>
      </c>
      <c r="E22" s="44" t="s">
        <v>12</v>
      </c>
      <c r="F22" s="46" t="s">
        <v>13</v>
      </c>
      <c r="G22" s="44" t="s">
        <v>14</v>
      </c>
      <c r="H22" s="44" t="s">
        <v>15</v>
      </c>
      <c r="I22" s="58" t="s">
        <v>16</v>
      </c>
      <c r="J22" s="58" t="s">
        <v>17</v>
      </c>
      <c r="K22" s="58" t="s">
        <v>18</v>
      </c>
      <c r="L22" s="59" t="s">
        <v>19</v>
      </c>
      <c r="M22" s="59" t="s">
        <v>20</v>
      </c>
      <c r="N22" s="59" t="s">
        <v>21</v>
      </c>
      <c r="O22" s="59" t="s">
        <v>22</v>
      </c>
      <c r="P22" s="59" t="s">
        <v>23</v>
      </c>
      <c r="Q22" s="59" t="s">
        <v>24</v>
      </c>
      <c r="R22" s="58" t="s">
        <v>25</v>
      </c>
      <c r="S22" s="44" t="s">
        <v>26</v>
      </c>
      <c r="T22" s="44" t="s">
        <v>27</v>
      </c>
      <c r="U22" s="63" t="s">
        <v>28</v>
      </c>
      <c r="V22" s="63" t="s">
        <v>29</v>
      </c>
      <c r="W22" s="63" t="s">
        <v>30</v>
      </c>
      <c r="X22" s="63" t="s">
        <v>31</v>
      </c>
      <c r="Y22" s="63" t="s">
        <v>32</v>
      </c>
      <c r="Z22" s="67" t="s">
        <v>33</v>
      </c>
      <c r="AA22" s="67" t="s">
        <v>34</v>
      </c>
      <c r="AB22" s="68" t="s">
        <v>35</v>
      </c>
      <c r="AC22" s="68" t="s">
        <v>36</v>
      </c>
      <c r="AD22" s="68" t="s">
        <v>37</v>
      </c>
      <c r="AE22" s="67" t="s">
        <v>38</v>
      </c>
      <c r="AF22" s="67" t="s">
        <v>39</v>
      </c>
      <c r="AG22" s="68" t="s">
        <v>40</v>
      </c>
      <c r="AH22" s="68" t="s">
        <v>41</v>
      </c>
      <c r="AI22" s="67" t="s">
        <v>42</v>
      </c>
      <c r="AJ22" s="67" t="s">
        <v>43</v>
      </c>
      <c r="AK22" s="68" t="s">
        <v>44</v>
      </c>
      <c r="AL22" s="68" t="s">
        <v>45</v>
      </c>
      <c r="AM22" s="68" t="s">
        <v>46</v>
      </c>
      <c r="AN22" s="67" t="s">
        <v>47</v>
      </c>
      <c r="AO22" s="70" t="s">
        <v>48</v>
      </c>
    </row>
    <row r="23" spans="1:41">
      <c r="A23" s="5">
        <v>1</v>
      </c>
      <c r="B23" s="5" t="s">
        <v>83</v>
      </c>
      <c r="C23" s="5" t="s">
        <v>84</v>
      </c>
      <c r="D23" s="5" t="s">
        <v>51</v>
      </c>
      <c r="E23" s="5" t="s">
        <v>51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52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51</v>
      </c>
      <c r="AO23" s="23">
        <f>AK23+AL23+AM23</f>
        <v>259.04122471042501</v>
      </c>
    </row>
    <row r="24" spans="1:41">
      <c r="A24" s="5">
        <v>2</v>
      </c>
      <c r="B24" s="5" t="s">
        <v>85</v>
      </c>
      <c r="C24" s="5" t="s">
        <v>86</v>
      </c>
      <c r="D24" s="5" t="s">
        <v>51</v>
      </c>
      <c r="E24" s="5" t="s">
        <v>51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52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51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87</v>
      </c>
      <c r="C25" s="5" t="s">
        <v>88</v>
      </c>
      <c r="D25" s="5" t="s">
        <v>51</v>
      </c>
      <c r="E25" s="5" t="s">
        <v>51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52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51</v>
      </c>
      <c r="AO25" s="23">
        <f t="shared" si="24"/>
        <v>142.348906048906</v>
      </c>
    </row>
    <row r="26" spans="1:41">
      <c r="A26" s="5">
        <v>4</v>
      </c>
      <c r="B26" s="5" t="s">
        <v>89</v>
      </c>
      <c r="C26" s="5" t="s">
        <v>90</v>
      </c>
      <c r="D26" s="5" t="s">
        <v>51</v>
      </c>
      <c r="E26" s="5" t="s">
        <v>51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52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51</v>
      </c>
      <c r="AO26" s="23">
        <f t="shared" si="24"/>
        <v>72.754755352755396</v>
      </c>
    </row>
    <row r="27" spans="1:41">
      <c r="A27" s="5">
        <v>5</v>
      </c>
      <c r="B27" s="5" t="s">
        <v>91</v>
      </c>
      <c r="C27" s="5" t="s">
        <v>92</v>
      </c>
      <c r="D27" s="5" t="s">
        <v>51</v>
      </c>
      <c r="E27" s="5" t="s">
        <v>51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52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51</v>
      </c>
      <c r="AO27" s="23">
        <f t="shared" si="24"/>
        <v>61.433183826683802</v>
      </c>
    </row>
    <row r="28" spans="1:41">
      <c r="A28" s="5">
        <v>6</v>
      </c>
      <c r="B28" s="5" t="s">
        <v>93</v>
      </c>
      <c r="C28" s="5" t="s">
        <v>94</v>
      </c>
      <c r="D28" s="5" t="s">
        <v>51</v>
      </c>
      <c r="E28" s="5" t="s">
        <v>51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113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51</v>
      </c>
      <c r="AO28" s="23">
        <f t="shared" si="24"/>
        <v>142.261217160017</v>
      </c>
    </row>
    <row r="29" spans="1:41">
      <c r="A29" s="5">
        <v>7</v>
      </c>
      <c r="B29" s="5" t="s">
        <v>95</v>
      </c>
      <c r="C29" s="5" t="s">
        <v>96</v>
      </c>
      <c r="D29" s="5" t="s">
        <v>51</v>
      </c>
      <c r="E29" s="5" t="s">
        <v>51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113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51</v>
      </c>
      <c r="AO29" s="23">
        <f t="shared" si="24"/>
        <v>213.28899292149299</v>
      </c>
    </row>
    <row r="30" spans="1:41">
      <c r="A30" s="5">
        <v>8</v>
      </c>
      <c r="B30" s="5" t="s">
        <v>97</v>
      </c>
      <c r="C30" s="5" t="s">
        <v>98</v>
      </c>
      <c r="D30" s="5" t="s">
        <v>51</v>
      </c>
      <c r="E30" s="5" t="s">
        <v>51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113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51</v>
      </c>
      <c r="AO30" s="23">
        <f t="shared" si="24"/>
        <v>148.59141055341101</v>
      </c>
    </row>
    <row r="31" spans="1:41">
      <c r="A31" s="5">
        <v>9</v>
      </c>
      <c r="B31" s="5" t="s">
        <v>99</v>
      </c>
      <c r="C31" s="5" t="s">
        <v>100</v>
      </c>
      <c r="D31" s="5" t="s">
        <v>51</v>
      </c>
      <c r="E31" s="5" t="s">
        <v>51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113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51</v>
      </c>
      <c r="AO31" s="23">
        <f t="shared" si="24"/>
        <v>153.64488236808199</v>
      </c>
    </row>
    <row r="32" spans="1:41">
      <c r="A32" s="5">
        <v>10</v>
      </c>
      <c r="B32" s="5" t="s">
        <v>101</v>
      </c>
      <c r="C32" s="5" t="s">
        <v>102</v>
      </c>
      <c r="D32" s="5" t="s">
        <v>51</v>
      </c>
      <c r="E32" s="5" t="s">
        <v>51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113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51</v>
      </c>
      <c r="AO32" s="23">
        <f t="shared" si="24"/>
        <v>114.76432248575099</v>
      </c>
    </row>
    <row r="33" spans="1:41">
      <c r="A33" s="5">
        <v>11</v>
      </c>
      <c r="B33" s="5" t="s">
        <v>103</v>
      </c>
      <c r="C33" s="5" t="s">
        <v>104</v>
      </c>
      <c r="D33" s="5" t="s">
        <v>51</v>
      </c>
      <c r="E33" s="5" t="s">
        <v>51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114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51</v>
      </c>
      <c r="AO33" s="23">
        <f t="shared" si="24"/>
        <v>110.608138717868</v>
      </c>
    </row>
    <row r="34" spans="1:41">
      <c r="A34" s="5">
        <v>12</v>
      </c>
      <c r="B34" s="5" t="s">
        <v>105</v>
      </c>
      <c r="C34" s="5" t="s">
        <v>106</v>
      </c>
      <c r="D34" s="5" t="s">
        <v>51</v>
      </c>
      <c r="E34" s="5" t="s">
        <v>51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114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51</v>
      </c>
      <c r="AO34" s="23">
        <f t="shared" si="24"/>
        <v>112.171558261558</v>
      </c>
    </row>
    <row r="35" spans="1:41">
      <c r="A35" s="5">
        <v>13</v>
      </c>
      <c r="B35" s="5" t="s">
        <v>107</v>
      </c>
      <c r="C35" s="5" t="s">
        <v>108</v>
      </c>
      <c r="D35" s="5" t="s">
        <v>51</v>
      </c>
      <c r="E35" s="5" t="s">
        <v>51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114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51</v>
      </c>
      <c r="AO35" s="23">
        <f t="shared" si="24"/>
        <v>124.435309983453</v>
      </c>
    </row>
    <row r="36" spans="1:41">
      <c r="A36" s="5">
        <v>14</v>
      </c>
      <c r="B36" s="5" t="s">
        <v>109</v>
      </c>
      <c r="C36" s="5" t="s">
        <v>110</v>
      </c>
      <c r="D36" s="5" t="s">
        <v>51</v>
      </c>
      <c r="E36" s="5" t="s">
        <v>51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115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51</v>
      </c>
      <c r="AO36" s="23">
        <f t="shared" si="24"/>
        <v>116.753717760618</v>
      </c>
    </row>
    <row r="37" spans="1:41">
      <c r="A37" s="5">
        <v>15</v>
      </c>
      <c r="B37" s="5" t="s">
        <v>111</v>
      </c>
      <c r="C37" s="5" t="s">
        <v>112</v>
      </c>
      <c r="D37" s="5" t="s">
        <v>51</v>
      </c>
      <c r="E37" s="5" t="s">
        <v>51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115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51</v>
      </c>
      <c r="AO37" s="23">
        <f t="shared" si="24"/>
        <v>76.097189794836893</v>
      </c>
    </row>
    <row r="38" spans="1:41">
      <c r="B38" s="108" t="s">
        <v>53</v>
      </c>
      <c r="C38" s="108"/>
      <c r="D38" s="108"/>
      <c r="E38" s="108"/>
      <c r="F38" s="108"/>
      <c r="G38" s="108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116</v>
      </c>
    </row>
    <row r="41" spans="1:41" ht="15">
      <c r="B41" t="s">
        <v>117</v>
      </c>
      <c r="C41" t="s">
        <v>118</v>
      </c>
      <c r="D41" s="2" t="s">
        <v>119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109"/>
      <c r="J45" s="109"/>
      <c r="K45" s="10"/>
      <c r="Q45"/>
      <c r="R45"/>
      <c r="S45"/>
    </row>
    <row r="46" spans="1:41" ht="15">
      <c r="B46" s="49" t="s">
        <v>120</v>
      </c>
      <c r="C46" s="53">
        <v>69745.39</v>
      </c>
      <c r="D46" s="54">
        <f>SUM(D42:D45)</f>
        <v>11340.6548</v>
      </c>
      <c r="H46" s="52"/>
      <c r="I46" s="109"/>
      <c r="J46" s="109"/>
      <c r="Q46"/>
      <c r="R46"/>
      <c r="S46"/>
    </row>
    <row r="47" spans="1:41" ht="15">
      <c r="H47" s="52"/>
      <c r="I47" s="109"/>
      <c r="J47" s="109"/>
      <c r="Q47"/>
      <c r="R47"/>
      <c r="S47"/>
    </row>
    <row r="48" spans="1:41" ht="15">
      <c r="G48" s="110"/>
      <c r="H48" s="110"/>
      <c r="I48" s="109"/>
      <c r="J48" s="109"/>
      <c r="Q48"/>
      <c r="R48"/>
      <c r="S48"/>
    </row>
    <row r="49" spans="2:23" ht="15">
      <c r="B49" s="2" t="s">
        <v>35</v>
      </c>
      <c r="E49" s="2">
        <v>15000</v>
      </c>
      <c r="G49" s="110"/>
      <c r="H49" s="110"/>
      <c r="I49" s="109"/>
      <c r="J49" s="109"/>
      <c r="Q49"/>
      <c r="R49"/>
      <c r="S49"/>
    </row>
    <row r="50" spans="2:23" ht="15">
      <c r="B50" s="2" t="s">
        <v>31</v>
      </c>
      <c r="N50"/>
      <c r="O50"/>
      <c r="P50"/>
      <c r="Q50"/>
      <c r="R50"/>
      <c r="S50"/>
    </row>
    <row r="51" spans="2:23" ht="15">
      <c r="B51" s="2" t="s">
        <v>37</v>
      </c>
      <c r="E51" s="2">
        <v>10000</v>
      </c>
      <c r="N51"/>
      <c r="O51"/>
      <c r="P51"/>
      <c r="Q51"/>
      <c r="R51"/>
      <c r="S51"/>
    </row>
    <row r="52" spans="2:23" ht="15">
      <c r="B52" s="2" t="s">
        <v>38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8</v>
      </c>
      <c r="C57" s="26" t="s">
        <v>9</v>
      </c>
      <c r="D57" s="27" t="s">
        <v>10</v>
      </c>
      <c r="E57" s="27" t="s">
        <v>121</v>
      </c>
      <c r="F57" s="27" t="s">
        <v>122</v>
      </c>
      <c r="G57" s="26" t="s">
        <v>123</v>
      </c>
      <c r="H57" s="26" t="s">
        <v>47</v>
      </c>
      <c r="I57" s="60" t="s">
        <v>124</v>
      </c>
      <c r="J57" s="60" t="s">
        <v>125</v>
      </c>
      <c r="K57" s="61" t="s">
        <v>126</v>
      </c>
      <c r="L57" s="61" t="s">
        <v>127</v>
      </c>
      <c r="M57" s="60" t="s">
        <v>128</v>
      </c>
      <c r="N57" s="60" t="s">
        <v>129</v>
      </c>
      <c r="O57" s="60" t="s">
        <v>130</v>
      </c>
      <c r="P57" s="60" t="s">
        <v>131</v>
      </c>
      <c r="Q57" s="60" t="s">
        <v>132</v>
      </c>
      <c r="R57" s="60" t="s">
        <v>133</v>
      </c>
      <c r="S57" s="60" t="s">
        <v>134</v>
      </c>
      <c r="T57" s="61" t="s">
        <v>135</v>
      </c>
      <c r="U57" s="61" t="s">
        <v>136</v>
      </c>
      <c r="V57" s="61" t="s">
        <v>137</v>
      </c>
      <c r="W57" s="64"/>
    </row>
    <row r="58" spans="2:23" ht="15">
      <c r="B58" s="29">
        <v>1</v>
      </c>
      <c r="C58" s="30" t="s">
        <v>83</v>
      </c>
      <c r="D58" s="30" t="s">
        <v>84</v>
      </c>
      <c r="E58" s="30"/>
      <c r="F58" s="30"/>
      <c r="G58" s="30" t="s">
        <v>138</v>
      </c>
      <c r="H58" s="30" t="s">
        <v>51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139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85</v>
      </c>
      <c r="D59" s="30" t="s">
        <v>86</v>
      </c>
      <c r="E59" s="30"/>
      <c r="F59" s="30"/>
      <c r="G59" s="30" t="s">
        <v>138</v>
      </c>
      <c r="H59" s="30" t="s">
        <v>51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87</v>
      </c>
      <c r="D60" s="30" t="s">
        <v>88</v>
      </c>
      <c r="E60" s="30"/>
      <c r="F60" s="30"/>
      <c r="G60" s="30" t="s">
        <v>138</v>
      </c>
      <c r="H60" s="30" t="s">
        <v>51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89</v>
      </c>
      <c r="D61" s="30" t="s">
        <v>90</v>
      </c>
      <c r="E61" s="30"/>
      <c r="F61" s="30"/>
      <c r="G61" s="30" t="s">
        <v>138</v>
      </c>
      <c r="H61" s="30" t="s">
        <v>51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91</v>
      </c>
      <c r="D62" s="30" t="s">
        <v>92</v>
      </c>
      <c r="E62" s="30"/>
      <c r="F62" s="30"/>
      <c r="G62" s="30" t="s">
        <v>138</v>
      </c>
      <c r="H62" s="30" t="s">
        <v>51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93</v>
      </c>
      <c r="D63" s="30" t="s">
        <v>94</v>
      </c>
      <c r="E63" s="30"/>
      <c r="F63" s="30"/>
      <c r="G63" s="30" t="s">
        <v>138</v>
      </c>
      <c r="H63" s="30" t="s">
        <v>51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95</v>
      </c>
      <c r="D64" s="30" t="s">
        <v>96</v>
      </c>
      <c r="E64" s="30"/>
      <c r="F64" s="30"/>
      <c r="G64" s="30" t="s">
        <v>138</v>
      </c>
      <c r="H64" s="30" t="s">
        <v>51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97</v>
      </c>
      <c r="D65" s="30" t="s">
        <v>98</v>
      </c>
      <c r="E65" s="30"/>
      <c r="F65" s="30"/>
      <c r="G65" s="30" t="s">
        <v>138</v>
      </c>
      <c r="H65" s="30" t="s">
        <v>51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99</v>
      </c>
      <c r="D66" s="30" t="s">
        <v>100</v>
      </c>
      <c r="E66" s="30"/>
      <c r="F66" s="30"/>
      <c r="G66" s="30" t="s">
        <v>138</v>
      </c>
      <c r="H66" s="30" t="s">
        <v>51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101</v>
      </c>
      <c r="D67" s="30" t="s">
        <v>102</v>
      </c>
      <c r="E67" s="30"/>
      <c r="F67" s="30"/>
      <c r="G67" s="30" t="s">
        <v>138</v>
      </c>
      <c r="H67" s="30" t="s">
        <v>51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103</v>
      </c>
      <c r="D68" s="30" t="s">
        <v>104</v>
      </c>
      <c r="E68" s="30"/>
      <c r="F68" s="30"/>
      <c r="G68" s="30" t="s">
        <v>138</v>
      </c>
      <c r="H68" s="30" t="s">
        <v>51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105</v>
      </c>
      <c r="D69" s="30" t="s">
        <v>106</v>
      </c>
      <c r="E69" s="30"/>
      <c r="F69" s="30"/>
      <c r="G69" s="30" t="s">
        <v>138</v>
      </c>
      <c r="H69" s="30" t="s">
        <v>51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107</v>
      </c>
      <c r="D70" s="30" t="s">
        <v>108</v>
      </c>
      <c r="E70" s="30"/>
      <c r="F70" s="30"/>
      <c r="G70" s="30" t="s">
        <v>138</v>
      </c>
      <c r="H70" s="30" t="s">
        <v>51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109</v>
      </c>
      <c r="D71" s="30" t="s">
        <v>110</v>
      </c>
      <c r="E71" s="30"/>
      <c r="F71" s="30"/>
      <c r="G71" s="30" t="s">
        <v>138</v>
      </c>
      <c r="H71" s="30" t="s">
        <v>51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111</v>
      </c>
      <c r="D72" s="35" t="s">
        <v>112</v>
      </c>
      <c r="E72" s="35"/>
      <c r="F72" s="35"/>
      <c r="G72" s="35" t="s">
        <v>138</v>
      </c>
      <c r="H72" s="35" t="s">
        <v>51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orientation="portrait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5" t="s">
        <v>60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109</v>
      </c>
      <c r="C4" s="30" t="s">
        <v>110</v>
      </c>
      <c r="D4" s="30" t="s">
        <v>51</v>
      </c>
      <c r="E4" s="30" t="s">
        <v>51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111</v>
      </c>
      <c r="C5" s="35" t="s">
        <v>112</v>
      </c>
      <c r="D5" s="35" t="s">
        <v>51</v>
      </c>
      <c r="E5" s="35" t="s">
        <v>51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106" t="s">
        <v>53</v>
      </c>
      <c r="C6" s="106"/>
      <c r="D6" s="106"/>
      <c r="E6" s="106"/>
      <c r="F6" s="106"/>
      <c r="G6" s="106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5" t="s">
        <v>83</v>
      </c>
      <c r="C10" s="5" t="s">
        <v>84</v>
      </c>
      <c r="D10" s="5" t="s">
        <v>51</v>
      </c>
      <c r="E10" s="5" t="s">
        <v>51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52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51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85</v>
      </c>
      <c r="C11" s="5" t="s">
        <v>86</v>
      </c>
      <c r="D11" s="5" t="s">
        <v>51</v>
      </c>
      <c r="E11" s="5" t="s">
        <v>51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52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51</v>
      </c>
      <c r="AO11" s="23">
        <f t="shared" si="24"/>
        <v>152.716886560029</v>
      </c>
    </row>
    <row r="12" spans="1:41">
      <c r="A12" s="5">
        <v>3</v>
      </c>
      <c r="B12" s="5" t="s">
        <v>87</v>
      </c>
      <c r="C12" s="5" t="s">
        <v>88</v>
      </c>
      <c r="D12" s="5" t="s">
        <v>51</v>
      </c>
      <c r="E12" s="5" t="s">
        <v>51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52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51</v>
      </c>
      <c r="AO12" s="23">
        <f t="shared" si="24"/>
        <v>142.348906048906</v>
      </c>
    </row>
    <row r="13" spans="1:41">
      <c r="A13" s="5">
        <v>4</v>
      </c>
      <c r="B13" s="5" t="s">
        <v>89</v>
      </c>
      <c r="C13" s="5" t="s">
        <v>90</v>
      </c>
      <c r="D13" s="5" t="s">
        <v>51</v>
      </c>
      <c r="E13" s="5" t="s">
        <v>51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52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51</v>
      </c>
      <c r="AO13" s="23">
        <f t="shared" si="24"/>
        <v>72.754755352755396</v>
      </c>
    </row>
    <row r="14" spans="1:41">
      <c r="A14" s="5">
        <v>5</v>
      </c>
      <c r="B14" s="5" t="s">
        <v>91</v>
      </c>
      <c r="C14" s="5" t="s">
        <v>92</v>
      </c>
      <c r="D14" s="5" t="s">
        <v>51</v>
      </c>
      <c r="E14" s="5" t="s">
        <v>51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52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51</v>
      </c>
      <c r="AO14" s="23">
        <f t="shared" si="24"/>
        <v>61.433183826683802</v>
      </c>
    </row>
    <row r="15" spans="1:41">
      <c r="A15" s="5">
        <v>6</v>
      </c>
      <c r="B15" s="5" t="s">
        <v>93</v>
      </c>
      <c r="C15" s="5" t="s">
        <v>94</v>
      </c>
      <c r="D15" s="5" t="s">
        <v>51</v>
      </c>
      <c r="E15" s="5" t="s">
        <v>51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113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51</v>
      </c>
      <c r="AO15" s="23">
        <f t="shared" si="24"/>
        <v>142.261217160017</v>
      </c>
    </row>
    <row r="16" spans="1:41">
      <c r="A16" s="5">
        <v>7</v>
      </c>
      <c r="B16" s="5" t="s">
        <v>95</v>
      </c>
      <c r="C16" s="5" t="s">
        <v>96</v>
      </c>
      <c r="D16" s="5" t="s">
        <v>51</v>
      </c>
      <c r="E16" s="5" t="s">
        <v>51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113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51</v>
      </c>
      <c r="AO16" s="23">
        <f t="shared" si="24"/>
        <v>213.28899292149299</v>
      </c>
    </row>
    <row r="17" spans="1:41">
      <c r="A17" s="5">
        <v>8</v>
      </c>
      <c r="B17" s="5" t="s">
        <v>97</v>
      </c>
      <c r="C17" s="5" t="s">
        <v>98</v>
      </c>
      <c r="D17" s="5" t="s">
        <v>51</v>
      </c>
      <c r="E17" s="5" t="s">
        <v>51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113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51</v>
      </c>
      <c r="AO17" s="23">
        <f t="shared" si="24"/>
        <v>148.59141055341101</v>
      </c>
    </row>
    <row r="18" spans="1:41">
      <c r="A18" s="5">
        <v>9</v>
      </c>
      <c r="B18" s="5" t="s">
        <v>99</v>
      </c>
      <c r="C18" s="5" t="s">
        <v>100</v>
      </c>
      <c r="D18" s="5" t="s">
        <v>51</v>
      </c>
      <c r="E18" s="5" t="s">
        <v>51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113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51</v>
      </c>
      <c r="AO18" s="23">
        <f t="shared" si="24"/>
        <v>153.64488236808199</v>
      </c>
    </row>
    <row r="19" spans="1:41">
      <c r="A19" s="5">
        <v>10</v>
      </c>
      <c r="B19" s="5" t="s">
        <v>101</v>
      </c>
      <c r="C19" s="5" t="s">
        <v>102</v>
      </c>
      <c r="D19" s="5" t="s">
        <v>51</v>
      </c>
      <c r="E19" s="5" t="s">
        <v>51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113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51</v>
      </c>
      <c r="AO19" s="23">
        <f t="shared" si="24"/>
        <v>114.76432248575099</v>
      </c>
    </row>
    <row r="20" spans="1:41">
      <c r="A20" s="5">
        <v>11</v>
      </c>
      <c r="B20" s="5" t="s">
        <v>103</v>
      </c>
      <c r="C20" s="5" t="s">
        <v>104</v>
      </c>
      <c r="D20" s="5" t="s">
        <v>51</v>
      </c>
      <c r="E20" s="5" t="s">
        <v>51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114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51</v>
      </c>
      <c r="AO20" s="23">
        <f t="shared" si="24"/>
        <v>110.608138717868</v>
      </c>
    </row>
    <row r="21" spans="1:41">
      <c r="A21" s="5">
        <v>12</v>
      </c>
      <c r="B21" s="5" t="s">
        <v>105</v>
      </c>
      <c r="C21" s="5" t="s">
        <v>106</v>
      </c>
      <c r="D21" s="5" t="s">
        <v>51</v>
      </c>
      <c r="E21" s="5" t="s">
        <v>51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114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51</v>
      </c>
      <c r="AO21" s="23">
        <f t="shared" si="24"/>
        <v>112.171558261558</v>
      </c>
    </row>
    <row r="22" spans="1:41">
      <c r="A22" s="5">
        <v>13</v>
      </c>
      <c r="B22" s="5" t="s">
        <v>107</v>
      </c>
      <c r="C22" s="5" t="s">
        <v>108</v>
      </c>
      <c r="D22" s="5" t="s">
        <v>51</v>
      </c>
      <c r="E22" s="5" t="s">
        <v>51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114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51</v>
      </c>
      <c r="AO22" s="23">
        <f t="shared" si="24"/>
        <v>124.435309983453</v>
      </c>
    </row>
    <row r="23" spans="1:41">
      <c r="A23" s="5">
        <v>14</v>
      </c>
      <c r="B23" s="5" t="s">
        <v>109</v>
      </c>
      <c r="C23" s="5" t="s">
        <v>110</v>
      </c>
      <c r="D23" s="5" t="s">
        <v>51</v>
      </c>
      <c r="E23" s="5" t="s">
        <v>51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115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51</v>
      </c>
      <c r="AO23" s="23">
        <f t="shared" si="24"/>
        <v>116.753717760618</v>
      </c>
    </row>
    <row r="24" spans="1:41">
      <c r="A24" s="5">
        <v>15</v>
      </c>
      <c r="B24" s="5" t="s">
        <v>111</v>
      </c>
      <c r="C24" s="5" t="s">
        <v>112</v>
      </c>
      <c r="D24" s="5" t="s">
        <v>51</v>
      </c>
      <c r="E24" s="5" t="s">
        <v>51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115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51</v>
      </c>
      <c r="AO24" s="23">
        <f t="shared" si="24"/>
        <v>76.097189794836893</v>
      </c>
    </row>
    <row r="25" spans="1:41">
      <c r="B25" s="108" t="s">
        <v>53</v>
      </c>
      <c r="C25" s="108"/>
      <c r="D25" s="108"/>
      <c r="E25" s="108"/>
      <c r="F25" s="108"/>
      <c r="G25" s="108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116</v>
      </c>
    </row>
    <row r="28" spans="1:41" ht="15">
      <c r="B28" t="s">
        <v>117</v>
      </c>
      <c r="C28" t="s">
        <v>118</v>
      </c>
      <c r="D28" s="2" t="s">
        <v>119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109"/>
      <c r="J32" s="109"/>
      <c r="K32" s="10"/>
      <c r="Q32"/>
      <c r="R32"/>
      <c r="S32"/>
    </row>
    <row r="33" spans="2:23" ht="15">
      <c r="B33" s="49" t="s">
        <v>120</v>
      </c>
      <c r="C33" s="53">
        <v>69745.39</v>
      </c>
      <c r="D33" s="54">
        <f>SUM(D29:D32)</f>
        <v>11340.6548</v>
      </c>
      <c r="H33" s="52"/>
      <c r="I33" s="109"/>
      <c r="J33" s="109"/>
      <c r="Q33"/>
      <c r="R33"/>
      <c r="S33"/>
    </row>
    <row r="34" spans="2:23" ht="15">
      <c r="H34" s="52"/>
      <c r="I34" s="109"/>
      <c r="J34" s="109"/>
      <c r="Q34"/>
      <c r="R34"/>
      <c r="S34"/>
    </row>
    <row r="35" spans="2:23" ht="15">
      <c r="G35" s="110"/>
      <c r="H35" s="110"/>
      <c r="I35" s="109"/>
      <c r="J35" s="109"/>
      <c r="Q35"/>
      <c r="R35"/>
      <c r="S35"/>
    </row>
    <row r="36" spans="2:23" ht="15">
      <c r="B36" s="2" t="s">
        <v>35</v>
      </c>
      <c r="E36" s="2">
        <v>15000</v>
      </c>
      <c r="G36" s="110"/>
      <c r="H36" s="110"/>
      <c r="I36" s="109"/>
      <c r="J36" s="109"/>
      <c r="Q36"/>
      <c r="R36"/>
      <c r="S36"/>
    </row>
    <row r="37" spans="2:23" ht="15">
      <c r="B37" s="2" t="s">
        <v>31</v>
      </c>
      <c r="N37"/>
      <c r="O37"/>
      <c r="P37"/>
      <c r="Q37"/>
      <c r="R37"/>
      <c r="S37"/>
    </row>
    <row r="38" spans="2:23" ht="15">
      <c r="B38" s="2" t="s">
        <v>37</v>
      </c>
      <c r="E38" s="2">
        <v>10000</v>
      </c>
      <c r="N38"/>
      <c r="O38"/>
      <c r="P38"/>
      <c r="Q38"/>
      <c r="R38"/>
      <c r="S38"/>
    </row>
    <row r="39" spans="2:23" ht="15">
      <c r="B39" s="2" t="s">
        <v>38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8</v>
      </c>
      <c r="C44" s="26" t="s">
        <v>9</v>
      </c>
      <c r="D44" s="27" t="s">
        <v>10</v>
      </c>
      <c r="E44" s="27" t="s">
        <v>121</v>
      </c>
      <c r="F44" s="27" t="s">
        <v>122</v>
      </c>
      <c r="G44" s="26" t="s">
        <v>123</v>
      </c>
      <c r="H44" s="26" t="s">
        <v>47</v>
      </c>
      <c r="I44" s="60" t="s">
        <v>124</v>
      </c>
      <c r="J44" s="60" t="s">
        <v>125</v>
      </c>
      <c r="K44" s="61" t="s">
        <v>126</v>
      </c>
      <c r="L44" s="61" t="s">
        <v>127</v>
      </c>
      <c r="M44" s="60" t="s">
        <v>128</v>
      </c>
      <c r="N44" s="60" t="s">
        <v>129</v>
      </c>
      <c r="O44" s="60" t="s">
        <v>130</v>
      </c>
      <c r="P44" s="60" t="s">
        <v>131</v>
      </c>
      <c r="Q44" s="60" t="s">
        <v>132</v>
      </c>
      <c r="R44" s="60" t="s">
        <v>133</v>
      </c>
      <c r="S44" s="60" t="s">
        <v>134</v>
      </c>
      <c r="T44" s="61" t="s">
        <v>135</v>
      </c>
      <c r="U44" s="61" t="s">
        <v>136</v>
      </c>
      <c r="V44" s="61" t="s">
        <v>137</v>
      </c>
      <c r="W44" s="64"/>
    </row>
    <row r="45" spans="2:23" ht="15">
      <c r="B45" s="29">
        <v>1</v>
      </c>
      <c r="C45" s="30" t="s">
        <v>83</v>
      </c>
      <c r="D45" s="30" t="s">
        <v>84</v>
      </c>
      <c r="E45" s="30"/>
      <c r="F45" s="30"/>
      <c r="G45" s="30" t="s">
        <v>138</v>
      </c>
      <c r="H45" s="30" t="s">
        <v>51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139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85</v>
      </c>
      <c r="D46" s="30" t="s">
        <v>86</v>
      </c>
      <c r="E46" s="30"/>
      <c r="F46" s="30"/>
      <c r="G46" s="30" t="s">
        <v>138</v>
      </c>
      <c r="H46" s="30" t="s">
        <v>51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87</v>
      </c>
      <c r="D47" s="30" t="s">
        <v>88</v>
      </c>
      <c r="E47" s="30"/>
      <c r="F47" s="30"/>
      <c r="G47" s="30" t="s">
        <v>138</v>
      </c>
      <c r="H47" s="30" t="s">
        <v>51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89</v>
      </c>
      <c r="D48" s="30" t="s">
        <v>90</v>
      </c>
      <c r="E48" s="30"/>
      <c r="F48" s="30"/>
      <c r="G48" s="30" t="s">
        <v>138</v>
      </c>
      <c r="H48" s="30" t="s">
        <v>51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91</v>
      </c>
      <c r="D49" s="30" t="s">
        <v>92</v>
      </c>
      <c r="E49" s="30"/>
      <c r="F49" s="30"/>
      <c r="G49" s="30" t="s">
        <v>138</v>
      </c>
      <c r="H49" s="30" t="s">
        <v>51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93</v>
      </c>
      <c r="D50" s="30" t="s">
        <v>94</v>
      </c>
      <c r="E50" s="30"/>
      <c r="F50" s="30"/>
      <c r="G50" s="30" t="s">
        <v>138</v>
      </c>
      <c r="H50" s="30" t="s">
        <v>51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95</v>
      </c>
      <c r="D51" s="30" t="s">
        <v>96</v>
      </c>
      <c r="E51" s="30"/>
      <c r="F51" s="30"/>
      <c r="G51" s="30" t="s">
        <v>138</v>
      </c>
      <c r="H51" s="30" t="s">
        <v>51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97</v>
      </c>
      <c r="D52" s="30" t="s">
        <v>98</v>
      </c>
      <c r="E52" s="30"/>
      <c r="F52" s="30"/>
      <c r="G52" s="30" t="s">
        <v>138</v>
      </c>
      <c r="H52" s="30" t="s">
        <v>51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99</v>
      </c>
      <c r="D53" s="30" t="s">
        <v>100</v>
      </c>
      <c r="E53" s="30"/>
      <c r="F53" s="30"/>
      <c r="G53" s="30" t="s">
        <v>138</v>
      </c>
      <c r="H53" s="30" t="s">
        <v>51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101</v>
      </c>
      <c r="D54" s="30" t="s">
        <v>102</v>
      </c>
      <c r="E54" s="30"/>
      <c r="F54" s="30"/>
      <c r="G54" s="30" t="s">
        <v>138</v>
      </c>
      <c r="H54" s="30" t="s">
        <v>51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103</v>
      </c>
      <c r="D55" s="30" t="s">
        <v>104</v>
      </c>
      <c r="E55" s="30"/>
      <c r="F55" s="30"/>
      <c r="G55" s="30" t="s">
        <v>138</v>
      </c>
      <c r="H55" s="30" t="s">
        <v>51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105</v>
      </c>
      <c r="D56" s="30" t="s">
        <v>106</v>
      </c>
      <c r="E56" s="30"/>
      <c r="F56" s="30"/>
      <c r="G56" s="30" t="s">
        <v>138</v>
      </c>
      <c r="H56" s="30" t="s">
        <v>51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107</v>
      </c>
      <c r="D57" s="30" t="s">
        <v>108</v>
      </c>
      <c r="E57" s="30"/>
      <c r="F57" s="30"/>
      <c r="G57" s="30" t="s">
        <v>138</v>
      </c>
      <c r="H57" s="30" t="s">
        <v>51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109</v>
      </c>
      <c r="D58" s="30" t="s">
        <v>110</v>
      </c>
      <c r="E58" s="30"/>
      <c r="F58" s="30"/>
      <c r="G58" s="30" t="s">
        <v>138</v>
      </c>
      <c r="H58" s="30" t="s">
        <v>51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111</v>
      </c>
      <c r="D59" s="35" t="s">
        <v>112</v>
      </c>
      <c r="E59" s="35"/>
      <c r="F59" s="35"/>
      <c r="G59" s="35" t="s">
        <v>138</v>
      </c>
      <c r="H59" s="35" t="s">
        <v>51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orientation="portrait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115" t="s">
        <v>140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</row>
    <row r="2" spans="1:23" s="1" customFormat="1" ht="28.5">
      <c r="A2" s="3" t="s">
        <v>141</v>
      </c>
      <c r="B2" s="3" t="s">
        <v>9</v>
      </c>
      <c r="C2" s="3" t="s">
        <v>142</v>
      </c>
      <c r="D2" s="3" t="s">
        <v>11</v>
      </c>
      <c r="E2" s="3" t="s">
        <v>12</v>
      </c>
      <c r="F2" s="3" t="s">
        <v>62</v>
      </c>
      <c r="G2" s="3" t="s">
        <v>14</v>
      </c>
      <c r="H2" s="3" t="s">
        <v>15</v>
      </c>
      <c r="I2" s="4" t="s">
        <v>16</v>
      </c>
      <c r="J2" s="4" t="s">
        <v>18</v>
      </c>
      <c r="K2" s="4" t="s">
        <v>17</v>
      </c>
      <c r="L2" s="8" t="s">
        <v>19</v>
      </c>
      <c r="M2" s="8" t="s">
        <v>20</v>
      </c>
      <c r="N2" s="8" t="s">
        <v>23</v>
      </c>
      <c r="O2" s="8" t="s">
        <v>24</v>
      </c>
      <c r="P2" s="8" t="s">
        <v>143</v>
      </c>
      <c r="Q2" s="8" t="s">
        <v>22</v>
      </c>
      <c r="R2" s="4" t="s">
        <v>25</v>
      </c>
      <c r="S2" s="3" t="s">
        <v>144</v>
      </c>
      <c r="T2" s="15" t="s">
        <v>145</v>
      </c>
      <c r="U2" s="15" t="s">
        <v>32</v>
      </c>
      <c r="V2" s="22" t="s">
        <v>33</v>
      </c>
      <c r="W2" s="17" t="s">
        <v>146</v>
      </c>
    </row>
    <row r="3" spans="1:23">
      <c r="A3" s="5">
        <v>1</v>
      </c>
      <c r="B3" s="5" t="s">
        <v>147</v>
      </c>
      <c r="C3" s="5" t="s">
        <v>148</v>
      </c>
      <c r="D3" s="5" t="s">
        <v>51</v>
      </c>
      <c r="E3" s="5" t="s">
        <v>149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150</v>
      </c>
      <c r="C4" s="5" t="s">
        <v>151</v>
      </c>
      <c r="D4" s="5" t="s">
        <v>51</v>
      </c>
      <c r="E4" s="5" t="s">
        <v>149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152</v>
      </c>
      <c r="C5" s="5" t="s">
        <v>153</v>
      </c>
      <c r="D5" s="5" t="s">
        <v>51</v>
      </c>
      <c r="E5" s="5" t="s">
        <v>149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154</v>
      </c>
      <c r="C6" s="5" t="s">
        <v>155</v>
      </c>
      <c r="D6" s="5" t="s">
        <v>51</v>
      </c>
      <c r="E6" s="5" t="s">
        <v>149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156</v>
      </c>
      <c r="C7" s="5" t="s">
        <v>157</v>
      </c>
      <c r="D7" s="5" t="s">
        <v>51</v>
      </c>
      <c r="E7" s="5" t="s">
        <v>149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158</v>
      </c>
      <c r="C8" s="5" t="s">
        <v>159</v>
      </c>
      <c r="D8" s="5" t="s">
        <v>51</v>
      </c>
      <c r="E8" s="5" t="s">
        <v>149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160</v>
      </c>
      <c r="C9" s="5" t="s">
        <v>161</v>
      </c>
      <c r="D9" s="5" t="s">
        <v>51</v>
      </c>
      <c r="E9" s="5" t="s">
        <v>162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163</v>
      </c>
      <c r="C10" s="5" t="s">
        <v>164</v>
      </c>
      <c r="D10" s="5" t="s">
        <v>51</v>
      </c>
      <c r="E10" s="5" t="s">
        <v>162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165</v>
      </c>
      <c r="C11" s="5" t="s">
        <v>166</v>
      </c>
      <c r="D11" s="5" t="s">
        <v>51</v>
      </c>
      <c r="E11" s="5" t="s">
        <v>162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167</v>
      </c>
      <c r="C12" s="5" t="s">
        <v>168</v>
      </c>
      <c r="D12" s="5" t="s">
        <v>51</v>
      </c>
      <c r="E12" s="5" t="s">
        <v>162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169</v>
      </c>
      <c r="C13" s="5" t="s">
        <v>170</v>
      </c>
      <c r="D13" s="5" t="s">
        <v>149</v>
      </c>
      <c r="E13" s="5" t="s">
        <v>171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172</v>
      </c>
      <c r="C14" s="5" t="s">
        <v>173</v>
      </c>
      <c r="D14" s="5" t="s">
        <v>149</v>
      </c>
      <c r="E14" s="5" t="s">
        <v>171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174</v>
      </c>
      <c r="C15" s="5" t="s">
        <v>175</v>
      </c>
      <c r="D15" s="5" t="s">
        <v>149</v>
      </c>
      <c r="E15" s="5" t="s">
        <v>171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176</v>
      </c>
      <c r="C16" s="5" t="s">
        <v>177</v>
      </c>
      <c r="D16" s="5" t="s">
        <v>149</v>
      </c>
      <c r="E16" s="5" t="s">
        <v>171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178</v>
      </c>
      <c r="C17" s="5" t="s">
        <v>179</v>
      </c>
      <c r="D17" s="5" t="s">
        <v>149</v>
      </c>
      <c r="E17" s="5" t="s">
        <v>171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108" t="s">
        <v>53</v>
      </c>
      <c r="C18" s="108"/>
      <c r="D18" s="108"/>
      <c r="E18" s="108"/>
      <c r="F18" s="108"/>
      <c r="G18" s="108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111" t="s">
        <v>180</v>
      </c>
      <c r="H20" s="112"/>
      <c r="I20" s="114">
        <f>H18</f>
        <v>71570.81</v>
      </c>
      <c r="J20" s="114"/>
      <c r="K20" s="10"/>
      <c r="M20" s="116" t="s">
        <v>181</v>
      </c>
      <c r="N20" s="117"/>
      <c r="O20" s="117"/>
      <c r="P20" s="118"/>
    </row>
    <row r="21" spans="1:23">
      <c r="G21" s="111" t="s">
        <v>182</v>
      </c>
      <c r="H21" s="112"/>
      <c r="I21" s="114">
        <f>R18</f>
        <v>3868.82</v>
      </c>
      <c r="J21" s="114"/>
      <c r="M21" s="19">
        <v>1</v>
      </c>
      <c r="N21" s="19" t="s">
        <v>51</v>
      </c>
      <c r="O21" s="19">
        <v>2</v>
      </c>
      <c r="P21" s="19" t="s">
        <v>149</v>
      </c>
    </row>
    <row r="22" spans="1:23">
      <c r="G22" s="111" t="s">
        <v>183</v>
      </c>
      <c r="H22" s="112"/>
      <c r="I22" s="114">
        <f>S18</f>
        <v>67701.990000000005</v>
      </c>
      <c r="J22" s="114"/>
      <c r="M22" s="5">
        <v>1</v>
      </c>
      <c r="N22" s="5" t="s">
        <v>51</v>
      </c>
      <c r="O22" s="5">
        <v>2.5</v>
      </c>
      <c r="P22" s="5" t="s">
        <v>162</v>
      </c>
    </row>
    <row r="23" spans="1:23">
      <c r="G23" s="111" t="s">
        <v>184</v>
      </c>
      <c r="H23" s="112"/>
      <c r="I23" s="114">
        <f>U18</f>
        <v>12186.37</v>
      </c>
      <c r="J23" s="114"/>
      <c r="M23" s="5">
        <v>1</v>
      </c>
      <c r="N23" s="5" t="s">
        <v>149</v>
      </c>
      <c r="O23" s="5">
        <v>1E-3</v>
      </c>
      <c r="P23" s="5" t="s">
        <v>171</v>
      </c>
    </row>
    <row r="24" spans="1:23">
      <c r="G24" s="111" t="s">
        <v>185</v>
      </c>
      <c r="H24" s="112"/>
      <c r="I24" s="113">
        <f>I22+I23</f>
        <v>79888.36</v>
      </c>
      <c r="J24" s="113"/>
    </row>
  </sheetData>
  <mergeCells count="13">
    <mergeCell ref="A1:V1"/>
    <mergeCell ref="B18:G18"/>
    <mergeCell ref="G20:H20"/>
    <mergeCell ref="I20:J20"/>
    <mergeCell ref="M20:P20"/>
    <mergeCell ref="G24:H24"/>
    <mergeCell ref="I24:J24"/>
    <mergeCell ref="G21:H21"/>
    <mergeCell ref="I21:J21"/>
    <mergeCell ref="G22:H22"/>
    <mergeCell ref="I22:J22"/>
    <mergeCell ref="G23:H23"/>
    <mergeCell ref="I23:J23"/>
  </mergeCells>
  <pageMargins left="0.7" right="0.7" top="0.75" bottom="0.75" header="0.3" footer="0.3"/>
  <pageSetup orientation="portrait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115" t="s">
        <v>186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 customHeight="1">
      <c r="A2" s="3" t="s">
        <v>141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21</v>
      </c>
      <c r="P2" s="8" t="s">
        <v>22</v>
      </c>
      <c r="Q2" s="4" t="s">
        <v>189</v>
      </c>
      <c r="R2" s="3" t="s">
        <v>190</v>
      </c>
      <c r="S2" s="15" t="s">
        <v>145</v>
      </c>
      <c r="T2" s="15" t="s">
        <v>32</v>
      </c>
      <c r="U2" s="22" t="s">
        <v>33</v>
      </c>
      <c r="V2" s="22" t="s">
        <v>191</v>
      </c>
      <c r="W2" s="17" t="s">
        <v>48</v>
      </c>
    </row>
    <row r="3" spans="1:23">
      <c r="A3" s="5">
        <v>1</v>
      </c>
      <c r="B3" s="5" t="s">
        <v>83</v>
      </c>
      <c r="C3" s="5" t="s">
        <v>51</v>
      </c>
      <c r="D3" s="5" t="s">
        <v>51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85</v>
      </c>
      <c r="C4" s="5" t="s">
        <v>51</v>
      </c>
      <c r="D4" s="5" t="s">
        <v>51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87</v>
      </c>
      <c r="C5" s="5" t="s">
        <v>51</v>
      </c>
      <c r="D5" s="5" t="s">
        <v>51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89</v>
      </c>
      <c r="C6" s="5" t="s">
        <v>51</v>
      </c>
      <c r="D6" s="5" t="s">
        <v>51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91</v>
      </c>
      <c r="C7" s="5" t="s">
        <v>51</v>
      </c>
      <c r="D7" s="5" t="s">
        <v>51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93</v>
      </c>
      <c r="C8" s="5" t="s">
        <v>51</v>
      </c>
      <c r="D8" s="5" t="s">
        <v>51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95</v>
      </c>
      <c r="C9" s="5" t="s">
        <v>51</v>
      </c>
      <c r="D9" s="5" t="s">
        <v>51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97</v>
      </c>
      <c r="C10" s="5" t="s">
        <v>51</v>
      </c>
      <c r="D10" s="5" t="s">
        <v>51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99</v>
      </c>
      <c r="C11" s="5" t="s">
        <v>51</v>
      </c>
      <c r="D11" s="5" t="s">
        <v>51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101</v>
      </c>
      <c r="C12" s="5" t="s">
        <v>51</v>
      </c>
      <c r="D12" s="5" t="s">
        <v>51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103</v>
      </c>
      <c r="C13" s="5" t="s">
        <v>51</v>
      </c>
      <c r="D13" s="5" t="s">
        <v>51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105</v>
      </c>
      <c r="C14" s="5" t="s">
        <v>51</v>
      </c>
      <c r="D14" s="5" t="s">
        <v>51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107</v>
      </c>
      <c r="C15" s="5" t="s">
        <v>51</v>
      </c>
      <c r="D15" s="5" t="s">
        <v>51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109</v>
      </c>
      <c r="C16" s="5" t="s">
        <v>51</v>
      </c>
      <c r="D16" s="5" t="s">
        <v>51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111</v>
      </c>
      <c r="C17" s="5" t="s">
        <v>51</v>
      </c>
      <c r="D17" s="5" t="s">
        <v>51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108" t="s">
        <v>53</v>
      </c>
      <c r="C18" s="108"/>
      <c r="D18" s="108"/>
      <c r="E18" s="108"/>
      <c r="F18" s="108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121" t="s">
        <v>192</v>
      </c>
      <c r="G20" s="121"/>
      <c r="H20" s="121"/>
      <c r="I20" s="121"/>
      <c r="K20" s="121" t="s">
        <v>193</v>
      </c>
      <c r="L20" s="121"/>
      <c r="M20" s="121"/>
      <c r="N20" s="121"/>
    </row>
    <row r="21" spans="1:23">
      <c r="F21" s="111" t="s">
        <v>180</v>
      </c>
      <c r="G21" s="112"/>
      <c r="H21" s="119">
        <f>G18</f>
        <v>71856.759999999995</v>
      </c>
      <c r="I21" s="119"/>
      <c r="J21" s="10"/>
      <c r="K21" s="111" t="s">
        <v>180</v>
      </c>
      <c r="L21" s="112"/>
      <c r="M21" s="119">
        <f>H21*$T$1</f>
        <v>5958362.5392000005</v>
      </c>
      <c r="N21" s="119"/>
    </row>
    <row r="22" spans="1:23">
      <c r="F22" s="111" t="s">
        <v>182</v>
      </c>
      <c r="G22" s="112"/>
      <c r="H22" s="119">
        <f>Q18</f>
        <v>3884.27</v>
      </c>
      <c r="I22" s="119"/>
      <c r="K22" s="111" t="s">
        <v>182</v>
      </c>
      <c r="L22" s="112"/>
      <c r="M22" s="119">
        <f t="shared" ref="M22:M25" si="14">H22*$T$1</f>
        <v>322083.66840000002</v>
      </c>
      <c r="N22" s="119"/>
      <c r="V22" s="20"/>
    </row>
    <row r="23" spans="1:23">
      <c r="F23" s="111" t="s">
        <v>183</v>
      </c>
      <c r="G23" s="112"/>
      <c r="H23" s="119">
        <f>R18</f>
        <v>67972.490000000005</v>
      </c>
      <c r="I23" s="119"/>
      <c r="K23" s="111" t="s">
        <v>183</v>
      </c>
      <c r="L23" s="112"/>
      <c r="M23" s="119">
        <f t="shared" si="14"/>
        <v>5636278.8707999997</v>
      </c>
      <c r="N23" s="119"/>
      <c r="V23" s="20"/>
    </row>
    <row r="24" spans="1:23">
      <c r="F24" s="111" t="s">
        <v>184</v>
      </c>
      <c r="G24" s="112"/>
      <c r="H24" s="119">
        <f>T18</f>
        <v>12235.06</v>
      </c>
      <c r="I24" s="119"/>
      <c r="K24" s="111" t="s">
        <v>184</v>
      </c>
      <c r="L24" s="112"/>
      <c r="M24" s="119">
        <f t="shared" si="14"/>
        <v>1014531.1752000001</v>
      </c>
      <c r="N24" s="119"/>
      <c r="V24" s="20"/>
    </row>
    <row r="25" spans="1:23">
      <c r="F25" s="111" t="s">
        <v>185</v>
      </c>
      <c r="G25" s="112"/>
      <c r="H25" s="120">
        <f>H23+H24</f>
        <v>80207.55</v>
      </c>
      <c r="I25" s="120"/>
      <c r="K25" s="111" t="s">
        <v>185</v>
      </c>
      <c r="L25" s="112"/>
      <c r="M25" s="120">
        <f t="shared" si="14"/>
        <v>6650810.0460000001</v>
      </c>
      <c r="N25" s="120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orientation="portrait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115" t="s">
        <v>194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>
      <c r="A2" s="3" t="s">
        <v>141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143</v>
      </c>
      <c r="P2" s="8" t="s">
        <v>22</v>
      </c>
      <c r="Q2" s="4" t="s">
        <v>189</v>
      </c>
      <c r="R2" s="3" t="s">
        <v>190</v>
      </c>
      <c r="S2" s="15" t="s">
        <v>145</v>
      </c>
      <c r="T2" s="15" t="s">
        <v>32</v>
      </c>
      <c r="U2" s="16" t="s">
        <v>195</v>
      </c>
      <c r="V2" s="16" t="s">
        <v>191</v>
      </c>
      <c r="W2" s="17" t="s">
        <v>146</v>
      </c>
    </row>
    <row r="3" spans="1:23">
      <c r="A3" s="5">
        <v>1</v>
      </c>
      <c r="B3" s="5" t="s">
        <v>83</v>
      </c>
      <c r="C3" s="5" t="s">
        <v>51</v>
      </c>
      <c r="D3" s="5" t="s">
        <v>149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85</v>
      </c>
      <c r="C4" s="5" t="s">
        <v>51</v>
      </c>
      <c r="D4" s="5" t="s">
        <v>149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87</v>
      </c>
      <c r="C5" s="5" t="s">
        <v>51</v>
      </c>
      <c r="D5" s="5" t="s">
        <v>149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89</v>
      </c>
      <c r="C6" s="5" t="s">
        <v>51</v>
      </c>
      <c r="D6" s="5" t="s">
        <v>149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91</v>
      </c>
      <c r="C7" s="5" t="s">
        <v>51</v>
      </c>
      <c r="D7" s="5" t="s">
        <v>149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93</v>
      </c>
      <c r="C8" s="5" t="s">
        <v>51</v>
      </c>
      <c r="D8" s="5" t="s">
        <v>149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95</v>
      </c>
      <c r="C9" s="5" t="s">
        <v>51</v>
      </c>
      <c r="D9" s="5" t="s">
        <v>162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97</v>
      </c>
      <c r="C10" s="5" t="s">
        <v>51</v>
      </c>
      <c r="D10" s="5" t="s">
        <v>162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99</v>
      </c>
      <c r="C11" s="5" t="s">
        <v>51</v>
      </c>
      <c r="D11" s="5" t="s">
        <v>162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101</v>
      </c>
      <c r="C12" s="5" t="s">
        <v>51</v>
      </c>
      <c r="D12" s="5" t="s">
        <v>162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103</v>
      </c>
      <c r="C13" s="5" t="s">
        <v>149</v>
      </c>
      <c r="D13" s="5" t="s">
        <v>171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105</v>
      </c>
      <c r="C14" s="5" t="s">
        <v>149</v>
      </c>
      <c r="D14" s="5" t="s">
        <v>171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107</v>
      </c>
      <c r="C15" s="5" t="s">
        <v>149</v>
      </c>
      <c r="D15" s="5" t="s">
        <v>171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109</v>
      </c>
      <c r="C16" s="5" t="s">
        <v>149</v>
      </c>
      <c r="D16" s="5" t="s">
        <v>171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111</v>
      </c>
      <c r="C17" s="5" t="s">
        <v>149</v>
      </c>
      <c r="D17" s="5" t="s">
        <v>171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108" t="s">
        <v>53</v>
      </c>
      <c r="C18" s="108"/>
      <c r="D18" s="108"/>
      <c r="E18" s="108"/>
      <c r="F18" s="108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121" t="s">
        <v>192</v>
      </c>
      <c r="G20" s="121"/>
      <c r="H20" s="121"/>
      <c r="I20" s="121"/>
      <c r="K20" s="121" t="s">
        <v>193</v>
      </c>
      <c r="L20" s="121"/>
      <c r="M20" s="121"/>
      <c r="N20" s="121"/>
      <c r="Q20" s="116" t="s">
        <v>181</v>
      </c>
      <c r="R20" s="117"/>
      <c r="S20" s="117"/>
      <c r="T20" s="118"/>
    </row>
    <row r="21" spans="1:23" ht="15.75" customHeight="1">
      <c r="F21" s="111" t="s">
        <v>180</v>
      </c>
      <c r="G21" s="112"/>
      <c r="H21" s="119">
        <f>G18</f>
        <v>71570.81</v>
      </c>
      <c r="I21" s="119"/>
      <c r="J21" s="10"/>
      <c r="K21" s="111" t="s">
        <v>180</v>
      </c>
      <c r="L21" s="112"/>
      <c r="M21" s="119">
        <f>H21*$T$1</f>
        <v>5934651.5652000001</v>
      </c>
      <c r="N21" s="119"/>
      <c r="Q21" s="19">
        <v>1</v>
      </c>
      <c r="R21" s="19" t="s">
        <v>51</v>
      </c>
      <c r="S21" s="19">
        <v>2</v>
      </c>
      <c r="T21" s="19" t="s">
        <v>149</v>
      </c>
      <c r="V21" s="20"/>
    </row>
    <row r="22" spans="1:23">
      <c r="F22" s="111" t="s">
        <v>182</v>
      </c>
      <c r="G22" s="112"/>
      <c r="H22" s="119">
        <f>Q18</f>
        <v>3868.82</v>
      </c>
      <c r="I22" s="119"/>
      <c r="K22" s="111" t="s">
        <v>182</v>
      </c>
      <c r="L22" s="112"/>
      <c r="M22" s="119">
        <f t="shared" ref="M22:M25" si="14">H22*$T$1</f>
        <v>320802.55440000002</v>
      </c>
      <c r="N22" s="119"/>
      <c r="Q22" s="5">
        <v>1</v>
      </c>
      <c r="R22" s="5" t="s">
        <v>51</v>
      </c>
      <c r="S22" s="5">
        <v>2.5</v>
      </c>
      <c r="T22" s="5" t="s">
        <v>162</v>
      </c>
      <c r="V22" s="20"/>
    </row>
    <row r="23" spans="1:23">
      <c r="F23" s="111" t="s">
        <v>183</v>
      </c>
      <c r="G23" s="112"/>
      <c r="H23" s="119">
        <f>R18</f>
        <v>67701.990000000005</v>
      </c>
      <c r="I23" s="119"/>
      <c r="K23" s="111" t="s">
        <v>183</v>
      </c>
      <c r="L23" s="112"/>
      <c r="M23" s="119">
        <f t="shared" si="14"/>
        <v>5613849.0108000003</v>
      </c>
      <c r="N23" s="119"/>
      <c r="Q23" s="5">
        <v>1</v>
      </c>
      <c r="R23" s="5" t="s">
        <v>149</v>
      </c>
      <c r="S23" s="5">
        <v>1E-3</v>
      </c>
      <c r="T23" s="5" t="s">
        <v>171</v>
      </c>
      <c r="V23" s="20"/>
    </row>
    <row r="24" spans="1:23">
      <c r="F24" s="111" t="s">
        <v>184</v>
      </c>
      <c r="G24" s="112"/>
      <c r="H24" s="119">
        <f>T18</f>
        <v>12186.37</v>
      </c>
      <c r="I24" s="119"/>
      <c r="K24" s="111" t="s">
        <v>184</v>
      </c>
      <c r="L24" s="112"/>
      <c r="M24" s="119">
        <f t="shared" si="14"/>
        <v>1010493.8003999999</v>
      </c>
      <c r="N24" s="119"/>
      <c r="V24" s="20"/>
    </row>
    <row r="25" spans="1:23">
      <c r="F25" s="111" t="s">
        <v>185</v>
      </c>
      <c r="G25" s="112"/>
      <c r="H25" s="120">
        <f>H23+H24</f>
        <v>79888.36</v>
      </c>
      <c r="I25" s="120"/>
      <c r="K25" s="111" t="s">
        <v>185</v>
      </c>
      <c r="L25" s="112"/>
      <c r="M25" s="120">
        <f t="shared" si="14"/>
        <v>6624342.8112000003</v>
      </c>
      <c r="N25" s="120"/>
      <c r="V25" s="2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131</vt:i4>
      </vt:variant>
    </vt:vector>
  </HeadingPairs>
  <TitlesOfParts>
    <vt:vector size="131" baseType="lpstr"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RMSYS</cp:lastModifiedBy>
  <dcterms:created xsi:type="dcterms:W3CDTF">2024-02-02T08:07:00Z</dcterms:created>
  <dcterms:modified xsi:type="dcterms:W3CDTF">2025-08-07T15:43:13Z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1033-12.2.0.21931</vt:lpwstr>
  </property>
  <property fmtid="{D5CDD505-2E9C-101B-9397-08002B2CF9AE}" pid="3" name="ICV">
    <vt:lpwstr>1661235255FC4603A95E3E16882D5406_12</vt:lpwstr>
  </property>
</Properties>
</file>